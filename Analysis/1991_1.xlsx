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2849FED4-63E6-3F40-8F87-D0B7E1658374}" xr6:coauthVersionLast="47" xr6:coauthVersionMax="47" xr10:uidLastSave="{9067E0E3-6405-FC45-A72B-A75FD33F1A58}"/>
  <bookViews>
    <workbookView xWindow="9020" yWindow="1220" windowWidth="27180" windowHeight="24260" xr2:uid="{D36B2761-C0B6-B24C-8C2F-3CED16AC9075}"/>
  </bookViews>
  <sheets>
    <sheet name="199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2" i="1"/>
  <c r="S2" i="1" l="1"/>
  <c r="U2" i="1"/>
  <c r="AM2" i="1" s="1"/>
  <c r="AV2" i="1" s="1"/>
  <c r="S3" i="1"/>
  <c r="U3" i="1"/>
  <c r="AM3" i="1" s="1"/>
  <c r="S4" i="1"/>
  <c r="U4" i="1"/>
  <c r="AM4" i="1" s="1"/>
  <c r="AV4" i="1" s="1"/>
  <c r="S5" i="1"/>
  <c r="U5" i="1"/>
  <c r="AM5" i="1" s="1"/>
  <c r="AU5" i="1" s="1"/>
  <c r="S6" i="1"/>
  <c r="U6" i="1"/>
  <c r="AM6" i="1" s="1"/>
  <c r="S7" i="1"/>
  <c r="U7" i="1"/>
  <c r="AM7" i="1" s="1"/>
  <c r="S8" i="1"/>
  <c r="U8" i="1"/>
  <c r="AM8" i="1" s="1"/>
  <c r="S9" i="1"/>
  <c r="U9" i="1"/>
  <c r="AM9" i="1" s="1"/>
  <c r="S10" i="1"/>
  <c r="U10" i="1"/>
  <c r="AM10" i="1"/>
  <c r="AU10" i="1"/>
  <c r="S11" i="1"/>
  <c r="U11" i="1"/>
  <c r="AM11" i="1"/>
  <c r="S12" i="1"/>
  <c r="U12" i="1"/>
  <c r="AM12" i="1"/>
  <c r="S13" i="1"/>
  <c r="U13" i="1"/>
  <c r="AM13" i="1" s="1"/>
  <c r="S14" i="1"/>
  <c r="U14" i="1"/>
  <c r="AM14" i="1" s="1"/>
  <c r="S15" i="1"/>
  <c r="U15" i="1"/>
  <c r="AM15" i="1" s="1"/>
  <c r="AU15" i="1" s="1"/>
  <c r="S16" i="1"/>
  <c r="U16" i="1"/>
  <c r="AM16" i="1"/>
  <c r="S17" i="1"/>
  <c r="U17" i="1"/>
  <c r="AM17" i="1" s="1"/>
  <c r="S18" i="1"/>
  <c r="U18" i="1"/>
  <c r="AM18" i="1" s="1"/>
  <c r="S19" i="1"/>
  <c r="U19" i="1"/>
  <c r="AM19" i="1" s="1"/>
  <c r="S20" i="1"/>
  <c r="U20" i="1"/>
  <c r="AM20" i="1"/>
  <c r="S21" i="1"/>
  <c r="U21" i="1"/>
  <c r="AM21" i="1" s="1"/>
  <c r="S22" i="1"/>
  <c r="U22" i="1"/>
  <c r="AM22" i="1"/>
  <c r="S23" i="1"/>
  <c r="U23" i="1"/>
  <c r="AM23" i="1" s="1"/>
  <c r="S24" i="1"/>
  <c r="U24" i="1"/>
  <c r="AM24" i="1" s="1"/>
  <c r="AW24" i="1" s="1"/>
  <c r="S25" i="1"/>
  <c r="U25" i="1"/>
  <c r="AM25" i="1" s="1"/>
  <c r="S26" i="1"/>
  <c r="U26" i="1"/>
  <c r="AM26" i="1" s="1"/>
  <c r="S27" i="1"/>
  <c r="U27" i="1"/>
  <c r="AM27" i="1"/>
  <c r="S28" i="1"/>
  <c r="U28" i="1"/>
  <c r="AM28" i="1" s="1"/>
  <c r="S29" i="1"/>
  <c r="U29" i="1"/>
  <c r="AM29" i="1" s="1"/>
  <c r="AW29" i="1" s="1"/>
  <c r="S30" i="1"/>
  <c r="U30" i="1"/>
  <c r="AM30" i="1" s="1"/>
  <c r="S31" i="1"/>
  <c r="U31" i="1"/>
  <c r="AM31" i="1" s="1"/>
  <c r="S32" i="1"/>
  <c r="U32" i="1"/>
  <c r="AM32" i="1"/>
  <c r="S33" i="1"/>
  <c r="U33" i="1"/>
  <c r="AM33" i="1" s="1"/>
  <c r="S34" i="1"/>
  <c r="U34" i="1"/>
  <c r="AM34" i="1" s="1"/>
  <c r="AW34" i="1" s="1"/>
  <c r="S35" i="1"/>
  <c r="U35" i="1"/>
  <c r="AM35" i="1" s="1"/>
  <c r="S36" i="1"/>
  <c r="U36" i="1"/>
  <c r="AM36" i="1" s="1"/>
  <c r="S37" i="1"/>
  <c r="U37" i="1"/>
  <c r="AM37" i="1"/>
  <c r="S38" i="1"/>
  <c r="U38" i="1"/>
  <c r="AM38" i="1" s="1"/>
  <c r="S39" i="1"/>
  <c r="U39" i="1"/>
  <c r="AM39" i="1" s="1"/>
  <c r="AW39" i="1" s="1"/>
  <c r="S40" i="1"/>
  <c r="U40" i="1"/>
  <c r="AM40" i="1" s="1"/>
  <c r="S41" i="1"/>
  <c r="U41" i="1"/>
  <c r="AM41" i="1" s="1"/>
  <c r="S42" i="1"/>
  <c r="U42" i="1"/>
  <c r="AM42" i="1"/>
  <c r="AV42" i="1" s="1"/>
  <c r="S43" i="1"/>
  <c r="U43" i="1"/>
  <c r="AM43" i="1" s="1"/>
  <c r="S44" i="1"/>
  <c r="U44" i="1"/>
  <c r="AM44" i="1" s="1"/>
  <c r="S45" i="1"/>
  <c r="U45" i="1"/>
  <c r="AM45" i="1" s="1"/>
  <c r="S46" i="1"/>
  <c r="U46" i="1"/>
  <c r="AM46" i="1" s="1"/>
  <c r="S47" i="1"/>
  <c r="U47" i="1"/>
  <c r="AM47" i="1"/>
  <c r="AV47" i="1" s="1"/>
  <c r="S48" i="1"/>
  <c r="U48" i="1"/>
  <c r="AM48" i="1" s="1"/>
  <c r="S49" i="1"/>
  <c r="U49" i="1"/>
  <c r="AM49" i="1" s="1"/>
  <c r="S50" i="1"/>
  <c r="U50" i="1"/>
  <c r="AM50" i="1" s="1"/>
  <c r="S51" i="1"/>
  <c r="U51" i="1"/>
  <c r="AM51" i="1" s="1"/>
  <c r="S52" i="1"/>
  <c r="U52" i="1"/>
  <c r="AM52" i="1"/>
  <c r="AV52" i="1" s="1"/>
  <c r="S53" i="1"/>
  <c r="U53" i="1"/>
  <c r="AM53" i="1" s="1"/>
  <c r="S54" i="1"/>
  <c r="U54" i="1"/>
  <c r="AM54" i="1" s="1"/>
  <c r="S55" i="1"/>
  <c r="U55" i="1"/>
  <c r="AM55" i="1" s="1"/>
  <c r="S56" i="1"/>
  <c r="U56" i="1"/>
  <c r="AM56" i="1" s="1"/>
  <c r="S57" i="1"/>
  <c r="U57" i="1"/>
  <c r="AM57" i="1"/>
  <c r="AV57" i="1" s="1"/>
  <c r="S58" i="1"/>
  <c r="U58" i="1"/>
  <c r="AM58" i="1" s="1"/>
  <c r="S59" i="1"/>
  <c r="U59" i="1"/>
  <c r="AM59" i="1" s="1"/>
  <c r="S60" i="1"/>
  <c r="U60" i="1"/>
  <c r="AM60" i="1" s="1"/>
  <c r="S61" i="1"/>
  <c r="U61" i="1"/>
  <c r="AM61" i="1" s="1"/>
  <c r="S62" i="1"/>
  <c r="U62" i="1"/>
  <c r="AM62" i="1"/>
  <c r="S63" i="1"/>
  <c r="U63" i="1"/>
  <c r="AM63" i="1" s="1"/>
  <c r="S64" i="1"/>
  <c r="U64" i="1"/>
  <c r="AM64" i="1" s="1"/>
  <c r="S65" i="1"/>
  <c r="U65" i="1"/>
  <c r="AM65" i="1" s="1"/>
  <c r="S66" i="1"/>
  <c r="U66" i="1"/>
  <c r="AM66" i="1" s="1"/>
  <c r="S67" i="1"/>
  <c r="U67" i="1"/>
  <c r="AM67" i="1"/>
  <c r="AV67" i="1"/>
  <c r="S68" i="1"/>
  <c r="U68" i="1"/>
  <c r="AM68" i="1" s="1"/>
  <c r="S69" i="1"/>
  <c r="U69" i="1"/>
  <c r="AM69" i="1" s="1"/>
  <c r="S70" i="1"/>
  <c r="U70" i="1"/>
  <c r="AM70" i="1" s="1"/>
  <c r="S71" i="1"/>
  <c r="U71" i="1"/>
  <c r="AM71" i="1" s="1"/>
  <c r="S72" i="1"/>
  <c r="U72" i="1"/>
  <c r="AM72" i="1"/>
  <c r="AV72" i="1" s="1"/>
  <c r="S73" i="1"/>
  <c r="U73" i="1"/>
  <c r="AM73" i="1" s="1"/>
  <c r="S74" i="1"/>
  <c r="U74" i="1"/>
  <c r="AM74" i="1" s="1"/>
  <c r="AU74" i="1"/>
  <c r="S75" i="1"/>
  <c r="U75" i="1"/>
  <c r="AM75" i="1" s="1"/>
  <c r="S76" i="1"/>
  <c r="U76" i="1"/>
  <c r="AM76" i="1" s="1"/>
  <c r="S77" i="1"/>
  <c r="U77" i="1"/>
  <c r="AV77" i="1"/>
  <c r="AM77" i="1"/>
  <c r="S78" i="1"/>
  <c r="U78" i="1"/>
  <c r="AM78" i="1" s="1"/>
  <c r="AU78" i="1"/>
  <c r="S79" i="1"/>
  <c r="U79" i="1"/>
  <c r="AM79" i="1" s="1"/>
  <c r="S80" i="1"/>
  <c r="U80" i="1"/>
  <c r="AM80" i="1"/>
  <c r="S81" i="1"/>
  <c r="U81" i="1"/>
  <c r="AM81" i="1"/>
  <c r="S82" i="1"/>
  <c r="U82" i="1"/>
  <c r="AM82" i="1" s="1"/>
  <c r="S83" i="1"/>
  <c r="U83" i="1"/>
  <c r="AM83" i="1" s="1"/>
  <c r="S84" i="1"/>
  <c r="U84" i="1"/>
  <c r="AM84" i="1" s="1"/>
  <c r="S85" i="1"/>
  <c r="U85" i="1"/>
  <c r="AM85" i="1" s="1"/>
  <c r="S86" i="1"/>
  <c r="U86" i="1"/>
  <c r="AM86" i="1"/>
  <c r="S87" i="1"/>
  <c r="U87" i="1"/>
  <c r="AM87" i="1" s="1"/>
  <c r="S88" i="1"/>
  <c r="U88" i="1"/>
  <c r="AM88" i="1" s="1"/>
  <c r="AW88" i="1" s="1"/>
  <c r="S89" i="1"/>
  <c r="U89" i="1"/>
  <c r="AM89" i="1" s="1"/>
  <c r="S90" i="1"/>
  <c r="U90" i="1"/>
  <c r="AM90" i="1" s="1"/>
  <c r="S91" i="1"/>
  <c r="U91" i="1"/>
  <c r="AM91" i="1" s="1"/>
  <c r="S92" i="1"/>
  <c r="U92" i="1"/>
  <c r="AM92" i="1" s="1"/>
  <c r="S93" i="1"/>
  <c r="U93" i="1"/>
  <c r="AM93" i="1" s="1"/>
  <c r="S94" i="1"/>
  <c r="U94" i="1"/>
  <c r="AM94" i="1" s="1"/>
  <c r="AV94" i="1"/>
  <c r="S95" i="1"/>
  <c r="U95" i="1"/>
  <c r="AM95" i="1" s="1"/>
  <c r="S96" i="1"/>
  <c r="U96" i="1"/>
  <c r="AM96" i="1"/>
  <c r="S97" i="1"/>
  <c r="U97" i="1"/>
  <c r="AM97" i="1" s="1"/>
  <c r="S98" i="1"/>
  <c r="U98" i="1"/>
  <c r="AM98" i="1" s="1"/>
  <c r="S99" i="1"/>
  <c r="U99" i="1"/>
  <c r="AM99" i="1" s="1"/>
  <c r="AV99" i="1"/>
  <c r="S100" i="1"/>
  <c r="U100" i="1"/>
  <c r="AM100" i="1"/>
  <c r="S101" i="1"/>
  <c r="U101" i="1"/>
  <c r="AM101" i="1"/>
  <c r="S102" i="1"/>
  <c r="U102" i="1"/>
  <c r="AM102" i="1"/>
  <c r="S103" i="1"/>
  <c r="U103" i="1"/>
  <c r="AM103" i="1" s="1"/>
  <c r="S104" i="1"/>
  <c r="U104" i="1"/>
  <c r="AM104" i="1" s="1"/>
  <c r="AW104" i="1" s="1"/>
  <c r="S105" i="1"/>
  <c r="U105" i="1"/>
  <c r="AM105" i="1"/>
  <c r="S106" i="1"/>
  <c r="U106" i="1"/>
  <c r="AM106" i="1"/>
  <c r="S107" i="1"/>
  <c r="U107" i="1"/>
  <c r="AM107" i="1"/>
  <c r="S108" i="1"/>
  <c r="U108" i="1"/>
  <c r="AM108" i="1" s="1"/>
  <c r="S109" i="1"/>
  <c r="U109" i="1"/>
  <c r="AM109" i="1" s="1"/>
  <c r="AU109" i="1"/>
  <c r="S110" i="1"/>
  <c r="U110" i="1"/>
  <c r="AM110" i="1" s="1"/>
  <c r="S111" i="1"/>
  <c r="U111" i="1"/>
  <c r="AM111" i="1" s="1"/>
  <c r="AV111" i="1" s="1"/>
  <c r="S112" i="1"/>
  <c r="U112" i="1"/>
  <c r="AM112" i="1" s="1"/>
  <c r="AW112" i="1" s="1"/>
  <c r="S113" i="1"/>
  <c r="U113" i="1"/>
  <c r="AM113" i="1" s="1"/>
  <c r="S114" i="1"/>
  <c r="U114" i="1"/>
  <c r="AM114" i="1" s="1"/>
  <c r="S115" i="1"/>
  <c r="U115" i="1"/>
  <c r="AM115" i="1" s="1"/>
  <c r="AU115" i="1" s="1"/>
  <c r="S116" i="1"/>
  <c r="U116" i="1"/>
  <c r="AM116" i="1"/>
  <c r="S117" i="1"/>
  <c r="U117" i="1"/>
  <c r="AM117" i="1" s="1"/>
  <c r="S118" i="1"/>
  <c r="U118" i="1"/>
  <c r="AM118" i="1" s="1"/>
  <c r="AV118" i="1" s="1"/>
  <c r="S119" i="1"/>
  <c r="U119" i="1"/>
  <c r="AM119" i="1" s="1"/>
  <c r="AU119" i="1"/>
  <c r="S120" i="1"/>
  <c r="U120" i="1"/>
  <c r="AM120" i="1" s="1"/>
  <c r="S121" i="1"/>
  <c r="U121" i="1"/>
  <c r="AM121" i="1" s="1"/>
  <c r="S122" i="1"/>
  <c r="U122" i="1"/>
  <c r="AM122" i="1" s="1"/>
  <c r="S123" i="1"/>
  <c r="U123" i="1"/>
  <c r="AM123" i="1" s="1"/>
  <c r="AV123" i="1"/>
  <c r="S124" i="1"/>
  <c r="U124" i="1"/>
  <c r="AM124" i="1" s="1"/>
  <c r="S125" i="1"/>
  <c r="U125" i="1"/>
  <c r="AM125" i="1" s="1"/>
  <c r="S126" i="1"/>
  <c r="U126" i="1"/>
  <c r="AM126" i="1" s="1"/>
  <c r="S127" i="1"/>
  <c r="U127" i="1"/>
  <c r="AM127" i="1" s="1"/>
  <c r="S128" i="1"/>
  <c r="U128" i="1"/>
  <c r="AM128" i="1" s="1"/>
  <c r="S129" i="1"/>
  <c r="U129" i="1"/>
  <c r="AM129" i="1" s="1"/>
  <c r="AW129" i="1" s="1"/>
  <c r="AU129" i="1"/>
  <c r="S130" i="1"/>
  <c r="U130" i="1"/>
  <c r="AM130" i="1" s="1"/>
  <c r="AU130" i="1"/>
  <c r="S131" i="1"/>
  <c r="U131" i="1"/>
  <c r="AM131" i="1" s="1"/>
  <c r="S132" i="1"/>
  <c r="U132" i="1"/>
  <c r="AM132" i="1" s="1"/>
  <c r="S133" i="1"/>
  <c r="U133" i="1"/>
  <c r="AM133" i="1" s="1"/>
  <c r="AV133" i="1" s="1"/>
  <c r="S134" i="1"/>
  <c r="U134" i="1"/>
  <c r="AM134" i="1" s="1"/>
  <c r="AU134" i="1"/>
  <c r="AW134" i="1"/>
  <c r="S135" i="1"/>
  <c r="U135" i="1"/>
  <c r="AM135" i="1" s="1"/>
  <c r="S136" i="1"/>
  <c r="U136" i="1"/>
  <c r="AM136" i="1"/>
  <c r="S137" i="1"/>
  <c r="U137" i="1"/>
  <c r="AM137" i="1" s="1"/>
  <c r="AV137" i="1" s="1"/>
  <c r="S138" i="1"/>
  <c r="U138" i="1"/>
  <c r="AM138" i="1" s="1"/>
  <c r="AV138" i="1" s="1"/>
  <c r="S139" i="1"/>
  <c r="U139" i="1"/>
  <c r="AM139" i="1" s="1"/>
  <c r="AW139" i="1"/>
  <c r="S140" i="1"/>
  <c r="U140" i="1"/>
  <c r="AM140" i="1" s="1"/>
  <c r="S141" i="1"/>
  <c r="U141" i="1"/>
  <c r="AM141" i="1"/>
  <c r="S142" i="1"/>
  <c r="U142" i="1"/>
  <c r="AM142" i="1" s="1"/>
  <c r="S143" i="1"/>
  <c r="U143" i="1"/>
  <c r="AM143" i="1" s="1"/>
  <c r="S144" i="1"/>
  <c r="U144" i="1"/>
  <c r="AM144" i="1" s="1"/>
  <c r="S145" i="1"/>
  <c r="U145" i="1"/>
  <c r="AM145" i="1"/>
  <c r="AU145" i="1" s="1"/>
  <c r="S146" i="1"/>
  <c r="U146" i="1"/>
  <c r="AM146" i="1"/>
  <c r="S147" i="1"/>
  <c r="U147" i="1"/>
  <c r="AM147" i="1"/>
  <c r="AW147" i="1" s="1"/>
  <c r="S148" i="1"/>
  <c r="U148" i="1"/>
  <c r="AM148" i="1" s="1"/>
  <c r="AV148" i="1"/>
  <c r="S149" i="1"/>
  <c r="U149" i="1"/>
  <c r="AM149" i="1" s="1"/>
  <c r="AU149" i="1" s="1"/>
  <c r="S150" i="1"/>
  <c r="U150" i="1"/>
  <c r="AM150" i="1" s="1"/>
  <c r="AV150" i="1" s="1"/>
  <c r="S151" i="1"/>
  <c r="U151" i="1"/>
  <c r="AM151" i="1"/>
  <c r="S152" i="1"/>
  <c r="U152" i="1"/>
  <c r="AM152" i="1"/>
  <c r="S153" i="1"/>
  <c r="U153" i="1"/>
  <c r="AM153" i="1" s="1"/>
  <c r="S154" i="1"/>
  <c r="U154" i="1"/>
  <c r="AM154" i="1" s="1"/>
  <c r="AV154" i="1" s="1"/>
  <c r="S155" i="1"/>
  <c r="U155" i="1"/>
  <c r="AM155" i="1" s="1"/>
  <c r="S156" i="1"/>
  <c r="U156" i="1"/>
  <c r="AM156" i="1" s="1"/>
  <c r="AV156" i="1" s="1"/>
  <c r="S157" i="1"/>
  <c r="U157" i="1"/>
  <c r="AM157" i="1" s="1"/>
  <c r="S158" i="1"/>
  <c r="U158" i="1"/>
  <c r="AM158" i="1" s="1"/>
  <c r="S159" i="1"/>
  <c r="U159" i="1"/>
  <c r="AM159" i="1" s="1"/>
  <c r="AU159" i="1"/>
  <c r="S160" i="1"/>
  <c r="U160" i="1"/>
  <c r="AM160" i="1"/>
  <c r="S161" i="1"/>
  <c r="U161" i="1"/>
  <c r="AM161" i="1" s="1"/>
  <c r="S162" i="1"/>
  <c r="U162" i="1"/>
  <c r="AM162" i="1"/>
  <c r="S163" i="1"/>
  <c r="U163" i="1"/>
  <c r="AM163" i="1" s="1"/>
  <c r="AU163" i="1"/>
  <c r="S164" i="1"/>
  <c r="U164" i="1"/>
  <c r="AM164" i="1" s="1"/>
  <c r="S165" i="1"/>
  <c r="U165" i="1"/>
  <c r="AM165" i="1" s="1"/>
  <c r="AV165" i="1" s="1"/>
  <c r="S166" i="1"/>
  <c r="U166" i="1"/>
  <c r="AM166" i="1"/>
  <c r="AU166" i="1" s="1"/>
  <c r="S167" i="1"/>
  <c r="U167" i="1"/>
  <c r="AM167" i="1" s="1"/>
  <c r="S168" i="1"/>
  <c r="U168" i="1"/>
  <c r="AM168" i="1" s="1"/>
  <c r="AW168" i="1"/>
  <c r="S169" i="1"/>
  <c r="U169" i="1"/>
  <c r="AM169" i="1" s="1"/>
  <c r="S170" i="1"/>
  <c r="U170" i="1"/>
  <c r="AM170" i="1" s="1"/>
  <c r="S171" i="1"/>
  <c r="U171" i="1"/>
  <c r="AM171" i="1" s="1"/>
  <c r="AU171" i="1" s="1"/>
  <c r="S172" i="1"/>
  <c r="U172" i="1"/>
  <c r="AM172" i="1" s="1"/>
  <c r="S173" i="1"/>
  <c r="U173" i="1"/>
  <c r="AM173" i="1" s="1"/>
  <c r="AW173" i="1"/>
  <c r="S174" i="1"/>
  <c r="U174" i="1"/>
  <c r="AM174" i="1"/>
  <c r="S175" i="1"/>
  <c r="U175" i="1"/>
  <c r="AM175" i="1"/>
  <c r="S176" i="1"/>
  <c r="U176" i="1"/>
  <c r="AM176" i="1"/>
  <c r="AW176" i="1" s="1"/>
  <c r="S177" i="1"/>
  <c r="U177" i="1"/>
  <c r="AM177" i="1" s="1"/>
  <c r="AU177" i="1" s="1"/>
  <c r="S178" i="1"/>
  <c r="U178" i="1"/>
  <c r="AM178" i="1" s="1"/>
  <c r="AV178" i="1"/>
  <c r="S179" i="1"/>
  <c r="U179" i="1"/>
  <c r="AM179" i="1" s="1"/>
  <c r="S180" i="1"/>
  <c r="U180" i="1"/>
  <c r="AM180" i="1"/>
  <c r="S181" i="1"/>
  <c r="U181" i="1"/>
  <c r="AM181" i="1" s="1"/>
  <c r="S182" i="1"/>
  <c r="U182" i="1"/>
  <c r="AM182" i="1" s="1"/>
  <c r="S183" i="1"/>
  <c r="U183" i="1"/>
  <c r="AM183" i="1" s="1"/>
  <c r="S184" i="1"/>
  <c r="U184" i="1"/>
  <c r="AM184" i="1"/>
  <c r="S185" i="1"/>
  <c r="U185" i="1"/>
  <c r="AM185" i="1" s="1"/>
  <c r="S186" i="1"/>
  <c r="U186" i="1"/>
  <c r="AM186" i="1" s="1"/>
  <c r="S187" i="1"/>
  <c r="U187" i="1"/>
  <c r="AM187" i="1" s="1"/>
  <c r="AW187" i="1"/>
  <c r="S188" i="1"/>
  <c r="U188" i="1"/>
  <c r="AM188" i="1" s="1"/>
  <c r="S189" i="1"/>
  <c r="U189" i="1"/>
  <c r="AM189" i="1" s="1"/>
  <c r="S190" i="1"/>
  <c r="U190" i="1"/>
  <c r="AM190" i="1" s="1"/>
  <c r="S191" i="1"/>
  <c r="U191" i="1"/>
  <c r="AM191" i="1" s="1"/>
  <c r="S192" i="1"/>
  <c r="U192" i="1"/>
  <c r="AM192" i="1" s="1"/>
  <c r="AV192" i="1"/>
  <c r="S193" i="1"/>
  <c r="U193" i="1"/>
  <c r="AM193" i="1" s="1"/>
  <c r="S194" i="1"/>
  <c r="U194" i="1"/>
  <c r="AM194" i="1"/>
  <c r="S195" i="1"/>
  <c r="U195" i="1"/>
  <c r="AM195" i="1" s="1"/>
  <c r="S196" i="1"/>
  <c r="U196" i="1"/>
  <c r="AM196" i="1" s="1"/>
  <c r="S197" i="1"/>
  <c r="U197" i="1"/>
  <c r="AM197" i="1"/>
  <c r="AV197" i="1" s="1"/>
  <c r="S198" i="1"/>
  <c r="U198" i="1"/>
  <c r="AM198" i="1" s="1"/>
  <c r="AV198" i="1"/>
  <c r="S199" i="1"/>
  <c r="U199" i="1"/>
  <c r="AM199" i="1" s="1"/>
  <c r="S200" i="1"/>
  <c r="U200" i="1"/>
  <c r="AM200" i="1" s="1"/>
  <c r="S201" i="1"/>
  <c r="U201" i="1"/>
  <c r="AM201" i="1" s="1"/>
  <c r="S202" i="1"/>
  <c r="U202" i="1"/>
  <c r="AM202" i="1" s="1"/>
  <c r="S203" i="1"/>
  <c r="U203" i="1"/>
  <c r="AM203" i="1" s="1"/>
  <c r="S204" i="1"/>
  <c r="U204" i="1"/>
  <c r="AM204" i="1"/>
  <c r="S205" i="1"/>
  <c r="U205" i="1"/>
  <c r="AM205" i="1" s="1"/>
  <c r="S206" i="1"/>
  <c r="U206" i="1"/>
  <c r="AM206" i="1" s="1"/>
  <c r="AU206" i="1"/>
  <c r="S207" i="1"/>
  <c r="U207" i="1"/>
  <c r="AM207" i="1"/>
  <c r="AV207" i="1"/>
  <c r="S208" i="1"/>
  <c r="U208" i="1"/>
  <c r="AM208" i="1" s="1"/>
  <c r="S209" i="1"/>
  <c r="U209" i="1"/>
  <c r="AM209" i="1"/>
  <c r="S210" i="1"/>
  <c r="U210" i="1"/>
  <c r="AM210" i="1" s="1"/>
  <c r="S211" i="1"/>
  <c r="U211" i="1"/>
  <c r="AM211" i="1" s="1"/>
  <c r="S212" i="1"/>
  <c r="U212" i="1"/>
  <c r="AM212" i="1"/>
  <c r="S213" i="1"/>
  <c r="U213" i="1"/>
  <c r="AM213" i="1" s="1"/>
  <c r="S214" i="1"/>
  <c r="U214" i="1"/>
  <c r="AM214" i="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AU222" i="1" s="1"/>
  <c r="S223" i="1"/>
  <c r="U223" i="1"/>
  <c r="AM223" i="1" s="1"/>
  <c r="S224" i="1"/>
  <c r="U224" i="1"/>
  <c r="AM224" i="1"/>
  <c r="S225" i="1"/>
  <c r="U225" i="1"/>
  <c r="AM225" i="1" s="1"/>
  <c r="S226" i="1"/>
  <c r="U226" i="1"/>
  <c r="AM226" i="1" s="1"/>
  <c r="S227" i="1"/>
  <c r="U227" i="1"/>
  <c r="AM227" i="1"/>
  <c r="S228" i="1"/>
  <c r="U228" i="1"/>
  <c r="AM228" i="1" s="1"/>
  <c r="S229" i="1"/>
  <c r="U229" i="1"/>
  <c r="AM229" i="1"/>
  <c r="S230" i="1"/>
  <c r="U230" i="1"/>
  <c r="AM230" i="1" s="1"/>
  <c r="S231" i="1"/>
  <c r="U231" i="1"/>
  <c r="AM231" i="1" s="1"/>
  <c r="AU231" i="1"/>
  <c r="S232" i="1"/>
  <c r="U232" i="1"/>
  <c r="AM232" i="1"/>
  <c r="AU232" i="1" s="1"/>
  <c r="S233" i="1"/>
  <c r="U233" i="1"/>
  <c r="AM233" i="1" s="1"/>
  <c r="S234" i="1"/>
  <c r="U234" i="1"/>
  <c r="AM234" i="1"/>
  <c r="S235" i="1"/>
  <c r="U235" i="1"/>
  <c r="AM235" i="1" s="1"/>
  <c r="S236" i="1"/>
  <c r="U236" i="1"/>
  <c r="AM236" i="1" s="1"/>
  <c r="AU236" i="1"/>
  <c r="S237" i="1"/>
  <c r="U237" i="1"/>
  <c r="AM237" i="1" s="1"/>
  <c r="S238" i="1"/>
  <c r="U238" i="1"/>
  <c r="AM238" i="1" s="1"/>
  <c r="AV238" i="1"/>
  <c r="S239" i="1"/>
  <c r="U239" i="1"/>
  <c r="AM239" i="1" s="1"/>
  <c r="S240" i="1"/>
  <c r="U240" i="1"/>
  <c r="AM240" i="1" s="1"/>
  <c r="S241" i="1"/>
  <c r="U241" i="1"/>
  <c r="AM241" i="1" s="1"/>
  <c r="AV241" i="1" s="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AU261" i="1"/>
  <c r="S262" i="1"/>
  <c r="U262" i="1"/>
  <c r="AM262" i="1" s="1"/>
  <c r="S263" i="1"/>
  <c r="U263" i="1"/>
  <c r="AM263" i="1" s="1"/>
  <c r="S264" i="1"/>
  <c r="U264" i="1"/>
  <c r="AM264" i="1" s="1"/>
  <c r="S265" i="1"/>
  <c r="U265" i="1"/>
  <c r="AM265" i="1" s="1"/>
  <c r="AU265" i="1"/>
  <c r="S266" i="1"/>
  <c r="U266" i="1"/>
  <c r="AM266" i="1" s="1"/>
  <c r="S267" i="1"/>
  <c r="U267" i="1"/>
  <c r="AM267" i="1" s="1"/>
  <c r="S268" i="1"/>
  <c r="U268" i="1"/>
  <c r="AM268" i="1" s="1"/>
  <c r="S269" i="1"/>
  <c r="U269" i="1"/>
  <c r="AM269" i="1"/>
  <c r="S270" i="1"/>
  <c r="U270" i="1"/>
  <c r="AM270" i="1" s="1"/>
  <c r="AU270" i="1"/>
  <c r="S271" i="1"/>
  <c r="U271" i="1"/>
  <c r="AM271" i="1" s="1"/>
  <c r="S272" i="1"/>
  <c r="U272" i="1"/>
  <c r="AM272" i="1" s="1"/>
  <c r="S273" i="1"/>
  <c r="U273" i="1"/>
  <c r="AM273" i="1" s="1"/>
  <c r="S274" i="1"/>
  <c r="U274" i="1"/>
  <c r="AM274" i="1" s="1"/>
  <c r="S275" i="1"/>
  <c r="U275" i="1"/>
  <c r="AM275" i="1" s="1"/>
  <c r="S276" i="1"/>
  <c r="U276" i="1"/>
  <c r="AM276" i="1" s="1"/>
  <c r="AV276" i="1" s="1"/>
  <c r="S277" i="1"/>
  <c r="U277" i="1"/>
  <c r="AM277" i="1" s="1"/>
  <c r="S278" i="1"/>
  <c r="U278" i="1"/>
  <c r="AM278" i="1"/>
  <c r="S279" i="1"/>
  <c r="U279" i="1"/>
  <c r="AM279" i="1" s="1"/>
  <c r="S280" i="1"/>
  <c r="U280" i="1"/>
  <c r="AM280" i="1" s="1"/>
  <c r="S281" i="1"/>
  <c r="U281" i="1"/>
  <c r="AM281" i="1" s="1"/>
  <c r="S282" i="1"/>
  <c r="U282" i="1"/>
  <c r="AM282" i="1" s="1"/>
  <c r="S283" i="1"/>
  <c r="U283" i="1"/>
  <c r="AM283" i="1"/>
  <c r="S284" i="1"/>
  <c r="U284" i="1"/>
  <c r="AM284" i="1"/>
  <c r="S285" i="1"/>
  <c r="U285" i="1"/>
  <c r="AM285" i="1" s="1"/>
  <c r="AV285" i="1" s="1"/>
  <c r="S286" i="1"/>
  <c r="U286" i="1"/>
  <c r="AM286" i="1" s="1"/>
  <c r="AV286" i="1" s="1"/>
  <c r="S287" i="1"/>
  <c r="U287" i="1"/>
  <c r="AM287" i="1" s="1"/>
  <c r="S288" i="1"/>
  <c r="U288" i="1"/>
  <c r="AM288" i="1" s="1"/>
  <c r="S289" i="1"/>
  <c r="U289" i="1"/>
  <c r="AM289" i="1" s="1"/>
  <c r="S290" i="1"/>
  <c r="U290" i="1"/>
  <c r="AM290" i="1" s="1"/>
  <c r="AV290" i="1"/>
  <c r="S291" i="1"/>
  <c r="U291" i="1"/>
  <c r="AM291" i="1" s="1"/>
  <c r="AU291" i="1"/>
  <c r="S292" i="1"/>
  <c r="U292" i="1"/>
  <c r="AM292" i="1" s="1"/>
  <c r="S293" i="1"/>
  <c r="U293" i="1"/>
  <c r="AM293" i="1" s="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s="1"/>
  <c r="AV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c r="S315" i="1"/>
  <c r="U315" i="1"/>
  <c r="AM315" i="1" s="1"/>
  <c r="S316" i="1"/>
  <c r="U316" i="1"/>
  <c r="AM316" i="1" s="1"/>
  <c r="S317" i="1"/>
  <c r="U317" i="1"/>
  <c r="AM317" i="1" s="1"/>
  <c r="S318" i="1"/>
  <c r="U318" i="1"/>
  <c r="AM318" i="1" s="1"/>
  <c r="S319" i="1"/>
  <c r="U319" i="1"/>
  <c r="AM319" i="1" s="1"/>
  <c r="S320" i="1"/>
  <c r="U320" i="1"/>
  <c r="AM320" i="1" s="1"/>
  <c r="AV320" i="1"/>
  <c r="S321" i="1"/>
  <c r="U321" i="1"/>
  <c r="AM321" i="1" s="1"/>
  <c r="AV321" i="1" s="1"/>
  <c r="S322" i="1"/>
  <c r="U322" i="1"/>
  <c r="AM322" i="1" s="1"/>
  <c r="S323" i="1"/>
  <c r="U323" i="1"/>
  <c r="AM323" i="1" s="1"/>
  <c r="S324" i="1"/>
  <c r="U324" i="1"/>
  <c r="AM324" i="1" s="1"/>
  <c r="S325" i="1"/>
  <c r="U325" i="1"/>
  <c r="AM325" i="1" s="1"/>
  <c r="AV325" i="1"/>
  <c r="S326" i="1"/>
  <c r="U326" i="1"/>
  <c r="AM326" i="1" s="1"/>
  <c r="AV326" i="1" s="1"/>
  <c r="S327" i="1"/>
  <c r="U327" i="1"/>
  <c r="AM327" i="1" s="1"/>
  <c r="S328" i="1"/>
  <c r="U328" i="1"/>
  <c r="AM328" i="1"/>
  <c r="S329" i="1"/>
  <c r="U329" i="1"/>
  <c r="AM329" i="1" s="1"/>
  <c r="S330" i="1"/>
  <c r="U330" i="1"/>
  <c r="AM330" i="1" s="1"/>
  <c r="S331" i="1"/>
  <c r="U331" i="1"/>
  <c r="AM331" i="1" s="1"/>
  <c r="AV331" i="1"/>
  <c r="S332" i="1"/>
  <c r="U332" i="1"/>
  <c r="AM332" i="1" s="1"/>
  <c r="S333" i="1"/>
  <c r="U333" i="1"/>
  <c r="AM333" i="1" s="1"/>
  <c r="S334" i="1"/>
  <c r="U334" i="1"/>
  <c r="AM334" i="1"/>
  <c r="S335" i="1"/>
  <c r="U335" i="1"/>
  <c r="AM335" i="1"/>
  <c r="S336" i="1"/>
  <c r="U336" i="1"/>
  <c r="AM336" i="1" s="1"/>
  <c r="S337" i="1"/>
  <c r="U337" i="1"/>
  <c r="AM337" i="1" s="1"/>
  <c r="AU337" i="1" s="1"/>
  <c r="S338" i="1"/>
  <c r="U338" i="1"/>
  <c r="AM338" i="1" s="1"/>
  <c r="S339" i="1"/>
  <c r="U339" i="1"/>
  <c r="AM339" i="1"/>
  <c r="S340" i="1"/>
  <c r="U340" i="1"/>
  <c r="AM340" i="1" s="1"/>
  <c r="S341" i="1"/>
  <c r="U341" i="1"/>
  <c r="AM341" i="1" s="1"/>
  <c r="AU341" i="1"/>
  <c r="S342" i="1"/>
  <c r="U342" i="1"/>
  <c r="AM342" i="1" s="1"/>
  <c r="S343" i="1"/>
  <c r="U343" i="1"/>
  <c r="AM343" i="1" s="1"/>
  <c r="S344" i="1"/>
  <c r="U344" i="1"/>
  <c r="AM344" i="1" s="1"/>
  <c r="S345" i="1"/>
  <c r="U345" i="1"/>
  <c r="AM345" i="1" s="1"/>
  <c r="S346" i="1"/>
  <c r="U346" i="1"/>
  <c r="AM346" i="1" s="1"/>
  <c r="AU346" i="1"/>
  <c r="S347" i="1"/>
  <c r="U347" i="1"/>
  <c r="AM347" i="1" s="1"/>
  <c r="S348" i="1"/>
  <c r="U348" i="1"/>
  <c r="AM348" i="1"/>
  <c r="S349" i="1"/>
  <c r="U349" i="1"/>
  <c r="AM349" i="1" s="1"/>
  <c r="S350" i="1"/>
  <c r="U350" i="1"/>
  <c r="AM350" i="1" s="1"/>
  <c r="S351" i="1"/>
  <c r="U351" i="1"/>
  <c r="AM351" i="1" s="1"/>
  <c r="S352" i="1"/>
  <c r="U352" i="1"/>
  <c r="AM352" i="1" s="1"/>
  <c r="AV352" i="1" s="1"/>
  <c r="S353" i="1"/>
  <c r="U353" i="1"/>
  <c r="AM353" i="1" s="1"/>
  <c r="S354" i="1"/>
  <c r="U354" i="1"/>
  <c r="AM354" i="1" s="1"/>
  <c r="S355" i="1"/>
  <c r="U355" i="1"/>
  <c r="AM355" i="1" s="1"/>
  <c r="S356" i="1"/>
  <c r="U356" i="1"/>
  <c r="AM356" i="1" s="1"/>
  <c r="AV356" i="1" s="1"/>
  <c r="S357" i="1"/>
  <c r="U357" i="1"/>
  <c r="AM357" i="1" s="1"/>
  <c r="AU357" i="1" s="1"/>
  <c r="S358" i="1"/>
  <c r="U358" i="1"/>
  <c r="AM358" i="1" s="1"/>
  <c r="S359" i="1"/>
  <c r="U359" i="1"/>
  <c r="AM359" i="1"/>
  <c r="S360" i="1"/>
  <c r="U360" i="1"/>
  <c r="AM360" i="1" s="1"/>
  <c r="S361" i="1"/>
  <c r="U361" i="1"/>
  <c r="AM361" i="1" s="1"/>
  <c r="S362" i="1"/>
  <c r="U362" i="1"/>
  <c r="AM362" i="1" s="1"/>
  <c r="S363" i="1"/>
  <c r="U363" i="1"/>
  <c r="AM363" i="1"/>
  <c r="S364" i="1"/>
  <c r="U364" i="1"/>
  <c r="AM364" i="1"/>
  <c r="AV364" i="1" s="1"/>
  <c r="S365" i="1"/>
  <c r="U365" i="1"/>
  <c r="AM365" i="1" s="1"/>
  <c r="AU365" i="1" s="1"/>
  <c r="S366" i="1"/>
  <c r="U366" i="1"/>
  <c r="AM366" i="1" s="1"/>
  <c r="S367" i="1"/>
  <c r="U367" i="1"/>
  <c r="AM367" i="1"/>
  <c r="S368" i="1"/>
  <c r="U368" i="1"/>
  <c r="AM368" i="1" s="1"/>
  <c r="S369" i="1"/>
  <c r="U369" i="1"/>
  <c r="AM369" i="1"/>
  <c r="S370" i="1"/>
  <c r="U370" i="1"/>
  <c r="AM370" i="1" s="1"/>
  <c r="AV370" i="1" s="1"/>
  <c r="S371" i="1"/>
  <c r="U371" i="1"/>
  <c r="AM371" i="1" s="1"/>
  <c r="S372" i="1"/>
  <c r="U372" i="1"/>
  <c r="AM372" i="1"/>
  <c r="S373" i="1"/>
  <c r="U373" i="1"/>
  <c r="AM373" i="1" s="1"/>
  <c r="AU373" i="1" s="1"/>
  <c r="S374" i="1"/>
  <c r="U374" i="1"/>
  <c r="AM374" i="1" s="1"/>
  <c r="AV374" i="1" s="1"/>
  <c r="S375" i="1"/>
  <c r="U375" i="1"/>
  <c r="AM375" i="1" s="1"/>
  <c r="AU375" i="1" s="1"/>
  <c r="S376" i="1"/>
  <c r="U376" i="1"/>
  <c r="AM376" i="1" s="1"/>
  <c r="S377" i="1"/>
  <c r="U377" i="1"/>
  <c r="AM377" i="1"/>
  <c r="AU377" i="1" s="1"/>
  <c r="S378" i="1"/>
  <c r="U378" i="1"/>
  <c r="AM378" i="1"/>
  <c r="AU378" i="1"/>
  <c r="S379" i="1"/>
  <c r="U379" i="1"/>
  <c r="AM379" i="1"/>
  <c r="AV379" i="1" s="1"/>
  <c r="S380" i="1"/>
  <c r="U380" i="1"/>
  <c r="AM380" i="1"/>
  <c r="S381" i="1"/>
  <c r="U381" i="1"/>
  <c r="AM381" i="1" s="1"/>
  <c r="AV381" i="1"/>
  <c r="S382" i="1"/>
  <c r="U382" i="1"/>
  <c r="AM382" i="1" s="1"/>
  <c r="S383" i="1"/>
  <c r="U383" i="1"/>
  <c r="AM383" i="1" s="1"/>
  <c r="S384" i="1"/>
  <c r="U384" i="1"/>
  <c r="AM384" i="1"/>
  <c r="S385" i="1"/>
  <c r="U385" i="1"/>
  <c r="AM385" i="1" s="1"/>
  <c r="AU385" i="1"/>
  <c r="S386" i="1"/>
  <c r="U386" i="1"/>
  <c r="AM386" i="1" s="1"/>
  <c r="S387" i="1"/>
  <c r="U387" i="1"/>
  <c r="AM387" i="1" s="1"/>
  <c r="S388" i="1"/>
  <c r="U388" i="1"/>
  <c r="AM388" i="1" s="1"/>
  <c r="S389" i="1"/>
  <c r="U389" i="1"/>
  <c r="AM389" i="1"/>
  <c r="AV389" i="1" s="1"/>
  <c r="S390" i="1"/>
  <c r="U390" i="1"/>
  <c r="AM390" i="1" s="1"/>
  <c r="S391" i="1"/>
  <c r="U391" i="1"/>
  <c r="AM391" i="1" s="1"/>
  <c r="S392" i="1"/>
  <c r="U392" i="1"/>
  <c r="AM392" i="1"/>
  <c r="AW392" i="1" s="1"/>
  <c r="S393" i="1"/>
  <c r="U393" i="1"/>
  <c r="AM393" i="1" s="1"/>
  <c r="S394" i="1"/>
  <c r="U394" i="1"/>
  <c r="AM394" i="1" s="1"/>
  <c r="S395" i="1"/>
  <c r="U395" i="1"/>
  <c r="AM395" i="1" s="1"/>
  <c r="S396" i="1"/>
  <c r="U396" i="1"/>
  <c r="AM396" i="1" s="1"/>
  <c r="S397" i="1"/>
  <c r="U397" i="1"/>
  <c r="AM397" i="1" s="1"/>
  <c r="S398" i="1"/>
  <c r="U398" i="1"/>
  <c r="AM398" i="1" s="1"/>
  <c r="AU398" i="1" s="1"/>
  <c r="S399" i="1"/>
  <c r="U399" i="1"/>
  <c r="AM399" i="1"/>
  <c r="AV399" i="1" s="1"/>
  <c r="S400" i="1"/>
  <c r="U400" i="1"/>
  <c r="AM400" i="1" s="1"/>
  <c r="S401" i="1"/>
  <c r="U401" i="1"/>
  <c r="AM401" i="1" s="1"/>
  <c r="AV401" i="1"/>
  <c r="S402" i="1"/>
  <c r="U402" i="1"/>
  <c r="AM402" i="1"/>
  <c r="S403" i="1"/>
  <c r="U403" i="1"/>
  <c r="AM403" i="1" s="1"/>
  <c r="S404" i="1"/>
  <c r="U404" i="1"/>
  <c r="AM404" i="1"/>
  <c r="AV404" i="1" s="1"/>
  <c r="S405" i="1"/>
  <c r="U405" i="1"/>
  <c r="AM405" i="1" s="1"/>
  <c r="S406" i="1"/>
  <c r="U406" i="1"/>
  <c r="AM406" i="1" s="1"/>
  <c r="S407" i="1"/>
  <c r="U407" i="1"/>
  <c r="AM407" i="1" s="1"/>
  <c r="S408" i="1"/>
  <c r="U408" i="1"/>
  <c r="AM408" i="1" s="1"/>
  <c r="AU408" i="1"/>
  <c r="S409" i="1"/>
  <c r="U409" i="1"/>
  <c r="AM409" i="1" s="1"/>
  <c r="S410" i="1"/>
  <c r="U410" i="1"/>
  <c r="AM410" i="1" s="1"/>
  <c r="AW410" i="1"/>
  <c r="S411" i="1"/>
  <c r="U411" i="1"/>
  <c r="AM411" i="1" s="1"/>
  <c r="AV411" i="1"/>
  <c r="S412" i="1"/>
  <c r="U412" i="1"/>
  <c r="AM412" i="1" s="1"/>
  <c r="S413" i="1"/>
  <c r="U413" i="1"/>
  <c r="AM413" i="1" s="1"/>
  <c r="S414" i="1"/>
  <c r="U414" i="1"/>
  <c r="AM414" i="1" s="1"/>
  <c r="AU414" i="1"/>
  <c r="S415" i="1"/>
  <c r="U415" i="1"/>
  <c r="AM415" i="1"/>
  <c r="S416" i="1"/>
  <c r="U416" i="1"/>
  <c r="AM416" i="1" s="1"/>
  <c r="S417" i="1"/>
  <c r="U417" i="1"/>
  <c r="AM417" i="1" s="1"/>
  <c r="S418" i="1"/>
  <c r="U418" i="1"/>
  <c r="AM418" i="1" s="1"/>
  <c r="AU418" i="1"/>
  <c r="S419" i="1"/>
  <c r="U419" i="1"/>
  <c r="AM419" i="1" s="1"/>
  <c r="S420" i="1"/>
  <c r="U420" i="1"/>
  <c r="AM420" i="1" s="1"/>
  <c r="AV420" i="1"/>
  <c r="S421" i="1"/>
  <c r="U421" i="1"/>
  <c r="AM421" i="1" s="1"/>
  <c r="S422" i="1"/>
  <c r="U422" i="1"/>
  <c r="AM422" i="1" s="1"/>
  <c r="S423" i="1"/>
  <c r="U423" i="1"/>
  <c r="AM423" i="1"/>
  <c r="AU423" i="1" s="1"/>
  <c r="S424" i="1"/>
  <c r="U424" i="1"/>
  <c r="AM424" i="1" s="1"/>
  <c r="S425" i="1"/>
  <c r="U425" i="1"/>
  <c r="AM425" i="1" s="1"/>
  <c r="AV425" i="1" s="1"/>
  <c r="S426" i="1"/>
  <c r="U426" i="1"/>
  <c r="AM426" i="1" s="1"/>
  <c r="S427" i="1"/>
  <c r="U427" i="1"/>
  <c r="AM427" i="1" s="1"/>
  <c r="S428" i="1"/>
  <c r="U428" i="1"/>
  <c r="AM428" i="1"/>
  <c r="AW428" i="1" s="1"/>
  <c r="S429" i="1"/>
  <c r="U429" i="1"/>
  <c r="AM429" i="1" s="1"/>
  <c r="S430" i="1"/>
  <c r="U430" i="1"/>
  <c r="AM430" i="1" s="1"/>
  <c r="S431" i="1"/>
  <c r="U431" i="1"/>
  <c r="AM431" i="1" s="1"/>
  <c r="S432" i="1"/>
  <c r="U432" i="1"/>
  <c r="AM432" i="1" s="1"/>
  <c r="S433" i="1"/>
  <c r="U433" i="1"/>
  <c r="AM433" i="1"/>
  <c r="S434" i="1"/>
  <c r="U434" i="1"/>
  <c r="AM434" i="1"/>
  <c r="S435" i="1"/>
  <c r="U435" i="1"/>
  <c r="AM435" i="1" s="1"/>
  <c r="S436" i="1"/>
  <c r="U436" i="1"/>
  <c r="AM436" i="1" s="1"/>
  <c r="S437" i="1"/>
  <c r="U437" i="1"/>
  <c r="AM437" i="1" s="1"/>
  <c r="AU437" i="1" s="1"/>
  <c r="S438" i="1"/>
  <c r="U438" i="1"/>
  <c r="AM438" i="1"/>
  <c r="AU438" i="1"/>
  <c r="S439" i="1"/>
  <c r="U439" i="1"/>
  <c r="AM439" i="1"/>
  <c r="S440" i="1"/>
  <c r="U440" i="1"/>
  <c r="AM440" i="1" s="1"/>
  <c r="S441" i="1"/>
  <c r="U441" i="1"/>
  <c r="AM441" i="1" s="1"/>
  <c r="S442" i="1"/>
  <c r="U442" i="1"/>
  <c r="AM442" i="1" s="1"/>
  <c r="S443" i="1"/>
  <c r="U443" i="1"/>
  <c r="AM443" i="1" s="1"/>
  <c r="AV443" i="1" s="1"/>
  <c r="S444" i="1"/>
  <c r="U444" i="1"/>
  <c r="AM444" i="1" s="1"/>
  <c r="S445" i="1"/>
  <c r="U445" i="1"/>
  <c r="AM445" i="1" s="1"/>
  <c r="S446" i="1"/>
  <c r="U446" i="1"/>
  <c r="AM446" i="1" s="1"/>
  <c r="S447" i="1"/>
  <c r="U447" i="1"/>
  <c r="AM447" i="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AU456" i="1"/>
  <c r="S457" i="1"/>
  <c r="U457" i="1"/>
  <c r="AM457" i="1" s="1"/>
  <c r="S458" i="1"/>
  <c r="U458" i="1"/>
  <c r="AM458" i="1" s="1"/>
  <c r="S459" i="1"/>
  <c r="U459" i="1"/>
  <c r="AM459" i="1" s="1"/>
  <c r="S460" i="1"/>
  <c r="U460" i="1"/>
  <c r="AM460" i="1" s="1"/>
  <c r="AU460" i="1"/>
  <c r="S461" i="1"/>
  <c r="U461" i="1"/>
  <c r="AM461" i="1" s="1"/>
  <c r="S462" i="1"/>
  <c r="U462" i="1"/>
  <c r="AM462" i="1" s="1"/>
  <c r="AU462" i="1"/>
  <c r="S463" i="1"/>
  <c r="U463" i="1"/>
  <c r="AM463" i="1"/>
  <c r="AV463" i="1" s="1"/>
  <c r="S464" i="1"/>
  <c r="U464" i="1"/>
  <c r="AM464" i="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s="1"/>
  <c r="AV473" i="1" s="1"/>
  <c r="S474" i="1"/>
  <c r="U474" i="1"/>
  <c r="AM474" i="1" s="1"/>
  <c r="S475" i="1"/>
  <c r="U475" i="1"/>
  <c r="AM475" i="1" s="1"/>
  <c r="S476" i="1"/>
  <c r="U476" i="1"/>
  <c r="AM476" i="1" s="1"/>
  <c r="S477" i="1"/>
  <c r="U477" i="1"/>
  <c r="AM477" i="1" s="1"/>
  <c r="S478" i="1"/>
  <c r="U478" i="1"/>
  <c r="AM478" i="1" s="1"/>
  <c r="AV478" i="1" s="1"/>
  <c r="S479" i="1"/>
  <c r="U479" i="1"/>
  <c r="AM479" i="1"/>
  <c r="S480" i="1"/>
  <c r="U480" i="1"/>
  <c r="AM480" i="1" s="1"/>
  <c r="S481" i="1"/>
  <c r="U481" i="1"/>
  <c r="AM481" i="1" s="1"/>
  <c r="S482" i="1"/>
  <c r="U482" i="1"/>
  <c r="AM482" i="1" s="1"/>
  <c r="AV482" i="1" s="1"/>
  <c r="S483" i="1"/>
  <c r="U483" i="1"/>
  <c r="AM483" i="1" s="1"/>
  <c r="AV483" i="1" s="1"/>
  <c r="S484" i="1"/>
  <c r="U484" i="1"/>
  <c r="AM484" i="1" s="1"/>
  <c r="S485" i="1"/>
  <c r="U485" i="1"/>
  <c r="AM485" i="1" s="1"/>
  <c r="AU485" i="1"/>
  <c r="S486" i="1"/>
  <c r="U486" i="1"/>
  <c r="AM486" i="1" s="1"/>
  <c r="S487" i="1"/>
  <c r="U487" i="1"/>
  <c r="AM487" i="1" s="1"/>
  <c r="S488" i="1"/>
  <c r="U488" i="1"/>
  <c r="AM488" i="1"/>
  <c r="AV488" i="1" s="1"/>
  <c r="S489" i="1"/>
  <c r="U489" i="1"/>
  <c r="AM489" i="1" s="1"/>
  <c r="S490" i="1"/>
  <c r="U490" i="1"/>
  <c r="AM490" i="1" s="1"/>
  <c r="S491" i="1"/>
  <c r="U491" i="1"/>
  <c r="AM491" i="1" s="1"/>
  <c r="S492" i="1"/>
  <c r="U492" i="1"/>
  <c r="AM492" i="1" s="1"/>
  <c r="S493" i="1"/>
  <c r="U493" i="1"/>
  <c r="AM493" i="1" s="1"/>
  <c r="S494" i="1"/>
  <c r="U494" i="1"/>
  <c r="AM494" i="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c r="S504" i="1"/>
  <c r="U504" i="1"/>
  <c r="AM504" i="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s="1"/>
  <c r="AV512" i="1" s="1"/>
  <c r="S513" i="1"/>
  <c r="U513" i="1"/>
  <c r="AM513" i="1"/>
  <c r="AV513" i="1" s="1"/>
  <c r="S514" i="1"/>
  <c r="U514" i="1"/>
  <c r="AM514" i="1"/>
  <c r="S515" i="1"/>
  <c r="U515" i="1"/>
  <c r="AM515" i="1" s="1"/>
  <c r="S516" i="1"/>
  <c r="U516" i="1"/>
  <c r="AM516" i="1" s="1"/>
  <c r="S517" i="1"/>
  <c r="U517" i="1"/>
  <c r="AM517" i="1" s="1"/>
  <c r="AU517" i="1"/>
  <c r="S518" i="1"/>
  <c r="U518" i="1"/>
  <c r="AM518" i="1" s="1"/>
  <c r="S519" i="1"/>
  <c r="U519" i="1"/>
  <c r="AM519" i="1" s="1"/>
  <c r="S520" i="1"/>
  <c r="U520" i="1"/>
  <c r="AM520" i="1" s="1"/>
  <c r="S521" i="1"/>
  <c r="U521" i="1"/>
  <c r="AM521" i="1" s="1"/>
  <c r="S522" i="1"/>
  <c r="U522" i="1"/>
  <c r="AM522" i="1" s="1"/>
  <c r="S523" i="1"/>
  <c r="U523" i="1"/>
  <c r="AM523" i="1" s="1"/>
  <c r="AV523" i="1" s="1"/>
  <c r="S524" i="1"/>
  <c r="U524" i="1"/>
  <c r="AM524" i="1" s="1"/>
  <c r="S525" i="1"/>
  <c r="U525" i="1"/>
  <c r="AM525" i="1" s="1"/>
  <c r="AV525" i="1"/>
  <c r="S526" i="1"/>
  <c r="U526" i="1"/>
  <c r="AM526" i="1" s="1"/>
  <c r="S527" i="1"/>
  <c r="U527" i="1"/>
  <c r="AM527" i="1" s="1"/>
  <c r="S528" i="1"/>
  <c r="U528" i="1"/>
  <c r="AM528" i="1" s="1"/>
  <c r="S529" i="1"/>
  <c r="U529" i="1"/>
  <c r="AM529" i="1" s="1"/>
  <c r="S530" i="1"/>
  <c r="U530" i="1"/>
  <c r="AM530" i="1" s="1"/>
  <c r="AW530" i="1" s="1"/>
  <c r="AV530" i="1"/>
  <c r="S531" i="1"/>
  <c r="U531" i="1"/>
  <c r="AM531" i="1" s="1"/>
  <c r="AV531" i="1"/>
  <c r="S532" i="1"/>
  <c r="U532" i="1"/>
  <c r="AM532" i="1" s="1"/>
  <c r="S533" i="1"/>
  <c r="U533" i="1"/>
  <c r="AM533" i="1"/>
  <c r="AV533" i="1" s="1"/>
  <c r="S534" i="1"/>
  <c r="U534" i="1"/>
  <c r="AM534" i="1"/>
  <c r="S535" i="1"/>
  <c r="U535" i="1"/>
  <c r="AM535" i="1" s="1"/>
  <c r="S536" i="1"/>
  <c r="U536" i="1"/>
  <c r="AM536" i="1" s="1"/>
  <c r="S537" i="1"/>
  <c r="U537" i="1"/>
  <c r="AM537" i="1" s="1"/>
  <c r="S538" i="1"/>
  <c r="U538" i="1"/>
  <c r="AM538" i="1" s="1"/>
  <c r="AV538" i="1" s="1"/>
  <c r="S539" i="1"/>
  <c r="U539" i="1"/>
  <c r="AM539" i="1"/>
  <c r="S540" i="1"/>
  <c r="U540" i="1"/>
  <c r="AM540" i="1" s="1"/>
  <c r="AW540" i="1" s="1"/>
  <c r="AV540" i="1"/>
  <c r="S541" i="1"/>
  <c r="U541" i="1"/>
  <c r="AM541" i="1" s="1"/>
  <c r="S542" i="1"/>
  <c r="U542" i="1"/>
  <c r="AM542" i="1" s="1"/>
  <c r="AU542" i="1"/>
  <c r="S543" i="1"/>
  <c r="U543" i="1"/>
  <c r="AM543" i="1" s="1"/>
  <c r="S544" i="1"/>
  <c r="U544" i="1"/>
  <c r="AM544" i="1"/>
  <c r="S545" i="1"/>
  <c r="U545" i="1"/>
  <c r="AM545" i="1" s="1"/>
  <c r="S546" i="1"/>
  <c r="U546" i="1"/>
  <c r="AM546" i="1" s="1"/>
  <c r="S547" i="1"/>
  <c r="U547" i="1"/>
  <c r="AM547" i="1" s="1"/>
  <c r="S548" i="1"/>
  <c r="U548" i="1"/>
  <c r="AM548" i="1" s="1"/>
  <c r="S549" i="1"/>
  <c r="U549" i="1"/>
  <c r="AM549" i="1" s="1"/>
  <c r="S550" i="1"/>
  <c r="U550" i="1"/>
  <c r="AM550" i="1" s="1"/>
  <c r="AV550" i="1"/>
  <c r="S551" i="1"/>
  <c r="U551" i="1"/>
  <c r="AM551" i="1" s="1"/>
  <c r="S552" i="1"/>
  <c r="U552" i="1"/>
  <c r="AM552" i="1" s="1"/>
  <c r="AU552" i="1"/>
  <c r="S553" i="1"/>
  <c r="U553" i="1"/>
  <c r="AM553" i="1"/>
  <c r="S554" i="1"/>
  <c r="U554" i="1"/>
  <c r="AM554" i="1" s="1"/>
  <c r="S555" i="1"/>
  <c r="U555" i="1"/>
  <c r="AM555" i="1" s="1"/>
  <c r="AV555" i="1"/>
  <c r="S556" i="1"/>
  <c r="U556" i="1"/>
  <c r="AM556" i="1" s="1"/>
  <c r="S557" i="1"/>
  <c r="U557" i="1"/>
  <c r="AM557" i="1" s="1"/>
  <c r="AV557" i="1" s="1"/>
  <c r="S558" i="1"/>
  <c r="U558" i="1"/>
  <c r="AM558" i="1"/>
  <c r="S559" i="1"/>
  <c r="U559" i="1"/>
  <c r="AM559" i="1" s="1"/>
  <c r="S560" i="1"/>
  <c r="U560" i="1"/>
  <c r="AM560" i="1" s="1"/>
  <c r="AW560" i="1" s="1"/>
  <c r="S561" i="1"/>
  <c r="U561" i="1"/>
  <c r="AM561" i="1" s="1"/>
  <c r="S562" i="1"/>
  <c r="U562" i="1"/>
  <c r="AM562" i="1" s="1"/>
  <c r="AV562" i="1" s="1"/>
  <c r="S563" i="1"/>
  <c r="U563" i="1"/>
  <c r="AM563" i="1" s="1"/>
  <c r="S564" i="1"/>
  <c r="U564" i="1"/>
  <c r="AM564" i="1" s="1"/>
  <c r="S565" i="1"/>
  <c r="U565" i="1"/>
  <c r="AM565" i="1" s="1"/>
  <c r="S566" i="1"/>
  <c r="U566" i="1"/>
  <c r="AM566" i="1" s="1"/>
  <c r="S567" i="1"/>
  <c r="U567" i="1"/>
  <c r="AM567" i="1" s="1"/>
  <c r="AV567" i="1" s="1"/>
  <c r="S568" i="1"/>
  <c r="U568" i="1"/>
  <c r="AM568" i="1"/>
  <c r="AV568" i="1" s="1"/>
  <c r="S569" i="1"/>
  <c r="U569" i="1"/>
  <c r="AM569" i="1" s="1"/>
  <c r="S570" i="1"/>
  <c r="U570" i="1"/>
  <c r="AM570" i="1" s="1"/>
  <c r="S571" i="1"/>
  <c r="U571" i="1"/>
  <c r="AW571" i="1"/>
  <c r="AM571" i="1"/>
  <c r="S572" i="1"/>
  <c r="U572" i="1"/>
  <c r="AM572" i="1" s="1"/>
  <c r="S573" i="1"/>
  <c r="U573" i="1"/>
  <c r="AM573" i="1" s="1"/>
  <c r="S574" i="1"/>
  <c r="U574" i="1"/>
  <c r="AM574" i="1" s="1"/>
  <c r="S575" i="1"/>
  <c r="U575" i="1"/>
  <c r="AM575" i="1" s="1"/>
  <c r="S576" i="1"/>
  <c r="U576" i="1"/>
  <c r="AM576" i="1" s="1"/>
  <c r="AW576" i="1" s="1"/>
  <c r="S577" i="1"/>
  <c r="U577" i="1"/>
  <c r="AM577" i="1" s="1"/>
  <c r="AV577" i="1" s="1"/>
  <c r="S578" i="1"/>
  <c r="U578" i="1"/>
  <c r="AM578" i="1"/>
  <c r="S579" i="1"/>
  <c r="U579" i="1"/>
  <c r="AM579" i="1" s="1"/>
  <c r="S580" i="1"/>
  <c r="U580" i="1"/>
  <c r="AM580" i="1" s="1"/>
  <c r="S581" i="1"/>
  <c r="U581" i="1"/>
  <c r="AM581" i="1" s="1"/>
  <c r="S582" i="1"/>
  <c r="U582" i="1"/>
  <c r="AM582" i="1" s="1"/>
  <c r="S583" i="1"/>
  <c r="U583" i="1"/>
  <c r="AM583" i="1" s="1"/>
  <c r="S584" i="1"/>
  <c r="U584" i="1"/>
  <c r="AM584" i="1" s="1"/>
  <c r="S585" i="1"/>
  <c r="U585" i="1"/>
  <c r="AM585" i="1" s="1"/>
  <c r="S586" i="1"/>
  <c r="U586" i="1"/>
  <c r="AM586" i="1" s="1"/>
  <c r="S587" i="1"/>
  <c r="U587" i="1"/>
  <c r="AM587" i="1" s="1"/>
  <c r="S588" i="1"/>
  <c r="U588" i="1"/>
  <c r="AM588" i="1"/>
  <c r="S589" i="1"/>
  <c r="U589" i="1"/>
  <c r="AM589" i="1" s="1"/>
  <c r="S590" i="1"/>
  <c r="U590" i="1"/>
  <c r="AM590" i="1" s="1"/>
  <c r="AV590" i="1" s="1"/>
  <c r="S591" i="1"/>
  <c r="U591" i="1"/>
  <c r="AM591" i="1" s="1"/>
  <c r="AU591" i="1"/>
  <c r="S592" i="1"/>
  <c r="U592" i="1"/>
  <c r="AM592" i="1" s="1"/>
  <c r="AV592" i="1" s="1"/>
  <c r="S593" i="1"/>
  <c r="U593" i="1"/>
  <c r="AM593" i="1"/>
  <c r="S594" i="1"/>
  <c r="U594" i="1"/>
  <c r="AM594" i="1" s="1"/>
  <c r="S595" i="1"/>
  <c r="U595" i="1"/>
  <c r="AM595" i="1" s="1"/>
  <c r="S596" i="1"/>
  <c r="U596" i="1"/>
  <c r="AM596" i="1"/>
  <c r="S597" i="1"/>
  <c r="U597" i="1"/>
  <c r="AM597" i="1" s="1"/>
  <c r="AV597" i="1" s="1"/>
  <c r="S598" i="1"/>
  <c r="U598" i="1"/>
  <c r="AM598" i="1"/>
  <c r="AU598" i="1" s="1"/>
  <c r="S599" i="1"/>
  <c r="U599" i="1"/>
  <c r="AM599" i="1"/>
  <c r="S600" i="1"/>
  <c r="U600" i="1"/>
  <c r="AM600" i="1" s="1"/>
  <c r="AU600" i="1"/>
  <c r="S601" i="1"/>
  <c r="U601" i="1"/>
  <c r="AM601" i="1" s="1"/>
  <c r="AV601" i="1" s="1"/>
  <c r="S602" i="1"/>
  <c r="U602" i="1"/>
  <c r="AM602" i="1" s="1"/>
  <c r="S603" i="1"/>
  <c r="U603" i="1"/>
  <c r="AM603" i="1" s="1"/>
  <c r="S604" i="1"/>
  <c r="U604" i="1"/>
  <c r="AM604" i="1" s="1"/>
  <c r="AV604" i="1" s="1"/>
  <c r="S605" i="1"/>
  <c r="U605" i="1"/>
  <c r="AM605" i="1" s="1"/>
  <c r="S606" i="1"/>
  <c r="U606" i="1"/>
  <c r="AM606" i="1" s="1"/>
  <c r="AU606" i="1"/>
  <c r="S607" i="1"/>
  <c r="U607" i="1"/>
  <c r="AM607" i="1" s="1"/>
  <c r="AV607" i="1" s="1"/>
  <c r="S608" i="1"/>
  <c r="U608" i="1"/>
  <c r="AM608" i="1" s="1"/>
  <c r="AU608" i="1"/>
  <c r="S609" i="1"/>
  <c r="U609" i="1"/>
  <c r="AM609" i="1" s="1"/>
  <c r="S610" i="1"/>
  <c r="U610" i="1"/>
  <c r="AM610" i="1" s="1"/>
  <c r="S611" i="1"/>
  <c r="U611" i="1"/>
  <c r="AM611" i="1"/>
  <c r="S612" i="1"/>
  <c r="U612" i="1"/>
  <c r="AM612" i="1" s="1"/>
  <c r="S613" i="1"/>
  <c r="U613" i="1"/>
  <c r="AM613" i="1" s="1"/>
  <c r="S614" i="1"/>
  <c r="U614" i="1"/>
  <c r="AM614" i="1"/>
  <c r="AV614" i="1" s="1"/>
  <c r="S615" i="1"/>
  <c r="U615" i="1"/>
  <c r="AM615" i="1" s="1"/>
  <c r="AV615" i="1" s="1"/>
  <c r="S616" i="1"/>
  <c r="U616" i="1"/>
  <c r="AM616" i="1" s="1"/>
  <c r="S617" i="1"/>
  <c r="U617" i="1"/>
  <c r="AM617" i="1" s="1"/>
  <c r="S618" i="1"/>
  <c r="U618" i="1"/>
  <c r="AM618" i="1" s="1"/>
  <c r="S619" i="1"/>
  <c r="U619" i="1"/>
  <c r="AM619" i="1" s="1"/>
  <c r="S620" i="1"/>
  <c r="U620" i="1"/>
  <c r="AM620" i="1" s="1"/>
  <c r="AV620" i="1"/>
  <c r="S621" i="1"/>
  <c r="U621" i="1"/>
  <c r="AM621" i="1" s="1"/>
  <c r="S622" i="1"/>
  <c r="U622" i="1"/>
  <c r="AM622" i="1" s="1"/>
  <c r="S623" i="1"/>
  <c r="U623" i="1"/>
  <c r="AM623" i="1" s="1"/>
  <c r="S624" i="1"/>
  <c r="U624" i="1"/>
  <c r="AM624" i="1"/>
  <c r="AV624" i="1" s="1"/>
  <c r="S625" i="1"/>
  <c r="U625" i="1"/>
  <c r="AM625" i="1"/>
  <c r="S626" i="1"/>
  <c r="U626" i="1"/>
  <c r="AM626" i="1" s="1"/>
  <c r="S627" i="1"/>
  <c r="U627" i="1"/>
  <c r="AM627" i="1" s="1"/>
  <c r="S628" i="1"/>
  <c r="U628" i="1"/>
  <c r="AM628" i="1" s="1"/>
  <c r="S629" i="1"/>
  <c r="U629" i="1"/>
  <c r="AM629" i="1"/>
  <c r="S630" i="1"/>
  <c r="U630" i="1"/>
  <c r="AM630" i="1" s="1"/>
  <c r="S631" i="1"/>
  <c r="U631" i="1"/>
  <c r="AM631" i="1" s="1"/>
  <c r="S632" i="1"/>
  <c r="U632" i="1"/>
  <c r="AM632" i="1" s="1"/>
  <c r="S633" i="1"/>
  <c r="U633" i="1"/>
  <c r="AM633" i="1" s="1"/>
  <c r="S634" i="1"/>
  <c r="U634" i="1"/>
  <c r="AM634" i="1"/>
  <c r="S635" i="1"/>
  <c r="U635" i="1"/>
  <c r="AM635" i="1" s="1"/>
  <c r="S636" i="1"/>
  <c r="U636" i="1"/>
  <c r="AM636" i="1" s="1"/>
  <c r="S637" i="1"/>
  <c r="U637" i="1"/>
  <c r="AM637" i="1" s="1"/>
  <c r="AU637" i="1"/>
  <c r="S638" i="1"/>
  <c r="U638" i="1"/>
  <c r="AM638" i="1" s="1"/>
  <c r="S639" i="1"/>
  <c r="U639" i="1"/>
  <c r="AM639" i="1" s="1"/>
  <c r="S640" i="1"/>
  <c r="U640" i="1"/>
  <c r="AM640" i="1" s="1"/>
  <c r="AU640" i="1"/>
  <c r="S641" i="1"/>
  <c r="U641" i="1"/>
  <c r="AM641" i="1"/>
  <c r="AU641" i="1" s="1"/>
  <c r="S642" i="1"/>
  <c r="U642" i="1"/>
  <c r="AM642" i="1" s="1"/>
  <c r="S643" i="1"/>
  <c r="U643" i="1"/>
  <c r="AM643" i="1"/>
  <c r="S644" i="1"/>
  <c r="U644" i="1"/>
  <c r="AM644" i="1" s="1"/>
  <c r="AV644" i="1" s="1"/>
  <c r="S645" i="1"/>
  <c r="U645" i="1"/>
  <c r="AM645" i="1" s="1"/>
  <c r="S646" i="1"/>
  <c r="U646" i="1"/>
  <c r="AM646" i="1" s="1"/>
  <c r="AV646" i="1"/>
  <c r="S647" i="1"/>
  <c r="U647" i="1"/>
  <c r="AM647" i="1" s="1"/>
  <c r="S648" i="1"/>
  <c r="U648" i="1"/>
  <c r="AM648" i="1" s="1"/>
  <c r="S649" i="1"/>
  <c r="U649" i="1"/>
  <c r="AM649" i="1"/>
  <c r="S650" i="1"/>
  <c r="U650" i="1"/>
  <c r="AM650" i="1" s="1"/>
  <c r="S651" i="1"/>
  <c r="U651" i="1"/>
  <c r="AM651" i="1" s="1"/>
  <c r="S652" i="1"/>
  <c r="U652" i="1"/>
  <c r="AM652" i="1" s="1"/>
  <c r="S653" i="1"/>
  <c r="U653" i="1"/>
  <c r="AM653" i="1" s="1"/>
  <c r="S654" i="1"/>
  <c r="U654" i="1"/>
  <c r="AM654" i="1" s="1"/>
  <c r="AV654" i="1" s="1"/>
  <c r="S655" i="1"/>
  <c r="U655" i="1"/>
  <c r="AM655" i="1" s="1"/>
  <c r="S656" i="1"/>
  <c r="U656" i="1"/>
  <c r="AM656" i="1" s="1"/>
  <c r="AW656" i="1" s="1"/>
  <c r="S657" i="1"/>
  <c r="U657" i="1"/>
  <c r="AM657" i="1" s="1"/>
  <c r="AU657" i="1"/>
  <c r="S658" i="1"/>
  <c r="U658" i="1"/>
  <c r="AM658" i="1" s="1"/>
  <c r="S659" i="1"/>
  <c r="U659" i="1"/>
  <c r="AM659" i="1" s="1"/>
  <c r="S660" i="1"/>
  <c r="U660" i="1"/>
  <c r="AM660" i="1" s="1"/>
  <c r="AU660" i="1"/>
  <c r="S661" i="1"/>
  <c r="U661" i="1"/>
  <c r="AM661" i="1" s="1"/>
  <c r="S662" i="1"/>
  <c r="U662" i="1"/>
  <c r="AM662" i="1" s="1"/>
  <c r="S663" i="1"/>
  <c r="U663" i="1"/>
  <c r="AM663" i="1" s="1"/>
  <c r="S664" i="1"/>
  <c r="U664" i="1"/>
  <c r="AM664" i="1" s="1"/>
  <c r="AV664" i="1" s="1"/>
  <c r="S665" i="1"/>
  <c r="U665" i="1"/>
  <c r="AM665" i="1" s="1"/>
  <c r="S666" i="1"/>
  <c r="U666" i="1"/>
  <c r="AM666" i="1"/>
  <c r="AU666" i="1" s="1"/>
  <c r="AV666" i="1"/>
  <c r="S667" i="1"/>
  <c r="U667" i="1"/>
  <c r="AM667" i="1" s="1"/>
  <c r="S668" i="1"/>
  <c r="U668" i="1"/>
  <c r="AM668" i="1" s="1"/>
  <c r="S669" i="1"/>
  <c r="U669" i="1"/>
  <c r="AM669" i="1"/>
  <c r="AV669" i="1" s="1"/>
  <c r="S670" i="1"/>
  <c r="U670" i="1"/>
  <c r="AM670" i="1" s="1"/>
  <c r="S671" i="1"/>
  <c r="U671" i="1"/>
  <c r="AM671" i="1"/>
  <c r="AU671" i="1" s="1"/>
  <c r="S672" i="1"/>
  <c r="U672" i="1"/>
  <c r="AM672" i="1" s="1"/>
  <c r="S673" i="1"/>
  <c r="U673" i="1"/>
  <c r="AM673" i="1"/>
  <c r="S674" i="1"/>
  <c r="U674" i="1"/>
  <c r="AM674" i="1"/>
  <c r="AV674" i="1" s="1"/>
  <c r="S675" i="1"/>
  <c r="U675" i="1"/>
  <c r="AM675" i="1" s="1"/>
  <c r="S676" i="1"/>
  <c r="U676" i="1"/>
  <c r="AM676" i="1" s="1"/>
  <c r="S677" i="1"/>
  <c r="U677" i="1"/>
  <c r="AM677" i="1" s="1"/>
  <c r="S678" i="1"/>
  <c r="U678" i="1"/>
  <c r="AM678" i="1" s="1"/>
  <c r="S679" i="1"/>
  <c r="U679" i="1"/>
  <c r="AM679" i="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c r="S689" i="1"/>
  <c r="U689" i="1"/>
  <c r="AM689" i="1"/>
  <c r="AV689" i="1" s="1"/>
  <c r="S690" i="1"/>
  <c r="U690" i="1"/>
  <c r="AM690" i="1" s="1"/>
  <c r="S691" i="1"/>
  <c r="U691" i="1"/>
  <c r="AM691" i="1"/>
  <c r="S692" i="1"/>
  <c r="U692" i="1"/>
  <c r="AM692" i="1" s="1"/>
  <c r="S693" i="1"/>
  <c r="U693" i="1"/>
  <c r="AM693" i="1" s="1"/>
  <c r="S694" i="1"/>
  <c r="U694" i="1"/>
  <c r="AM694" i="1" s="1"/>
  <c r="AV694" i="1" s="1"/>
  <c r="S695" i="1"/>
  <c r="U695" i="1"/>
  <c r="AM695" i="1" s="1"/>
  <c r="S696" i="1"/>
  <c r="U696" i="1"/>
  <c r="AM696" i="1" s="1"/>
  <c r="AU696" i="1" s="1"/>
  <c r="S697" i="1"/>
  <c r="U697" i="1"/>
  <c r="AM697" i="1" s="1"/>
  <c r="S698" i="1"/>
  <c r="U698" i="1"/>
  <c r="AM698" i="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s="1"/>
  <c r="S710" i="1"/>
  <c r="U710" i="1"/>
  <c r="AM710" i="1" s="1"/>
  <c r="AU710" i="1"/>
  <c r="S711" i="1"/>
  <c r="U711" i="1"/>
  <c r="AM711" i="1"/>
  <c r="AU711" i="1" s="1"/>
  <c r="S712" i="1"/>
  <c r="U712" i="1"/>
  <c r="AM712" i="1" s="1"/>
  <c r="S713" i="1"/>
  <c r="U713" i="1"/>
  <c r="AM713" i="1" s="1"/>
  <c r="S714" i="1"/>
  <c r="U714" i="1"/>
  <c r="AM714" i="1" s="1"/>
  <c r="S715" i="1"/>
  <c r="U715" i="1"/>
  <c r="AM715" i="1" s="1"/>
  <c r="S716" i="1"/>
  <c r="U716" i="1"/>
  <c r="AM716" i="1" s="1"/>
  <c r="AU716" i="1" s="1"/>
  <c r="S717" i="1"/>
  <c r="U717" i="1"/>
  <c r="AM717" i="1" s="1"/>
  <c r="S718" i="1"/>
  <c r="U718" i="1"/>
  <c r="AM718" i="1"/>
  <c r="S719" i="1"/>
  <c r="U719" i="1"/>
  <c r="AM719" i="1" s="1"/>
  <c r="AV719" i="1" s="1"/>
  <c r="S720" i="1"/>
  <c r="U720" i="1"/>
  <c r="AM720" i="1" s="1"/>
  <c r="S721" i="1"/>
  <c r="U721" i="1"/>
  <c r="AM721" i="1" s="1"/>
  <c r="AV721" i="1"/>
  <c r="S722" i="1"/>
  <c r="U722" i="1"/>
  <c r="AM722" i="1" s="1"/>
  <c r="S723" i="1"/>
  <c r="U723" i="1"/>
  <c r="AM723" i="1" s="1"/>
  <c r="S724" i="1"/>
  <c r="U724" i="1"/>
  <c r="AM724" i="1"/>
  <c r="AV724" i="1" s="1"/>
  <c r="S725" i="1"/>
  <c r="U725" i="1"/>
  <c r="AM725" i="1" s="1"/>
  <c r="S726" i="1"/>
  <c r="U726" i="1"/>
  <c r="AM726" i="1" s="1"/>
  <c r="S727" i="1"/>
  <c r="U727" i="1"/>
  <c r="AM727" i="1" s="1"/>
  <c r="S728" i="1"/>
  <c r="U728" i="1"/>
  <c r="AM728" i="1"/>
  <c r="S729" i="1"/>
  <c r="U729" i="1"/>
  <c r="AM729" i="1" s="1"/>
  <c r="S730" i="1"/>
  <c r="U730" i="1"/>
  <c r="AM730" i="1" s="1"/>
  <c r="S731" i="1"/>
  <c r="U731" i="1"/>
  <c r="AM731" i="1" s="1"/>
  <c r="S732" i="1"/>
  <c r="U732" i="1"/>
  <c r="AM732" i="1" s="1"/>
  <c r="S733" i="1"/>
  <c r="U733" i="1"/>
  <c r="AM733" i="1" s="1"/>
  <c r="S734" i="1"/>
  <c r="U734" i="1"/>
  <c r="AM734" i="1" s="1"/>
  <c r="AV734" i="1" s="1"/>
  <c r="S735" i="1"/>
  <c r="U735" i="1"/>
  <c r="AM735" i="1" s="1"/>
  <c r="S736" i="1"/>
  <c r="U736" i="1"/>
  <c r="AM736" i="1" s="1"/>
  <c r="S737" i="1"/>
  <c r="U737" i="1"/>
  <c r="AM737" i="1" s="1"/>
  <c r="S738" i="1"/>
  <c r="U738" i="1"/>
  <c r="AM738" i="1" s="1"/>
  <c r="S739" i="1"/>
  <c r="U739" i="1"/>
  <c r="AM739" i="1"/>
  <c r="AV739" i="1" s="1"/>
  <c r="S740" i="1"/>
  <c r="U740" i="1"/>
  <c r="AM740" i="1" s="1"/>
  <c r="S741" i="1"/>
  <c r="U741" i="1"/>
  <c r="AM741" i="1" s="1"/>
  <c r="S742" i="1"/>
  <c r="U742" i="1"/>
  <c r="AM742" i="1" s="1"/>
  <c r="S743" i="1"/>
  <c r="U743" i="1"/>
  <c r="AM743" i="1" s="1"/>
  <c r="S744" i="1"/>
  <c r="U744" i="1"/>
  <c r="AM744" i="1" s="1"/>
  <c r="AV744" i="1" s="1"/>
  <c r="S745" i="1"/>
  <c r="U745" i="1"/>
  <c r="AM745" i="1" s="1"/>
  <c r="S746" i="1"/>
  <c r="U746" i="1"/>
  <c r="AM746" i="1"/>
  <c r="AU746" i="1" s="1"/>
  <c r="S747" i="1"/>
  <c r="U747" i="1"/>
  <c r="AM747" i="1" s="1"/>
  <c r="S748" i="1"/>
  <c r="U748" i="1"/>
  <c r="AM748" i="1"/>
  <c r="S749" i="1"/>
  <c r="U749" i="1"/>
  <c r="AM749" i="1"/>
  <c r="AV749" i="1" s="1"/>
  <c r="S750" i="1"/>
  <c r="U750" i="1"/>
  <c r="AM750" i="1" s="1"/>
  <c r="S751" i="1"/>
  <c r="U751" i="1"/>
  <c r="AM751" i="1" s="1"/>
  <c r="AU751" i="1" s="1"/>
  <c r="S752" i="1"/>
  <c r="U752" i="1"/>
  <c r="AM752" i="1" s="1"/>
  <c r="S753" i="1"/>
  <c r="U753" i="1"/>
  <c r="AM753" i="1" s="1"/>
  <c r="S754" i="1"/>
  <c r="U754" i="1"/>
  <c r="AM754" i="1" s="1"/>
  <c r="AU754" i="1"/>
  <c r="S755" i="1"/>
  <c r="U755" i="1"/>
  <c r="AM755" i="1" s="1"/>
  <c r="S756" i="1"/>
  <c r="U756" i="1"/>
  <c r="AM756" i="1"/>
  <c r="AU756" i="1"/>
  <c r="S757" i="1"/>
  <c r="U757" i="1"/>
  <c r="AM757" i="1" s="1"/>
  <c r="S758" i="1"/>
  <c r="U758" i="1"/>
  <c r="AM758" i="1" s="1"/>
  <c r="S759" i="1"/>
  <c r="U759" i="1"/>
  <c r="AM759" i="1" s="1"/>
  <c r="AV759" i="1" s="1"/>
  <c r="S760" i="1"/>
  <c r="U760" i="1"/>
  <c r="AM760" i="1" s="1"/>
  <c r="S761" i="1"/>
  <c r="U761" i="1"/>
  <c r="AM761" i="1" s="1"/>
  <c r="S762" i="1"/>
  <c r="U762" i="1"/>
  <c r="AM762" i="1" s="1"/>
  <c r="S763" i="1"/>
  <c r="U763" i="1"/>
  <c r="AM763" i="1" s="1"/>
  <c r="S764" i="1"/>
  <c r="U764" i="1"/>
  <c r="AM764" i="1" s="1"/>
  <c r="S765" i="1"/>
  <c r="U765" i="1"/>
  <c r="AM765" i="1" s="1"/>
  <c r="AV765" i="1" s="1"/>
  <c r="S766" i="1"/>
  <c r="U766" i="1"/>
  <c r="AM766" i="1"/>
  <c r="AU766" i="1" s="1"/>
  <c r="S767" i="1"/>
  <c r="U767" i="1"/>
  <c r="AM767" i="1" s="1"/>
  <c r="S768" i="1"/>
  <c r="U768" i="1"/>
  <c r="AM768" i="1" s="1"/>
  <c r="S769" i="1"/>
  <c r="U769" i="1"/>
  <c r="AM769" i="1"/>
  <c r="S770" i="1"/>
  <c r="U770" i="1"/>
  <c r="AM770" i="1" s="1"/>
  <c r="AU770" i="1"/>
  <c r="S771" i="1"/>
  <c r="U771" i="1"/>
  <c r="AM771" i="1" s="1"/>
  <c r="AU771" i="1" s="1"/>
  <c r="S772" i="1"/>
  <c r="U772" i="1"/>
  <c r="AM772" i="1" s="1"/>
  <c r="S773" i="1"/>
  <c r="U773" i="1"/>
  <c r="AM773" i="1" s="1"/>
  <c r="S774" i="1"/>
  <c r="U774" i="1"/>
  <c r="AM774" i="1"/>
  <c r="AV774" i="1" s="1"/>
  <c r="S775" i="1"/>
  <c r="U775" i="1"/>
  <c r="AM775" i="1" s="1"/>
  <c r="S776" i="1"/>
  <c r="U776" i="1"/>
  <c r="AM776" i="1"/>
  <c r="AU776" i="1" s="1"/>
  <c r="S777" i="1"/>
  <c r="U777" i="1"/>
  <c r="AM777" i="1" s="1"/>
  <c r="S778" i="1"/>
  <c r="U778" i="1"/>
  <c r="AM778" i="1" s="1"/>
  <c r="S779" i="1"/>
  <c r="U779" i="1"/>
  <c r="AM779" i="1"/>
  <c r="AV779" i="1" s="1"/>
  <c r="S780" i="1"/>
  <c r="U780" i="1"/>
  <c r="AM780" i="1" s="1"/>
  <c r="AU780" i="1"/>
  <c r="S781" i="1"/>
  <c r="U781" i="1"/>
  <c r="AM781" i="1"/>
  <c r="AU781" i="1"/>
  <c r="S782" i="1"/>
  <c r="U782" i="1"/>
  <c r="AM782" i="1" s="1"/>
  <c r="S783" i="1"/>
  <c r="U783" i="1"/>
  <c r="AM783" i="1" s="1"/>
  <c r="S784" i="1"/>
  <c r="U784" i="1"/>
  <c r="AM784" i="1"/>
  <c r="AV784" i="1" s="1"/>
  <c r="S785" i="1"/>
  <c r="U785" i="1"/>
  <c r="AM785" i="1" s="1"/>
  <c r="AV785" i="1" s="1"/>
  <c r="S786" i="1"/>
  <c r="U786" i="1"/>
  <c r="AM786" i="1" s="1"/>
  <c r="AU786" i="1" s="1"/>
  <c r="S787" i="1"/>
  <c r="U787" i="1"/>
  <c r="AM787" i="1" s="1"/>
  <c r="S788" i="1"/>
  <c r="U788" i="1"/>
  <c r="AM788" i="1" s="1"/>
  <c r="S789" i="1"/>
  <c r="U789" i="1"/>
  <c r="AM789" i="1" s="1"/>
  <c r="AV789" i="1" s="1"/>
  <c r="S790" i="1"/>
  <c r="U790" i="1"/>
  <c r="AM790" i="1" s="1"/>
  <c r="AU790" i="1"/>
  <c r="S791" i="1"/>
  <c r="U791" i="1"/>
  <c r="AM791" i="1"/>
  <c r="AU791" i="1" s="1"/>
  <c r="S792" i="1"/>
  <c r="U792" i="1"/>
  <c r="AM792" i="1" s="1"/>
  <c r="S793" i="1"/>
  <c r="U793" i="1"/>
  <c r="AM793" i="1" s="1"/>
  <c r="S794" i="1"/>
  <c r="U794" i="1"/>
  <c r="AM794" i="1" s="1"/>
  <c r="AV794" i="1" s="1"/>
  <c r="S795" i="1"/>
  <c r="U795" i="1"/>
  <c r="AM795" i="1" s="1"/>
  <c r="S796" i="1"/>
  <c r="U796" i="1"/>
  <c r="AM796" i="1" s="1"/>
  <c r="AU796" i="1"/>
  <c r="S797" i="1"/>
  <c r="U797" i="1"/>
  <c r="AM797" i="1" s="1"/>
  <c r="S798" i="1"/>
  <c r="U798" i="1"/>
  <c r="AM798" i="1" s="1"/>
  <c r="S799" i="1"/>
  <c r="U799" i="1"/>
  <c r="AM799" i="1" s="1"/>
  <c r="S800" i="1"/>
  <c r="U800" i="1"/>
  <c r="AM800" i="1" s="1"/>
  <c r="AV800" i="1" s="1"/>
  <c r="S801" i="1"/>
  <c r="U801" i="1"/>
  <c r="AM801" i="1" s="1"/>
  <c r="S802" i="1"/>
  <c r="U802" i="1"/>
  <c r="AM802" i="1"/>
  <c r="S803" i="1"/>
  <c r="U803" i="1"/>
  <c r="AM803" i="1" s="1"/>
  <c r="S804" i="1"/>
  <c r="U804" i="1"/>
  <c r="AM804" i="1" s="1"/>
  <c r="AV804" i="1" s="1"/>
  <c r="S805" i="1"/>
  <c r="U805" i="1"/>
  <c r="AM805" i="1" s="1"/>
  <c r="S806" i="1"/>
  <c r="U806" i="1"/>
  <c r="AM806" i="1"/>
  <c r="S807" i="1"/>
  <c r="U807" i="1"/>
  <c r="AM807" i="1" s="1"/>
  <c r="S808" i="1"/>
  <c r="U808" i="1"/>
  <c r="AM808" i="1" s="1"/>
  <c r="S809" i="1"/>
  <c r="U809" i="1"/>
  <c r="AM809" i="1" s="1"/>
  <c r="S810" i="1"/>
  <c r="U810" i="1"/>
  <c r="AM810" i="1" s="1"/>
  <c r="AV810" i="1" s="1"/>
  <c r="S811" i="1"/>
  <c r="U811" i="1"/>
  <c r="AM811" i="1" s="1"/>
  <c r="S812" i="1"/>
  <c r="U812" i="1"/>
  <c r="AM812" i="1" s="1"/>
  <c r="S813" i="1"/>
  <c r="U813" i="1"/>
  <c r="AM813" i="1" s="1"/>
  <c r="AU813" i="1"/>
  <c r="S814" i="1"/>
  <c r="U814" i="1"/>
  <c r="AM814" i="1" s="1"/>
  <c r="S815" i="1"/>
  <c r="U815" i="1"/>
  <c r="AM815" i="1" s="1"/>
  <c r="S816" i="1"/>
  <c r="U816" i="1"/>
  <c r="AM816" i="1" s="1"/>
  <c r="AU816" i="1" s="1"/>
  <c r="S817" i="1"/>
  <c r="U817" i="1"/>
  <c r="AM817" i="1" s="1"/>
  <c r="S818" i="1"/>
  <c r="U818" i="1"/>
  <c r="AM818" i="1" s="1"/>
  <c r="S819" i="1"/>
  <c r="U819" i="1"/>
  <c r="AM819" i="1" s="1"/>
  <c r="S820" i="1"/>
  <c r="U820" i="1"/>
  <c r="AM820" i="1" s="1"/>
  <c r="S821" i="1"/>
  <c r="U821" i="1"/>
  <c r="AM821" i="1" s="1"/>
  <c r="AU821" i="1"/>
  <c r="AV821" i="1"/>
  <c r="S822" i="1"/>
  <c r="U822" i="1"/>
  <c r="AM822" i="1" s="1"/>
  <c r="S823" i="1"/>
  <c r="U823" i="1"/>
  <c r="AM823" i="1" s="1"/>
  <c r="AU823" i="1"/>
  <c r="S824" i="1"/>
  <c r="U824" i="1"/>
  <c r="AM824" i="1" s="1"/>
  <c r="AV824" i="1" s="1"/>
  <c r="S825" i="1"/>
  <c r="U825" i="1"/>
  <c r="AM825" i="1" s="1"/>
  <c r="S826" i="1"/>
  <c r="U826" i="1"/>
  <c r="AM826" i="1"/>
  <c r="AU826" i="1" s="1"/>
  <c r="S827" i="1"/>
  <c r="U827" i="1"/>
  <c r="AM827" i="1" s="1"/>
  <c r="S828" i="1"/>
  <c r="U828" i="1"/>
  <c r="AM828" i="1" s="1"/>
  <c r="S829" i="1"/>
  <c r="U829" i="1"/>
  <c r="AM829" i="1" s="1"/>
  <c r="S830" i="1"/>
  <c r="U830" i="1"/>
  <c r="AM830" i="1" s="1"/>
  <c r="S831" i="1"/>
  <c r="U831" i="1"/>
  <c r="AM831" i="1" s="1"/>
  <c r="AV831" i="1"/>
  <c r="S832" i="1"/>
  <c r="U832" i="1"/>
  <c r="AM832" i="1" s="1"/>
  <c r="S833" i="1"/>
  <c r="U833" i="1"/>
  <c r="AM833" i="1" s="1"/>
  <c r="S834" i="1"/>
  <c r="U834" i="1"/>
  <c r="AM834" i="1" s="1"/>
  <c r="S835" i="1"/>
  <c r="U835" i="1"/>
  <c r="AM835" i="1" s="1"/>
  <c r="S836" i="1"/>
  <c r="U836" i="1"/>
  <c r="AM836" i="1" s="1"/>
  <c r="AV836" i="1" s="1"/>
  <c r="S837" i="1"/>
  <c r="U837" i="1"/>
  <c r="AM837" i="1" s="1"/>
  <c r="S838" i="1"/>
  <c r="U838" i="1"/>
  <c r="AM838" i="1" s="1"/>
  <c r="S839" i="1"/>
  <c r="U839" i="1"/>
  <c r="AM839" i="1" s="1"/>
  <c r="S840" i="1"/>
  <c r="U840" i="1"/>
  <c r="AM840" i="1" s="1"/>
  <c r="AV840" i="1"/>
  <c r="S841" i="1"/>
  <c r="U841" i="1"/>
  <c r="AM841" i="1" s="1"/>
  <c r="S842" i="1"/>
  <c r="U842" i="1"/>
  <c r="AM842" i="1" s="1"/>
  <c r="S843" i="1"/>
  <c r="U843" i="1"/>
  <c r="AM843" i="1" s="1"/>
  <c r="S844" i="1"/>
  <c r="U844" i="1"/>
  <c r="AM844" i="1" s="1"/>
  <c r="S845" i="1"/>
  <c r="U845" i="1"/>
  <c r="AM845" i="1" s="1"/>
  <c r="AV845" i="1"/>
  <c r="S846" i="1"/>
  <c r="U846" i="1"/>
  <c r="AM846" i="1"/>
  <c r="S847" i="1"/>
  <c r="U847" i="1"/>
  <c r="AM847" i="1" s="1"/>
  <c r="S848" i="1"/>
  <c r="U848" i="1"/>
  <c r="AM848" i="1" s="1"/>
  <c r="S849" i="1"/>
  <c r="U849" i="1"/>
  <c r="AM849" i="1" s="1"/>
  <c r="S850" i="1"/>
  <c r="U850" i="1"/>
  <c r="AM850" i="1" s="1"/>
  <c r="AV850" i="1"/>
  <c r="S851" i="1"/>
  <c r="U851" i="1"/>
  <c r="AM851" i="1" s="1"/>
  <c r="S852" i="1"/>
  <c r="U852" i="1"/>
  <c r="AM852" i="1" s="1"/>
  <c r="S853" i="1"/>
  <c r="U853" i="1"/>
  <c r="AM853" i="1" s="1"/>
  <c r="S854" i="1"/>
  <c r="U854" i="1"/>
  <c r="AM854" i="1" s="1"/>
  <c r="S855" i="1"/>
  <c r="U855" i="1"/>
  <c r="AM855" i="1" s="1"/>
  <c r="S856" i="1"/>
  <c r="U856" i="1"/>
  <c r="AM856" i="1"/>
  <c r="AV856" i="1"/>
  <c r="S857" i="1"/>
  <c r="U857" i="1"/>
  <c r="AM857" i="1" s="1"/>
  <c r="S858" i="1"/>
  <c r="U858" i="1"/>
  <c r="AM858" i="1" s="1"/>
  <c r="S859" i="1"/>
  <c r="U859" i="1"/>
  <c r="AM859" i="1" s="1"/>
  <c r="AV859" i="1" s="1"/>
  <c r="S860" i="1"/>
  <c r="U860" i="1"/>
  <c r="AM860" i="1" s="1"/>
  <c r="S861" i="1"/>
  <c r="U861" i="1"/>
  <c r="AM861" i="1"/>
  <c r="AV861" i="1"/>
  <c r="S862" i="1"/>
  <c r="U862" i="1"/>
  <c r="AM862" i="1" s="1"/>
  <c r="S863" i="1"/>
  <c r="U863" i="1"/>
  <c r="AM863" i="1"/>
  <c r="S864" i="1"/>
  <c r="U864" i="1"/>
  <c r="AM864" i="1" s="1"/>
  <c r="AV864" i="1" s="1"/>
  <c r="S865" i="1"/>
  <c r="U865" i="1"/>
  <c r="AM865" i="1" s="1"/>
  <c r="AU865" i="1"/>
  <c r="AV865" i="1"/>
  <c r="S866" i="1"/>
  <c r="U866" i="1"/>
  <c r="AM866" i="1"/>
  <c r="AV866" i="1"/>
  <c r="S867" i="1"/>
  <c r="U867" i="1"/>
  <c r="AM867" i="1" s="1"/>
  <c r="S868" i="1"/>
  <c r="U868" i="1"/>
  <c r="AM868" i="1" s="1"/>
  <c r="S869" i="1"/>
  <c r="U869" i="1"/>
  <c r="AM869" i="1" s="1"/>
  <c r="S870" i="1"/>
  <c r="U870" i="1"/>
  <c r="AM870" i="1" s="1"/>
  <c r="AU870" i="1"/>
  <c r="S871" i="1"/>
  <c r="U871" i="1"/>
  <c r="AM871" i="1"/>
  <c r="AV871" i="1"/>
  <c r="S872" i="1"/>
  <c r="U872" i="1"/>
  <c r="AM872" i="1" s="1"/>
  <c r="S873" i="1"/>
  <c r="U873" i="1"/>
  <c r="AM873" i="1" s="1"/>
  <c r="S874" i="1"/>
  <c r="U874" i="1"/>
  <c r="AM874" i="1" s="1"/>
  <c r="S875" i="1"/>
  <c r="U875" i="1"/>
  <c r="AM875" i="1" s="1"/>
  <c r="AV875" i="1" s="1"/>
  <c r="S876" i="1"/>
  <c r="U876" i="1"/>
  <c r="AM876" i="1"/>
  <c r="AU876" i="1" s="1"/>
  <c r="S877" i="1"/>
  <c r="U877" i="1"/>
  <c r="AM877" i="1" s="1"/>
  <c r="S878" i="1"/>
  <c r="U878" i="1"/>
  <c r="AM878" i="1" s="1"/>
  <c r="S879" i="1"/>
  <c r="U879" i="1"/>
  <c r="AM879" i="1" s="1"/>
  <c r="S880" i="1"/>
  <c r="U880" i="1"/>
  <c r="AM880" i="1" s="1"/>
  <c r="AV880" i="1"/>
  <c r="S881" i="1"/>
  <c r="U881" i="1"/>
  <c r="AM881" i="1" s="1"/>
  <c r="S882" i="1"/>
  <c r="U882" i="1"/>
  <c r="AM882" i="1" s="1"/>
  <c r="S883" i="1"/>
  <c r="U883" i="1"/>
  <c r="AM883" i="1"/>
  <c r="S884" i="1"/>
  <c r="U884" i="1"/>
  <c r="AM884" i="1" s="1"/>
  <c r="AV884" i="1" s="1"/>
  <c r="S885" i="1"/>
  <c r="U885" i="1"/>
  <c r="AM885" i="1" s="1"/>
  <c r="AU885" i="1"/>
  <c r="S886" i="1"/>
  <c r="U886" i="1"/>
  <c r="AM886" i="1" s="1"/>
  <c r="AU886" i="1"/>
  <c r="S887" i="1"/>
  <c r="U887" i="1"/>
  <c r="AM887" i="1"/>
  <c r="S888" i="1"/>
  <c r="U888" i="1"/>
  <c r="AM888" i="1"/>
  <c r="S889" i="1"/>
  <c r="U889" i="1"/>
  <c r="AM889" i="1" s="1"/>
  <c r="S890" i="1"/>
  <c r="U890" i="1"/>
  <c r="AM890" i="1" s="1"/>
  <c r="AV890" i="1"/>
  <c r="S891" i="1"/>
  <c r="U891" i="1"/>
  <c r="AM891" i="1" s="1"/>
  <c r="S892" i="1"/>
  <c r="U892" i="1"/>
  <c r="AM892" i="1" s="1"/>
  <c r="S893" i="1"/>
  <c r="U893" i="1"/>
  <c r="AM893" i="1" s="1"/>
  <c r="AV893" i="1"/>
  <c r="S894" i="1"/>
  <c r="U894" i="1"/>
  <c r="AM894" i="1" s="1"/>
  <c r="S895" i="1"/>
  <c r="U895" i="1"/>
  <c r="AM895" i="1" s="1"/>
  <c r="AV895" i="1"/>
  <c r="S896" i="1"/>
  <c r="U896" i="1"/>
  <c r="AM896" i="1" s="1"/>
  <c r="S897" i="1"/>
  <c r="U897" i="1"/>
  <c r="AM897" i="1" s="1"/>
  <c r="AV897" i="1" s="1"/>
  <c r="S898" i="1"/>
  <c r="U898" i="1"/>
  <c r="AM898" i="1" s="1"/>
  <c r="AV898" i="1" s="1"/>
  <c r="S899" i="1"/>
  <c r="U899" i="1"/>
  <c r="AM899" i="1"/>
  <c r="S900" i="1"/>
  <c r="U900" i="1"/>
  <c r="AM900" i="1" s="1"/>
  <c r="S901" i="1"/>
  <c r="U901" i="1"/>
  <c r="AM901" i="1" s="1"/>
  <c r="S902" i="1"/>
  <c r="U902" i="1"/>
  <c r="AM902" i="1" s="1"/>
  <c r="AV902" i="1"/>
  <c r="S903" i="1"/>
  <c r="U903" i="1"/>
  <c r="AM903" i="1" s="1"/>
  <c r="S904" i="1"/>
  <c r="U904" i="1"/>
  <c r="AM904" i="1" s="1"/>
  <c r="AV904" i="1" s="1"/>
  <c r="S905" i="1"/>
  <c r="U905" i="1"/>
  <c r="AM905" i="1" s="1"/>
  <c r="AV905" i="1"/>
  <c r="S906" i="1"/>
  <c r="U906" i="1"/>
  <c r="AM906" i="1" s="1"/>
  <c r="AU906" i="1" s="1"/>
  <c r="S907" i="1"/>
  <c r="U907" i="1"/>
  <c r="AM907" i="1" s="1"/>
  <c r="AV907" i="1"/>
  <c r="S908" i="1"/>
  <c r="U908" i="1"/>
  <c r="AM908" i="1" s="1"/>
  <c r="AV908" i="1" s="1"/>
  <c r="S909" i="1"/>
  <c r="U909" i="1"/>
  <c r="AM909" i="1" s="1"/>
  <c r="S910" i="1"/>
  <c r="U910" i="1"/>
  <c r="AM910" i="1"/>
  <c r="S911" i="1"/>
  <c r="U911" i="1"/>
  <c r="AW911" i="1"/>
  <c r="AM911" i="1"/>
  <c r="AV911" i="1"/>
  <c r="S912" i="1"/>
  <c r="U912" i="1"/>
  <c r="AM912" i="1" s="1"/>
  <c r="S913" i="1"/>
  <c r="U913" i="1"/>
  <c r="AM913" i="1" s="1"/>
  <c r="S914" i="1"/>
  <c r="U914" i="1"/>
  <c r="AM914" i="1"/>
  <c r="S915" i="1"/>
  <c r="U915" i="1"/>
  <c r="AU915" i="1"/>
  <c r="AM915" i="1"/>
  <c r="AW915" i="1"/>
  <c r="S916" i="1"/>
  <c r="U916" i="1"/>
  <c r="AM916" i="1" s="1"/>
  <c r="S917" i="1"/>
  <c r="U917" i="1"/>
  <c r="AM917" i="1" s="1"/>
  <c r="AV917" i="1"/>
  <c r="S918" i="1"/>
  <c r="U918" i="1"/>
  <c r="AM918" i="1" s="1"/>
  <c r="S919" i="1"/>
  <c r="U919" i="1"/>
  <c r="AM919" i="1" s="1"/>
  <c r="S920" i="1"/>
  <c r="U920" i="1"/>
  <c r="AM920" i="1" s="1"/>
  <c r="S921" i="1"/>
  <c r="U921" i="1"/>
  <c r="AM921" i="1" s="1"/>
  <c r="S922" i="1"/>
  <c r="U922" i="1"/>
  <c r="AM922" i="1"/>
  <c r="S923" i="1"/>
  <c r="U923" i="1"/>
  <c r="AM923" i="1" s="1"/>
  <c r="S924" i="1"/>
  <c r="U924" i="1"/>
  <c r="AM924" i="1" s="1"/>
  <c r="S925" i="1"/>
  <c r="U925" i="1"/>
  <c r="AM925" i="1" s="1"/>
  <c r="AW925" i="1" s="1"/>
  <c r="S926" i="1"/>
  <c r="U926" i="1"/>
  <c r="AM926" i="1"/>
  <c r="S927" i="1"/>
  <c r="U927" i="1"/>
  <c r="AM927" i="1" s="1"/>
  <c r="S928" i="1"/>
  <c r="U928" i="1"/>
  <c r="AM928" i="1"/>
  <c r="S929" i="1"/>
  <c r="U929" i="1"/>
  <c r="AM929" i="1" s="1"/>
  <c r="S930" i="1"/>
  <c r="U930" i="1"/>
  <c r="AM930" i="1" s="1"/>
  <c r="S931" i="1"/>
  <c r="U931" i="1"/>
  <c r="AM931" i="1"/>
  <c r="AW931" i="1"/>
  <c r="AU931" i="1"/>
  <c r="AV931" i="1"/>
  <c r="S932" i="1"/>
  <c r="U932" i="1"/>
  <c r="AM932" i="1" s="1"/>
  <c r="S933" i="1"/>
  <c r="U933" i="1"/>
  <c r="AM933" i="1" s="1"/>
  <c r="S934" i="1"/>
  <c r="U934" i="1"/>
  <c r="AM934" i="1" s="1"/>
  <c r="S935" i="1"/>
  <c r="U935" i="1"/>
  <c r="AM935" i="1" s="1"/>
  <c r="AU935" i="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c r="S949" i="1"/>
  <c r="U949" i="1"/>
  <c r="AM949" i="1" s="1"/>
  <c r="AU949" i="1" s="1"/>
  <c r="S950" i="1"/>
  <c r="U950" i="1"/>
  <c r="AM950" i="1" s="1"/>
  <c r="S951" i="1"/>
  <c r="U951" i="1"/>
  <c r="AM951" i="1" s="1"/>
  <c r="S952" i="1"/>
  <c r="U952" i="1"/>
  <c r="AM952" i="1" s="1"/>
  <c r="S953" i="1"/>
  <c r="U953" i="1"/>
  <c r="AM953" i="1"/>
  <c r="AU953" i="1" s="1"/>
  <c r="S954" i="1"/>
  <c r="U954" i="1"/>
  <c r="AM954" i="1"/>
  <c r="AU954" i="1" s="1"/>
  <c r="S955" i="1"/>
  <c r="U955" i="1"/>
  <c r="AM955" i="1" s="1"/>
  <c r="S956" i="1"/>
  <c r="U956" i="1"/>
  <c r="AM956" i="1" s="1"/>
  <c r="S957" i="1"/>
  <c r="U957" i="1"/>
  <c r="AM957" i="1" s="1"/>
  <c r="S958" i="1"/>
  <c r="U958" i="1"/>
  <c r="AM958" i="1"/>
  <c r="AU958" i="1" s="1"/>
  <c r="S959" i="1"/>
  <c r="U959" i="1"/>
  <c r="AM959" i="1"/>
  <c r="S960" i="1"/>
  <c r="U960" i="1"/>
  <c r="AM960" i="1" s="1"/>
  <c r="S961" i="1"/>
  <c r="U961" i="1"/>
  <c r="AM961" i="1" s="1"/>
  <c r="S962" i="1"/>
  <c r="U962" i="1"/>
  <c r="AM962" i="1" s="1"/>
  <c r="S963" i="1"/>
  <c r="U963" i="1"/>
  <c r="AM963" i="1" s="1"/>
  <c r="S964" i="1"/>
  <c r="U964" i="1"/>
  <c r="AM964" i="1"/>
  <c r="S965" i="1"/>
  <c r="U965" i="1"/>
  <c r="AM965" i="1" s="1"/>
  <c r="S966" i="1"/>
  <c r="U966" i="1"/>
  <c r="AM966" i="1" s="1"/>
  <c r="S967" i="1"/>
  <c r="U967" i="1"/>
  <c r="AM967" i="1" s="1"/>
  <c r="S968" i="1"/>
  <c r="U968" i="1"/>
  <c r="AM968" i="1"/>
  <c r="S969" i="1"/>
  <c r="U969" i="1"/>
  <c r="AM969" i="1"/>
  <c r="S970" i="1"/>
  <c r="U970" i="1"/>
  <c r="AM970" i="1" s="1"/>
  <c r="S971" i="1"/>
  <c r="U971" i="1"/>
  <c r="AM971" i="1" s="1"/>
  <c r="S972" i="1"/>
  <c r="U972" i="1"/>
  <c r="AM972" i="1" s="1"/>
  <c r="S973" i="1"/>
  <c r="U973" i="1"/>
  <c r="AM973" i="1"/>
  <c r="S974" i="1"/>
  <c r="U974" i="1"/>
  <c r="AM974" i="1" s="1"/>
  <c r="S975" i="1"/>
  <c r="U975" i="1"/>
  <c r="AM975" i="1" s="1"/>
  <c r="S976" i="1"/>
  <c r="U976" i="1"/>
  <c r="AM976" i="1" s="1"/>
  <c r="S977" i="1"/>
  <c r="U977" i="1"/>
  <c r="AM977" i="1" s="1"/>
  <c r="S978" i="1"/>
  <c r="U978" i="1"/>
  <c r="AM978" i="1" s="1"/>
  <c r="AU978" i="1" s="1"/>
  <c r="S979" i="1"/>
  <c r="U979" i="1"/>
  <c r="AM979" i="1"/>
  <c r="S980" i="1"/>
  <c r="U980" i="1"/>
  <c r="AM980" i="1" s="1"/>
  <c r="AU980" i="1"/>
  <c r="S981" i="1"/>
  <c r="U981" i="1"/>
  <c r="AM981" i="1" s="1"/>
  <c r="S982" i="1"/>
  <c r="U982" i="1"/>
  <c r="AM982" i="1" s="1"/>
  <c r="S983" i="1"/>
  <c r="U983" i="1"/>
  <c r="AM983" i="1"/>
  <c r="AU983" i="1"/>
  <c r="S984" i="1"/>
  <c r="U984" i="1"/>
  <c r="AM984" i="1"/>
  <c r="S985" i="1"/>
  <c r="U985" i="1"/>
  <c r="AM985" i="1" s="1"/>
  <c r="S986" i="1"/>
  <c r="U986" i="1"/>
  <c r="AM986" i="1" s="1"/>
  <c r="S987" i="1"/>
  <c r="U987" i="1"/>
  <c r="AM987" i="1" s="1"/>
  <c r="AW987" i="1"/>
  <c r="S988" i="1"/>
  <c r="U988" i="1"/>
  <c r="AM988" i="1"/>
  <c r="AU988" i="1"/>
  <c r="S989" i="1"/>
  <c r="U989" i="1"/>
  <c r="AM989" i="1" s="1"/>
  <c r="S990" i="1"/>
  <c r="U990" i="1"/>
  <c r="AM990" i="1" s="1"/>
  <c r="AU990" i="1"/>
  <c r="S991" i="1"/>
  <c r="U991" i="1"/>
  <c r="AM991" i="1"/>
  <c r="AV991" i="1"/>
  <c r="S992" i="1"/>
  <c r="U992" i="1"/>
  <c r="AM992" i="1" s="1"/>
  <c r="S993" i="1"/>
  <c r="U993" i="1"/>
  <c r="AM993" i="1"/>
  <c r="AU993" i="1" s="1"/>
  <c r="S994" i="1"/>
  <c r="U994" i="1"/>
  <c r="AM994" i="1"/>
  <c r="S995" i="1"/>
  <c r="U995" i="1"/>
  <c r="AM995" i="1" s="1"/>
  <c r="AU995" i="1"/>
  <c r="S996" i="1"/>
  <c r="U996" i="1"/>
  <c r="AM996" i="1"/>
  <c r="S997" i="1"/>
  <c r="U997" i="1"/>
  <c r="AM997" i="1" s="1"/>
  <c r="AW997" i="1"/>
  <c r="S998" i="1"/>
  <c r="U998" i="1"/>
  <c r="AM998" i="1" s="1"/>
  <c r="S999" i="1"/>
  <c r="U999" i="1"/>
  <c r="AM999" i="1" s="1"/>
  <c r="S1000" i="1"/>
  <c r="U1000" i="1"/>
  <c r="AM1000" i="1" s="1"/>
  <c r="S1001" i="1"/>
  <c r="U1001" i="1"/>
  <c r="AM1001" i="1" s="1"/>
  <c r="AU1001" i="1"/>
  <c r="S1002" i="1"/>
  <c r="U1002" i="1"/>
  <c r="AM1002" i="1" s="1"/>
  <c r="S1003" i="1"/>
  <c r="U1003" i="1"/>
  <c r="AM1003" i="1"/>
  <c r="AU1003" i="1" s="1"/>
  <c r="AU563" i="1" l="1"/>
  <c r="AW563" i="1"/>
  <c r="AV415" i="1"/>
  <c r="AW415" i="1"/>
  <c r="AU368" i="1"/>
  <c r="AV368" i="1"/>
  <c r="AU736" i="1"/>
  <c r="AV736" i="1"/>
  <c r="AU731" i="1"/>
  <c r="AV731" i="1"/>
  <c r="AW212" i="1"/>
  <c r="AU212" i="1"/>
  <c r="AU413" i="1"/>
  <c r="AW413" i="1"/>
  <c r="AV365" i="1"/>
  <c r="AV921" i="1"/>
  <c r="AU921" i="1"/>
  <c r="AV537" i="1"/>
  <c r="AV915" i="1"/>
  <c r="AV835" i="1"/>
  <c r="AU792" i="1"/>
  <c r="AU619" i="1"/>
  <c r="AV572" i="1"/>
  <c r="AV542" i="1"/>
  <c r="AU476" i="1"/>
  <c r="AU435" i="1"/>
  <c r="AV386" i="1"/>
  <c r="AW350" i="1"/>
  <c r="AV296" i="1"/>
  <c r="AV278" i="1"/>
  <c r="AV266" i="1"/>
  <c r="AU201" i="1"/>
  <c r="AV128" i="1"/>
  <c r="AV869" i="1"/>
  <c r="AV684" i="1"/>
  <c r="AW525" i="1"/>
  <c r="AU775" i="1"/>
  <c r="AU512" i="1"/>
  <c r="AU458" i="1"/>
  <c r="AU397" i="1"/>
  <c r="AV376" i="1"/>
  <c r="AV366" i="1"/>
  <c r="AV183" i="1"/>
  <c r="AU89" i="1"/>
  <c r="AV477" i="1"/>
  <c r="AU402" i="1"/>
  <c r="AV834" i="1"/>
  <c r="AV676" i="1"/>
  <c r="AU565" i="1"/>
  <c r="AV361" i="1"/>
  <c r="AV116" i="1"/>
  <c r="AV283" i="1"/>
  <c r="AW83" i="1"/>
  <c r="AV900" i="1"/>
  <c r="AV809" i="1"/>
  <c r="AV699" i="1"/>
  <c r="AU583" i="1"/>
  <c r="AW535" i="1"/>
  <c r="AV517" i="1"/>
  <c r="AV493" i="1"/>
  <c r="AU451" i="1"/>
  <c r="AW390" i="1"/>
  <c r="AW385" i="1"/>
  <c r="AV246" i="1"/>
  <c r="AW159" i="1"/>
  <c r="AV153" i="1"/>
  <c r="AU148" i="1"/>
  <c r="AU143" i="1"/>
  <c r="AU105" i="1"/>
  <c r="AU815" i="1"/>
  <c r="AU733" i="1"/>
  <c r="AU675" i="1"/>
  <c r="AV406" i="1"/>
  <c r="AU944" i="1"/>
  <c r="AV351" i="1"/>
  <c r="AV805" i="1"/>
  <c r="AV851" i="1"/>
  <c r="AV839" i="1"/>
  <c r="AU617" i="1"/>
  <c r="AU570" i="1"/>
  <c r="AU558" i="1"/>
  <c r="AU492" i="1"/>
  <c r="AU480" i="1"/>
  <c r="AV384" i="1"/>
  <c r="AV211" i="1"/>
  <c r="AV585" i="1"/>
  <c r="AV468" i="1"/>
  <c r="AU322" i="1"/>
  <c r="AV704" i="1"/>
  <c r="AU504" i="1"/>
  <c r="AV462" i="1"/>
  <c r="AV300" i="1"/>
  <c r="AW169" i="1"/>
  <c r="AU152" i="1"/>
  <c r="AW142" i="1"/>
  <c r="AV104" i="1"/>
  <c r="AU4" i="1"/>
  <c r="AU811" i="1"/>
  <c r="AU701" i="1"/>
  <c r="AU392" i="1"/>
  <c r="AV910" i="1"/>
  <c r="AV814" i="1"/>
  <c r="AU646" i="1"/>
  <c r="AU611" i="1"/>
  <c r="AV522" i="1"/>
  <c r="AV438" i="1"/>
  <c r="AW620" i="1"/>
  <c r="AV820" i="1"/>
  <c r="AU985" i="1"/>
  <c r="AU940" i="1"/>
  <c r="AU934" i="1"/>
  <c r="AU778" i="1"/>
  <c r="AU709" i="1"/>
  <c r="AW575" i="1"/>
  <c r="AW545" i="1"/>
  <c r="AV528" i="1"/>
  <c r="AU467" i="1"/>
  <c r="AU421" i="1"/>
  <c r="AU353" i="1"/>
  <c r="AV336" i="1"/>
  <c r="AU299" i="1"/>
  <c r="AU186" i="1"/>
  <c r="AV180" i="1"/>
  <c r="AW157" i="1"/>
  <c r="AV141" i="1"/>
  <c r="AW98" i="1"/>
  <c r="AW93" i="1"/>
  <c r="AU81" i="1"/>
  <c r="AU561" i="1"/>
  <c r="AV79" i="1"/>
  <c r="AU998" i="1"/>
  <c r="AW108" i="1"/>
  <c r="AV799" i="1"/>
  <c r="AW930" i="1"/>
  <c r="AU801" i="1"/>
  <c r="AV639" i="1"/>
  <c r="AV587" i="1"/>
  <c r="AV503" i="1"/>
  <c r="AU415" i="1"/>
  <c r="AV305" i="1"/>
  <c r="AV226" i="1"/>
  <c r="AV168" i="1"/>
  <c r="AU125" i="1"/>
  <c r="AV113" i="1"/>
  <c r="AV3" i="1"/>
  <c r="AU372" i="1"/>
  <c r="AV202" i="1"/>
  <c r="AV892" i="1"/>
  <c r="AU831" i="1"/>
  <c r="AV714" i="1"/>
  <c r="AV598" i="1"/>
  <c r="AV527" i="1"/>
  <c r="AU330" i="1"/>
  <c r="AV311" i="1"/>
  <c r="AU237" i="1"/>
  <c r="AU367" i="1"/>
  <c r="AV914" i="1"/>
  <c r="AW962" i="1"/>
  <c r="AU939" i="1"/>
  <c r="AV903" i="1"/>
  <c r="AU806" i="1"/>
  <c r="AU667" i="1"/>
  <c r="AU650" i="1"/>
  <c r="AV603" i="1"/>
  <c r="AU592" i="1"/>
  <c r="AV520" i="1"/>
  <c r="AU472" i="1"/>
  <c r="AV346" i="1"/>
  <c r="AU249" i="1"/>
  <c r="AV243" i="1"/>
  <c r="AV129" i="1"/>
  <c r="AV62" i="1"/>
  <c r="AU13" i="1"/>
  <c r="AW555" i="1"/>
  <c r="AU929" i="1"/>
  <c r="AW967" i="1"/>
  <c r="AU950" i="1"/>
  <c r="AV771" i="1"/>
  <c r="AV602" i="1"/>
  <c r="AV532" i="1"/>
  <c r="AV502" i="1"/>
  <c r="AU495" i="1"/>
  <c r="AU425" i="1"/>
  <c r="AV958" i="1"/>
  <c r="AU761" i="1"/>
  <c r="AV761" i="1"/>
  <c r="AU963" i="1"/>
  <c r="AV963" i="1"/>
  <c r="AW918" i="1"/>
  <c r="AV918" i="1"/>
  <c r="AV766" i="1"/>
  <c r="AU973" i="1"/>
  <c r="AV973" i="1"/>
  <c r="AU968" i="1"/>
  <c r="AV968" i="1"/>
  <c r="AU938" i="1"/>
  <c r="AV938" i="1"/>
  <c r="AU741" i="1"/>
  <c r="AV741" i="1"/>
  <c r="AV746" i="1"/>
  <c r="AU896" i="1"/>
  <c r="AV896" i="1"/>
  <c r="AW896" i="1"/>
  <c r="AU943" i="1"/>
  <c r="AV943" i="1"/>
  <c r="AV926" i="1"/>
  <c r="AW926" i="1"/>
  <c r="AU926" i="1"/>
  <c r="AV901" i="1"/>
  <c r="AU901" i="1"/>
  <c r="AV751" i="1"/>
  <c r="AV953" i="1"/>
  <c r="AV846" i="1"/>
  <c r="AU948" i="1"/>
  <c r="AV948" i="1"/>
  <c r="AU920" i="1"/>
  <c r="AV925" i="1"/>
  <c r="AW920" i="1"/>
  <c r="AV920" i="1"/>
  <c r="AV1001" i="1"/>
  <c r="AU643" i="1"/>
  <c r="AV966" i="1"/>
  <c r="AU631" i="1"/>
  <c r="AV631" i="1"/>
  <c r="AW631" i="1"/>
  <c r="AW945" i="1"/>
  <c r="AV870" i="1"/>
  <c r="AU797" i="1"/>
  <c r="AU753" i="1"/>
  <c r="AU732" i="1"/>
  <c r="AU699" i="1"/>
  <c r="AU676" i="1"/>
  <c r="AU601" i="1"/>
  <c r="AW601" i="1"/>
  <c r="AU596" i="1"/>
  <c r="AV409" i="1"/>
  <c r="AW409" i="1"/>
  <c r="AV961" i="1"/>
  <c r="AV754" i="1"/>
  <c r="AU447" i="1"/>
  <c r="AV447" i="1"/>
  <c r="AW447" i="1"/>
  <c r="AV888" i="1"/>
  <c r="AV855" i="1"/>
  <c r="AW590" i="1"/>
  <c r="AV458" i="1"/>
  <c r="AV102" i="1"/>
  <c r="AW102" i="1"/>
  <c r="AV187" i="1"/>
  <c r="AV816" i="1"/>
  <c r="AV394" i="1"/>
  <c r="AU930" i="1"/>
  <c r="AV860" i="1"/>
  <c r="AV826" i="1"/>
  <c r="AU814" i="1"/>
  <c r="AV769" i="1"/>
  <c r="AV764" i="1"/>
  <c r="AU721" i="1"/>
  <c r="AV641" i="1"/>
  <c r="AV548" i="1"/>
  <c r="AW548" i="1"/>
  <c r="AU387" i="1"/>
  <c r="AV387" i="1"/>
  <c r="AW387" i="1"/>
  <c r="AU80" i="1"/>
  <c r="AU192" i="1"/>
  <c r="AV986" i="1"/>
  <c r="AW950" i="1"/>
  <c r="AU382" i="1"/>
  <c r="AV382" i="1"/>
  <c r="AW382" i="1"/>
  <c r="AV949" i="1"/>
  <c r="AW901" i="1"/>
  <c r="AV879" i="1"/>
  <c r="AU541" i="1"/>
  <c r="AV541" i="1"/>
  <c r="AV418" i="1"/>
  <c r="AW418" i="1"/>
  <c r="AU202" i="1"/>
  <c r="AW202" i="1"/>
  <c r="AU112" i="1"/>
  <c r="AU578" i="1"/>
  <c r="AV578" i="1"/>
  <c r="AU197" i="1"/>
  <c r="AV954" i="1"/>
  <c r="AV874" i="1"/>
  <c r="AU802" i="1"/>
  <c r="AU726" i="1"/>
  <c r="AV726" i="1"/>
  <c r="AU681" i="1"/>
  <c r="AV681" i="1"/>
  <c r="AV595" i="1"/>
  <c r="AW595" i="1"/>
  <c r="AU553" i="1"/>
  <c r="AV553" i="1"/>
  <c r="AW553" i="1"/>
  <c r="AW541" i="1"/>
  <c r="AV402" i="1"/>
  <c r="AW402" i="1"/>
  <c r="AW372" i="1"/>
  <c r="AV372" i="1"/>
  <c r="AV951" i="1"/>
  <c r="AV508" i="1"/>
  <c r="AV347" i="1"/>
  <c r="AU347" i="1"/>
  <c r="AU991" i="1"/>
  <c r="AU636" i="1"/>
  <c r="AU388" i="1"/>
  <c r="AV939" i="1"/>
  <c r="AV984" i="1"/>
  <c r="AV709" i="1"/>
  <c r="AU362" i="1"/>
  <c r="AU345" i="1"/>
  <c r="AW345" i="1"/>
  <c r="AU342" i="1"/>
  <c r="AV342" i="1"/>
  <c r="AW342" i="1"/>
  <c r="AV976" i="1"/>
  <c r="AU749" i="1"/>
  <c r="AW666" i="1"/>
  <c r="AV711" i="1"/>
  <c r="AV636" i="1"/>
  <c r="AW636" i="1"/>
  <c r="AW940" i="1"/>
  <c r="AV994" i="1"/>
  <c r="AV989" i="1"/>
  <c r="AU933" i="1"/>
  <c r="AW921" i="1"/>
  <c r="AV825" i="1"/>
  <c r="AV819" i="1"/>
  <c r="AU807" i="1"/>
  <c r="AV790" i="1"/>
  <c r="AU407" i="1"/>
  <c r="AU90" i="1"/>
  <c r="AU723" i="1"/>
  <c r="AV971" i="1"/>
  <c r="AV981" i="1"/>
  <c r="AU728" i="1"/>
  <c r="AV671" i="1"/>
  <c r="AV625" i="1"/>
  <c r="AW625" i="1"/>
  <c r="AV716" i="1"/>
  <c r="AU352" i="1"/>
  <c r="AW352" i="1"/>
  <c r="AV974" i="1"/>
  <c r="AV929" i="1"/>
  <c r="AU651" i="1"/>
  <c r="AV651" i="1"/>
  <c r="AW651" i="1"/>
  <c r="AU474" i="1"/>
  <c r="AU428" i="1"/>
  <c r="AV177" i="1"/>
  <c r="AU626" i="1"/>
  <c r="AW881" i="1"/>
  <c r="AU410" i="1"/>
  <c r="AU694" i="1"/>
  <c r="AW935" i="1"/>
  <c r="AV913" i="1"/>
  <c r="AU891" i="1"/>
  <c r="AV756" i="1"/>
  <c r="AU639" i="1"/>
  <c r="AU616" i="1"/>
  <c r="AU546" i="1"/>
  <c r="AV546" i="1"/>
  <c r="AV498" i="1"/>
  <c r="AV217" i="1"/>
  <c r="AU217" i="1"/>
  <c r="AV934" i="1"/>
  <c r="AU691" i="1"/>
  <c r="AV691" i="1"/>
  <c r="AU686" i="1"/>
  <c r="AV686" i="1"/>
  <c r="AV616" i="1"/>
  <c r="AW616" i="1"/>
  <c r="AV611" i="1"/>
  <c r="AW611" i="1"/>
  <c r="AU593" i="1"/>
  <c r="AV593" i="1"/>
  <c r="AW593" i="1"/>
  <c r="AU911" i="1"/>
  <c r="AV979" i="1"/>
  <c r="AV830" i="1"/>
  <c r="AU673" i="1"/>
  <c r="AU656" i="1"/>
  <c r="AV656" i="1"/>
  <c r="AU332" i="1"/>
  <c r="AV332" i="1"/>
  <c r="AW332" i="1"/>
  <c r="AU706" i="1"/>
  <c r="AV706" i="1"/>
  <c r="AU996" i="1"/>
  <c r="AV889" i="1"/>
  <c r="AV885" i="1"/>
  <c r="AV619" i="1"/>
  <c r="AV959" i="1"/>
  <c r="AW886" i="1"/>
  <c r="AV886" i="1"/>
  <c r="AV696" i="1"/>
  <c r="AU661" i="1"/>
  <c r="AV661" i="1"/>
  <c r="AW661" i="1"/>
  <c r="AU621" i="1"/>
  <c r="AV621" i="1"/>
  <c r="AW621" i="1"/>
  <c r="AU433" i="1"/>
  <c r="AU370" i="1"/>
  <c r="AV999" i="1"/>
  <c r="AV969" i="1"/>
  <c r="AV944" i="1"/>
  <c r="AU925" i="1"/>
  <c r="AW957" i="1"/>
  <c r="AW952" i="1"/>
  <c r="AW947" i="1"/>
  <c r="AW942" i="1"/>
  <c r="AW937" i="1"/>
  <c r="AV881" i="1"/>
  <c r="AV829" i="1"/>
  <c r="AV811" i="1"/>
  <c r="AU777" i="1"/>
  <c r="AU718" i="1"/>
  <c r="AV521" i="1"/>
  <c r="AW365" i="1"/>
  <c r="AU348" i="1"/>
  <c r="AU137" i="1"/>
  <c r="AV964" i="1"/>
  <c r="AV899" i="1"/>
  <c r="AV996" i="1"/>
  <c r="AU881" i="1"/>
  <c r="AV841" i="1"/>
  <c r="AV701" i="1"/>
  <c r="AU615" i="1"/>
  <c r="AW615" i="1"/>
  <c r="AU610" i="1"/>
  <c r="AV610" i="1"/>
  <c r="AW610" i="1"/>
  <c r="AU568" i="1"/>
  <c r="AW568" i="1"/>
  <c r="AU395" i="1"/>
  <c r="AW395" i="1"/>
  <c r="AU187" i="1"/>
  <c r="AU21" i="1"/>
  <c r="AV21" i="1"/>
  <c r="AU648" i="1"/>
  <c r="AU531" i="1"/>
  <c r="AU526" i="1"/>
  <c r="AU448" i="1"/>
  <c r="AW438" i="1"/>
  <c r="AU331" i="1"/>
  <c r="AV316" i="1"/>
  <c r="AV310" i="1"/>
  <c r="AV271" i="1"/>
  <c r="AV231" i="1"/>
  <c r="AU161" i="1"/>
  <c r="AW151" i="1"/>
  <c r="AU85" i="1"/>
  <c r="AU16" i="1"/>
  <c r="AU11" i="1"/>
  <c r="AU6" i="1"/>
  <c r="AV634" i="1"/>
  <c r="AU630" i="1"/>
  <c r="AU545" i="1"/>
  <c r="AU505" i="1"/>
  <c r="AU453" i="1"/>
  <c r="AW425" i="1"/>
  <c r="AU304" i="1"/>
  <c r="AU259" i="1"/>
  <c r="AV253" i="1"/>
  <c r="AU241" i="1"/>
  <c r="AV236" i="1"/>
  <c r="AV206" i="1"/>
  <c r="AU156" i="1"/>
  <c r="AU107" i="1"/>
  <c r="AW103" i="1"/>
  <c r="AV89" i="1"/>
  <c r="AU713" i="1"/>
  <c r="AU597" i="1"/>
  <c r="AW578" i="1"/>
  <c r="AU573" i="1"/>
  <c r="AV563" i="1"/>
  <c r="AU540" i="1"/>
  <c r="AU515" i="1"/>
  <c r="AU463" i="1"/>
  <c r="AU434" i="1"/>
  <c r="AV413" i="1"/>
  <c r="AV375" i="1"/>
  <c r="AW368" i="1"/>
  <c r="AV201" i="1"/>
  <c r="AV60" i="1"/>
  <c r="AV55" i="1"/>
  <c r="AV50" i="1"/>
  <c r="AV45" i="1"/>
  <c r="AV40" i="1"/>
  <c r="AV35" i="1"/>
  <c r="AV30" i="1"/>
  <c r="AV25" i="1"/>
  <c r="AU722" i="1"/>
  <c r="AU708" i="1"/>
  <c r="AU684" i="1"/>
  <c r="AV679" i="1"/>
  <c r="AU638" i="1"/>
  <c r="AV629" i="1"/>
  <c r="AU618" i="1"/>
  <c r="AU535" i="1"/>
  <c r="AU530" i="1"/>
  <c r="AU525" i="1"/>
  <c r="AU468" i="1"/>
  <c r="AU443" i="1"/>
  <c r="AU309" i="1"/>
  <c r="AV281" i="1"/>
  <c r="AU264" i="1"/>
  <c r="AV131" i="1"/>
  <c r="AV84" i="1"/>
  <c r="AV20" i="1"/>
  <c r="AV5" i="1"/>
  <c r="AU703" i="1"/>
  <c r="AU473" i="1"/>
  <c r="AU219" i="1"/>
  <c r="AU214" i="1"/>
  <c r="AU150" i="1"/>
  <c r="AV126" i="1"/>
  <c r="AV15" i="1"/>
  <c r="AV10" i="1"/>
  <c r="AV760" i="1"/>
  <c r="AU698" i="1"/>
  <c r="AU674" i="1"/>
  <c r="AW646" i="1"/>
  <c r="AW605" i="1"/>
  <c r="AW596" i="1"/>
  <c r="AV588" i="1"/>
  <c r="AU577" i="1"/>
  <c r="AW520" i="1"/>
  <c r="AU509" i="1"/>
  <c r="AU478" i="1"/>
  <c r="AV457" i="1"/>
  <c r="AW433" i="1"/>
  <c r="AW420" i="1"/>
  <c r="AV385" i="1"/>
  <c r="AV371" i="1"/>
  <c r="AW367" i="1"/>
  <c r="AV291" i="1"/>
  <c r="AU224" i="1"/>
  <c r="AU209" i="1"/>
  <c r="AV121" i="1"/>
  <c r="AV106" i="1"/>
  <c r="AV74" i="1"/>
  <c r="AV69" i="1"/>
  <c r="AV755" i="1"/>
  <c r="AU693" i="1"/>
  <c r="AU633" i="1"/>
  <c r="AV596" i="1"/>
  <c r="AU483" i="1"/>
  <c r="AV433" i="1"/>
  <c r="AV367" i="1"/>
  <c r="AU314" i="1"/>
  <c r="AU269" i="1"/>
  <c r="AU229" i="1"/>
  <c r="AV159" i="1"/>
  <c r="AV97" i="1"/>
  <c r="AV854" i="1"/>
  <c r="AV844" i="1"/>
  <c r="AV775" i="1"/>
  <c r="AV770" i="1"/>
  <c r="AU745" i="1"/>
  <c r="AU702" i="1"/>
  <c r="AU688" i="1"/>
  <c r="AW641" i="1"/>
  <c r="AU625" i="1"/>
  <c r="AV582" i="1"/>
  <c r="AU488" i="1"/>
  <c r="AV467" i="1"/>
  <c r="AW437" i="1"/>
  <c r="AV428" i="1"/>
  <c r="AU416" i="1"/>
  <c r="AV396" i="1"/>
  <c r="AV392" i="1"/>
  <c r="AV388" i="1"/>
  <c r="AV251" i="1"/>
  <c r="AU234" i="1"/>
  <c r="AV218" i="1"/>
  <c r="AV213" i="1"/>
  <c r="AU204" i="1"/>
  <c r="AU164" i="1"/>
  <c r="AU154" i="1"/>
  <c r="AV149" i="1"/>
  <c r="AU140" i="1"/>
  <c r="AU135" i="1"/>
  <c r="AU68" i="1"/>
  <c r="AU14" i="1"/>
  <c r="AV849" i="1"/>
  <c r="AV780" i="1"/>
  <c r="AU683" i="1"/>
  <c r="AU567" i="1"/>
  <c r="AU557" i="1"/>
  <c r="AU548" i="1"/>
  <c r="AU493" i="1"/>
  <c r="AV472" i="1"/>
  <c r="AV437" i="1"/>
  <c r="AU409" i="1"/>
  <c r="AU329" i="1"/>
  <c r="AU274" i="1"/>
  <c r="AU239" i="1"/>
  <c r="AV223" i="1"/>
  <c r="AU169" i="1"/>
  <c r="AV92" i="1"/>
  <c r="AU63" i="1"/>
  <c r="AU678" i="1"/>
  <c r="AV659" i="1"/>
  <c r="AU628" i="1"/>
  <c r="AU587" i="1"/>
  <c r="AU543" i="1"/>
  <c r="AU498" i="1"/>
  <c r="AU482" i="1"/>
  <c r="AU466" i="1"/>
  <c r="AU450" i="1"/>
  <c r="AU441" i="1"/>
  <c r="AU420" i="1"/>
  <c r="AW377" i="1"/>
  <c r="AU360" i="1"/>
  <c r="AU301" i="1"/>
  <c r="AU199" i="1"/>
  <c r="AV87" i="1"/>
  <c r="AV82" i="1"/>
  <c r="AU613" i="1"/>
  <c r="AU576" i="1"/>
  <c r="AU503" i="1"/>
  <c r="AU279" i="1"/>
  <c r="AV256" i="1"/>
  <c r="AU194" i="1"/>
  <c r="AW144" i="1"/>
  <c r="AU139" i="1"/>
  <c r="AV101" i="1"/>
  <c r="AU744" i="1"/>
  <c r="AU668" i="1"/>
  <c r="AU571" i="1"/>
  <c r="AV552" i="1"/>
  <c r="AU508" i="1"/>
  <c r="AV487" i="1"/>
  <c r="AW423" i="1"/>
  <c r="AV295" i="1"/>
  <c r="AU244" i="1"/>
  <c r="AV203" i="1"/>
  <c r="AU189" i="1"/>
  <c r="AW114" i="1"/>
  <c r="AV96" i="1"/>
  <c r="AV795" i="1"/>
  <c r="AU739" i="1"/>
  <c r="AU654" i="1"/>
  <c r="AU627" i="1"/>
  <c r="AV609" i="1"/>
  <c r="AV547" i="1"/>
  <c r="AU513" i="1"/>
  <c r="AV492" i="1"/>
  <c r="AV423" i="1"/>
  <c r="AW411" i="1"/>
  <c r="AV373" i="1"/>
  <c r="AU284" i="1"/>
  <c r="AU227" i="1"/>
  <c r="AV212" i="1"/>
  <c r="AW207" i="1"/>
  <c r="AU184" i="1"/>
  <c r="AV134" i="1"/>
  <c r="AU67" i="1"/>
  <c r="AU42" i="1"/>
  <c r="AU32" i="1"/>
  <c r="AU27" i="1"/>
  <c r="AU789" i="1"/>
  <c r="AU773" i="1"/>
  <c r="AU768" i="1"/>
  <c r="AU758" i="1"/>
  <c r="AU734" i="1"/>
  <c r="AV729" i="1"/>
  <c r="AU715" i="1"/>
  <c r="AU672" i="1"/>
  <c r="AU663" i="1"/>
  <c r="AV649" i="1"/>
  <c r="AV580" i="1"/>
  <c r="AV518" i="1"/>
  <c r="AU502" i="1"/>
  <c r="AV497" i="1"/>
  <c r="AU486" i="1"/>
  <c r="AU470" i="1"/>
  <c r="AU449" i="1"/>
  <c r="AU445" i="1"/>
  <c r="AV306" i="1"/>
  <c r="AU289" i="1"/>
  <c r="AV261" i="1"/>
  <c r="AU207" i="1"/>
  <c r="AW178" i="1"/>
  <c r="AV173" i="1"/>
  <c r="AW162" i="1"/>
  <c r="AV143" i="1"/>
  <c r="AU138" i="1"/>
  <c r="AU113" i="1"/>
  <c r="AU620" i="1"/>
  <c r="AW407" i="1"/>
  <c r="AV815" i="1"/>
  <c r="AU748" i="1"/>
  <c r="AU658" i="1"/>
  <c r="AW626" i="1"/>
  <c r="AW598" i="1"/>
  <c r="AW585" i="1"/>
  <c r="AW570" i="1"/>
  <c r="AW565" i="1"/>
  <c r="AV507" i="1"/>
  <c r="AU459" i="1"/>
  <c r="AU436" i="1"/>
  <c r="AU411" i="1"/>
  <c r="AV407" i="1"/>
  <c r="AV391" i="1"/>
  <c r="AW362" i="1"/>
  <c r="AU311" i="1"/>
  <c r="AU294" i="1"/>
  <c r="AW197" i="1"/>
  <c r="AU183" i="1"/>
  <c r="AU178" i="1"/>
  <c r="AU157" i="1"/>
  <c r="AU100" i="1"/>
  <c r="AU743" i="1"/>
  <c r="AU719" i="1"/>
  <c r="AV626" i="1"/>
  <c r="AU623" i="1"/>
  <c r="AU595" i="1"/>
  <c r="AU585" i="1"/>
  <c r="AU560" i="1"/>
  <c r="AU555" i="1"/>
  <c r="AU527" i="1"/>
  <c r="AU522" i="1"/>
  <c r="AV448" i="1"/>
  <c r="AU431" i="1"/>
  <c r="AV362" i="1"/>
  <c r="AW192" i="1"/>
  <c r="AV112" i="1"/>
  <c r="AU95" i="1"/>
  <c r="AU76" i="1"/>
  <c r="AU71" i="1"/>
  <c r="AV16" i="1"/>
  <c r="AU809" i="1"/>
  <c r="AU804" i="1"/>
  <c r="AU799" i="1"/>
  <c r="AU772" i="1"/>
  <c r="AU738" i="1"/>
  <c r="AU714" i="1"/>
  <c r="AU653" i="1"/>
  <c r="AW546" i="1"/>
  <c r="AU537" i="1"/>
  <c r="AV453" i="1"/>
  <c r="AV341" i="1"/>
  <c r="AU254" i="1"/>
  <c r="AV221" i="1"/>
  <c r="AV216" i="1"/>
  <c r="AU142" i="1"/>
  <c r="AU66" i="1"/>
  <c r="AU61" i="1"/>
  <c r="AU56" i="1"/>
  <c r="AU51" i="1"/>
  <c r="AU46" i="1"/>
  <c r="AU41" i="1"/>
  <c r="AU36" i="1"/>
  <c r="AU31" i="1"/>
  <c r="AU26" i="1"/>
  <c r="AU2" i="1"/>
  <c r="AU1000" i="1"/>
  <c r="AU986" i="1"/>
  <c r="AU919" i="1"/>
  <c r="AV919" i="1"/>
  <c r="AU975" i="1"/>
  <c r="AU970" i="1"/>
  <c r="AU965" i="1"/>
  <c r="AU960" i="1"/>
  <c r="AU955" i="1"/>
  <c r="AU945" i="1"/>
  <c r="AU922" i="1"/>
  <c r="AV909" i="1"/>
  <c r="AV928" i="1"/>
  <c r="AW928" i="1"/>
  <c r="AW1002" i="1"/>
  <c r="AU997" i="1"/>
  <c r="AV997" i="1"/>
  <c r="AW932" i="1"/>
  <c r="AU916" i="1"/>
  <c r="AV916" i="1"/>
  <c r="AU1002" i="1"/>
  <c r="AV1002" i="1"/>
  <c r="AW992" i="1"/>
  <c r="AW977" i="1"/>
  <c r="AW972" i="1"/>
  <c r="AU932" i="1"/>
  <c r="AV932" i="1"/>
  <c r="AU924" i="1"/>
  <c r="AW916" i="1"/>
  <c r="AU992" i="1"/>
  <c r="AV992" i="1"/>
  <c r="AW982" i="1"/>
  <c r="AU977" i="1"/>
  <c r="AV977" i="1"/>
  <c r="AU972" i="1"/>
  <c r="AV972" i="1"/>
  <c r="AU967" i="1"/>
  <c r="AV967" i="1"/>
  <c r="AU962" i="1"/>
  <c r="AV962" i="1"/>
  <c r="AU957" i="1"/>
  <c r="AV957" i="1"/>
  <c r="AU952" i="1"/>
  <c r="AV952" i="1"/>
  <c r="AU947" i="1"/>
  <c r="AV947" i="1"/>
  <c r="AU942" i="1"/>
  <c r="AV942" i="1"/>
  <c r="AU937" i="1"/>
  <c r="AV937" i="1"/>
  <c r="AU982" i="1"/>
  <c r="AV982" i="1"/>
  <c r="AU987" i="1"/>
  <c r="AV987" i="1"/>
  <c r="AU976" i="1"/>
  <c r="AU971" i="1"/>
  <c r="AU966" i="1"/>
  <c r="AU961" i="1"/>
  <c r="AU956" i="1"/>
  <c r="AU951" i="1"/>
  <c r="AU946" i="1"/>
  <c r="AU927" i="1"/>
  <c r="AV927" i="1"/>
  <c r="AW927" i="1"/>
  <c r="AU981" i="1"/>
  <c r="AV956" i="1"/>
  <c r="AW956" i="1"/>
  <c r="AV946" i="1"/>
  <c r="AW946" i="1"/>
  <c r="AU941" i="1"/>
  <c r="AV941" i="1"/>
  <c r="AW941" i="1"/>
  <c r="AU936" i="1"/>
  <c r="AV936" i="1"/>
  <c r="AW936" i="1"/>
  <c r="AV923" i="1"/>
  <c r="AW923" i="1"/>
  <c r="AW919" i="1"/>
  <c r="AU999" i="1"/>
  <c r="AU994" i="1"/>
  <c r="AU989" i="1"/>
  <c r="AU984" i="1"/>
  <c r="AU979" i="1"/>
  <c r="AU974" i="1"/>
  <c r="AU969" i="1"/>
  <c r="AU964" i="1"/>
  <c r="AU959" i="1"/>
  <c r="AU887" i="1"/>
  <c r="AV887" i="1"/>
  <c r="AW887" i="1"/>
  <c r="AU871" i="1"/>
  <c r="AU793" i="1"/>
  <c r="AU747" i="1"/>
  <c r="AV695" i="1"/>
  <c r="AW695" i="1"/>
  <c r="AU690" i="1"/>
  <c r="AV635" i="1"/>
  <c r="AW635" i="1"/>
  <c r="AU912" i="1"/>
  <c r="AW912" i="1"/>
  <c r="AU894" i="1"/>
  <c r="AW894" i="1"/>
  <c r="AU849" i="1"/>
  <c r="AW849" i="1"/>
  <c r="AU844" i="1"/>
  <c r="AW844" i="1"/>
  <c r="AU839" i="1"/>
  <c r="AW839" i="1"/>
  <c r="AU819" i="1"/>
  <c r="AU782" i="1"/>
  <c r="AU742" i="1"/>
  <c r="AU704" i="1"/>
  <c r="AV690" i="1"/>
  <c r="AW690" i="1"/>
  <c r="AU685" i="1"/>
  <c r="AU622" i="1"/>
  <c r="AW1001" i="1"/>
  <c r="AW996" i="1"/>
  <c r="AW991" i="1"/>
  <c r="AW986" i="1"/>
  <c r="AW981" i="1"/>
  <c r="AW976" i="1"/>
  <c r="AW971" i="1"/>
  <c r="AW966" i="1"/>
  <c r="AW961" i="1"/>
  <c r="AW951" i="1"/>
  <c r="AU905" i="1"/>
  <c r="AW905" i="1"/>
  <c r="AU883" i="1"/>
  <c r="AV883" i="1"/>
  <c r="AW883" i="1"/>
  <c r="AU879" i="1"/>
  <c r="AW879" i="1"/>
  <c r="AU875" i="1"/>
  <c r="AU862" i="1"/>
  <c r="AV862" i="1"/>
  <c r="AW862" i="1"/>
  <c r="AU858" i="1"/>
  <c r="AV858" i="1"/>
  <c r="AW858" i="1"/>
  <c r="AU853" i="1"/>
  <c r="AV853" i="1"/>
  <c r="AW853" i="1"/>
  <c r="AU824" i="1"/>
  <c r="AU808" i="1"/>
  <c r="AU803" i="1"/>
  <c r="AU798" i="1"/>
  <c r="AU787" i="1"/>
  <c r="AU737" i="1"/>
  <c r="AV685" i="1"/>
  <c r="AW685" i="1"/>
  <c r="AU680" i="1"/>
  <c r="AU652" i="1"/>
  <c r="AV536" i="1"/>
  <c r="AU866" i="1"/>
  <c r="AW866" i="1"/>
  <c r="AU834" i="1"/>
  <c r="AW834" i="1"/>
  <c r="AU829" i="1"/>
  <c r="AW829" i="1"/>
  <c r="AV680" i="1"/>
  <c r="AW680" i="1"/>
  <c r="AU634" i="1"/>
  <c r="AV630" i="1"/>
  <c r="AW630" i="1"/>
  <c r="AU908" i="1"/>
  <c r="AW908" i="1"/>
  <c r="AU897" i="1"/>
  <c r="AW897" i="1"/>
  <c r="AU890" i="1"/>
  <c r="AW890" i="1"/>
  <c r="AU848" i="1"/>
  <c r="AV848" i="1"/>
  <c r="AW848" i="1"/>
  <c r="AU843" i="1"/>
  <c r="AV843" i="1"/>
  <c r="AW843" i="1"/>
  <c r="AU838" i="1"/>
  <c r="AV838" i="1"/>
  <c r="AW838" i="1"/>
  <c r="AU818" i="1"/>
  <c r="AU727" i="1"/>
  <c r="AU689" i="1"/>
  <c r="AV675" i="1"/>
  <c r="AW675" i="1"/>
  <c r="AU670" i="1"/>
  <c r="AU647" i="1"/>
  <c r="AU882" i="1"/>
  <c r="AV882" i="1"/>
  <c r="AW882" i="1"/>
  <c r="AU857" i="1"/>
  <c r="AV857" i="1"/>
  <c r="AW857" i="1"/>
  <c r="AV670" i="1"/>
  <c r="AW670" i="1"/>
  <c r="AV583" i="1"/>
  <c r="AW1003" i="1"/>
  <c r="AW998" i="1"/>
  <c r="AW993" i="1"/>
  <c r="AW988" i="1"/>
  <c r="AW983" i="1"/>
  <c r="AW978" i="1"/>
  <c r="AW973" i="1"/>
  <c r="AW968" i="1"/>
  <c r="AW963" i="1"/>
  <c r="AW958" i="1"/>
  <c r="AW953" i="1"/>
  <c r="AW948" i="1"/>
  <c r="AW943" i="1"/>
  <c r="AW938" i="1"/>
  <c r="AW933" i="1"/>
  <c r="AU918" i="1"/>
  <c r="AU893" i="1"/>
  <c r="AW893" i="1"/>
  <c r="AU861" i="1"/>
  <c r="AW861" i="1"/>
  <c r="AU833" i="1"/>
  <c r="AV833" i="1"/>
  <c r="AW833" i="1"/>
  <c r="AU828" i="1"/>
  <c r="AU812" i="1"/>
  <c r="AU760" i="1"/>
  <c r="AU717" i="1"/>
  <c r="AU679" i="1"/>
  <c r="AU665" i="1"/>
  <c r="AU642" i="1"/>
  <c r="AU629" i="1"/>
  <c r="AU605" i="1"/>
  <c r="AV1003" i="1"/>
  <c r="AV998" i="1"/>
  <c r="AV993" i="1"/>
  <c r="AV988" i="1"/>
  <c r="AV983" i="1"/>
  <c r="AV978" i="1"/>
  <c r="AV933" i="1"/>
  <c r="AU904" i="1"/>
  <c r="AW904" i="1"/>
  <c r="AU878" i="1"/>
  <c r="AV878" i="1"/>
  <c r="AW878" i="1"/>
  <c r="AU874" i="1"/>
  <c r="AW874" i="1"/>
  <c r="AU852" i="1"/>
  <c r="AV852" i="1"/>
  <c r="AW852" i="1"/>
  <c r="AU847" i="1"/>
  <c r="AV847" i="1"/>
  <c r="AW847" i="1"/>
  <c r="AU842" i="1"/>
  <c r="AV842" i="1"/>
  <c r="AW842" i="1"/>
  <c r="AU817" i="1"/>
  <c r="AU765" i="1"/>
  <c r="AU755" i="1"/>
  <c r="AU712" i="1"/>
  <c r="AV665" i="1"/>
  <c r="AW665" i="1"/>
  <c r="AU614" i="1"/>
  <c r="AU923" i="1"/>
  <c r="AU900" i="1"/>
  <c r="AW900" i="1"/>
  <c r="AU822" i="1"/>
  <c r="AV822" i="1"/>
  <c r="AW822" i="1"/>
  <c r="AU750" i="1"/>
  <c r="AU707" i="1"/>
  <c r="AU669" i="1"/>
  <c r="AU588" i="1"/>
  <c r="AU889" i="1"/>
  <c r="AW889" i="1"/>
  <c r="AU856" i="1"/>
  <c r="AW856" i="1"/>
  <c r="AU837" i="1"/>
  <c r="AV837" i="1"/>
  <c r="AW837" i="1"/>
  <c r="AU832" i="1"/>
  <c r="AV832" i="1"/>
  <c r="AW832" i="1"/>
  <c r="AU827" i="1"/>
  <c r="AV827" i="1"/>
  <c r="AW827" i="1"/>
  <c r="AV750" i="1"/>
  <c r="AW750" i="1"/>
  <c r="AV660" i="1"/>
  <c r="AW660" i="1"/>
  <c r="AW1000" i="1"/>
  <c r="AW995" i="1"/>
  <c r="AW990" i="1"/>
  <c r="AW985" i="1"/>
  <c r="AW980" i="1"/>
  <c r="AW975" i="1"/>
  <c r="AW970" i="1"/>
  <c r="AW965" i="1"/>
  <c r="AW960" i="1"/>
  <c r="AW955" i="1"/>
  <c r="AU928" i="1"/>
  <c r="AU907" i="1"/>
  <c r="AW907" i="1"/>
  <c r="AU877" i="1"/>
  <c r="AV877" i="1"/>
  <c r="AW877" i="1"/>
  <c r="AU785" i="1"/>
  <c r="AU759" i="1"/>
  <c r="AV745" i="1"/>
  <c r="AW745" i="1"/>
  <c r="AU740" i="1"/>
  <c r="AU697" i="1"/>
  <c r="AU664" i="1"/>
  <c r="AU655" i="1"/>
  <c r="AV1000" i="1"/>
  <c r="AV995" i="1"/>
  <c r="AV990" i="1"/>
  <c r="AV985" i="1"/>
  <c r="AV980" i="1"/>
  <c r="AV975" i="1"/>
  <c r="AV970" i="1"/>
  <c r="AV965" i="1"/>
  <c r="AV960" i="1"/>
  <c r="AV955" i="1"/>
  <c r="AV950" i="1"/>
  <c r="AV945" i="1"/>
  <c r="AV940" i="1"/>
  <c r="AV935" i="1"/>
  <c r="AV930" i="1"/>
  <c r="AW922" i="1"/>
  <c r="AU917" i="1"/>
  <c r="AW917" i="1"/>
  <c r="AU914" i="1"/>
  <c r="AW914" i="1"/>
  <c r="AU851" i="1"/>
  <c r="AW851" i="1"/>
  <c r="AU846" i="1"/>
  <c r="AW846" i="1"/>
  <c r="AU841" i="1"/>
  <c r="AW841" i="1"/>
  <c r="AU764" i="1"/>
  <c r="AV740" i="1"/>
  <c r="AW740" i="1"/>
  <c r="AU735" i="1"/>
  <c r="AU692" i="1"/>
  <c r="AV655" i="1"/>
  <c r="AW655" i="1"/>
  <c r="AU632" i="1"/>
  <c r="AV581" i="1"/>
  <c r="AV922" i="1"/>
  <c r="AU903" i="1"/>
  <c r="AW903" i="1"/>
  <c r="AU892" i="1"/>
  <c r="AW892" i="1"/>
  <c r="AU873" i="1"/>
  <c r="AV873" i="1"/>
  <c r="AW873" i="1"/>
  <c r="AU869" i="1"/>
  <c r="AW869" i="1"/>
  <c r="AU860" i="1"/>
  <c r="AU774" i="1"/>
  <c r="AU769" i="1"/>
  <c r="AV735" i="1"/>
  <c r="AW735" i="1"/>
  <c r="AU730" i="1"/>
  <c r="AU687" i="1"/>
  <c r="AU659" i="1"/>
  <c r="AU581" i="1"/>
  <c r="AW581" i="1"/>
  <c r="AW906" i="1"/>
  <c r="AU899" i="1"/>
  <c r="AW899" i="1"/>
  <c r="AW876" i="1"/>
  <c r="AU836" i="1"/>
  <c r="AW836" i="1"/>
  <c r="AU795" i="1"/>
  <c r="AU779" i="1"/>
  <c r="AV730" i="1"/>
  <c r="AW730" i="1"/>
  <c r="AU725" i="1"/>
  <c r="AU682" i="1"/>
  <c r="AV650" i="1"/>
  <c r="AW650" i="1"/>
  <c r="AU624" i="1"/>
  <c r="AU566" i="1"/>
  <c r="AU556" i="1"/>
  <c r="AV556" i="1"/>
  <c r="AU910" i="1"/>
  <c r="AW910" i="1"/>
  <c r="AV906" i="1"/>
  <c r="AV876" i="1"/>
  <c r="AU864" i="1"/>
  <c r="AW864" i="1"/>
  <c r="AU784" i="1"/>
  <c r="AU763" i="1"/>
  <c r="AV725" i="1"/>
  <c r="AW725" i="1"/>
  <c r="AU720" i="1"/>
  <c r="AU677" i="1"/>
  <c r="AU645" i="1"/>
  <c r="AW556" i="1"/>
  <c r="AW891" i="1"/>
  <c r="AU888" i="1"/>
  <c r="AW888" i="1"/>
  <c r="AU872" i="1"/>
  <c r="AV872" i="1"/>
  <c r="AW872" i="1"/>
  <c r="AU855" i="1"/>
  <c r="AU810" i="1"/>
  <c r="AU805" i="1"/>
  <c r="AU800" i="1"/>
  <c r="AV720" i="1"/>
  <c r="AW720" i="1"/>
  <c r="AV645" i="1"/>
  <c r="AW645" i="1"/>
  <c r="AU612" i="1"/>
  <c r="AU603" i="1"/>
  <c r="AU586" i="1"/>
  <c r="AV586" i="1"/>
  <c r="AW586" i="1"/>
  <c r="AV561" i="1"/>
  <c r="AU551" i="1"/>
  <c r="AW924" i="1"/>
  <c r="AU913" i="1"/>
  <c r="AW913" i="1"/>
  <c r="AU902" i="1"/>
  <c r="AW902" i="1"/>
  <c r="AU895" i="1"/>
  <c r="AW895" i="1"/>
  <c r="AV891" i="1"/>
  <c r="AU868" i="1"/>
  <c r="AV868" i="1"/>
  <c r="AW868" i="1"/>
  <c r="AU729" i="1"/>
  <c r="AV715" i="1"/>
  <c r="AW715" i="1"/>
  <c r="AU649" i="1"/>
  <c r="AV924" i="1"/>
  <c r="AU884" i="1"/>
  <c r="AW884" i="1"/>
  <c r="AU880" i="1"/>
  <c r="AU859" i="1"/>
  <c r="AW859" i="1"/>
  <c r="AU850" i="1"/>
  <c r="AU845" i="1"/>
  <c r="AU840" i="1"/>
  <c r="AU820" i="1"/>
  <c r="AU794" i="1"/>
  <c r="AU783" i="1"/>
  <c r="AU762" i="1"/>
  <c r="AU724" i="1"/>
  <c r="AV710" i="1"/>
  <c r="AW710" i="1"/>
  <c r="AU705" i="1"/>
  <c r="AV640" i="1"/>
  <c r="AW640" i="1"/>
  <c r="AV608" i="1"/>
  <c r="AW608" i="1"/>
  <c r="AW999" i="1"/>
  <c r="AW994" i="1"/>
  <c r="AW989" i="1"/>
  <c r="AW984" i="1"/>
  <c r="AW979" i="1"/>
  <c r="AW974" i="1"/>
  <c r="AW969" i="1"/>
  <c r="AW964" i="1"/>
  <c r="AW959" i="1"/>
  <c r="AW954" i="1"/>
  <c r="AW949" i="1"/>
  <c r="AW944" i="1"/>
  <c r="AW939" i="1"/>
  <c r="AW934" i="1"/>
  <c r="AW929" i="1"/>
  <c r="AU898" i="1"/>
  <c r="AW898" i="1"/>
  <c r="AW871" i="1"/>
  <c r="AU825" i="1"/>
  <c r="AU788" i="1"/>
  <c r="AU767" i="1"/>
  <c r="AU757" i="1"/>
  <c r="AV705" i="1"/>
  <c r="AW705" i="1"/>
  <c r="AU700" i="1"/>
  <c r="AU662" i="1"/>
  <c r="AU644" i="1"/>
  <c r="AV912" i="1"/>
  <c r="AU909" i="1"/>
  <c r="AW909" i="1"/>
  <c r="AV894" i="1"/>
  <c r="AU867" i="1"/>
  <c r="AV867" i="1"/>
  <c r="AW867" i="1"/>
  <c r="AU863" i="1"/>
  <c r="AV863" i="1"/>
  <c r="AW863" i="1"/>
  <c r="AU854" i="1"/>
  <c r="AW854" i="1"/>
  <c r="AU835" i="1"/>
  <c r="AU830" i="1"/>
  <c r="AU752" i="1"/>
  <c r="AV700" i="1"/>
  <c r="AW700" i="1"/>
  <c r="AU695" i="1"/>
  <c r="AU635" i="1"/>
  <c r="AW831" i="1"/>
  <c r="AW826" i="1"/>
  <c r="AW821" i="1"/>
  <c r="AW816" i="1"/>
  <c r="AW811" i="1"/>
  <c r="AW806" i="1"/>
  <c r="AW801" i="1"/>
  <c r="AW796" i="1"/>
  <c r="AW791" i="1"/>
  <c r="AW786" i="1"/>
  <c r="AW781" i="1"/>
  <c r="AW776" i="1"/>
  <c r="AW771" i="1"/>
  <c r="AW766" i="1"/>
  <c r="AW761" i="1"/>
  <c r="AW756" i="1"/>
  <c r="AW751" i="1"/>
  <c r="AW746" i="1"/>
  <c r="AW741" i="1"/>
  <c r="AW736" i="1"/>
  <c r="AW731" i="1"/>
  <c r="AW726" i="1"/>
  <c r="AW721" i="1"/>
  <c r="AW716" i="1"/>
  <c r="AW711" i="1"/>
  <c r="AW706" i="1"/>
  <c r="AW701" i="1"/>
  <c r="AW696" i="1"/>
  <c r="AW691" i="1"/>
  <c r="AW686" i="1"/>
  <c r="AW681" i="1"/>
  <c r="AW676" i="1"/>
  <c r="AW671" i="1"/>
  <c r="AU511" i="1"/>
  <c r="AV511" i="1"/>
  <c r="AW511" i="1"/>
  <c r="AV490" i="1"/>
  <c r="AW490" i="1"/>
  <c r="AU383" i="1"/>
  <c r="AV383" i="1"/>
  <c r="AV335" i="1"/>
  <c r="AW335" i="1"/>
  <c r="AV806" i="1"/>
  <c r="AV801" i="1"/>
  <c r="AV796" i="1"/>
  <c r="AV791" i="1"/>
  <c r="AV786" i="1"/>
  <c r="AV781" i="1"/>
  <c r="AV776" i="1"/>
  <c r="AU572" i="1"/>
  <c r="AU521" i="1"/>
  <c r="AW521" i="1"/>
  <c r="AU516" i="1"/>
  <c r="AV516" i="1"/>
  <c r="AW516" i="1"/>
  <c r="AU500" i="1"/>
  <c r="AV495" i="1"/>
  <c r="AW495" i="1"/>
  <c r="AU479" i="1"/>
  <c r="AV435" i="1"/>
  <c r="AW435" i="1"/>
  <c r="AU430" i="1"/>
  <c r="AU335" i="1"/>
  <c r="AU550" i="1"/>
  <c r="AW550" i="1"/>
  <c r="AV500" i="1"/>
  <c r="AW500" i="1"/>
  <c r="AU484" i="1"/>
  <c r="AV430" i="1"/>
  <c r="AW430" i="1"/>
  <c r="AU422" i="1"/>
  <c r="AV422" i="1"/>
  <c r="AW422" i="1"/>
  <c r="AU340" i="1"/>
  <c r="AV340" i="1"/>
  <c r="AW340" i="1"/>
  <c r="AU590" i="1"/>
  <c r="AU579" i="1"/>
  <c r="AV579" i="1"/>
  <c r="AW579" i="1"/>
  <c r="AU510" i="1"/>
  <c r="AV505" i="1"/>
  <c r="AW505" i="1"/>
  <c r="AU489" i="1"/>
  <c r="AW828" i="1"/>
  <c r="AW823" i="1"/>
  <c r="AW818" i="1"/>
  <c r="AW813" i="1"/>
  <c r="AW808" i="1"/>
  <c r="AW803" i="1"/>
  <c r="AW798" i="1"/>
  <c r="AW793" i="1"/>
  <c r="AW788" i="1"/>
  <c r="AW783" i="1"/>
  <c r="AW778" i="1"/>
  <c r="AW773" i="1"/>
  <c r="AW768" i="1"/>
  <c r="AW763" i="1"/>
  <c r="AW758" i="1"/>
  <c r="AW753" i="1"/>
  <c r="AW748" i="1"/>
  <c r="AW743" i="1"/>
  <c r="AW738" i="1"/>
  <c r="AW733" i="1"/>
  <c r="AW728" i="1"/>
  <c r="AW723" i="1"/>
  <c r="AW718" i="1"/>
  <c r="AW713" i="1"/>
  <c r="AW708" i="1"/>
  <c r="AW703" i="1"/>
  <c r="AW698" i="1"/>
  <c r="AW693" i="1"/>
  <c r="AW688" i="1"/>
  <c r="AW683" i="1"/>
  <c r="AW678" i="1"/>
  <c r="AW673" i="1"/>
  <c r="AW668" i="1"/>
  <c r="AW663" i="1"/>
  <c r="AW658" i="1"/>
  <c r="AW653" i="1"/>
  <c r="AW648" i="1"/>
  <c r="AW643" i="1"/>
  <c r="AW638" i="1"/>
  <c r="AW633" i="1"/>
  <c r="AW628" i="1"/>
  <c r="AW623" i="1"/>
  <c r="AW618" i="1"/>
  <c r="AW613" i="1"/>
  <c r="AV605" i="1"/>
  <c r="AU564" i="1"/>
  <c r="AV564" i="1"/>
  <c r="AW564" i="1"/>
  <c r="AU538" i="1"/>
  <c r="AW538" i="1"/>
  <c r="AU534" i="1"/>
  <c r="AV534" i="1"/>
  <c r="AW534" i="1"/>
  <c r="AV510" i="1"/>
  <c r="AW510" i="1"/>
  <c r="AU494" i="1"/>
  <c r="AU393" i="1"/>
  <c r="AV393" i="1"/>
  <c r="AV828" i="1"/>
  <c r="AV823" i="1"/>
  <c r="AV818" i="1"/>
  <c r="AV813" i="1"/>
  <c r="AV808" i="1"/>
  <c r="AV803" i="1"/>
  <c r="AV798" i="1"/>
  <c r="AV793" i="1"/>
  <c r="AV788" i="1"/>
  <c r="AV783" i="1"/>
  <c r="AV778" i="1"/>
  <c r="AV773" i="1"/>
  <c r="AV768" i="1"/>
  <c r="AV763" i="1"/>
  <c r="AV758" i="1"/>
  <c r="AV753" i="1"/>
  <c r="AV748" i="1"/>
  <c r="AV743" i="1"/>
  <c r="AV738" i="1"/>
  <c r="AV733" i="1"/>
  <c r="AV728" i="1"/>
  <c r="AV723" i="1"/>
  <c r="AV718" i="1"/>
  <c r="AV713" i="1"/>
  <c r="AV708" i="1"/>
  <c r="AV703" i="1"/>
  <c r="AV698" i="1"/>
  <c r="AV693" i="1"/>
  <c r="AV688" i="1"/>
  <c r="AV683" i="1"/>
  <c r="AV678" i="1"/>
  <c r="AV673" i="1"/>
  <c r="AV668" i="1"/>
  <c r="AV663" i="1"/>
  <c r="AV658" i="1"/>
  <c r="AV653" i="1"/>
  <c r="AV648" i="1"/>
  <c r="AV643" i="1"/>
  <c r="AV638" i="1"/>
  <c r="AV633" i="1"/>
  <c r="AV628" i="1"/>
  <c r="AV623" i="1"/>
  <c r="AV618" i="1"/>
  <c r="AV613" i="1"/>
  <c r="AU602" i="1"/>
  <c r="AU599" i="1"/>
  <c r="AV599" i="1"/>
  <c r="AW599" i="1"/>
  <c r="AV575" i="1"/>
  <c r="AV571" i="1"/>
  <c r="AU549" i="1"/>
  <c r="AV549" i="1"/>
  <c r="AW549" i="1"/>
  <c r="AU520" i="1"/>
  <c r="AV515" i="1"/>
  <c r="AW515" i="1"/>
  <c r="AU499" i="1"/>
  <c r="AU429" i="1"/>
  <c r="AU582" i="1"/>
  <c r="AU575" i="1"/>
  <c r="AV560" i="1"/>
  <c r="AU529" i="1"/>
  <c r="AV529" i="1"/>
  <c r="AW529" i="1"/>
  <c r="AU457" i="1"/>
  <c r="AU452" i="1"/>
  <c r="AV452" i="1"/>
  <c r="AW452" i="1"/>
  <c r="AU589" i="1"/>
  <c r="AV589" i="1"/>
  <c r="AW589" i="1"/>
  <c r="AV545" i="1"/>
  <c r="AU417" i="1"/>
  <c r="AV417" i="1"/>
  <c r="AW417" i="1"/>
  <c r="AU405" i="1"/>
  <c r="AW885" i="1"/>
  <c r="AW880" i="1"/>
  <c r="AW875" i="1"/>
  <c r="AW870" i="1"/>
  <c r="AW865" i="1"/>
  <c r="AW860" i="1"/>
  <c r="AW855" i="1"/>
  <c r="AW850" i="1"/>
  <c r="AW845" i="1"/>
  <c r="AW840" i="1"/>
  <c r="AW835" i="1"/>
  <c r="AW830" i="1"/>
  <c r="AW825" i="1"/>
  <c r="AW820" i="1"/>
  <c r="AW815" i="1"/>
  <c r="AW810" i="1"/>
  <c r="AW805" i="1"/>
  <c r="AW800" i="1"/>
  <c r="AW795" i="1"/>
  <c r="AW790" i="1"/>
  <c r="AW785" i="1"/>
  <c r="AW780" i="1"/>
  <c r="AW775" i="1"/>
  <c r="AW770" i="1"/>
  <c r="AW765" i="1"/>
  <c r="AW760" i="1"/>
  <c r="AW755" i="1"/>
  <c r="AU524" i="1"/>
  <c r="AV524" i="1"/>
  <c r="AW524" i="1"/>
  <c r="AU514" i="1"/>
  <c r="AU519" i="1"/>
  <c r="AU442" i="1"/>
  <c r="AV442" i="1"/>
  <c r="AW442" i="1"/>
  <c r="AW588" i="1"/>
  <c r="AU574" i="1"/>
  <c r="AV574" i="1"/>
  <c r="AW574" i="1"/>
  <c r="AU533" i="1"/>
  <c r="AW533" i="1"/>
  <c r="AU477" i="1"/>
  <c r="AU461" i="1"/>
  <c r="AU424" i="1"/>
  <c r="AU355" i="1"/>
  <c r="AW566" i="1"/>
  <c r="AU559" i="1"/>
  <c r="AV559" i="1"/>
  <c r="AW559" i="1"/>
  <c r="AU400" i="1"/>
  <c r="AV400" i="1"/>
  <c r="AW400" i="1"/>
  <c r="AV355" i="1"/>
  <c r="AW355" i="1"/>
  <c r="AW817" i="1"/>
  <c r="AW812" i="1"/>
  <c r="AW807" i="1"/>
  <c r="AW802" i="1"/>
  <c r="AW797" i="1"/>
  <c r="AW792" i="1"/>
  <c r="AW787" i="1"/>
  <c r="AW782" i="1"/>
  <c r="AW777" i="1"/>
  <c r="AW772" i="1"/>
  <c r="AW767"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W642" i="1"/>
  <c r="AW637" i="1"/>
  <c r="AW632" i="1"/>
  <c r="AW627" i="1"/>
  <c r="AW622" i="1"/>
  <c r="AW617" i="1"/>
  <c r="AW612" i="1"/>
  <c r="AU607" i="1"/>
  <c r="AW607" i="1"/>
  <c r="AW591" i="1"/>
  <c r="AV570" i="1"/>
  <c r="AV566" i="1"/>
  <c r="AW551" i="1"/>
  <c r="AU544" i="1"/>
  <c r="AV544" i="1"/>
  <c r="AW544" i="1"/>
  <c r="AU528" i="1"/>
  <c r="AW528" i="1"/>
  <c r="AU487" i="1"/>
  <c r="AU471" i="1"/>
  <c r="AU455" i="1"/>
  <c r="AV450" i="1"/>
  <c r="AW450" i="1"/>
  <c r="AU446" i="1"/>
  <c r="AU412" i="1"/>
  <c r="AV412" i="1"/>
  <c r="AW412" i="1"/>
  <c r="AV817" i="1"/>
  <c r="AV812" i="1"/>
  <c r="AV807" i="1"/>
  <c r="AV802" i="1"/>
  <c r="AV797" i="1"/>
  <c r="AV792" i="1"/>
  <c r="AV787" i="1"/>
  <c r="AV782"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V657" i="1"/>
  <c r="AV652" i="1"/>
  <c r="AV647" i="1"/>
  <c r="AV642" i="1"/>
  <c r="AV637" i="1"/>
  <c r="AV632" i="1"/>
  <c r="AV627" i="1"/>
  <c r="AV622" i="1"/>
  <c r="AV617" i="1"/>
  <c r="AV612" i="1"/>
  <c r="AU604" i="1"/>
  <c r="AW604" i="1"/>
  <c r="AV591" i="1"/>
  <c r="AW573" i="1"/>
  <c r="AV551" i="1"/>
  <c r="AW536" i="1"/>
  <c r="AU532" i="1"/>
  <c r="AV455" i="1"/>
  <c r="AW455" i="1"/>
  <c r="AV573" i="1"/>
  <c r="AW558" i="1"/>
  <c r="AU523" i="1"/>
  <c r="AW523" i="1"/>
  <c r="AU497" i="1"/>
  <c r="AU481" i="1"/>
  <c r="AU465" i="1"/>
  <c r="AV460" i="1"/>
  <c r="AW460" i="1"/>
  <c r="AU440" i="1"/>
  <c r="AU350" i="1"/>
  <c r="AV350" i="1"/>
  <c r="AW606" i="1"/>
  <c r="AU584" i="1"/>
  <c r="AV584" i="1"/>
  <c r="AW584" i="1"/>
  <c r="AU562" i="1"/>
  <c r="AV558" i="1"/>
  <c r="AW543" i="1"/>
  <c r="AU518" i="1"/>
  <c r="AW518" i="1"/>
  <c r="AV465" i="1"/>
  <c r="AW465" i="1"/>
  <c r="AV440" i="1"/>
  <c r="AW440" i="1"/>
  <c r="AU419" i="1"/>
  <c r="AW824" i="1"/>
  <c r="AW819" i="1"/>
  <c r="AW814" i="1"/>
  <c r="AW809" i="1"/>
  <c r="AW804" i="1"/>
  <c r="AW799" i="1"/>
  <c r="AW794" i="1"/>
  <c r="AW789" i="1"/>
  <c r="AW784" i="1"/>
  <c r="AW779" i="1"/>
  <c r="AW774" i="1"/>
  <c r="AW769" i="1"/>
  <c r="AW764" i="1"/>
  <c r="AW759" i="1"/>
  <c r="AW754" i="1"/>
  <c r="AW749" i="1"/>
  <c r="AW744" i="1"/>
  <c r="AW739" i="1"/>
  <c r="AW734" i="1"/>
  <c r="AW729"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V606" i="1"/>
  <c r="AW603" i="1"/>
  <c r="AW600" i="1"/>
  <c r="AU547" i="1"/>
  <c r="AV543" i="1"/>
  <c r="AU536" i="1"/>
  <c r="AW531" i="1"/>
  <c r="AU507" i="1"/>
  <c r="AU491" i="1"/>
  <c r="AU475" i="1"/>
  <c r="AV470" i="1"/>
  <c r="AW470" i="1"/>
  <c r="AU454" i="1"/>
  <c r="AV445" i="1"/>
  <c r="AW445" i="1"/>
  <c r="AU432" i="1"/>
  <c r="AV432" i="1"/>
  <c r="AW432" i="1"/>
  <c r="AU403" i="1"/>
  <c r="AV403" i="1"/>
  <c r="AU380" i="1"/>
  <c r="AV380" i="1"/>
  <c r="AW380" i="1"/>
  <c r="AV600" i="1"/>
  <c r="AU594" i="1"/>
  <c r="AV594" i="1"/>
  <c r="AW594" i="1"/>
  <c r="AW580" i="1"/>
  <c r="AU569" i="1"/>
  <c r="AV569" i="1"/>
  <c r="AW569" i="1"/>
  <c r="AU496" i="1"/>
  <c r="AV496" i="1"/>
  <c r="AW496" i="1"/>
  <c r="AV475" i="1"/>
  <c r="AW475" i="1"/>
  <c r="AU427" i="1"/>
  <c r="AV427" i="1"/>
  <c r="AW427" i="1"/>
  <c r="AW583" i="1"/>
  <c r="AV576" i="1"/>
  <c r="AW561" i="1"/>
  <c r="AU554" i="1"/>
  <c r="AV554" i="1"/>
  <c r="AW554" i="1"/>
  <c r="AU539" i="1"/>
  <c r="AV539" i="1"/>
  <c r="AW539" i="1"/>
  <c r="AW526" i="1"/>
  <c r="AU501" i="1"/>
  <c r="AV501" i="1"/>
  <c r="AW501" i="1"/>
  <c r="AV480" i="1"/>
  <c r="AW480" i="1"/>
  <c r="AU464" i="1"/>
  <c r="AU439" i="1"/>
  <c r="AU609" i="1"/>
  <c r="AW609" i="1"/>
  <c r="AU580" i="1"/>
  <c r="AV565" i="1"/>
  <c r="AV535" i="1"/>
  <c r="AV526" i="1"/>
  <c r="AU506" i="1"/>
  <c r="AV506" i="1"/>
  <c r="AW506" i="1"/>
  <c r="AU490" i="1"/>
  <c r="AV485" i="1"/>
  <c r="AW485" i="1"/>
  <c r="AU469" i="1"/>
  <c r="AU444" i="1"/>
  <c r="AU426" i="1"/>
  <c r="AU390" i="1"/>
  <c r="AV390" i="1"/>
  <c r="AU358" i="1"/>
  <c r="AW491" i="1"/>
  <c r="AW486" i="1"/>
  <c r="AW481" i="1"/>
  <c r="AW476" i="1"/>
  <c r="AW471" i="1"/>
  <c r="AW466" i="1"/>
  <c r="AW461" i="1"/>
  <c r="AW456" i="1"/>
  <c r="AW451" i="1"/>
  <c r="AW446" i="1"/>
  <c r="AW441" i="1"/>
  <c r="AW436" i="1"/>
  <c r="AW431" i="1"/>
  <c r="AW426" i="1"/>
  <c r="AW421" i="1"/>
  <c r="AW416" i="1"/>
  <c r="AW405" i="1"/>
  <c r="AU344" i="1"/>
  <c r="AV344" i="1"/>
  <c r="AW344" i="1"/>
  <c r="AV293" i="1"/>
  <c r="AW293" i="1"/>
  <c r="AU293" i="1"/>
  <c r="AU277" i="1"/>
  <c r="AV277" i="1"/>
  <c r="AW277" i="1"/>
  <c r="AU271" i="1"/>
  <c r="AU242" i="1"/>
  <c r="AV242" i="1"/>
  <c r="AW242" i="1"/>
  <c r="AU117" i="1"/>
  <c r="AV491" i="1"/>
  <c r="AV486" i="1"/>
  <c r="AV481" i="1"/>
  <c r="AV476" i="1"/>
  <c r="AV471" i="1"/>
  <c r="AV466" i="1"/>
  <c r="AV461" i="1"/>
  <c r="AV456" i="1"/>
  <c r="AV451" i="1"/>
  <c r="AV446" i="1"/>
  <c r="AV441" i="1"/>
  <c r="AV436" i="1"/>
  <c r="AV431" i="1"/>
  <c r="AV426" i="1"/>
  <c r="AV421" i="1"/>
  <c r="AV416" i="1"/>
  <c r="AV408" i="1"/>
  <c r="AV405" i="1"/>
  <c r="AU366" i="1"/>
  <c r="AW366" i="1"/>
  <c r="AU315" i="1"/>
  <c r="AW315" i="1"/>
  <c r="AV265" i="1"/>
  <c r="AW265" i="1"/>
  <c r="AU182" i="1"/>
  <c r="AV182" i="1"/>
  <c r="AW182" i="1"/>
  <c r="AU132" i="1"/>
  <c r="AV132" i="1"/>
  <c r="AW132" i="1"/>
  <c r="AU122" i="1"/>
  <c r="AV122" i="1"/>
  <c r="AW122" i="1"/>
  <c r="AU381" i="1"/>
  <c r="AW381" i="1"/>
  <c r="AU369" i="1"/>
  <c r="AW369" i="1"/>
  <c r="AW363" i="1"/>
  <c r="AV333" i="1"/>
  <c r="AW333" i="1"/>
  <c r="AU333" i="1"/>
  <c r="AV298" i="1"/>
  <c r="AW298" i="1"/>
  <c r="AU298" i="1"/>
  <c r="AU282" i="1"/>
  <c r="AV282" i="1"/>
  <c r="AW282" i="1"/>
  <c r="AU276" i="1"/>
  <c r="AU220" i="1"/>
  <c r="AV220" i="1"/>
  <c r="AW220" i="1"/>
  <c r="AU215" i="1"/>
  <c r="AV215" i="1"/>
  <c r="AW215" i="1"/>
  <c r="AV166" i="1"/>
  <c r="AU127" i="1"/>
  <c r="AV127" i="1"/>
  <c r="AW127" i="1"/>
  <c r="AU396" i="1"/>
  <c r="AW396" i="1"/>
  <c r="AU384" i="1"/>
  <c r="AW384" i="1"/>
  <c r="AW378" i="1"/>
  <c r="AU325" i="1"/>
  <c r="AW325" i="1"/>
  <c r="AU320" i="1"/>
  <c r="AW320" i="1"/>
  <c r="AU287" i="1"/>
  <c r="AV287" i="1"/>
  <c r="AW287" i="1"/>
  <c r="AU247" i="1"/>
  <c r="AV247" i="1"/>
  <c r="AW247" i="1"/>
  <c r="AU225" i="1"/>
  <c r="AV225" i="1"/>
  <c r="AW225" i="1"/>
  <c r="AU210" i="1"/>
  <c r="AV210" i="1"/>
  <c r="AW210" i="1"/>
  <c r="AW513" i="1"/>
  <c r="AW508" i="1"/>
  <c r="AW503" i="1"/>
  <c r="AW498" i="1"/>
  <c r="AW493" i="1"/>
  <c r="AW488" i="1"/>
  <c r="AW483" i="1"/>
  <c r="AW478" i="1"/>
  <c r="AW473" i="1"/>
  <c r="AW468" i="1"/>
  <c r="AW463" i="1"/>
  <c r="AW458" i="1"/>
  <c r="AW453" i="1"/>
  <c r="AW448" i="1"/>
  <c r="AW443" i="1"/>
  <c r="AU399" i="1"/>
  <c r="AW399" i="1"/>
  <c r="AW393" i="1"/>
  <c r="AV353" i="1"/>
  <c r="AW353" i="1"/>
  <c r="AV303" i="1"/>
  <c r="AW303" i="1"/>
  <c r="AU303" i="1"/>
  <c r="AU292" i="1"/>
  <c r="AV292" i="1"/>
  <c r="AW292" i="1"/>
  <c r="AU281" i="1"/>
  <c r="AV270" i="1"/>
  <c r="AW270" i="1"/>
  <c r="AU230" i="1"/>
  <c r="AV230" i="1"/>
  <c r="AW230" i="1"/>
  <c r="AU196" i="1"/>
  <c r="AU176" i="1"/>
  <c r="AU160" i="1"/>
  <c r="AV160" i="1"/>
  <c r="AW408" i="1"/>
  <c r="AU356" i="1"/>
  <c r="AV343" i="1"/>
  <c r="AW343" i="1"/>
  <c r="AU343" i="1"/>
  <c r="AU336" i="1"/>
  <c r="AU286" i="1"/>
  <c r="AU275" i="1"/>
  <c r="AV258" i="1"/>
  <c r="AU246" i="1"/>
  <c r="AU235" i="1"/>
  <c r="AV235" i="1"/>
  <c r="AW235" i="1"/>
  <c r="AU205" i="1"/>
  <c r="AV205" i="1"/>
  <c r="AW205" i="1"/>
  <c r="AV196" i="1"/>
  <c r="AW196" i="1"/>
  <c r="AU191" i="1"/>
  <c r="AU165" i="1"/>
  <c r="AV308" i="1"/>
  <c r="AW308" i="1"/>
  <c r="AU308" i="1"/>
  <c r="AU297" i="1"/>
  <c r="AV297" i="1"/>
  <c r="AW297" i="1"/>
  <c r="AV275" i="1"/>
  <c r="AW275" i="1"/>
  <c r="AU252" i="1"/>
  <c r="AV252" i="1"/>
  <c r="AW252" i="1"/>
  <c r="AU240" i="1"/>
  <c r="AV240" i="1"/>
  <c r="AW240" i="1"/>
  <c r="AV191" i="1"/>
  <c r="AW191" i="1"/>
  <c r="AU181" i="1"/>
  <c r="AV181" i="1"/>
  <c r="AW181" i="1"/>
  <c r="AV410" i="1"/>
  <c r="AV398" i="1"/>
  <c r="AV395" i="1"/>
  <c r="AV377" i="1"/>
  <c r="AU359" i="1"/>
  <c r="AV359" i="1"/>
  <c r="AW359" i="1"/>
  <c r="AU324" i="1"/>
  <c r="AU319" i="1"/>
  <c r="AU200" i="1"/>
  <c r="AV200" i="1"/>
  <c r="AW200" i="1"/>
  <c r="AV186" i="1"/>
  <c r="AW186" i="1"/>
  <c r="AU371" i="1"/>
  <c r="AW371" i="1"/>
  <c r="AV313" i="1"/>
  <c r="AW313" i="1"/>
  <c r="AU313" i="1"/>
  <c r="AU302" i="1"/>
  <c r="AV302" i="1"/>
  <c r="AW302" i="1"/>
  <c r="AU296" i="1"/>
  <c r="AU280" i="1"/>
  <c r="AV280" i="1"/>
  <c r="AW280" i="1"/>
  <c r="AV263" i="1"/>
  <c r="AU251" i="1"/>
  <c r="AU195" i="1"/>
  <c r="AV195" i="1"/>
  <c r="AW195" i="1"/>
  <c r="AU170" i="1"/>
  <c r="AV170" i="1"/>
  <c r="AU386" i="1"/>
  <c r="AW386" i="1"/>
  <c r="AU374" i="1"/>
  <c r="AW374" i="1"/>
  <c r="AU349" i="1"/>
  <c r="AV349" i="1"/>
  <c r="AW349" i="1"/>
  <c r="AU257" i="1"/>
  <c r="AV257" i="1"/>
  <c r="AW257" i="1"/>
  <c r="AU245" i="1"/>
  <c r="AV245" i="1"/>
  <c r="AW245" i="1"/>
  <c r="AU190" i="1"/>
  <c r="AV190" i="1"/>
  <c r="AW190" i="1"/>
  <c r="AU180" i="1"/>
  <c r="AU401" i="1"/>
  <c r="AW401" i="1"/>
  <c r="AU389" i="1"/>
  <c r="AW389" i="1"/>
  <c r="AW383" i="1"/>
  <c r="AU339" i="1"/>
  <c r="AV339" i="1"/>
  <c r="AW339" i="1"/>
  <c r="AV328" i="1"/>
  <c r="AW328" i="1"/>
  <c r="AU328" i="1"/>
  <c r="AV323" i="1"/>
  <c r="AW323" i="1"/>
  <c r="AU323" i="1"/>
  <c r="AV318" i="1"/>
  <c r="AW318" i="1"/>
  <c r="AU318" i="1"/>
  <c r="AU307" i="1"/>
  <c r="AV307" i="1"/>
  <c r="AW307" i="1"/>
  <c r="AU285" i="1"/>
  <c r="AW285" i="1"/>
  <c r="AU185" i="1"/>
  <c r="AV185" i="1"/>
  <c r="AW185" i="1"/>
  <c r="AU404" i="1"/>
  <c r="AW404" i="1"/>
  <c r="AW398" i="1"/>
  <c r="AW370" i="1"/>
  <c r="AV345" i="1"/>
  <c r="AU290" i="1"/>
  <c r="AW290" i="1"/>
  <c r="AV268" i="1"/>
  <c r="AU256" i="1"/>
  <c r="AV228" i="1"/>
  <c r="AV208" i="1"/>
  <c r="AU174" i="1"/>
  <c r="AV174" i="1"/>
  <c r="AW174" i="1"/>
  <c r="AU144" i="1"/>
  <c r="AU110" i="1"/>
  <c r="AW602" i="1"/>
  <c r="AW597" i="1"/>
  <c r="AW592" i="1"/>
  <c r="AW587" i="1"/>
  <c r="AW582" i="1"/>
  <c r="AW577" i="1"/>
  <c r="AW572" i="1"/>
  <c r="AW567" i="1"/>
  <c r="AW562" i="1"/>
  <c r="AW557" i="1"/>
  <c r="AW552" i="1"/>
  <c r="AW547" i="1"/>
  <c r="AW542" i="1"/>
  <c r="AW537" i="1"/>
  <c r="AW532" i="1"/>
  <c r="AW527" i="1"/>
  <c r="AW522" i="1"/>
  <c r="AW517" i="1"/>
  <c r="AW512" i="1"/>
  <c r="AW507" i="1"/>
  <c r="AW502" i="1"/>
  <c r="AW497" i="1"/>
  <c r="AW492" i="1"/>
  <c r="AW487" i="1"/>
  <c r="AW482" i="1"/>
  <c r="AW477" i="1"/>
  <c r="AW472" i="1"/>
  <c r="AW467" i="1"/>
  <c r="AW462" i="1"/>
  <c r="AW457" i="1"/>
  <c r="AU312" i="1"/>
  <c r="AV312" i="1"/>
  <c r="AW312" i="1"/>
  <c r="AU306" i="1"/>
  <c r="AU262" i="1"/>
  <c r="AV262" i="1"/>
  <c r="AW262" i="1"/>
  <c r="AU250" i="1"/>
  <c r="AV250" i="1"/>
  <c r="AW250" i="1"/>
  <c r="AV233" i="1"/>
  <c r="AU114" i="1"/>
  <c r="AV358" i="1"/>
  <c r="AW358" i="1"/>
  <c r="AU327" i="1"/>
  <c r="AV327" i="1"/>
  <c r="AW327" i="1"/>
  <c r="AU295" i="1"/>
  <c r="AW295" i="1"/>
  <c r="AU179" i="1"/>
  <c r="AV179" i="1"/>
  <c r="AW179" i="1"/>
  <c r="AW397" i="1"/>
  <c r="AU361" i="1"/>
  <c r="AW361" i="1"/>
  <c r="AV338" i="1"/>
  <c r="AW338" i="1"/>
  <c r="AU338" i="1"/>
  <c r="AU317" i="1"/>
  <c r="AV317" i="1"/>
  <c r="AW317" i="1"/>
  <c r="AV273" i="1"/>
  <c r="AV397" i="1"/>
  <c r="AU376" i="1"/>
  <c r="AW376" i="1"/>
  <c r="AU364" i="1"/>
  <c r="AW364" i="1"/>
  <c r="AV348" i="1"/>
  <c r="AW348" i="1"/>
  <c r="AU300" i="1"/>
  <c r="AW300" i="1"/>
  <c r="AU267" i="1"/>
  <c r="AV267" i="1"/>
  <c r="AW267" i="1"/>
  <c r="AU255" i="1"/>
  <c r="AV255" i="1"/>
  <c r="AW255" i="1"/>
  <c r="AV193" i="1"/>
  <c r="AU124" i="1"/>
  <c r="AV124" i="1"/>
  <c r="AW124" i="1"/>
  <c r="AW519" i="1"/>
  <c r="AW514" i="1"/>
  <c r="AW509" i="1"/>
  <c r="AW504" i="1"/>
  <c r="AW499" i="1"/>
  <c r="AW494" i="1"/>
  <c r="AW489" i="1"/>
  <c r="AW484" i="1"/>
  <c r="AW479" i="1"/>
  <c r="AW474" i="1"/>
  <c r="AW469" i="1"/>
  <c r="AW464" i="1"/>
  <c r="AW459" i="1"/>
  <c r="AW454" i="1"/>
  <c r="AW449" i="1"/>
  <c r="AW444" i="1"/>
  <c r="AW439" i="1"/>
  <c r="AW434" i="1"/>
  <c r="AW429" i="1"/>
  <c r="AW424" i="1"/>
  <c r="AW419" i="1"/>
  <c r="AW414" i="1"/>
  <c r="AU391" i="1"/>
  <c r="AW391" i="1"/>
  <c r="AU379" i="1"/>
  <c r="AW379" i="1"/>
  <c r="AW373" i="1"/>
  <c r="AW357" i="1"/>
  <c r="AU351" i="1"/>
  <c r="AU316" i="1"/>
  <c r="AV188" i="1"/>
  <c r="AU162" i="1"/>
  <c r="AV519" i="1"/>
  <c r="AV514" i="1"/>
  <c r="AV509" i="1"/>
  <c r="AV504" i="1"/>
  <c r="AV499" i="1"/>
  <c r="AV494" i="1"/>
  <c r="AV489" i="1"/>
  <c r="AV484" i="1"/>
  <c r="AV479" i="1"/>
  <c r="AV474" i="1"/>
  <c r="AV469" i="1"/>
  <c r="AV464" i="1"/>
  <c r="AV459" i="1"/>
  <c r="AV454" i="1"/>
  <c r="AV449" i="1"/>
  <c r="AV444" i="1"/>
  <c r="AV439" i="1"/>
  <c r="AV434" i="1"/>
  <c r="AV429" i="1"/>
  <c r="AV424" i="1"/>
  <c r="AV419" i="1"/>
  <c r="AV414" i="1"/>
  <c r="AU406" i="1"/>
  <c r="AW406" i="1"/>
  <c r="AU394" i="1"/>
  <c r="AW394" i="1"/>
  <c r="AW388" i="1"/>
  <c r="AW360" i="1"/>
  <c r="AV357" i="1"/>
  <c r="AW337" i="1"/>
  <c r="AW330" i="1"/>
  <c r="AU305" i="1"/>
  <c r="AW305" i="1"/>
  <c r="AU266" i="1"/>
  <c r="AU147" i="1"/>
  <c r="AW403" i="1"/>
  <c r="AW375" i="1"/>
  <c r="AV363" i="1"/>
  <c r="AV360" i="1"/>
  <c r="AU354" i="1"/>
  <c r="AV354" i="1"/>
  <c r="AW354" i="1"/>
  <c r="AW347" i="1"/>
  <c r="AV337" i="1"/>
  <c r="AU334" i="1"/>
  <c r="AV334" i="1"/>
  <c r="AW334" i="1"/>
  <c r="AV330" i="1"/>
  <c r="AU326" i="1"/>
  <c r="AU321" i="1"/>
  <c r="AU272" i="1"/>
  <c r="AV272" i="1"/>
  <c r="AW272" i="1"/>
  <c r="AU260" i="1"/>
  <c r="AV260" i="1"/>
  <c r="AW260" i="1"/>
  <c r="AU221" i="1"/>
  <c r="AU216" i="1"/>
  <c r="AV378" i="1"/>
  <c r="AV369" i="1"/>
  <c r="AU363" i="1"/>
  <c r="AV315" i="1"/>
  <c r="AU310" i="1"/>
  <c r="AW310" i="1"/>
  <c r="AV288" i="1"/>
  <c r="AW288" i="1"/>
  <c r="AU288" i="1"/>
  <c r="AV248" i="1"/>
  <c r="AU226" i="1"/>
  <c r="AU211" i="1"/>
  <c r="AU172" i="1"/>
  <c r="AU167" i="1"/>
  <c r="AV167" i="1"/>
  <c r="AW167" i="1"/>
  <c r="AU283" i="1"/>
  <c r="AU278" i="1"/>
  <c r="AU273" i="1"/>
  <c r="AU268" i="1"/>
  <c r="AU263" i="1"/>
  <c r="AU258" i="1"/>
  <c r="AU253" i="1"/>
  <c r="AU248" i="1"/>
  <c r="AU243" i="1"/>
  <c r="AU238" i="1"/>
  <c r="AU233" i="1"/>
  <c r="AU228" i="1"/>
  <c r="AU223" i="1"/>
  <c r="AU218" i="1"/>
  <c r="AU213" i="1"/>
  <c r="AU208" i="1"/>
  <c r="AU203" i="1"/>
  <c r="AU198" i="1"/>
  <c r="AU193" i="1"/>
  <c r="AU188" i="1"/>
  <c r="AU158" i="1"/>
  <c r="AW158" i="1"/>
  <c r="AU146" i="1"/>
  <c r="AW146" i="1"/>
  <c r="AU103" i="1"/>
  <c r="AW177" i="1"/>
  <c r="AW175" i="1"/>
  <c r="AV169" i="1"/>
  <c r="AW166" i="1"/>
  <c r="AV142" i="1"/>
  <c r="AV139" i="1"/>
  <c r="AU123" i="1"/>
  <c r="AV120" i="1"/>
  <c r="AW120" i="1"/>
  <c r="AV83" i="1"/>
  <c r="AV75" i="1"/>
  <c r="AW75" i="1"/>
  <c r="AW155" i="1"/>
  <c r="AU136" i="1"/>
  <c r="AW136" i="1"/>
  <c r="AU83" i="1"/>
  <c r="AU79" i="1"/>
  <c r="AV70" i="1"/>
  <c r="AW70" i="1"/>
  <c r="AU70" i="1"/>
  <c r="AV110" i="1"/>
  <c r="AW110" i="1"/>
  <c r="AU99" i="1"/>
  <c r="AW99" i="1"/>
  <c r="AU87" i="1"/>
  <c r="AW87" i="1"/>
  <c r="AV65" i="1"/>
  <c r="AW65" i="1"/>
  <c r="AU65" i="1"/>
  <c r="AW180" i="1"/>
  <c r="AW163" i="1"/>
  <c r="AV157" i="1"/>
  <c r="AV151" i="1"/>
  <c r="AU126" i="1"/>
  <c r="AW126" i="1"/>
  <c r="AW119" i="1"/>
  <c r="AU91" i="1"/>
  <c r="AV91" i="1"/>
  <c r="AW91" i="1"/>
  <c r="AW171" i="1"/>
  <c r="AV163" i="1"/>
  <c r="AW154" i="1"/>
  <c r="AU151" i="1"/>
  <c r="AV119" i="1"/>
  <c r="AU106" i="1"/>
  <c r="AW106" i="1"/>
  <c r="AV95" i="1"/>
  <c r="AW95" i="1"/>
  <c r="AU69" i="1"/>
  <c r="AW322" i="1"/>
  <c r="AW237" i="1"/>
  <c r="AW232" i="1"/>
  <c r="AW227" i="1"/>
  <c r="AW222" i="1"/>
  <c r="AW217" i="1"/>
  <c r="AV171" i="1"/>
  <c r="AV145" i="1"/>
  <c r="AW145" i="1"/>
  <c r="AU116" i="1"/>
  <c r="AW116" i="1"/>
  <c r="AW109" i="1"/>
  <c r="AV98" i="1"/>
  <c r="AV78" i="1"/>
  <c r="AW78" i="1"/>
  <c r="AU64" i="1"/>
  <c r="AV322" i="1"/>
  <c r="AV237" i="1"/>
  <c r="AV232" i="1"/>
  <c r="AV227" i="1"/>
  <c r="AV222" i="1"/>
  <c r="AV109" i="1"/>
  <c r="AU102" i="1"/>
  <c r="AU98" i="1"/>
  <c r="AU82" i="1"/>
  <c r="AW82" i="1"/>
  <c r="AU73" i="1"/>
  <c r="AV64" i="1"/>
  <c r="AW64" i="1"/>
  <c r="AU59" i="1"/>
  <c r="AU54" i="1"/>
  <c r="AU49" i="1"/>
  <c r="AU44" i="1"/>
  <c r="AU39" i="1"/>
  <c r="AU34" i="1"/>
  <c r="AU29" i="1"/>
  <c r="AU24" i="1"/>
  <c r="AV135" i="1"/>
  <c r="AW135" i="1"/>
  <c r="AU86" i="1"/>
  <c r="AV86" i="1"/>
  <c r="AW86" i="1"/>
  <c r="AV73" i="1"/>
  <c r="AW73" i="1"/>
  <c r="AV59" i="1"/>
  <c r="AW59" i="1"/>
  <c r="AV54" i="1"/>
  <c r="AW54" i="1"/>
  <c r="AV49" i="1"/>
  <c r="AW49" i="1"/>
  <c r="AV44" i="1"/>
  <c r="AW44" i="1"/>
  <c r="AU19" i="1"/>
  <c r="AW160" i="1"/>
  <c r="AU94" i="1"/>
  <c r="AW94" i="1"/>
  <c r="AV68" i="1"/>
  <c r="AW68" i="1"/>
  <c r="AV19" i="1"/>
  <c r="AW19" i="1"/>
  <c r="AW329" i="1"/>
  <c r="AW324" i="1"/>
  <c r="AW319" i="1"/>
  <c r="AW314" i="1"/>
  <c r="AW309" i="1"/>
  <c r="AW304" i="1"/>
  <c r="AW299" i="1"/>
  <c r="AW294" i="1"/>
  <c r="AW289" i="1"/>
  <c r="AW284" i="1"/>
  <c r="AW279" i="1"/>
  <c r="AW274" i="1"/>
  <c r="AW269" i="1"/>
  <c r="AW264" i="1"/>
  <c r="AW259" i="1"/>
  <c r="AW254" i="1"/>
  <c r="AW249" i="1"/>
  <c r="AW244" i="1"/>
  <c r="AW239" i="1"/>
  <c r="AW234" i="1"/>
  <c r="AW229" i="1"/>
  <c r="AW224" i="1"/>
  <c r="AW219" i="1"/>
  <c r="AW214" i="1"/>
  <c r="AW209" i="1"/>
  <c r="AW204" i="1"/>
  <c r="AW199" i="1"/>
  <c r="AW194" i="1"/>
  <c r="AW189" i="1"/>
  <c r="AW184" i="1"/>
  <c r="AV176" i="1"/>
  <c r="AU168" i="1"/>
  <c r="AV162" i="1"/>
  <c r="AV147" i="1"/>
  <c r="AV144" i="1"/>
  <c r="AU128" i="1"/>
  <c r="AV125" i="1"/>
  <c r="AW125" i="1"/>
  <c r="AV90" i="1"/>
  <c r="AW90" i="1"/>
  <c r="AU77" i="1"/>
  <c r="AW77" i="1"/>
  <c r="AV63" i="1"/>
  <c r="AW63" i="1"/>
  <c r="AU58" i="1"/>
  <c r="AU53" i="1"/>
  <c r="AU48" i="1"/>
  <c r="AU43" i="1"/>
  <c r="AU38" i="1"/>
  <c r="AU33" i="1"/>
  <c r="AU28" i="1"/>
  <c r="AU23" i="1"/>
  <c r="AV14" i="1"/>
  <c r="AW14" i="1"/>
  <c r="AU9" i="1"/>
  <c r="AV9" i="1"/>
  <c r="AW9" i="1"/>
  <c r="AV329" i="1"/>
  <c r="AV324" i="1"/>
  <c r="AV319" i="1"/>
  <c r="AV314" i="1"/>
  <c r="AV309" i="1"/>
  <c r="AV304" i="1"/>
  <c r="AV299" i="1"/>
  <c r="AV294" i="1"/>
  <c r="AV289" i="1"/>
  <c r="AV284" i="1"/>
  <c r="AV279" i="1"/>
  <c r="AV274" i="1"/>
  <c r="AV269" i="1"/>
  <c r="AV264" i="1"/>
  <c r="AV259" i="1"/>
  <c r="AV254" i="1"/>
  <c r="AV249" i="1"/>
  <c r="AV244" i="1"/>
  <c r="AV239" i="1"/>
  <c r="AV234" i="1"/>
  <c r="AV229" i="1"/>
  <c r="AV224" i="1"/>
  <c r="AV219" i="1"/>
  <c r="AV214" i="1"/>
  <c r="AV209" i="1"/>
  <c r="AV204" i="1"/>
  <c r="AV199" i="1"/>
  <c r="AV194" i="1"/>
  <c r="AV189" i="1"/>
  <c r="AV184" i="1"/>
  <c r="AU141" i="1"/>
  <c r="AW141" i="1"/>
  <c r="AW137" i="1"/>
  <c r="AV108" i="1"/>
  <c r="AV105" i="1"/>
  <c r="AW105" i="1"/>
  <c r="AV58" i="1"/>
  <c r="AW58" i="1"/>
  <c r="AV53" i="1"/>
  <c r="AW53" i="1"/>
  <c r="AV48" i="1"/>
  <c r="AW48" i="1"/>
  <c r="AV43" i="1"/>
  <c r="AW43" i="1"/>
  <c r="AV38" i="1"/>
  <c r="AW38" i="1"/>
  <c r="AV33" i="1"/>
  <c r="AW33" i="1"/>
  <c r="AV28" i="1"/>
  <c r="AW28" i="1"/>
  <c r="AV23" i="1"/>
  <c r="AW23" i="1"/>
  <c r="AU18" i="1"/>
  <c r="AU118" i="1"/>
  <c r="AV115" i="1"/>
  <c r="AW115" i="1"/>
  <c r="AU108" i="1"/>
  <c r="AV93" i="1"/>
  <c r="AU72" i="1"/>
  <c r="AV18" i="1"/>
  <c r="AW18" i="1"/>
  <c r="AU8" i="1"/>
  <c r="AW165" i="1"/>
  <c r="AU153" i="1"/>
  <c r="AW153" i="1"/>
  <c r="AU131" i="1"/>
  <c r="AW131" i="1"/>
  <c r="AU101" i="1"/>
  <c r="AW101" i="1"/>
  <c r="AU97" i="1"/>
  <c r="AW97" i="1"/>
  <c r="AU93" i="1"/>
  <c r="AV37" i="1"/>
  <c r="AW37" i="1"/>
  <c r="AV32" i="1"/>
  <c r="AW32" i="1"/>
  <c r="AV27" i="1"/>
  <c r="AW27" i="1"/>
  <c r="AV22" i="1"/>
  <c r="AW22" i="1"/>
  <c r="AV13" i="1"/>
  <c r="AW13" i="1"/>
  <c r="AV8" i="1"/>
  <c r="AW8" i="1"/>
  <c r="AW356" i="1"/>
  <c r="AW351" i="1"/>
  <c r="AW346" i="1"/>
  <c r="AW341" i="1"/>
  <c r="AW336" i="1"/>
  <c r="AW331" i="1"/>
  <c r="AW326" i="1"/>
  <c r="AW321" i="1"/>
  <c r="AW316" i="1"/>
  <c r="AW311" i="1"/>
  <c r="AW306" i="1"/>
  <c r="AW301" i="1"/>
  <c r="AW296" i="1"/>
  <c r="AW291" i="1"/>
  <c r="AW286" i="1"/>
  <c r="AW281" i="1"/>
  <c r="AW276" i="1"/>
  <c r="AW271" i="1"/>
  <c r="AW266" i="1"/>
  <c r="AW261" i="1"/>
  <c r="AW256" i="1"/>
  <c r="AW251" i="1"/>
  <c r="AW246" i="1"/>
  <c r="AW241" i="1"/>
  <c r="AW236" i="1"/>
  <c r="AW231" i="1"/>
  <c r="AW226" i="1"/>
  <c r="AW221" i="1"/>
  <c r="AW216" i="1"/>
  <c r="AW211" i="1"/>
  <c r="AW206" i="1"/>
  <c r="AW201" i="1"/>
  <c r="AU173" i="1"/>
  <c r="AV85" i="1"/>
  <c r="AW85" i="1"/>
  <c r="AU62" i="1"/>
  <c r="AU57" i="1"/>
  <c r="AU52" i="1"/>
  <c r="AU47" i="1"/>
  <c r="AU37" i="1"/>
  <c r="AU22" i="1"/>
  <c r="AV17" i="1"/>
  <c r="AW17" i="1"/>
  <c r="AW156" i="1"/>
  <c r="AW150" i="1"/>
  <c r="AU121" i="1"/>
  <c r="AW121" i="1"/>
  <c r="AW117" i="1"/>
  <c r="AW107" i="1"/>
  <c r="AU17" i="1"/>
  <c r="AV12" i="1"/>
  <c r="AW12" i="1"/>
  <c r="AV7" i="1"/>
  <c r="AW7" i="1"/>
  <c r="AW164" i="1"/>
  <c r="AW152" i="1"/>
  <c r="AV117" i="1"/>
  <c r="AV114" i="1"/>
  <c r="AV107" i="1"/>
  <c r="AU104" i="1"/>
  <c r="AU12" i="1"/>
  <c r="AU7" i="1"/>
  <c r="AV175" i="1"/>
  <c r="AW172" i="1"/>
  <c r="AW170" i="1"/>
  <c r="AV164" i="1"/>
  <c r="AW161" i="1"/>
  <c r="AV152" i="1"/>
  <c r="AV146" i="1"/>
  <c r="AV140" i="1"/>
  <c r="AW140" i="1"/>
  <c r="AU111" i="1"/>
  <c r="AW111" i="1"/>
  <c r="AV88" i="1"/>
  <c r="AW283" i="1"/>
  <c r="AW278" i="1"/>
  <c r="AW273" i="1"/>
  <c r="AW268" i="1"/>
  <c r="AW263" i="1"/>
  <c r="AW258" i="1"/>
  <c r="AW253" i="1"/>
  <c r="AW248" i="1"/>
  <c r="AW243" i="1"/>
  <c r="AW238" i="1"/>
  <c r="AW233" i="1"/>
  <c r="AW228" i="1"/>
  <c r="AW223" i="1"/>
  <c r="AW218" i="1"/>
  <c r="AW213" i="1"/>
  <c r="AW208" i="1"/>
  <c r="AW203" i="1"/>
  <c r="AW198" i="1"/>
  <c r="AW193" i="1"/>
  <c r="AW188" i="1"/>
  <c r="AW183" i="1"/>
  <c r="AU175" i="1"/>
  <c r="AV172" i="1"/>
  <c r="AV161" i="1"/>
  <c r="AV155" i="1"/>
  <c r="AW149" i="1"/>
  <c r="AU120" i="1"/>
  <c r="AU88" i="1"/>
  <c r="AU84" i="1"/>
  <c r="AV80" i="1"/>
  <c r="AW80" i="1"/>
  <c r="AU75" i="1"/>
  <c r="AV158" i="1"/>
  <c r="AU155" i="1"/>
  <c r="AV136" i="1"/>
  <c r="AU133" i="1"/>
  <c r="AV130" i="1"/>
  <c r="AW130" i="1"/>
  <c r="AV103" i="1"/>
  <c r="AV100" i="1"/>
  <c r="AW100" i="1"/>
  <c r="AU96" i="1"/>
  <c r="AW96" i="1"/>
  <c r="AU92" i="1"/>
  <c r="AW92" i="1"/>
  <c r="AU60" i="1"/>
  <c r="AU55" i="1"/>
  <c r="AU50" i="1"/>
  <c r="AU45" i="1"/>
  <c r="AU40" i="1"/>
  <c r="AU35" i="1"/>
  <c r="AU30" i="1"/>
  <c r="AU25" i="1"/>
  <c r="AU20" i="1"/>
  <c r="AW72" i="1"/>
  <c r="AW67" i="1"/>
  <c r="AW62" i="1"/>
  <c r="AW57" i="1"/>
  <c r="AW52" i="1"/>
  <c r="AW47" i="1"/>
  <c r="AW42" i="1"/>
  <c r="AW89" i="1"/>
  <c r="AW84" i="1"/>
  <c r="AW79" i="1"/>
  <c r="AW74" i="1"/>
  <c r="AW69" i="1"/>
  <c r="AV39" i="1"/>
  <c r="AV34" i="1"/>
  <c r="AV29" i="1"/>
  <c r="AV24" i="1"/>
  <c r="AW4" i="1"/>
  <c r="AW81" i="1"/>
  <c r="AW76" i="1"/>
  <c r="AW71" i="1"/>
  <c r="AW66" i="1"/>
  <c r="AW61" i="1"/>
  <c r="AW56" i="1"/>
  <c r="AW51" i="1"/>
  <c r="AW46" i="1"/>
  <c r="AW41" i="1"/>
  <c r="AW36" i="1"/>
  <c r="AW31" i="1"/>
  <c r="AW26" i="1"/>
  <c r="AW21" i="1"/>
  <c r="AW16" i="1"/>
  <c r="AW11" i="1"/>
  <c r="AW6" i="1"/>
  <c r="AV81" i="1"/>
  <c r="AV76" i="1"/>
  <c r="AV71" i="1"/>
  <c r="AV66" i="1"/>
  <c r="AV61" i="1"/>
  <c r="AV56" i="1"/>
  <c r="AV51" i="1"/>
  <c r="AV46" i="1"/>
  <c r="AV41" i="1"/>
  <c r="AV36" i="1"/>
  <c r="AV31" i="1"/>
  <c r="AV26" i="1"/>
  <c r="AV11" i="1"/>
  <c r="AV6" i="1"/>
  <c r="AU3" i="1"/>
  <c r="AW3" i="1"/>
  <c r="AW148" i="1"/>
  <c r="AW143" i="1"/>
  <c r="AW138" i="1"/>
  <c r="AW133" i="1"/>
  <c r="AW128" i="1"/>
  <c r="AW123" i="1"/>
  <c r="AW118" i="1"/>
  <c r="AW113" i="1"/>
  <c r="AW60" i="1"/>
  <c r="AW55" i="1"/>
  <c r="AW50" i="1"/>
  <c r="AW45" i="1"/>
  <c r="AW40" i="1"/>
  <c r="AW35" i="1"/>
  <c r="AW30" i="1"/>
  <c r="AW25" i="1"/>
  <c r="AW20" i="1"/>
  <c r="AW15" i="1"/>
  <c r="AW10" i="1"/>
  <c r="AW5" i="1"/>
  <c r="AW2" i="1"/>
</calcChain>
</file>

<file path=xl/sharedStrings.xml><?xml version="1.0" encoding="utf-8"?>
<sst xmlns="http://schemas.openxmlformats.org/spreadsheetml/2006/main" count="18934" uniqueCount="11186">
  <si>
    <t>undefined</t>
  </si>
  <si>
    <t>['thermal deactivation', 'polarized photoacoustic', 'polarized components', 'polarized absorption', 'phycobilisomes isolated', 'excitation donor', 'emission spectra', 'antenna complexes', 'acceptor chromophores', '85 k']</t>
  </si>
  <si>
    <t>Cyanobacteria | excitation energy transfer | photoacoustic spectra | phycobilisomes | polarized fluorescence | polyvinyl alcohol (PVA) films</t>
  </si>
  <si>
    <t>Polarized absorption (at 296 and 85 K), fluorescence, and photoacoustic (at 296 and 85 K) spectra of antenna complexes-phycobilisomes isolated from cyanobacteria Tolypothrix tenuis and Oscillatoria and embedded in isotropic and anisotropic polyvinyl alcohol films-were measured. From the sets of polarized components of emission, the anisotropy of fluorescence for the pools of differently oriented molecules was calculated. On the basis of polarized photoacoustic and emission spectra, the competition between the process of thermal deactivation of excitation and excitation energy transfer in a chain of excitation donor and acceptor chromophores of phycobilisomes is discussed. ¬© 1991 Plenum Publishing Corporation.</t>
  </si>
  <si>
    <t>225-234</t>
  </si>
  <si>
    <t>Journal</t>
  </si>
  <si>
    <t>Journal of Fluorescence</t>
  </si>
  <si>
    <t>60021501;60021501-60008555;60021501;60021501</t>
  </si>
  <si>
    <t>57204227660;6701531868;6601959506;35510906100</t>
  </si>
  <si>
    <t>FrƒÖckowiak, D.;Dudkowiak, A.;Zelent, B.;Leblanc, R. M.</t>
  </si>
  <si>
    <t>Canada;Poland</t>
  </si>
  <si>
    <t>Trois-Rivieres;Poznan</t>
  </si>
  <si>
    <t>Universit√© du Qu√©bec √† Trois-Rivi√®res;Politechnika Poznanska</t>
  </si>
  <si>
    <t>60021501;60008555</t>
  </si>
  <si>
    <t>FrƒÖckowiak D.</t>
  </si>
  <si>
    <t>Article</t>
  </si>
  <si>
    <t>ar</t>
  </si>
  <si>
    <t>Fluorescence anisotropy of cyanobacterial phycobilisomes oriented in polyvinyl alcohol (PVA) films</t>
  </si>
  <si>
    <t>10.1007/BF00865247</t>
  </si>
  <si>
    <t>2-s2.0-0000034739</t>
  </si>
  <si>
    <t>['‚ äêexamination', 'wiley blackwell', 'rights reserved', 'particular attention', 'functional aspects', 'comparative morphology', 'caudal furcae', 'antennae 1']</t>
  </si>
  <si>
    <t>A re‚Äêexamination of the morphology of the female and male of Parastenocaris phyllura Kiefer, 1938 is presented using light and scanning electron microscopy. Particular attention is given to the structures of the antennae 1 and 2, the mouthparts, the pereopods, the female genital field and the caudal furcae. Five morphologically distinct copepodid stages are described. Comparative morphology and functional aspects of the adults and copepodids are discussed. Copyright ¬© 1991, Wiley Blackwell. All rights reserved</t>
  </si>
  <si>
    <t>375-393</t>
  </si>
  <si>
    <t>Zoologica Scripta</t>
  </si>
  <si>
    <t>GLATZEL, THOMAS</t>
  </si>
  <si>
    <t>Germany</t>
  </si>
  <si>
    <t>Oldenburg</t>
  </si>
  <si>
    <t>Universit√§t Oldenburg</t>
  </si>
  <si>
    <t>GLATZEL T.</t>
  </si>
  <si>
    <t>Neue morphologische Aspekte und die Copepodid‚ÄêStadien von Parastenocaris phyllura Kiefer (Copepoda, Harpacticoida)</t>
  </si>
  <si>
    <t>030032569190015L</t>
  </si>
  <si>
    <t>10.1111/j.1463-6409.1991.tb00302.x</t>
  </si>
  <si>
    <t>2-s2.0-0000256176</t>
  </si>
  <si>
    <t>n</t>
  </si>
  <si>
    <t>['¬© 1991', 'studies performed', 'sodium styrenesulfonate', 'simulated radiation', 'rights reserved', 'exciplex intermediate', 'exciplex formation', 'aqueous solution']</t>
  </si>
  <si>
    <t>Photodechlorination of 2,2‚Ä≤,3,3‚Ä≤,6,6‚Ä≤-hexachlorobiphenyl (HCB) solubilized in an aqueous solution of poly(sodium styrenesulfonate-co-2-vinylnaphthalene) (PSSS-VN) was studied with use of solar-simulated radiation. The reaction was found to be photosensitized by the naphthalene antenna units present in the copolymer. Studies performed in a low molecular weight model system have shown that dechlorination of HCB may occur via an exciplex intermediate. Exciplex formation in the system is efficient because of the high local concentration of HCB in proximity to the naphthalene polymeric units. ¬© 1991, American Chemical Society. All rights reserved.</t>
  </si>
  <si>
    <t>253-258</t>
  </si>
  <si>
    <t>Journal of the American Chemical Society</t>
  </si>
  <si>
    <t>60021361;60016849;60016849</t>
  </si>
  <si>
    <t>7004369519;7801407296;7102379256</t>
  </si>
  <si>
    <t>Nowakowska, M.;Sustar, E.;Guillet, J. E.</t>
  </si>
  <si>
    <t>Poland;Canada</t>
  </si>
  <si>
    <t>Krakow;Toronto</t>
  </si>
  <si>
    <t>Uniwersytet Jagiello≈Ñski;University of Toronto</t>
  </si>
  <si>
    <t>60021361;60016849</t>
  </si>
  <si>
    <t>Nowakowska M.</t>
  </si>
  <si>
    <t>Studies of the Antenna Effect in Polymer Molecules. 23. Photosensitized Dechlorination of 2,2‚Ä≤,3,3‚Ä≤,6,6‚Ä≤-Hexachlorobiphenyl Solubilized in an Aqueous Solution of Poly(sodium styrenesulfonate-co-2-vinylnaphthalene)</t>
  </si>
  <si>
    <t>10.1021/ja00001a036</t>
  </si>
  <si>
    <t>2-s2.0-0000257214</t>
  </si>
  <si>
    <t>['sea water', 'scattering cross', 'real axis', 'radiation efficiencies', 'present work', 'numerical simulations', 'numerical modeling', 'numerical integration', 'method together', 'integral equation', 'input admittances', 'ground interface', 'francis group', 'electromagnetic properties', 'efficient computation', 'differential equation', 'current distributions', 'computation methods', 'antenna grounding']</t>
  </si>
  <si>
    <t>The purpose of the present work is the numerical modeling of partially buried vertical wire-antennas and scatterers. Our interest is in an efficient computation of their electromagnetic properties. Analytically the problem is formulated in terms of an integro-differential equation over the wire current across the air-ground interface. This equation is then converted into a numerically solvable form by means of Galerkin's method together with the piece-wise linear functions. The inverse Bessel transforms, commonly called Sommerfeld integrals, appearing in the Kernel of the integral equation have been evaluated by numerical integration over the real axis. The resulting computer code‚ÄúSTAKE,‚Äù which permits the numerical simulations of partially buried vertical wires, proved to be efficient and accurate in comparison with other computation methods. First the problem of antenna grounding has been investigated for the cases of soil and sea water. The current distributions, input admittances and radiation efficiencies are computed for various penetration depths of the wire into the ground. Second the scattering cross-sections are computed again for soil and sea water. ¬© 1991 Taylor &amp; Francis Group, LLC.</t>
  </si>
  <si>
    <t>309-334</t>
  </si>
  <si>
    <t>1532527X</t>
  </si>
  <si>
    <t>Electromagnetics</t>
  </si>
  <si>
    <t>60121438;60121438</t>
  </si>
  <si>
    <t>57012281000;7005780321</t>
  </si>
  <si>
    <t>Lin, C. C.;Mei, K. K.</t>
  </si>
  <si>
    <t>United States</t>
  </si>
  <si>
    <t>Berkeley</t>
  </si>
  <si>
    <t>University of California, Berkeley</t>
  </si>
  <si>
    <t>Lin C.</t>
  </si>
  <si>
    <t>Radiation and scattering from partially buried vertical wires</t>
  </si>
  <si>
    <t>10.1080/02726348208915170</t>
  </si>
  <si>
    <t>2-s2.0-0000277472</t>
  </si>
  <si>
    <t>['transfer time', 'transfer may', 'reaction mechanism', 'qx band', 'intensively investigated', 'allenic carotenoid', '3 ps']</t>
  </si>
  <si>
    <t>- The functioning of carotenoids in photosynthesis is discussed in relation to the reaction mechanism. The energy transfer process from the allenic carotenoid, fucoxanthin, to chl a was intensively investigated in the newly isolated fucoxanthin-chl a/c protein assembly (FCPA) from a brown alga Dictyota dichotoma. The transfer time was shorter than 3 ps at 15¬∞C. The energy level responsible for transfer may not be the Qx band of chi a, contrary to the proposal for the transfer in the bacterial antenna system. ¬© 1991 IUPAC</t>
  </si>
  <si>
    <t>123-130</t>
  </si>
  <si>
    <t>Pure and Applied Chemistry</t>
  </si>
  <si>
    <t>100456411;60011001</t>
  </si>
  <si>
    <t>7006461138;7401529775</t>
  </si>
  <si>
    <t>Mimuro, Mamoru;Katoh, Tetzuya</t>
  </si>
  <si>
    <t>Japan;United States</t>
  </si>
  <si>
    <t>Kyoto;</t>
  </si>
  <si>
    <t>Kyoto University;National Institute for Basic Biology</t>
  </si>
  <si>
    <t>60011001;100456411</t>
  </si>
  <si>
    <t>Mimuro M.</t>
  </si>
  <si>
    <t>Carotenoids in photosynthesis: Absorption, transfer and dissipation of light energy</t>
  </si>
  <si>
    <t>10.1351/pac199163010123</t>
  </si>
  <si>
    <t>2-s2.0-0000305513</t>
  </si>
  <si>
    <t>['¬© 1991', 'various combinations', 'slowly decreased', 'slow ",', 'similar post', 'scape muscles', 'repeated stimulation', 'regularly followed', 'possible connections', 'peptidergic cotransmitters', 'pentapeptide proctolin', 'muscle systems', 'motor nerves', 'locusta migratoria', 'intracellular recordings', 'intermediate ",', 'identified neurones', 'histological findings', 'head capsule', 'five steps', 'electrophysiological techniques', 'electrically stimulated', 'electrical stimulation', 'contraction strength', 'central projections', 'antennal muscles', 'antennal motoneurones', 'antennal levator']</t>
  </si>
  <si>
    <t>Antenna | antennal muscles | locust | motoneurones</t>
  </si>
  <si>
    <t>the antennal muscles and antennal motoneurones of Locusta migratoria were investigated with neuroanatomical and electrophysiological techniques. The motor nerves of each scape muscle contain five motoneurones. The antennal levator and depressor muscles within the head capsule are innervated by four and six motoneurones respectively including one common motoneurone. The central projections of the antennal motoneurones are described and possible connections to identified neurones are discussed. Intracellular recordings from the scape muscles revealed that the fibres are innervated by various combinations of "slow", "intermediate", "fast" and "inhibitory" motoneurones, defined by the occurrence and amplitude of the recorded junction potentials. "Slow"-innervation predominated in the fibres of the median scape muscle, whereas most fibres of the lateral scape muscle were found to be innervated by a "fast"-motoneurone. Scape muscle motoneurones were electrically stimulated and the resulting muscle tension was measured. In agreement with the histological findings, electrical stimulation with varying stimulus amplitude resulted in a maximum of five steps of contraction strength. Stronger tetanic contractures of both scape muscles were regularly followed by post-contractions which slowly decreased in amplitude with repeated stimulation. Similar post-contractions have recently been described in nerve-muscle systems of arthropods in connection with peptidergic cotransmitters, in particular the pentapeptide proctolin. ¬© 1991.</t>
  </si>
  <si>
    <t>551-562</t>
  </si>
  <si>
    <t>Journal of Insect Physiology</t>
  </si>
  <si>
    <t>60028229;60028229</t>
  </si>
  <si>
    <t>7402388796;6701785707</t>
  </si>
  <si>
    <t>Bauer, Christiane K.;Gewecke, Michael</t>
  </si>
  <si>
    <t>Hamburg</t>
  </si>
  <si>
    <t>Universit√§t Hamburg</t>
  </si>
  <si>
    <t>Bauer C.K.</t>
  </si>
  <si>
    <t>Motoneuronal control of antennal muscles in Locusta migratoria</t>
  </si>
  <si>
    <t>0022-1910(91)90032-U</t>
  </si>
  <si>
    <t>10.1016/0022-1910(91)90032-U</t>
  </si>
  <si>
    <t>2-s2.0-0000379469</t>
  </si>
  <si>
    <t>['tanacetum vulgare', 'summer savory', 'satureja hortensis', 'pentenyl isothiocyanate', 'lipaphis erysimi', 'latter species', 'isothiocyanate receptors', 'host plants', 'host plant', 'fabae responded', 'euonymus europaeus', 'electrophysiological studies', 'brevicoryne brassicae', 'autumn migrants', 'apterous virginoparae', 'alate virginoparae']</t>
  </si>
  <si>
    <t>Aphid | Aphididae | Aphis fabae | Brevicoryne brassicae | electrophysiology | Homoptera | isothiocyanate | Lipaphis erysimi | odor masking | olfaction | plant volatiles | repellent</t>
  </si>
  <si>
    <t>Alate and apterous virginoparae of Aphis fabae Scop, and alate virginoparae of Brevicoryne brassicae (L.), walking in a linear track olfactometer, were attracted by odor from leaves of their host plants. A. fabae responded to odor from undamaged but not damaged bean leaves. Gynoparae (autumn migrants) of A. fabae, however, did not respond to their host plant (spindle, Euonymus europaeus) odor. Odors of certain nonhost plants masked the attractiveness of the host plant leaves, but tansy (Tanacetum vulgare) and summer savory (Satureja hortensis) volatiles repelled B. brassicae and A. fabae, respectively. 3-Butenyl isothiocyanate attracted B. brassicae and Lipaphis erysimi (Kalt.), the latter species being more sensitive in both behavioral and electrophysiological studies. Isothiocyanate receptors were found on the antennae of A. fabae, which was repelled by these compounds, 4-pentenyl isothiocyanate being the most active. ¬© 1991 Plenum Publishing Corporation.</t>
  </si>
  <si>
    <t>1231-1242</t>
  </si>
  <si>
    <t>Journal of Chemical Ecology</t>
  </si>
  <si>
    <t>60015150;60015150;60009401;60009401;60009401;60009401;60009401</t>
  </si>
  <si>
    <t>16459708800;7101763729;7201539105;7004201769;7101754379;7003829798;7103167157</t>
  </si>
  <si>
    <t>Nottingham, Stephen F.;Hardie, Jim;Dawson, Glenn W.;Hick, Alastair J.;Pickett, John A.;Wadhams, Lester J.;Woodcock, Christine M.</t>
  </si>
  <si>
    <t>United Kingdom;United Kingdom</t>
  </si>
  <si>
    <t>London;Swindon</t>
  </si>
  <si>
    <t>Imperial College London;Biotechnology and Biological Sciences Research Council</t>
  </si>
  <si>
    <t>60015150;60009401</t>
  </si>
  <si>
    <t>Nottingham S.F.</t>
  </si>
  <si>
    <t>Behavioral and electrophysiological responses of Aphids to host and nonhost plant volatiles</t>
  </si>
  <si>
    <t>10.1007/BF01402946</t>
  </si>
  <si>
    <t>2-s2.0-0000394564</t>
  </si>
  <si>
    <t>['rips chadwicki', 'new sub', 'new genus', 'male cones', 'known member', 'francis ltd', 'family name', 'family aeolothripidae', 'closely related']</t>
  </si>
  <si>
    <t>Cycadothripinae | Cycads | Dactuliothripinae | Thrips</t>
  </si>
  <si>
    <t>A new genus and species of Thysanoptera: Aeolothripidae, Cycad.oth.rips chadwicki, is described, collected from within the male cones of the cycad Macrozamia communis in Australia. This is the first published record of a member of this Order of insects from this family of Gymnosperms, but its relationship to these plants remains unknown. Details of the structure of the antennae and seventh abdominal segment suggest that the species is not closely related to any known member of the family Aeolothripidae, and so a new sub-family name is proposed. ¬© 1991 Taylor &amp; Francis Ltd.</t>
  </si>
  <si>
    <t>647-652</t>
  </si>
  <si>
    <t>Journal of Natural History</t>
  </si>
  <si>
    <t>May-June 1991</t>
  </si>
  <si>
    <t>Mound, Laurence</t>
  </si>
  <si>
    <t>United Kingdom</t>
  </si>
  <si>
    <t>London</t>
  </si>
  <si>
    <t>The Natural History Museum, London</t>
  </si>
  <si>
    <t>Mound L.</t>
  </si>
  <si>
    <t>The first thrips species (Insecta, thysanoptera) from cycad male cones, and its family level significance</t>
  </si>
  <si>
    <t>10.1080/00222939100770411</t>
  </si>
  <si>
    <t>2-s2.0-0000616928</t>
  </si>
  <si>
    <t>National Institutes of Health</t>
  </si>
  <si>
    <t>GM-30353</t>
  </si>
  <si>
    <t>NIH</t>
  </si>
  <si>
    <t>['studies revealing', 'structural features', 'spectroscopic studies', 'permitted elucidation', 'molecular details', 'explicit routes', 'carotenoid triplet', 'bacteriochlorophyll singlet']</t>
  </si>
  <si>
    <t>Carotenoids from phototrophic bacteria carry out light-harvesting in antenna proteins via carotenoid-to-bacteriochlorophyll singlet-singlet energy transfer and photoprotection in the reaction center via bacteriochlorophyll-to-carotenoid triplet-triplet energy transfer. Spectroscopic studies have permitted elucidation of the explicit routes of these transfers in pigment-protein complexes obtained from the bacterium Rhodobacter sphaeroides. The molecular details of these mechanisms are presented and discussed in conjunction with studies revealing the structural features of the complexes. ¬© 1991 IUPAC</t>
  </si>
  <si>
    <t>109-114</t>
  </si>
  <si>
    <t>60022659;60022659;60007776;60007776;60007776;60007776</t>
  </si>
  <si>
    <t>7201842354;6603196101;57212915903;6701620377;57213437301;7102991911</t>
  </si>
  <si>
    <t>Frank, H. A.;Violette, C. A.;Trautman, J. K.;Shreve, A. P.;Owens, T. G.;Albrecht, A. C.</t>
  </si>
  <si>
    <t>United States;United States</t>
  </si>
  <si>
    <t>Storrs;Ithaca</t>
  </si>
  <si>
    <t>University of Connecticut;Cornell University</t>
  </si>
  <si>
    <t>60022659;60007776</t>
  </si>
  <si>
    <t>Frank H.A.</t>
  </si>
  <si>
    <t>Carotenoids in photosynthesis: Structure and photochemistry</t>
  </si>
  <si>
    <t>10.1351/pac199163010109</t>
  </si>
  <si>
    <t>2-s2.0-0000628575</t>
  </si>
  <si>
    <t>['‚ äêstudied', '‚ äêinvestigation', 'special attention', 'schematic diagrams', 'quite contradictory', 'present paper', 'polychaete families', 'panthalis oerstedi', 'palp ganglion', 'nervous system', 'lepidonotus squamatus', 'inter alia', 'identifying homologies', 'however valuable', 'harmothoe longisetis', 'fundamental constitution', 'families polynoidae', 'discussion regarding', 'detailed comparisons', 'corresponding observations', 'cephalic appendages', 'broader base', 'brain commissures', 'aphroditacean families', 'aphroditacean brain', 'anterior end']</t>
  </si>
  <si>
    <t>Abstract Earlier papers dealing with the innervation and homologues of the anterior end appendages of some aphroditacean families were re‚Äêstudied. However valuable these earlier works may be, in some respects they proved to be insufficient for detailed comparisons with other polychaete families and some of their statements are quite contradictory. This prompted a re‚Äêinvestigation of the central‚Äêmost parts of the nervous system of representatives of the families Polynoidae, Sigalionidae, Aphroditidae and Acoetidae. In the present paper, the brain commissures and the innervation of, inter alia, the antennae, the palps and the ommatophores (when present) in Lepidonotus squamatus, Harmothoe longisetis, Leanira (Sthenolepis) tetragona, Laetmonice producta benthaliana, and Panthalis oerstedi are described. Special attention is paid to the much‚Äêdebated question about the presence or absence of a palp ganglion. The results, summarized in schematic diagrams, are compared with corresponding observations of the brains of, above all, the ‚Äòspiomorphic‚Äô polychaetes. Using the first Remanian criterion for identifying homologies, equivalents in the aphroditacean brain and the central nervous system of ‚Äòsedentary‚Äô families are proposed. By this a broader base is established for the discussion regarding the fundamental constitution of the anterior end of the polychaetes and the structure and homologues of their cephalic appendages. 1991 The Royal Swedish Academy of Sciences</t>
  </si>
  <si>
    <t>233-246</t>
  </si>
  <si>
    <t>Acta Zoologica</t>
  </si>
  <si>
    <t>Orrhage, Lars</t>
  </si>
  <si>
    <t>Sweden</t>
  </si>
  <si>
    <t>Gothenburg</t>
  </si>
  <si>
    <t>G√∂teborgs Universitet</t>
  </si>
  <si>
    <t>Orrhage L.</t>
  </si>
  <si>
    <t>On the Innervation and Homologues of the Cephalic Appendages of the Aphroditacea (Polychaeta)</t>
  </si>
  <si>
    <t>10.1111/j.1463-6395.1991.tb01201.x</t>
  </si>
  <si>
    <t>2-s2.0-0000673405</t>
  </si>
  <si>
    <t>['¬© 1991', 'substantially different', 'shift measurements', 'quantitative study', 'published literature', 'p levels', 'obtain results', 'metallic surface', 'level shifts', 'general expression', 'excited atom', 'conducting surface', 'cavity qed']</t>
  </si>
  <si>
    <t>We have made a quantitative study of quantum electrodynamic corrections to the energy of some simple atoms near a metallic surface. (i) The two-level atom provides a basic framework within which we discuss the van der Waals, Casimir, and resonant radiative level shifts. In this discussion we show that the level shifts of an excited atom are substantially different from those of a classical dipole antenna. (ii) We calculate the possible cavity QED corrections to the n=2 and n=1 hydrogen Lamb-shift measurements and obtain results that disagree with the published literature. (iii) We find a general expression for the shifts of the lowest S and P levels of alkali-metal atoms near a conducting surface. These might be studied in the laboratory as a test of cavity QED. ¬© 1991 The American Physical Society.</t>
  </si>
  <si>
    <t>398-403</t>
  </si>
  <si>
    <t>Physical Review A</t>
  </si>
  <si>
    <t>60005455;60005455</t>
  </si>
  <si>
    <t>7006963786;7004272833</t>
  </si>
  <si>
    <t>Hinds, E. A.;Sandoghdar, V.</t>
  </si>
  <si>
    <t>New Haven</t>
  </si>
  <si>
    <t>Yale University</t>
  </si>
  <si>
    <t>Hinds E.</t>
  </si>
  <si>
    <t>Cavity QED level shifts of simple atoms</t>
  </si>
  <si>
    <t>10.1103/PhysRevA.43.398</t>
  </si>
  <si>
    <t>2-s2.0-0000687725</t>
  </si>
  <si>
    <t>['thylakoids isolated', 'schatz eh', 'reaction centers', 'reaction center', 'psii photoinhibition', 'psii light', 'psii activity', 'protective mechanisms', 'protective mechanism', 'photosystem ii', 'photoinhibitory light', 'low temperature', 'light leaves', 'induced decrease', 'including photosynthesis', 'holzwarth ar', 'harvesting antenna', 'grown pumpkin', 'grown plants', 'equally sensitive', 'chlorophyll concentration', 'brock h', 'better tolerance', 'antenna chlorophylls']</t>
  </si>
  <si>
    <t>High-light-induced decrease in photosystem II (PSII) electron transfer activity was studied in high- and low-light-grown pumpkin (Cucurbita pepo L.) plants in vivo and in vitro. The PSII light-harvesting antenna of the low-light leaves was estimated to be twice as big as that of the high-light leaves. The low-light leaves were more susceptible to photoinhibition in vivo. However, thylakoids isolated from these two plant materials were equally sensitive to photoinhibition when illuminated in the absence of external electron acceptors. Only the intensity of the photoinhibitory light and the chlorophyll concentration of the sample, not the size of the light-harvesting antenna, determined the rate of PSII photoinhibition in vitro. Because excitation of the reaction center and not only the antenna chlorophylls is a prerequisite for photoinhibition of PSII activity, independence of photoinhibition on antenna size provides support for the hypothesis (Schatz EH, Brock H, Holzwarth AR [1988] Biophys J 54: 397-405) that the excitations of the antenna chlorophylls are in equilibrium with the excitations of the reaction centers. Better tolerance of the high-light leaves in vivo was due to a more active repair process and more powerful protective mechanisms, including photosynthesis. Apparently, some protective mechanism of the high-light-grown plants is at least partially active at low temperature. The protective mechanisms do not appear to function in vitro.</t>
  </si>
  <si>
    <t>477-483</t>
  </si>
  <si>
    <t>Plant Physiology</t>
  </si>
  <si>
    <t>60006876;60006876;60006876;60006876</t>
  </si>
  <si>
    <t>7003513683;6603824276;7007159668;7005316480</t>
  </si>
  <si>
    <t>Tyystj√§rvi, Esa;Koivuniemi, Antti;Kettunen, Reetta;Aro, Eva Mari</t>
  </si>
  <si>
    <t>Finland</t>
  </si>
  <si>
    <t>Turku</t>
  </si>
  <si>
    <t>Turun yliopisto</t>
  </si>
  <si>
    <t>Tyystj√§rvi E.</t>
  </si>
  <si>
    <t>Small light-harvesting antenna does not protect from photoinhibition</t>
  </si>
  <si>
    <t>10.1104/pp.97.2.477</t>
  </si>
  <si>
    <t>2-s2.0-0000982786</t>
  </si>
  <si>
    <t>['waggle run', 'video recordings', 'usually pushed', 'two bees', 'shaded part', 'second follower', 'return run', 'opposite side', 'occasionally moved', 'observation hives', 'inner side', 'heads within', 'follower touched', 'extended antenna', 'eight path', 'dance simultaneously', 'dance field', 'current hypotheses', 'bees surrounding', 'bees perceive', 'apis mellifera', '90 ¬∞', '1 882']</t>
  </si>
  <si>
    <t>Apis mellifera | Attendants | Behaviour | Dance communication | Followers | Honey bees | Recruitment | Video recordings</t>
  </si>
  <si>
    <t>The behaviour of bees surrounding a dancing honey bee (Apis mellifera) was studied, using two colonies in observation hives in a shaded part of an apiary. Video recordings and macrophotography were used to view an area of the dance field. Two distinct behaviours were recognized: that of followers and that of attendants. The attendants stood around the dance field with their antennae stretched towards the dancer, and only occasionally moved with the dancer. Followers continuously ran with the dancer, keeping their heads within the border of the dancer‚Äôs figure-eight path at all times. The angle between the body of the follower and that of the dancer was 90¬∞ during most of the dance, except at the exit of the waggle run. At that time the follower had to cross over to the opposite side of the dancer. The distance between the head of the follower and the dancer‚Äôs body was nearly always smaller (1 758 cases out of a total of 1 882) than the length of an extended antenna. During the return run the follower touched the dancer with antennae most of the time, whereas during the waggle run the followers intermittently touched the dancer. Either one bee (81 % of cases) or two bees (18%) followed the dance simultaneously. The second follower and all other bees were usually pushed out of the follower‚Äôs position because of a lack of space at the inner side of the dancer. These observations are discussed in relation to current hypotheses on how bees perceive the dance. ¬© 1991 International Bee Research Association.</t>
  </si>
  <si>
    <t>125-131</t>
  </si>
  <si>
    <t>Journal of Apicultural Research</t>
  </si>
  <si>
    <t>60031106;60031106</t>
  </si>
  <si>
    <t>6603340780;6601986407</t>
  </si>
  <si>
    <t>Bo≈æiƒç, J.;Valentinƒçiƒç, T.</t>
  </si>
  <si>
    <t>Slovenia</t>
  </si>
  <si>
    <t>Ljubljana</t>
  </si>
  <si>
    <t>Univerza v Ljubljani</t>
  </si>
  <si>
    <t>Bo≈æiƒç J.</t>
  </si>
  <si>
    <t>Attendants and followers of honey bee waggle dances</t>
  </si>
  <si>
    <t>10.1080/00218839.1991.11101246</t>
  </si>
  <si>
    <t>2-s2.0-0001064372</t>
  </si>
  <si>
    <t>['without effect', 'whereas atp', 'voltage response', 'totally suppressed', 'specific role', 'simultaneous gating', 'presumably originated', 'membrane vesicles', 'mature orns', 'developing pupae', 'cyclic gmp', 'clamp techniques', 'channel plays', 'channel patch', 'channel could', 'cell excitability', 'amplitude histograms', '16 ps']</t>
  </si>
  <si>
    <t>Single-channel patch-clamp techniques were used to identify and characterize a Ca2(+)-activated nonspecific cation channel (CAN channel) on insect olfactory receptor neurones (ORNs) from antennae of male Antheraea polyphemus. The CAN channel was found both in acutely isolated ORNs from developing pupae and in membrane vesicles from mature ORNs that presumably originated from inner dendritic segments. Amplitude histograms of the CAN single-channel currents presented well-defined peaks corresponding to at least four channel substates each having a conductance of about 16 pS. Simultaneous gating of the substates was achieved by intracellular Ca2(+) with an EC(50) value of about 80 nmol(-l). Activity of the CAN channel could be blocked by application of amiloride (IC(50)&lt;100 nmoll(-1)). Moreover, in the presence of l Œºmoll(-1) Ca2+,opening of the CAN channel was totally suppressed by 10 Œºmoll(-1) cyclic GMP,whereas ATP (1 mmoll(-1)) was without effect. We suggest that the CAN channel plays a specific role in modulation of cell excitability and in shaping the voltage response of ORNs.</t>
  </si>
  <si>
    <t>455-468</t>
  </si>
  <si>
    <t>The Journal of experimental biology</t>
  </si>
  <si>
    <t>60019722;</t>
  </si>
  <si>
    <t>57207544355;7006063364</t>
  </si>
  <si>
    <t>Zufall, F.;Hatt, H.</t>
  </si>
  <si>
    <t>Munich</t>
  </si>
  <si>
    <t>Technical University of Munich</t>
  </si>
  <si>
    <t>Zufall F.</t>
  </si>
  <si>
    <t>A calcium-activated nonspecific cation channel from olfactory receptor neurones of the silkmoth Antheraea polyphemus.</t>
  </si>
  <si>
    <t>2-s2.0-0001389436</t>
  </si>
  <si>
    <t>['¬© 1991', 'uniporous sensilla', 'tarsal sensilla', 'styloconica ).', 'significant difference', 'sexual dimorphism', 'sensilla unusual', 'sensilla trichodea', 'sensilla basiconica', 'rare uniporous', 'maxillary palps', 'males ).', 'labial palp', 'homoeosoma nebulella', 'food channel', 'first time', 'female antennae', 'different lengths', 'aporous sensilla', '60 multiporous', '3 types', '2 types']</t>
  </si>
  <si>
    <t>Antennae | mouthparts | oviposition | SEM | sexual dimorphism</t>
  </si>
  <si>
    <t>Sensilla on male and female antennae, mouthparts, tarsi and on the ovipositor of the European sunflower moth, Homoeosoma nebulella (Lepidoptera : Pyralidae) have been investigated by means of scanning electron microscope. The antennal flagellum bears multiporous sensilla (trichodea, basiconica, auricillica, coeloconica) and uniporous sensilla (chaetica, styloconica). A sexual dimorphism is found in the numbers of sensilla trichodea (8300 in males and 6000 in females) and sensilla basiconica (1150 in females and 650 in males). The proboscis has uniporous s. styloconica, multiporous s. basiconica (described for the first time in Lepidoptera), aporous s. chaetica, and some rare uniporous s. basiconica in the food channel. The labial palp-pit organ houses multiporous s. coeloconica, while the maxillary palps have aporous sensilla. Tarsi of both sexes possess one type of aporous s. chaetica and 2 types of uniporous s. chaetica. There is no significant difference in the distribution of tarsal sensilla between males and females. The surface of each lobe of the ovipositor is covered by 3 types of aporous s. trichodea of different lengths and about 60 multiporous s. basiconica, sensilla unusual on the ovipositor of Lepidoptera. The role of sensilla in the oviposition site selection is discussed. ¬© 1991.</t>
  </si>
  <si>
    <t>291-307</t>
  </si>
  <si>
    <t>International Journal of Insect Morphology and Embryology</t>
  </si>
  <si>
    <t>Faucheux, Michel J.</t>
  </si>
  <si>
    <t>France</t>
  </si>
  <si>
    <t>Nantes</t>
  </si>
  <si>
    <t>Universit√© de Nantes</t>
  </si>
  <si>
    <t>Faucheux M.</t>
  </si>
  <si>
    <t>Morphology and distribution of sensilia on the cephalic appendages, tarsi and ovipositor of the European sunflower moth, Homoeosoma nebulella Den. &amp; Schiff. (Lepidoptera : Pyralidae)</t>
  </si>
  <si>
    <t>0020-7322(91)90018-5</t>
  </si>
  <si>
    <t>10.1016/0020-7322(91)90018-5</t>
  </si>
  <si>
    <t>2-s2.0-0001423930</t>
  </si>
  <si>
    <t>['‚ àº15', 'œ ±)', 'œ ±', 'synthesis observations', 'surrounding gas', 'similar composite', 'scale sizes', 'rms deviation', 'resolution observations', 'resolution 3', 'radio filaments', 'radio counterpart', 'pulsar psr0458', 'observations span', 'line emission', 'hb9 ),', 'full range', 'filamentary arcs', 'extended structure', 'extend across', 'distance less', 'compressed sheets', 'co observations', 'atomic component', 'apparent lack', 'antenna observations', '4 kpc', '3 km', '2 kpc']</t>
  </si>
  <si>
    <t>We present new high-resolution observations of the 408 and 1420 MHz continuum emission from the large-angular-diameter supernova remnant G160.9 + 2.6 (HB9), and of the H I-line emission from the region of the remnant. The 1420 MHz images have a resolution (full-width, half-power, EW √ó NS) of 1.0‚Ä≤ √ó 1.4‚Ä≤, and are composites of synthesis observations of three separate fields and single-antenna observations of extended structure. The 408 MHz image is a similar composite with resolution 3.5‚Ä≤ √ó 4.8‚Ä≤. Emission from HB9 is dominated by filamentary arcs which extend across the face of the remnant. Where optical (HŒ±) filaments have been observed they generally correspond closely to the radio filaments. However, in at least three places we detect a slight outward displacement of the optical filament relative to its radio counterpart. One prominent radio filament in the northeast has no detectable optical filament despite an apparent lack of obscuration in this direction. Comparisons of the 408 and 1420 MHz images yield a mean spectral index (Sv ‚àù v-Œ±) of Œ± = 0.61 with an rms deviation of 0.08 on scale sizes of ‚àº15% of the remnant's diameter. We find no correlation of the spectral index variations with type of structure, lending some support to the view that the diffuse and filamentary emissions differ only in the degree of alignment of the line of sight with tangencies to compressed sheets of emission. Our H I observations span the full range of Galactic radial velocity with a resolution of 1.3 km/s. No indication of any interaction of HB9 with the atomic component of surrounding gas is evident. A consideration of the H I emission, CO observations of molecular components associated with the H II regions Sh217 and Sh219, and the lack of extinction of optical filaments indicate that HB9 is at a distance less than 4 kpc. The mean radio brightness and x-ray flux lend support to the association of HB9 with the pulsar PSR0458 + 46, probably at a distance near 1.2 kpc.</t>
  </si>
  <si>
    <t>1033-1042</t>
  </si>
  <si>
    <t>Astronomical Journal</t>
  </si>
  <si>
    <t>60002306;60009839</t>
  </si>
  <si>
    <t>57203255923;7006634218</t>
  </si>
  <si>
    <t>Leahy, D. A.;Roger, R. S.</t>
  </si>
  <si>
    <t>Canada;Canada</t>
  </si>
  <si>
    <t>Ottawa ON,;Calgary</t>
  </si>
  <si>
    <t>National Research Council Canada;University of Calgary</t>
  </si>
  <si>
    <t>60009839;60002306</t>
  </si>
  <si>
    <t>Leahy D.A.</t>
  </si>
  <si>
    <t>Radio emission from the supernova remnant G160.9+2.6 (HB9)</t>
  </si>
  <si>
    <t>10.1086/115745</t>
  </si>
  <si>
    <t>2-s2.0-0001426488</t>
  </si>
  <si>
    <t>['separate determination', 'ribbon conductors', 'problems leads', 'method leads', 'francis group', 'boundary conditions', 'average fields']</t>
  </si>
  <si>
    <t>The method of homogenization is applied to derive the boundary conditions for the average fields at a periodic metal grating of ribbon conductors. This method leads to a separate determination of the fine structured boundary layer fields and of the average fields which exist at a distance from the structure. Solution of these problems leads to boundary conditions for the average fields which have been referred to in the literature as ‚Äúequivalent‚Äù or ‚Äúaveraged‚Äù boundary conditions. These conditions can be applied to the solution of the waveguide, scattering, and antenna problems involving electrically fine gratings. ¬© 1991 Taylor &amp; Francis Group, LLC.</t>
  </si>
  <si>
    <t>1217-1236</t>
  </si>
  <si>
    <t>Journal of Electromagnetic Waves and Applications</t>
  </si>
  <si>
    <t>60000221;60000221</t>
  </si>
  <si>
    <t>57012155800;35588296300</t>
  </si>
  <si>
    <t>De Lyser, R. R.;Kuester, E. F.</t>
  </si>
  <si>
    <t>Boulder</t>
  </si>
  <si>
    <t>University of Colorado Boulder</t>
  </si>
  <si>
    <t>De Lyser R.</t>
  </si>
  <si>
    <t>Homogenization analysis of electromagnetic strip gratings</t>
  </si>
  <si>
    <t>10.1163/156939391X00806</t>
  </si>
  <si>
    <t>2-s2.0-0001467611</t>
  </si>
  <si>
    <t>['œîg ¬∞', 'znp subunits', 'znp subunit', 'upon mixing', 'two free', 'photons harvested', 'energy transfer', 'covalently attached', 'complementary h2p']</t>
  </si>
  <si>
    <t>One or two free-base (H2P) or zinc (ZnP) porphyrins have been covalently attached to the nucleic acid bases cytosine and guanine. Upon mixing in CHCl3, the bases dimerize (-13.3 &lt; ŒîG¬∞ &lt; -7.9 kJ mol-1), via multipoint hydrogen bonding, to produce flexible ensembles in which photons harvested by ZnP subunits are transferred to the complementary H2P. Energy transfer is observed from both singlet and triplet excited states of the ZnP subunit. ¬© 1991 American Chemical Society.</t>
  </si>
  <si>
    <t>1530-1532</t>
  </si>
  <si>
    <t>Journal of Physical Chemistry</t>
  </si>
  <si>
    <t>60013372;60013372;60013372</t>
  </si>
  <si>
    <t>7006907877;57216998684;7102304338</t>
  </si>
  <si>
    <t>Harriman, Anthony;Magda, Darren J.;Sessler, Jonathan L.</t>
  </si>
  <si>
    <t>Austin</t>
  </si>
  <si>
    <t>The University of Texas at Austin</t>
  </si>
  <si>
    <t>Harriman A.</t>
  </si>
  <si>
    <t>Photon antennae assembled by nucleic acid base pairing</t>
  </si>
  <si>
    <t>10.1021/j100157a005</t>
  </si>
  <si>
    <t>2-s2.0-0001562764</t>
  </si>
  <si>
    <t>Uyttenboogaart-Eliasen Stichting</t>
  </si>
  <si>
    <t>UES</t>
  </si>
  <si>
    <t>['rtew genus', 'recent expedition', 'previously recorded', 'francis ltd', 'four species', 'falkland islands', 'external morphology', 'cuspidata schellenberg', 'completely redescribed', 'commonest species', 'calceoli discovered']</t>
  </si>
  <si>
    <t>Amphipoda | Calceoli | Falkland Islands | Fresh water | Taxonomy</t>
  </si>
  <si>
    <t>All four species of freshwater amphipods recorded in the literature from the Falkland Islands were found again during a recent expedition. Hyalella curvispina Shoemaker has been previously recorded, but under several incorrect names. Hyalella neonoma nom. nov. is proposed for the preoccupied name H. patagonica, the commonest species in our collections. Falklandella obtusa Schellenberg and F. cuspidata Schellenberg are completely redescribed, and the latter is removed to a rtew genus, Praefalklandella. According to their external morphology, the last two genera belong to the Crangonyctoidea, but the calceoli discovered on both antennae of the male of Praefalklandella are surprisingly of the ‚Äògammarid‚Äô type not the ‚Äòcrangonyctid‚Äô type. ¬© 1994 Taylor &amp; Francis Ltd.</t>
  </si>
  <si>
    <t>1469-1491</t>
  </si>
  <si>
    <t>November-December 1991</t>
  </si>
  <si>
    <t>60003475;60003475</t>
  </si>
  <si>
    <t>7202121840;6506790968</t>
  </si>
  <si>
    <t>Stock, J. H.;Platvoet, D.</t>
  </si>
  <si>
    <t>Netherlands</t>
  </si>
  <si>
    <t>Amsterdam</t>
  </si>
  <si>
    <t>Zoological Museum Amsterdam</t>
  </si>
  <si>
    <t>Stock J.</t>
  </si>
  <si>
    <t>The freshwater amphipoda of the falkland islands</t>
  </si>
  <si>
    <t>10.1080/00222939100770941</t>
  </si>
  <si>
    <t>2-s2.0-0001591901</t>
  </si>
  <si>
    <t>['¬© 1991', 'vertical winds', 'similar magnitude', 'scanning fabry', 'run concurrently', 'return heights', 'region could', 'reflection radar', 'perot spectrometer', 'particle heating', 'observed upwelling', 'neutral atmosphere', 'measured temperature', 'mawson station', 'higher altitudes', 'enhanced ionization', 'direct response', 'atomic oxygen', 'approximately 30', 'antenna partial', 'altitudes less', 'also measured', '110 km']</t>
  </si>
  <si>
    <t>A scanning Fabry-Perot spectrometer (FPS), located at Mawson station, Antarctica (67‚Ä†S, 63¬∞E, invariant latitude 70¬∞S) was used to obtain vertical wind, temperature, and emission intensity measurements from the Œª558 nm emission of atomic oxygen. The measured temperature is used to assign an approximate emission height to the observations. A spaced-antenna partial-reflection radar was run concurrently with the FPS from which the presence of enhanced ionization in the D-region could be inferred from the return heights and strengths of the echoes. Large upwards winds of approximately 30 m s-1, at altitudes less than 110 km, appear to be a direct response of the neutral atmosphere to intense auroral events. It is suggested that the observed upwelling is a result of particle heating at heights below the principal emission height. At higher altitudes, vertical winds of a similar magnitude are also measured during geomagnetically disturbed conditions, although here they do not appear to be associated with particular auroral events. In this case it is suggested that upwelling is produced by a combination of Joule and particle heating. ¬© 1991.</t>
  </si>
  <si>
    <t>909-922</t>
  </si>
  <si>
    <t>Journal of Atmospheric and Terrestrial Physics</t>
  </si>
  <si>
    <t>60019943-60009512;60009512</t>
  </si>
  <si>
    <t>25926604100;6603183347</t>
  </si>
  <si>
    <t>Price, G. D.;Jacka, F.</t>
  </si>
  <si>
    <t>Australia;Australia</t>
  </si>
  <si>
    <t>Kingston;Adelaide</t>
  </si>
  <si>
    <t>Australian Antarctic Division;The University of Adelaide</t>
  </si>
  <si>
    <t>60019943;60009512</t>
  </si>
  <si>
    <t>Price G.</t>
  </si>
  <si>
    <t>The influence of geomagnetic activity on the upper mesosphere/ lower thermosphere in the auroral zone. I. Vertical winds</t>
  </si>
  <si>
    <t>002191699190004Q</t>
  </si>
  <si>
    <t>10.1016/0021-9169(91)90004-Q</t>
  </si>
  <si>
    <t>2-s2.0-0001664736</t>
  </si>
  <si>
    <t>['¬© 1991', 'tracing results', 'throat section', 'reflector antennas', 'radiation patterns', 'new analysis', 'infrared detector', 'illuminate radiotelescopes', 'horns operating', 'given direction', 'excellent agreement', 'equally valid', 'adequately determined']</t>
  </si>
  <si>
    <t>We analyse condensing lightpipes of the form often used to couple an infrared detector to a relatively slow optical system. The response in a given direction is expressed in terms of the radiation patterns of the different waveguide modes propagating in the lightpipe and throat section. Such lightpipes are seen to be just a generalization of the electromagnetic horn antennas often used to illuminate radiotelescopes and other reflector antennas. The results of our analysis are compared with ray-tracing results for horns operating in the short wavelength geometrical optics limit: excellent agreement is obtained. This new analysis is equally valid in the long wavelength case pertaining for most FIR and submm detector systems, where only a few spatial modes propagate and the radiation pattern cannot be adequately determined by any other means. ¬© 1991.</t>
  </si>
  <si>
    <t>291-299</t>
  </si>
  <si>
    <t>Infrared Physics</t>
  </si>
  <si>
    <t>60029024;60121115</t>
  </si>
  <si>
    <t>55587645400;7005970572</t>
  </si>
  <si>
    <t>Murphy, J. Anthony;Padman, Rachael</t>
  </si>
  <si>
    <t>United Kingdom;Ireland</t>
  </si>
  <si>
    <t>Cambridge;Maynooth</t>
  </si>
  <si>
    <t>Department of Physics;St Patrick's College, Maynooth</t>
  </si>
  <si>
    <t>60121115;60029024</t>
  </si>
  <si>
    <t>Murphy J.</t>
  </si>
  <si>
    <t>Radiation patterns of few-moded horns and condensing lightpipes</t>
  </si>
  <si>
    <t>002008919190060S</t>
  </si>
  <si>
    <t>10.1016/0020-0891(91)90060-S</t>
  </si>
  <si>
    <t>2-s2.0-0001673546</t>
  </si>
  <si>
    <t>['¬© 1991', 'withdrawn position', 'soluble agents', 'results show', 'pheromone dissolved', 'olfactory hairs', 'normal position', 'moths antennae', 'lucifer yellow', 'living dendrites', 'hair lumen', 'haemolymph side', 'external stimulation', 'electrophysiological recording', 'electron microscopy', 'dendrite cannot', 'cuticular structures', 'applying suction', 'applying pressure']</t>
  </si>
  <si>
    <t>Antheraea polyphemus | Insect olfaction | olfactory receptor cells | olfactory sensilla | pheromone stimulation</t>
  </si>
  <si>
    <t>Olfactory hairs of moths antennae were perfused with electrolyte during electrophysiological recording. The perfusate was drawn from the recording capillary electrode into the apically opened hair by applying suction on the haemolymph side. Due to suction, the receptor cell dendrite partially withdraws from the hair lumen. The withdrawal of receptor cell dendrites was examined by electron microscopy and after staining with lucifer yellow. In the withdrawn position the dendrite cannot be excited by airborne pheromone stimuli applied to the middle of the hair but it responds to pheromone dissolved in the perfusate. The normal position of the dendrite and its responses to external stimulation can be restored by applying pressure to the haemolymph side. These results show that pheromone molecules may stimulate olfactory cells directly without mediation by cuticular structures. Furthermore, the method of hair perfusion allows application of water-soluble agents to living dendrites of insect olfactory receptor cells. ¬© 1991.</t>
  </si>
  <si>
    <t>60005460;60005460;60005460</t>
  </si>
  <si>
    <t>6603949880;26643587600;35378468300</t>
  </si>
  <si>
    <t>Kaissling, K. E.;Keil, T. A.;Williams, J. L.D.</t>
  </si>
  <si>
    <t>Pocking</t>
  </si>
  <si>
    <t>Max Planck Institute for Ornithology</t>
  </si>
  <si>
    <t>Kaissling K.</t>
  </si>
  <si>
    <t>Pheromone stimulation in perfused sensory hairs of the moth Antheraea polyphemus</t>
  </si>
  <si>
    <t>002219109190021Q</t>
  </si>
  <si>
    <t>10.1016/0022-1910(91)90021-Q</t>
  </si>
  <si>
    <t>2-s2.0-0001774656</t>
  </si>
  <si>
    <t>IEEE Antennas and Propagation Magazine</t>
  </si>
  <si>
    <t>Sato, Gentei</t>
  </si>
  <si>
    <t>Japan</t>
  </si>
  <si>
    <t>Tokyo</t>
  </si>
  <si>
    <t>Sophia University</t>
  </si>
  <si>
    <t>Sato G.</t>
  </si>
  <si>
    <t>A Secret Story About the Yagi Antenna</t>
  </si>
  <si>
    <t>10.1109/74.88216</t>
  </si>
  <si>
    <t>2-s2.0-0001952510</t>
  </si>
  <si>
    <t>['substantially insensitive', 'range 0', 'pronounced quenching', 'mechanism capable', 'light intensity', 'lhc ii', 'isolated thylakoids', 'isolated complex', 'harvesting chlorophyll', 'chlorophyll fluorescence', 'biphasic reversibility', 'approximately proportional', 'almost independent']</t>
  </si>
  <si>
    <t>Light-harvesting chlorophyll a/b protein complex II | light-induced fluorescence quenching | spinach thylakoids</t>
  </si>
  <si>
    <t>Irradiation of the principal photosystem II light-harvesting chlorophyll-protein antenna complex, LHC II, with high light intensities brings about a pronounced quenching of the chlorophyll fluorescence. Illumination of isolated thylakoids with high light intensities generates the formation of quenching centres within LHC II in vivo, as demonstrated by fluorescence excitation spectroscopy. In the isolated complex it is demonstrated that the light-induced fluorescence quenching: a) shows a partial, biphasic reversibility in the dark; b) is approximately proportional to the light intensity; c) is almost independent of temperature in the range 0-30¬∞C; d) is substantially insensitive to protein modifying reagents and treatments; e) occurs in the absence of oxygen. A possible physiological importance of the phenomenon is discussed in terms of a mechanism capable of dissipating excess excitation energy within the photosystem II antenna. ¬© 1991 Kluwer Academic Publishers.</t>
  </si>
  <si>
    <t>57-64</t>
  </si>
  <si>
    <t>Photosynthesis Research</t>
  </si>
  <si>
    <t>60030318;60030318;60030318</t>
  </si>
  <si>
    <t>7201971898;6701308180;7006530694</t>
  </si>
  <si>
    <t>Jennings, Robert C.;Garlaschi, Flavio M.;Zucchelli, Giuseppe</t>
  </si>
  <si>
    <t>Italy</t>
  </si>
  <si>
    <t>Milan</t>
  </si>
  <si>
    <t>Universit√† degli Studi di Milano</t>
  </si>
  <si>
    <t>Jennings R.</t>
  </si>
  <si>
    <t>Light-induced fluorescence quenching in the light-harvesting chlorophyll a/b protein complex</t>
  </si>
  <si>
    <t>10.1007/BF00029976</t>
  </si>
  <si>
    <t>2-s2.0-0002265928</t>
  </si>
  <si>
    <t>['¬© 1991', 'significant response', 'long wavelengths', 'interior surfaces', 'directions within', 'antenna engineering']</t>
  </si>
  <si>
    <t>At long wavelengths, diffraction effects cause condensing lightpipes to have a significant response in directions within the geometric optics shadow zone. Here, using an analogy with the corrugated "scalar" horns often used in antenna engineering, we point out that a lightpipe with anisotropic surface impedance on its interior surfaces can have substantially reduced sidelobe levels. This may be important for measurements requiring high dynamic range, particularly in the far-infrared. ¬© 1991.</t>
  </si>
  <si>
    <t>441-446</t>
  </si>
  <si>
    <t>7005970572;55587645400</t>
  </si>
  <si>
    <t>Padman, Rachael;Murphy, J. Anthony</t>
  </si>
  <si>
    <t>Padman R.</t>
  </si>
  <si>
    <t>Radiation patterns of "scalar" lightpipes</t>
  </si>
  <si>
    <t>10.1016/0020-0891(91)90021-7</t>
  </si>
  <si>
    <t>2-s2.0-0002805931</t>
  </si>
  <si>
    <t>['wintering bees', 'winter time', 'various insects', 'sensor used', 'rights reserved', 'pollinator insects', 'pollen grains', 'parasite relationships', 'insect society', 'generally smaller', 'foraging bees', 'charged negatively', 'author suggests', '40pc ).']</t>
  </si>
  <si>
    <t>Various insects, especially social insects, possess electric charges. Erickson (1982, 1983) shows their involvement in the odor receptor efficiency of honey bee antenna. Also, the author suggests the importance of charges in the transfer of pollen grains from flowers to pollinator insects. To measure directly electric charges, we fit a sensor used to determine the charges of raindrops. Strongly clustered wintering bees and foraging bees were measured. The individual values range between -400pC to +600pC (m = 153 +105pC) during winter time. The foraging bees possess variable charges, generally smaller than wintering bees (m = 29 +minus; 40pC). 7.0% of measured bees whole are charged negatively and less than 1% of these have no charges. The presence of electric charges throughout bees yearly cycle is significant for the insect society. Moreover electric forces contribute to explain some aspects of bee-parasite relationships. ¬© 1991 Informa UK Ltd All rights reserved: reproduction in whole or part not permitted.</t>
  </si>
  <si>
    <t>17-32</t>
  </si>
  <si>
    <t>Electromagnetic Biology and Medicine</t>
  </si>
  <si>
    <t>60112203;60027245;60027245</t>
  </si>
  <si>
    <t>7004629745;57197517175;6701778533</t>
  </si>
  <si>
    <t>Colin, M. E.;Richard, D.;Chauzy, S.</t>
  </si>
  <si>
    <t>France;France</t>
  </si>
  <si>
    <t>Avignon;Toulouse</t>
  </si>
  <si>
    <t>INRAE ‚Äã‚ÄãProvence-Alpes-C√¥te d¬¥Azur Research Centre;Universite Paul Sabatier Toulouse III</t>
  </si>
  <si>
    <t>60112203;60027245</t>
  </si>
  <si>
    <t>Colin M.E.</t>
  </si>
  <si>
    <t>Measurement of electric charges carried by bees: Evidence of biological variations</t>
  </si>
  <si>
    <t>10.3109/15368379109031397</t>
  </si>
  <si>
    <t>2-s2.0-0002936330</t>
  </si>
  <si>
    <t>33-41</t>
  </si>
  <si>
    <t>Huang, John</t>
  </si>
  <si>
    <t>Pasadena</t>
  </si>
  <si>
    <t>Jet Propulsion Laboratory</t>
  </si>
  <si>
    <t>Huang J.</t>
  </si>
  <si>
    <t>Microstrip Antenna Developments at JPL</t>
  </si>
  <si>
    <t>10.1109/74.88219</t>
  </si>
  <si>
    <t>2-s2.0-0003368020</t>
  </si>
  <si>
    <t>['‚ äî', 'treated nymphs', 'solitary forms', 'showed greatly', 'seed oil', 'schistocerca gregaria', 'often occured', 'nymphal development', 'neem tree', 'neem oil', 'morphogenetic defects', 'locust control', 'least partly', 'latter resulted', 'laboratory experiments', 'juss .).', 'juss .)', 'hormonal system', 'gregarious phase', 'green intermediate', 'green hemolymph', 'forsk .)', 'field conditions', 'doses ranged', 'desert locust', 'described effects', 'defect wings', 'contact effects', 'climbing abilities', 'clear tendency', 'azadirachtin content', 'azadirachta indica', 'adults derived', 'active ingredients', '5 bzw', '10 l', '09 %.']</t>
  </si>
  <si>
    <t>Contact effects of seed oil from the neem tree, Azadirachta indica (A. Juss.), on nymphs of the gregarious phase of the desert locust, Schistocerca gregaria (Forsk.) In laboratory experiments all five nymphal instars of the gregarious phase of the desert locust, Schistocerca gregaria (Forsk.), were sprayed with seed oil from the neem tree, Azadirachta indica (A. Juss.). The doses ranged between 2.5 and 10 l/ha, corresponding ultra low volume application rates for locust control from the air under field conditions. The azadirachtin content of the oil was 0.09 %. The treated locusts showed high mortality, which often occured during moults, prolonged nymphal development and disturbance of metamorphosis. The latter resulted in morphogenetic defects of eyes, antennae, legs and wings. Practically all adults derived from treated nymphs demonstrated such symptoms. The deformations and/or losses of parts of the legs were the greater the earlier the treatment with neem oil took place during the nymphal development and the higher the dose of neem oil applied. There was also a clear tendency of treated nymphs to solitarization, indicated by the appearance of green hemolymph and brown and green intermediate or solitary forms with ‚Äî in extreme cases ‚Äî very little black pigment. An additional moult occurred in numerous treated nymphs, especially after neem oil application during early nymphal instars. In addition, the behaviour of the treated nymphs strikingly changed as they became very sluggish and showed greatly or even totally reduced walking, jumping and climbing abilities. Adults with defect wings were unable to fly. It is suggested that the above described effects are, at least partly the results of the influence of active ingredients in the neem oil, for instance of azadirachtin, on the hormonal system of the gregarious phase of the desert locust. Endocrinological and other studies are desirable for further clarification of the mode of action. In Laborversuchen wurden alle Larvenstadien der greg√§ren Phase der W√ºstenheuschrecke Scbistocerca gregaria (Forsk.) mit Samen√∂l des Niembaumes Azadirachta indica (A. Juss.) bespr√ºht. Die verwendeten Dosen entsprachen den im ULV‚ÄêBereich (ultra‚Äêlow‚Äêvolume) liegenden Aufwandmengen von 2,5; 5; 7,5 bzw. 10 l/ha. Der Azadirachtingehalt des verwendeten Niem√∂ls lag bei 0,09%. Die behandelten Tiere wiesen hohe Mortalit√§tsraten, stark verl√§ngerte Entwicklungsdauer und Metamorphosest√∂rungen auf, die zu morphogenetischen Defekten an Augen, Antennen, Beinen und Fl√ºgeln f√ºhrten. Nahezu alle aus behandelten Larven resultierenden Imagines waren gesch√§digt. Die Deformationen und Verluste an Extremit√§ten waren um so gr√∂√üer, je fr√ºher der Behandlungszeitpunkt in der Larvalentwicklung und je h√∂her die Aufwandmenge war. Umf√§rbungen zu gr√ºnen bzw. br√§unlichen Intermedi√§r‚Äê und Solit√§rformen sowie das Auftreten einer zus√§tzlichen H√§utung deuten auf einen Solitarisierungstrend bei den mit Niem√∂l behandelten Tieren hin. Es ist anzunehmen, da√ü die beschriebenen Effekte zumindest teilweise auf eine St√∂rung des Hormonssystems der greg√§ren W√ºstenheuschrecken durch Inhaltsstoffe des Niem√∂ls wie Azadirachtin zur√ºckzuf√ºhren sind. Endokrinologische und andere Untersuchungen sind zur Kl√§rung der physiologischen Wirkungsweise erforderlich. 1991 Blackwell Verlag GmbH</t>
  </si>
  <si>
    <t>197-205</t>
  </si>
  <si>
    <t>Journal of Applied Entomology</t>
  </si>
  <si>
    <t>January/December 1991</t>
  </si>
  <si>
    <t>60017134;60017134</t>
  </si>
  <si>
    <t>7102631382;6602751387</t>
  </si>
  <si>
    <t>Nicol, C. M.Y.;Schmutterer, H.</t>
  </si>
  <si>
    <t>Giessen</t>
  </si>
  <si>
    <t>Justus-Liebig-Universit√§t Gie√üen</t>
  </si>
  <si>
    <t>Nicol C.</t>
  </si>
  <si>
    <t>Kontaktwirkungen des Samen√∂ls des Niembaumes Azadirachta indica (A. Juss.) bei greg√§ren Larven der W√ºstenheuschrecke Schistocerca gregaria (Forsk√•l)</t>
  </si>
  <si>
    <t>10.1111/j.1439-0418.1991.tb00311.x</t>
  </si>
  <si>
    <t>2-s2.0-0005031843</t>
  </si>
  <si>
    <t>['two forms', 'total number', 'species discovered', 'petrov 1988', 'frontal shield', 'forma visnyai', 'forma typica', 'following species', 'distinct species', 'distal articles', 'chirocephalus brevipalpis', 'branchipus sp', 'antennae ii']</t>
  </si>
  <si>
    <t>Anostraca | Branchipus serbicus n.sp. | distribution | Yugoslavia</t>
  </si>
  <si>
    <t>During these investigations the following species of Anostraca have been found: Chirocephalus diaphanus Prevost 1803, Chirocephalus brevipalpis (Orghidan, 1953), Streptocephalus torvicornis Waga 1892, Branchipus serbicus Marinƒçek &amp; Petrov 1988, Branchipus stagnalis L. (1758) and Branchipus sp. Thus, the total number of species discovered in Yugoslavia is 13. The shape of the frontal shield and the degree of flexure of the distal articles of antennae II in males are of no relevance to taxonomy in the genus Branchipus Schaeffer 1776. However, the apophyses on antennae II in males, shape of antennae II and of the ovisac in females, structure of eggs, and of appendages appear species-specific. We conclude that the differentiation of B. stagnalis into two forms (forma typica and forma visnyai) as well as the separation of B. visnyai Kert√©sz 1956 as a distinct species are unfounded. ¬© 1991 Kluwer Academic Publishers.</t>
  </si>
  <si>
    <t>267-272</t>
  </si>
  <si>
    <t>Hydrobiologia</t>
  </si>
  <si>
    <t>60068815;60068815</t>
  </si>
  <si>
    <t>16408373900;16407432200</t>
  </si>
  <si>
    <t>Petrov, Brigita;Marinƒçek, Magdalena</t>
  </si>
  <si>
    <t>Serbia</t>
  </si>
  <si>
    <t>Belgrade</t>
  </si>
  <si>
    <t>University of Belgrade</t>
  </si>
  <si>
    <t>Petrov B.</t>
  </si>
  <si>
    <t>On the Anostraca (Crustacea) of Yugoslavia</t>
  </si>
  <si>
    <t>10.1007/BF00026010</t>
  </si>
  <si>
    <t>2-s2.0-0006161330</t>
  </si>
  <si>
    <t>['two models', 'triangular elements', 'studied using', 'simplified models', 'relative merits', 'patch junction', 'microstrip patch', 'measured results', 'francis group', 'electrically thick', 'different shapes', 'current distribution', 'conducting patch', 'coaxial probe', 'arbitrarily shaped', 'also implemented']</t>
  </si>
  <si>
    <t>Arbitrarily shaped, coax-fed microstrip patch antennas with substrates that may be electrically thick are studied using a mixed-potential integral equation approach. Vector basis functions defined over triangular elements are used to approximate the current distribution on the conducting patch. Rigorous and simplified models of the probe-to-patch junction, compatible with the triangular element model of the microstrip patch, are implemented and their relative merits are discussed. Two models of the coaxial probe, differing in accuracy and complexity, are also implemented and their ranges of validity are examined. Input impedance data for several microstrip patch antennas of different shapes, computed using different coax feed models, are presented and compared with measured results. ¬© 1991 Taylor &amp; Francis Group, LLC.</t>
  </si>
  <si>
    <t>1303-1327</t>
  </si>
  <si>
    <t>60020547;60020547</t>
  </si>
  <si>
    <t>7202567207;7004961387</t>
  </si>
  <si>
    <t>Zheng, D.;Michalski, K. A.</t>
  </si>
  <si>
    <t>College Station</t>
  </si>
  <si>
    <t>Texas A&amp;M University</t>
  </si>
  <si>
    <t>Zheng D.</t>
  </si>
  <si>
    <t>Analysis of coaxially fed microstrip antennas of arbitrary shape with thick substrates</t>
  </si>
  <si>
    <t>10.1163/156939391X00860</t>
  </si>
  <si>
    <t>2-s2.0-0006366962</t>
  </si>
  <si>
    <t>['¬© 1991', 'west baseline', 'used individually', 'space vlbi', 'six 22', 'similar design', 'provide compatibility', 'parkes 64', 'new 22', 'mopra antenna', 'km east', 'diameter antennas', 'diameter antenna', 'compact array', 'array operation']</t>
  </si>
  <si>
    <t>The Australia Telescope consists of three main components, the Compact Array, located near Narrabri, NSW, the Mopra antenna, located near Coonabarabran, NSW, and the Parkes 64-m antenna. The recently completed Compact Array consists of six 22-m diameter antennas on a 6-km east-west baseline. The Mopra antenna is a new 22-m diameter antenna of similar design to the Compact Array antennas. Each of the components of the Australia Telescope may be used individually or they may be combined as a Long Baseline Array or part of a larger VLBI array. Although the data recording systems for array operation have yet to be defined, there is a commitment to provide compatibility for global and space VLBI. ¬© 1991.</t>
  </si>
  <si>
    <t>403-406</t>
  </si>
  <si>
    <t>Advances in Space Research</t>
  </si>
  <si>
    <t>Manchester, R. N.</t>
  </si>
  <si>
    <t>Australia</t>
  </si>
  <si>
    <t>Sydney</t>
  </si>
  <si>
    <t>Australia Telescope National Facility</t>
  </si>
  <si>
    <t>Manchester R.</t>
  </si>
  <si>
    <t>The Australia telescope</t>
  </si>
  <si>
    <t>027311779190524N</t>
  </si>
  <si>
    <t>10.1016/0273-1177(91)90524-N</t>
  </si>
  <si>
    <t>2-s2.0-0007065351</t>
  </si>
  <si>
    <t>['¬© 1991', 'telemetry network', 'stellar objects', 'phase transfer', 'ground radiotelescopes', 'eccentric orbit', 'early 1995', 'best resolution', 'aperture synthesis']</t>
  </si>
  <si>
    <t>VSOP, VLBI Space Observatory Programme, is for the study of very compact radio sources with the aperture synthesis of 30,000 km maximum diameter, by connecting an orbiting radio observatory with ground radiotelescopes. The VSOP satellite carrying 10m antenna with 1.6, 5, and 22GHz band receivers will be launched in early 1995 into an eccentric orbit with 20,000 km apogee height. The telemetry network will be formed for the satellite orbit determination, phase transfer and IF down-link. VSOP aims imaging of compact and active celestial radio objects with best resolution of 0.0001 arc second. Imaging of active galactic nuclei, star forming regions and stellar objects, and radioastrometry are main scientific targets. ¬© 1991.</t>
  </si>
  <si>
    <t>373-379</t>
  </si>
  <si>
    <t>Hirayashi, H.</t>
  </si>
  <si>
    <t>Sagamihara</t>
  </si>
  <si>
    <t>JAXA Institute of Space and Astronautical Science</t>
  </si>
  <si>
    <t>Hirayashi H.</t>
  </si>
  <si>
    <t>Introduction to the VSOP mission and its scientific goals</t>
  </si>
  <si>
    <t>027311779190520T</t>
  </si>
  <si>
    <t>10.1016/0273-1177(91)90520-T</t>
  </si>
  <si>
    <t>2-s2.0-0008525250</t>
  </si>
  <si>
    <t>N00014-80-C0773</t>
  </si>
  <si>
    <t>['vector formalism', 'scattered wave', 'reciprocal cases', 'receiving antenna', 'radar target', 'radar polarimetry', 'purely polarized', 'problem originating', 'previous methods', 'polarized channels', 'polarization state', 'paper concludes', 'optimal power', 'natural approach', 'monostatic reciprocal', 'incident wave', 'francis group', 'first category', 'facilitate comparison', 'extended via', 'energy densities', 'coherent formulation', 'coherent case', 'coherency matrix', 'antenna cases', 'antenna case', 'analyzed first', 'accomplished separately', '], first', '8 ].']</t>
  </si>
  <si>
    <t>A problem originating in radar polarimetry is considered for which the radar target is to be characterized by its 4 x 4 Mueller matrix [M] properties in terms of a partially polarized wave treatment for the monostatic reciprocal and non-reciprocal cases. In order to compare our results with previous coherent treatments of optimizing the corresponding 2 x 2 Sinclair matrix [S], first the vector formalism for the coherent case is introduced. The coherent formulation is then extended via the coherency matrix (vector) approach to the partially polarized case with the aid of the Kronecker expansion matrix and the Stokes vector formalism. Distinction of the Stokes Reflection Matrices is made between the one-antenna and two-antenna cases. For the one-antenna case, the reception of the optimal energy densities and powers is accomplished separately for the co-polarized and cross-polarized channels, which is a natural approach in radar polarimetry. For the two-antenna case, the reception of the optimal power is accomplished by adjusting the polarization state of the receiving antenna to match or mismatch the polarization state of the scattered wave. The "degenerate Mueller matrix case" for purely coherent wave reception is analyzed first to facilitate comparison with previous methods of optimizing the corresponding Sinclair matrix [8]. Here, the Lagrangian multiplier method is used for determining the characteristic optimal polarization states subject to the constraint that the incident wave is purely polarized. It is then shown that for the more general partially polarized scattered wave case there exists, next to the total energy density, three specific types of energy densities: (i) the adjustable purely polarized intensity, (ii) the noise-like unpolarized intensity, and (iii) the receivable polarized intensity, for which separate optimization methods are developed. For the first category, a closed solution may be found, whereas for the second two criteria numerical solutions must be used. The paper concludes with a comparison of the various results obtained here with those obtained by other methods. ¬© 1991 Taylor &amp; Francis Group, LLC.</t>
  </si>
  <si>
    <t>1123-1149</t>
  </si>
  <si>
    <t>60027561;60027561</t>
  </si>
  <si>
    <t>7402221522;7006670998</t>
  </si>
  <si>
    <t>Yan, W. L.;Boerner, W. M.</t>
  </si>
  <si>
    <t>Chicago</t>
  </si>
  <si>
    <t>University of Illinois at Chicago</t>
  </si>
  <si>
    <t>Yan W.L.</t>
  </si>
  <si>
    <t>Optimal polarization states determination of the stokes reflection matrices [Mp] for the coherent case, and of the mueller matrix [M] for the partially polarized case</t>
  </si>
  <si>
    <t>10.1163/156939391X00392</t>
  </si>
  <si>
    <t>2-s2.0-0009055239</t>
  </si>
  <si>
    <t>Deutsche Forschungsgemeinschaft</t>
  </si>
  <si>
    <t>SFB 143</t>
  </si>
  <si>
    <t>DFG</t>
  </si>
  <si>
    <t>['¬© 1991', 'unusual shape', 'two transitions', 'transitions located', 'tighter folding', 'straightforward explanation', 'salt bridge', 'protein interaction', 'protein environment', 'previous paper', 'opposite sign', 'negligible chromophore', 'mastigocladus laminosus', 'mainly attributed', 'limited heterogeneity', 'imino functions', 'force field', 'covalent interactions', 'chromophore interactions', 'anchored firmly', 'amino acids', 'absorption spectrum']</t>
  </si>
  <si>
    <t>C-phycocyanin | circular dichroism | energy transfer. | excitonic coupling | Mastigocladus laminosus | quantum-mechanical model calculations | UV-visible absorption | Œ≤ subunit</t>
  </si>
  <si>
    <t>In analogy with our previous paper on the Œ± subunit, we discuss the influence of non-covalent interactions between the covalently bound chromophores and the polar protein environment in the Œ≤ subunit of C-phycocyanin from Mastigocladus laminosus. The steady state absorption and circular dichroism spectra were theoretically investigated using quantum-mechanical model calculations. The energetics of the chromophore-protein interaction were systematically investigated using a force field. It is shown that the interaction with the protein, e.g. the formation of a salt bridge, and the presence of different tautomeric forms of amino acids with carboxylate or amino and imino functions are essential for the tuning of the visible absorption band to a region where effective light harvesting in the antenna complex may occur. Compared with the Œ± subunit, the surrounding of the chromophores in the Œ≤ subunit causes a reduction in the degrees of freedom as concluded from the differences in the free enthalpy values. This reduction is mainly attributed to the tighter folding of the polypeptide backbone around the pigments. Thereby, the high energy absorbing chromophore is anchored firmly and exposed to a limited heterogeneity of the protein environment. In the Œ≤ subunit the number of interactions is augmented by non-negligible chromophore-chromophore interactions. It is shown that even the small coupled oscillator interaction (approximately 10 cm-1) of the long wavelength œÄ-œÄ* transitions located on the two chromophores appears clearly in the circular dichroism spectrum. The induction of large rotatory strength of opposite sign in the two transitions in the visible spectral region gives rise to a straightforward explanation for the unusual shape of the circular dichroism spectrum compared with the absorption spectrum of the Œ≤ subunit. ¬© 1991.</t>
  </si>
  <si>
    <t>129-157</t>
  </si>
  <si>
    <t>Journal of Photochemistry and Photobiology, B: Biology</t>
  </si>
  <si>
    <t>60019722;60000765</t>
  </si>
  <si>
    <t>6505849935;7401903425</t>
  </si>
  <si>
    <t>Scharnagl, Christina;Schneider, Siegfried</t>
  </si>
  <si>
    <t>Germany;Germany</t>
  </si>
  <si>
    <t>Munich;Erlangen</t>
  </si>
  <si>
    <t>Technical University of Munich;Friedrich-Alexander-Universit√§t Erlangen-N√ºrnberg</t>
  </si>
  <si>
    <t>Scharnagl C.</t>
  </si>
  <si>
    <t>UV-visible absorption and circular dichroism spectra of the subunits of C-phycocyanin II: A quantitative discussion of the chromophore-protein and chromophore-chromophore interactions in the Œ≤ subunit</t>
  </si>
  <si>
    <t>101113449180053K</t>
  </si>
  <si>
    <t>10.1016/1011-1344(91)80053-K</t>
  </si>
  <si>
    <t>2-s2.0-0009548309</t>
  </si>
  <si>
    <t>['xt follows', 'two shortcomings', 'telemetry data', 'space model', 'rectangular coordinates', 'precisions may', 'precision estimates', 'parameter estimation', 'observation errors', 'nonlinear state', 'missing data', 'mean errors', 'location estimates', 'let yt', 'kalman filter', 'initial conditions', 'frequently determined', 'francis group', 'field data', 'consider problems', 'compare state', 'animal position', 'angles measured']</t>
  </si>
  <si>
    <t>Directional data | Extended Kalman filter-smoother | State-space model</t>
  </si>
  <si>
    <t>The location of wildlife is frequently determined from telemetry data. Current procedures may inadequately account for time-dependencies in the data and errors in the observations. We propose a nonlinear state-space model that addresses these two shortcomings. Let yt be a vector of angles measured between known antenna locations and unknown animal positions, and let states xt be the rectangular coordinates of animal position at time t. If xt follows a two-dimensional stochastic process and observation errors are additive, independent, and normal, then location estimates and their precisions may be determined recursively using extensions of the Kalman filter-smoother. We outline the application of the iterated extended Kalman filter-smoother to this situation and consider problems of initial conditions, the identification of filter parameters based on maximum likelihood principles, and the treatment of missing data. Using simulated data, we compare state-space and current procedures according to mean errors of location estimates, parameter estimation, and precision estimates. We apply all procedures to field data and conclude that in this application the use of an iterated extended Kalman filter-smoother improves knowledge both of locations and of the precisions of estimates. ¬© 1991 Taylor &amp; Francis Group, LLC.</t>
  </si>
  <si>
    <t>596-602</t>
  </si>
  <si>
    <t>1537274X</t>
  </si>
  <si>
    <t>Journal of the American Statistical Association</t>
  </si>
  <si>
    <t>60008827;60024324</t>
  </si>
  <si>
    <t>6603059799;6701403265</t>
  </si>
  <si>
    <t>Anderson-Sprecher, Richard;Ledolter, Johannes</t>
  </si>
  <si>
    <t>Iowa City;Laramie</t>
  </si>
  <si>
    <t>University of Iowa;University of Wyoming</t>
  </si>
  <si>
    <t>60024324;60008827</t>
  </si>
  <si>
    <t>Anderson-Sprecher R.</t>
  </si>
  <si>
    <t>State-space analysis of wildlife telemetry data</t>
  </si>
  <si>
    <t>10.1080/01621459.1991.10475084</t>
  </si>
  <si>
    <t>2-s2.0-0010202657</t>
  </si>
  <si>
    <t>['‚ äòaway', 'wiley blackwell', 'treated moths', 'track angles', 'significant differences', 'rights reserved', 'readily observed', 'plume contralateral', 'plume away', 'missing antenna', 'long axis', 'lock onto', 'higher probability', 'greater propensity', 'course angles', 'control moths', 'commonly observed', 'central axis', 'behaviour compared']</t>
  </si>
  <si>
    <t>antennectomy | Flight behaviour | Heliothis virescens | Lepidoptera | Noctuidae | sex pheromone.</t>
  </si>
  <si>
    <t>Abstract .Unilaterally antennectomized Heliothis virescens (F.) males flying close to the central axis of a plume of sex pheromone display no significant differences in behaviour compared to sham‚Äêoperated males in course angles, track angles, airspeed and groundspeed. This demonstrates that right/left antennal information is not necessary for normal orientation movements in response to pheromone, but rather that it is ‚Äòblended‚Äô within the moth's central nervous system before pheromone‚Äêmediated manoeuvres are made. However, some unilaterally antennectomized moths (36%) make repetitive, asymmetrical, saw‚Äêtooth‚Äêshaped tracks during pheromone‚Äêmediated upwind progress, whereas control moths never make such tracks. Unilaterally antennectomized moths made such tracks on the side of the plume contralateral to the missing antenna. We hypothesize that these occasional asymmetrical tracks in unilaterally ablated males are the result of reiterative asymmetrical pheromone stimulation of a higher probability on track legs going toward rather than away from the long axis of the plume on males with a single antenna remaining on the ‚Äòaway from axis‚Äô side. Combined with a greater propensity for treated moths to lock onto the plume away from the central axis on one side rather than the other, repetitive successive asymmetrical track legs (resulting in a saw‚Äêtooth‚Äêshaped track) are commonly observed in these moths. Control moths do also make asymmetric successive track legs but they rarely are repeated and thus are not readily observed. Copyright ¬© 1991, Wiley Blackwell. All rights reserved</t>
  </si>
  <si>
    <t>497-506</t>
  </si>
  <si>
    <t>Physiological Entomology</t>
  </si>
  <si>
    <t>60029526;60029526</t>
  </si>
  <si>
    <t>55946927900;7402604731</t>
  </si>
  <si>
    <t>VICKERS, NEIL J.;BAKER, THOMAS C.</t>
  </si>
  <si>
    <t>Riverside</t>
  </si>
  <si>
    <t>University of California, Riverside</t>
  </si>
  <si>
    <t>VICKERS N.</t>
  </si>
  <si>
    <t>The effects of unilateral antennectomy on the flight behaviour of male Heliothis virescens in a pheromone plume</t>
  </si>
  <si>
    <t>10.1111/j.1365-3032.1991.tb00589.x</t>
  </si>
  <si>
    <t>2-s2.0-0010284850</t>
  </si>
  <si>
    <t>National Science Foundation</t>
  </si>
  <si>
    <t>NSF</t>
  </si>
  <si>
    <t>['wiley blackwell', 'third segment', 'rights reserved', 'regalis sp', 'one seta', 'new species', 'new genus', 'new caledonia', 'n .,', 'mandobius gen', 'leg 4', 'leg 1', 'formula 11', 'formula 1', 'first segment', 'first antenna']</t>
  </si>
  <si>
    <t>A new genus, Mandobius gen.n, containing a new species, M. regalis sp.n., is associated with the coral Pectinia lactuca in New Caledonia. The new copepod differs conspicuously from the allied genus Paramolgus in having only one seta on the first segment of the first antenna, in the formula 1,11,3 for the third segment of the endopodite of leg 1, and in the formula 11,1,5 for the third segment of the exopodite of leg 4. Copyright ¬© 1991, Wiley Blackwell. All rights reserved</t>
  </si>
  <si>
    <t>277-282</t>
  </si>
  <si>
    <t>HUMES, ARTHUR G.</t>
  </si>
  <si>
    <t>Boston</t>
  </si>
  <si>
    <t>Boston University</t>
  </si>
  <si>
    <t>HUMES A.</t>
  </si>
  <si>
    <t>Printed in Great Britain Mandobius regalis gen. et sp.n. (Copepoda: Poecilostomatoida: Lichomolgidae) associated with the coral Pectinia lactuca in New Caledonia</t>
  </si>
  <si>
    <t>10.1111/j.1463-6409.1991.tb00291.x</t>
  </si>
  <si>
    <t>2-s2.0-0011464155</t>
  </si>
  <si>
    <t>['protein complex', 'probe spectroscopy', 'model calculations', 'experimental spectrum']</t>
  </si>
  <si>
    <t>Excited-state absorption arising from transitions between singly and doubly excited exciton components in strongly coupled photosynthetic antennae profoundly influences the absorption difference spectra observed in pump-probe spectroscopy. Model calculations of the absorption difference spectrum in the BChl a-protein complex from P. aestuarii are compared with the experimental spectrum. ¬© 1991 American Chemical Society.</t>
  </si>
  <si>
    <t>9020-9023</t>
  </si>
  <si>
    <t>60008023;60008023</t>
  </si>
  <si>
    <t>7007181446;57193129444</t>
  </si>
  <si>
    <t>Van Amerongen, Herbert;Struve, Walter S.</t>
  </si>
  <si>
    <t>Ames</t>
  </si>
  <si>
    <t>Ames Laboratory</t>
  </si>
  <si>
    <t>Van Amerongen H.</t>
  </si>
  <si>
    <t>Excited-state absorption in bacteriochlorophyll a-protein from the green photosynthetic bacterium Prosthecochloris aestuarii: Reinterpretation of the absorption difference spectrum</t>
  </si>
  <si>
    <t>10.1021/j100175a108</t>
  </si>
  <si>
    <t>2-s2.0-0011717111</t>
  </si>
  <si>
    <t>['¬© 1991', 'rights reserved', 'presented demonstrating', 'predicted theoretically', 'loghz using', 'first results', 'electrical engineers', 'close accord']</t>
  </si>
  <si>
    <t>Antennas | Reflector antennas | Satellite systems</t>
  </si>
  <si>
    <t>First results are presented demonstrating the feasibility of electronically controlled reconfiguration of a mesh reflector antenna. Spot-beam and shaped-beam patterns taken at lOGHz using an 85cm diameter reflector are in close accord with those predicted theoretically. ¬© 1991, The Institution of Electrical Engineers. All rights reserved.</t>
  </si>
  <si>
    <t>64-65</t>
  </si>
  <si>
    <t>Electronics Letters</t>
  </si>
  <si>
    <t>60022109;60022109;60022109</t>
  </si>
  <si>
    <t>18037277700;7006192058;7005771768</t>
  </si>
  <si>
    <t>Hai, Zhou;Clarricoats, P. J.B.;Monk, A.</t>
  </si>
  <si>
    <t>Queen Mary University of London</t>
  </si>
  <si>
    <t>Hai Z.</t>
  </si>
  <si>
    <t>Experimental Verification of an Electronically Controlled Reconfigurable Reflector Antenna</t>
  </si>
  <si>
    <t>10.1049/el:19910041</t>
  </si>
  <si>
    <t>2-s2.0-0025720307</t>
  </si>
  <si>
    <t>['¬© 1991', 'rights reserved', 'field probe', 'electrical engineers', 'compare well', 'alumina substrates']</t>
  </si>
  <si>
    <t>Antennas | Microstrip</t>
  </si>
  <si>
    <t>A magnetic field probe for measuring surface current distributions on millimetre wave microstrip antennas has been designed and fabricated. To test this H-field probe, microstrip dipole antennas were printed on alumina substrates. The current distributions obtained are presented. They compare well with the theoretically expected distributions. ¬© 1991, The Institution of Electrical Engineers. All rights reserved.</t>
  </si>
  <si>
    <t>71-73</t>
  </si>
  <si>
    <t>60083716;60022659</t>
  </si>
  <si>
    <t>6602920657;7202185170</t>
  </si>
  <si>
    <t>Grzybowski, R. R.;Bansal, R.</t>
  </si>
  <si>
    <t>East Hartford;Storrs</t>
  </si>
  <si>
    <t>United Technologies Research Center;University of Connecticut</t>
  </si>
  <si>
    <t>Grzybowski R.</t>
  </si>
  <si>
    <t>Magnetic Field Probe for Measuring Surface Current Distributions on Millimetre Wave Microstrip Antennas</t>
  </si>
  <si>
    <t>10.1049/el:19910046</t>
  </si>
  <si>
    <t>2-s2.0-0025721261</t>
  </si>
  <si>
    <t>['wiley company', 'transit time', 'open space', 'intrinsic velocity', 'inc .,', 'distances confirmed', 'different frequencies', 'constant regardless']</t>
  </si>
  <si>
    <t>Microwave propagation | phase velocity | propagation velocity | time domain | transit time</t>
  </si>
  <si>
    <t>It has been observed in the far radiating zone that at a certain receiver antenna position and orientation the transit time of the arriving pulse‚Äêmodulated microwaves in open space was constant regardless of the distance between the receiver and the transmitter. The apparent phase velocity exceeded the intrinsic velocity. Calibration techniques employed and repeated time‚Äêdomain measurements done at different frequencies and distances confirmed this phenomenon. Copyright ¬© 1991 Wiley Periodicals, Inc., A Wiley Company</t>
  </si>
  <si>
    <t>79-81</t>
  </si>
  <si>
    <t>Microwave and Optical Technology Letters</t>
  </si>
  <si>
    <t>60015720;60015720</t>
  </si>
  <si>
    <t>6505906099;7404051797</t>
  </si>
  <si>
    <t>Glakos, George C.;Ishii, T. Koryu</t>
  </si>
  <si>
    <t>Milwaukee</t>
  </si>
  <si>
    <t>Marquette University</t>
  </si>
  <si>
    <t>Glakos G.</t>
  </si>
  <si>
    <t>Anomalous microwave propagation in open space</t>
  </si>
  <si>
    <t>10.1002/mop.4650040208</t>
  </si>
  <si>
    <t>2-s2.0-0025722479</t>
  </si>
  <si>
    <t>['space applications', 'process heat', 'light weight', 'high efficiency']</t>
  </si>
  <si>
    <t>A study was undertaken to conceive and develop a light weight, high efficiency, self deploying solar concentrator for space applications. The concentrator would supply energy for the generation of electricity or process heat for extra terrestrial applications. A concept is presented which combines precision structural and surface shaping technologies developed and utilized for large space antennas with an advanced light reflecting surface.</t>
  </si>
  <si>
    <t>399-404</t>
  </si>
  <si>
    <t>ASME-JSES-JSME International Solar Energy Conference</t>
  </si>
  <si>
    <t>Schumacher, K. M.</t>
  </si>
  <si>
    <t>Melbourne</t>
  </si>
  <si>
    <t>Harris Corporation</t>
  </si>
  <si>
    <t>Schumacher K.</t>
  </si>
  <si>
    <t>Splined radial panel advanced solar concentrator</t>
  </si>
  <si>
    <t>2-s2.0-0025723238</t>
  </si>
  <si>
    <t>['type reflectors', 'relativistic high', 'reflector efficiency', 'quantitative analysis', 'phase velocity', 'output signal', 'operating waves', 'operating features', 'given wave', 'frequency energy', 'electromagnetic waves', 'device operation', 'complete suppression', 'cerenkov interaction']</t>
  </si>
  <si>
    <t>The operating features of Bragg-type reflectors, made on the basis of slightly corrugated waveguides and used in relativistic high-frequency electron devices, are examined. It is shown that in the case when the phase velocity of one of the operating waves of the reflector is close to the velocity of light, a Cerenkov interaction of a given wave with the relativistic electron beam can occur in addition to the reflection (or transformation) of electromagnetic waves at the reflector. Such an interaction is evident, first of all, in a decrease of the reflector efficiency because of an absorption of high-frequency energy by electrons lagging behind the wave; second, in the appearance of a modulated electron beam at the output of the reflector, which can alter the nature of the device operation as a whole. A quantitative analysis of these effects is carried out, and the conditions for complete suppression of the output signal of the reflector by the relativistic electron beam are determined.</t>
  </si>
  <si>
    <t>137-142</t>
  </si>
  <si>
    <t>Soviet journal of communications technology &amp; electronics</t>
  </si>
  <si>
    <t>Abubakirov, E. B.</t>
  </si>
  <si>
    <t>Abubakirov E.</t>
  </si>
  <si>
    <t>Suppression of output signal of Bragg reflector by relativistic electron beam</t>
  </si>
  <si>
    <t>2-s2.0-0025724638</t>
  </si>
  <si>
    <t>['wave structure', 'uniform low', 'transmission band', 'thin teeth', 'thermal scatter', 'thermal motion', 'surface wave', 'rigorously evaluated', 'phase velocities', 'linear interaction', 'kinetic approximation', 'growth rate', 'electron velocities', 'consistent approach', 'comblike slow']</t>
  </si>
  <si>
    <t>Using the kinetic approximation and a self-consistent approach, the effect of a thermal scatter of electron velocities on the linear interaction of a uniform low-current collisionless electron beam with the fundamental spatial harmonic of the surface wave of a comblike slow-wave structure (with thin teeth) is rigorously evaluated. The effect of thermal motion of the electrons on the growth rate of the instabilities and the phase velocities of partial surface electron waves throughout the transmission band of the structure is investigated.</t>
  </si>
  <si>
    <t>66-73</t>
  </si>
  <si>
    <t>;</t>
  </si>
  <si>
    <t>6602222274;6506969925</t>
  </si>
  <si>
    <t>Verbitskii, I. L.;Reuka, A. G.</t>
  </si>
  <si>
    <t>Verbitskii I.</t>
  </si>
  <si>
    <t>Effect of thermal velocity scatter of beam electrons on the amplification of surface electron waves in a comblike slow-wave structure</t>
  </si>
  <si>
    <t>2-s2.0-0025725197</t>
  </si>
  <si>
    <t>['wave reflected', 'vpaa beam', 'transceiver antennas', 'th vpaa', 'spatial selectivity', 'small elevations', 'phasing direction', 'paper discusses', 'often used', 'large degree', 'high directivity', 'apppropriate construction', 'altitude depression']</t>
  </si>
  <si>
    <t>Increasing the efficiency of HF and VHF radio communications, radar and direction-finding systems involves to a large degree the maximum possible narrowing and altitude depression of the beam of transceiver antennas, for which vertical phased antenna array are often used. These arrays have high directivity with small elevations. This paper discusses an apppropriate construction of the antenna phasing system which makes it possible to use the wave reflected from the ground for a narrowing of the VPAA beam by essentially a factor of two. A further increase of the spatial selectivity of th VPAA is achiveved by reducing the level of the sidelobes(SL) in the vicinity of the phasing direction.</t>
  </si>
  <si>
    <t>136-138</t>
  </si>
  <si>
    <t>Fal'kovich, I. S.</t>
  </si>
  <si>
    <t>Fal'kovich I.</t>
  </si>
  <si>
    <t>Method of reducing sidelobes of vertical antenna array using reflection from interface</t>
  </si>
  <si>
    <t>2-s2.0-0025726059</t>
  </si>
  <si>
    <t>['twenty patients', 'treated using', 'stable coupling', 'significant enlargement', 'rights reserved', 'rf power', 'placed symmetrically', 'mallinckrodt institute', 'heating pattern', 'fully loaded', 'applicator dimensions', 'applicator capable', 'antenna axis', 'antenna applicator', 'achieved without', '74 mhz']</t>
  </si>
  <si>
    <t>Applicator | Coupling | Electromagnetic | Penetration</t>
  </si>
  <si>
    <t>A dual-antenna applicator with 21 ¬±26 cm2 aperture, that is fully loaded and operates at 74 MHz, was developed at the Mallinckrodt Institute of Radiology. By placing two antennas into an applicator capable of propagating TE10 mode, a significant enlargement of heating pattern was achieved without an increase in applicator dimensions. When antennas are placed symmetrically about a parallel to the antenna axis of symmetry, the sensitivity of the applicator input impedance to variations of load impedance reduces. Stable coupling of the RF power to the treatment area may be provided. Twenty patients with eccentrically located tumours were treated using this device. ¬© 1991 Informa UK Ltd All rights reserved: reproduction in whole or part not permitted.</t>
  </si>
  <si>
    <t>455-464</t>
  </si>
  <si>
    <t>International Journal of Hyperthermia</t>
  </si>
  <si>
    <t>60006263;60006263;60006263;60006263;60006263</t>
  </si>
  <si>
    <t>7004588237;35400466600;7005939118;55630217100;6701754514</t>
  </si>
  <si>
    <t>Leybovich, L. B.;Emami, B.;Myerson, R. J.;Straube, W. L.;Sathiaseelan, V.</t>
  </si>
  <si>
    <t>St. Louis</t>
  </si>
  <si>
    <t>Washington University School of Medicine in St. Louis, Mallinckrodt Institute of Radiology</t>
  </si>
  <si>
    <t>Leybovich L.</t>
  </si>
  <si>
    <t>Dual-antenna applicator for hyperthermia of tumours at intermediate depth</t>
  </si>
  <si>
    <t>10.3109/02656739109005010</t>
  </si>
  <si>
    <t>2-s2.0-0025730108</t>
  </si>
  <si>
    <t>ECS-8352580</t>
  </si>
  <si>
    <t>['rights reserved', 'area heated', 'antenna temperature', 'also measured', 'air cooling', '5 l', '2000 mhz']</t>
  </si>
  <si>
    <t>Cooling | In vivo | Interstitial | Microwave</t>
  </si>
  <si>
    <t>Canine skeletal muscle was heated with a single microwave antenna within a brachytherapy catheter driven at 2000 MHz. The radial, steady-state temperature distribution was measured with and without air cooling of the antenna, as produced by room temperature air fiowing in the catheter at 7.5 l/min. The axial temperature distribution was also measured with air cooling. In the antenna junction plane the area heated to a given temperature increased by a factor of four with air cooling when the same antenna temperature was enforced. With the same maximum temperature enforced, the area would increase by a factor of 2.5 with air cooling. The axial temperature distribution was not compromised by air cooling. ¬© 1991 Informa UK Ltd All rights reserved: reproduction in whole or part not permitted.</t>
  </si>
  <si>
    <t>343-354</t>
  </si>
  <si>
    <t>60030443;60001844;60001844</t>
  </si>
  <si>
    <t>56355621500;7003894176;7005967291</t>
  </si>
  <si>
    <t>TremblydÃÇ, B. S.;Douple, E. B.;Hoopes, P. J.</t>
  </si>
  <si>
    <t>Hanover;Lebanon</t>
  </si>
  <si>
    <t>Thayer School of Engineering at Dartmouth;Dartmouth-Hitchcock Medical Center</t>
  </si>
  <si>
    <t>60030443;60001844</t>
  </si>
  <si>
    <t>TremblydÃÇ B.</t>
  </si>
  <si>
    <t>The effect of air cooling on the radial temperature distribution of a single microwave hyperthermia antenna in vivo</t>
  </si>
  <si>
    <t>10.3109/02656739109005000</t>
  </si>
  <si>
    <t>2-s2.0-0025731527</t>
  </si>
  <si>
    <t>['total glycans', 'sugar chains', 'sequential degradation', 'results revealed', 'resulting glycopeptides', 'representing 67', 'partially truncated', 'methylation analysis', 'mainly biantennary', 'glycosylation sites', 'glycoprotein isolated', 'gel filtration', 'febs lett', 'carbohydrate moiety', '8 mol', '75 donors', '278 ].']</t>
  </si>
  <si>
    <t>Human pancreatic elastase 1 (E1) is a glycoprotein containing two potential N-glycosylation sites, one of which carries a carbohydrate moiety [Wendorf, Geyer, Sziegoleit and Linder (1989) FEBS Lett. 249, 275-278]. In order to study its glycosylation, glycoprotein isolated from post-mortem pancreas tissue of 75 donors was digested with trypsin. Oligosaccharides were liberated from resulting glycopeptides by treatment with peptide-N4-(N-acetyl-Œ≤-glycosaminyl)-asparagine amidase F, radiolabelled by reduction with KB3H4 and separated by h.p.l.c. and gel filtration. Major oligosaccharide alditol fractions, representing 67.8 mol% of total glycans, were characterized by methylation analysis and sequential degradation with exoglycosidases. The results revealed that about two-fifths of the partially truncated, mainly biantennary, complex-type glycans found comprised blood group A, B, Lea (or X), difucosyl A or difucosyl B determinants, which could be assigned to lactosamine antennae linked to Man(Œ±1-3)- residues of the sugar chains.</t>
  </si>
  <si>
    <t>505-514</t>
  </si>
  <si>
    <t>Biochemical Journal</t>
  </si>
  <si>
    <t>60017134;60017134;60017134;60017134</t>
  </si>
  <si>
    <t>6507937820;7006052764;7003932086;7102649252</t>
  </si>
  <si>
    <t>Wendorf, P.;Linder, D.;Sziegoleit, A.;Geyer, R.</t>
  </si>
  <si>
    <t>Wendorf P.</t>
  </si>
  <si>
    <t>Carbohydrate structure of human pancreatic elastase 1</t>
  </si>
  <si>
    <t>10.1042/bj2780505</t>
  </si>
  <si>
    <t>2-s2.0-0025737638</t>
  </si>
  <si>
    <t>['terminated either', 'primary structure', 'nmr spectroscopy', 'hall ltd', 'full detail', 'four glycopeptide', 'four bi', 'derived oligosaccharide', 'acetylneuraminic acid', '400 mhz1h']</t>
  </si>
  <si>
    <t>1 H-NMR | asparagine-linked glycans | lectin resistance</t>
  </si>
  <si>
    <t>Four bi-antennary glycan fractions of the N-acetyllactosamine-type, derived from a Lewis lung carcinoma (LL2) cell subline resistant to the Aleuria aurantia agglutinin were studied by 400 MHz1H-NMR spectroscopy. By this method, their antennae were found to be terminated either by Œ±(2-3 or 6)-linked N-acetylneuraminic acid or Œ±(1-3)-linked galactose residues. The primary structure of glycans of these four glycopeptide or derived oligosaccharide-alditols has been determined in full detail. ¬© 1991 Chapman and Hall Ltd.</t>
  </si>
  <si>
    <t>29-37</t>
  </si>
  <si>
    <t>Glycoconjugate Journal</t>
  </si>
  <si>
    <t>60104298;60072265;60104298;60104298;60104298</t>
  </si>
  <si>
    <t>7003767020;7004411598;7006245680;7103289522;56377616100</t>
  </si>
  <si>
    <t>Debray, Henri;Dus, Danuta;Wieruszeski, Jean Michel;Strecker, G√©rard;Montreuil, Jean</t>
  </si>
  <si>
    <t>France;Poland</t>
  </si>
  <si>
    <t>Villeneuve-d'Ascq;Wroclaw</t>
  </si>
  <si>
    <t>Unit√© de Glycobiologie Structurale et Fonctionnelle (UGSF);Ludwik Hirszfeld Institute of Immunology and Experimental Therapy of the Polish Academy of Sciences</t>
  </si>
  <si>
    <t>60104298;60072265</t>
  </si>
  <si>
    <t>Debray H.</t>
  </si>
  <si>
    <t>Structures of the Œ±(1-3)-galactose-containing asparagine-linked glycans of a Lewis lung carcinoma cell subline resistant to Aleuria aurantia agglutinin: elucidation by&lt;sup&gt;1&lt;/sup&gt;H-NMR spectroscopy</t>
  </si>
  <si>
    <t>10.1007/BF00731640</t>
  </si>
  <si>
    <t>2-s2.0-0025739961</t>
  </si>
  <si>
    <t>['¬© 1991', 'wideband printed', 'significantly reduced', 'rights reserved', 'quantitative study', 'promising solution', 'new class', 'highly efficient', 'electrical engineers', 'circuit antennas']</t>
  </si>
  <si>
    <t>The quantitative study of surface wave propagation in a new class of printed-circuit antennas named chirostrip* antennasf is given. It is shown that by using lossless chiral materials as substrates of such antennas, surface wave power can be significantly reduced. This design will provide a promising solution for highly efficient, wideband printed-circuit antennas. ¬© 1991, The Institution of Electrical Engineers. All rights reserved.</t>
  </si>
  <si>
    <t>60102562;60102562</t>
  </si>
  <si>
    <t>7005850584;6602927057</t>
  </si>
  <si>
    <t>Engheta, N.;Pelet, P.</t>
  </si>
  <si>
    <t>Philadelphia</t>
  </si>
  <si>
    <t>School of Engineering and Applied Science</t>
  </si>
  <si>
    <t>Engheta N.</t>
  </si>
  <si>
    <t>Reduction of Surface Waves in Chirostrip Antennas</t>
  </si>
  <si>
    <t>10.1049/el:19910004</t>
  </si>
  <si>
    <t>2-s2.0-0025741965</t>
  </si>
  <si>
    <t>['frequency plane', 'dimensional patterns', 'dimension generated', 'costas arrays', 'correlation properties']</t>
  </si>
  <si>
    <t>Several recent papers have been published describing algebraic constructions of Costas arrays. These arrays are two-dimensional patterns in the time-frequency plane which can be used to derive signals whose ambiguity functions approach the ideal ‚Äúthumbtack‚Äù function implying the ability to provide within time-bandwidth limitations uncoupled parameter estimates of any degree of resolution. The cross-correlation properties of the algebraically constructed arrays are derived between arrays of the same dimension generated by the same construction. ¬© 1991 IEEE</t>
  </si>
  <si>
    <t>IEEE Transactions on Aerospace and Electronic Systems</t>
  </si>
  <si>
    <t>60001439;60027165</t>
  </si>
  <si>
    <t>7003739660;7003620626</t>
  </si>
  <si>
    <t>Drumheller, David Mark;Titlebaum, Edward L.</t>
  </si>
  <si>
    <t>Rochester;University Park</t>
  </si>
  <si>
    <t>University of Rochester;Pennsylvania State University</t>
  </si>
  <si>
    <t>60027165;60001439</t>
  </si>
  <si>
    <t>Drumheller D.M.</t>
  </si>
  <si>
    <t>Cross-Correlation Properties of Algebraically Constructed Costas Arrays</t>
  </si>
  <si>
    <t>10.1109/7.68142</t>
  </si>
  <si>
    <t>2-s2.0-0025742361</t>
  </si>
  <si>
    <t>['wiley company', 'two variants', 'two frequencies', 'rf efficiency', 'resonance frequencies', 'nuclei 31p', 'laboratory version', 'increasing number', 'inc .,', 'high frequencies', 'design principle', 'design concept', 'circular polarization', 'antenna performance', 'antenna design', '31p experiments', '1h images', '170 mhz']</t>
  </si>
  <si>
    <t>The design concept of a dual‚Äêfrequency whole‚Äêbody MR antenna for circular polarization is presented. First, the principle of the capacitively shortened transmission line antenna, which is the basis of the design, is discussed. Emphasis is given to the antenna design at high frequencies. Two variants of possible antenna constructions are described and the RF efficiency is calculated for both frequencies. The antenna performance is discussed for the example of 69 and 170 MHz, the nuclear magnetic resonance frequencies of the nuclei 31P and 1H at 4 T. For 31P experiments, a whole‚Äêbody antenna is useful only for transmitting and, thus, the antenna performance can be optimized for 1H. The design principle is not limited to two frequencies; however, the RF efficiency decreases with an increasing number of resonance frequencies. Results of a laboratory version and 1H images at 4 T are presented. ¬© 1991 Academic Press, Inc. Copyright ¬© 1991 Wiley‚ÄêLiss, Inc., A Wiley Company</t>
  </si>
  <si>
    <t>446-455</t>
  </si>
  <si>
    <t>Magnetic Resonance in Medicine</t>
  </si>
  <si>
    <t>60028673;60028673</t>
  </si>
  <si>
    <t>57197995833;7101932047</t>
  </si>
  <si>
    <t>D√ºrr, W.;Rauch, S.</t>
  </si>
  <si>
    <t>Siemens AG</t>
  </si>
  <si>
    <t>D√ºrr W.</t>
  </si>
  <si>
    <t>A dual‚Äêfrequency circularly polarizing whole‚Äêbody MR antenna for 69/170 MHz</t>
  </si>
  <si>
    <t>10.1002/mrm.1910190236</t>
  </si>
  <si>
    <t>2-s2.0-0025744340</t>
  </si>
  <si>
    <t>['smooth mirrors', 'plane waves', 'plane wave', 'paper treats', 'four reflections', 'explicit formulas', 'desired shape']</t>
  </si>
  <si>
    <t>This paper treats the problem of how plane waves are transformed by four reflections from smooth mirrors. It is proved that four reflections are sufficient to transform a plane wave into any desired shape. Explicit formulas are obtained for the appropriate linear coordinate transformations.</t>
  </si>
  <si>
    <t>42-49</t>
  </si>
  <si>
    <t>Gasanov, E. E.</t>
  </si>
  <si>
    <t>Gasanov E.</t>
  </si>
  <si>
    <t>Concerning four-mirror systems</t>
  </si>
  <si>
    <t>2-s2.0-0025745601</t>
  </si>
  <si>
    <t>['synchrotron radiation', 'one megawatts', 'dppr ).', 'design example', 'dc power', 'dc current', 'convertor puts', 'converter consists', 'antenna arrays', '830 kw', '77 v', '30 thz', '1079 ka', '1 thz']</t>
  </si>
  <si>
    <t>Design and formulas and a design example of a synchrotron electromagnetic radiation-to-DC power convertor is presented. The convertor of the design example converts radiative electromagnetic power of one megawatts/m2, 1 Thz to 30 THz of synchrotron radiation from a nuclear fusion reactor to utility electric power. The convertor puts out DC power of 830 kW with DC current of 1079 kA at DC voltage 0.77 V with 83% efficiency. The converter consists of an array of combination of antenna arrays and a distributed parameter power rectifier (DPPR).</t>
  </si>
  <si>
    <t>18-25</t>
  </si>
  <si>
    <t>Journal of Microwave Power and Electromagnetic Energy</t>
  </si>
  <si>
    <t>Ishii, T.</t>
  </si>
  <si>
    <t>Ishii T.</t>
  </si>
  <si>
    <t>Design of a distributed parameter power rectifier array (DPPRA) for synchrotron radiation-to-DC power conversion</t>
  </si>
  <si>
    <t>10.1080/08327823.1991.11688135</t>
  </si>
  <si>
    <t>2-s2.0-0025746030</t>
  </si>
  <si>
    <t>['widely used', 'stiffness properties', 'space vehicles', 'space antennas', 'plywood form', 'metal constructions', 'light alloys', 'increasingly challenged', 'greater strength', 'given mass', 'fracture resistance', 'first generation', 'fibreglass composites', 'extensive use', 'eventually led', 'early evolution', 'composite material', 'also come']</t>
  </si>
  <si>
    <t>During the early evolution of the aeroplane, extensive use was made of wooden constructions relying on what might be termed a 'natural' composite material, including the plywood form of construction. The greater strength, stiffness and fracture resistance of metals (for a given mass) eventually led to the replacement of wood with metal constructions, particularly those exploiting aluminium alloys. This led to the development of the 'light alloys' that are now used in construction of space vehicles. More recently, fibreglass composites have also come to be widely used in the construction of lightly-loaded structural components and, because of their good dielectric properties, for the first generation of space antennas. In the last ten years, the use of these now 'conventional' materials has been increasingly challenged by the emergence of new composite materials with potentially better specific-strength and stiffness properties.</t>
  </si>
  <si>
    <t>68-80</t>
  </si>
  <si>
    <t>International Journal of Materials and Product Technology</t>
  </si>
  <si>
    <t>60031159;60031159;60031159</t>
  </si>
  <si>
    <t>7201566391;56027390900;7401686457</t>
  </si>
  <si>
    <t>Eaton, D. C.G.;Pradier, A.;Lambert, M.</t>
  </si>
  <si>
    <t>Noordwijk aan Zee</t>
  </si>
  <si>
    <t>ESTEC - European Space Research and Technology Centre</t>
  </si>
  <si>
    <t>Eaton D.</t>
  </si>
  <si>
    <t>New structural materials for space applications</t>
  </si>
  <si>
    <t>2-s2.0-0025746110</t>
  </si>
  <si>
    <t>Army Research Office</t>
  </si>
  <si>
    <t>DAAL03-88-K-0133</t>
  </si>
  <si>
    <t>ARO</t>
  </si>
  <si>
    <t>['zero thickness', 'static solution', 'planar metals', 'phase variation', 'numerical results', 'metallic structures', 'dynamic approach', 'dynamic analysis']</t>
  </si>
  <si>
    <t>A quasi-dynamic approach is presented for the analysis of arbitrarily oriented printed microstrip circuits. The metallic structures are assumed to be planar metals of zero thickness. The quasi-dynamic approach differs from the quasi-static solution in the sense that phase variation is included in the quasi-dynamic analysis. The region of validity of the quasi-dynamic approach is investigated. Numerical results are presented to illustrate the use of this technique.</t>
  </si>
  <si>
    <t>75-82</t>
  </si>
  <si>
    <t>IEEE Transactions on Microwave Theory and Techniques</t>
  </si>
  <si>
    <t>60030551;60030551;60030551;60030551;60030551</t>
  </si>
  <si>
    <t>6603926402;7401451633;55650323300;7201653432;7005436133</t>
  </si>
  <si>
    <t>Arabi, Tawfik Rahal;Murphy, Arthur T.;Sarkar, Tapan K.;Harrington, Roger F.;Djordjevic, Antonije R.</t>
  </si>
  <si>
    <t>Syracuse</t>
  </si>
  <si>
    <t>Syracuse University</t>
  </si>
  <si>
    <t>Arabi T.</t>
  </si>
  <si>
    <t>Analysis of arbitrarily oriented microstrip lines utilizing a quasi-dynamic approach</t>
  </si>
  <si>
    <t>10.1109/22.64608</t>
  </si>
  <si>
    <t>2-s2.0-0025746547</t>
  </si>
  <si>
    <t>['scattered field', 'physical characteristics', 'paper presents', 'numerical results', 'loop antenna', 'field zone', 'electromagnetic scattering', 'computation time']</t>
  </si>
  <si>
    <t>This paper presents an efficient numerical technique for electromagnetic scattering in the near-field zone by three-dimensional permeable conducting objects excited by a loop antenna. The impedance boundary conditions are used to simplify the formulation and reduce the computation time and memory. Numerical results are presented to illustrate the dependence of the scattered field on the physical characteristics of the scatterer and its location. ¬© 1991 IEEE</t>
  </si>
  <si>
    <t>IEEE Transactions on Geoscience and Remote Sensing</t>
  </si>
  <si>
    <t>60009697;60009697;60012069</t>
  </si>
  <si>
    <t>7005104207;8092251400;7006907185</t>
  </si>
  <si>
    <t>Sebak, Abdel Razik;Shafai, Lotfollah;Das, Yogadhish</t>
  </si>
  <si>
    <t>Medicine Hat;Winnipeg</t>
  </si>
  <si>
    <t>Defence Research Establishment Suffield;University of Manitoba</t>
  </si>
  <si>
    <t>60012069;60009697</t>
  </si>
  <si>
    <t>Sebak A.</t>
  </si>
  <si>
    <t>Near-Zone Fields Scattered by Three-Dimensional Highly Conducting Permeable Objects in the Field of an Arbitrary Loop</t>
  </si>
  <si>
    <t>10.1109/36.103287</t>
  </si>
  <si>
    <t>2-s2.0-0025747543</t>
  </si>
  <si>
    <t>['¬± 5', 'vertex angle', 'simple method', 'sectoral hr', 'frequency bandwidth', 'experimental investigations', 'emitting aperture', 'e vector', 'central frequency', 'aperture parallel', '2œ ±', '23 ¬∞']</t>
  </si>
  <si>
    <t>A simple method of matching the emitting aperture of a sectoral horn radiator (HR) with dimensions of b √ó d by means of a post, located at the center of the aperture parallel to the E vector of the field, is considered in this paper. Experimental investigations were carried out in the 4-millimeter wave band using an H-sectoral HR with an aperture d/Œª = 8, b/Œª = 0.4, a vertex angle of 2Œ± = 23¬∞ and matched 'waveguide-horn' junction, providing for an SWR ‚â§ 1.1 from the throat of the HR in a frequency bandwidth of ¬±5% from the central frequency.</t>
  </si>
  <si>
    <t>118-120</t>
  </si>
  <si>
    <t>;;</t>
  </si>
  <si>
    <t>7005786838;8323051100;35582040000</t>
  </si>
  <si>
    <t>Kostenko, A. A.;Martynyuk, S. P.;Khlopov, G. I.</t>
  </si>
  <si>
    <t>Kostenko A.</t>
  </si>
  <si>
    <t>Improvement of the matching of sectoral horns</t>
  </si>
  <si>
    <t>2-s2.0-0025748457</t>
  </si>
  <si>
    <t>['structures large', 'high frequencies', 'dielectric coating', 'characteristic dimensions']</t>
  </si>
  <si>
    <t>The purpose of this paper is to analyze the diffraction phenomenon introduced by perfectly conducting convex surfaces with dielectric coating, resulting from an interaction of these structures with an electromagnedic radiation created essentially by sources which are set on these objects at high frequencies, in other words for characteristic dimensions of the structures large in terms of wave-length.</t>
  </si>
  <si>
    <t>96-111</t>
  </si>
  <si>
    <t>Applied Computational Electromagnetics Society Journal</t>
  </si>
  <si>
    <t>100325416;100325416;100325416</t>
  </si>
  <si>
    <t>6506918095;7006771943;57196537293</t>
  </si>
  <si>
    <t>Blondeel-Fournier, M. A.;Tabbara, W.;Beaulieu, L.</t>
  </si>
  <si>
    <t>Saint-Cloud</t>
  </si>
  <si>
    <t>Dassault Electronique</t>
  </si>
  <si>
    <t>Blondeel-Fournier M.</t>
  </si>
  <si>
    <t>Antennas on dielectric coated convex surfaces. Theory and experimentation</t>
  </si>
  <si>
    <t>2-s2.0-0025749305</t>
  </si>
  <si>
    <t>['two series', 'treated using', 'transient excitation', 'theoretical results', 'second series', 'resonance region', 'real axis', 'object determine', 'numerical calculations', 'natural frequencies', 'general ellipsoid', 'first series', 'elliptic disk', 'e .,', 'dominant frequencies', 'disk approaches', 'corresponding eigencurrents', 'copyright 1991']</t>
  </si>
  <si>
    <t>The natural frequencies of an object determine the late time response of a transient excitation and govern the time harmonic scattering in the resonance region. In this paper the natural frequencies and the corresponding eigencurrents of a perfectly conducting elliptic disk are treated using the null‚Äêfield approach. The elliptic disk is obtained as the zero thickness limit of a general ellipsoid. It is found that the dominant frequencies, i.e., the frequencies that stay in the finite complex frequency plane when the disk approaches the ‚Äúwire limit,‚Äù line up in two series. The first series, closest to the real axis, can be identified as the resonances of a thin wire antenna, corresponding to quasi‚Äêstationary current waves on the disk. The second series has more involved nonstationary current patterns. The theoretical results are illustrated with numerical calculations. Copyright 1991 by the American Geophysical Union.</t>
  </si>
  <si>
    <t>149-160</t>
  </si>
  <si>
    <t>1944799X</t>
  </si>
  <si>
    <t>Radio Science</t>
  </si>
  <si>
    <t>January-February 1991</t>
  </si>
  <si>
    <t>Bj√∂rkberg, Jonas</t>
  </si>
  <si>
    <t>Bj√∂rkberg J.</t>
  </si>
  <si>
    <t>Natural frequencies and eigencurrents of the elliptic disk</t>
  </si>
  <si>
    <t>10.1029/90RS02331</t>
  </si>
  <si>
    <t>2-s2.0-0025751745</t>
  </si>
  <si>
    <t>['valid even', 'slowly fluctuating', 'pulse within', 'numerically intensive', 'n detector', 'detection performance', 'binary integrator']</t>
  </si>
  <si>
    <t>The detection performance of a binary integrator (M out of N detector) against nonfluctuating, slowly fluctuating and quickly fluctuating targets is given. Since the solution for the slowly fluctuating target is numerically intensive, a simpler approximate solution is developed. This approximation is very accurate, and is valid even when the noise power varies from pulse to pulse within a single antenna scan. ¬© 1991 IEEE</t>
  </si>
  <si>
    <t>Weiner, Mark A.</t>
  </si>
  <si>
    <t>Cambridge</t>
  </si>
  <si>
    <t>Massachusetts Institute of Technology</t>
  </si>
  <si>
    <t>Weiner M.</t>
  </si>
  <si>
    <t>Binary Integration of Fluctuating Targets</t>
  </si>
  <si>
    <t>10.1109/7.68143</t>
  </si>
  <si>
    <t>2-s2.0-0025751840</t>
  </si>
  <si>
    <t>['solution known', 'presented circuits', 'one side', 'dielectric substrate', 'cpw ).']</t>
  </si>
  <si>
    <t>The concept, design and realisation of integrated uniplanar antenna-mixer and MESFET local oscillator is presented in this paper. All circuits are realised on one side of the dielectric substrate in coplanar waveguide technique (CPW). Isotropic conversion gain is more than 4 dB better and bandwidth is broader than in the solution known so far. Presented circuits are also more simple for realisation.</t>
  </si>
  <si>
    <t>56-58</t>
  </si>
  <si>
    <t>Jan-Mar</t>
  </si>
  <si>
    <t>Nesic, A.</t>
  </si>
  <si>
    <t>Russian Federation</t>
  </si>
  <si>
    <t>Institute of Microwave Techniques and Electronics</t>
  </si>
  <si>
    <t>Nesic A.</t>
  </si>
  <si>
    <t>Integrated uniplanar antenna mixer and local oscillator</t>
  </si>
  <si>
    <t>10.1049/el:19910036</t>
  </si>
  <si>
    <t>2-s2.0-0025752034</t>
  </si>
  <si>
    <t>['waveguide technology', 'successful demonstration', 'steps toward', 'remote transmitters', 'recently achieved', 'new computer', 'first application', 'array antennas']</t>
  </si>
  <si>
    <t>Several future Navy combat systems under development at APL require efficient delivery of high-power microwave energy from remote transmitters to phased-array antennas. To achieve this requirement, we have investigated the use of circular TE01 mode 'overmoded' waveguide technology. This effort has resulted in the invention of several new components, advancement of numerical modeling techniques, development and validation of new computer-aided-design computer programs, and the invention of several new fabrication techniques. The first application of this technology to a combat system element was recently achieved in the successful demonstration of the prototype Cooperative Engagement Capability, and steps toward a production military version of such a waveguide have been initiated.</t>
  </si>
  <si>
    <t>60-74</t>
  </si>
  <si>
    <t>Johns Hopkins APL Technical Digest (Applied Physics Laboratory)</t>
  </si>
  <si>
    <t>6506853056;7402212682;6603798442</t>
  </si>
  <si>
    <t>Huting, William A.;Warren, Jeffery W.;Krill, Jerry A.</t>
  </si>
  <si>
    <t>Huting W.</t>
  </si>
  <si>
    <t>Recent progress in circular high-power overmoded waveguide</t>
  </si>
  <si>
    <t>2-s2.0-0025757518</t>
  </si>
  <si>
    <t>['phase inverters', 'output impedances', 'conventional fet', 'control bias', 'chip size', 'balanced modulators', 'balanced modulator', 'array processing', '7 continuously', '5 mm', '35 db', '2 ],', '18 ghz', '1 ],']</t>
  </si>
  <si>
    <t>Very small, broad-band circuit function modules which operate as signal pass switches, phase inverters, and balanced modulators are proposed. They are realized by mutual on/off switching of the FET‚Äôs in the line unified FET (LUFET) configuration [1], [2], with which a main circuit function can be realized in almost the same size as a conventional FET. It is demonstrated that a balanced modulator with a chip size of only 0.6 mm X 0.5 mm can control signal gain from 0.7 to - 0.7 continuously while input and output impedances are independent of control bias and isolation is more than 35 dB up to 18 GHz. These circuit function modules are valuable in constructing miniaturized phase shifters and highly integrated circuits for array processing. ¬© 1991 IEEE</t>
  </si>
  <si>
    <t>117-123</t>
  </si>
  <si>
    <t>60032045;60025555</t>
  </si>
  <si>
    <t>57193533232;57205356752</t>
  </si>
  <si>
    <t>Hara, Shinji;Tokumitsu, Tsuneo</t>
  </si>
  <si>
    <t>Japan;Japan</t>
  </si>
  <si>
    <t>Sakai;Tokyo</t>
  </si>
  <si>
    <t>Sharp Corporation;Nippon Telegraph and Telephone Corporation</t>
  </si>
  <si>
    <t>Hara S.</t>
  </si>
  <si>
    <t>Very Small Control Modules with Line Unified Fet Configuration for Array Processing</t>
  </si>
  <si>
    <t>10.1109/22.64614</t>
  </si>
  <si>
    <t>2-s2.0-0025757552</t>
  </si>
  <si>
    <t>National Institute of General Medical Sciences</t>
  </si>
  <si>
    <t>T32GM007365</t>
  </si>
  <si>
    <t>NIGMS</t>
  </si>
  <si>
    <t>['widely used', 'transmembrane potential', 'substantially larger', 'sensitive dyes', 'results demonstrate', 'protein complex', 'probe potentials', 'organized environment', 'large perturbation', 'harvesting complex', 'ground state', 'explanation foe', 'excited states', 'electronic structure', 'biological systems', 'absorption spectra', '850 light']</t>
  </si>
  <si>
    <t>Unusually large electric field effects have been measured for the absorption spectra of carotenoids (spheroidenc) in the B800-850 light-harvesting complex from the photosynthetic bacterium Rhodobacter sphaeroides. Quantitative analysis shows that the difference in the permanent dipole moment between the ground state and excited states in this protein complex is substantially larger than for pure spheroidene extracted from the protein. The results demonstrate the presence of a large perturbation on the electronic structure of this nearly symmetric carotenoid due to the organized environment in the protein. This work also provides an explanation foe the seemingly anomalous dependence of carotenoid band shifts on transmembrane potential and a generally useful approach for calibrating electric field-sensitive dyes that are widely used to probe potentials in biological systems.</t>
  </si>
  <si>
    <t>662-665</t>
  </si>
  <si>
    <t>Science</t>
  </si>
  <si>
    <t>60012708;60012708;60012708</t>
  </si>
  <si>
    <t>7004295537;57206343433;35473804100</t>
  </si>
  <si>
    <t>Gottfried, David S.;Steffen, Martin A.;Boxer, Steven G.</t>
  </si>
  <si>
    <t>Palo Alto</t>
  </si>
  <si>
    <t>Stanford University</t>
  </si>
  <si>
    <t>Gottfried D.</t>
  </si>
  <si>
    <t>Large protein-induced dipoles for a symmetric carotenoid in a photosynthetic antenna complex</t>
  </si>
  <si>
    <t>10.1126/science.1992518</t>
  </si>
  <si>
    <t>2-s2.0-0025758270</t>
  </si>
  <si>
    <t>['vessel walls', 'vessel thrombosis', 'various stages', 'urethral surface', 'tumh ).', 'thermal profile', 'selective shrinking', 'rights reserved', 'reparative process', 'probably expressed', 'periurethral oedema', 'patients 7', 'partial small', 'parenchymal haemorrhages', 'obstructed urethra', 'observed 24', 'interstitial haemorrhages', 'histopathological changes', 'histological changes', 'helical antenna', 'haemorrhagic necrosis', 'granulation tissue', 'four patients', 'deeper lesions', 'complex process', 'complete obliteration', 'clearly demonstrated', 'acute changes']</t>
  </si>
  <si>
    <t>Histopathological changes were studied in four patients who had moderate to severe urinary outflow obstruction due to benign prostatic hyperplasia (BPH) and were treated with transurethral microwave hyperthermia (TUMH). All these patients received TUMH with a helical antenna using a BSD 300 unit. The temperature was controlled on the urethral surface at 45¬∞C ¬∞ 1¬∞C. Each treatment session lasted 70 min at this temperature. Histological changes were periurethral, extending up to 6 mtn radially and 4-5 cm longitudinally. They were symmetrical and most severe in the immediate periurethral zone. The severity and distribution of these histological changes correlated well with the thermal profile of the helical antenna. Acute changes, observed 24-48 h following administration of a single TUMH session, consisted of periurethral oedema, parenchymal haemorrhages and occasional, partial small-vessel thrombosis. Selective coagulation necrosis of the parenchymal smooth muscles with sparing of smooth muscle fibres in the vessel walls was noted. Histopathological changes found in patients 7 or 26 days following the administration of 10 TUMH treatments given twice-weekly for 5 weeks showed more severe and deeper lesions. They consisted of interstitial haemorrhages, complete obliteration of blood vessel lumina due to thrombosis and further evidence of coagulation and haemorrhagic necrosis. Evidence of a reparative process with ingrowth of granulation tissue in various stages of organization was clearly demonstrated. The effect of TUMH on BPH-obstructed urethra is probably expressed through selective shrinking and retraction of the periurethral prostatic parenchyma due to organizing localized tissue necrosis and cicatrization. Details of this complex process will be presented. ¬© 1991 Informa UK Ltd All rights reserved: reproduction in whole or part not permitted.</t>
  </si>
  <si>
    <t>221-230</t>
  </si>
  <si>
    <t>107453421;60031069;107453421;60015183</t>
  </si>
  <si>
    <t>35596637400;7102038118;6506351612;7006372174</t>
  </si>
  <si>
    <t>Lauweryns, J.;Baert, L.;Vandenhove, J.;Petrovich, Z.</t>
  </si>
  <si>
    <t>Belgium;United States;Belgium</t>
  </si>
  <si>
    <t>3000 Leuven;Los Angeles;Leuven</t>
  </si>
  <si>
    <t>KU Leuven‚Äì University Hospital Leuven;Keck School of Medicine of USC;University Clinic St. Rafael</t>
  </si>
  <si>
    <t>60031069;60015183;107453421</t>
  </si>
  <si>
    <t>Lauweryns J.</t>
  </si>
  <si>
    <t>Histopathology of prostatic tissue after transurethral hyperthermia</t>
  </si>
  <si>
    <t>10.3109/02656739109004992</t>
  </si>
  <si>
    <t>2-s2.0-0025758556</t>
  </si>
  <si>
    <t>R01CA042604</t>
  </si>
  <si>
    <t>['theoretical calculations', 'simple geometries', 'shorter tumours', 'rights reserved', 'modelling tumours', 'longer tumours', 'length tumours', 'galerkin finite', 'evaluated based', 'especially tumours', 'element method', 'dimensional cylindrical', 'cylindrical tumours', 'constant thermal', 'computer simulations', 'antennas driven', 'advance three', '915 mhz', '2450 mhz', '16 cm']</t>
  </si>
  <si>
    <t>Finite elements | Hyperthermia | Modelling | Temperature | Thermal dosimetry</t>
  </si>
  <si>
    <t>The Dartmouth interstitial microwave antenna array hyperthermia (IMAAH) system was evaluated based on its ability to heat idealized three-dimensional cylindrical and ellipsoidal tumour models with lengths between 2 and 16 cm. The evaluation was based on computer simulations of the three-dimensional temperature distributions produced by the explicit theoretical power deposition pattern of resonant dipole antenna arrays driven at 433, 915 and 2450 MHz. The theoretical calculations were performed using three-dimensional tumour models with constant thermal and dielectric tissue properties. Each 2 √ó 2 cm antenna array was evaluated on the basis of its ability to heat a specified tumour volume with various blood flow patterns. The bioheat transfer equation was solved in three dimensions using a Galerkin finite-element method. In general, under the conditions of this study, in all cases examined larger percentages of the ellipsoidal tumour volumes were heated to therapeutic temperatures (¬±43¬∞C) than the cylindrical tumours. The 2450 MHz antenna array was the most effective at heating the shorter tumours, while the 433 MHz antenna array heated the longer tumours most effectively. The antennas driven at 915 MHz were most effective at heating the medium-length tumours, especially tumours with high blood flow. The results of this computerized comparative thermal dosimetry study provide information on the feasibility of modelling tumours as simple geometries, and serve to advance three-dimensional interstitial hyperthermia treatment planning. ¬© 1991 Informa UK Ltd All rights reserved: reproduction in whole or part not permitted.</t>
  </si>
  <si>
    <t>465-483</t>
  </si>
  <si>
    <t>60030443;60030443;60030443</t>
  </si>
  <si>
    <t>6602167161;7005534211;7003581315</t>
  </si>
  <si>
    <t>Mechling, J. A.;Strohbehn, J. W.;France, L. J.</t>
  </si>
  <si>
    <t>Hanover</t>
  </si>
  <si>
    <t>Thayer School of Engineering at Dartmouth</t>
  </si>
  <si>
    <t>Mechling J.</t>
  </si>
  <si>
    <t>A theoretical evaluation of the performance of the Dartmouth IMAAH system to heat cylindrical and ellipsoidal tumour models</t>
  </si>
  <si>
    <t>10.3109/02656739109005011</t>
  </si>
  <si>
    <t>2-s2.0-0025761550</t>
  </si>
  <si>
    <t>['vertical plane', 'radiation pattern', 'numerical calculations', 'noise immunity', 'nikov interpolation', 'linear integration', 'general expressions', 'digital directivity', 'controlled arrays', 'anisotropic interference']</t>
  </si>
  <si>
    <t>General expressions are derived for the radiation pattern and directivity of digital directivity-controlled arrays. These relations are refined to digital directivity techniques with deterministic and statistical delay rounding and for the case where linear integration and Kotel'nikov interpolation are used. Numerical calculations of the noise immunity are carried out for anisotropic interference in the vertical plane.</t>
  </si>
  <si>
    <t>26-34</t>
  </si>
  <si>
    <t>Kalyuzhnyy, A. Ya</t>
  </si>
  <si>
    <t>Kalyuzhnyy A.</t>
  </si>
  <si>
    <t>Noise immunity and the directivity properties of digital directivity-controlled arrays</t>
  </si>
  <si>
    <t>2-s2.0-0025767583</t>
  </si>
  <si>
    <t>['¬© 1991', 'stronger interaction', 'single 6', 'rhodamine chromophore', 'rhodamine 6g', 'membered rings', 'linkages consisting', 'improve pumping', 'fluorescence efficiency', 'excimer laser', 'ethanolic solution', 'anthracene moieties', 'amino endgroups', 'absorbs strongly', '308 nm']</t>
  </si>
  <si>
    <t>New rhodamine dyes with amino endgroups that are rigidized by 5- and 6-membered rings have been synthesized. The fluorescence quantum yield in ethanolic solution is, independent of temperature, close to unity. A derivative with amino groups incorporated in a single 6-membered ring lases more efficiently than rhodamine 6G. In an attempt to improve pumping by an excimer laser the rhodamine chromophore was connected via methylene bridges with 2,5-diphenyloxazole (PPO) which absorbs strongly at 308 nm. In these antenna dyes complete energy transfer from PPO to rhodamine is observed, yet lasing efficiency is influenced by some unexpected excited state interaction between the chromophores. We studied with other multichromophoric dyes also the influence of nitrobenzene and anthracene moieties on the fluorescence efficiency of the rhodamine chromophore. Linkages consisting of two methylene groups permit a stronger interaction between chromophores than those consisting of a single methylene group. ¬© 1991.</t>
  </si>
  <si>
    <t>352-358</t>
  </si>
  <si>
    <t>PART 1</t>
  </si>
  <si>
    <t>48-49</t>
  </si>
  <si>
    <t>Journal of Luminescence</t>
  </si>
  <si>
    <t>January 1991/February 1991</t>
  </si>
  <si>
    <t>60024260;60024260;60024260;60024260;60024260;60024260</t>
  </si>
  <si>
    <t>7004399703;7801426578;6507527540;6506947542;6506639855;7004323357</t>
  </si>
  <si>
    <t>Arden, Jutta;Deltau, Gerhard;Huth, Volker;Kringel, Ute;Peros, Dimitrios;Drexhage, Karl H.</t>
  </si>
  <si>
    <t>Siegen</t>
  </si>
  <si>
    <t>Universit√§t Siegen</t>
  </si>
  <si>
    <t>Arden J.</t>
  </si>
  <si>
    <t>Fluorescence and lasing properties of rhodamine dyes</t>
  </si>
  <si>
    <t>002223139190137K</t>
  </si>
  <si>
    <t>10.1016/0022-2313(91)90137-K</t>
  </si>
  <si>
    <t>2-s2.0-0025786333</t>
  </si>
  <si>
    <t>Nederlandse Organisatie voor Wetenschappelijk Onderzoek</t>
  </si>
  <si>
    <t>NWO</t>
  </si>
  <si>
    <t>['¬© 1991', 'two types', 'results yield', 'protein complex', 'power law', 'photochemical hole', 'molecules within', 'magnitude larger', 'low temperatures', 'intact chromatophores', 'holes burnt', 'hole width', 'diode laser', 'absolute value', '780 nm', '4 ps', '30 k', '2 k', '1 dependence']</t>
  </si>
  <si>
    <t>Photochemical hole-burning (PHB) experiments have been performed on two types of complex organic systems. Results on the Qy O-O transition of bacteriochlorophyll-a (BChl-a) in triethylamine (TEA) between 0.4 and 4.2 K, obtained with a diode laser at 780 nm, show that the homogeneous line width, Œìhom, follows a T1.3¬±0.1 dependence. Such a power law has been found for many organic glassy systems at low temperatures. The absolute value of Œìhom in a solution of water and detergent is almost one order of magnitude larger than in TEA, which suggests that energy transfer takes place between BChl-a molecules within a micelle. Holes burnt in the 800 nm band of the B800-850 antenna pigment-protein complex of purple bacteria Rhodobacter sphaeroides show no variation in hole width between 1.2 and 30 K. The results yield an energy transfer time of 2.3 ¬± 0.4 ps between the aggregated BChl 800 and BChl 850 molecules. The same value is found for intact chromatophores at 1.2 K. ¬© 1991.</t>
  </si>
  <si>
    <t>199-203</t>
  </si>
  <si>
    <t>60070193;60070193;60070193</t>
  </si>
  <si>
    <t>23048328400;57203082898;7004111252</t>
  </si>
  <si>
    <t>van der Laan, H.;Schmidt, Th;V√∂lker, S.</t>
  </si>
  <si>
    <t>Leiden</t>
  </si>
  <si>
    <t>Gorlaeus Laboratory</t>
  </si>
  <si>
    <t>van der Laan H.</t>
  </si>
  <si>
    <t>Energy transfer and dynamics of photosynthetic antenna complexes and biological model systems. A study by photochemical hole-burning</t>
  </si>
  <si>
    <t>10.1016/0022-2313(91)90104-4</t>
  </si>
  <si>
    <t>2-s2.0-0025786338</t>
  </si>
  <si>
    <t>['resonances resulting', 'resonances attributable', 'resonance troughs', 'radiation patterns', 'qualitative mechanisms', 'horn geometry', 'horn elements', 'aperture geometry']</t>
  </si>
  <si>
    <t>Resonance troughs in the radiation patterns of waveguide-horn elements of phase antenna arrays (PAA) are analyzed. The qualitative mechanisms of resonances attributable to the horn are identified. The possibility of selecting a horn geometry that eliminates such resonances is demonstrated. The resonances resulting from the aperture geometry of the element in the radiation patterns of waveguide and waveguide-horn PAA radiators are compared.</t>
  </si>
  <si>
    <t>108-112</t>
  </si>
  <si>
    <t>57196902067;6602069716;6603359474</t>
  </si>
  <si>
    <t>Aleksandrov, N. L.;Vinichenko, YU P.;Tumanskaya, A. YE</t>
  </si>
  <si>
    <t>Aleksandrov N.</t>
  </si>
  <si>
    <t>Resonant phenomena in the waveguide-horn elements of phased antenna arrays</t>
  </si>
  <si>
    <t>2-s2.0-0025786435</t>
  </si>
  <si>
    <t>['two reflections', 'special cases', 'smooth mirrors', 'given transformation', 'determine whether', 'arbitrary configuration']</t>
  </si>
  <si>
    <t>The problem of the transformation of wavefronts of arbitrary configuration after two reflections from smooth mirrors is examined. A condition is derived that makes it possible to determine whether or not a given transformation between wavefronts is implemented by two reflections. A number of special cases of interest from the viewpoint of optics and reflector antenna theory is examined.</t>
  </si>
  <si>
    <t>67-72</t>
  </si>
  <si>
    <t>57198289338;6603710798</t>
  </si>
  <si>
    <t>Gasanov, E. E.;Kinber, B. YE</t>
  </si>
  <si>
    <t>Class of optical image transformation produced by means of two reflections</t>
  </si>
  <si>
    <t>2-s2.0-0025786437</t>
  </si>
  <si>
    <t>['¬© 1991', 'wt ligand', 'scattering increases', 'ricinus agglutinin', 'relative light', 'recognition events', 'reaction mixture', 'rc1 ),', 'much slower', 'monomeric igg', 'molecular mass', 'model ic', 'mainly determines', 'immunoglobulin g', 'igg molecules', 'igg glycans', 'highly specific', 'high mol', 'galactose residues', 'different types', 'containing oligosaccharides', 'containing epitopes', 'completely abolished', 'close attachment', 'bind specifically', 'associated epitopes', 'antennae ".', 'also able']</t>
  </si>
  <si>
    <t>Immunoglobulin G (IgG) molecules contain covalently linked carbohydrate chains with galactose residues in their branched "antennae". The ability of galactose-containing epitopes on the surface of IgG model immune complexes (IC) to interact with a high mol. wt ligand in solution has been elucidated. Different types of IgG model IC with pre-detennined molecular mass were mixed with Ricinus Agglutinin (RC1), which is known to bind specifically to galactose-containing oligosaccharides. The relative light-scattering increases (ŒîI) in the reaction mixture were measured as a function of time. The galactose-associated epitopes of the IgG model IC were accessible for binding with RC1. The rate of the interaction between IgG model IC and RC1 was dependent on the molecular mass of the complexes; the larger the model IC molecular mass, the faster the rate of interaction. The binding of RC1 to IgG model IC was highly specific because it was completely abolished in the presence of lactose. The galactose-containing epitopes of monomeric IgG were also able to interact with RC1 but the kinetics of the interaction was much slower. We suggest than an increase in the density of the epitopes on the surface of the model IC, by close attachment of the IgG molecules, mainly determines the ability of galactose-containing epitopes to be recognized by RC1. The data presented support the importance of IgG glycans in recognition events of IgG by biologically active molecules. ¬© 1991.</t>
  </si>
  <si>
    <t>1105-1111</t>
  </si>
  <si>
    <t>Molecular Immunology</t>
  </si>
  <si>
    <t>60109869;60109869;60109869;60109869</t>
  </si>
  <si>
    <t>7003455060;10142897300;7006327540;6507881402</t>
  </si>
  <si>
    <t>Sykulev, Yuri K.;Yeronina, Tatjana V.;Aleshkin, Vladimir A.;Ostreiko, Konstantin K.</t>
  </si>
  <si>
    <t>Moscow</t>
  </si>
  <si>
    <t>V.A. Nasonova Research Institute of Rheumatology</t>
  </si>
  <si>
    <t>Sykulev Y.</t>
  </si>
  <si>
    <t>Galactose-containing epitopes on the surface of IgG model immune complexes are accessible for specific binding with the high molecular weight ligand, ricinus agglutinin, in solution-light-scattering studies</t>
  </si>
  <si>
    <t>0161-5890(91)90025-F</t>
  </si>
  <si>
    <t>10.1016/0161-5890(91)90025-F</t>
  </si>
  <si>
    <t>2-s2.0-0025787307</t>
  </si>
  <si>
    <t>['two fields', 'scattered field', 'results obtained', 'receiver regime', 'receiver antennas', 'problems associated', 'optical theorem', 'maximum scattering', 'matching regime', 'loaded antenna', 'emission regime', 'antennas operating']</t>
  </si>
  <si>
    <t>The conditions, imposed on antennas with minimum and maximum scattering, are obtained by means of the optical theorem for antennas operating in the receiver regime. The scattered field is represented in the form of a super-position of two fields: in the matching regime of a loaded antenna and in the emission regime of this same antenna. The results obtained can be used in problems associated with the design of receiver antennas having given scattering properties.</t>
  </si>
  <si>
    <t>100-106</t>
  </si>
  <si>
    <t>Yerokhin, G. A.</t>
  </si>
  <si>
    <t>Yerokhin G.</t>
  </si>
  <si>
    <t>Optical theorem for receiver antennas and its consequences</t>
  </si>
  <si>
    <t>2-s2.0-0025789380</t>
  </si>
  <si>
    <t>['new class', 'isis ii', 'fourth harmonics', 'electrostatic waves', 'echoes occur', 'dipole antenna', 'copyright 1991', 'alouette ii']</t>
  </si>
  <si>
    <t>A new class of proton cyclotron echoes observed on topside sounder ionograms is presented; these echoes occur at frequencies above the electron plasma frequency and at the third and fourth harmonics of the electron cyclotron frequency, 3∆íH and 4∆íH. Some features are noted such as the dependence on low dip angle values. It is suggested that the 3∆íH and 4∆íH proton cyclotron echoes may be generated by wave‚Äêparticle interaction between the electrostatic waves and the protons that are both energized by the dipole antenna on Alouette II, ISIS I, or ISIS II. Copyright 1991 by the American Geophysical Union.</t>
  </si>
  <si>
    <t>23-29</t>
  </si>
  <si>
    <t>56169322700;6701474803</t>
  </si>
  <si>
    <t>Chen, G. M.;Horita, R. E.</t>
  </si>
  <si>
    <t>Chen G.M.</t>
  </si>
  <si>
    <t>Proton cyclotron echoes at 3∆í&lt;inf&gt;H&lt;/inf&gt; and 4∆í&lt;inf&gt;H&lt;/inf&gt; resonances</t>
  </si>
  <si>
    <t>10.1029/90RS01543</t>
  </si>
  <si>
    <t>2-s2.0-0025791453</t>
  </si>
  <si>
    <t>['signal observation', 'practical implementation', 'multidimensional azimuth', 'generalized solutions', 'esprit algorithm', 'elevation estimation', 'credibility associated', 'azimulhal separation', 'assess probability', 'arrival estimate']</t>
  </si>
  <si>
    <t>The practical implementation of the ESPRIT algorithm into direction-finding system architecture is considered. In particular, the problems of phase ambiguity resolution for extended array separations and multidimensional azimuth/elevation estimation are addressed. Generalized solutions for these problems are proposed and a ‚Äúbearing quality‚Äù indicator is developed which provides a measure of credibility associated with each angle of arrival estimate. Plots of computer simulated performance are presented which assess probability of detection, failure to alarm and false alarm rates as a function of azimulhal separation and period of signal observation. ¬© 1991 IEEE</t>
  </si>
  <si>
    <t>159-166</t>
  </si>
  <si>
    <t>60011533;60011533</t>
  </si>
  <si>
    <t>55574240579;7003312504</t>
  </si>
  <si>
    <t>Johnson, Richard L.;Miner, Gina E.</t>
  </si>
  <si>
    <t>San Antonio</t>
  </si>
  <si>
    <t>Southwest Research Institute</t>
  </si>
  <si>
    <t>Johnson R.L.</t>
  </si>
  <si>
    <t>An Operational System Implementation of the ESPRIT DF Algorithm</t>
  </si>
  <si>
    <t>10.1109/7.68159</t>
  </si>
  <si>
    <t>2-s2.0-0025791577</t>
  </si>
  <si>
    <t>['solve nonline', 'several problems', 'present solutions', 'phase synthesis', 'nonequidistant arrays']</t>
  </si>
  <si>
    <t>We have devised a technique for using locally optimal partial diagrams to solve nonline-source antenna array synthesis problems, e.g., problems of phase synthesis and the synthesis of nonequidistant arrays. As examples, we present solutions to several problems that arise in publications, including the phase synthesis problem for sectoral directivity diagrams.</t>
  </si>
  <si>
    <t>7007016956;6506886232</t>
  </si>
  <si>
    <t>Garmash, V. N.;Absalyamov, N. S.</t>
  </si>
  <si>
    <t>Garmash V.</t>
  </si>
  <si>
    <t>Method of partial diagrams in problems of nonline-source antenna array synthesis</t>
  </si>
  <si>
    <t>2-s2.0-0025792089</t>
  </si>
  <si>
    <t>['wiley company', 'theoretical analysis', 'inc .,', 'impedance matching', 'gunn diode', 'diode placement', 'calculated based', 'active antenna', '8 ghz']</t>
  </si>
  <si>
    <t>Active antenna | Gunn diode | integrated circuit | ring antenna</t>
  </si>
  <si>
    <t>A Gunn diode has been integrated with an annular ring microstrip antenna to form an active antenna. The location for the diode placement was calculated based on a theoretical analysis for impedance matching. Over 70‚ÄêmW output power was achieved at 6.8 GHz. Copyright ¬© 1991 Wiley Periodicals, Inc., A Wiley Company</t>
  </si>
  <si>
    <t>72-75</t>
  </si>
  <si>
    <t>55687165200;7404879378</t>
  </si>
  <si>
    <t>Miller, Richard E.;Chang, Kai</t>
  </si>
  <si>
    <t>Miller R.</t>
  </si>
  <si>
    <t>Integrated active antenna using annular ring microstrip antenna and gunn diode</t>
  </si>
  <si>
    <t>10.1002/mop.4650040205</t>
  </si>
  <si>
    <t>2-s2.0-0025792597</t>
  </si>
  <si>
    <t>['¬© 1991', 'various parameters', 'toroidal phasing', 'required information', 'plasma core', 'optimized conditions', 'nbi power', 'nbi heating', 'icrf wave', 'icrf heating', 'frequency gcrf', 'energy spectra', 'energy confinement', 'electron density', 'combined nbi', 'combined icrf', 'beam acceleration', '60 tokamak', '210 ms']</t>
  </si>
  <si>
    <t>Beam acceleration by heating in the second-harmonic ion cyclotron range of frequency GCRF) in combination with heating by hydrogen neutral beam injection (NBI) was investigated in the JT-60 tokamak. The energy spectra of the accelerated fast ions were measured by a charge exchange neutral energy analyser whose line of sight was intersected by specific beam lines in the plasma core in order to obtain the required information. The dependences of the tail ion temperature on various parameters (electron density, NBI power and the toroidal phasing of the antenna) were examined. Optimized conditions for beam acceleration were evaluated. For combined ICRF heating and NBI heat¬≠ing, an incremental energy confinement lime of 210 ms was achieved, which was three times higher than that obtained with NBI heating alone or with ICRF heating alone. This improvement of the energy confinement during combined NBI and ICRF heating can be explained by a build-up of the fast ions accelerated by the ICRF wave. The scaling of the incremental energy confinement time during combined ICRF+NBI heating was obtained. ¬© 1991, IOP publishing Ltd.</t>
  </si>
  <si>
    <t>83-92</t>
  </si>
  <si>
    <t>Nuclear Fusion</t>
  </si>
  <si>
    <t>60012288;60012288;60012288;60012288;60012288;60012288;60012288;60012288;60018735;60012288;60012288;60012288;60012288;60012288;60012288;60012288;60012288</t>
  </si>
  <si>
    <t>7404269925;57216146100;8451520700;55946592300;7004717270;7005938557;7003355866;56284574900;35377951900;7004487022;24303037000;7201460244;8690918800;7203034975;57207210922;7004385743;7005885680</t>
  </si>
  <si>
    <t>Kimura, H.;Fujii, T.;Todita, K.;Yamagiwa, M.;Hamamatsu, K.;Saigusa, M.;Azumi, M.;Hosogane, N.;Kobayashi, N.;Kusama, Y.;Mizuno, M.;Nagashima, T.;Nemoto, M.;Ninomiya, H.;Takeuchi, H.;Takizuka, T.;Yoshino, R.</t>
  </si>
  <si>
    <t>Tokyo;Naka</t>
  </si>
  <si>
    <t>Toshiba Corporation;Naka Fusion Institute</t>
  </si>
  <si>
    <t>60018735;60012288</t>
  </si>
  <si>
    <t>Kimura H.</t>
  </si>
  <si>
    <t>Experimental study on beam acceleration with combined nbi heating and second-harmonic icrf heating in jt-60</t>
  </si>
  <si>
    <t>10.1088/0029-5515/31/1/008</t>
  </si>
  <si>
    <t>2-s2.0-0025792695</t>
  </si>
  <si>
    <t>['vertical profiles', 'radiation patterns', 'include lateral', 'frequency range', 'electromagnetic interference', 'copyright 1991', 'analytic model', '20 mhz', '100 khz']</t>
  </si>
  <si>
    <t>An analytic model has been developed for predicting the electromagnetic interference from multiconductor power lines over the frequency range from 100 kHz to 20 MHz. Results are provided for typical transmission lines. These include lateral and vertical profiles of the interference as well as radiation patterns. Copyright 1991 by the American Geophysical Union.</t>
  </si>
  <si>
    <t>73-88</t>
  </si>
  <si>
    <t>7402077896;23096515900</t>
  </si>
  <si>
    <t>Olsen, Robert G.;Wu, Mingde</t>
  </si>
  <si>
    <t>Olsen R.</t>
  </si>
  <si>
    <t>A wideband model for electromagnetic interference from corona on multiconductor electric power lines</t>
  </si>
  <si>
    <t>10.1029/90RS02328</t>
  </si>
  <si>
    <t>2-s2.0-0025794425</t>
  </si>
  <si>
    <t>DMC-8806452</t>
  </si>
  <si>
    <t>['¬© 1991', 'residual superconductivity', 'relative susceptibilities', 'powder consolidation', 'planar arrays', 'paper describes', 'monolithic prototypes', 'microwave antenna', 'matrix welding', 'marcel dekker', 'magnetic shielding', 'explosive fabrication']</t>
  </si>
  <si>
    <t>This paper describes the explosive fabrication of novel, bulk superconducting composites and monolithic prototypes which serve to explore a range of applications including superconducting tapes, two-terminal linear bus structures for solid-state switching applications, and planar arrays for microwave antenna and magnetic shielding. The systems explored include copper and silver matrices encapsulating YBa2Cu3O7 superconducting powder and metal powder mixtures (Cu and Ag), Bi7Pb3Sr10Ca10Cu15Ox in copper, and Y-Ba-Cu-O and Bi-Pb-Sr-Ca-Cu-O in copper/silver/6061-T6 aluminum alloy composites. The optimization of the powder consolidation and metal-matrix welding as well as shock-pressure induced alterations in residual superconductivity are examined by measuring bulk resistance versus temperature (R-T) and microwave surface resistances, relative susceptibilities, and relative levitation heights (as an indication of magnetic flux exclusion) with peak shock wave pressures which characterize the explosive (shock-wave) processing. ¬© 1991 by Marcel Dekker, Inc.</t>
  </si>
  <si>
    <t>Materials and Manufacturing Processes</t>
  </si>
  <si>
    <t>Murr, L. E.</t>
  </si>
  <si>
    <t>El Paso</t>
  </si>
  <si>
    <t>The University of Texas at El Paso</t>
  </si>
  <si>
    <t>Murr L.</t>
  </si>
  <si>
    <t>Explosive processing of bulk superconductors</t>
  </si>
  <si>
    <t>10.1080/10426919108934733</t>
  </si>
  <si>
    <t>2-s2.0-0025796414</t>
  </si>
  <si>
    <t>['¬© 1991', 'thylakoide membranes', 'separated bottle', 'reaction centres', 'phonon hole', 'persistent zero', 'interpreted due', 'intact cells', 'higher plants', 'green algae', 'functional properties', 'burning spectra']</t>
  </si>
  <si>
    <t>Persistent and transient fluorescence hole-burning spectra of both higher plants and blue-green algae were measured to study the role of structural and functional properties of photosynthetic materials prepared by means of different biochemical methods: intact cells, thylakoide membranes, photosystem II particles and isolated antenna pigments. The width of persistent zero-phonon hole was interpreted due to fast excited energy transfer in antennae. The unstructured transient holes observed on reaction centres of photosystem II particles are connected with a charge-separated bottle-neck. ¬© 1991.</t>
  </si>
  <si>
    <t>295-298</t>
  </si>
  <si>
    <t>60016605;60016605;60016605;60016605;60016605;122327050;122327050;122327050;60016605;60016576</t>
  </si>
  <si>
    <t>7004652660;7003986908;7004075200;6603612633;6602944690;55942800600;55023133800;56028324700;6701712264;56462234600</t>
  </si>
  <si>
    <t>Hala, J.;Vacha, M.;Dian, J.;Ambroz, M.;Adamec, F.;Prasil, O.;Komenda, J.;Nedbal, L.;Vacha, F.;Mares, J.</t>
  </si>
  <si>
    <t>Czech Republic;Czech Republic;Czech Republic</t>
  </si>
  <si>
    <t>Prague Praha;Prague;Trebon</t>
  </si>
  <si>
    <t>Charles University;Institute of Physics of the Czech Academy of Sciences;Institute of Microbiology CSAV</t>
  </si>
  <si>
    <t>60016605;60016576;122327050</t>
  </si>
  <si>
    <t>Hala J.</t>
  </si>
  <si>
    <t>Structure and function of photosynthetic systems studied by hole burning spectroscopy</t>
  </si>
  <si>
    <t>002223139190125F</t>
  </si>
  <si>
    <t>10.1016/0022-2313(91)90125-F</t>
  </si>
  <si>
    <t>2-s2.0-0025796494</t>
  </si>
  <si>
    <t>['correlated interference']</t>
  </si>
  <si>
    <t>Incoherent signal detection characteristics in diversity reception system under conditions of correlated interference from an external concentrated radiation source are determined. Methods of optimizing radio systems with extremely diverse receiving positions equipped with phased antenna arrays are proposed for the case of both optimum and quasioptimum signal processing.</t>
  </si>
  <si>
    <t>14-19</t>
  </si>
  <si>
    <t>Petrov, V. M.</t>
  </si>
  <si>
    <t>Petrov V.</t>
  </si>
  <si>
    <t>Incoherent signal detection by a diversity reception system under interference conditions</t>
  </si>
  <si>
    <t>2-s2.0-0025798070</t>
  </si>
  <si>
    <t>['varying transmittance', 'varies continuously', 'spherical wave', 'reflector antennas', 'reflection coefficient', 'parabolic mirror', 'constructed around', 'circular polarization']</t>
  </si>
  <si>
    <t>The problem of constructing a parabolic mirror with a rim of varying transmittance, the reflection coefficient of which varies continuously from one at some distance from the edge to zero at the edge is considered for reducing the side lobe emission of reflector antennas. In order to do this a grating of varying transmittance, comprised of curved nonintersecting locally parallel wires, is constructed around the rim of the mirror. The incidence of a spherical wave with circular polarization is considered.</t>
  </si>
  <si>
    <t>90-93</t>
  </si>
  <si>
    <t>7004361633;6505522782</t>
  </si>
  <si>
    <t>Borovikov, V. A.;Ambartsumova, K. A.</t>
  </si>
  <si>
    <t>Borovikov V.</t>
  </si>
  <si>
    <t>Construction of parabolic mirror with rim of varying transmittance</t>
  </si>
  <si>
    <t>2-s2.0-0025798320</t>
  </si>
  <si>
    <t>Centre National de la Recherche Scientifique</t>
  </si>
  <si>
    <t>CNRS</t>
  </si>
  <si>
    <t>['¬© 1991', 'ultrastructural organization', 'ultrastructural level', 'tracts t3', 'synapses within', 'results bring', 'reciprocal synapses', 'paper describes', 'mainly localized', 'largely unknown', 'higher frequency', 'heterogeneous population', 'cortical layer', 'coarse neuropile', 'antennal nerve', 'afferent tracts', 'afferent fibres']</t>
  </si>
  <si>
    <t>Antennal lobe | Glomeruli | Honeybee | Neuroanatomy | Olfaction | Synapses</t>
  </si>
  <si>
    <t>This paper describes the ultrastructural organization of the honeybee antennal lobe, including the distribution of synapses within the antennal lobe neuropile and the distribution of the afferent fibres in the antennal nerve and its afferent tracts. We show that: 1) The antennal nerve and tracts T3-T6 are composed of a heterogeneous population of fibres, with respect to their diameters, whereas two afferent tracts (T1 and T2) are composed of fibres of almost homogeneous diameter. 2) Synapses are mainly localized in the glomeruli with a higher frequency in the cortical layer than in the core of the glomerulus. Nevertheless a few synapses are found in the coarse neuropile. 3) Reciprocal synapses have been identified in the cortical layer. At the ultrastructural level, the organization of the bee antennal lobe was largely unknown and these results bring the anatomical background needed in order to carry out a developmental study related to the bee antennal lobe structures. ¬© 1991.</t>
  </si>
  <si>
    <t>341-355</t>
  </si>
  <si>
    <t>Tissue and Cell</t>
  </si>
  <si>
    <t>60003274;60003274</t>
  </si>
  <si>
    <t>6603017147;7202664000</t>
  </si>
  <si>
    <t>Gascuel, J.;Masson, C.</t>
  </si>
  <si>
    <t>Versailles</t>
  </si>
  <si>
    <t>Centre de recherche √éle-de-France-Versailles - Grignon</t>
  </si>
  <si>
    <t>Gascuel J.</t>
  </si>
  <si>
    <t>A quantitative ultrastructural study of the honeybee antennal lobe</t>
  </si>
  <si>
    <t>004081669190052U</t>
  </si>
  <si>
    <t>10.1016/0040-8166(91)90052-U</t>
  </si>
  <si>
    <t>2-s2.0-0025801202</t>
  </si>
  <si>
    <t>['¬© 1991', 'sar pattern', 'sar distribution', 'rights reserved', 'respective antennas', 'monopole antenna', 'mallinckrodt institute', 'input power', 'independent control', 'american association']</t>
  </si>
  <si>
    <t>A ‚Äúshortened‚Äù multiantenna hyperthermia applicator has been designed and tested at the Mallinckrodt Institute of Radiology at Washington University School of Medicine. By shortening the distance from antenna to aperture, an applicator is obtained that produces an SAR pattern that is essentially the same as produced by a monopole antenna. By placing several properly spaced probe antennas into the same ‚Äúshortened‚Äù applicator, an applicator is obtained that produces a SAR distribution that is essentially a composite of small overlapping SAR patterns produced by weakly interacting incoherently driven antennas. Such a design significantly improves the applicator‚Äôs lateral heating efficiency and allows the independent control of temperatures in certain tumor areas by changing the input power to the respective antennas. ¬© 1991, American Association of Physicists in Medicine. All rights reserved.</t>
  </si>
  <si>
    <t>178-183</t>
  </si>
  <si>
    <t>NA</t>
  </si>
  <si>
    <t>Medical Physics</t>
  </si>
  <si>
    <t>60022756;60022756;60022756</t>
  </si>
  <si>
    <t>57069121500;57069121300;55630217100</t>
  </si>
  <si>
    <t>Levbovich, Leonid B.;Nussbaurr, Gilbert H.;Straube, William L.</t>
  </si>
  <si>
    <t>Washington University School of Medicine in St. Louis</t>
  </si>
  <si>
    <t>Levbovich L.</t>
  </si>
  <si>
    <t>Theory and design of ‚Äúshortened‚Äù multiantenna microwave applicators with controllable SAR patterns</t>
  </si>
  <si>
    <t>10.1118/1.596704</t>
  </si>
  <si>
    <t>2-s2.0-0025802857</t>
  </si>
  <si>
    <t>['statistical synthesis', 'optimized direction', 'noise ratio', 'maximum likelihood', 'finding algorithms']</t>
  </si>
  <si>
    <t>The statistical synthesis of maximum likelihood-optimized direction-finding algorithms and estimates of the form of M linearly independent signals against a background of independent and identically distributed normal internal N-channel antenna noise is considered. It is shown that the topology of the projection algorithms obtained here can be reduced to finding a linear bearing cover with a maximum energy signal-to-noise ratio in the N-dimensional Euclidean space of the antenna channel signals, as well as subsequent linear transformation of the channel signal vector by means of a pseudoreciprocal bearing matrix.</t>
  </si>
  <si>
    <t>Vagapov, A. M.</t>
  </si>
  <si>
    <t>Vagapov A.</t>
  </si>
  <si>
    <t>Maximum likelihood estimates of the bearings and form of linearly independent signals</t>
  </si>
  <si>
    <t>2-s2.0-0025803428</t>
  </si>
  <si>
    <t>['unique tool', 'transparent windows', 'tool consists', 'shaped like', 'seen instantaneously', 'section inside', 'rights reserved', 'rf field', 'regular pattern', 'radiofrequency fields', 'phantom exposed', 'outer ends', 'mutual distance', 'multiple fields', 'matrix varies', 'matrix plate', 'made visible', 'low cost', 'light intensity', 'led matrix', 'led dipoles', 'interference effects', 'field strength', 'field distribution', 'evaluation studies', 'emitting diodes', 'elliptical cross', 'electric properties', 'biological tissue', 'already used', '70 mhz', '2 cm', '100 cm']</t>
  </si>
  <si>
    <t>Electric field | Hyperthermia | Radiofrequency</t>
  </si>
  <si>
    <t>A simple, unique tool has been constructed at a very low cost for visualization of the electric field distribution in a phantom exposed to radiofrequency fields from a four-applicator hyperthermia system. The tool consists of a thin Perspex plate to which light-emitting diodes (LEDs) have been attached in a regular pattern. The leads of these LEDs have been bent in the form of dipoles. Electric field distributions can be made visible, because the light intensity from an individual LED dipole in a RF field is a function of the local electric field strength. The LED dipoles were arranged in a 11 ¬± 15 matrix with a mutual distance of 2 cm. Experiments have been performed in a cylinder with a length of 100 cm and with an elliptical cross-section of 24 cm ¬± 36 cm. The cylinder was filled with saline to simulate the electric properties of biological tissue. The matrix plate was shaped like the cross-section inside the phantom, and could be moved to any position under the externally applied antennae. In our department the applicators installed form a system of four coherent waveguide radiators operating at a frequency of 70 MHz. Photographs have been taken from the distribution of the light intensity through transparent windows at the outer ends of the phantom. The advantage of the LED matrix is the fact that the effect of changing phase relations, amplitudes or position of any applicator on the electric field distribution can be seen instantaneously. The interference effects of multiple fields, i.e. extinction and reinforcement, become easily visible. Typical examples demonstrate the necessity to obtain the field distribution not only along some previously chosen lines, but in the whole transversal midplane. The attenuation of field strength due to the presence of the matrix varies only slightly from the edge to the centre of the matrix, so the pattern of light intensity is in good qualitative agreement with the pattern of field strength. The LED matrix has been very useful in the verification of pretreatment planning calculations, and is already used for intercomparison and evaluation studies of similar hyperthermia equipment. ¬© 1991 Informa UK Ltd All rights reserved: reproduction in whole or part not permitted.</t>
  </si>
  <si>
    <t>355-366</t>
  </si>
  <si>
    <t>60002483;60002483</t>
  </si>
  <si>
    <t>55697254300;7201850878</t>
  </si>
  <si>
    <t>Schneider, Chr;Van Dijk, J. D.P.</t>
  </si>
  <si>
    <t>Universiteit van Amsterdam</t>
  </si>
  <si>
    <t>Schneider C.</t>
  </si>
  <si>
    <t>Visualization by a matrix of light-emitting diodes of interference effects from a radiative four-applicator hyperthermia system</t>
  </si>
  <si>
    <t>10.3109/02656739109005001</t>
  </si>
  <si>
    <t>2-s2.0-0025805205</t>
  </si>
  <si>
    <t>['¬© 1991', 'thick ratio', 'sarcomere lengths', 'sarcomere length', 'rock lobster', 'physiological performance', 'high thin', 'functional significance', 'fine structure', 'finding demonstrates', 'fibers deviated', 'classical features', 'atpase activity', 'antennal muscles', '5 œºm', '19 œºm']</t>
  </si>
  <si>
    <t>1. 1. Sarcomere lengths and fine structure were examined in three histochemical fiber types of antennal muscles of the rock lobster. 2. 2. Sarcomere lengths are distributed over a continuum of values from 6.5 to 19 Œºm. 3. 3. Although a correlation between ATPase activity and sarcomere length is demonstrated, fibers with high ATPase activity do not have the sarcomere length typical of fast contracting fibers. 4. 4. These fibers deviated from the typical fast structure in having long sarcomeres (&gt; 6.5 Œºm) and in having some unusual ultrastructural characteristics (absence of the H-band, presence of Z-tubules, high thin to thick ratio, 5:1) associated with other more classical features. 5. 5. This finding demonstrates that sarcomere length measurements do not always accurately predict the physiological performance of a single muscle fiber. 6. 6. The fiber type composition of two antagonistic antennal muscles is compared and the functional significance of the results is discussed with respect to their role in behavior. ¬© 1991.</t>
  </si>
  <si>
    <t>117-126</t>
  </si>
  <si>
    <t>Comparative Biochemistry and Physiology -- Part A: Physiology</t>
  </si>
  <si>
    <t>Rossi-Durand, Christiane</t>
  </si>
  <si>
    <t>Paris</t>
  </si>
  <si>
    <t>CNRS Centre National de la Recherche Scientifique</t>
  </si>
  <si>
    <t>Rossi-Durand C.</t>
  </si>
  <si>
    <t>Lack of correspondence between histochemical and structural fiber typing in antennal muscles of the rock lobster Palinurus vulgaris</t>
  </si>
  <si>
    <t>030096299190192F</t>
  </si>
  <si>
    <t>10.1016/0300-9629(91)90192-F</t>
  </si>
  <si>
    <t>2-s2.0-0025812216</t>
  </si>
  <si>
    <t>['radiation patterns', 'equipped airplane', 'computer models', 'also used']</t>
  </si>
  <si>
    <t>Traffic-alert and Collision Avoidance systems (TCAS) are being developed by order of the Federal Aviation Administration (FAA) to assist aircraft pilots in mid-air collision avoidance. This paper discusses computer models developed to simulate the radiation patterns of TCAS arrays mounted on the fuselage of any aircraft. Computer models are also used to calculate and evaluate the errors in estimating the bearing of aircraft in the vicinity of a TCAS-equipped airplane. The performance of two TCAS systems mounted on a Boeing 737 aircraft are studied and compared.</t>
  </si>
  <si>
    <t>112-139</t>
  </si>
  <si>
    <t>60003500;60003500;60003500</t>
  </si>
  <si>
    <t>35595967100;7006347688;7004270570</t>
  </si>
  <si>
    <t>Rojas, R. G.;Sampath, K. S.;Burnside, W. D.</t>
  </si>
  <si>
    <t>Columbus</t>
  </si>
  <si>
    <t>The Ohio State University</t>
  </si>
  <si>
    <t>Rojas R.</t>
  </si>
  <si>
    <t>Analysis and simulation of collision avoidance TCAS antennas mounted on aircraft</t>
  </si>
  <si>
    <t>2-s2.0-0025814291</t>
  </si>
  <si>
    <t>['symmetrical dipole', 'oriented arbitrarily', 'nonresonant antennas', 'averaging method', 'analytical expressions']</t>
  </si>
  <si>
    <t>The problem of excitation of a thin linear dipole, oriented arbitrarily in a uniaxial anisotropic medium, is solved by the averaging method. Analytical expressions are obtained for the current and complex input impedance of a symmetrical dipole, making it possible to consider both resonant as well as nonresonant antennas from the same points of view.</t>
  </si>
  <si>
    <t>103-109</t>
  </si>
  <si>
    <t>7004060379;7003473605</t>
  </si>
  <si>
    <t>Khizhnyak, N. A.;Yatsenko, N. M.</t>
  </si>
  <si>
    <t>Khizhnyak N.</t>
  </si>
  <si>
    <t>Characteristics of an electric dipole in an anisotropic plasma</t>
  </si>
  <si>
    <t>2-s2.0-0025814455</t>
  </si>
  <si>
    <t>National Cancer Institute</t>
  </si>
  <si>
    <t>R01CA023594</t>
  </si>
  <si>
    <t>NCI</t>
  </si>
  <si>
    <t>['¬© 1991', 'yielded 80', 'widespread use', 'vast majority', 'three antennas', 'spaced 2', 'single antennas', 'sar centrally', 'power deposition', 'power centrally', 'plane near', 'maximum sar', 'less affected', 'large catheters', 'interstitial techniques', 'insertion point', 'inserting catheters', 'include multisection', 'helical antennas', 'heating antennas', 'evaluated experimentally', 'dramatic effect', 'diverse enough', 'dipole antennas', 'dipole antenna', 'currently used', 'commercially available', 'clinical treatments', 'clinical significance', 'central power', 'central plane', 'catheter fit', 'array configuration', 'antenna tips', 'antenna length', 'antenna designs', 'antenna axes', 'also compared', '441 points', '400 points']</t>
  </si>
  <si>
    <t>Cancer | Hyperthermia | Interstitial | Microwave | SAR</t>
  </si>
  <si>
    <t>Interstitial techniques of inserting catheters into tumors for the purpose of applying therapeutic irradiation and hyperthermia are in widespread use. Several miniature microwave antenna designs are currently used for these treatments. These include multisection, hot-tip, 2- and 3-node, dipole and helical antennas, all of which are commercially available. The antenna designs are diverse enough to have a dramatic effect on the power deposition patterns either as single antennas or when used in arrays. Aside from the dipole antenna, most of the antennas have never been evaluated experimentally or theoretically in arrays, although the array configuration is used in the vast majority of all clinical treatments. Power deposition or SAR (specific absorption rate) tests were run in muscle equivalent phantom. Single antennas were evaluated at 400 points in a plane and isoSAR contours drawn, normalized to maximum SAR. Single antennas were also compared in large and small diameter catheters to evaluate catheter dependent antenna performance. The dipole, multisection, hot-tip and helical antennas were evaluated in arrays of four antennas located at the corners of a square, spaced 2.0 cm apart. Arrays of antennas were evaluated at 441 points in three planes orthogonal to the antenna axes. Results in the single antenna studies showed that the dipole was less affected by snugness of catheter fit than the multisection, hot-tip or helical antennas. In large catheters, the latter three antennas showed more extreme tip heating performance. The 2- and 3-node antennas deposited only 20% SAR in the distal 30 mm of antenna length. In arrays, the multisection, hot-tip, and dipole antennas all yielded 80-90% SAR centrally in the central measurement plane. Comparing the three antennas, the dipole array deposited 20% more power centrally in a plane near the insertion point, and the multisection and hot-tip antenna designs deposited 10% more central power in a plane near the antenna tips. The helical antenna array deposited only 30% SAR centrally in the plane near the antenna tips and in the central plane. Only 10% SAR was measured centrally near the insertion point, as expected for tip-heating antennas. Finally, the clinical significance of the results is discussed as applied to human tumors undergoing hyperthermia treatments. ¬© 1991.</t>
  </si>
  <si>
    <t>403-413</t>
  </si>
  <si>
    <t>International Journal of Radiation Oncology, Biology, Physics</t>
  </si>
  <si>
    <t>Ryan, Thomas P.</t>
  </si>
  <si>
    <t>Geisel School of Medicine at Dartmouth</t>
  </si>
  <si>
    <t>Ryan T.</t>
  </si>
  <si>
    <t>Comparison of six microwave antennas for hyperthermia treatment of cancer: SAR results for single antennas and arrays</t>
  </si>
  <si>
    <t>10.1016/0360-3016(91)90789-7</t>
  </si>
  <si>
    <t>2-s2.0-0025815004</t>
  </si>
  <si>
    <t>['¬© 1991', 'splayed open', 'sage publications', 'rights reserved', 'lower leg', 'graft resembles', 'distinct advantage', 'distal reconstruction', 'dipole antenna']</t>
  </si>
  <si>
    <t>The fabrication of a vein graft suitable for distal reconstruction of the lower extremity utilizing a section of bifid saphenous vein system is described. The configuration of the graft resembles a dipole antenna when splayed open, and hence, the name dipolar vein graft. This graft has some attributes of reversed saphenous vein, as well as of translocated vein grafting. The technique is simple and may have a distinct advantage over other alternatives when the greater saphenous vein is unsuitable or unavailable. Further, it provides a long uninterrupted conduit to the lower leg. ¬© 1991, Sage Publications. All rights reserved.</t>
  </si>
  <si>
    <t>321-325</t>
  </si>
  <si>
    <t>Vascular and Endovascular Surgery</t>
  </si>
  <si>
    <t>107132584-60025879-60002388</t>
  </si>
  <si>
    <t>Swersky, Robert B.</t>
  </si>
  <si>
    <t>United States;United States;United States</t>
  </si>
  <si>
    <t>New Hyde Park;New York;Glen Cove</t>
  </si>
  <si>
    <t>Long Island Jewish Medical Center;Albert Einstein College of Medicine of Yeshiva University;Glen Cove Hospital</t>
  </si>
  <si>
    <t>60025879;60002388;107132584</t>
  </si>
  <si>
    <t>Swersky R.</t>
  </si>
  <si>
    <t>Creation of Dipolar Vein Graft from Bifid Saphenous Vein System</t>
  </si>
  <si>
    <t>10.1177/153857449102500411</t>
  </si>
  <si>
    <t>2-s2.0-0025815982</t>
  </si>
  <si>
    <t>Emory Eye Center</t>
  </si>
  <si>
    <t>EEC</t>
  </si>
  <si>
    <t>['¬© 1991', 'vitro model', 'vitro growth', 'two types', 'honey bee', 'growing cells', 'granular cytoplasm', 'glial cells', 'flat processes', 'cultures provide', 'culture technique', 'culture dish', 'contain dense', 'clear vesicles', 'clear cytoplasm', 'cells derived', 'cell contacts', 'apis mellifera', 'antennal lobe']</t>
  </si>
  <si>
    <t>antennal lobe | cell culture | glial cells | Honeybee | neurones</t>
  </si>
  <si>
    <t>A culture technique for the in vitro growth and differentiation of antennal lobe cells from the honeybee, Apis mellifera, is described and the ultrastructure of the growing cells is analysed. Two types of cell are present in the cultures and from their morphology and ultrastructure they can be identified as glial cells and neurones. The neurones have a granular cytoplasm, abundant endoplasmic reticulum and a small, densely stained nucleus. They produce long processes with varicosities that contain dense-core and clear vesicles. In contrast the glial cells have clear cytoplasm, little endoplasmic reticulum and a distinct cytoskeletal organisation. These cells produce short, flat processes that spread over the surface of the culture dish. Although a number of cell contacts have been identified in the cultures no synapses have yet been seen. These cultures provide a good in vitro model for an analysis of the interactions between cells derived from the antennal lobe of the honey bee. ¬© 1991.</t>
  </si>
  <si>
    <t>547-559</t>
  </si>
  <si>
    <t>60014564-60003274;60003274;60014564</t>
  </si>
  <si>
    <t>6603017147;7202664000;7004149103</t>
  </si>
  <si>
    <t>Gascuel, J.;Masson, C.;Beadle, D. J.</t>
  </si>
  <si>
    <t>United Kingdom;France</t>
  </si>
  <si>
    <t>Oxford;Versailles</t>
  </si>
  <si>
    <t>Oxford Brookes University;Centre de recherche √éle-de-France-Versailles - Grignon</t>
  </si>
  <si>
    <t>60014564;60003274</t>
  </si>
  <si>
    <t>The morphology and ultrastructure of antennal lobe cells from pupal honeybees (Apis mellifera) growing in culture</t>
  </si>
  <si>
    <t>004081669190012I</t>
  </si>
  <si>
    <t>10.1016/0040-8166(91)90012-I</t>
  </si>
  <si>
    <t>2-s2.0-0025819791</t>
  </si>
  <si>
    <t>CA 09215</t>
  </si>
  <si>
    <t>['weeks 1', 'week 4', 'various times', 'untreated hemisphere', 'unheated hemisphere', 'ultrafast ct', 'tissue necrosis', 'temperatures greater', 'ring enhancement', 'rights reserved', 'reference temperatures', 'rapid development', 'radiographically characterized', 'quantified weekly', 'normal brain', 'interstitial hyperthermia', 'hyperthermia damage', 'heat lesions', 'ct ),', 'contrast enhancement', 'brain stimulate', 'approached normal', '3 weeks', '3 compared']</t>
  </si>
  <si>
    <t>Blood flow | Brain response | Interstitial hyperthermia | Necrosis</t>
  </si>
  <si>
    <t>The effects of interstitial hyperthermia were assessed in the normal brain after a single 30 min treatment using 2450 MHz microwaves. A single helical coil microwave antenna was inserted into the frontal white matter and reference temperatures of 40, 41, 42, 43 and 44 ¬∞C maintained for 30 min along a temperature sensing probe 5 mm away and parallel to the antenna. The extent of hyperthermia damage was quantified weekly for 6 weeks using computed tomography (CT), and changes in regional cerebral blood flow (rCBF), tissue vascularity and mean transit time were determined using ultrafast CT. Qualitative histopathological analysis was carried out on tissues at various times after heating. Heat lesions were radiographically characterized by rapid development and resolution and consisted of an area of focal low density surrounded by a ring of contrast enhancement. Histologically, the focus of low density corresponded to regions of tissue necrosis, whereas the ring enhancement showed local reactive changes, including endothelial cell proliferation and infiltration with macrophages. Tissue necrosis occurred at temperatures greater than 43.9 ¬± 1.5¬∞C (mean ¬± standard deviation), and volumes of necrosis and ring enhancement were at a maximum 1 week following treatment. Relative to the contralateral, unheated hemisphere, rCBF in the heated brain appeared to be reduced for the first 3 weeks after treatment but approached normal by week 4. The mean transit time of blood was increased for weeks 1-3 compared to the untreated hemisphere, and tissue vascularity reached a maximum, 3 weeks after treatment. The rapid CT changes together with ultrafast CT and histopathological findings suggest that focal heat lesions in the brain stimulate a significant and rapid vascular response. ¬© 1991 Informa UK Ltd All rights reserved: reproduction in whole or part not permitted.</t>
  </si>
  <si>
    <t>795-808</t>
  </si>
  <si>
    <t>114625475-60031970;60031970;114625475;60031970</t>
  </si>
  <si>
    <t>7006300930;6701411891;57216311476;7005772755</t>
  </si>
  <si>
    <t>Fike, J. R.;Gobbel, G. T.;Satoh, T.;Stauffer, P. R.</t>
  </si>
  <si>
    <t>United States;Japan</t>
  </si>
  <si>
    <t>San Francisco;Fukuyama</t>
  </si>
  <si>
    <t>UCSF School of Medicine;Sato's Memorial Neurosurgical and Neurological Hospital</t>
  </si>
  <si>
    <t>60031970;114625475</t>
  </si>
  <si>
    <t>Fike J.R.</t>
  </si>
  <si>
    <t>Normal brain response after interstitial microwave hyperthermia</t>
  </si>
  <si>
    <t>10.3109/02656739109056448</t>
  </si>
  <si>
    <t>2-s2.0-0025820839</t>
  </si>
  <si>
    <t>['two compounds', 'transduction processes', 'tau )]', 'suc ),', 'stimulus intensity', 'spiny lobsters', 'spiny lobster', 'spiking activity', 'significant effects', 'seven compounds', 'results suggest', 'receptor site', 'possible cases', 'odorant intensity', 'observed responses', 'observed response', 'neuronal population', 'neural coding', 'neural code', 'mixture interactions', 'mixture bind', 'individual components', 'individual cells', 'extracellular recordings', 'expected response', 'expected based', 'e .,', 'current state', 'concentration independent', 'chemical mixtures', 'binary mixtures', 'binary mixture', '5 ).', '13 ).', '11 ).']</t>
  </si>
  <si>
    <t>Neural coding of chemical mixtures was studied with the use of the peripheral olfactory system of the spiny lobster. The occurrence of mixture interactions (i.e., where the observed response to a mixture deviates significantly from the expected response) in individual cells and the effect of such mixture interactions on the coding of odorant intensity by populations of cells were examined. Extracellular recordings of spiking activity of 98 primary olfactory receptor cells in the antennules were measured in response to seven compounds [adenosine-5'-monophosphate (AMP), betaine (Bet), L-cysteine (Cys), L-glutamate (Glu), ammonium chloride (NH4), DL-succinate (Suc), and taurine (Tau)] and their binary mixtures. To identify mixture interactions, observed responses to a range of concentrations of a binary mixture were compared with the predicted responses based on three mathematical models: a single receptor model, which assumes that the two compounds of a mixture bind to the same receptor site; a multiple receptor model, which assumes that the two compounds bind to two independent receptor sites; and a mixed composition receptor model, which incorporates our current state of knowledge of transduction processes in olfactory receptor cells of spiny lobsters. Mixture interactions in individual cells were common: statistically significant mixture interactions were observed in 25% of the possible cases (Fig. 5). Suppression was much more common than enhancement. Mixture interactions had significant effects on the absolute response magnitudes for a population of cells, which could be used as the neural code for stimulus intensity in this system. These effects are called intensity mixture interactions (Figs. 6-11). Intensity mixture interactions occurred for ~50% of the binary mixtures and were almost exclusively suppression (Figs. 12 and 13). The intensity mixture interactions were concentration independent. The results suggest that mixture interactions in individual olfactory cells can result in intensity mixture interactions in the neuronal population such that there is a decrease in sensitivity to binary mixtures relative to what is expected based on the responses to individual components of the mixtures.</t>
  </si>
  <si>
    <t>112-130</t>
  </si>
  <si>
    <t>Journal of Neurophysiology</t>
  </si>
  <si>
    <t>60012387;60012387;60012387</t>
  </si>
  <si>
    <t>7006809234;57217456368;7202902366</t>
  </si>
  <si>
    <t>Derby, C. D.;Girardot, M. N.;Daniel, P. C.</t>
  </si>
  <si>
    <t>Atlanta</t>
  </si>
  <si>
    <t>Georgia State University</t>
  </si>
  <si>
    <t>Derby C.D.</t>
  </si>
  <si>
    <t>Responses of olfactory receptor cells of spiny lobsters to binary mixtures. I. Intensity mixture interactions</t>
  </si>
  <si>
    <t>10.1152/jn.1991.66.1.112</t>
  </si>
  <si>
    <t>2-s2.0-0025823538</t>
  </si>
  <si>
    <t>182-188</t>
  </si>
  <si>
    <t>MAY</t>
  </si>
  <si>
    <t>Indian Journal of Medical Research - Section A Infectious Diseases</t>
  </si>
  <si>
    <t>60027480;60027480;60027480</t>
  </si>
  <si>
    <t>7202838533;6504802505;7404811495</t>
  </si>
  <si>
    <t>Prakash, S.;Selvamkurthy, W.;Rao, K. M.</t>
  </si>
  <si>
    <t>India</t>
  </si>
  <si>
    <t>Gwalior</t>
  </si>
  <si>
    <t>Defence Research &amp; Development Establishment India</t>
  </si>
  <si>
    <t>Prakash S.</t>
  </si>
  <si>
    <t>In vivo experimental model to evaluate the insect repellent N-N, diethylphenylacetamide in Periplaneta americana Linn.</t>
  </si>
  <si>
    <t>2-s2.0-0025826325</t>
  </si>
  <si>
    <t>['tau )]', 'stimulus quality', 'spiny lobsters', 'spiny lobster', 'seven compounds', 'results suggest', 'previous studies', 'present results', 'possible concentration', 'pmis occurred', 'pmis ).', 'odorant quality', 'neural coding', 'mixture interactions', 'influence coding', 'individual cells', 'independent code', 'extracellular responses', 'cells resulted', 'binary mixtures', 'anps )-', 'anp predicted', '10 ).']</t>
  </si>
  <si>
    <t>The effect of mixture interactions in individual olfactory receptor cells of the spiny lobster on neural coding of odorant quality of binary mixtures and their components is examined in this paper. Extracellular responses of 98 olfactory receptor cells in the antennules of spiny lobsters to seven compounds [adenosine-5'-monophosphate (AMP), betaine (Bet), L-cysteine (Cys), L-glutamate (Glu), ammonium chloride (NH4), DL-succinate (Suc), taurine (Tau)] and their binary mixtures were recorded, and mixture interactions in individual olfactory receptor cells were identified. Coding of odorant quality was evaluated by examining across neuron patterns (ANPs)-the relative response magnitudes across neuronal populations. ANPs are a feature of the neuronal population response and are a possible concentration-independent code of odorant quality in this system, as indicated by previous studies and present results. For most binary mixtures the diversity of types and degrees of mixture interactions across the individual cells of a population of cells resulted in ANPs for each mixture to be different from the ANPs for the components of the mixture and different from the ANP predicted for the mixture from the responses to the components (Figs. 2-10). These effects are called pattern mixture interactions (PMIs). PMIs occurred for most binary mixtures, even those that did not produce statistically significant intensity mixture interactions (IMIs) for this same population of cells. The results suggest that PMIs can influence coding of stimulus quality, in some cases by causing an improvement of the contrast between the quality of mixtures and some of their components.</t>
  </si>
  <si>
    <t>131-139</t>
  </si>
  <si>
    <t>Responses of olfactory receptor cells of spiny lobsters to binary mixtures. II. Pattern mixture interactions</t>
  </si>
  <si>
    <t>10.1152/jn.1991.66.1.131</t>
  </si>
  <si>
    <t>2-s2.0-0025837609</t>
  </si>
  <si>
    <t>['wiley company', 'input impedance', 'inc .,', 'feed point']</t>
  </si>
  <si>
    <t>bandwidth | higher‚Äêorder mode | input impedance | Microstrip antenna</t>
  </si>
  <si>
    <t>The variation of input impedance of a rectangular microstrip antenna with the change of location of feed point is studied. An improvement in the 1:2 VSWR impedance bandwidth is achieved by exciting the antenna at the first higher‚Äêorder mode. Copyright ¬© 1991 Wiley Periodicals, Inc., A Wiley Company</t>
  </si>
  <si>
    <t>77-78</t>
  </si>
  <si>
    <t>60020825;60020825;60020825;60020825</t>
  </si>
  <si>
    <t>57191005473;7202869307;6701556104;7201666265</t>
  </si>
  <si>
    <t>Paul, Pranab;Roy, Jibendu Sekhar;Poddar, Dipak Ranjan;Chowdhury, Santosh Kumar</t>
  </si>
  <si>
    <t>Kolkata</t>
  </si>
  <si>
    <t>Jadavpur University</t>
  </si>
  <si>
    <t>Paul P.</t>
  </si>
  <si>
    <t>Some investigations on the effect of the location of feed on the impedance of a rectangular microstrip antenna operated in the first higher‚Äêorder mode</t>
  </si>
  <si>
    <t>10.1002/mop.4650040207</t>
  </si>
  <si>
    <t>2-s2.0-0025838647</t>
  </si>
  <si>
    <t>['wave devices', 'various ways', 'spin waves', 'frequency characteristics', 'coplanar lines', 'consistent theory']</t>
  </si>
  <si>
    <t>A self-consistent theory is developed for the excitation of spin waves by antennas in the form of slotlines and coplanar lines, and the amplitude-frequency characteristics (AFC) of spin-wave devices that use antennas constructed in various ways are compared. The results of these calculations are compared with data from experiments performed previously.</t>
  </si>
  <si>
    <t>34-41</t>
  </si>
  <si>
    <t>Dmitriev, V. F.</t>
  </si>
  <si>
    <t>Dmitriev V.</t>
  </si>
  <si>
    <t>Selectivity properties of spin-wave devices based on slotlines and coplanar lines</t>
  </si>
  <si>
    <t>2-s2.0-0025839347</t>
  </si>
  <si>
    <t>['two meters', 'phase adjustment', 'one cdl', 'one another', 'mutual phasing', 'impossible since', 'heuristic scheme', 'four meters', 'continual influence', 'considered earlier', 'connecting lines', 'climatic conditions', 'certain manner', 'arising frequently']</t>
  </si>
  <si>
    <t>The problem of the mutual phasing of the radiators of phased antenna arrays, the elements of which are separated from one another by tens of thousands of wavelengths, has recently been arising frequently in practice. To provide for the in-phase adjustment of the oscillation in such radiators by means of connecting lines is impossible since the connecting lines (or waveguides) prove to be unstable in view of the continual influence of climatic conditions. A heuristic scheme, in which two controllable delay lines (CDL) (or two phase shifters) and two meters are used, was considered earlier for solving this problem. In this paper for the phasing of two distant radiators it is proposed to use not two but four meters - sine phase detectors. In this case it is necessary to produce the control in a certain manner by using not two but one CDL.</t>
  </si>
  <si>
    <t>120-124</t>
  </si>
  <si>
    <t>7003546834;6507165679</t>
  </si>
  <si>
    <t>Samoylenko, V. I.;Lygina, I. Yu</t>
  </si>
  <si>
    <t>Samoylenko V.</t>
  </si>
  <si>
    <t>Synthesis of phasing structure of distant radiators with one controllable delay line</t>
  </si>
  <si>
    <t>2-s2.0-0025839789</t>
  </si>
  <si>
    <t>['vertical antenna', 'phase shifters', 'orthogonal beams', 'mutual couplings', 'antenna arrays']</t>
  </si>
  <si>
    <t>Decoupled amplitude matrix schemes are proposed that contain no phase shifters in their structure. Methods are described for the synthesis of their structure and an example of implementation in the 0.5-50 MHz frequency band is given. Some areas of application are pointed out: the formation of a fan of orthogonal beams in a vertical antenna, the building of a parallel analysis spectrum analyzer, and compensation of mutual couplings in antenna arrays.</t>
  </si>
  <si>
    <t>77-82</t>
  </si>
  <si>
    <t>6701500093;6701349812;7003684032</t>
  </si>
  <si>
    <t>Bruk, Yu M.;Yermakov, V. Yu;Sodin, L. G.</t>
  </si>
  <si>
    <t>Bruk Y.</t>
  </si>
  <si>
    <t>Beam-forming matrices without phase shifters</t>
  </si>
  <si>
    <t>2-s2.0-0025839790</t>
  </si>
  <si>
    <t>Association Nationale de la Recherche et de la Technologie</t>
  </si>
  <si>
    <t>ANRT</t>
  </si>
  <si>
    <t>['total power', 'reciprocity theorem', 'radiometric signals', 'radiometric operation', 'radiated field', 'modal method', 'microwave radiometry', 'lossy material', 'correlation radiometry', 'active process', '3 ghz']</t>
  </si>
  <si>
    <t>Applications of microwave radiometry for thermometry of bulk materials require the development of methods of computation of the radiometric signals. Owing to the reciprocity theorem, the radiometric signals can be deduced from a knowledge of the near field radiated in the assumed lossy material by the antenna which is being used as a probe in the radiometric operation. In this paper, we propose a modal method for computing the field. This method has first been tested in an active process by measurements of the radiated field. It also gives excellent agreement with experimental data obtained in the bands around 1.5 and 3 GHz over a lossy material (water) in both total power and correlation radiometry. ¬© 1991 IEEE</t>
  </si>
  <si>
    <t>124-132</t>
  </si>
  <si>
    <t>60104665;60104665;60104665;60104665;60104665</t>
  </si>
  <si>
    <t>7003520733;24299153900;7004146724;7004450988;35618853800</t>
  </si>
  <si>
    <t>Mamouni, Ahmed;Leroy, Yves;Bocquet, Bertrand;van de Velde, J. C.;Gelin, Philippe</t>
  </si>
  <si>
    <t>Lille</t>
  </si>
  <si>
    <t>Universit√© de Lille</t>
  </si>
  <si>
    <t>Mamouni A.</t>
  </si>
  <si>
    <t>Computation of Near-Field Microwave Radiometric Signals: Definition and Experimental Verification</t>
  </si>
  <si>
    <t>10.1109/22.64615</t>
  </si>
  <si>
    <t>2-s2.0-0025840895</t>
  </si>
  <si>
    <t>['time domain', 'plate antenna', 'new version', 'impulse simulating', 'ground flash']</t>
  </si>
  <si>
    <t>Different lightning flash counters recommended by CIGRE are compared. Comparision is given in the frequency and time domain. Formulae are presented for filter frequency characteristics and response of the filter to the impulse simulating the electromagnetic radiation pulse from the ground flash. The new version of the CIGRE lightning flash counter coupled to to the plate antenna is proposed.</t>
  </si>
  <si>
    <t>33-37</t>
  </si>
  <si>
    <t>Elektrotehniski Vestnik/Electrotechnical Review</t>
  </si>
  <si>
    <t>Pisler, Edvard</t>
  </si>
  <si>
    <t>Uppsala</t>
  </si>
  <si>
    <t>Uppsala Universitet</t>
  </si>
  <si>
    <t>Pisler E.</t>
  </si>
  <si>
    <t>Lightning flash counters</t>
  </si>
  <si>
    <t>2-s2.0-0025841257</t>
  </si>
  <si>
    <t>['selenia spazio', 'payload tradeoffs', 'paper presents', 'paper introduces', 'generation l', 'band payload']</t>
  </si>
  <si>
    <t>This paper introduces the ESA's plans for developing a first- generation L-band payload for a European Mobile System. In this context, the paper presents the results of a study, by Selenia Spazio, concerning the payload tradeoffs and design and its accommodation on the Italsat second flight unit, F-2.</t>
  </si>
  <si>
    <t>129-137</t>
  </si>
  <si>
    <t>Space Technology</t>
  </si>
  <si>
    <t>60084299;60084299;60084299;60084299;60084299</t>
  </si>
  <si>
    <t>7003966550;55505101900;6602398133;7007175720;36958841300</t>
  </si>
  <si>
    <t>Perrotta, G.;Rispoli, F.;Manoni, G.;Capone, R.;Bardelli, L.</t>
  </si>
  <si>
    <t>Rome</t>
  </si>
  <si>
    <t>Selenia S.p.A.</t>
  </si>
  <si>
    <t>Perrotta G.</t>
  </si>
  <si>
    <t>First generation payload for European communications with land mobiles in L band. The Italsat F-2 spacecraft study case</t>
  </si>
  <si>
    <t>2-s2.0-0025841295</t>
  </si>
  <si>
    <t>108-119</t>
  </si>
  <si>
    <t>Electrical Engineering in Japan</t>
  </si>
  <si>
    <t>60103907;60103907</t>
  </si>
  <si>
    <t>6602725758;7404001025</t>
  </si>
  <si>
    <t>Hayeiwa, Kazuhisa;Ikeda, Hiroaki</t>
  </si>
  <si>
    <t>Nippon Hoso Kyokai</t>
  </si>
  <si>
    <t>Hayeiwa K.</t>
  </si>
  <si>
    <t>ASO and lightning protection of MOS‚ÄêFETs in DC‚ÄêRF power inverters for medium‚Äêwave radio transmitters</t>
  </si>
  <si>
    <t>10.1002/eej.4391110110</t>
  </si>
  <si>
    <t>2-s2.0-0025842567</t>
  </si>
  <si>
    <t>['metal strips', 'material layer', 'given dimensions']</t>
  </si>
  <si>
    <t>Averaged boundary conditions for a semitransparent capacitive surface consisting of overlapping metal strips separated by a thin dielectric layer are used to derive mathematical expressions that make it possible, for given dimensions and a given resonant frequency, to find the permittivity of the material layer and the efficiency and Q-factor of a spherical antenna cowl, and to optimize the structure of its metal strips.</t>
  </si>
  <si>
    <t>73-78</t>
  </si>
  <si>
    <t>6603869177;6603132930</t>
  </si>
  <si>
    <t>Fedyanovich, V. I.;Provotorov, A. P.</t>
  </si>
  <si>
    <t>Fedyanovich V.</t>
  </si>
  <si>
    <t>Optimization of the structure of a capacitive antenna cowl</t>
  </si>
  <si>
    <t>2-s2.0-0025842614</t>
  </si>
  <si>
    <t>['wide range', 'square deviation', 'simple increase', 'noise signals', 'minimum root', 'linear constraint', 'larger effect', 'interval equal', 'appreciable suppression', 'angular resolution', 'adaptive antenna']</t>
  </si>
  <si>
    <t>The angular resolution of an adaptive antenna, optimized in terms of the criterion of minimum root-mean-square deviation (RMSD) for a linear constraint, is investigated for a wide range of values of the power and degree of correlation of noise signals. It is shown that an appreciable suppression of the level and degradation of the angular resolution associated with this occur only in the case of strong and highly correlated signals. The effect of the spatial smoothing interval on the angular resolution characteristics and the bias of the angular coordinate estimates is investigated. It is shown that for the same conditions a simple increase in the antenna length gives a larger effect than spatial smoothing within an interval equal to this increase.</t>
  </si>
  <si>
    <t>119-124</t>
  </si>
  <si>
    <t>Loskutova, G. V.</t>
  </si>
  <si>
    <t>Loskutova G.</t>
  </si>
  <si>
    <t>On the effect of spatial smoothing on the angular resolution of a multibeam signal in adaptive antenna arrays</t>
  </si>
  <si>
    <t>2-s2.0-0025843073</t>
  </si>
  <si>
    <t>['significantly better', 'sar instrument', 'paper outlines', 'paper describes', 'mrc ).', 'design concept', 'array antenna', 'alternative designs']</t>
  </si>
  <si>
    <t>This paper describes the design of a synthetic aperture radar (SAR) which has resulted from work at Marconi Space Systems Ltd. (MSS) and the GEC-Marconi Research Centre (MRC). The SAR instrument is intended to fly on the first European Polar Platform. It offers the user greater operational flexibility than other designs, particularly by the use of an active-array antenna. The performance of the instrument is significantly better than that offered by alternative designs, taking into account the constraints of the platform. This paper outlines the background to the study, identifies the requirements for the instrument, and describes the design concept with a discussion on some of the technical issues involved.</t>
  </si>
  <si>
    <t>13-22</t>
  </si>
  <si>
    <t>GEC journal of research</t>
  </si>
  <si>
    <t>6701793996;7004795965;56420608100</t>
  </si>
  <si>
    <t>Sawyer, F. G.;Hartley, S. S.;Brown, M. A.</t>
  </si>
  <si>
    <t>Sawyer F.</t>
  </si>
  <si>
    <t>Versatile SAR for the first polar platform</t>
  </si>
  <si>
    <t>2-s2.0-0025843107</t>
  </si>
  <si>
    <t>['waves emitted', 'spatial coordinates', 'rectangular waveguide', 'quasiharmonic waves', 'analytical formulas']</t>
  </si>
  <si>
    <t>Quasiharmonic waves are considered that have intensities which cannot be represented in the form of a product of a function of time and a function of the spatial coordinates. Analytical formulas are given for waves in a rectangular waveguide and waves emitted by a phased antenna array or by a vector antenna system.</t>
  </si>
  <si>
    <t>62-68</t>
  </si>
  <si>
    <t>Knyaz', A. I.</t>
  </si>
  <si>
    <t>Knyaz' A.</t>
  </si>
  <si>
    <t>Nonfactorizable electromagnetic waves</t>
  </si>
  <si>
    <t>2-s2.0-0025844505</t>
  </si>
  <si>
    <t>['unfocused system', 'representative configurations', 'polar fields', 'numerical data', 'gaussian beams', 'field intensities', 'determined using', 'carefully investigated', 'acceptability ranges']</t>
  </si>
  <si>
    <t>Several available diffraction analyses techniques are compared in this paper. Techniques including GTD, PO, PTD, and Gaussian Beams, are used to analyze representative reflector antenna geometries. First the techniques are compared for a flat circular disc, representing an unfocused system. Next, the techniques are applied to offset ellipsoidal reflectors and the offset parabolic reflectors. Near-fields, focal-fields and far-fields are determined using these techniques. Both co-polar and cross-polar fields are compared. The acceptability ranges of each technique is carefully investigated. Numerical data are presented for representative configurations and, in particular, field intensities are determined for high power microwave applications.</t>
  </si>
  <si>
    <t>60027550;60027550;60027550</t>
  </si>
  <si>
    <t>7102110120;57216055364;7007026217</t>
  </si>
  <si>
    <t>Rahmat-Samii, Y.;Iversen, P. O.;Duan, D. W.</t>
  </si>
  <si>
    <t>Los Angeles</t>
  </si>
  <si>
    <t>University of California, Los Angeles</t>
  </si>
  <si>
    <t>Rahmat-Samii Y.</t>
  </si>
  <si>
    <t>GTD, PO, PTD, and Gaussian Beam diffraction analysis techniques applied to reflector antennas</t>
  </si>
  <si>
    <t>2-s2.0-0025844612</t>
  </si>
  <si>
    <t>['magnetic field', 'ionospheric plasma', 'input impedance', 'electric antenna', 'antenna wire']</t>
  </si>
  <si>
    <t>The effect of the ionospheric plasma on the input impedance of an electric antenna is considered. In those cases when the signal voltage Us is comparable with or greater than the floating potential Uf and the induction emf Ei, induced in the antenna wire as it moves in the earth's magnetic field the parameters of the ion screen must be taken into account. This paper is devoted to the study of this phenomenon.</t>
  </si>
  <si>
    <t>101-104</t>
  </si>
  <si>
    <t>6701398779;6602991222</t>
  </si>
  <si>
    <t>Lishin, I. V.;Sorokina, R. K.</t>
  </si>
  <si>
    <t>Lishin I.</t>
  </si>
  <si>
    <t>Nonlinear input impedance of a low-frequency electric dipole in an ionospheric plasma</t>
  </si>
  <si>
    <t>2-s2.0-0025846869</t>
  </si>
  <si>
    <t>['¬© 1991', 'two algorithms', 'theoretical analysis', 'standard form', 'sensor outputs', 'rights reserved', 'required gradient', 'paper investigates', 'lms algorithm', 'linear array', 'equispaced elements', 'desired signal', 'deliberate jamming', 'correlated narrow', 'correlated arrivals', 'constrained least', 'computer simulation', 'band arrivals', 'array output', 'antenna array', 'algorithm updates', 'acoustical society']</t>
  </si>
  <si>
    <t>The constrained least-mean-square (LMS) algorithm updates the weights of an antenna array by estimating the gradient of the mean output power surface. In its standard form an estimate of the required gradient is made by multiplying the array output with the sensor outputs. This form of LMS algorithm is not suitable for updating the weights in the presence of correlated arrivals. The correlation between the desired signal and an unwanted interference may exist in situations of multipath and deliberate jamming. This paper investigates the performance of two algorithms, namely, the structured gradient algorithm and the improved LMS algorithm, in the presence of correlated narrow-band arrivals. Theoretical analysis and computer simulation are presented to demonstrate the capability of these algorithms to estimate the weights of a linear array of equispaced elements, to cancel the correlated directional sources. ¬© 1991, Acoustical Society of America. All rights reserved.</t>
  </si>
  <si>
    <t>1730-1736</t>
  </si>
  <si>
    <t>Journal of the Acoustical Society of America</t>
  </si>
  <si>
    <t>Godara, Lal C.</t>
  </si>
  <si>
    <t>Canberra</t>
  </si>
  <si>
    <t>University of New South Wales at Australian Defence Force Academy</t>
  </si>
  <si>
    <t>Godara L.C.</t>
  </si>
  <si>
    <t>Adaptive beamforming in the presence of correlated arrivals</t>
  </si>
  <si>
    <t>10.1121/1.401007</t>
  </si>
  <si>
    <t>2-s2.0-0025847842</t>
  </si>
  <si>
    <t>['take account', 'synthesis problem', 'symmetrical dipoles', 'special type', 'shaped dp', 'rms approximation', 'quadratic shape', 'phase synthesis', 'linear constraints', 'linear aa', 'iteration method', 'given within', 'given tabletope', 'form zeros', 'equality type', 'antenna arrays', 'amplitude distribution', 'additional requirements', 'aa taken']</t>
  </si>
  <si>
    <t>An iteration method is proposed for the phase synthesis of antenna arrays (AA) from a given complex directivity pattern (DP), making it possible to take account of additional requirements on the shape of the DP being synthesized, in particular, to form zeros of the DP in chosen angular directions. The synthesis problem is solved in the rms approximation with the interaction of the elements of the AA taken into account and it is reduced to the problem of finding the minimum of a quadratic shape of a special type for quadratic and linear constraints of the equality type. The form of the amplitude distribution of excitations at the inputs of the emitters is given within the accuracy of an unknown amplitude factor, the value of which is determined from the condition that the mean-square synthesis error is a minimum for fixed excitation phases. The results are given for a phase synthesis of a linear AA of symmetrical dipoles from a given tabletope-shaped DP with zeros in chosen angular directions.</t>
  </si>
  <si>
    <t>94-102</t>
  </si>
  <si>
    <t>Kondrat'Yev, A. S.</t>
  </si>
  <si>
    <t>Kondrat'Yev A.</t>
  </si>
  <si>
    <t>Method of phase synthesis of antenna arrays with additional requirements on the shape of the directivity pattern taken into account</t>
  </si>
  <si>
    <t>2-s2.0-0025849414</t>
  </si>
  <si>
    <t>['multibeam injector', 'joint action', 'electromagnetic field', 'complicated model', 'analytical differentiation']</t>
  </si>
  <si>
    <t>A method is suggested for the synthesis of a nonparaxial relativistic macrobeam, describing the joint action of microjets. The method is based on performing an analytical differentiation with a joining of the solution at the boundaries of the strips from which the macrobeam is constructed. A complicated model is formulated for the propagation of microjets in the electromagnetic field of a macrostream, taking quadrupole effects into consideration. It is shown that for the case of a multibeam injector with an intrinsic azimuthal magnetic field initially circular microbeams have an elliptical cross section, the evolution of which occurs with no rotation with respect to the axis. Examples of calculations of the macrobeam and the evolution of the microjets are given.</t>
  </si>
  <si>
    <t>125-136</t>
  </si>
  <si>
    <t>6603226711;6603550124</t>
  </si>
  <si>
    <t>Plokhov, V. V.;Syrovoy, V. A.</t>
  </si>
  <si>
    <t>Plokhov V.</t>
  </si>
  <si>
    <t>On the calculation of a multibeam injector with a relativistic electron beam</t>
  </si>
  <si>
    <t>2-s2.0-0025850162</t>
  </si>
  <si>
    <t>['¬© 1991', 'van grondelle', 'uncompressed gels', 'transition dipoles', 'theoretical models', 'theoretical approaches', 'theoretical approach', 'symmetry axis', 'rights reserved', 'quantitative interpretation', 'polarized fluorescence', 'particles leads', 'particles appears', 'order parameters', 'nm bands', 'mosc .].', 'minimal model', 'may lead', 'long axis', 'linear dichroism', 'like chlorosomes', 'incorrect results', 'incorrect interpretations', 'gel expansion', 'fluorescing species', 'fluorescence measurements', 'excitation energy', 'direction parameters', 'dipole moments', 'different gels', 'determined experimentally', 'complexes proposed', 'biophysical society', '., r']</t>
  </si>
  <si>
    <t>We have used a new and relatively easy approach to study the pigment-organization in chlorosomes from the photosynthetic bacterium Chloroflexus aurantiacus and in B800‚Äì850 antenna complexes of the photosynthetic purple bacterium Rhodobacter sphaeroides. These particles were embedded in compressed and uncompressed gels and the polarized fluorescence was determined in a 90¬∞ setup. Assuming both a rotational symmetric distribution of the particles in the gel and of the transition dipole moments in the particles, the order parameters &lt;P2&gt; and &lt;P4&gt;, describing the orientation of the symmetry axis of the particles with respect to the direction of gel expansion can be determined. Moreover, the direction parameters, describing the orientation of the absorption and emission dipole moments with respect to the symmetry axis of the particles can be obtained. The value of &lt;P2&gt; is essential for quantitative interpretation of linear dichroism measurements and usually it is estimated from theoretical approaches, which may lead to incorrect results. For the rod-like chlorosomes the value of &lt;P2&gt; appears to be the same as predicted by the theoretical approach of Ganago, A. O., M. V. Fok, I. A. Abdourakhmanov, A. A. Solov'ev, and Yu. E. Erokhin (1980. Mol. Biol. [Mosc.]. 14:381‚Äì389). The agreement with linear dichroism results, analyzed with this theoretical approach shows that the transition dipole moments are indeed in good approximation distributed in a rotationally symmetric way around the long axis of the chlorosomes. Moreover, it appears those BChl c molecules, which fluoresce, are oriented in the same way with respect to the symmetry axis as the rest of these pigments, with the dipole moments close to parallel to the long axis. The B800‚Äì850 complexes appear to orient like discs, whereas the transition dipoles of the BChl a 800- and 850-nm bands are oriented almost perpendicular to the symmetry axis. These findings are in agreement with the minimal model for these complexes proposed by Kramer, H. J. M., R. van Grondelle, C. N. Hunter, W. H. J. Westerhuis, and J. Amesz (1984. Biochim. Biophys. Acta. 156‚Äì165). The amount of orientation of the particles appears to vary for different gels and it is lower than predicted by the theory of Ganago et al., showing that application of their approach for these particles leads to incorrect interpretations. The approach that is used in this study allows determination of orientations of those dipole moments, which transfer their excitation energy to the fluorescing species, in contrast to linear dichroism measurements, where the orientations of all absorbing dipole moments are studied. For the polarized fluorescence measurements, the amount of orientation of the particles is determined experimentally, whereas for linear dichroism this amount has to be estimated from theoretical models. The value of &lt;P2&gt; that can be determined from the fluorescence measurements can, however, also be used for a quantitative interpretation of the linear dichroism results. ¬© 1991, The Biophysical Society. All rights reserved.</t>
  </si>
  <si>
    <t>992-1001</t>
  </si>
  <si>
    <t>Biophysical Journal</t>
  </si>
  <si>
    <t>60008734;60008734;60008734;60008734</t>
  </si>
  <si>
    <t>7007181446;6603326512;57191101860;35599806700</t>
  </si>
  <si>
    <t>van Amerongen, H.;van Haeringen, B.;van Gurp, M.;van Grondelle, R.</t>
  </si>
  <si>
    <t>Vrije Universiteit Amsterdam</t>
  </si>
  <si>
    <t>van Amerongen H.</t>
  </si>
  <si>
    <t>Polarized fluorescence measurements on ordered photosynthetic antenna complexes: Chlorosomes of Chloroflexus aurantiacus and B800-B850 antenna complexes of Rhodobacter sphaeroides</t>
  </si>
  <si>
    <t>S0006349591823141</t>
  </si>
  <si>
    <t>10.1016/S0006-3495(91)82314-1</t>
  </si>
  <si>
    <t>2-s2.0-0025852587</t>
  </si>
  <si>
    <t>['¬© 1991', 'rights reserved', 'longer assumed', 'electrical engineers']</t>
  </si>
  <si>
    <t>Algorithms | Signal processing</t>
  </si>
  <si>
    <t>A spatial smoothing scheme is applied to a linear array using subarrays to decorrelate coherent arrivals, in the case where the sensor noise variances are no longer assumed to be equal. ¬© 1991, The Institution of Electrical Engineers. All rights reserved.</t>
  </si>
  <si>
    <t>61-62</t>
  </si>
  <si>
    <t>Madurasinghe, D.</t>
  </si>
  <si>
    <t>Edinburgh</t>
  </si>
  <si>
    <t>Defence Science and Technology Group</t>
  </si>
  <si>
    <t>Madurasinghe D.</t>
  </si>
  <si>
    <t>Direction Finding in a Multipath Environment</t>
  </si>
  <si>
    <t>10.1049/el:19910039</t>
  </si>
  <si>
    <t>2-s2.0-0025855508</t>
  </si>
  <si>
    <t>['quadratic constraint', 'performance achievable', 'optimal weights', 'numerical results', 'linear constraints', 'formulation results', 'element failure', 'effective algorithm']</t>
  </si>
  <si>
    <t>A simple and effective algorithm to regain sidelobe suppression lost due to element failure with narrowest possible beamwidth is presented. The formulation results in a constrained optimisation problem involving a quadratic constraint and a set of linear constraints on the weights. An efficient numerical technique to obtain the optimal weights is presented. Numerical results are presented to illustrate the performance achievable.</t>
  </si>
  <si>
    <t>273-275</t>
  </si>
  <si>
    <t>Jan</t>
  </si>
  <si>
    <t>60005510;60005510</t>
  </si>
  <si>
    <t>7102842938;57211729330</t>
  </si>
  <si>
    <t>Er, M. H.;Hui, S. K.</t>
  </si>
  <si>
    <t>Singapore</t>
  </si>
  <si>
    <t>Singapore City</t>
  </si>
  <si>
    <t>Nanyang Technological University</t>
  </si>
  <si>
    <t>Er M.</t>
  </si>
  <si>
    <t>Beamforming in presence of element failure</t>
  </si>
  <si>
    <t>10.1049/el:19910174</t>
  </si>
  <si>
    <t>2-s2.0-0025855513</t>
  </si>
  <si>
    <t>['use may', 'luneburg lens', 'commonly used', 'antenna systems', 'antenna system']</t>
  </si>
  <si>
    <t>The Luneburg lens is commonly used to calibrate radar scatterometers. However, its use may not be appropriate for calibration of dual-antenna systems. Theory and results from measurements of the Luneburg lens reradiation pattern indicate that gross errors may be incurred when using the lens to calibrate a dual-antenna system. ¬© 1991 IEEE</t>
  </si>
  <si>
    <t>179-180</t>
  </si>
  <si>
    <t>60032121;60032121;60032121</t>
  </si>
  <si>
    <t>7003626306;7201815022;35592956700</t>
  </si>
  <si>
    <t>Racette, Paul E.;Forster, Richard R.;Moore, Richard K.</t>
  </si>
  <si>
    <t>Lawrence</t>
  </si>
  <si>
    <t>University of Kansas Center for Research</t>
  </si>
  <si>
    <t>Racette P.</t>
  </si>
  <si>
    <t>Limitations of the Luneburg Lens as a Calibration Target for a Dual-Antenna Radar System</t>
  </si>
  <si>
    <t>10.1109/36.103310</t>
  </si>
  <si>
    <t>2-s2.0-0025862569</t>
  </si>
  <si>
    <t>60107350;60107350;60023147</t>
  </si>
  <si>
    <t>36892397600;7103305921;7202607468</t>
  </si>
  <si>
    <t>Kagami, Yoshiro;Nishimura, Futoshi;Kagawa, Yukio</t>
  </si>
  <si>
    <t>Kadoma;Okayama</t>
  </si>
  <si>
    <t>Panasonic Corporation;Okayama University</t>
  </si>
  <si>
    <t>60107350;60023147</t>
  </si>
  <si>
    <t>Kagami Y.</t>
  </si>
  <si>
    <t>Numerical approach to unbounded axially symmetric electromagnetic radiation problems using hybrid‚Äêtype infinite element with special attention to shielding effects</t>
  </si>
  <si>
    <t>10.1002/eej.4391110403</t>
  </si>
  <si>
    <t>2-s2.0-0025867813</t>
  </si>
  <si>
    <t>['well suited', 'simple methods', 'simple antenna', 'satellite applications', 'impedance matching', 'design examples', 'antenna system']</t>
  </si>
  <si>
    <t>The performance of the antenna system can be crucial to the success of some satellite applications. A low Earth orbiter requires a broad beam width and should maximize the gain in the direction of maximum path loss. The backfire bifilar helix is a simple antenna that is well suited to this need. The operation of the helix is described, simple methods of feeding and impedance matching are recommended, and design examples are given.</t>
  </si>
  <si>
    <t>75-80</t>
  </si>
  <si>
    <t>Stilwell, Robert K.</t>
  </si>
  <si>
    <t>Stilwell R.</t>
  </si>
  <si>
    <t>Satellite applications of the bifilar helix antenna</t>
  </si>
  <si>
    <t>2-s2.0-0025887983</t>
  </si>
  <si>
    <t>['sufficiently small', 'salient properties', 'properties make', 'preserving transformations', 'possible hits', 'hit array', 'given set', 'frequency space', 'digital representation', 'code length', 'basic symmetry', 'associated set']</t>
  </si>
  <si>
    <t>A formalism is presented for the analysis of general frequency hop waveforms, such as those suitable for use in coherent active radar and sonar echolocation systems as well as multiple access spread spectrum communications. This formalism is based on the concept of coincidence, or ‚Äúhit,‚Äù between two frequency hopping patterns. The collection of all possible hits, together with their locations, is recorded in time-frequency space, which produces the hit array associated with the two patterns considered. If the code length is sufficiently small with respect to the time-bandwidth product chosen, the hit array can be viewed as a digital representation of the corresponding ambiguity function. Salient properties of the hit array formalism are derived, including simple relationships between hit arrays resulting from basic symmetry-preserving transformations. These properties make it possible to predict the performance of a given set of frequency hop waveforms directly from the associated set of frequency hopping patterns. ¬© 1991 IEEE</t>
  </si>
  <si>
    <t>30-39</t>
  </si>
  <si>
    <t>60017366;60027165</t>
  </si>
  <si>
    <t>35554740100;7003620626</t>
  </si>
  <si>
    <t>Bellegarda, Jerome R.;Titlebaum, Edward L.</t>
  </si>
  <si>
    <t>Rochester;Yorktown Heights</t>
  </si>
  <si>
    <t>University of Rochester;IBM Thomas J. Watson Research Center</t>
  </si>
  <si>
    <t>60027165;60017366</t>
  </si>
  <si>
    <t>Bellegarda J.R.</t>
  </si>
  <si>
    <t>The Hit Array: An Analysis Formalism for Multiple Access Frequency Hop Coding</t>
  </si>
  <si>
    <t>10.1109/7.68145</t>
  </si>
  <si>
    <t>2-s2.0-0025889222</t>
  </si>
  <si>
    <t>IEEE Spectrum</t>
  </si>
  <si>
    <t>Bell, Trudy E.</t>
  </si>
  <si>
    <t>Bell T.</t>
  </si>
  <si>
    <t>Technology 1991: The media event</t>
  </si>
  <si>
    <t>10.1109/6.67234</t>
  </si>
  <si>
    <t>2-s2.0-0025889305</t>
  </si>
  <si>
    <t>['turn gives', 'true current', 'starting point', 'sharp discontinuities', 'sample problem', 'radiation patterns', 'plane wave', 'near field', 'moment method', 'known results', 'iterative one', 'iterative method', 'initial value', 'incident field', 'impedance may', 'hybrid theory', 'hybrid technique', 'ground planes', 'ground plane', 'general procedure', 'finite extent', 'equivalent currents', 'entire surface', 'disk ),', 'current distribution', 'circular disk', 'change caused', 'asymptotic region', 'asymptotic current', 'also extended']</t>
  </si>
  <si>
    <t>Previously, this hybrid technique, a hybrid theory of diffraction, which combines the moment method with an asymptotic current, was used by Kim and Thiele to solve several 2-dimensional and 3-dimensional scattering problems when the incident field was a plane wave. In this paper the method is extended to problems in which the incident field is the near field of an antenna and also extended to calculate antenna impedance. As a sample problem, a monopole at the center of a circular disk is considered. Since the general procedure is an iterative one, the starting point in this problem is the assumption of the current distribution on the monopole. This current distribution generates the initial incident field which is turn gives the initial value of the asymptotic current on the circular disk (which is similar to the geometrical optics current). The current in the asymptotic region (i.e., away from the edge of the disk), which is dominated by the optics type current on the entire surface of the scatter, is solved by an iterative method to give the approximate surface current using the magnetic field integral equation. The difference between the approximate and true surface currents is calculated from the moment method current, which exists near shadow boundaries and/or sharp discontinuities in geometry. That is, the moment method current induces a current in the asymptotic region which is the difference between the optics type current and the true current. The impedance may be calculated by using the infinite ground plane value plus the change caused by the finite extent of the ground plane through the use of equivalent currents. Results are shown for both the impedance and the radiation patterns. These results are compared with other known results and the agreement is seen to be very good for both large (e.g., ka &gt; 6) and small (e.g., ka &lt; 3) ground planes.</t>
  </si>
  <si>
    <t>75-95</t>
  </si>
  <si>
    <t>60016835;60016835</t>
  </si>
  <si>
    <t>55741005400;7102201391</t>
  </si>
  <si>
    <t>Li, Shi zhi;Thiele, Gary A.</t>
  </si>
  <si>
    <t>China</t>
  </si>
  <si>
    <t>Beijing</t>
  </si>
  <si>
    <t>Beijing Institute of Technology</t>
  </si>
  <si>
    <t>Li S.</t>
  </si>
  <si>
    <t>Calculation of antenna performance using a hybrid technique which combines the moment method with an asymptotic current</t>
  </si>
  <si>
    <t>2-s2.0-0025890649</t>
  </si>
  <si>
    <t>['solution evaluates', 'several antennas', 'reactive energy', 'permits us', 'numerical solution', 'field coefficients', 'copyright 1991', 'conic angle', 'complex power', 'antenna region', '16 terms']</t>
  </si>
  <si>
    <t>We have obtained a general, numerical solution of an ideal biconical transmitting antenna, with arbitrary arm length and conic angle. The solution evaluates the field coefficients associated with the electric multipolar expansion terms both within the antenna region and external to it; the set must necessarily be truncated, and we truncate our set with 16 terms. From the field coefficients we obtain surface current and charge densities resulting from a normalized input current, for several antennas. We evaluate resonant frequencies versus cone angle for the first three resonances. Using a normalized input voltage, we obtain the complex power at all radii; conservation of energy, in turn, permits us to solve for the reactive energy of the field per unit radius. Copyright 1991 by the American Geophysical Union.</t>
  </si>
  <si>
    <t>101-109</t>
  </si>
  <si>
    <t>7202271239;6505791233;7004393342</t>
  </si>
  <si>
    <t>Grimes, Dale M.;Badii, Vahid;Tomiyama, Ken</t>
  </si>
  <si>
    <t>Grimes D.M.</t>
  </si>
  <si>
    <t>Characterization of biconical transmitting antennas</t>
  </si>
  <si>
    <t>10.1029/90RS02469</t>
  </si>
  <si>
    <t>2-s2.0-0025894442</t>
  </si>
  <si>
    <t>['wiley blackwell', 'unknown size', 'synthesis indicated', 'rights reserved', 'rhodopseudomonas viridis', 'regulated differently', 'purple bacteria', 'pufm genes', 'puf operon', 'plasmid pess8', 'located upstream', 'lh polypeptides', 'highly homologous', 'gene products', 'fragment revealed', 'directly downstream', 'cytochrome subunit', 'corresponding mrna', 'complex b870', 'comparative analysis', 'bchl synthesis', 'bcha gene', '9 containing', '6 kcal']</t>
  </si>
  <si>
    <t>In the aerobic photosynthetic bacterium Erythrobacter species OCH114 the structural genes coding for the light‚Äêharvesting (LH) complex B870 and the reaction‚Äêcentre (RC) polypeptides (the gene products of the pufB, pufA, pufL and pufM genes) are mapped on a 2.728kbp Eco RI fragment. Sequencing of this fragment revealed that the deduced amino acid sequences contain 50 (B870 Œ≤), 52 (B850 Œ±), 283 (RCL) and 331 (RCM) residues with the corresponding molecular weights of 5592, 5814, 31364, and 37671, respectively. In the corresponding mRNA a ‚Äòhairpin‚Äô structure (ŒîG¬∞= ‚Äê26.6 kcal) is predicted to be located immediately downstream of pufA. The RC and LH polypeptides are highly homologous to those of the purple photosynthetic bacteria Rhodobacter capsulatus, Rhodo‚Äêbacter sphaeroides and Rhodopseudomonas viridis. Directly downstream of pufM there is an open reading frame (ORF) of unknown size. Partial sequencing indicates that this ORF is highly homologous to the cytochrome subunit of the photosynthetic reaction centre from R. viridis. In the puf operon no pufQ or pufX genes could be found, but the bchA gene is located upstream of that operon. Plasmid pESS8.9 containing the 2.728kbp Eco RI fragment reconstituted a photo‚Äêinactive mutant of Erythrobacter species OCH114. Comparative analysis of the DNA region upstream of the puf operon and of bacteriochlorophyll (Bchl) synthesis indicated that Bchl synthesis and puf gene expression are regulated differently in Erythrobacter and purple bacteria, respectively. Copyright ¬© 1991, Wiley Blackwell. All rights reserved</t>
  </si>
  <si>
    <t>1459-1468</t>
  </si>
  <si>
    <t>0950382X</t>
  </si>
  <si>
    <t>Molecular Microbiology</t>
  </si>
  <si>
    <t>60025641;60025641;60025641</t>
  </si>
  <si>
    <t>6506681588;6603140034;7102742634</t>
  </si>
  <si>
    <t>Liebetanz, R.;Hornberger, U.;Drews, G.</t>
  </si>
  <si>
    <t>Freiburg im Breisgau</t>
  </si>
  <si>
    <t>Universit√§t Freiburg im Breisgau</t>
  </si>
  <si>
    <t>Liebetanz R.</t>
  </si>
  <si>
    <t>Organization of the genes coding for the reaction‚Äêcentre L and M subunits and B870 antenna polypeptides Œ± and Œ≤ from the aerobic photosynthetic bacterium Erythrobacter species OCH114</t>
  </si>
  <si>
    <t>10.1111/j.1365-2958.1991.tb00792.x</t>
  </si>
  <si>
    <t>2-s2.0-0025895249</t>
  </si>
  <si>
    <t>['¬© 1991', 'thylakoid membrane', 'specific proteins', 'protein complexes', 'pigment biosynthesis', 'nuclear genes', 'large proportion', 'inducible proteins', 'form chlorophyll', 'extended family', 'elips ),', 'early light', 'covalently bound', 'considered part', 'bind chlorophyll', 'also related']</t>
  </si>
  <si>
    <t>A large proportion of the chlorophyll in a plant is engaged in harvesting light energy and transferring it to the photochemical reaction centres. These 'antenna' chlorophylls are non-covalently bound to specific proteins to form chlorophyll-protein complexes. The chlorophyll a/b-binding (CAB) polypeptides are encoded by an extended family of nuclear genes. It has recently been discovered that other proteins not known to bind chlorophyll, the early light-inducible proteins (ELIPs), are also related and could be considered part of this family. We suggest that the latter proteins may be involved in pigment biosynthesis or in assembly of the thylakoid membrane. ¬© 1991.</t>
  </si>
  <si>
    <t>181-186</t>
  </si>
  <si>
    <t>C</t>
  </si>
  <si>
    <t>Trends in Biochemical Sciences</t>
  </si>
  <si>
    <t>60010365;60025778;60004935</t>
  </si>
  <si>
    <t>7401825069;7005046349;7004541971</t>
  </si>
  <si>
    <t>Green, Beverly R.;Pichersky, Eran;Kloppstech, Klaus</t>
  </si>
  <si>
    <t>United States;Canada;Germany</t>
  </si>
  <si>
    <t>Ann Arbor;Vancouver;Hannover</t>
  </si>
  <si>
    <t>University of Michigan, Ann Arbor;The University of British Columbia;Gottfried Wilhelm Leibniz Universit√§t Hannover</t>
  </si>
  <si>
    <t>60025778;60010365;60004935</t>
  </si>
  <si>
    <t>Green B.R.</t>
  </si>
  <si>
    <t>Chlorophyll a/b-binding proteins: an extended family</t>
  </si>
  <si>
    <t>0968-0004(91)90072-4</t>
  </si>
  <si>
    <t>10.1016/0968-0004(91)90072-4</t>
  </si>
  <si>
    <t>2-s2.0-0025897315</t>
  </si>
  <si>
    <t>['wave passing', 'simulator makes', 'signals passing', 'phase front', 'one method', 'nonuniform medium', 'antenna array', 'aa ).']</t>
  </si>
  <si>
    <t>One method is proposed for constructing a simulator of the signals passing through a nonuniform medium and received by an antenna array (AA). The simulator makes it possible to produce signals corresponding to different correlation radii and variances of the fluctuations of the phase front of the wave passing through the nonuniform medium.</t>
  </si>
  <si>
    <t>89-96</t>
  </si>
  <si>
    <t>;;;</t>
  </si>
  <si>
    <t>7103225019;6505936754;7005487708;6504478190</t>
  </si>
  <si>
    <t>Maslov, A. F.;Nesterov, K. P.;Chernov, B. P.;Korabel'skiy, O. L.</t>
  </si>
  <si>
    <t>Maslov A.</t>
  </si>
  <si>
    <t>Simulator of signals at outputs of antenna array, operating in a nonuniform medium</t>
  </si>
  <si>
    <t>2-s2.0-0025898285</t>
  </si>
  <si>
    <t>['three membrane', 'solar energy', 'protein complex', 'plant photosynthesis', 'major antenna', 'harvesting chlorophyll', 'electron crystallography']</t>
  </si>
  <si>
    <t>The structure of the light-harvesting chlorophyll a/b-protein complex, a membrane protein serving as the major antenna of solar energy in plant photosynthesis, has been determined at 6 √Ö resolution by electron crystallography. Within the complex, three membrane-spanning Œ± helices and 15 chlorophyll molecules are resolved. There is an intramolecular diad relating two of the Œ± helices and some of the chlorophylls. The spacing of the chlorophylls suggests energy transfer by delocalized exciton coupling and F√∂rster mechanisms. ¬© 1991 Nature Publishing Group.</t>
  </si>
  <si>
    <t>130-134</t>
  </si>
  <si>
    <t>Nature</t>
  </si>
  <si>
    <t>60007257;60007257</t>
  </si>
  <si>
    <t>23044823800;16217908600</t>
  </si>
  <si>
    <t>KÃàhlbrandt, Werner;Wang, Da Neng</t>
  </si>
  <si>
    <t>Heidelberg</t>
  </si>
  <si>
    <t>European Molecular Biology Laboratory Heidelberg</t>
  </si>
  <si>
    <t>KÃàhlbrandt W.</t>
  </si>
  <si>
    <t>Three-dimensional structure of plant light-harvesting complex determined by electron crystallography</t>
  </si>
  <si>
    <t>10.1038/350130a0</t>
  </si>
  <si>
    <t>2-s2.0-0025898707</t>
  </si>
  <si>
    <t>['‚ àí6', 'wiley company', 'transmission coefficient', 'stripline circuits', 'straightforward method', 'return loss', 'resonant frequency', 'inc .,', '666 ghz', '35 db', '15 db']</t>
  </si>
  <si>
    <t>CAD | hybrid ring | Power divider</t>
  </si>
  <si>
    <t>A straightforward method is proposed for the design of a novel hybrid ring power divider that is compatible with stripline circuits. This configuration is analyzed using standard commercial CAD software TOUCHSTONEtm. Theoretical and experimental results show a return loss of better than ‚àí30 dB at the resonant frequency of the hybrid ring circuit and a transmission coefficient of ‚àí6.20 ¬± 0.15 dB in the band of interest (1.633‚Äê1.666 GHz) with a maximum insertion loss of 0.35 dB (including connector effects). Copyright ¬© 1991 Wiley Periodicals, Inc., A Wiley Company</t>
  </si>
  <si>
    <t>61-64</t>
  </si>
  <si>
    <t>60031828;60031828;60031828;60031828</t>
  </si>
  <si>
    <t>15123408500;6506765696;6602956219;7006562937</t>
  </si>
  <si>
    <t>Wang, Jian;Spenuk, Mike;Fralich, Russell;Litva, John</t>
  </si>
  <si>
    <t>Canada</t>
  </si>
  <si>
    <t>Hamilton</t>
  </si>
  <si>
    <t>McMaster University</t>
  </si>
  <si>
    <t>Wang J.</t>
  </si>
  <si>
    <t>A simple approach to a four‚Äêway hybrid ring power divider design</t>
  </si>
  <si>
    <t>10.1002/mop.4650040202</t>
  </si>
  <si>
    <t>2-s2.0-0025899730</t>
  </si>
  <si>
    <t>['transmitting antennas', 'present paper', 'output parameters', 'microwave signal', 'microwave calorimeter', 'increased number', 'generating high', 'demonstrated earlier', 'charging voltage', 'anode units', '30 %.']</t>
  </si>
  <si>
    <t>The possibility of using inverted relativistic magnetrons (IRM) for generating high-power microwave pulses in the nano- and microsecond voltage pulse duration intervals has been demonstrated earlier. Anode units with an increased number of resonators (N = 12) have been constructed to increase the output parameters of such oscillators, and the results of tests of these devices are discussed in the present paper. The experimental results given are obtained for one and the same value of the charging voltage of the accelerator. Estimates of the power level generated by the IRM were obtained by three independent methods: by an integration of the radiation directivity pattern, measured in the 'far' zone (approx. 1.5 m); the amount of attenuation of the microwave signal between the receiver and transmitting antennas, calibrated by 'cold' measurements for the corresponding wave mode; and by a microwave calorimeter. The results of the three methods agreed within approx.30%.</t>
  </si>
  <si>
    <t>132-134</t>
  </si>
  <si>
    <t>6603395084;6506055811;6508345708</t>
  </si>
  <si>
    <t>Vintizenko, I. I.;Sulakshin, A. S.;Chernogalova, L. F.</t>
  </si>
  <si>
    <t>Vintizenko I.</t>
  </si>
  <si>
    <t>Effect of number of resonators on the characteristics of an inverted relativistic magnetron</t>
  </si>
  <si>
    <t>2-s2.0-0025901243</t>
  </si>
  <si>
    <t>['usual statement', 'problems associated', 'phase synthesis', 'emitting systems', 'directivity pattern', 'antenna array']</t>
  </si>
  <si>
    <t>In the usual statement of problems associated with the synthesis of emitting systems some directivity pattern (real or complex) must be given. The problem of a phase synthesis of an antenna array is considered.</t>
  </si>
  <si>
    <t>104-107</t>
  </si>
  <si>
    <t>Ivanov, N. M.</t>
  </si>
  <si>
    <t>Ivanov N.</t>
  </si>
  <si>
    <t>On the phase synthesis of antenna arrays when the requirements on the directivity pattern are in the form of inequalities</t>
  </si>
  <si>
    <t>2-s2.0-0025901568</t>
  </si>
  <si>
    <t>['worldwide leader', 'telecommunications cables', 'speciality cables', 'product line', 'power cables', 'network technology', 'meet customers', 'important features', 'house resources', 'high frequency', 'electronic products', 'alcatel cable']</t>
  </si>
  <si>
    <t>Alcatel Cable, the worldwide leader in the telecommunications and power cables market, is ready to meet the challenges of tomorrow with activities that cover all aspects of cable and network technology, from development and design, to manufacturing, transportation and installation. Thanks to Alcatel Cable's product line and geographical branch organization - power cables, speciality cables, telecommunications cables, high frequency and electronic products, installation and engineering, and metallurgy - large and small network projects can be tailored to meet customers' needs from design to commissioning, using in-house resources. Important features of several cables types are reported</t>
  </si>
  <si>
    <t>97-100</t>
  </si>
  <si>
    <t>Electrical communication</t>
  </si>
  <si>
    <t xml:space="preserve">Anon, </t>
  </si>
  <si>
    <t>Anon</t>
  </si>
  <si>
    <t>Cable</t>
  </si>
  <si>
    <t>2-s2.0-0025903285</t>
  </si>
  <si>
    <t>['¬© 1991', 'temperature endpoints', 'specified distance', 'skull phantom', 'six antennas', 'orthogonal catheter', 'normal brain', 'necrotic zones', 'modified dipole', 'microwave source', 'longitudinal location', 'lesion dimensions', 'isosar contours', 'insertion depth', 'including dipole', 'imagable lesion', 'helical antennas', 'helical antenna', 'greatest diameter', 'frequency change', 'fiberoptic probes', 'delivered within', 'defined radially', 'defined blood', 'coronal plane', 'coil lengths', 'coil length', 'beagle experiments', 'barrier breakdown', 'also used', 'adjusting frequency', '915 mhz', '9 cm', '8 cm', '5 mm']</t>
  </si>
  <si>
    <t>Brain | Cancer | Dipole antennas | Helical antennas | Hyperthermia | Interstitial | Microwave | MR[ | SAR</t>
  </si>
  <si>
    <t>An experimental canine brain model was developed to assess the effects of hyperthermia for a range of time and temperature endpoints, delivered within a specified distance of an interstitial microwave antenna in normal brain. The target temperature location was defined radially at 5.0 or 7.5 mm from the microwave source at the longitudinal location of maximum heating along the antenna in the left cerebral cortex. Temperatures were measured with fiberoptic probes in a coronal plane at this location in an orthogonal catheter at 1.0 mm intervals. Six antennas were evaluated, including dipole, modified dipole, and four shorted helical antennas with coil lengths from 0.5 to 3.9 cm. Antenna performance evaluated in tissue equivalent phantom by adjusting frequency at a fixed insertion depth of 7.8 cm or adjusting insertion depth at 915 MHz showed dipoles to be much more sensitive to insertion depth and frequency change than helical antennas. Specific absorption rate (SAR) was measured in a brain/skull phantom and isoSAR contours were plotted. In vivo temperature studies were also used to evaluate antenna performance in large and small canine brain tissues. A helical antenna with a 2.0 cm coil length driven at 915 MHz was chosen for the beagle experiments because of tip heating characteristics, well-localized heating along the coil length, and heating pattern appropriate to the smaller beagle cranial vault. Verification of lesion dimensions in 3-D D was obtained by orthogonal MRI scans and histology to document the desired heat effect, which was to obtain an imagable lesion with well-defined blood-brain-barrier breakdown and necrotic zones. The desired lesion size was between 1.5 to 2.5 cm diameter radially, in the coronal plane with the greatest diameter. ¬© 1991.</t>
  </si>
  <si>
    <t>739-750</t>
  </si>
  <si>
    <t>60030443;60030443;60030443;60030443;60030443;60030443;60030443</t>
  </si>
  <si>
    <t>57197374123;7005429012;55741176200;7005534211;24358692100;7003894176;7007000893</t>
  </si>
  <si>
    <t>Ryan, Thomas P.;Hoopes, Jack;Taylor, James H.;Strohbehn, John W.;David, Roberts W.;Douple, Evan B.;COUGHLIN, Christopher T.</t>
  </si>
  <si>
    <t>Experimental brain hyperthermia: Techniques for heat delivery and thermometry</t>
  </si>
  <si>
    <t>036030169190017X</t>
  </si>
  <si>
    <t>10.1016/0360-3016(91)90017-X</t>
  </si>
  <si>
    <t>2-s2.0-0025905602</t>
  </si>
  <si>
    <t>['‚ äê9', 'special tract', 'sensory fibers', 'posterior protocerebrum', 'neuroanatomical techniques', 'multimodal convergence', 'lobula fibers', 'important centers', 'dorsal lobe', 'descending neurons', 'close vicinity', 'applied successively', 'apis mellifera', 'antennal motoneurons', 'antennae overlap']</t>
  </si>
  <si>
    <t>antennal system | insect brain | triple fluorescence staining | visual system</t>
  </si>
  <si>
    <t>The convergence of primary sensory neurons of the antennae, higher order visual interneurons, and antennal motoneurons was analysed with neuroanatomical techniques in the honeybee, Apis mellifera. The different modalities evoke specific antennal responses in this insect. Three different fluorescent dyes were applied successively in the same preparation in order to visualise the various fiber projections from the antennae and the lobula in the brain of the honeybee. Three neuropile areas where sensory fibers of the antennae overlap with visual projection neurons from the lobula were found. Within the posterior‚Äêmedian protocerebrum the antennal tract T6‚Äê1 comes in close vicinity to the lobula tract Lo T‚Äê9 and to some other lobula fibers that cannot be assigned to a special tract. Antennal T6‚Äê3 fibers overlap with lobula LoT‚Äê7 neurons within the posterior protocerebrum more laterally. Antennal T5 fibers arborise in the dorsal lobe and show common projection sites with lobula LoT‚Äê3 neurons. The multimodal convergence in the three common neuropiles demonstrates that these areas are important centers for multimodal information processing between sensory, motor, and descending neurons in insects. Copyright ¬© 1991 Wiley‚ÄêLiss, Inc.</t>
  </si>
  <si>
    <t>328-340</t>
  </si>
  <si>
    <t>Journal of Comparative Neurology</t>
  </si>
  <si>
    <t>Maronde, Ulrike</t>
  </si>
  <si>
    <t>Berlin</t>
  </si>
  <si>
    <t>Technical University of Berlin</t>
  </si>
  <si>
    <t>Maronde U.</t>
  </si>
  <si>
    <t>Common projection areas of antennal and visual pathways in the honeybee brain, apis mellifera</t>
  </si>
  <si>
    <t>10.1002/cne.903090304</t>
  </si>
  <si>
    <t>2-s2.0-0025912347</t>
  </si>
  <si>
    <t>['stratospheric constituents', 'ozone amounts', 'measure concentrations', 'inverse problem', 'influence functions', 'francis group', 'constituent concentration', 'closely related', 'calculations include', 'calculated radiances', 'antenna field', '3 ghz']</t>
  </si>
  <si>
    <t>The Microwave Limb Sounder (MLS) to be carried on the Upper Atmosphere Research Satellite (UARS) will measure concentrations of a number of stratospheric constituents. In this paper sample calculations of the forward problem pertaining to the 183 GHz band of MLS are presented. This band is used to infer water vapour and ozone amounts from the 183-3 GHz and 184-4 GHz lines respectively. The calculations include the effects of the antenna field of view and radiometric filter response. Some indications of the sensitivity of the calculated radiances to changes in the constituent concentration are shown. These are closely related to the influence functions which arise in the retrieval or inverse problem. ¬© 1991 Taylor &amp; Francis Group, LLC.</t>
  </si>
  <si>
    <t>33-53</t>
  </si>
  <si>
    <t>International Journal of Remote Sensing</t>
  </si>
  <si>
    <t>Lahoz, W. A.</t>
  </si>
  <si>
    <t>The University of Edinburgh</t>
  </si>
  <si>
    <t>Lahoz W.</t>
  </si>
  <si>
    <t>The 183 GHz water and ozone channels on the upper atmosphere research satellite microwave limb sounder</t>
  </si>
  <si>
    <t>10.1080/01431169108929630</t>
  </si>
  <si>
    <t>2-s2.0-0025919860</t>
  </si>
  <si>
    <t>Natural Environment Research Council</t>
  </si>
  <si>
    <t>5684/83/NL/BI</t>
  </si>
  <si>
    <t>NERC</t>
  </si>
  <si>
    <t>['single waveforms', 'scattering coefficients', 'radar altimeters', 'pulse interval', 'numerical data', 'nadir pointing', 'francis group', 'desired topography', 'computer program', 'antenna characteristics', 'angular dependence']</t>
  </si>
  <si>
    <t>A computer program in ANSI Standard FORTRAN 77 language has been developed to simulate waveforms produced by radar altimeters. Single waveforms or trains of waveforms at any pulse interval can be calculated. Antenna characteristics are modelled, including off-nadir pointing. The Earth is modelled as an oblate spheroid upon which any desired topography can be superimposed, either by means of formulae or as numerical data. The angular dependence of scattering coefficients can be treated. ¬© 1991 Taylor &amp; Francis Group, LLC.</t>
  </si>
  <si>
    <t>125-134</t>
  </si>
  <si>
    <t>60119937-60019598;60101625-60025990</t>
  </si>
  <si>
    <t>7004406257;7401831577</t>
  </si>
  <si>
    <t>Novotny, Eva;Cooper, A. P.</t>
  </si>
  <si>
    <t>United Kingdom;United Kingdom;United Kingdom;United Kingdom</t>
  </si>
  <si>
    <t>Cambridge;Cambridge;Cambridge;Cambridge</t>
  </si>
  <si>
    <t>Faculty of Mathematics;Scott Polar Research Institute;British Antarctic Survey;Institute of Astronomy</t>
  </si>
  <si>
    <t>60119937;60101625;60025990;60019598</t>
  </si>
  <si>
    <t>Novotny E.</t>
  </si>
  <si>
    <t>Computer simulation of radar al timet ric waveforms</t>
  </si>
  <si>
    <t>10.1080/01431169108929636</t>
  </si>
  <si>
    <t>2-s2.0-0025919868</t>
  </si>
  <si>
    <t>['¬© 1991', 'vlf receiver', 'vlf profilings', 'vlf methods', 'use instruments', 'tilt angle', 'success cannot', 'specific orientation', 'selected according', 'rocksto decrease', 'resistivity profiling', 'resistivity maps', 'resistivity mapping', 'previous ones', 'popular tools', 'permit location', 'one station', 'newly developed', 'methodological study', 'less used', 'groundwater exploration', 'granitic basement', 'geophysical parameters', 'fissured media', 'fissured dolomites', 'fissuration making', 'electrical profilings', 'efficient tools', 'digital storage', 'developing easy', 'crystalline basement', 'cost effective', 'conductive zones', 'burkina faso', 'borehole siting', 'automatic computation', 'apparent resistivity', 'anomalies obtained', '&amp;# x02022']</t>
  </si>
  <si>
    <t>Direct current electrical methods are among the most popular tools for groundwater exploration, in both porous and fissured media. In the case of fissured media, the areas most favourable to the presence of water are selected according to the minima of apparent resistivity values measured at the surface, the alteration and fissuration making the resistivity of rocksto decrease. VLF methods, which are less used than the previous ones because their depth of investigation is more limited, permit location of conductive zones through an electromagnetic induction process. In order to improve the groundwater field surveys as much as possible, BRGM has been developing easy-to-use instruments with automatic measurement process, automatic computation of geophysical parameters (apparent resistivity) and digital storage of data. Hence, SYSCAL-R1 and R2 resistivity meters and SYSCAL-VLF and T-VLF electromagnetic instruments have been designed. The newly developed T-VLF receiver has the advantage of not requiring any specific orientation of the operator with respect to the direction of the antenna. Several cases histories of groundwater exploration with electrical and VLF methods in fissured media are presented in various geological backgrounds: &amp;#x02022; - groundwater exploration in Botswana, in fissured dolomites, with resistivity maps (electrical profiling); &amp;#x02022; - village groundwater project in Burkina Faso, in crystalline basement, with resistivity profiling and VLF (tilt angle mode); &amp;#x02022; - village groundwater project in Togo, in crystalline basement, with resistivity mapping (gradient array); &amp;#x02022; - finally, methodological study in France, in a granitic basement, with the comparison of anomalies obtained by electrical profilings (one station and two station arrays) and by VLF profilings (in the tilt angle and in the resistivity modes). Although the rate of success cannot be guaranteed (which yield can be obtained for a given conductive anomaly?), the DC and VLF classical methods are efficient tools for borehole siting in groundwater exploration: the new measuring instruments should make them still more cost effective. ¬© 1991.</t>
  </si>
  <si>
    <t>81-91</t>
  </si>
  <si>
    <t>Geoexploration</t>
  </si>
  <si>
    <t>60004967;60004967</t>
  </si>
  <si>
    <t>7403164895;55346831900</t>
  </si>
  <si>
    <t>Bernard, J.;Valla, P.</t>
  </si>
  <si>
    <t>Orleans</t>
  </si>
  <si>
    <t>BRGM</t>
  </si>
  <si>
    <t>Bernard J.</t>
  </si>
  <si>
    <t>Groundwater exploration in fissured media with electrical and VLF methods</t>
  </si>
  <si>
    <t>10.1016/0016-7142(91)90016-6</t>
  </si>
  <si>
    <t>2-s2.0-0025920054</t>
  </si>
  <si>
    <t>['theoretically analyzed', 'sar patterns', 'relative phase', 'predicting optimization', 'paper discusses', 'lung regions', 'horn apa', 'effectively heating', 'computerized tomography', 'calculating e', 'apa system', 'amplitude control', 'amplitude changes', '200 mhz']</t>
  </si>
  <si>
    <t>This paper discusses a type of annular phased array system - H-Horn APA. The phase and amplitude control of power deposition patterns for this system are theoretically analyzed at a frequency of 200 MHz. The formulas for calculating E-field and SAR for this APA system are derived, and can be applied to other type APA systems. Models of computerized tomography (CT) scans from liver and lung regions have been used, respectively, for predicting optimization of E-field and SAR patterns in the case of the relative phase and amplitude changes. It is shown that the techniques of the phase and amplitude control of SAR patterns result in more selectively and effectively heating of tumors situated eccentrically and deeply within bodies of patients. The APA hyperthermia described in this paper shows great promise, and it looks very useful for developing clinical applications.</t>
  </si>
  <si>
    <t>60005465;60005465;60005465</t>
  </si>
  <si>
    <t>6507057021;57202124061;57197072355</t>
  </si>
  <si>
    <t>Tianquan, D.;Zheng, L.;Wei, R.</t>
  </si>
  <si>
    <t>Chengdu</t>
  </si>
  <si>
    <t>University of Electronic Science and Technology of China</t>
  </si>
  <si>
    <t>Tianquan D.</t>
  </si>
  <si>
    <t>Theoretical analysis of H-Horn annular phased array system for heating deep-seated tumors</t>
  </si>
  <si>
    <t>10.1080/08327823.1991.11688145</t>
  </si>
  <si>
    <t>2-s2.0-0025920111</t>
  </si>
  <si>
    <t>['‚ äòmeasurements', 'wiley blackwell', 'water measured', 'steel pipes', 'simple theory', 'scattered field', 'scattered amplitudes', 'rights reserved', 'relative values', 'relative amplitudes', 'reflected pulses', 'quantitative interpretation', 'pvc rods', 'pulses emitted', 'previous paper', 'present experiments', 'pipes varies', 'incident field', 'experimental results', 'electromagnetic properties', 'different depths', 'dielectric constant', 'described neatly', 'delft geotechnics', 'buried objects']</t>
  </si>
  <si>
    <t>At Delft Geotechnics the technique of ground‚Äêpenetrating radar is in use for the detection of buried objects such as pipes. In order to give our ‚Äòmeasurements in the field‚Äô a more quantitative interpretation, a series of experiments has been started under well‚Äêdefined conditions. A cylindrical vessel contains water, simulating wet soil. A pulsed transmitting antenna (TA) is mounted above the water‚Äêsurface irradiating horizontal underwater pipes. The reflected pulses are detected by a horizontal receiving dipole (AP, i.e. ‚Äòair‚Äêprobe‚Äô) in the air. The reflecting objects used in the experiments are steel pipes, PVC rods and hollow PVC pipes filled with air or water. The depth of the pipes varies from 0.25 to 2 m. The strength of the reflected pulse depends on the type of pipe, its diameter, its depth, the electromagnetic properties of the water and also on the strength and polarization of the incident E‚Äêfield. The latter is (mainly) parallel to the axis of the pipe in the present experiments. The experimental results have been compared with calculated results using the theory of a continuous plane wave, incident on an infinitely long cylinder in a homogeneous dielectric medium with the same dielectric constant as water. In a previous paper an experiment was described in which a movable receiving dipole in the water measured the transverse, mutually orthogonal E√∏‚Äê and EŒ∏‚Äêcomponents of the pulses emitted by the TA. The amplitudes of EŒ∏ versus depth, measured in that paper, are used in the calculations as amplitudes of the incident field. The attenuation of the scattered field is accounted for by assuming exponential damping. The relative amplitudes of the scattered field for different pipes lying at the same depth are reproduced very well by this simple theory. Also the relative values of the scattered amplitudes for a given pipe lying at different depths are described neatly, provided the refraction of the scattered field at the water‚Äêair interface is accounted for. Copyright ¬© 1991, Wiley Blackwell. All rights reserved</t>
  </si>
  <si>
    <t>543-566</t>
  </si>
  <si>
    <t>Geophysical Prospecting</t>
  </si>
  <si>
    <t>60030710;60030710;60030710</t>
  </si>
  <si>
    <t>36966879900;57206489071;56584432000</t>
  </si>
  <si>
    <t>WENSINK, W. A.;HOFMAN, J.;VAN DEEN, J. K.</t>
  </si>
  <si>
    <t>Delft</t>
  </si>
  <si>
    <t>GeoDelft - Delft Geotechnics</t>
  </si>
  <si>
    <t>WENSINK W.</t>
  </si>
  <si>
    <t>MEASURED REFLECTION STRENGTHS OF UNDERWATER PIPES IRRADIATED BY A PULSED HORIZONTAL DIPOLE IN AIR: COMPARISON WITH CONTINUOUS PLANE‚ÄêWAVE SCATTERING THEORY</t>
  </si>
  <si>
    <t>10.1111/j.1365-2478.1991.tb00327.x</t>
  </si>
  <si>
    <t>2-s2.0-0025920201</t>
  </si>
  <si>
    <t>['wilkes plateau', 'variable mispointing', 'surface topography', 'subsequent satellites', 'research needs', 'range measurements', 'probably resulting', 'orbit crossovers', 'orbit adjustment', 'likely explanation', 'leave errors', 'land surfaces', 'includes correction', 'important application', 'ice sheets', 'geosat antenna', 'francis ltd', 'error remaining', 'elevation differences', 'east antarctica', 'difference measurements', 'crossover residuals', 'best estimate', 'apparent change', 'antenna offpointing', 'altimeter measurements', '72 ¬∞', '30 cm', '2 0m']</t>
  </si>
  <si>
    <t>The monitoring of surface topography has frequently been cited as the most important application of the satellite radar altimeter over the ice sheets. The potential of the instrument in this respect is examined in detail using Seasat and Geosat altimeter data recorded over the Wilkes plateau in East Antarctica. The precision of the range measurements is optimized by the use of an improved retracking technique. However, although the r.m.s. precision of range measurements indicated at orbit crossovers, after orbit adjustment, is 20-30 cm, tilt and bias orbit adjustment techniques are shown to leave errors in the measurement of surface elevation change, with magnitudes of the order of tens of centimetres, depending on the location. Additional orbit error, which cannot be identified from crossover residuals, is almost certainly present in the difference measurements. Variable mispointing of the Geosat antenna is considered the most likely explanation for an apparent change in surface scattering properties which results in errors in the measurement of elevation differences, locally of the order of a metre. As a result of these two uncorrected sources of error remaining in the data, the best estimate for surface elevation change between 1978 and 1985, along a narrow strip 2748 km long at 72¬∞S, is + 105 m +2 0m. This includes correction for a -22 cm systematic bias in the Geosat range measurements, probably resulting from antenna offpointing. The results have implications for altimeter measurements of surface elevation change over all land surfaces, and indicate that much further research needs to be carried out to make full use of data from ERS-1 and subsequent satellites. ¬© 1991 Taylor &amp; Francis Ltd.</t>
  </si>
  <si>
    <t>585-609</t>
  </si>
  <si>
    <t>60084281;60084281;60084281</t>
  </si>
  <si>
    <t>6701616178;6602770157;7004227090</t>
  </si>
  <si>
    <t>Partington, K. C.;Cudlip, W.;Rapley, C. G.</t>
  </si>
  <si>
    <t>Holmbury St. Mary</t>
  </si>
  <si>
    <t>UCL Mullard Space Science Laboratory</t>
  </si>
  <si>
    <t>Partington K.C.</t>
  </si>
  <si>
    <t>An assessment of the capability of the satellite radar altimeter for measuring ice sheet topographic change</t>
  </si>
  <si>
    <t>10.1080/01431169108929674</t>
  </si>
  <si>
    <t>2-s2.0-0025920287</t>
  </si>
  <si>
    <t>['tested image', 'test site', 'scaling factor', 'rcs ),', 'range direction', 'range dependence', 'radiometric correction', 'radar equation', 'paper addresses', 'oltrepo pavese', 'near range', 'future work', 'francis ltd', 'first approach', 'extended targets', 'calibration experiment', 'antenna gain', 'analytically reproduced', 'absolute calibration']</t>
  </si>
  <si>
    <t>This paper addresses the radiometric correction and the absolute calibration of the Varan-S X-band SAR slant range images of a scene in the Oltrepo Pavese (Italy) test site. In order to offer a further possibility, as compared with extended targets, a calibration experiment was pursued by deploying thirty trihedral corner reflectors (CR) on that test site. As a first approach, the nominal antenna elevation gain pattern was analytically reproduced, to be used in the radar equation. The CR‚Äôs responses, with their known radar cross-sections (RCS), were used to determine the scaling factor for each tested image. Then a radiometric correction was applied in the range direction, taking into account the antenna gain and the range dependence. The resulting gamma profiles, from far to near range, are discussed and recommendations for future work are given. ¬© 1991 Taylor &amp; Francis Ltd.</t>
  </si>
  <si>
    <t>511-526</t>
  </si>
  <si>
    <t>100338805;60022778</t>
  </si>
  <si>
    <t>57199642907;6507977280</t>
  </si>
  <si>
    <t>Zicarelli, M.;Conenna, P.</t>
  </si>
  <si>
    <t>Italy;Italy</t>
  </si>
  <si>
    <t>Bari;Naples</t>
  </si>
  <si>
    <t>Universit√† degli studi di Bari Aldo Moro;Istituto Universitario Navale</t>
  </si>
  <si>
    <t>60022778;100338805</t>
  </si>
  <si>
    <t>Zicarelli M.</t>
  </si>
  <si>
    <t>Airborne varan-S X-band SAR data radiometric analysis</t>
  </si>
  <si>
    <t>10.1080/01431169108929669</t>
  </si>
  <si>
    <t>2-s2.0-0025920288</t>
  </si>
  <si>
    <t>University of Sheffield</t>
  </si>
  <si>
    <t>['two channels', 'test site', 'temporal variation', 'statistical homogeneity', 'standard product', 'sound basis', 'slant range', 'require assumptions', 'range interpolation', 'radiometric distortion', 'provide information', 'offsets cannot', 'interpolated pixels', 'image data', 'image comparison', 'image calibration', 'growing crops', 'ground range', 'ground cover', 'francis ltd', 'estimated reliably', 'effects due', 'complex data', 'comparatively straightforward', 'azimuth direction', 'antenna pattern', 'angular variation', 'amplitude data']</t>
  </si>
  <si>
    <t>The AgriSAR ‚Äô86 data set for the Feltwell, U.K. test site is assessed for its ability to provide information on the spatial and temporal variation of backscatter from growing crops. The image data is shown to contain several sources of radiometric distortion which affect any attempt at image calibration. Of these, the simplest to correct is that caused by range interpolation in the amplitude data. All interpolated pixels should be discarded from the amplitude data supplied by CNES. Correction from slant range to ground range is comparatively straightforward, Effects due to variations in antenna pattern, in the range and azimuth direction, require assumptions about the angular variation of the backscatter of crops and statistical homogeneity of ground cover before they can be removed. The properties of system noise appear complicated and are not yet properly characterized, but interfere with corrections for the antenna pattern. Offsets in the two channels of the complex data also interfere adversely with antenna pattern corrections. The size of these offsets cannot be estimated reliably from the AgriSAR amplitude data, and complex data should be supplied as a standard product. No sound basis for inter-image comparison has been found. ¬© 1991 Taylor &amp; Francis Ltd.</t>
  </si>
  <si>
    <t>277-302</t>
  </si>
  <si>
    <t>60001881;60001881-60028775;60103695;60103695;60103695</t>
  </si>
  <si>
    <t>7006499360;55675222905;6601984702;7007182186;7005291501</t>
  </si>
  <si>
    <t>Quegan, S.;Yanasse, C.;De Groof, H.;Churchill, P. N.;Sieber, A. J.</t>
  </si>
  <si>
    <t>Belgium;Brazil;United Kingdom</t>
  </si>
  <si>
    <t>Brussels;Brasilia;Sheffield</t>
  </si>
  <si>
    <t>European Commission Joint Research Centre;Conselho Nacional de Desenvolvimento Cientifico E Tecnologico Cnpq;The University of Sheffield</t>
  </si>
  <si>
    <t>60103695;60028775;60001881</t>
  </si>
  <si>
    <t>Quegan S.</t>
  </si>
  <si>
    <t>The radiometric quality of agriSAR data</t>
  </si>
  <si>
    <t>10.1080/01431169108929652</t>
  </si>
  <si>
    <t>2-s2.0-0025925631</t>
  </si>
  <si>
    <t>['selective excitation', 'noise immunity']</t>
  </si>
  <si>
    <t>The possibility of increasing the noise immunity of data transmission along an ionospheric communications channel by selective excitation of only one characteristic wave is examined.</t>
  </si>
  <si>
    <t>46-48</t>
  </si>
  <si>
    <t>Telecommunications and Radio Engineering (English translation of Elektrosvyaz and Radiotekhnika)</t>
  </si>
  <si>
    <t>6506313739;7004391295</t>
  </si>
  <si>
    <t>Aref'yeva, L. N.;Berezin, Yu V.</t>
  </si>
  <si>
    <t>Aref'yeva L.</t>
  </si>
  <si>
    <t>Selective polarization excitation of waves in an ionospheric communications channel</t>
  </si>
  <si>
    <t>2-s2.0-0025926562</t>
  </si>
  <si>
    <t>['requirements imposed', 'reduced considerably', 'radiation pattern', 'phase distortions', 'pattern formed', 'insignificant distortion', 'forming processor', 'digital manner', 'considered .)']</t>
  </si>
  <si>
    <t>Algorithms for shaping the radiation pattern (RP) of a digital antenna array, which enable the requirements imposed on the pattern-forming processor to be reduced considerably are considered. It is shown that the proposed algorithms cause only an insignificant distortion of the characteristics of the pattern formed in a digital manner. (Algorithms for the adaptation and compensation of amplitude-phase distortions, not associated with the pattern-forming processor, are not considered.)</t>
  </si>
  <si>
    <t>110-112</t>
  </si>
  <si>
    <t>6506802466;6505993913;57198253940</t>
  </si>
  <si>
    <t>Lemanskiy, A. A.;Mityashev, M. B.;Rabinovich, V. S.</t>
  </si>
  <si>
    <t>Lemanskiy A.</t>
  </si>
  <si>
    <t>Simplified algorithms for shaping the radiation pattern of a digital antenna array</t>
  </si>
  <si>
    <t>2-s2.0-0025926568</t>
  </si>
  <si>
    <t>['wave antenna', 'receiving decameter', 'directional properties', 'broadband traveling']</t>
  </si>
  <si>
    <t>A method of improving the directional properties of a broadband traveling-wave antenna for receiving decameter-band radio waves is considered.</t>
  </si>
  <si>
    <t>106-109</t>
  </si>
  <si>
    <t>7003580445;7801690244</t>
  </si>
  <si>
    <t>Yatskevich, V. A.;Polevikov, Yu M.</t>
  </si>
  <si>
    <t>Yatskevich V.</t>
  </si>
  <si>
    <t>Traveling-wave antenna with improved directivity</t>
  </si>
  <si>
    <t>2-s2.0-0025926832</t>
  </si>
  <si>
    <t>[]</t>
  </si>
  <si>
    <t>The results of an investigation of the characteristics of an ultrabroadband microwave antenna are presented.</t>
  </si>
  <si>
    <t>113-115</t>
  </si>
  <si>
    <t>7004283338;6701371017</t>
  </si>
  <si>
    <t>Kolobov, V. A.;Polukhin, G. A.</t>
  </si>
  <si>
    <t>Kolobov V.</t>
  </si>
  <si>
    <t>Ultrabroadband microwave antenna</t>
  </si>
  <si>
    <t>2-s2.0-0025926833</t>
  </si>
  <si>
    <t>['radio pulses']</t>
  </si>
  <si>
    <t>An expression is obtained for calculating the directivity of aperture antennas emitting nonsinusoidal signals. Formulas are given for the directivity of aperture antennas emitting certain types of radio pulses.</t>
  </si>
  <si>
    <t>116-118</t>
  </si>
  <si>
    <t>57197937445;6602313999</t>
  </si>
  <si>
    <t>Zernov, N. V.;Merkulov, G. V.</t>
  </si>
  <si>
    <t>Zernov N.</t>
  </si>
  <si>
    <t>Power characteristics of aperture antennas emitting nonsinusoidal waves</t>
  </si>
  <si>
    <t>2-s2.0-0025926981</t>
  </si>
  <si>
    <t>['optimum number', 'maximum corresponds', 'helix angle', 'certain angle']</t>
  </si>
  <si>
    <t>The dependence of the gain on the helix angle and the number of turns of the helix is obtained. It is shown that the optimum number of turns for which the gain is maximum corresponds to a certain angle. The maximum subdivision region for satisfactory calculation accuracy is estimated and a method is described that leads to a reduction in the required computer time.</t>
  </si>
  <si>
    <t>134-135</t>
  </si>
  <si>
    <t>6603750862;6506632764</t>
  </si>
  <si>
    <t>Samusenko, A. I.;Prigoda, B. A.</t>
  </si>
  <si>
    <t>Samusenko A.</t>
  </si>
  <si>
    <t>Maximum gain of cylindrical helical antennas</t>
  </si>
  <si>
    <t>2-s2.0-0025927122</t>
  </si>
  <si>
    <t>['radar systems', 'isophase substitution']</t>
  </si>
  <si>
    <t>An estimate is obtained for the drop in the efficiency of moving-target selection devices of radar systems with discretely phased antenna arrays in the case when an isophase substitution is introduced to increase the accuracy of angular coordinate measurements.</t>
  </si>
  <si>
    <t>122-124</t>
  </si>
  <si>
    <t>57197946916;6701329352</t>
  </si>
  <si>
    <t>Abramov, A. A.;Chernyakov, M. S.</t>
  </si>
  <si>
    <t>Abramov A.</t>
  </si>
  <si>
    <t>Effect of isophase substitution on the characteristics of a radar system with a phased antenna array</t>
  </si>
  <si>
    <t>2-s2.0-0025927502</t>
  </si>
  <si>
    <t>['wiley blackwell', 'wild type', 'tyr ).', 'structural effects', 'strongly influenced', 'spectral effects', 'rights reserved', 'rhodobacter capsulatus', 'resulting phenotypes', 'reaction center', 'pigment ratio', 'phototrophic growth', 'obtain information', 'high rate', 'greatest extent', 'generally observed', 'functional role', 'fluorescence intensities', 'core complex', 'core antenna', 'chemotrophically grown', 'carotenoid content', 'although conditions', 'absorption maximum', 'absorption maxima', 'absorption coefficient', 'abnormal protein', '18 mutants']</t>
  </si>
  <si>
    <t>To obtain information on the structural and functional role of highly conserved amino acid residues in the B870 Œ± and Œ≤ light‚Äêharvesting polypeptides of Rhodobacter capsulatus, site‚Äêdirected mutagenesis was performed. 18 mutants with single amino acid substitutions at nine different positions in the B870 antenna polypeptides were prepared in a B800‚Äì850‚Äêlacking strain. The characterization of the resulting phenotypes was based on a quantification of the core‚Äêcomplex elements (reaction center, light‚Äêharvesting polypeptides, bacteriochlorophyll a and carotenoid) and the core‚Äêcomplex spectral characteristics (absorption maximum, absorption coefficient and fluorescence intensity). These data generally showed that strong structural effects were caused by the amino acid substitutions. Thus, the three tryptophan exchanges at the position Œ±8 resulted in either the absence of a core complex (Œ±Trp8‚ÜíLeu), the absence of the core antenna (Œ±Trp8‚ÜíAla) or a reduction in the carotenoid content (Œ±Trp8‚ÜíTyr). Likewise, the mutants Œ±Pro13Gly (i.e. Œ±Pro13‚ÜíGly), Œ≤Gly10Val and Œ±Phe23Ala demonstrated an abnormal protein/pigment ratio in the core antenna, while a drastically reduced antenna size resulted from the amino acid exchange Œ≤Arg45Asp. In contrast to the structural effects, the absorption maxima and the fluorescence intensities of the mutant antennae differed only slightly from the wild type. The strongest blue shift of the bacteriochlorophyll a (8 ‚Äì 11 nm) was induced by substitutions of the Trp at position Œ±43 (Œ±Trp43‚ÜíAla, Leu or Tyr). Contrary to the other spectral effects, the absorption coefficient of bacteriochlorophyll a was strongly influenced by the amino acid substitutions and varied by 1.6‚Äêtimes less (Œ≤Arg45Asp) and 1.3‚Äêtimes greater (Œ±Phe25Ala) than normal. The antenna‚Äêfree mutant, Œ±Trp8Ala, yielded a high rate of B800‚Äê850 revertants during phototrophic growth, indicating a direct energy transfer from the B800‚Äì850 antenna to the reaction center in these strains. Although conditions for growth were generally observed to influence phenotypic expression, the structural as well as spectral effects were demonstrated to differ to the greatest extent between chemotrophically grown and phototrophically grown cells. Copyright ¬© 1991, Wiley Blackwell. All rights reserved</t>
  </si>
  <si>
    <t>277-284</t>
  </si>
  <si>
    <t>European Journal of Biochemistry</t>
  </si>
  <si>
    <t>60025858;60025858;60025858;60025858;60025858</t>
  </si>
  <si>
    <t>6701732378;7202281495;55302720900;6603669964;7006345218</t>
  </si>
  <si>
    <t>BABST, Markus;ALBRECHT, Hugo;WEGMANN, Ines;BRUNISHOLZ, Ren√©;ZUBER, Herbert</t>
  </si>
  <si>
    <t>Switzerland</t>
  </si>
  <si>
    <t>Zurich ZH,</t>
  </si>
  <si>
    <t>ETH Zurich</t>
  </si>
  <si>
    <t>BABST M.</t>
  </si>
  <si>
    <t>Single amino acid substitutions in the B870 Œ± and Œ≤ light‚Äêharvesting polypeptides of Rhodobacter capsulatus Structural and spectral effects</t>
  </si>
  <si>
    <t>10.1111/j.1432-1033.1991.tb16373.x</t>
  </si>
  <si>
    <t>2-s2.0-0025931488</t>
  </si>
  <si>
    <t>['¬© 1991', 'three types', 'three cells', 'electrophysiological responses', 'compared across']</t>
  </si>
  <si>
    <t>1. 1. Electrophysiological responses to NaCl, sucrose, and a complex mixture containing NaCl, glucose, fructose, phenylalanine and valine were obtained from large, medium, and small hair sensilla on the proboscis of the fleshfly Sarcophaga bullata. 2. 2. Responses from up to three cells in each sensillum were analysed and compared across the three types of sensilla. 3. 3. We found qualitative differences in the patterns of responses from the different hair types. ¬© 1991.</t>
  </si>
  <si>
    <t>681-687</t>
  </si>
  <si>
    <t>60033154;60016849;60030835;60006832</t>
  </si>
  <si>
    <t>7103056489;15751402200;7401949909;16424002600</t>
  </si>
  <si>
    <t>Albert, P. J.;Smith, J. J.B.;mitchell, B. K.;Whitehead, A. T.</t>
  </si>
  <si>
    <t>Canada;Canada;Canada;United States</t>
  </si>
  <si>
    <t>Montreal;Edmonton;Toronto;Provo</t>
  </si>
  <si>
    <t>Concordia University;University of Alberta;University of Toronto;Brigham Young University</t>
  </si>
  <si>
    <t>60033154;60030835;60016849;60006832</t>
  </si>
  <si>
    <t>Albert P.J.</t>
  </si>
  <si>
    <t>Differences in response patterns of labellar chemosensilla of the fleshfly Sarcophaga bullata</t>
  </si>
  <si>
    <t>030096299190389T</t>
  </si>
  <si>
    <t>10.1016/0300-9629(91)90389-T</t>
  </si>
  <si>
    <t>2-s2.0-0025943613</t>
  </si>
  <si>
    <t>National Center for Research Resources</t>
  </si>
  <si>
    <t>S10RR005554</t>
  </si>
  <si>
    <t>NCRR</t>
  </si>
  <si>
    <t>['¬© 1991', 'sequences compared', 'relative organization', 'missing n', 'major light', 'lhc iib', 'ii genes', 'higher plants', 'harvesting complex', 'first 9', 'distinctly different', 'closely related', 'binding apoproteins', '25 kda']</t>
  </si>
  <si>
    <t>Arabidopsis thaliana | Light-harvesting pigment-protein complex | Membrane protein | Photosynthesis | Protein sequencing | scab gene</t>
  </si>
  <si>
    <t>The major light-harvesting complex in higher plants is LHC IIb. The LHC IIb of Arabidopsis thaliana contains 2 pigment-binding apoproteins of 28 and 25 kDa. To determine the relationship between them and the LHC IIb gene family members, each protein was purified to homogeneity, subjected to direct protein sequencing, and the sequences compared with those deduced from LHC IIb genes in this organism. The 28 kDa protein is the product of Type I LHC IIb genes. The 25 kDa LHC IIb component is distinctly different from the 28 kDa LHC IIb protein, and is more closely related to the type III LHC IIb gene product of barley. Type III gene products lack the first 9-11 residues found in proteins of the Type I and II genes, a region that contains a phosphorylatable threonine residue. The lack of the N-terminal residues explains why this LHC IIb apoprotein has never been seen to be phosphorylated, and partly or wholly why it is smaller. The implication of the missing N-terminus on uptake of LHC II precursor proteins into the plastid and of the relative organization of the LHC IIb subunits in the PS II antenna is discussed. ¬© 1991.</t>
  </si>
  <si>
    <t>183-187</t>
  </si>
  <si>
    <t>FEBS Letters</t>
  </si>
  <si>
    <t>60027550;60027550</t>
  </si>
  <si>
    <t>6603155155;7004524029</t>
  </si>
  <si>
    <t>Morishige, Daryl T.;Thornber, J. Philip</t>
  </si>
  <si>
    <t>Morishige D.T.</t>
  </si>
  <si>
    <t>Correlation of apoproteins with the genes of the major chlorophyll a/b binding protein of photosystem II in Arabidopsis thaliana Confirmation for the presence of a third member of the LHC IIb gene family</t>
  </si>
  <si>
    <t>0014-5793(91)81182-8</t>
  </si>
  <si>
    <t>10.1016/0014-5793(91)81182-8</t>
  </si>
  <si>
    <t>2-s2.0-0025949704</t>
  </si>
  <si>
    <t>['tracking error', 'theoretical prediction', 'scanning angle', 'receiving frequencies', 'geostationary satellite', 'effective method']</t>
  </si>
  <si>
    <t>The tracking error of a phased array antenna between transmitting and receiving frequencies was measured by inflight experiments using a geostationary satellite. The tracking error was found to depend on beam-scanning angle and the ratio of transmitting and receiving frequencies. Measured results agreed well with a theoretical prediction. An effective method to eliminate the tracking error is proposed. ¬© 1991 IEEE</t>
  </si>
  <si>
    <t>80-82</t>
  </si>
  <si>
    <t>0018926X</t>
  </si>
  <si>
    <t>IEEE Transactions on Antennas and Propagation</t>
  </si>
  <si>
    <t>60092258;60092258;60011362</t>
  </si>
  <si>
    <t>35560533200;36950526800;7202193386</t>
  </si>
  <si>
    <t>Ohmori, Shingo;Taira, Shinichi;Austin, Michael W.</t>
  </si>
  <si>
    <t>Japan;Australia</t>
  </si>
  <si>
    <t>Koganei;Melbourne</t>
  </si>
  <si>
    <t>Ministry of Posts and Telecommunications, Japan;RMIT University</t>
  </si>
  <si>
    <t>60092258;60011362</t>
  </si>
  <si>
    <t>Ohmori S.</t>
  </si>
  <si>
    <t>Tracking Error of Phased Array Antenna</t>
  </si>
  <si>
    <t>10.1109/8.64439</t>
  </si>
  <si>
    <t>2-s2.0-0025953254</t>
  </si>
  <si>
    <t>['state device', 'spiral antennas', 'solidstate device', 'single structure', 'power transmitter', 'planar antenna', 'parabolic reflector', 'microwave model', 'matched directly', 'integrated millimeter', 'integrated antenna', 'imaging arrangement', 'high gain', 'high f', 'fundamental unit', 'frequency multiplier', 'first part', 'filled parabola', 'fabrication details', 'beam pattern']</t>
  </si>
  <si>
    <t>A design is presented for a semi-integrated millimeter/submillimeter wavelength receiver/transmitter front end incorporating a planar antenna and a solid-state device in an efficient feed structure which can be matched directly to high f-number optical systems. The new feed system combines the simplicity and robustness of a dielectric substrate lens with the high gain of a parabolic reflector in a single structure that we have termed a dielectric-filled parabola. The same fundamental unit can be configured as either a heterodyne or direct detection mode receiver, a power transmitter or a frequency multiplier by changing out the solidstate device and/or the integrated antenna. The structure can also be used with a small integrated antenna array in a multibeam or imaging arrangement. In the first part of the paper, design and fabrication details for the new feed system are given. These are followed by beam pattern and impedance measurements taken on a microwave model when dipole, bow-tie, log-periodic and log-spiral antennas are used as the integrated feed elements. ¬© 1991 IEEE</t>
  </si>
  <si>
    <t>40-47</t>
  </si>
  <si>
    <t>60009037;60009037</t>
  </si>
  <si>
    <t>35549804700;7102319880</t>
  </si>
  <si>
    <t>Siegel, Peter H.;Dengler, Robert J.</t>
  </si>
  <si>
    <t>Siegel P.H.</t>
  </si>
  <si>
    <t>The Dielectric-Filled Parabola: A New Millimeter/Submillimeter Wavelength Receiver/Transmitter Front End</t>
  </si>
  <si>
    <t>10.1109/8.64433</t>
  </si>
  <si>
    <t>2-s2.0-0025956475</t>
  </si>
  <si>
    <t>['results derived', 'presented method', 'measured results', 'integral equation', 'input impedances', 'excitation terms', 'current distributions', 'current distribution', 'computed recursively', 'calculated values', 'arbitrary length']</t>
  </si>
  <si>
    <t>A method for the analysis of the coaxial collinear antenna made of transposed coaxial sections of arbitrary length is presented. In this paper, the excitation terms of the integral equation for the current distribution of this antenna are expressed by using a known impressed voltage, and these are computed recursively by computer. Calculated values of current distributions and input impedances are found to agree with measured results, and the validity of the presented method is confirmed. The results derived here are available for the design of the coaxial collinear antennas of any configuration. ¬© 1991 IEEE</t>
  </si>
  <si>
    <t>15-20</t>
  </si>
  <si>
    <t>60019983;60019983</t>
  </si>
  <si>
    <t>6603068221;35608208100</t>
  </si>
  <si>
    <t>Sakitani, Akihide;Egashira, Shigeru</t>
  </si>
  <si>
    <t>Saga</t>
  </si>
  <si>
    <t>Saga University</t>
  </si>
  <si>
    <t>Sakitani A.</t>
  </si>
  <si>
    <t>Analysis of Coaxial Collinear Antenna: Recurrence Formula of Voltages And Admittances at Connections</t>
  </si>
  <si>
    <t>10.1109/8.64429</t>
  </si>
  <si>
    <t>2-s2.0-0025956476</t>
  </si>
  <si>
    <t>U.S. Air Force</t>
  </si>
  <si>
    <t>USAF</t>
  </si>
  <si>
    <t>['¬© 1991', 'uniaxial substrates', 'substrate anisotropy', 'rigorous full', 'results show', 'printed antennas', 'permeability tensors', 'nine components', 'infinite arrays', 'greatly affected', 'fed patches', 'changed dynamically', 'analysis adopts', 'also found']</t>
  </si>
  <si>
    <t>An analysis of infinite arrays of printed antennas on generalized anisotropic substrates is presented. Antenna elements studied include microstrip dipoles and probe-fed patches. In the analysis, the substrate anisotropy is general in form, with nine components in both the permittivity and permeability tensors. This allows the study of uniaxial substrates with tilted optical axis or the biased ferrite substrate. The analysis adopts a rigorous full-wave moment method. Numerical results show that by neglecting substrate anisotropy, the performance of printed antennas may be greatly affected. Results show that it is possible to improve the input impedance match by employing biased ferrite substrates. It is also found that the antenna characteristics may be changed dynamically by varying the bias magnetic fields. ¬© 1991 by Hemisphere Publishing Corporation.</t>
  </si>
  <si>
    <t>107-124</t>
  </si>
  <si>
    <t>January-March 1991</t>
  </si>
  <si>
    <t>115569186;115569186</t>
  </si>
  <si>
    <t>7406565241;7004064046</t>
  </si>
  <si>
    <t>Yang, Hung Yu;Castaneda, Jesse A.</t>
  </si>
  <si>
    <t>Santa Monica</t>
  </si>
  <si>
    <t>Phraxos Research and Development Inc</t>
  </si>
  <si>
    <t>Yang H.</t>
  </si>
  <si>
    <t>Infinite phased arrays of microstrip antennas on generalized anisotropic substrates</t>
  </si>
  <si>
    <t>10.1080/02726349108908266</t>
  </si>
  <si>
    <t>2-s2.0-0025957933</t>
  </si>
  <si>
    <t>['¬© 1991', 'wave solutions', 'versatile solution', 'paper focuses', 'literature recently', 'great deal', 'general features', 'fed patches', 'cover layer', 'array performance', '25 ],']</t>
  </si>
  <si>
    <t>Full-wave solutions for probe-fed microstrip patch antennas and arrays have been receiving a great deal of attention in the literature recently [1-25], In this article, we review previous solutions and their limitations, and describe a very accurate and versatile solution that has been developed by the authors. Applications of our approach to several specific geometries have appeared [20-24] or will appear [25] in the literature. Therefore, this paper focuses on the general features of our technique and its relationship to other approaches. In particular, we discuss infinite phased arrays of probe-fed patches in detail, and give results showing the effect of a cover layer on array performance. ¬© 1991 by Hemisphere Publishing Corporation.</t>
  </si>
  <si>
    <t>21-46</t>
  </si>
  <si>
    <t>Herd, Jeffrey S.</t>
  </si>
  <si>
    <t>Rome Air Development Center</t>
  </si>
  <si>
    <t>Herd J.S.</t>
  </si>
  <si>
    <t>Full wave analysis of proximity coupled rectangular microstrip antenna arrays</t>
  </si>
  <si>
    <t>10.1080/02726349108908262</t>
  </si>
  <si>
    <t>2-s2.0-0025958523</t>
  </si>
  <si>
    <t>['trial manufacturing', 'shot mechanism', 'satellite equipment', 'mechanism operation', 'lubrication components', 'latch pin', 'friction torque', 'first defined', 'experimental results', 'experimental method', 'estimating device', 'driving torque', 'deployment mechanism', 'deployment efficiency', 'communication satellite', 'antenna deployment', 'analytical method']</t>
  </si>
  <si>
    <t>In this article a method is proposed for evaluating the reliability of the one-shot mechanism for satellite equipment. The method was adopted for testing spherical bearings and the latch pin-slider unit used as lubrication components and the spring-driven mechanism used for antenna deployment on a communication satellite. An experimental method was first defined for evaluating each component while considering the conditions of the mechanism operation. A trial manufacturing of the estimating device was then made and the estimation of the lubrication components characteristics was conducted. Using the results of the lubrication components' estimation the analysis of antenna deployment mechanism performance was made. The deployment efficiency was tested in air and vacuum. The validity of the method for lubrication components' estimation and the analytical method were verified against the experimental results. The reliability of the deployment mechanism was estimated from the distribution of the friction torque and the driving torque. (A)</t>
  </si>
  <si>
    <t>765-778</t>
  </si>
  <si>
    <t>JAPANESE J. TRIBOLOGY</t>
  </si>
  <si>
    <t>56021726700;55835393000;57206880232</t>
  </si>
  <si>
    <t>Miyake, S.;Misawa, M.;Hirano, M.</t>
  </si>
  <si>
    <t>Miyake S.</t>
  </si>
  <si>
    <t>Studies on the evaluation of lubrication parts applied to an antenna deployment mechanism for use on communication satellites</t>
  </si>
  <si>
    <t>2-s2.0-0025965869</t>
  </si>
  <si>
    <t>['various hot', 'used alone', 'source techniques', 'several groups', 'rights reserved', 'microwave antennas', 'investigate whether', 'interstitial hyperthermia', 'hot sources', 'electrode spacing', 'blood flow']</t>
  </si>
  <si>
    <t>Hot-source heating | Interstitial hyperthermia | Localized current field heating</t>
  </si>
  <si>
    <t>Interstitial hyperthermia techniques have been developed by several groups for use in a number of sites, especially those for which brachytherapy is to be given. Three basic methods have been developed for interstitial hyperthermia, namely: local current fields, microwave antennas and various hot-source techniques. In this paper a numerical study comparing two of these techniques (local current fields and hot sources) is carried out to investigate whether any improvement can be gained by combining them. It is found that both methods are sensitive to inter-electrode spacing and to blood flow, and become less able to produce adequate temperature distributions as these parameters are increased. By controlling the temperature of the electrodes it is shown that more uniform temperature distributions can be obtained over those obtained when the localized current field technique is used alone. ¬© 1991 Informa UK Ltd All rights reserved: reproduction in whole or part not permitted.</t>
  </si>
  <si>
    <t>131-140</t>
  </si>
  <si>
    <t>Prior, M. V.</t>
  </si>
  <si>
    <t>Hammersmith Hospital</t>
  </si>
  <si>
    <t>Prior M.</t>
  </si>
  <si>
    <t>A comparative study of RF-LCF and hot-source interstitial hyperthermia techniques</t>
  </si>
  <si>
    <t>10.3109/02656739109004984</t>
  </si>
  <si>
    <t>2-s2.0-0025967979</t>
  </si>
  <si>
    <t>['¬© 1991', 'usually carried', 'two beams', 'sum network', 'substantial amount', 'signals derived', 'signal direction', 'signal component', 'signal beam', 'second beam', 'rights reserved', 'processed output', 'paper considers', 'optimized performance', 'one beam', 'interference channel', 'interference beam', 'frequency bin', 'fixed weights', 'fixed response', 'fdpic maintains', 'domain structure', 'antenna array', 'acoustical society']</t>
  </si>
  <si>
    <t>A postbeamformer interference canceler (PIC) is a beam space processor that processes the signals derived from an antenna array by forming two beams using fixed beamforming weights. One beam, referred to as the signal beam, is formed to have a fixed response in the known signal direction. The processed output of the second beam, referred to as the interference beam, is subtracted from the output of the signal beam to form the output of the PIC. In the presence of broadband directional sources, the formation of a beam is usually carried out by a set of steering delays followed by a weight and sum network. For this case, the processing of the interference beam output is carried out by a tapped delay line filter. When the two beams of the PIC are formed using conventional weights and the tapped delay line filter weights are adjusted to minimize the mean output power of the PIC, a substantial amount of the signal gets suppressed. It is due to the presence of signal component in the interference channel. This paper considers a frequency domain structure of the PIC (FDPIC) in the presence of broadband directional sources; derives conditions required for the performance of the FDPIC to be equal to the performance of the time-domain structure of the PIC (TDPIC); presents an algorithm to calculate the fixed weights of the two beams at each frequency bin such that the FDPIC maintains a specified frequency response in the signal direction and its optimized performance is better than that of the TDPIC using conventional beam weights; and suggests a scheme to select a gradient step size, which allows the misadjustment of the convergence time constant of the iterative gradient algorithm to be specified. ¬© 1991, Acoustical Society of America. All rights reserved.</t>
  </si>
  <si>
    <t>266-273</t>
  </si>
  <si>
    <t>Adaptive postbeamformer interference canceler with improved performance in the presence of broadband directional sources</t>
  </si>
  <si>
    <t>10.1121/1.400509</t>
  </si>
  <si>
    <t>2-s2.0-0025970687</t>
  </si>
  <si>
    <t>['useful tool', 'transduction processes', 'transduction process', 'time course', 'stimulus concentration', 'stimulation duration', 'small enough', 'rise time', 'response appears', 'quantitative study', 'olfactory sense', 'odorous stimulation', 'odorant displays', 'obtaining mutants', 'normal amplitude', 'maximum value', 'maximal amplitude', 'increasing concentrations', 'fact combined', 'ethyl acetate', 'eag parameters', 'directly correlated', 'describing kinetics', 'defective step', 'behavioral mutant', 'abnormal kinetics']</t>
  </si>
  <si>
    <t>Amplitude as well as time course of the electroantennogram (EAG) in Drosophila has been used for describing electrical changes produced in the antenna in response to odorous stimulation. Maximal amplitude of response appears to be directly correlated to stimulus concentration but, after achieving a maximum value, is independent of stimulation duration. Rise time and fall time constants have been quantified for describing kinetics of response. The rise time constant decreases, but the fall time constant increases when increasing concentrations of odorant are supplied. Variation among individuals for these EAG parameters is small enough to uncover even partial defects affecting the first sensory step. This fact combined with the possibility of obtaining mutants with defects in any intermediate process producing the electrical response makes the EAG of Drosophila a very useful tool for dissecting the components of the capture and transduction processes in the olfactory sense. This kind of quantitative study of the EAG has been used in a new Drosophila mutant, od A, for localizing peripheral expression of the mutation. od A has been isolated as a behavioral mutant with an abnormally enhanced olfactory response to ethyl acetate. The mutant's EAG in response to this odorant displays a normal amplitude but abnormal kinetics. Rise time as well as fall time show slower kinetics than normal, suggesting some defective step in the capture and transduction process.</t>
  </si>
  <si>
    <t>702-714</t>
  </si>
  <si>
    <t>Alcorta, E.</t>
  </si>
  <si>
    <t>Alcorta E.</t>
  </si>
  <si>
    <t>Characterization of the electroantennogram in Drosophila melanogaster and its use for identifying olfactory capture and transduction mutants</t>
  </si>
  <si>
    <t>10.1152/jn.1991.65.3.702</t>
  </si>
  <si>
    <t>2-s2.0-0025978643</t>
  </si>
  <si>
    <t>['variable extent', 'rhodospirillum rubrum', 'monomer transition', 'mild extraction', 'membrane vesicles', 'light petroleum', 'fine structure', 'dimeric organization', 'degenerate interactions', 'chirality resulting', 'carotenoids increased', 'carotenoid pigments', 'carotenoid content', 'bound pigment', 'absorption band']</t>
  </si>
  <si>
    <t>The carotenoid content of intracytoplasmic membrane vesicles isolated from purple phototrophic bacteria was reduced to a variable extent by mild extraction with light petroleum. Using preparations obtained from Rhodobacter capsulatas strains that contained the Light Harvesting System I (LHI) complex as the only major photosynthetic holochrome, it was shown that the visible circular dichroism of the carotenoids increased with the square of the membrane carotenoid content, as expected from being caused by dimeric exciton interaction. No chirality resulting from twists of the individual planar chromophore was detected. Therefore the contribution to carotenoid optical activity of non-degenerate interactions with bacteriochlorophyll or the apoprotein does not appear to be significant. The broadening of the absorption band of the bound pigment, caused by the splitting of the monomer transition, was demonstrated in membrane vesicles of both Rb. capsulatus and Rhodospirillum rubrum as a decrease of the fine structure of the band. Furthermore, the dimeric organization of the carotenoid pigments in the bacterial LHI complex accounted for the observed quantitative relationship between the fine structure of the band and the carotenoid content of the membrane.</t>
  </si>
  <si>
    <t>881-884</t>
  </si>
  <si>
    <t>60009305;60009305;60009305;60009305</t>
  </si>
  <si>
    <t>55931585300;7102198413;16071843800;24434990900</t>
  </si>
  <si>
    <t>Zurdo, J.;Lozano, R. M.;Fernandez-Cabrera, C.;Ramirez, J. M.</t>
  </si>
  <si>
    <t>Spain</t>
  </si>
  <si>
    <t>Madrid</t>
  </si>
  <si>
    <t>CSIC - Centro de Investigaciones Biol√≥gicas Margarita Salas (CIB)</t>
  </si>
  <si>
    <t>Zurdo J.</t>
  </si>
  <si>
    <t>Dimeric carotenoid interaction in the light-harvesting antenna of purple phototrophic bacteria</t>
  </si>
  <si>
    <t>10.1042/bj2740881</t>
  </si>
  <si>
    <t>2-s2.0-0025979238</t>
  </si>
  <si>
    <t>['wiley blackwell', 'standard structure', 'rtf type', 'rights reserved', 'protein molecule', 'possible relevance', 'plasma glycoproteins', 'peak v', 'glycans possessed', 'glycan structures', 'future studies', 'frequently encountered', 'employing glc', 'discernible affinities', 'cona binding', 'cona ).', 'cell biol', 'carbohydrate sufficient', 'bound ).', '., rudolph']</t>
  </si>
  <si>
    <t>A previously established procedure [Regoeczi, E., Chindemi, P. A., Rudolph, J. R., Spik, G. &amp; Montreuil, J. (1987) Biochem. Cell Biol. 65, 948 ‚Äì 954] was used to isolate from three DEAE‚Äêcellulose chromatographic fractions of diferric rat serotransferrin (rTf) subpopulations having discernible affinities for concanavalin A (ConA). These entities are designated rTf‚Äê1 (not retarded by ConA column), rTf‚Äê2 (retarded) and rTf‚Äê3 (bound). Each rTf type was found to be endowed with carbohydrate sufficient to account for a single diantennary glycan/protein molecule. Glycan structures were determined on the glycopeptides by employing GLC/MS and 400‚ÄêMHz 1H‚ÄêNMR spectroscopy. All glycans possessed a common, trimannosyl‚ÄêN,N‚Ä≤‚Äêdiacetylchitobiose core with or without one L‚Äêfucose Œ±‚Äê1,6‚Äêlinked to the Asn‚Äêlinked GlcNAc. However, there were differences in the antennae. Thus, in rTf‚Äê3, both antennae were of the disialylated diantennary N‚Äêacetyllactosamine type which is frequently encountered in other plasma glycoproteins. However, the Œ±‚Äê1,3‚ÄêMan‚Äêlinked antenna in rTf‚Äê1 as well as rTf‚Äê2 had the sequence: Neu5Ac(Œ±2‚Äì3)Gal(Œ≤1‚Äì3)[Neu5Ac(Œ±2‚Äì6)]GlcNAc(Œ≤1‚Äì2)Man. In addition, the Œ±‚Äê1,6‚ÄêMan‚Äêlinked antenna deviated in rTf‚Äê2 from the standard structure by having the sequence: Neu5Ac(Œ±2‚Äì3)Gal(Œ≤1‚Äì3)GlcNAc(Œ≤1‚Äì2)Man. The possible relevance of the above structures to the ConA binding of rTf is discussed. A further preparation, obtained from the most anionic DEAE‚Äêcellulose fraction (peak V) of rTf contained several tetrasialylated diantennary glycans whose precise structures remain to be established in future studies. Copyright ¬© 1991, Wiley Blackwell. All rights reserved</t>
  </si>
  <si>
    <t>397-405</t>
  </si>
  <si>
    <t>60104665;60104665;60104665;60104665;60031828;60031828;60031828</t>
  </si>
  <si>
    <t>7006843431;6602132334;7103289522;56377616100;7007020991;6603915224;7103012105</t>
  </si>
  <si>
    <t>SPIK, Genevi√®ve;CODDEVILLE, Bernadette;STRECKER, G√©rard;MONTREUIL, Jean;REGOECZI, Erwin;CHINDEMI, Paul A.;RUDOLPH, John R.</t>
  </si>
  <si>
    <t>France;Canada</t>
  </si>
  <si>
    <t>Lille;Hamilton</t>
  </si>
  <si>
    <t>Universit√© de Lille;McMaster University</t>
  </si>
  <si>
    <t>60104665;60031828</t>
  </si>
  <si>
    <t>SPIK G.</t>
  </si>
  <si>
    <t>Carbohydrate microheterogeneity of rat serotransferrin: Determination of glycan primary structures and characterization of a new type of trisialylated diantennary glycan</t>
  </si>
  <si>
    <t>10.1111/j.1432-1033.1991.tb15719.x</t>
  </si>
  <si>
    <t>2-s2.0-0025979276</t>
  </si>
  <si>
    <t>['¬© 1991', 'two newly', 'profile peak', 'plane perpendicular', 'performance characterized', 'peak depth', 'heating potentials', 'following parameters', 'factors important', 'clinical use', 'axial length', 'antenna tip', '915 mhz']</t>
  </si>
  <si>
    <t>Antenna | Hyperthermia | Interstitial | Microwave</t>
  </si>
  <si>
    <t>The heating potentials of two newly-developed microwave interstitial antennas are reported in this paper. The longitudinal (parallel to the antenna) and transverse (over a plane perpendicular to the antenna) specific absorption rate (SAR) distributions of single and an array of four parallel antennas were measured in a muscle equivalent phantom and their performance characterized at 915 MHz in terms of the following parameters: peak depth (location of the profile peak with respect to the surface), 50% HL (effective heating length over which SAR &gt; 50% of the peak normalized SAR), dead length (axial length at the antenna tip with SAR &lt; 50% of peak normalized SAR), and the variations of the specific absorption rate pattern relative to the depth of insertion. The results are analyzed and discussed in terms of these parameters and other factors important in the clinical use of these antennas for effective interstitial hyperthermia. ¬© 1991.</t>
  </si>
  <si>
    <t>531-539</t>
  </si>
  <si>
    <t>60006263;60006263;60006263;60023691;60006263</t>
  </si>
  <si>
    <t>6701754514;7004588237;35400466600;7005772755;55630217100</t>
  </si>
  <si>
    <t>Sathiaseelan, V.;Leybovich, L.;Emami, B.;Stauffer, P.;Straube, W.</t>
  </si>
  <si>
    <t>San Francisco;St. Louis</t>
  </si>
  <si>
    <t>University of California, San Francisco;Washington University School of Medicine in St. Louis, Mallinckrodt Institute of Radiology</t>
  </si>
  <si>
    <t>60023691;60006263</t>
  </si>
  <si>
    <t>Sathiaseelan V.</t>
  </si>
  <si>
    <t>Characteristics of improved microwave interstitial antennas for local hyperthermia</t>
  </si>
  <si>
    <t>036030169190066D</t>
  </si>
  <si>
    <t>10.1016/0360-3016(91)90066-D</t>
  </si>
  <si>
    <t>2-s2.0-0025980389</t>
  </si>
  <si>
    <t>Schweizerischer Nationalfonds zur F√∂rderung der Wissenschaftlichen Forschung</t>
  </si>
  <si>
    <t>3.207-0.85</t>
  </si>
  <si>
    <t>SNF</t>
  </si>
  <si>
    <t>['œ ±', '¬© 1991', 'two polypeptides', 'sodium dodecylsuphate', 'sigma ))', 'sequence analyses', 'phase chromatography', 'many species', 'fjdet p', 'fast polypeptide', 'cytoplasmic membranes', 'antenna systems', 'antenna complex', '866 antenna']</t>
  </si>
  <si>
    <t>B806-866 antenna complex | Chloroflexus aurantiacus | green photosynthetic bacterium | Œ±- and Œ≤-antenna polypeptide.</t>
  </si>
  <si>
    <t>The B806-866 antenna complex was isolated from cytoplasmic membranes of the green thermophilic bacterium Chloroflexus aurantiacus. The membranes were treated with 7 M urea at 50 ¬∞C, the B806-866 antenna complex was solubilized with a mixture of Noni-fjdet P-40 (octylphenoxypolyethoxyethanol (Sigma)) and sodium dodecylsuphate (2:1) and isolated by sucrose density gradient centrifugation. This antenna complex was characterized by reversed-phase chromatography (fast polypeptide and polynucleotide liquid chromatography), amino acid and sequence analyses. The B806-866 antenna of Chloroflexus aurantiacus consists of two polypeptides: the B806-866-Œ± and B806-866-Œ≤ polypeptides in an apparent stoichiometric ratio of 1:1, which may be equivalent to the structural elementary unit found in the antenna systems of many species of Rhodospirillaceae. ¬© 1991.</t>
  </si>
  <si>
    <t>189-197</t>
  </si>
  <si>
    <t>60025858;60025858;60025858;60025858</t>
  </si>
  <si>
    <t>6602549111;6603669964;7401890961;7006345218</t>
  </si>
  <si>
    <t>Wechsler, T. D.;Brunisholz, R. A.;Frank, G.;Zuber, H.</t>
  </si>
  <si>
    <t>Wechsler T.</t>
  </si>
  <si>
    <t>Isolation and protein chemical characterization of the B806-866 antenna complex of the green thermophilic bacterium Chloroflexus aurantiacus</t>
  </si>
  <si>
    <t>101113449180058P</t>
  </si>
  <si>
    <t>10.1016/1011-1344(91)80058-P</t>
  </si>
  <si>
    <t>2-s2.0-0025982825</t>
  </si>
  <si>
    <t>['wistar rats', 'wiley company', 'vi ),', 'twelve rats', 'total doses', 'temperature level', 'pulse produced', 'performance thereafter', 'operant schedules', 'inc .,', 'drl ).', 'colonic temperatures', 'behavioral effects', 'baseline levels', 'assigned randomly', 'animals failed', '23 w', '21 mw', '14 kj', '13 minutes', '10 min', '1 j']</t>
  </si>
  <si>
    <t>dose dependency | high‚Äêpower microwaves | pulsed‚Äêmicrowaves effects | reflector antenna | schedule‚Äêcontrolled performance</t>
  </si>
  <si>
    <t>Behavioral effects of high‚Äêpeak‚Äêpower microwave pulses on Wistar rats were studied by operant schedules. Each of twelve rats that had been trained to press a lever to receive food pellets was assigned randomly in groups of four to three different schedules of reinforcement: fixed‚Äêratio (FR), variable‚Äêinterval (VI), and differential‚Äêreinforcement‚Äêof‚Äêlow‚Äêrates (DRL). After achieving a steady baseline performance, each animal was exposed for 10 min to 1.25‚ÄêGHz microwave radiation at 1‚ÄêMW peak‚Äêpower (10‚ÄêŒºs pulse width). Each pulse produced a peak whole‚Äêbody SA and SAR of 2.1 J/kg and 0.21 MW/kg. Total doses (SAs) were set to 0.50, 1.5, 4.5, and 14 kJ/kg by adjusting the pulse‚Äêrepetition rate. The corresponding time‚Äêaveraged whole‚Äêbody SARs were 0.84, 2.5, 7.6, and 23 W/kg. A microwave‚Äêtransparent animal holder was used to keep the animal's body axis parallel to the E‚Äêfield. Exposures at the highest dose caused an average colonic temperature rise of 2.5 ¬∞C and these animals failed to respond at all for about 13 minutes after the exposure. Their colonic temperatures had decreased to 1.1 ¬∞C, or less, above their pre‚Äêexposure (normal) temperature level when they began to respond. The FR and VI animals failed to reach their baseline levels of performance thereafter, while those on the DRL schedule displayed variable effects. No behavioral effects were found at the lower dose levels. It is concluded that the behavioral perturbations produced by pulsed microwave irradiation were thermal in nature. Copyright ¬© 1991 Wiley‚ÄêLiss, Inc., A Wiley Company</t>
  </si>
  <si>
    <t>183-195</t>
  </si>
  <si>
    <t>1521186X</t>
  </si>
  <si>
    <t>Bioelectromagnetics</t>
  </si>
  <si>
    <t>100350044-60012786;100350044-60012786;100350044-60012786;100350044-60012786</t>
  </si>
  <si>
    <t>6603798217;23063963900;6506343557;7101622675</t>
  </si>
  <si>
    <t>Akyel, Yahya;Hunt, Edward L.;Gambrill, Charles;Vargas, Carlos</t>
  </si>
  <si>
    <t>Silver Spring;Gaithersburg</t>
  </si>
  <si>
    <t>Walter Reed Army Institute of Research;ERC BioServices Corporation</t>
  </si>
  <si>
    <t>60012786;100350044</t>
  </si>
  <si>
    <t>Akyel Y.</t>
  </si>
  <si>
    <t>Immediate post‚Äêexposure effects of high‚Äêpeak‚Äêpower microwave pulses on operant behavior of Wistar rats</t>
  </si>
  <si>
    <t>10.1002/bem.2250120306</t>
  </si>
  <si>
    <t>2-s2.0-0025985514</t>
  </si>
  <si>
    <t>['vertical coordinate', 'study errors', 'site position', 'significant fraction', 'significant contribution', 'longer baselines', 'elevation experiments', 'baseline length', '26 hours']</t>
  </si>
  <si>
    <t>The authors have performed a series of special very long baseline interferometry (VLBI) experiments that involve a significant fraction of group delay measurements made at very low elevation angles. Twenty-two such low-elevation experiments, each ~26 hours in duration, were performed over a period of ~2.5yr using VLBI antennas. The purpose of these experiments was to expose the study errors in the formula for the elevation angle dependence of the atmospheric propagation delay, called the "mapping function'. Errors in this formula are a principal source error in estimates of vertical coordinate of site position and make a significant contribution to the error in estimates of baseline length for transcontinental and longer baselines. -from Authors</t>
  </si>
  <si>
    <t>643-650</t>
  </si>
  <si>
    <t>B1</t>
  </si>
  <si>
    <t>Journal of Geophysical Research</t>
  </si>
  <si>
    <t>60020680;60020680;60020680</t>
  </si>
  <si>
    <t>55740847000;7004586388;7202507088</t>
  </si>
  <si>
    <t>Davis, J. L.;Herring, T. A.;Shapiro, I. I.</t>
  </si>
  <si>
    <t>Harvard-Smithsonian Center for Astrophysics</t>
  </si>
  <si>
    <t>Davis J.</t>
  </si>
  <si>
    <t>Effects of atmospheric modeling errors on determinations of baseline vectors from very long baseline interferometry</t>
  </si>
  <si>
    <t>10.1029/90JB01503</t>
  </si>
  <si>
    <t>2-s2.0-0025992510</t>
  </si>
  <si>
    <t>['synapse density', 'sensory inputs', 'regressive events', 'glia development', 'antennal lobe', 'analyzed using']</t>
  </si>
  <si>
    <t>The role of antennal sensory projections on the ontogeny of the bee antennal lobe was analyzed using both light and transmission electron microscopy. Normal and deafferented developing antennal lobes were examined. The results obtained show that (1) initiation of synaptogenesis in the antennal lobe is independent of the arrival of sensory inputs; (2) sensory inputs are necessary for setting up the glomerular antennal lobe organization; (3) regressive events, such as the reduction of synapse density, occur during the development of the antennal lobe; and (4) glomeruli formation appears as related to glia development. Copyright ¬© 1991 John Wiley &amp; Sons, Inc.</t>
  </si>
  <si>
    <t>795-810</t>
  </si>
  <si>
    <t>Journal of Neurobiology</t>
  </si>
  <si>
    <t>Gascuel, Jean;Masson, Claudine</t>
  </si>
  <si>
    <t>Developmental study of afferented and deafferented bee antennal lobes</t>
  </si>
  <si>
    <t>10.1002/neu.480220802</t>
  </si>
  <si>
    <t>2-s2.0-0025992542</t>
  </si>
  <si>
    <t>National Institute of Allergy and Infectious Diseases</t>
  </si>
  <si>
    <t>R37AI023253</t>
  </si>
  <si>
    <t>NIAID</t>
  </si>
  <si>
    <t>['œ ≥', 'v 12', 'transient type', 'stages 3', 'reversibly blocked', 'results support', 'resting potentials', 'relative potencies', 'ps k', 'presumptive orns', 'predominant type', 'olfactory transduction', 'ionic currents', 'intracellular ca2', 'inhibition constant', 'delayed rectifier', 'cytoplasmic face', 'clamp techniques', 'characteristics similar', 'channel voltage', 'channel observed', 'channel could', "channel .''", 'cell mode', 'adult development', 'activated k', '66 ps', '5œºm induced', '30 ps', '3 weeks', '18 ps', '18 mm', '0 mv']</t>
  </si>
  <si>
    <t>Whole-cell and single-channel voltage-clamp techniques were used to identify and characterize the ionic currents of insect olfactory receptor neurons (ORNs) in vitro. The cells were isolated from the antennae of male Manduca sexta pupae at stages 3-5 of adult development and maintained in primary cell culture. After 2-3 weeks in vitro, the presumptive ORNs had resting potentials of -62 ¬± 12mV (n = 18) and expressed at least 1 type of Na+ channel and at least 3 types of K+ channels. Na+ currents, recorded in the whole-cell mode, were reversibly blocked by 0.1 ŒºM tetrodotoxin. The predominant type of K+ channel observed was a voltage-activated K+ channel (Œ≥ = 30 pS) with characteristics similar to those of the delayed rectifier. The activity of the 30-pS K+ channel could be inhibited by the application of nucleotides to the cytoplasmic face of inside-out patches of membrane. The nucleotides had relative potencies as follows: ATP &gt; cGMP &gt; cAMP, with an inhibition constant for ATP of K1 = 0.18 mM. Raising the intracellular Ca2+ concentration from 0.1 to 5ŒºM induced the opening of a Ca2+-activated K+ channel (Œ≥ = 66 pS at 0 mV) that had a low voltage sensitivity. A third, transient type of K+ channel (Œ≥ = V 12-18 pS) could be activated by depolarizing voltage steps from very negative resting potentials. Properties of this channel were similar to those of the ''A-channel.'' These results support the conclusion that M. sexta ORNs differentiate in vitro and provide the basis for studying primary mechanisms of olfactory transduction.</t>
  </si>
  <si>
    <t>956-965</t>
  </si>
  <si>
    <t>Journal of Neuroscience</t>
  </si>
  <si>
    <t>60010065;60010065;60010065;60010065;60010065</t>
  </si>
  <si>
    <t>57207544355;7003691160;7102631497;7102653635;7006063364</t>
  </si>
  <si>
    <t>Zufall, F.;Stengl, M.;Franke, C.;Hildebrand, J. G.;Hatt, H.</t>
  </si>
  <si>
    <t>Tucson</t>
  </si>
  <si>
    <t>The University of Arizona</t>
  </si>
  <si>
    <t>Ionic currents of cultured olfactory receptor neurons from antennae of male Manduca sexta</t>
  </si>
  <si>
    <t>10.1523/jneurosci.11-04-00956.1991</t>
  </si>
  <si>
    <t>2-s2.0-0025995411</t>
  </si>
  <si>
    <t>['wiley company', 'upper limit', 'threshold dependence', 'threshold conditions', 'switched gradients', 'surface coils', 'six volunteers', 'rf pulses', 'rf coils', 'resonance modes', 'reported thresholds', 'pulsed radiofrequency', 'primary rf', 'outer layer', 'mr studies', 'magnetic resonance', 'inc .,', 'human head', 'hearing threshold', 'head rising', 'head coils', 'evidence known', 'energy absorption', 'ear lowers', 'discomfort threshold', 'compare well', 'body tissues', 'bo /[', 'auditory thresholds', 'auditory threshold', 'auditory perception', '7 khz', '6 mj', '6 kw', '3000 mhz', '20 w', '100 œºs']</t>
  </si>
  <si>
    <t>The threshold conditions for an auditory perception of pulsed radiofrequency (RF) energy absorption in the human head have been studied on six volunteers with RF coils for magnetic resonance (MR) imaging. For homogeneous RF exposure with MR head coils in the 2.4‚Äêto 170‚ÄêMHz range and pulse widths 3 Œºs, ‚©Ω Tp &lt; 100 Œºs, the auditory thresholds were observed at 16 ¬± 4 mJ pulse energy. Localized RF exposure with optimized surface coils positioned flush with the ear lowers the auditory threshold to only 3 ¬± 0.6 mJ. The hearing threshold of RF pulses with Tp &gt; 200 Œºs occurs at more or less constant peak power levels of typically 150 ¬± 50 W for head coils and as low as 20 W for surface coils. The results from this study confirm theoretical predictions from a thermoeleastic expansion model and compare well with reported thresholds from near field antenna measurements at 425 to 3000 MHz. Details of the threshold dependence on RF pulse length reveal primary sites of RF to acoustic energy conversion at the mastoid and temporal bone region and the outer layer of the brain from where thermoelastically generated pressure transients excite audible pressure waves at the resonance modes of the skull around 1.7 kHz and of the brain around 11 kHz. If not masked by usually dominating noise from switched gradients, the conditions for hearing RF pulses, as applied to head coils in MR studies with flip angle Œ± at main field Bo, is given by Tp/ms ‚©Ω 0.4 (Œ±/œÄ)Bo/[T]. At peak power levels up to 15 kW presently available in clinical MR systems, there is no evidence known for detrimental health effects arising from the RF auditory phenomenon which is a secondary cause associated with primary RF to thermal energy conversion in body tissues. To avoid the RF‚Äêevoked sound pressure levels in the head rising above the discomfort threshold at 110 dB SPL, an upper limit of 30 kW applied peak pulse power is suggested for head coils and 6 kW for surface coils. ¬© 1991 Academic Press, Inc. Copyright ¬© 1991 Wiley‚ÄêLiss, Inc., A Wiley Company</t>
  </si>
  <si>
    <t>197-215</t>
  </si>
  <si>
    <t>R√∂schmann, Peter</t>
  </si>
  <si>
    <t>Royal Philips</t>
  </si>
  <si>
    <t>R√∂schmann P.</t>
  </si>
  <si>
    <t>Human auditory system response to pulsed radiofrequency energy in RF coils for magnetic resonance at 2.4 to 170 MHz</t>
  </si>
  <si>
    <t>10.1002/mrm.1910210205</t>
  </si>
  <si>
    <t>2-s2.0-0025997177</t>
  </si>
  <si>
    <t>['¬© 1991', 'vary greatly', 'trailing edges', 'trailing edge', 'separate sections', 'qp layers', 'qp layer', 'propagation characteristics', 'normalized curves', 'noise free', 'leading edges', 'leading edge', 'layer parameters', 'layer height', 'ionospheric layer', 'important consequence', 'highest frequency', 'group path', 'ground range', 'families based', 'developed based', 'best regarded', 'best fits', 'backscatter ionograms', 'antenna characteristics', 'accurate knowledge']</t>
  </si>
  <si>
    <t>Quasi-parabolic (QP) ionospheric layers may be grouped into families based on the value of the ratio of layer height to semi-thickness. The highest frequency which can be reflected from a QP layer, and the associated group path, can be used to normalize the leading and trailing edges of backscatter ionograms. When this is done, QP layers from the same family produce almost identical normalized curves. In principle these curves can be used to invert the leading and trailing edges of real backscatter ionograms to obtain the parameters of the QP layer which best fits the data. However, in practice the trailing edge is determined by the antenna pattern rather than the ionospheric layer. Consequently a simplified analysis method has been developed based on analyzing just the leading edge. Because the leading edges of the normalized curves do not vary greatly from one QP family to another, the method (and any other based on leading edge data alone), will not yield a unique QP family solution unless the data are very accurate and noise free. These conditions are unlikely to be met with real backscatter ionograms. Separate sections of a leading edge may be analyzed to give different QP layer fits to obtain, say, E-and F-layer parameters. However, the QP layers so obtained are best regarded as 'equivalent' layers which describe the propagation characteristics (e.g. group path and ground range) of the ionosphere quite accurately, but not the ionosphere itself. Further development using trailing edge data is possible but requires an accurate knowledge of the antenna characteristics of the system being used. An important consequence of these results is that backscatter inversion techniques capable of determining ionospheric layer parameters will need to be based on more than the analysis of the leading edge. ¬© 1991.</t>
  </si>
  <si>
    <t>75-88</t>
  </si>
  <si>
    <t>Dyson, P. L.</t>
  </si>
  <si>
    <t>La Trobe University</t>
  </si>
  <si>
    <t>Dyson P.L.</t>
  </si>
  <si>
    <t>A simple method of backscatter ionogram analysis</t>
  </si>
  <si>
    <t>002191699190022Y</t>
  </si>
  <si>
    <t>10.1016/0021-9169(91)90022-Y</t>
  </si>
  <si>
    <t>2-s2.0-0026001663</t>
  </si>
  <si>
    <t>['vertical beam', 'radial velocities', 'presents measurements', 'gives details', 'four days', 'experimental set', 'correction derived']</t>
  </si>
  <si>
    <t>Presents measurements of the tropospheric and lower stratospheric incidence angles obtained over four days with a spaced antenna radar system. Calculates the true vertical velocities by a correction derived from combining the incidence angle measurements, the radial velocities in the vertical beam and the horizontal winds obtained by the standard spaced antenna method. Gives details of the SOUSY-VHF radar system. Possible errrs due to experimental set-up are discussed. The vertical velocity corrections are typically 5%-200% of the magnitude of the vertical beam velocity, and corrected vertical velocities appear to agree with qualitative meteorological predictions. (from authors' abstract)</t>
  </si>
  <si>
    <t>477-490</t>
  </si>
  <si>
    <t>J. ATMOSPHERIC &amp; OCEANIC TECHNOLOGY</t>
  </si>
  <si>
    <t>35598897600;7003907481</t>
  </si>
  <si>
    <t>Larsen, M. F.;Rottger, J.</t>
  </si>
  <si>
    <t>Larsen M.</t>
  </si>
  <si>
    <t>VHF radar measurements of in-beam incidence angles and associated vertical-beam radial velocity corrections</t>
  </si>
  <si>
    <t>10.1175/1520-0426(1991)008&lt;0477:VRMOIB&gt;2.0.CO;2</t>
  </si>
  <si>
    <t>2-s2.0-0026004236</t>
  </si>
  <si>
    <t>['¬© 1991', 'specific female', 'sexual dimorphism', 'sensilla involved', 'flies differing', 'drosophila chemoreception', 'drosophila antennae', 'developmental changes', 'denaturing electrophoresis', 'comparative studies', 'adult flies']</t>
  </si>
  <si>
    <t>1. 1. Intact third segments of Drosophila antennae, where the sensilla involved in chemoreception are located, have been isolated. 2. 2. Homogenates from flies differing in age and sex have been subjected to denaturing and non-denaturing electrophoresis. 3. 3. Comparison of the polypeptide patterns shows differences related to developmental changes as well as specific female and male features pointing out sexual dimorphism, especially in adult flies. 4. 4. These results also suggest that the technique of isolation as well as the comparative studies of third antennal segments should be useful for further investigations on Drosophila chemoreception. ¬© 1991.</t>
  </si>
  <si>
    <t>287-291</t>
  </si>
  <si>
    <t>Comparative Biochemistry and Physiology -- Part B: Biochemistry and</t>
  </si>
  <si>
    <t>Pho, Dang B.</t>
  </si>
  <si>
    <t>Pho D.B.</t>
  </si>
  <si>
    <t>Comparative electrophoretic studies of third antennal segments of Drosophila melanogaster</t>
  </si>
  <si>
    <t>0305-0491(91)90376-O</t>
  </si>
  <si>
    <t>10.1016/0305-0491(91)90376-O</t>
  </si>
  <si>
    <t>2-s2.0-0026004654</t>
  </si>
  <si>
    <t>['radiation patterns', 'good agreement', 'feed positions', 'experimental results', 'dielectric constants', 'data showing', 'coupling behavior', 'coplanar waveguide']</t>
  </si>
  <si>
    <t>A coplanar waveguide is demonstrated to be an effective excitation mechanism for the cylindrical dielectric resonator antenna. Data showing the coupling behavior and the radiation patterns for cylinders with various aspect ratios, dielectric constants, and feed positions are presented. Good agreement is obtained between theoretical and experimental results. ¬© 1991 IEEE</t>
  </si>
  <si>
    <t>119-122</t>
  </si>
  <si>
    <t>60005837;60005837;60005837</t>
  </si>
  <si>
    <t>6506685005;7402507033;57218985569</t>
  </si>
  <si>
    <t>Kranenburg, Roger A.;Long, Stuart A.;Williams, Jeffery T.</t>
  </si>
  <si>
    <t>Houston</t>
  </si>
  <si>
    <t>University of Houston</t>
  </si>
  <si>
    <t>Kranenburg R.A.</t>
  </si>
  <si>
    <t>Coplanar Waveguide Excitation of Dielectric Resonator Antennas</t>
  </si>
  <si>
    <t>10.1109/8.64448</t>
  </si>
  <si>
    <t>2-s2.0-0026005408</t>
  </si>
  <si>
    <t>['¬© 1991', 'radiator synthesis', 'radiator performance', 'matching networks', 'design examples', 'analysis methodology', 'accurately models']</t>
  </si>
  <si>
    <t>An electromagnetic analysis technique for probe-fed patch radiator phased arrays is presented that accurately models their driving point impedances and radiated electric fields. The use of this analysis methodology to both predict the behavior of and to design patch radiators is discussed. Salient features relevant to radiator synthesis are discussed, including radiator asymmetries due to multiple probe feeds and the realization of matching networks for wideband radiator operation. Key effects relevant to radiator performance, such as feed-network related resonances and surface wave effects, are elucidated and design examples are cited. ¬© 1991 by Hemisphere Publishing Corporation.</t>
  </si>
  <si>
    <t>47-68</t>
  </si>
  <si>
    <t>Schuss, Jack J.</t>
  </si>
  <si>
    <t>Schuss J.</t>
  </si>
  <si>
    <t>Numerical design of patch radiator arrays</t>
  </si>
  <si>
    <t>10.1080/02726349108908263</t>
  </si>
  <si>
    <t>2-s2.0-0026005470</t>
  </si>
  <si>
    <t>['supporting electronics', 'positioning system', 'microwave components', 'liquid water', 'factors contribute', 'elevation scanning', 'antenna system', '65 ghz']</t>
  </si>
  <si>
    <t>Analysis of equations governing microwave measurements of vapor and liquid as well as measurements by a dual frequency radiometer show that liquid water, particularly in winter, can be obtained by a single frequency microwave radiometer operating at 31.65 GHz. Construction and operation of a single frequency radiometer is found to be simpler and with fewer operational problems compared to a dual frequency system. The simplicity of the single frequency system applies to the microwave components, the supporting electronics, the antenna system, the ice water clearing system, and the positioning system for azimuth and elevation scanning. All of these factors contribute to achieving a reliable and cost effective measuring system. (A)</t>
  </si>
  <si>
    <t>685-690</t>
  </si>
  <si>
    <t>Hill, G. E.</t>
  </si>
  <si>
    <t>Hill G.E.</t>
  </si>
  <si>
    <t>Measurement of atmospheric liquid water by a ground-based single- frequency microwave radiometer</t>
  </si>
  <si>
    <t>10.1175/1520-0426(1991)008&lt;0685:moalwb&gt;2.0.co;2</t>
  </si>
  <si>
    <t>2-s2.0-0026007686</t>
  </si>
  <si>
    <t>['¬± 0', '¬© 1991', 'three frequencies', 'temperatures read', 'telemetered signal', 'steady state', 'sensor spacing', 'sensor relative', 'response times', 'reliable operation', 'prediction intervals', 'power categories', 'oxide battery', 'monitoring temperature', 'measure temperatures', 'internal silver', 'interference effects', 'initial temperature', 'inductively coupled', 'hyperthermia field', 'heating sessions', 'five sensors', 'external receiver', 'external antenna', 'exponential fit', 'experimental studies', 'electromagnetic power', 'electromagnetic environment', 'different measurements', 'deep hyperthermia', 'cylinder used', 'correlated well', 'clinical data', 'central axis', 'calibration accuracy', 'bowman probe', 'antenna plane', 'also studied', 'achieve 90', 'abdominal tumors', '120 mhz', '10 mm']</t>
  </si>
  <si>
    <t>Hyperthermia | Ingestible | Radio pill | Thermometry</t>
  </si>
  <si>
    <t>We have investigated the potential of an ingestible thermometric system (ITS) for use with a deep heating system. The ingestible sensor contains a temperature-sensitive quartz crystal oscillator. The telemetered signal is inductively coupled by a radiofrequency coil system to an external receiver. The sensors, covered with a protective silicon coating, are 10 mm in diameter and 20 mm long and are energized by an internal silver-oxide battery. Experimental studies were carried out to investigate the accuracy of the system and the extent of reliable operation of these sensors in an electromagnetic environment. Different measurements were repeated for five sensors. Calibration accuracy was verified by comparison with a Bowman probe in the temperature range 30¬∞C to 55¬∞C. Linear regression analysis of individual pill readings indicated a correlation within ¬± 0.4¬∞C at 95% prediction intervals in the clinical temperature range of 35¬∞C to 50¬∞C. Further work is required to improve this accuracy to meet the quality assurance guidelines of ¬± 0.2¬∞C suggested by the Hyperthermia Physics Center. Response times were determined by the exponential fit of heat-up and cool-down curves for each pill. All curves had correlation coefficients greater than 0.98. Time (mean ¬± SE) to achieve 90% response during heat-up was 115 ¬± 8 sec. Time to cool-down to 10% of initial temperature was 11 4 ¬± sec. The effect of the external antenna and sensor spacing and the angle of orientation of the sensor relative to the antenna plane were also studied. Electromagnetic interference effects were studied by placing the sensor with a Bowman probe in a cylindrical saline phantom for the tests in an annular phase array applicator. Different power levels at three frequencies-80, 100, and 120 MHz-were used. Accurate temperature readings could not be obtained when the electromagnetic power was on because of interference effects with the receiver. However, the temperatures read with the ITS immediately after the electromagnetic power was switched off correlated well with the Bowman probe readings across the power categories and the three frequencies used. The phantom was heated to steady state, with a Bowman probe placed at the central axis of the cylinder used as control. During the heat-up period and the steady state, the mean difference (¬± SE) between the ITS and Bowman probe was 0.12¬∞C (¬± 0.05¬∞C). We have used ITS to measure temperatures in the human intestine within the hyperthermia field during deep-heating sessions of abdominal tumors. Laboratory and clinical data, and possible future applications of this technology in monitoring temperature during deep hyperthermia, are discussed. ¬© 1991.</t>
  </si>
  <si>
    <t>1353-1361</t>
  </si>
  <si>
    <t>60013227;60013227;60013227;60013227;60013227;60013227</t>
  </si>
  <si>
    <t>7102661470;6701754514;7101751036;7102752907;56390609800;7007019427</t>
  </si>
  <si>
    <t>Mittal, B. B.;Sathiaseelan, V.;Rademaker, A. W.;Pierce, M. C.;Johnson, P. M.;Brand, W. N.</t>
  </si>
  <si>
    <t>Northwestern University Feinberg School of Medicine</t>
  </si>
  <si>
    <t>Mittal B.B.</t>
  </si>
  <si>
    <t>Evaluation of an ingestible telemetric temperature sensor for deep hyperthermia applications</t>
  </si>
  <si>
    <t>036030169190297H</t>
  </si>
  <si>
    <t>10.1016/0360-3016(91)90297-H</t>
  </si>
  <si>
    <t>2-s2.0-0026009401</t>
  </si>
  <si>
    <t>R01GM035463</t>
  </si>
  <si>
    <t>['whole individuals', 'whereas expression', 'type flies', 'two alanine', 'transposon tagging', 'transposable element', 'tom retrotransposon', 'temperature elevation', 'specific induction', 'sequences present', 'results suggest', 'proline repeats', 'one histidine', 'locus may', 'late larval', 'induced alleles', 'genes encoded', 'gene encodes', 'fold higher', 'every stage', 'dominant phenotypes', 'deduced om', 'coding region', 'chimeric gene', 'carboxy terminus']</t>
  </si>
  <si>
    <t>Drosophila | eye development | homeobox | retrotransposon</t>
  </si>
  <si>
    <t>Insertion of the tom transposable element into various Drosophila ananassae genes results in dominant phenotypes that affect eye morphology. One of these genes encoded by the Om(1D) locus was isolated by transposon tagging. The Om(1D) gene encodes a 2.7 kb transcript that is expressed in every stage of development. The deduced Om(1D) protein is 606 amino acids long and contains two glutamine/histidine, two alanine-rich and one histidine/proline repeats, as well as a homeodomain located near the carboxy terminus. Tom-induced alleles of Om(1D) show a 1.7-fold increased accumulation of Om(1D) RNA in whole individuals during late larval-early pupal stages of development, whereas expression of this transcript is 7-fold higher in the eye-antenna imaginal disc of mutant versus wild-type flies. D. melanogaster flies transformed with the Om(1D) coding region under the control of the hsp70 promoter display an eye phenotype similar to that of Om(1D) when expression of the homeobox protein encoded by the chimeric gene is induced by temperature elevation at the end of the third instar period. These results suggest that the eye-specific mutant phenotype caused by the insertion of the tom retrotransposon in the Om(ID) locus may be a consequence of the tissue-specific induction of the expression of this gene by sequences present in the transposable element.</t>
  </si>
  <si>
    <t>407-417</t>
  </si>
  <si>
    <t>EMBO Journal</t>
  </si>
  <si>
    <t>60005248;60005248</t>
  </si>
  <si>
    <t>7005435099;6504284796</t>
  </si>
  <si>
    <t>Tanda, S.;Gorces, V. G.</t>
  </si>
  <si>
    <t>Baltimore</t>
  </si>
  <si>
    <t>Johns Hopkins University</t>
  </si>
  <si>
    <t>Tanda S.</t>
  </si>
  <si>
    <t>Retrotransposon-induced overexpression of a homeobox gene causes defects in eye morphogenesis in Drosophila</t>
  </si>
  <si>
    <t>10.1002/j.1460-2075.1991.tb07962.x</t>
  </si>
  <si>
    <t>2-s2.0-0026011213</t>
  </si>
  <si>
    <t>['type phenotype', 'thin sections', 'spectral analysis', 'rhodospirillum rubrum', 'restriction sites', 'restriction fragments', 'puf sequences', 'puf region', 'puf operon', 'pigment content', 'photochemical apparatus', 'one mutant', 'obligatory role', 'mutants could', 'mutant strains', 'microscopic examination', 'interposon mutagenesis', 'icm formation', 'homologous recombination', 'defective copies', 'cells grown', 'b880 light']</t>
  </si>
  <si>
    <t>Rhodospirillum rubrum is a facultatively phototrophic bacterium that, under certain growth conditions, forms an intracytoplasmic chromatophore membrane (ICM) housing the photochemical apparatus. The puf operon of R. rubrum encodes protein subunits of the photochemical reaction center and the B880 light-harvesting antenna complex. Mutant strains of R. rubrum were constructed by interposon mutagenesis through which a kanamycin resistance gene cartridge was inserted into restriction sites and in place of restriction fragments of the puf region. Southern blot analysis demonstrated that the defective copies of puf sequences had replaced their normal chromosomal counterparts through homologous recombination. The phenotypes of the mutant strains were evaluated on the basis of puf gene expression, spectral analysis, pigment content of membranes, and electron-microscopic examination of thin sections of cells grown under semiaerobic and dark anaerobic conditions. Alterations of the puf region affect phototrophic competence and the formation of the ICM. The latter result implies an obligatory role for puf gene products in ICM formation in R. rubrum. One mutant with a deletion in puf structural genes was complemented in trans to the wild-type phenotype. Other mutants could be restored to the wild-type phenotype only by recombination.</t>
  </si>
  <si>
    <t>5712-5722</t>
  </si>
  <si>
    <t>Journal of Bacteriology</t>
  </si>
  <si>
    <t>60019909;60019909;60019909</t>
  </si>
  <si>
    <t>57196874287;6602860375;7404083765</t>
  </si>
  <si>
    <t>Hessner, M. J.;Wejksnora, P. J.;Collins, M. L.P.</t>
  </si>
  <si>
    <t>University of Wisconsin-Milwaukee</t>
  </si>
  <si>
    <t>Hessner M.</t>
  </si>
  <si>
    <t>Construction, characterization, and complementation of Rhodospirillum rubrum puf region mutants</t>
  </si>
  <si>
    <t>10.1128/jb.173.18.5712-5722.1991</t>
  </si>
  <si>
    <t>2-s2.0-0026014907</t>
  </si>
  <si>
    <t>['urethral interface', 'three dipoles', 'silicone urological', 'rights reserved', 'reproducible localization', 'prostatic urethra', 'prostatic temperatures', 'plane tangent', 'outer surface', 'one holds', 'new applicator', 'helical applicator', 'heating characteristics', 'fixed location', 'exterior surface', 'equivalent phantom', 'elevating temperature', 'earlier design', 'dimensional sar', 'balloon catheter', 'applicator uses', 'applicator appears']</t>
  </si>
  <si>
    <t>BPH | Helical antenna | Hyperthermia | Microwave | Prostate</t>
  </si>
  <si>
    <t>A new applicator for intraurethral hyperthermic treatment of benign prostatic hyperplasia is described. The applicator uses an insulated helical antenna wound on the outer surface of a silicone urological (Foley) balloon catheter. The balloon catheter assures rapid and reproducible localization of the antenna in the prostatic urethra. Two small cannulae are fixed to the exterior surface of the applicator. One holds a temperature control sensor at a fixed location, the other is used to map temperature along the applicator. Two-dimensional SAR and steady-state temperature distributions measured in a plane tangent to the applicator in a tissue-equivalent phantom are presented, as well as longitudinal temperature distributions measured in situ at the applicator-urethral interface. Prostatic temperatures were also measured intraoperatively. The applicator appears to be capable of elevating temperature to greater than 42¬∞C in a cylindrically symmetric volume of about 4 cm length and about 0.5 cm radial penetration surrounding the antenna. The heating characteristics of this applicator are similar to an earlier design that employed an array of three dipoles. The helical applicator is narrower, more flexible and simpler to use than the earlier design. ¬© 1991 Informa UK Ltd All rights reserved: reproduction in whole or part not permitted.</t>
  </si>
  <si>
    <t>141-155</t>
  </si>
  <si>
    <t>60015183;60015183;60015183;60025063;60025063;60015183;60015183;60015183</t>
  </si>
  <si>
    <t>7006549540;26663623600;56355883800;57216903923;7102038118;7003599942;7201529114;7006372174</t>
  </si>
  <si>
    <t>Astrahan, M.;Imanaka, K.;Jozseff, G.;Ameye, F.;Baert, L.;Sapozink, M. D.;Boyd, S.;Petrovich, Z.</t>
  </si>
  <si>
    <t>Belgium;United States</t>
  </si>
  <si>
    <t>3000 Leuven;Los Angeles</t>
  </si>
  <si>
    <t>KU Leuven;Keck School of Medicine of USC</t>
  </si>
  <si>
    <t>60025063;60015183</t>
  </si>
  <si>
    <t>Astrahan M.</t>
  </si>
  <si>
    <t>Heating characteristics of a helical microwave applicator for transurethral hyperthermia of benign prostatic hyperplasia</t>
  </si>
  <si>
    <t>10.3109/02656739109004985</t>
  </si>
  <si>
    <t>2-s2.0-0026018781</t>
  </si>
  <si>
    <t>U.S. Department of Health and Human Services</t>
  </si>
  <si>
    <t>P01CA042745</t>
  </si>
  <si>
    <t>HHS</t>
  </si>
  <si>
    <t>['use four', 'tumour volume', 'theoretical prediction', 'temperature pattern', 'temperature distribution', 'target region', 'single antennas', 'sar pattern', 'rights reserved', 'radiation gap', 'position along', 'perfused phantom', 'paper investigates', 'outer conductor', 'one arm', 'measurements made', 'measured pattern', 'maximum heating', 'interstitial antennas', 'insertion point', 'insertion depths', 'inner conductor', 'heating patterns', 'expanded extension', 'asymmetric dipole', 'antenna tip', 'antenna may']</t>
  </si>
  <si>
    <t>Antenna array | Heat conduction | Heating pattern | Hyperthermia | Interstitial</t>
  </si>
  <si>
    <t>Measurements made on the interstitial microwave antennas used for hyperthermia cancer therapy indicate that the heating patterns vary with the insertion depths (defined as the distance from the antenna tip to air-tissue interface). The antennas are made of thin coaxial cables with a radiation gap or gaps on the outer conductor. The antennas are inserted into small polypropylene catheters implanted in the tumour volume. This type of antenna may be simulated as an asymmetric dipole with one arm being the tip section consisting of the expanded extension of the inner conductor, and the other arm being the section of the outer conductor from the gap to the insertion point (air-tissue interface). We use four of the antennas to form a 2 cm √ó 2 cm array. The antennas are positioned on the comers of a 2 cm square. Measurements on both single antennas and multi-antenna arrays show that the maximum heating is not stationary with position along the antenna when the depth of insertion is changed. This paper investigates the theoretical prediction of the changes in heating patterns of interstitial microwave antennas at different insertion depths. Each of the antennas in the array is simulated as an asymmetric dipole. The SAR (specific absorption rate) is computed by using the insulated dipole theory. The temperature distribution in absence of perfusion is obtained through a thermal simulation routine to convert the SAR pattern into the temperature pattern. Excellent qualitative agreement is found between the theoretical heating pattern and the measured pattern in a non-perfused phantom on a 2 cm X 2 cm antenna array. Since the insertion depths of the interstitial antennas are different from patient to patient, it is recommended that simulation of the heating be done before treatments, to confirm the delilvery of power to the target region. ¬© 1991 Informa UK Ltd All rights reserved: reproduction in whole or part not permitted.</t>
  </si>
  <si>
    <t>197-207</t>
  </si>
  <si>
    <t>60008724;60008724;60113147</t>
  </si>
  <si>
    <t>55876267500;7004721662;7007049525</t>
  </si>
  <si>
    <t>Zhang, Y.;Joines, W. T.;Oleson, J. R.</t>
  </si>
  <si>
    <t>Durham;Durham</t>
  </si>
  <si>
    <t>Duke University Medical Center;Duke University</t>
  </si>
  <si>
    <t>60113147;60008724</t>
  </si>
  <si>
    <t>Zhang Y.</t>
  </si>
  <si>
    <t>Prediction of heating patterns of a microwave interstitial antenna array at various insertion depths</t>
  </si>
  <si>
    <t>10.3109/02656739109004989</t>
  </si>
  <si>
    <t>2-s2.0-0026025805</t>
  </si>
  <si>
    <t>DE-FG02-90ER20019</t>
  </si>
  <si>
    <t>['¬© 1991', 'spectroscopy interface', 'spectroscopic reporters', 'screening mutants', 'ray crystallography', 'new algorithms', 'light harvesting', 'intrinsic pigments', 'important technique', 'genetic techniques', 'genetic code', 'enable biophysicists', 'design libraries', 'chemical properties', 'chemical energy', 'characterize rapidly', 'biophysical techniques', 'become intertwined', 'antennae mutants', 'amino acids']</t>
  </si>
  <si>
    <t>In the elucidation of the mechanism by which certain photosynthetic bacteria convert light into chemical energy, genetics has become intertwined with biophysical techniques. While X-ray crystallography has yielded an atomic resolution structure of the photosynthetic reaction center (RC), optical spectroscopy remains the most important technique for screening mutants. Newly developed imaging devices and genetic techniques should enable biophysicists to characterize rapidly the spectra of extremely large numbers of RC and light harvesting (LH) antennae mutants. The intrinsic pigments of the RC and LH antennae act as spectroscopic reporters for assembly and function of these integral membrane proteins. To optimize this genetics/spectroscopy interface, new algorithms that relate the structure of the genetic code to the physico-chemical properties of the amino acids are being developed to design libraries of mutants. ¬© 1991.</t>
  </si>
  <si>
    <t>145-149</t>
  </si>
  <si>
    <t>Youvan, Douglas C.</t>
  </si>
  <si>
    <t>Youvan D.</t>
  </si>
  <si>
    <t>Photosynthetic reaction centers: interfacing molecular genetics and optical spectroscopy</t>
  </si>
  <si>
    <t>0968-0004(91)90057-3</t>
  </si>
  <si>
    <t>10.1016/0968-0004(91)90057-3</t>
  </si>
  <si>
    <t>2-s2.0-0026030102</t>
  </si>
  <si>
    <t>['rhodobacter capsulatus', 'reaction center', 'puha mrna', 'protein complexes', 'photosynthetic apparatus', 'oxygen tension', 'mrna stability', 'mrna segments', 'growth conditions', 'exonucleolytic degradation', 'encoding pigment', 'either high', 'cytfbc mrna', 'cyca mrna', 'binding proteins']</t>
  </si>
  <si>
    <t>endonucleolytic cleavage | mRNA stability | oxygen tension | photosynthetic apparatus</t>
  </si>
  <si>
    <t>The formation of pigment-protein complexes in facultatively photosynthetic bacteria is regulated by the oxygen tension in the culture. It is shown that the degradation of some mRNA species encoding components of the photosynthetic apparatus is affected by oxygen. The puf mRNA segment, encoding the pigment-binding proteins of the reaction center, and the 0.5-kb puc mRNA species, encoding pigment-binding proteins of the light-harvesting LHII antenna complex of Rhodobacter capsulatus were degraded more rapidly under high oxygen tension than under low oxygen tension. Studies on strains having deletions or insertions in the puf operon indicate that rate-limiting endonucleolytic cleavage in the reaction center coding region of the polycistronic puf mRNA was influenced by growth conditions. However, other mRNA segments, for which exonucleolytic degradation was postulated to be rate-limiting, decayed with the same rate under either high or low oxygen tension. Likewise, the degradation of the puhA mRNA, the cycA mRNA, and the cytfbc mRNA was found to be independent of the oxygen tension in the culture. The data strongly suggest that specific mRNA sequences or structures are responsible for the observed oxygen effect on mRNA stability.</t>
  </si>
  <si>
    <t>1765-1769</t>
  </si>
  <si>
    <t>Proceedings of the National Academy of Sciences of the United States of America</t>
  </si>
  <si>
    <t>Klug, G.</t>
  </si>
  <si>
    <t>Universit√§t Heidelberg</t>
  </si>
  <si>
    <t>Klug G.</t>
  </si>
  <si>
    <t>Endonucleolytic degradation of puf mRNA in Rhodobacter capsulatus is influenced by oxygen</t>
  </si>
  <si>
    <t>10.1073/pnas.88.5.1765</t>
  </si>
  <si>
    <t>2-s2.0-0026030548</t>
  </si>
  <si>
    <t>U.S. Department of Agriculture</t>
  </si>
  <si>
    <t>88-37262-3859</t>
  </si>
  <si>
    <t>USDA</t>
  </si>
  <si>
    <t>['¬© 1991', 'two hits', 'spinach chloroplasts', 'simple double', 'sigmoidal shapes', 'rights reserved', 'puddle model', 'probe techniques', 'photosynthetic units', 'lake model', 'known values', 'j curves', 'fœω vs', 'free transfer', 'flash pump', 'experimental phenomena', 'duration œñ0', 'different durations', 'deduced values', 'continuous illumination', 'biophysical society', 'better description', 'also tend', 'actinic pulses', 'actinic flashes']</t>
  </si>
  <si>
    <t>The shapes of fluorescence induction curves in spinach chloroplasts, measured using double-flash pump-probe techniques, are shown to depend on the duration of the actinic flashes. For flash durations œÑ0 ‚â§ 2 Œºs, the variable fluorescence FŒΩ grows exponentially (or nearly so) with increasing fluence J of the actinic pulses and the fluorescence induction ratio R = Fmax/F0 is ‚â§2.6. When œÑo ‚â• 50 Œºs, the shapes of the FŒΩ vs. J curves are sigmoidal, and R &gt; 3.2. Overall, the experimentally observed trends suggest that, as the duration œÑ0 of the actinic pulses is increased, the degree of sigmoidicity, the deduced values of the interunit excitation transfer parameter p, and the fluorescence induction ratios R, also tend to increase. These results can be accounted for in terms of a simple double-photon hit model in which a dark lag time œÑ1 = 0.4‚Äì10 Œºs between the two hits is necessary for the observance of sigmoidal fluorescence induction curves and relatively high R ratios. It is shown that, in principle, such a model can account for the exponential and sigmoidal shapes of the fluorescence induction curves either within the context of a lake model of the photosynthetic antenna bed (free transfer of excitation between photosynthetic units) or the isolated (puddle) model of photosystem II reaction centers. However, from the known values of the R ratio measured with actinic pulses of different durations, or under continuous illumination, the lake model offers a better description of the experimental phenomena than the puddle model. ¬© 1991, The Biophysical Society. All rights reserved.</t>
  </si>
  <si>
    <t>397-408</t>
  </si>
  <si>
    <t>60021784;60021784;60021784;60019615</t>
  </si>
  <si>
    <t>7003564034;7103169029;7003580897;24310010600</t>
  </si>
  <si>
    <t>Valkunas, Leonas;Geacintov, Nicholas E.;France, Lee;Breton, Jacques</t>
  </si>
  <si>
    <t>United States;France</t>
  </si>
  <si>
    <t>New York;Gif-sur-Yvette</t>
  </si>
  <si>
    <t>New York University;CEA Saclay</t>
  </si>
  <si>
    <t>60021784;60019615</t>
  </si>
  <si>
    <t>Valkunas L.</t>
  </si>
  <si>
    <t>The dependence of the shapes of fluorescence induction curves in chloroplasts on the duration of illumination pulses</t>
  </si>
  <si>
    <t>S0006349591822330</t>
  </si>
  <si>
    <t>10.1016/S0006-3495(91)82233-0</t>
  </si>
  <si>
    <t>2-s2.0-0026031976</t>
  </si>
  <si>
    <t>['temperature patterns', 'temperature distributions', 'signals applied', 'produced within', 'phase modulating', 'modulation schemes', 'lateral plane', 'heating patterns', 'generated around', 'biological tissue', 'axial plane', 'array consists', 'antennas ).', '4 cm']</t>
  </si>
  <si>
    <t>In this paper, we investigate an array of six interstitial microwave antennas used for hyperthermia cancer treatment. The purpose is to generate both uniform and controlled nonuniform heating patterns in biological tissue by phase modulating the signals applied to each antenna. The array consists of six antennas positioned on the corners of a hexagon. The distance between two diagonal antennas is 4 cm. The distributions of absorbed power per unit mass within the array are computed, and then converted into temperature distributions through a thermal conduction simulation. The SAR and temperature patterns are presented in both the lateral plane (perpendicular to the antennas) and the axial plane (parallel with the antennas). By proper phase modulation of microwave signals applied to each antenna, a uniform heating pattern can be produced within the entire array volume. Also, a peripheral heating pattern may be generated around the array; again, by using the proper phase modulation. The modulation schemes for generating both types of heating patterns are discussed. ¬© 1991 IEEE</t>
  </si>
  <si>
    <t>92-97</t>
  </si>
  <si>
    <t>IEEE Transactions on Biomedical Engineering</t>
  </si>
  <si>
    <t>Zhang, Yang;Joines, William T.;Oleson, James R.</t>
  </si>
  <si>
    <t>Heating Patterns Generated by Phase Modulation of a Hexagonal Array of Interstitial Antennas</t>
  </si>
  <si>
    <t>10.1109/10.68215</t>
  </si>
  <si>
    <t>2-s2.0-0026034013</t>
  </si>
  <si>
    <t>['water temperatures', 'water allows', 'wall temperature', 'thermal model', 'theoretical electromagnetic', 'temperature distributions', 'temperature distribution', 'state temperatures', 'several thicknesses', 'proper choice', 'flow velocity', 'external casing', 'dissipative medium', 'correct design', 'cooled dipole', 'calculated taking', 'blood perfusions', 'blood perfusion', 'biological tissue']</t>
  </si>
  <si>
    <t>An insulated, water-cooled dipole, radiating in a biological tissue, is analyzed with a theoretical electromagnetic and thermal model. The SAR and temperature distributions are calculated taking into account the effect of the water flowing inside the applicator. The steady-state temperatures in a dissipative medium, interacting with the dipole, are evaluated for several thicknesses of the external casing, water temperatures and blood perfusions. A correct design of the external casing thickness and a proper choice of the temperature and flow velocity of water allows to control the wall temperature of the applicator within physiological limits. The influence of the blood perfusion on the temperature distribution is investigated. ¬© 1991 IEEE</t>
  </si>
  <si>
    <t>98-103</t>
  </si>
  <si>
    <t>60021859;60021859;115596222</t>
  </si>
  <si>
    <t>7101648719;7102532844;56235319700</t>
  </si>
  <si>
    <t>Gentili, Guido Biffi;Gori, Fabio;Leoncini, Marco</t>
  </si>
  <si>
    <t>Florence;Florence</t>
  </si>
  <si>
    <t>Universit√† degli Studi di Firenze;SMA Research Center</t>
  </si>
  <si>
    <t>60021859;115596222</t>
  </si>
  <si>
    <t>Gentili G.</t>
  </si>
  <si>
    <t>Electromagnetic and Thermal Models of a Water-Cooled Dipole Radiating in a Biological Tissue</t>
  </si>
  <si>
    <t>10.1109/10.68216</t>
  </si>
  <si>
    <t>2-s2.0-0026034014</t>
  </si>
  <si>
    <t>82-83</t>
  </si>
  <si>
    <t>Knaff, David B.</t>
  </si>
  <si>
    <t>Lubbock</t>
  </si>
  <si>
    <t>Texas Tech University</t>
  </si>
  <si>
    <t>Knaff D.</t>
  </si>
  <si>
    <t>Regulatory phosphorylation of chloroplast antenna proteins</t>
  </si>
  <si>
    <t>0968-0004(91)90037-V</t>
  </si>
  <si>
    <t>10.1016/0968-0004(91)90037-V</t>
  </si>
  <si>
    <t>2-s2.0-0026034514</t>
  </si>
  <si>
    <t>['trace amounts', 'test whether', 'rhodobacter capsulatus', 'pufb genes', 'lhi antenna', 'intracytoplasmic membrane', 'inserted earlier', 'harvesting complex', 'basic subunits', 'amounts regardless', '12 min']</t>
  </si>
  <si>
    <t>The light-harvesting complex I (LHI) of Rhodobacter capsulatus is an oligomer of basic subunits each consisting of the two different pigment-binding polypeptides LHI Œ± and LHI Œ≤, encoded by the pufA (LHI Œ±) and pufB (LHI Œ≤) genes. Pulse-labeling experiments showed that in the presence of the LHI Œ± polypeptide, the LHI Œ≤ polypeptide was inserted earlier into the intracytoplasmic membrane than was the LHI Œ± polypeptide. Each of the pufA and pufB genes was deleted to test whether the LHI Œ± and Œ≤ polypeptides, respectively, are inserted into the intracytoplasmic membrane independently of the LHI partner polypeptide. Neither deletion mutant strain formed the LHI antenna, but a functional reaction center complex was present. Pulse-labeling experiments indicated that the LHI Œ≤ polypeptide was inserted into the intracytoplasmic membrane with the same kinetics and in the same amounts regardless of whether the LHI Œ± polypeptide was present. However, the LHI Œ≤ polypeptide did not accumulate in the membrane in the absence of the LHI Œ± protein but was degraded linearly within about 12 min. In contrast to the LHI Œ≤ protein, only trace amounts of the LHI Œ± polypeptide were inserted into or attached to the membrane if the LHI Œ≤ polypeptide was not synthesized.</t>
  </si>
  <si>
    <t>5336-5345</t>
  </si>
  <si>
    <t>60025641;60025641</t>
  </si>
  <si>
    <t>36861629400;7102742634</t>
  </si>
  <si>
    <t>Richter, P.;Drews, G.</t>
  </si>
  <si>
    <t>Richter P.</t>
  </si>
  <si>
    <t>Incorporation of light-harvesting complex I Œ± and Œ≤ polypeptides into the intracytoplasmic membrane of Rhodobacter capsulatus</t>
  </si>
  <si>
    <t>10.1128/jb.173.17.5336-5345.1991</t>
  </si>
  <si>
    <t>2-s2.0-0026044972</t>
  </si>
  <si>
    <t>['unmodeled characteristics', 'third approach', 'subsequent modifications', 'single step', 'second step', 'second approach', 'providing scope', 'output power', 'one obtained', 'key idea', 'iterative techniques', 'initial guess', 'increased susceptibility', 'incoming wavefronts', 'given set', 'given cost', 'fixed response', 'first estimated', 'experimental studies', 'enhanced robustness', 'eigenvalue decomposition', 'doa estimates', 'different sources', 'determined using', 'covariance matrix', 'beamformer weights', 'antenna array', 'adaptively adjust']</t>
  </si>
  <si>
    <t>This paper is concerned with adaptive null steering in single receiver adaptive arrays. The single receiver structure allows only output power for a given set of weights to be measured. The problem, then, is to adaptively adjust the weights of the antenna array, based on output power measurements only, so as to reject interference signals while maintaining a fixed response in a given look direction. Current least mean square (LMS)-based iterative techniques use perturbations of the beamformer weights to obtain an estimate of the gradient of a given cost (power) function in order to update an initial guess. The key idea of this paper is to determine the optimal beamformer weights in a single step, by estimating the covariance matrix of the array sensor outputs using a weight perturbation technique. Based on this covariance matrix estimate three different approaches for finding the beamformer weights are studied. The first one corresponds to a sample matrix inversion (SMI) scheme, with the sample covariance matrix replaced by the one obtained from the perturbation estimation method, while in the second approach the weights are determined using an eigenvalue decomposition of the covariance matrix estimate. In the third approach the direction-of-arrivals (DOA's) of the incoming wavefronts are first estimated, and then, in a second step, the beamformer weights are calculated from the DOA estimates. The advantage of the third approach is that this method is not affected by correlation between the different sources. In comparison with iterative techniques, the new approach offers much faster beamforming, albeit at the expense of increased susceptibility to unmodeled characteristics. Subsequent modifications of the algorithm in light of experimental studies have enhanced robustness by providing scope for accommodating model errors. ¬© 1991 IEEE</t>
  </si>
  <si>
    <t>21-28</t>
  </si>
  <si>
    <t>60009358;60010571;60010571</t>
  </si>
  <si>
    <t>35569027900;7004369521;7006560437</t>
  </si>
  <si>
    <t>Wahlberg, Bo G.;Mareels, Iven M.Y.;Webster, Ian</t>
  </si>
  <si>
    <t>Australia;Sweden</t>
  </si>
  <si>
    <t>Callaghan;Linkoping</t>
  </si>
  <si>
    <t>The University of Newcastle, Australia;Linkoping University</t>
  </si>
  <si>
    <t>60010571;60009358</t>
  </si>
  <si>
    <t>Wahlberg B.G.</t>
  </si>
  <si>
    <t>Experimental and Theoretical Comparison of Some Algorithms for Beamforming in Single Receiver Adaptive Arrays</t>
  </si>
  <si>
    <t>10.1109/8.64430</t>
  </si>
  <si>
    <t>2-s2.0-0026046775</t>
  </si>
  <si>
    <t>['solved asymptotically', 'simple end', 'numerical solution', 'correction network']</t>
  </si>
  <si>
    <t>A simple end-correction network for the constant current probe model of probe-fed microstrip patch antennas is derived. The parameters of the network are solved asymptotically and verified by the numerical solution of the integral equation formulation. ¬© 1991 IEEE</t>
  </si>
  <si>
    <t>115-118</t>
  </si>
  <si>
    <t>7403974887;7403319959</t>
  </si>
  <si>
    <t>Zheng, Jian Xiong;Chang, David C.</t>
  </si>
  <si>
    <t>Zheng J.X.</t>
  </si>
  <si>
    <t>End-Correction Network of a Coaxial Probe for Microstrip Patch Antennas</t>
  </si>
  <si>
    <t>10.1109/8.64446</t>
  </si>
  <si>
    <t>2-s2.0-0026049970</t>
  </si>
  <si>
    <t>['¬© 1991', 'used successfully', 'reviewed briefly', 'network models', 'network modeling', 'mnm models', 'mnm approach', 'microstrip patches', 'microstrip arrays', 'linear series', 'key advantages', 'general two', 'feed lines', 'fed arrays', 'cover layer', 'cad algorithms', 'approach provides']</t>
  </si>
  <si>
    <t>The multiport network modeling (MNM) approach provides a detailed equivalent network representation of microstrip patches and has been used successfully for CAD of various microstrip patch configurations. Combined with the network modeling of the mutual coupling among patches and network models for feed lines in the array, the MNM approach provides a convenient frame work for CAD of microstrip arrays. This paper is a review of the state-of-the-art in the use of MNM models in CAD of microstrip arrays. The MNM approach for modeling microstrip patches and the mutual coupling among patches is reviewed briefly. Application of the MNM approach to the CAD of linear series-fed arrays with a cover layer is discussed. The CAD algorithms are described and key advantages of the MNM approach leading to sensitivity, analysis and optimization are highlighted. Extension of the approach to more general two-dimensional planar arrays is outlined. ¬© 1991 by Hemisphere Publishing Corporation.</t>
  </si>
  <si>
    <t>89-106</t>
  </si>
  <si>
    <t>60000221;60000221;60021080</t>
  </si>
  <si>
    <t>7402592343;6602836798;7004207652</t>
  </si>
  <si>
    <t>Gupta, K. C.;Benalla, Abdelaziz;Chew, R.</t>
  </si>
  <si>
    <t>China Lake;Boulder</t>
  </si>
  <si>
    <t>Naval Air Warfare Center Weapons Division;University of Colorado Boulder</t>
  </si>
  <si>
    <t>60021080;60000221</t>
  </si>
  <si>
    <t>Gupta K.C.</t>
  </si>
  <si>
    <t>Computer-aided design of microstrip patch arrays-a multiport network modeling approach</t>
  </si>
  <si>
    <t>10.1080/02726349108908265</t>
  </si>
  <si>
    <t>2-s2.0-0026054358</t>
  </si>
  <si>
    <t>['wiley blackwell', 'rights reserved', 'recently used', 'punctures bored', 'preferring pods', 'possible use', 'pods walked', 'pest control', 'oviposition punctures', 'oilseed rape', 'observations suggest', 'laying eggs', 'female weevils', 'deterrent effect', 'contact chemoreceptors', 'adaptive significance', 'abdomen brushing']</t>
  </si>
  <si>
    <t>Brassica napus | cabbage seed weevil | Ceutorhynchus assimilis | marking. | oilseed rape | oviposition | Oviposition‚Äêdeterring pheromone</t>
  </si>
  <si>
    <t>Abstract The cabbage seed weevil (Ceutorhynchus assimilis Payk.) lays eggs singly into pods of oilseed rape (Brassica napus L.) through punctures bored with the mouthparts, preferring pods not recently used for oviposition. A simple new choice test has been used to test individual components of egg‚Äêlaying behaviour for their effect on oviposition site selection. It is confirmed that an oviposition‚Äêdeterring pheromone (ODP) is deposited during abdomen brushing of the pod which follows egg‚Äêlaying. Neither pin punctures, weevil feeding punctures, oviposition punctures nor eggs had any deterrent effect. Pods walked on by female weevils were not avoided by those laying eggs. Observations suggest that the ODP is sensed by contact chemoreceptors on the antennae. The deterrent effect lasted only 1‚Äì2 h. The implications of these findings on the adaptive significance of the pheromone and its possible use in pest control are discussed. Copyright ¬© 1991, Wiley Blackwell. All rights reserved</t>
  </si>
  <si>
    <t>27-33</t>
  </si>
  <si>
    <t>60002793;60002793</t>
  </si>
  <si>
    <t>7402053782;7201818792</t>
  </si>
  <si>
    <t>FERGUSON, ANDREW W.;WILLIAMS, INGRID H.</t>
  </si>
  <si>
    <t>Harpenden</t>
  </si>
  <si>
    <t>Rothamsted Research</t>
  </si>
  <si>
    <t>FERGUSON A.</t>
  </si>
  <si>
    <t>Deposition and longevity of oviposition‚Äêdeterring pheromone in the cabbage seed weevil</t>
  </si>
  <si>
    <t>10.1111/j.1365-3032.1991.tb00540.x</t>
  </si>
  <si>
    <t>2-s2.0-0026055664</t>
  </si>
  <si>
    <t>R01AI023253</t>
  </si>
  <si>
    <t>['toroidal subdivision', 'stimuli clearly', 'stable mimic', 'second essential', 'responded selectively', 'primary processing', 'one neuron', 'olfactory interneurons', 'mgc situated', 'mgc ),', 'male moth', 'macroglomerular complex', 'lucifer yellow', 'globular subdivision', 'dendritic arborizations', 'arborizations confined', 'antennal stimulation', 'antennal lobe']</t>
  </si>
  <si>
    <t>electrophysiology | glomerulus | morphology | olfactory system | sex pheromone</t>
  </si>
  <si>
    <t>Each antennal lobe in the brain of a male moth has a distinctive neuropil structure, the macroglomerular complex (MGC), which is specialized for primary processing of information about the conspecific female sex‚Äêpheromone blend. Olfactory interneurons with dendritic arborizations in the MGC were examined by means of tandem intracellular recording and staining with Lucifer Yellow. Neurons that responded selectively to stimulation of the antenna with the major pheromone component, (E,Z)‚Äê10,12‚Äêhexadecadienal, had arborizations that were restricted to a toroidal subdivision (the ‚Äútoroid‚Äù) of the MGC. Similarly, neurons that responded selectively to antennal stimulation with (E,Z)‚Äê11,13‚Äêpentadecadienal, a more stable mimic of a second essential but chemically unstable pheromone component, (E,E,Z)‚Äê10, 12, 14‚Äêhexadecatrienal, had arborizations confined to a globular subdivision (the ‚Äúcumulus‚Äù) of the MGC situated more proximally to the antennal nerve input. One neuron that responded to both of these stimuli clearly had arborizations in both subdivisions of the MGC. These anatomically distinct subdivisions of the MGC thus appear also to be functionally separate regions of pheromone‚Äêprocessing neuropil. Copyright ¬© 1991 Wiley‚ÄêLiss, Inc.</t>
  </si>
  <si>
    <t>264-278</t>
  </si>
  <si>
    <t>60023324-60029170;60023324;60023324</t>
  </si>
  <si>
    <t>7103226689;57213669759;7102653635</t>
  </si>
  <si>
    <t>Hansson, Bill S.;Christensen, Thomas A.;Hildebrand, John G.</t>
  </si>
  <si>
    <t>Sweden;United States</t>
  </si>
  <si>
    <t>Lund;Tucson</t>
  </si>
  <si>
    <t>Lunds Universitet;Arizona Research Laboratories</t>
  </si>
  <si>
    <t>60029170;60023324</t>
  </si>
  <si>
    <t>Hansson B.</t>
  </si>
  <si>
    <t>Functionally distinct subdivisions of the macroglomerular complex in the antennal lobe of the male sphinx moth Manduca sexta</t>
  </si>
  <si>
    <t>10.1002/cne.903120209</t>
  </si>
  <si>
    <t>2-s2.0-0026056057</t>
  </si>
  <si>
    <t>['subfamily ii', 'subfamilies ii', 'specifically expressed', 'six insect', 'primarily hydrophobic', 'pbp ),', 'olfactory receptors', 'olfactory neurons', 'odorant receptors', 'hydrophobic odorants', 'highly variable', 'highly conserved', 'gobp ).', 'female antennae', 'distinct classes', 'aqueous solubility', 'aqueous environment', '14 represent', '14 proteins']</t>
  </si>
  <si>
    <t>The olfactory receptors of terrestrial animals exist in an aqueous environment, yet detect odorants that are primarily hydrophobic. The aqueous solubility of hydrophobic odorants is thought to be greatly enhanced via odorant binding proteins (OBP) which exist in the extracellular fluid surrounding the odorant receptors. We have isolated and partially sequenced 14 candidate OBPs from six insect (moth) species. All 14 represent a single homologous family based on conserved sequence domains. The 14 proteins can be divided into three subfamilies based on differences in tissue specific expression and similarities in amino acid sequences. All 14 proteins are specifically expressed in antennal olfactory tissue. Subfamily I represents previously described pheromone binding proteins (PBP), which are malespecific, associate with pheromone‚Äêsensitive neurons, and are highly variable in their sequences when compared among species. Subfamilies II and III are expressed in both male and female antennae, appear to associate with general‚Äêodorant‚Äêsensitive neurons, and are highly conserved when compared among species. The properties of the subfamily II and III proteins suggest these are general‚Äêodorant binding proteins (GOBP). The properties of the respective insect OBP subfamilies suggest that they have different odorant binding specificities. The association of different insect OBP subfamilies with distinct classes of olfactory neurons having different odorant specificities suggests that OBPs can act as selective signal filters, peripheral to the actual receptor proteins. Copyright ¬© 1991 John Wiley &amp; Sons, Inc.</t>
  </si>
  <si>
    <t>74-84</t>
  </si>
  <si>
    <t>60017994;60026415;60017994</t>
  </si>
  <si>
    <t>7202412220;36043755100;35519038900</t>
  </si>
  <si>
    <t>Vogt, Richard G.;Prestwich, Glenn D.;Lerner, Michael R.</t>
  </si>
  <si>
    <t>Stony Brook;New Haven</t>
  </si>
  <si>
    <t>Stony Brook University;Yale School of Medicine</t>
  </si>
  <si>
    <t>60026415;60017994</t>
  </si>
  <si>
    <t>Vogt R.</t>
  </si>
  <si>
    <t>Odorant‚Äêbinding‚Äêprotein subfamilies associate with distinct classes of olfactory receptor neurons in insects</t>
  </si>
  <si>
    <t>10.1002/neu.480220108</t>
  </si>
  <si>
    <t>2-s2.0-0026057384</t>
  </si>
  <si>
    <t>60003892;60014313</t>
  </si>
  <si>
    <t>7005725769;7006061921</t>
  </si>
  <si>
    <t>Aberle, James T.;Pozar, David M.</t>
  </si>
  <si>
    <t>Amherst MA;Tempe</t>
  </si>
  <si>
    <t>University of Massachusetts Amherst;Arizona State University</t>
  </si>
  <si>
    <t>60014313;60003892</t>
  </si>
  <si>
    <t>Aberle J.</t>
  </si>
  <si>
    <t>Accurate and versatile solutions for probe-fed microstrip patch antennas and arrays</t>
  </si>
  <si>
    <t>10.1080/02726349108908261</t>
  </si>
  <si>
    <t>2-s2.0-0026060325</t>
  </si>
  <si>
    <t>['various characteristics', 'solved directly', 'slight tilt', 'resonant slots', 'resonant length', 'rectangular waveguide', 'numerical computations', 'nearly sinusoidal', 'main feature', 'inclined slots', 'good agreement', 'field distribution', 'external coupling', 'constant phase', 'broad walls', 'aperture field']</t>
  </si>
  <si>
    <t>A moment method analysis of sidewall inclined slots in a rectangular waveguide is presented. The main feature is the use of a 90¬∞ wedge Green's function to model the external coupling between the parts of the slot in the narrow and broad walls of the waveguide. The aperture field distributions of the inclined slots are solved directly. It is found that for resonant slots, the aperture field is approximately of constant phase, while its amplitude is nearly sinusoidal but with a slight tilt. From the field distribution, various characteristics of the slot can be extracted, such as the conductance, susceptance, and resonant length. The numerical computations are in good agreement with experimental results available in the literature. ¬© 1991 IEEE</t>
  </si>
  <si>
    <t>68-73</t>
  </si>
  <si>
    <t>60005429;60005429;60005429</t>
  </si>
  <si>
    <t>7102342059;7202048581;7402943497</t>
  </si>
  <si>
    <t>Jan, Cheng Geng;Hsu, Powen;Wu, Ruey Beei</t>
  </si>
  <si>
    <t>Taiwan</t>
  </si>
  <si>
    <t>Taipei</t>
  </si>
  <si>
    <t>National Taiwan University</t>
  </si>
  <si>
    <t>Jan C.</t>
  </si>
  <si>
    <t>Moment Method Analysis of Sidewall Inclined Slots in Rectangular Waveguides</t>
  </si>
  <si>
    <t>10.1109/8.64437</t>
  </si>
  <si>
    <t>2-s2.0-0026062853</t>
  </si>
  <si>
    <t>['¬© 1991', 'technique consists', 'small numbers', 'small number', 'simulated images', 'righrs reserved', 'recent years', 'point targets', 'passive imaging', 'narrow mainlobe', 'multiple images', 'interesting features', 'high sidelobes', 'high resolution', 'finite region', 'filled circular', 'elliptical region', 'boundary array', 'array elements', 'aperture plane', 'aperture consisting', 'also applicable', 'acoustical society']</t>
  </si>
  <si>
    <t>A planar antenna array, the elements of which are deployed on the boundary of some finite region in the aperture plane, is known as a boundary array. Such a deployment of array elements can produce a point spread function with a narrow mainlobe, but this type of deployment also results in high sidelobes. Because of the potential for high resolution from a small number of array elements inherent in these arays, it is of interest to investigate their use, both in the context of passive (receive-only) imaging of incoherent source distributions and in the context of active (transmit/receive) imaging of coherent source distributions. In recent years, a technique has been proposed for creating the effect of imaging with a filled circular or elliptical aperture using an aperture consisting only of the boundary of the same circular or elliptical region. This technique consists of the addition of multiple images that are formed with different point spread functions to synthesize an image with the desired point spread function, and it is applicable to both active and passive imaging. In this paper, a technique is presented for creating the effect of imaging with a rectangular aperture using only the boundary of that aperture. This technique is also applicable both for active and passive imaging. Also, simulated images are given of small numbers of point targets from the imaging systems discussed. These are used to motivate a discussion of some of the interesting features of the aperture synthesis scheme. ¬© 1991, Acoustical Society of America. All righrs reserved.</t>
  </si>
  <si>
    <t>799-810</t>
  </si>
  <si>
    <t>60031581;60031581;60102562</t>
  </si>
  <si>
    <t>56277448200;56251804200;6603222618</t>
  </si>
  <si>
    <t>Ji, Chaunyi;Kassam, Saleem A.;Hoctor, Ralph T.</t>
  </si>
  <si>
    <t>Philadelphia;Pasadena</t>
  </si>
  <si>
    <t>School of Engineering and Applied Science;California Institute of Technology</t>
  </si>
  <si>
    <t>60102562;60031581</t>
  </si>
  <si>
    <t>Ji C.</t>
  </si>
  <si>
    <t>Aperture Synthesis For Imaging Systems Using Rectangular Boundary Arrays</t>
  </si>
  <si>
    <t>10.1121/1.1894640</t>
  </si>
  <si>
    <t>2-s2.0-0026064338</t>
  </si>
  <si>
    <t>['¬© 1991', 'surface impedance', 'radiating structure', 'mutual coupling', 'microstrip arrays', 'feed network']</t>
  </si>
  <si>
    <t>The theory is outlined for the spectral domain analysis of microstrip arrays and its feed network which is considered as a part of the radiating structure. All mutual coupling and surface wave effects are taken into account. The surface impedance of the patches and the feedlines may vary with space; the feed network may obtain passive and active lumped loads. ¬© 1991 by Hemisphere Publishing Corporation.</t>
  </si>
  <si>
    <t>69-88</t>
  </si>
  <si>
    <t>60005322;60005322</t>
  </si>
  <si>
    <t>56196059900;6603448150</t>
  </si>
  <si>
    <t>Hansen, V.;Janhsen, A.</t>
  </si>
  <si>
    <t>Bochum</t>
  </si>
  <si>
    <t>Ruhr-Universitat Bochum</t>
  </si>
  <si>
    <t>Hansen V.</t>
  </si>
  <si>
    <t>Spectral domain analysis of microstrip arrays including the feed network with space-varying surface impedances and lumped elements</t>
  </si>
  <si>
    <t>10.1080/02726349108908264</t>
  </si>
  <si>
    <t>2-s2.0-0026064821</t>
  </si>
  <si>
    <t>['standard nearfield', 'significantly greater', 'sampling approach', 'required measurements', 'remarkable reduction', 'polar scanning', 'polar ones', 'measurement time', 'applied also', 'accurate recovery']</t>
  </si>
  <si>
    <t>An optimal sampling interpolation algorithm is developed which allows the accurate recovery of plane-rectangular nearfield samples from the knowledge of the plane-polar ones. This enables the standard nearfield-far-field (NF-FF) transformation, which takes full advantage of the fast Fourier transform (FFT) algorithm, to be applied also to plane-polar scanning. The maximum allowable sample spacing is also rigorously derived, and it is shown that it can be significantly greater than Œª/2 as the measurement plane moves away from the source. This allows a remarkable reduction of both measurement time and memory storage requirements. The sampling approach is compared with that based on the bivariate Lagrange interpolation (BLI) method. The sampling reconstruction agrees with the exact results significantly better than the BLI, in spite of the significantly lower number of required measurements. ¬© 1991 IEEE</t>
  </si>
  <si>
    <t>48-55</t>
  </si>
  <si>
    <t>60017293;60002324;60002324</t>
  </si>
  <si>
    <t>7006499276;7003785247;7004082336</t>
  </si>
  <si>
    <t>Bucci, Ovidio M.;Gennarelli, Claudio;Savarese, Catello</t>
  </si>
  <si>
    <t>Naples;Florence</t>
  </si>
  <si>
    <t>Universit√† degli Studi di Napoli Federico II;Istituto Di Fisica Applicata Nello Carrara</t>
  </si>
  <si>
    <t>60017293;60002324</t>
  </si>
  <si>
    <t>Bucci O.M.</t>
  </si>
  <si>
    <t>Fast and Accurate Near-Field-Far-Field Transformation by Sampling Interpolation of Plane-Polar Measurements</t>
  </si>
  <si>
    <t>10.1109/8.64434</t>
  </si>
  <si>
    <t>2-s2.0-0026066132</t>
  </si>
  <si>
    <t>['und c', 'stationary targets', 'scan rate', 'relative motion', 'relative angle', 'really stationary', 'radial velocity', 'one consequence', 'meteorological echoes', 'mainlobe direction', 'lincoln laboratory', 'ground targets', 'feedhorn 4', 'design feature', 'depends upon', 'azimuthal rotation', 'automatically reject', '88d radars', '50 db', '30 degrees']</t>
  </si>
  <si>
    <t>Modern Doppler weather radars use clutter filtering to reduce the strength of ground targets and enhance the detection of meteorological echoes. WSR-88D (NEXRAD (Next Generation Radar) and TDWR (Terminal Doppler Weather Radar)) radars, for example, will automatically reject up to 50 dB of signal from stationary targets. Clutter rejection operates on the assumption that the targets to be rejected are really stationary. This assumption is correct for all true ground targets. Unfortunately, these targets are detected by radars using moving antennas. The design of these antennas usually places the feedhorn of the antenna some distance from the center of azimuthal rotation of the antenna. The WSR-88D, for example, has the feedhorn 4.78 m from the center of azimuthal rotation. One consequence of this design feature is that there is a relative motion between the feedhorn and stationary ground targets, which introduces a radial velocity that depends upon the distance from the feedhorn to axis of rotation, the azimuthal rotation rate, and the relative angle between the mainlobe direction and the target. Consequently, stationary targets can produce sidelobe echoes that have velocities. For example, data from the Lincoln Laboratory S- band FL2 radar show antenna rotation-produced moving sidelobe echo velocities as fast as 3 m s "SUP -1" ; the UND C-band radar produced erroneous velocities as fast as 0.8 m s "SUP -1" . WSR-88D radars will generate erroneous velocities as large as 2.5 m s "SUP -1" for a 30 degrees s "SUP -1" scan rate. (A)</t>
  </si>
  <si>
    <t>733-745</t>
  </si>
  <si>
    <t>Rinehart, R. E.</t>
  </si>
  <si>
    <t>Rinehart R.E.</t>
  </si>
  <si>
    <t>Spurious velocities in Doppler radar data caused by a moving antenna feedhorn</t>
  </si>
  <si>
    <t>10.1175/1520-0426(1991)008&lt;0733:SVIDRD&gt;2.0.CO;2</t>
  </si>
  <si>
    <t>2-s2.0-0026067491</t>
  </si>
  <si>
    <t>K08CA001169</t>
  </si>
  <si>
    <t>['using one', 'technically feasible', 'slightly improved', 'six 2450', 'scalp burn', 'radiological appearance', 'pulmonary embolus', 'persistent tumor', 'month follow', 'median survival', 'june 1989', 'june 1987', 'interstitial irradiation', 'implanted stereotactically', 'implant catheters', 'computed tomography', 'brain tumor', 'based preplanning', 'alive 40', 'activity iodine', '97 weeks', '90 %.', '9 patients', '65 years', '5 patients', '30 minutes', '3 melanomas', '3 adenocarcinomas', '28 patients', '2 died', '13 glioblastomas', '1 died', '0 gy']</t>
  </si>
  <si>
    <t>Brain neoplasm | Glioma | Hyperthermia | Interstitial brachytherapy | Microwave | Radiation therapy</t>
  </si>
  <si>
    <t>Between June 1987 and June 1989, 29 recurrent malignant gliomas or recurrent solitary brain metastases in 28 patients were treated in a Phase I study of interstitial irradiation and hyperthermia. Patient age ranged from 18 to 65 years, and the Karnofsky Performance Status scores ranged from 40 to 90%. There were 13 glioblastomas, 10 anaplastic astrocytomas, 3 melanomas, and 3 adenocarcinomas. Catheters were implanted stereotactically after computed tomography-based preplanning. Hyperthermia was administered before and after brachytherapy, using one to six 2450- or 915-MHz helical coil microwave antennas and one to three multisensor fiberoptic thermometry probes. The goal was to heat as much of the tumor as possible to 42.5¬∞C for 30 minutes. Within 30 minutes after the first hyperthermia treatment, implant catheters were afterloaded with high-activity iodine-125 seeds delivering tumor doses of 32.6 to 61.0 Gy. Most patients had no sensation of heating. Complications included seizures in 5 patients, reversible neurological changes in 9 patients, a scalp burn in 1, and infections in 3. Of 28 evaluable 2-month follow-up scans, 11 showed definite improvement in the radiological appearance of the tumor, 4 were slightly improved, 7 were stable, and 6 showed tumor progression. Ten patients underwent reoperation for persistent tumor and/or necrosis. Eleven of 28 patients are alive 40 to 97 weeks after treatment. Thirteen patients died of a brain tumor, 2 died of extracranial melanoma metastases, 1 died of new brain melanoma metastases, and 1 died of a pulmonary embolus. The median survival was 55 weeks overall. Median survival has not yet been reached for the anaplastic astrocytoma subgroup. We conclude that interstitial brain hyperthermia using helical coil microwave antennas is technically feasible. The level of toxicity is acceptable, and the computed tomographic response rate is encouraging.</t>
  </si>
  <si>
    <t>206-215</t>
  </si>
  <si>
    <t>0148396X</t>
  </si>
  <si>
    <t>Neurosurgery</t>
  </si>
  <si>
    <t>60023691;60023691;60023691;60023691;60023691;60023691;60023691;60023691;60023691;60023691;60023691</t>
  </si>
  <si>
    <t>35408019300;7005772755;7005586630;7401766706;7003487797;35414202500;7101956193;7005599160;7102738132;35403340700;24502142300</t>
  </si>
  <si>
    <t>Sneed, P. K.;Stauffer, P. R.;Gutin, P. H.;Phillips, T. L.;Suen, S.;Weaver, K. A.;Lamb, S. A.;Ham, B.;Prados, M. D.;Larson, D. A.;Wara, W. M.</t>
  </si>
  <si>
    <t>San Francisco</t>
  </si>
  <si>
    <t>University of California, San Francisco</t>
  </si>
  <si>
    <t>Sneed P.</t>
  </si>
  <si>
    <t>Interstitial irradiation and hyperthermia for the treatment of recurrent malignant brain tumors</t>
  </si>
  <si>
    <t>10.1227/00006123-199102000-00006</t>
  </si>
  <si>
    <t>2-s2.0-0026078533</t>
  </si>
  <si>
    <t>['special case', 'scattering matrices', 'received waves', 'one another', 'measurement system', 'limited set', 'known targets', 'experimental results', 'distortion matrices', 'considered also']</t>
  </si>
  <si>
    <t>A polarimetric radar calibration procedure is introduced and verified with experimental results. The procedure requires measurements of three known targets in order to determine the distortion matrices that characterize the effect of the measurement system on the transmitted and received waves. The scattering matrices for the known targets can be of any form, provided that a limited set of constraints is satisfied. A special case, wherein the transmit and receive distortion matrices are the transpose of one another, is considered also. This case is useful for some single antenna systems and has the advantage that only two known targets are required. ¬© 1991 IEEE</t>
  </si>
  <si>
    <t>62-67</t>
  </si>
  <si>
    <t>60025778;60025778;60025778;60025778</t>
  </si>
  <si>
    <t>7005928673;7103159953;7003345569;7003973853</t>
  </si>
  <si>
    <t>Whitt, Michael W.;Ulaby, Fawwaz T.;Polatin, Paul;Liepa, Valdis V.</t>
  </si>
  <si>
    <t>Ann Arbor</t>
  </si>
  <si>
    <t>University of Michigan, Ann Arbor</t>
  </si>
  <si>
    <t>Whitt M.W.</t>
  </si>
  <si>
    <t>A General Polarimetric Radar Calibration Technique</t>
  </si>
  <si>
    <t>10.1109/8.64436</t>
  </si>
  <si>
    <t>2-s2.0-0026080341</t>
  </si>
  <si>
    <t>['œâ feeder', 'sleeve antenna', 'numerical results', 'monopole antenna', 'measured data', 'leakage current', 'integral equation', 'ground wires', 'galerkin method', 'feeder cannot', 'coaxial feeder']</t>
  </si>
  <si>
    <t>Pocklinglon's integral equation for a sleeve antenna with ground wires is formulated. By applying the Galerkin method to this equation, a sleeve antenna, a monopole antenna with ground wires, and a sleeve antenna with ground wires are analyzed, and numerical results for these antennas are compared with measured data. The sleeve antenna features the leakage current on the surface of the coaxial feeder, suppressed by a sperrtopf, but it is mismatched with the 50-œâ feeder. The monopole antenna with inclined ground wires may be adjusted to match to 50-œâ feeder, but the leakage current induced on the feeder cannot be neglected. It is found that the sleeve antenna with ground wires has the advantages of both antennas. ¬© 1991 IEEE</t>
  </si>
  <si>
    <t>60019983;60019983;60011846</t>
  </si>
  <si>
    <t>7202459692;35608208100;55741538100</t>
  </si>
  <si>
    <t>Taguchi, Mitsuo;Egashira, Shigeru;Tanaka, Kazumasa</t>
  </si>
  <si>
    <t>Saga;Nagasaki</t>
  </si>
  <si>
    <t>Saga University;Nagasaki University</t>
  </si>
  <si>
    <t>60019983;60011846</t>
  </si>
  <si>
    <t>Taguchi M.</t>
  </si>
  <si>
    <t>Sleeve Antenna with Ground Wires</t>
  </si>
  <si>
    <t>10.1109/8.64427</t>
  </si>
  <si>
    <t>2-s2.0-0026082329</t>
  </si>
  <si>
    <t>EET-8708687</t>
  </si>
  <si>
    <t>['wave components', 'skin ).', 'sharp gradients', 'sar distributions', 'rights reserved', 'rapidly attenuated', 'power deposition', 'particular sources', 'paper computations', 'outer layers', 'one direction', 'one dimension', 'may exist', 'localization occurs', 'increased attentuation', 'homogeneous regions', 'fundamental limitations', 'following points', 'fields propagate', 'em fields', 'better understand', 'avoid gradients', 'avoid fields', 'applicator design', 'antenna design', 'actually generated']</t>
  </si>
  <si>
    <t>Cylindrical models | Electromagnetic fields | Focused power | Hyperthennia | Non-invasive</t>
  </si>
  <si>
    <t>Computations of SAR distributions in homogeneous regions and in multilayered concentric cylindrical models of the torso are presented to illustrate how an increase in the localization of the fields and/or a decrease in attentuation of the fields in one dimension is accompanied by a decrease in the localization and/or an increase in the attenuation in the other dimensions. Sharp gradients that may exist in the EM intensity patterns at the surface of a body become less pronounced further into the body because the wave components having higher spatial frequencies are most rapidly attenuated. 4. Summary By considering the possible EM fields, independent of particular sources, it is possible to obtain alternative perspectives on antenna design for hyperthermia, and to better understand the fundamental limitations on the localization of fields and power deposition in source free regions. In this paper computations of EM fields in homogeneous regions and in multilayered concentric cylinders are used to illustrate the following points. As the fields are more confined in one direction an increase in the attenuation and/or decrease in localization occurs in other directions. Also, as the fields propagate into the body, those waves having higher spatial frequencies are attenuated more rapidly than waves having lower spatial frequencies. Consequently, in applicator design it is desirable to avoid fields having sharp gradients near the surface because such fields have increased attentuation in other directions and cause most of the power to be concentrated at the outer layers (fat, skin). Also, in numerically modelling applicator. It is desirable to avoid gradients of the fields that are more rapid than those actually generated by the devices that are modelled. ¬© 1991 Informa UK Ltd All rights reserved: reproduction in whole or part not permitted.</t>
  </si>
  <si>
    <t>185-196</t>
  </si>
  <si>
    <t>60026227;60026227</t>
  </si>
  <si>
    <t>55411756200;7402765572</t>
  </si>
  <si>
    <t>Chowdhury, D. Q.;Hill, S. C.</t>
  </si>
  <si>
    <t>Potsdam</t>
  </si>
  <si>
    <t>Clarkson University</t>
  </si>
  <si>
    <t>Chowdhury D.</t>
  </si>
  <si>
    <t>Limits on focused power deposition for electromagnetic hyperthermia</t>
  </si>
  <si>
    <t>10.3109/02656739109004988</t>
  </si>
  <si>
    <t>2-s2.0-0026088582</t>
  </si>
  <si>
    <t>['two patients', 'thermal mapping', 'steering techniques', 'spinal canal', 'sar measurements', 'sar contours', 'rights reserved', 'resonance frequency', 'qualitative agreement', 'power distribution', 'pig cadaver', 'peak sar', 'normal tissues', 'measured sar', 'marked reduction', 'longitudinal dependence', 'good agreement', 'distance cephalad', 'constructive interference', 'computer preplan', 'computer predictions', 'cervical spine', 'central plane', 'approximately 3', 'although differences', '67 sessions', '5 cm', '42 ¬∞', '20 cm', '2 patients', '17 patients']</t>
  </si>
  <si>
    <t>Annular phased array | Microwave hyperthermia | Regional hyperthermia</t>
  </si>
  <si>
    <t>The BSD 2000 system is an array of microwave antennas operating in the 60-120 MHz range. It is a four-quadrant regional hyperthermia device with phase control permitting the operator to choose the point of constructive interference. A computer preplanning system is provided. We have compared the computer predictions with measured relative specific absorption rate (SAR) distributions in muscle equivalent phantoms and pig cadaver. The predicted SAR distribution is in qualitative agreement with observation, although differences of approximately 3-5 cm in the location of iso- SAR contours were noted. The longitudinal dependence of relative of distance cephalad to the central plane of the power distribution was measured, and it was found that a length of 15-20 cm was covered by the 50% iso-SAR. SAR measurements in the spinal canal of a pig cadaver showed that, even at resonance frequency, the measured SAR in the cervical spine was small (0.07 of central axis SAR). However, the spinal canal SAR as measured in the central plane of an evenly balanced configuration was 0.6 of the peak SAR. Marked reduction of the spinal canal SAR could be obtained with steering techniques and was in good agreement with the computer preplan. This paper reviews preliminary clinical experience with 17 patients. All but 2 patients were treated with steering techniques to permit partial sparing of normal tissues. The goal of maintaining central tumour temperature at or above 42¬∞ for at least 30 min was maintained in 41 of 67 sessions (61% and in at least one session for all but 2 patients. Seventy-seven per cent of monitored tumour points attained at least 42¬∞ in patients for whom thermal mapping was performed. Significant cardiovascular stress developed during hyperthermia in two patients. There have been five complete responses and seven partial responses in the 17 patients. ¬© 1991 Informa UK Ltd All rights reserved: reproduction in whole or part not permitted.</t>
  </si>
  <si>
    <t>937-951</t>
  </si>
  <si>
    <t>60006263;112604160;60006263;60006263;60006263;60006263</t>
  </si>
  <si>
    <t>7005939118;7004588237;35400466600;35407226300;55630217100;6507303691</t>
  </si>
  <si>
    <t>Myerson, R. J.;Leybovich, L.;Emami, B.;Grigsby, P. W.;Straube, W.;von Gerichten, D.</t>
  </si>
  <si>
    <t>St. Louis;Hines</t>
  </si>
  <si>
    <t>Washington University School of Medicine in St. Louis, Mallinckrodt Institute of Radiology;Hines VA Hospital-114B</t>
  </si>
  <si>
    <t>60006263;112604160</t>
  </si>
  <si>
    <t>Myerson R.J.</t>
  </si>
  <si>
    <t>Phantom studies and preliminary clinical experience with the BSD 2000</t>
  </si>
  <si>
    <t>10.3109/02656739109056460</t>
  </si>
  <si>
    <t>2-s2.0-0026095180</t>
  </si>
  <si>
    <t>['weights controlling', 'tolerable level', 'studied analytically', 'simple algorithm', 'processing element', 'misadjustment noise', 'implementation complexity', 'filter weights', 'delay line', 'convergence behavior', 'broadband null', 'broadband jammer', 'algorithm constrains', 'adaptively steering', 'adaptively formed']</t>
  </si>
  <si>
    <t>A simple algorithm is presented and investigated for adaptively steering the Broadband null in a two-element power inversion array which employs a tapped delay line filter as the processing element. Basically, by performing a simple signal transformation, the algorithm constrains some of the filter weights so that a variable length delay line is being approximated in the maximally flat sense. By using the least mean square (LMS) algorithm to adjust the weights controlling the length and gain of the delay line, a Broadband null is then adaptively formed to track and reject the Broadband jammer. As studied analytically and by using simulation results, the convergence behavior of the algorithm is fast and depends only on the tolerable level of misadjustment noise. Yet, its implementation complexity is comparable to that of using the LMS algorithm directly. ¬© 1991 IEEE</t>
  </si>
  <si>
    <t>122-125</t>
  </si>
  <si>
    <t>Ko, C. C.</t>
  </si>
  <si>
    <t>National University of Singapore</t>
  </si>
  <si>
    <t>Ko C.</t>
  </si>
  <si>
    <t>A Simple, Fast Adaptive Algorithm for Broadband Null Steering Arrays</t>
  </si>
  <si>
    <t>10.1109/8.64449</t>
  </si>
  <si>
    <t>2-s2.0-0026096679</t>
  </si>
  <si>
    <t>['wind field', 'uhf radar', 'proposed technique', 'novel extension', 'doppler method']</t>
  </si>
  <si>
    <t>A novel extension of the spaced antenna method for VHF/UHF radar and wind profiler applications is introduced in this paper. It is proposed that instead of pointing the spaced antenna beams vertically, off-vertical oblique configuration should be used. It will be shown that this technique can be used to obtain horizontal wind at independent 'points' in the atmosphere without making assumptions about homogeneity or variation of the wind field between these points. Good experimental confirmations are achieved by comparing the results with those derived from the conventional spaced antenna method and the Doppler method. Applications of the proposed technique in measuring kinematic properties of the wind field such as divergence, vorticity, etc, in the atmosphere and the accuracy of these measurements are discussed. (A)</t>
  </si>
  <si>
    <t>247-258</t>
  </si>
  <si>
    <t>Liu, C. H.</t>
  </si>
  <si>
    <t>Liu C.H.</t>
  </si>
  <si>
    <t>The oblique spaced antenna method for measuring the atmospheric wind field</t>
  </si>
  <si>
    <t>10.1175/1520-0426(1991)008&lt;0247:tosamf&gt;2.0.co;2</t>
  </si>
  <si>
    <t>2-s2.0-0026097667</t>
  </si>
  <si>
    <t>University of Maryland</t>
  </si>
  <si>
    <t>UMD</t>
  </si>
  <si>
    <t>['¬© 1991', 'temperature profile', 'temperature measurements', 'stereotactic frame', 'sagittal suture', 'nonthermal effect', 'microwave irradiation', 'made lateral', 'injected intravenously', 'induced hyperthermia', 'horseradish peroxidase', 'fluoroptical thermometry', 'effective means', 'dawley rats', 'data suggest', 'cooling system', 'brain temperatures', 'brain barrier', '60 minutes', '30 minutes', '2450 mhz', '21 sprague', '1 mg']</t>
  </si>
  <si>
    <t>Blood-brain barrier | Brain tumor | Hyperthermia | Microwaves</t>
  </si>
  <si>
    <t>The effect of microwave-induced hyperthermia on the blood-brain barrier was studied in 21 Sprague-Dawley rats. Under sodium pentobarbital anesthesia, animals were place in a stereotactic frame, and an interstitial microwave antenna operating at 2450 MHz was inserted in a bony groove drilled parallel to the sagittal suture. Some antennae were equipped with an external cooling jacket. Temperature measurements were made lateral to the antenna by fluoroptical thermometry, and power was calculated from the time-temperature profile. Five minutes prior to termination of microwave irradiation, horseradish peroxidase (1 mg/20 g body weight) was injected intravenously. Extravasation of horseradish peroxidase was observed in brain tissue heated above 44.3¬∞C for 30 minutes and at 42.5¬∞C for 60 minutes. Microwave irradiation failed to open the blood-brain barrier when brain temperatures were sustained below 40.3¬∞C by the cooling system. Extravasation of blood-borne peroxidase occurred at sites of maximal temperature elevation, even when these did not coincide with the site of maximum power density. The data suggest that microwave-induced hyperthermia is an effective means for opening the blood-brain barrier and that the mechanism is not related to the nonthermal effect of microwaves. ¬© 1991.</t>
  </si>
  <si>
    <t>177-182</t>
  </si>
  <si>
    <t>Surgical Neurology</t>
  </si>
  <si>
    <t>60012957;60012957;60012957</t>
  </si>
  <si>
    <t>56243220100;7007030572;7003823014</t>
  </si>
  <si>
    <t>Moriyama, Eiji;Salcman, Michael;Broadwell, Richard D.</t>
  </si>
  <si>
    <t>University of Maryland School of Medicine</t>
  </si>
  <si>
    <t>Moriyama E.</t>
  </si>
  <si>
    <t>Blood-brain barrier alteration after microwave-induced hyperthermia is purely a thermal effect: I. Temperature and power measurements</t>
  </si>
  <si>
    <t>0090-3019(91)90068-K</t>
  </si>
  <si>
    <t>10.1016/0090-3019(91)90068-K</t>
  </si>
  <si>
    <t>2-s2.0-0026099116</t>
  </si>
  <si>
    <t>National Aeronautics and Space Administration</t>
  </si>
  <si>
    <t>NASA</t>
  </si>
  <si>
    <t>['transmitted via', 'novel circuit', 'modulated lightwave', 'mmic technology', 'microwave domain', 'microwave conversion', 'microwave components', 'locked oscillator', 'extremely difficult', 'efficient optical', 'dielectric resonator', 'converted back', 'circuit realization', '8 ghz']</t>
  </si>
  <si>
    <t>In an optically fed phased array antenna system, the microwave carrier signal is transmitted via a modulated lightwave to each active T/R (transmit/receive) module, where it must be converted back to the microwave domain. Currently, efficient optical to microwave conversion is extremely difficult, as the detected microwave signal is weak and noisy. A novel circuit, containing a high-gain/low-noise microwave injection-locked oscillator, has been developed to improve the interface between the optical and microwave components. The circuit utilizes two FETs and a dielectric resonator, which serves as a frequency-dependent feedback element. The circuit, designed to operate at about 8 GHz, provides significant amplitude and phase noise suppression. In addition, the circuit realization is compatible with MMIC technology. ¬© 1991 IEEE</t>
  </si>
  <si>
    <t>201-208</t>
  </si>
  <si>
    <t>60030035;60014662;60014662;60014662;60014662</t>
  </si>
  <si>
    <t>7004329585;6603688573;24463325600;7006552817;7004552193</t>
  </si>
  <si>
    <t>Berceli, Tibor;Jemison, William D.;Herczfeld, Peter R.;Daryoush, Afshin S.;Paolella, Arthur</t>
  </si>
  <si>
    <t>Hungary;United States</t>
  </si>
  <si>
    <t>Budapest;Philadelphia</t>
  </si>
  <si>
    <t>Budapest University of Technology and Economics;Drexel University</t>
  </si>
  <si>
    <t>60030035;60014662</t>
  </si>
  <si>
    <t>Berceli T.</t>
  </si>
  <si>
    <t>A Double-Stage Injection-Locked Oscillator for Optically Fed Phased Array Antennas</t>
  </si>
  <si>
    <t>10.1109/22.102961</t>
  </si>
  <si>
    <t>2-s2.0-0026103023</t>
  </si>
  <si>
    <t>['uncompressed pulse', 'significantly greater', 'sidelobe level', 'retain sidelobes', 'radar division', 'performance results', 'maximum level', 'k samples', 'implemented using', 'finite sampling', 'degraded due', 'dc 20375', 'compressed pulse', 'code 5340', 'canceler weights', 'adaptive canceler']</t>
  </si>
  <si>
    <t>Performance results for the sidelobe level of a compressed pulse that has been preprocessed through an adaptive canceler are obtained. The adaptive canceler is implemented using the sampled matrix inversion (SMI) algorithm. Because of finite sampling, the quiescent compressed pulse sidelobe levels are degraded due to the preprocessing of the main channel input data stream (the uncompressed pulse) through an adaptive canceler. If N is the number of input canceler channels (main and auxiliaries) and K is the number of independent samples per channel, then it is shown that K/N can be significantly greater than one in order to retain sidelobes that are close to the original quiescent sidelobe level (with no adaptive canceler). Also it is shown that the maximum level of degradation is independent of whether pulse compression occurs before or after the adaptive canceler if the uncompressed pulse is completely contained within the K samples that are used to calculate the canceler weights. Furthermore, this same analysis can be used to predict the canceler noise power level which is induced by having the desired signal present in the canceler weight calculation. Author's address: Radar Division, Naval Research Laboratory, Code 5340, Washington, DC 20375. ¬© 1991 IEEE</t>
  </si>
  <si>
    <t>331-342</t>
  </si>
  <si>
    <t>Gerlach, Karl</t>
  </si>
  <si>
    <t>Washington, D.C.</t>
  </si>
  <si>
    <t>Naval Research Laboratory</t>
  </si>
  <si>
    <t>Gerlach K.</t>
  </si>
  <si>
    <t>Adaptive Canceler And Pulse Compressor Interactions</t>
  </si>
  <si>
    <t>10.1109/7.78307</t>
  </si>
  <si>
    <t>2-s2.0-0026103059</t>
  </si>
  <si>
    <t>['well approximated', 'twodimensional surface', 'triangular support', 'spectral galerkin', 'reflector antennas', 'many applications', 'linear function', 'linear approximation', 'function defined', 'fourier transform', 'elemental shape', 'current distribution']</t>
  </si>
  <si>
    <t>Any surface, no matter how irregular, can be well approximated by a union of triangles. Hence, triangles can be used as the elemental shape (a simplex) for a two-dimensional (2-D) surface. A twodimensional linear distribution over each triangle can be used to obtain a piecewise-linear approximation of a function defined over a twodimensional surface. The Fourier transform of the current distribution is needed in many applications, for example, in radar cross section (RCS) calculation, radiation and diffraction in reflector antennas, and spectral Galerkin's method. In this communication, a three-dimensional (3-D) Fourier transform (FT) of a linear function with triangular support is derived in its coordinate free representation. ¬© 1991 IEEE</t>
  </si>
  <si>
    <t>252-254</t>
  </si>
  <si>
    <t>60000745;60000745;60000745</t>
  </si>
  <si>
    <t>7004288007;26643168800;7601396617</t>
  </si>
  <si>
    <t>Houshmand, Bijan;Chew, Weng Cho;Lee, Shung Wu</t>
  </si>
  <si>
    <t>Urbana</t>
  </si>
  <si>
    <t>University of Illinois Urbana-Champaign</t>
  </si>
  <si>
    <t>Houshmand B.</t>
  </si>
  <si>
    <t>Fourier Transform of a Linear Distribution with Triangular Support and Its Applications in Electromagnetics</t>
  </si>
  <si>
    <t>10.1109/8.68191</t>
  </si>
  <si>
    <t>2-s2.0-0026103103</t>
  </si>
  <si>
    <t>['wiley company', 'performance optimization', 'patch size', 'input impedance', 'inc .,', 'configuration allows', 'aperture size', 'aperture location']</t>
  </si>
  <si>
    <t>antenna feed | aperture coupling | Patch antenna | spectral domain analysis</t>
  </si>
  <si>
    <t>A full‚Äêwave spectral domain model of a series‚Äêfed, traveling‚Äêwave aperture‚Äêcoupled patch array antenna is presented. This configuration allows for performance optimization by adjustment of the aperture size, aperture location, and patch size. The theory successfully predicts the input impedance and far‚Äêfield patterns of various C‚Äêband configurations. Copyright ¬© 1991 Wiley Periodicals, Inc., A Wiley Company</t>
  </si>
  <si>
    <t>110-113</t>
  </si>
  <si>
    <t>7501662188;15123408500;6602956219;7006562937</t>
  </si>
  <si>
    <t>Wu, Chen;Wang, Jian;Fralich, Russell;Litva, John</t>
  </si>
  <si>
    <t>Wu C.</t>
  </si>
  <si>
    <t>Analysis of a series‚Äêfed aperture‚Äêcoupled patch array antenna</t>
  </si>
  <si>
    <t>10.1002/mop.4650040307</t>
  </si>
  <si>
    <t>2-s2.0-0026103624</t>
  </si>
  <si>
    <t>['wiley company', 'theoretical results', 'simulation program', 'rotator parameters', 'polarization plane', 'inc .,', 'good correspondence']</t>
  </si>
  <si>
    <t>multilayered system | polarizer rotator | Transmission‚Äêline model | wire grid</t>
  </si>
  <si>
    <t>A simple transmission‚Äêline model to design a broadband system consisting of a multilayered polarization rotator that rotates the polarization plane of a linearly polarized electromagnetic wave is presented. A simulation program that permits the design of the rotator parameters was implemented, and a prototype was designed, manufactured, and tested. Comparisons between the theoretical results and measurements are given, and a good correspondence is found. Copyright ¬© 1991 Wiley Periodicals, Inc., A Wiley Company</t>
  </si>
  <si>
    <t>113-117</t>
  </si>
  <si>
    <t>60002644;60002644;60002644;60002644;60002644</t>
  </si>
  <si>
    <t>7004534603;6701818517;57212956861;7402505705;7102070588</t>
  </si>
  <si>
    <t>Gimeno, B.;Such, V.;Garcia, A. C.;Cruz, J. L.;Navarro, E.</t>
  </si>
  <si>
    <t>Valencia</t>
  </si>
  <si>
    <t>Universitat de Val√®ncia</t>
  </si>
  <si>
    <t>Gimeno B.</t>
  </si>
  <si>
    <t>Transmission‚Äêline model to analyze a multistage polarizer rotator</t>
  </si>
  <si>
    <t>10.1002/mop.4650040308</t>
  </si>
  <si>
    <t>2-s2.0-0026103703</t>
  </si>
  <si>
    <t>['unified theory', 'typical 11', 'truck distance', 'truck blockage', 'sight path', 'results show', 'path using', 'mobile unit', 'mobile increases', 'mobile antenna', 'measured data', 'diffraction effects', 'diffraction agree', 'blockage effect', 'attenuations calculated', 'attenuation decreases', 'attenuation caused', '40 ghz', '35 db', '140 ft', '13 ft']</t>
  </si>
  <si>
    <t>The blockage effect of a large box truck passing through the line-of-sight path in a typical 11-GHz microcellular mobile communications link was measured. Our results show that attenuation and diffraction effects can be significant when the truck is close to the relatively low antenna on the mobile unit. At a distance of 13 ft, this attenuation can be as much as 35 dB, depending on the type of mobile antenna. As the distance between the truck and the mobile increases, the attenuation decreases. At a distance of 140 ft, the attenuation is insignificant. We show that attenuations calculated for this path using the unified theory of diffraction agree very well with measured data. Based on this agreement, we use the theory to estimate the attenuation caused by truck blockage, as a function of truck distance to the mobile unit, for frequencies between 1 and 40 GHz. ¬© 1991 IEEE</t>
  </si>
  <si>
    <t>211-215</t>
  </si>
  <si>
    <t>IEEE Transactions on Vehicular Technology</t>
  </si>
  <si>
    <t>60021378;60021378;60021378;60021378</t>
  </si>
  <si>
    <t>6701625421;7006813926;7103274705;7202297509</t>
  </si>
  <si>
    <t>Rustako, A. J.;Gans, M. J.;Owens, G. J.;Roman, R. S.</t>
  </si>
  <si>
    <t>Murray</t>
  </si>
  <si>
    <t>Nokia Bell Labs</t>
  </si>
  <si>
    <t>Rustako A.</t>
  </si>
  <si>
    <t>Attenuation and Diffraction Effects from Truck Blockage of an 11-GHz Line-of-Sight Microcellular Mobile Radio Path</t>
  </si>
  <si>
    <t>10.1109/25.69990</t>
  </si>
  <si>
    <t>2-s2.0-0026103840</t>
  </si>
  <si>
    <t>['farfield pattern', 'crosspolarized component', 'crosspolarization level', 'condition results', 'beam waveguides', 'beam waveguide', 'beam squinting']</t>
  </si>
  <si>
    <t>In beam waveguide-fed Cassegrain reflector (BFCR) antennas, the crosspolarized component of the farfield pattern is small if the beam waveguides (BWG's) satisfy certain geometrical condition derived by Mizasawa and Kitsuregawa in 1973. In this communication, the sensitivity of the crosspolarization level to a deviation from this condition for different geometrical configurations is studied. For a linearly polarized feed, the sensitivity is high. For a circularly polarized feed, a deviation from Mizasawa's condition results in beam squinting. ¬© 1991 IEEE</t>
  </si>
  <si>
    <t>262-265</t>
  </si>
  <si>
    <t>Houshmand, Bijan</t>
  </si>
  <si>
    <t>Cross Polarization in Beam Waveguide-Fed Cassegrain Reflector Antennas</t>
  </si>
  <si>
    <t>10.1109/8.68194</t>
  </si>
  <si>
    <t>2-s2.0-0026103996</t>
  </si>
  <si>
    <t>['total system', 'time domain', 'strict analyses', 'snm ),', 'recent years', 'radiated field', 'patch plane', 'patch antennas', 'patch antenna', 'numerical analysis', 'nearfield characteristics', 'near field', 'magnetized plasma', 'generally complicated', 'gained importance', 'far field', 'electromagnetic fields', 'electromagnetic analysis', 'dimensional space', 'become indispensable']</t>
  </si>
  <si>
    <t>In recent years, the electromagnetic analysis of antennas in a magnetized plasma has gained importance. In such analyses, knowledge of the nearfield characteristics is essential because they determine the far field. However, the analysis of nearfield characteristics of antennas in a magnetized plasma is generally complicated. It demands the treatment of all electromagnetic fields of the total system in both three-dimensional space and the time domain. Thus, numerical analysis has become indispensable. Current numerical methods are insufficient. As a result, few strict analyses of patch antennas in a magnetized plasma have been carried out. In this paper, the near field of a patch antenna in a magnetized plasma is simulated by use of the spatial network method (SNM), which is a three-dimensional time domain simulation method. Two fundamental cases are examined in the radiated field: where the direction of the constant magnetic field is perpendicular to the patch plane, and where it is parallel. ¬© 1991 IEEE</t>
  </si>
  <si>
    <t>147-150</t>
  </si>
  <si>
    <t>60014652;60014652;60014652</t>
  </si>
  <si>
    <t>55574713100;7403004870;57214925937</t>
  </si>
  <si>
    <t>Kashiwa, Tatsuya;Yoshida, Norinobu;Fukai, Ichiro</t>
  </si>
  <si>
    <t>Sapporo</t>
  </si>
  <si>
    <t>Hokkaido University</t>
  </si>
  <si>
    <t>Kashiwa T.</t>
  </si>
  <si>
    <t>Time Domain Analysis of Patch Antennas in a Magnetized Plasma by the Spatial Network Method</t>
  </si>
  <si>
    <t>10.1109/8.68175</t>
  </si>
  <si>
    <t>2-s2.0-0026104007</t>
  </si>
  <si>
    <t>['wiley company', 'teflon substrate', 'rectenna elements', 'rectenna element', 'rectenna array', 'receiving efficiency', 'received efficiently', 'power converted', 'mutual coupling', 'microwaves received', 'microwave rectifier', 'microwave input', 'microstrip line', 'many elements', 'integrated form', 'inc .,', 'finite array', 'element spacing', 'computation method', 'circuit equation', 'antenna system', '750 mw', '7 percent', '500 mw']</t>
  </si>
  <si>
    <t>In the rectenna array used for rectification of the microwaves received on the ground in the solar power satellite system, it is required that the rectenna elements have a high dc power conversion efficiency and that the element spacing is optimized so that the arriving microwave power is received efficiently and the number of elements can be reduced. In this paper, a microwave rectifier is fabricated in an integrated form with a microstrip line on a teflon substrate. A circular microstrip patch antenna is used. A high rectification efficiency, 66.7 percent is obtained at a microwave input of 750 mW and 75.7 percent for input of 500 mW. With this rectenna element, a 7 √ó 7 lattice array is formed and the variation of the receiving efficiency (the ratio of the power converted to dc to the input microwave power) is measured by varying the element spacing. On the other hand, the receiving efficiency is calculated for a given element spacing of this rectenna array from the circuit equation of the antenna system by deriving the mutual coupling between the elements. The relationship between the element spacing of a finite array and the receiving efficiency is obtained both experimentally and theoretically. This computation method is extended to the case with many elements so that the change of the receiving efficiency is investigated. Copyright ¬© 1991 Wiley Periodicals, Inc., A Wiley Company</t>
  </si>
  <si>
    <t>88-96</t>
  </si>
  <si>
    <t>Electronics and Communications in Japan (Part I: Communications)</t>
  </si>
  <si>
    <t>60023462;60023462;60023462;60023462;60023462;60023462;60023462</t>
  </si>
  <si>
    <t>7202037820;6504831552;7005768877;7203039412;7403126501;7202292216;7005649601</t>
  </si>
  <si>
    <t>Otsuka, Masataka;Omuro, Norihiko;Kakizaki, Kenichi;Saitoh, Seiji;Kuroda, Michiko;Horiuchi, Kazuo;Soejima, Teruzane</t>
  </si>
  <si>
    <t>Waseda University</t>
  </si>
  <si>
    <t>Otsuka M.</t>
  </si>
  <si>
    <t>Relation between spacing and receiving efficiency of finite rectenna array</t>
  </si>
  <si>
    <t>10.1002/ecja.4410740210</t>
  </si>
  <si>
    <t>2-s2.0-0026104257</t>
  </si>
  <si>
    <t>['¬© 1991', 'tokamak plasma', 'rf fields', 'rf field', 'results indicate', 'region increases', 'plasma currents', 'minority ions', 'minority heating', 'may result', 'local relation', 'experimental observation', 'direction parallel', 'decreased value', 'decreased fields', 'cyclotron resonance', 'cyclotron damping', 'correctly treated', 'code allows', 'also reproduced']</t>
  </si>
  <si>
    <t>The details and results of a new ICRF code are presented. The code is based on a multiple shooting method and evaluates the RF field and power deposition profiles for minority heating in a tokamak plasma. The non-local relation between the RF fields and the plasma currents in the direction parallel to the static magnetic field is taken into account so that the code allows the long toroidal wavelength case to be correctly treated. It is found that the amount of RF power deposited in the scrape-off region increases very rapidly as the toroidal wavelength increases, reaching almost 10% of the total power coupled to the plasma for k√ò = 0. This edge power deposition is almost totally due to cyclotron damping on the minority ions. These results indicate that the increased impurity production observed experimentally when the k√ò spectrum coupled by the antenna is centred around k√ò = 0. may result from poorly confined energetic ions accelerated at the cyclotron resonance in the scrape-off region. The experimental observation that the coupling efficiency increases at low k√ò is also reproduced by the code, which predicts a decreased value of Q for the antenna and decreased fields in the vicinity of the antenna for low k√ò. ¬© 1991, IOP publishing Ltd.</t>
  </si>
  <si>
    <t>219-232</t>
  </si>
  <si>
    <t>60026838;60026838-60030000</t>
  </si>
  <si>
    <t>6601921403;7401451781</t>
  </si>
  <si>
    <t>Cattanei, G.;Murphy, A. B.</t>
  </si>
  <si>
    <t>Australia;Germany</t>
  </si>
  <si>
    <t>Sydney;Garching bei Munchen</t>
  </si>
  <si>
    <t>CSIRO Industrial Physics;Max Planck Institute for Plasma Physics</t>
  </si>
  <si>
    <t>60030000;60026838</t>
  </si>
  <si>
    <t>Cattanei G.</t>
  </si>
  <si>
    <t>Dependence of heating efficiency and impurity production on the toroidal wavelength in ion cyclotron resonance heating</t>
  </si>
  <si>
    <t>10.1088/0029-5515/31/2/001</t>
  </si>
  <si>
    <t>2-s2.0-0026104384</t>
  </si>
  <si>
    <t>['wide range', 'synthesis technique', 'simple adjustment', 'pattern shaping', 'low profile', 'line elements', 'incident power', 'ground plane', 'experimental results', 'circularly polarized', 'array operates', 'annular sector']</t>
  </si>
  <si>
    <t>A series-fed, circularly polarized (CP) array of annular sector, radiating-line elements is presented. The array operates over a ground plane and has a low profile. Pattern shaping can be achieved through control of the fraction of the incident power that is radiated by each element. This can be accomplished over a wide range by a simple adjustment in the geometry of each element. A synthesis technique is given, and experimental results are presented. The array is demonstrated to have a high return loss (good impedance match) and a low axial ratio. ¬© 1991 IEEE</t>
  </si>
  <si>
    <t>184-189</t>
  </si>
  <si>
    <t>60000745;60000745</t>
  </si>
  <si>
    <t>7007149908;7006767012</t>
  </si>
  <si>
    <t>Drewniak, James L.;Mayes, Paul E.</t>
  </si>
  <si>
    <t>Drewniak J.L.</t>
  </si>
  <si>
    <t>The Synthesis of Patterns Using a Series-Fed Array of Annular Sector Radiating Line (ANSERLIN) Elements: Low-Profile, Circularly Polarized Radiators</t>
  </si>
  <si>
    <t>10.1109/8.68180</t>
  </si>
  <si>
    <t>2-s2.0-0026104398</t>
  </si>
  <si>
    <t>['vehicle position', 'utility poles', 'urban areas', 'universally available', 'specular roadway', 'simple model', 'simple methods', 'service could', 'rural areas', 'reflected ray', 'received signals', 'random components', 'radio network', 'radio communications', 'propagation experiment', 'microcell environment', 'merge personal', 'lamp posts', 'high quality', 'etc .,', 'different environments', 'dense urban', 'current thrust', 'accurately predict', '900 mhz', '11 ghz']</t>
  </si>
  <si>
    <t>A current thrust in radio communications is to merge personal (portable) and mobile telephone service and make it universally available with high quality. The anticipated tremendous growth in demand for such a service could be accommodated by a radio network of ‚Äúmicrocells.‚Äù In such a network, portable users would communicate via line-of-sight (LOS) with fixed compact canisters mounted on lamp posts, utility poles, etc., with spacings of up to perhaps 2000 ft. We have designed and conducted a propagation experiment at 900 MHz and 11 GHz to characterize microcell channels employing various antennas at two distinct frequencies in different environments, from rural to dense urban. We find that propagation in rural areas is dominated by interference between the direct (LOS) ray and a specular roadway-reflected ray. In urban areas, the addition of four specular wall-reflected rays adequately represents microcell propagation. Using this simple model, we can accurately predict the received signal power and structures-induced delay spread as functions of vehicle position in a microcell environment. A wide-band communication channel appears to be feasible, since the multiray interference effects and the random components of the received signals can be overcome by simple methods (e.g., higher antenna directivity or space diversity). ¬© 1991 IEEE</t>
  </si>
  <si>
    <t>203-210</t>
  </si>
  <si>
    <t>6701625421;7003808036;7103274705;7202297509</t>
  </si>
  <si>
    <t>Rustako, A. J.;Amitay, Noach;Owens, G. J.;Roman, R. S.</t>
  </si>
  <si>
    <t>Radio Propagation at Microwave Frequencies for Line-of-Sight Microcellular Mobile and Personal Communications</t>
  </si>
  <si>
    <t>10.1109/25.69989</t>
  </si>
  <si>
    <t>2-s2.0-0026104638</t>
  </si>
  <si>
    <t>['¬© 1991', 'thermal sensitivity', 'rights reserved', 'paper discusses', 'multichannel receivers', 'major problems', 'imaging technique', 'electrical engineers', 'current status', 'aperture synthesis']</t>
  </si>
  <si>
    <t>The paper discusses the current status of passive millimetre wave radiometry as an imaging technique. The major problems are poor spatial resolution and lack of thermal sensitivity. Techniques for overcoming these difficulties are identified, including the use of aperture synthesis, multichannel receivers, correlation and inverse transform techniques. ¬© 1991, The Institution of Electrical Engineers. All rights reserved.</t>
  </si>
  <si>
    <t>13-16</t>
  </si>
  <si>
    <t>Electronics and Communication Engineering Journal</t>
  </si>
  <si>
    <t>60026242;60026242</t>
  </si>
  <si>
    <t>7007065598;7005434793</t>
  </si>
  <si>
    <t>Appleby, R.;Lettington, A. H.</t>
  </si>
  <si>
    <t>Salisbury</t>
  </si>
  <si>
    <t>Defence Science and Technology Laboratory</t>
  </si>
  <si>
    <t>Appleby R.</t>
  </si>
  <si>
    <t>Passive millimetre wave imaging</t>
  </si>
  <si>
    <t>10.1049/ecej:19910004</t>
  </si>
  <si>
    <t>2-s2.0-0026104799</t>
  </si>
  <si>
    <t>['transmission line', 'transient response', 'transient distortions', 'ten variations', 'television tuners', 'residential installation', 'production alignment', 'image quality', 'half cycle', 'degree dependent', 'bandpass response', 'additional distortion', '9 db', '55 ft', '(- 8']</t>
  </si>
  <si>
    <t>The bandpass response of television tuners is variable from channel to channel, to a degree dependent on both design and the quality of production alignment. Tuner response variations typically permitted result in transient distortions from 8% smear to 18% overshoot on a 2T-edged NTSC bar signal implying need for improvement if EDTV and HDTV are to meet consumer expectations for image quality. Transient response, carrier and baseband frequency response, are shown for ten variations. Additional distortion can result from echoes on the transmission line between antenna and tuner, each of which may have a frequency-dependent VSWR exceeding 4. 0. The echo on a loss-less line would be 36% (-8. 9 dB) if VSWRs were frequency-independent, and 4. 0 at both ends. For a residential installation with 55 ft of 300 ohm twin lead, the first echo would be delayed 140 nsec (half cycle of NTSC subcarrier). ¬© 1991 IEEE</t>
  </si>
  <si>
    <t>IEEE Transactions on Consumer Electronics</t>
  </si>
  <si>
    <t>Neal, C. Bailey</t>
  </si>
  <si>
    <t>Neal C.</t>
  </si>
  <si>
    <t>Transient response V.S. tuner response with implications for HDTV</t>
  </si>
  <si>
    <t>10.1109/30.73644</t>
  </si>
  <si>
    <t>2-s2.0-0026104911</t>
  </si>
  <si>
    <t>['wavelength œª1', 'typical array', 'transmission response', 'transmission performance', 'square lattice', 'side p', 'shorter wavelengths', 'ratio œª1', 'range 7', 'obtained values', 'linear dipoles', 'grating responses', 'given degree', 'factors averaging', 'element geometry', 'distorted less', 'dipole standard', 'conducting elements', 'array lattice', 'array elements']</t>
  </si>
  <si>
    <t>When the curvature of a surface that is to be made frequency selective is not small, it modifies the array lattice and element geometry, altering the transmission performance of the surface. For a given degree of curvature, small unit cells are distorted less. The transmission response of a typical array of conducting elements has a main reflection resonance at a wavelength Œª1, with further nulls at shorter wavelengths. We have attempted to reduce the unit cell dimension p as much as possible for a given reflection wavelength Œª1 thereby increasing its separation from grating responses. The ratio Œª1/p has been used as a figure of merit. An array of linear dipoles on a square lattice of side p is a standard of comparison, a typical case giving a figure of merit of 1.6. A Jerusalem cross array gives a value of about 4.5. By convoluting the conductors of a square loop element, or by using, as the array elements, the low order generations of space filling curves, such as that described by Hilbert, we have obtained values of Œª1/p in the range 7-12. The unit cell areas are lower than that of the dipole standard by factors averaging about 40.</t>
  </si>
  <si>
    <t>19-22</t>
  </si>
  <si>
    <t>0950107X</t>
  </si>
  <si>
    <t>IEE Proceedings H: Microwaves, Antennas and Propagation</t>
  </si>
  <si>
    <t>Feb</t>
  </si>
  <si>
    <t>60020585;60020585</t>
  </si>
  <si>
    <t>7201840709;7006397700</t>
  </si>
  <si>
    <t>Parker, E. A.;El Sheikh, A. N.A.</t>
  </si>
  <si>
    <t>New Zealand</t>
  </si>
  <si>
    <t>Christchurch</t>
  </si>
  <si>
    <t>University of Canterbury</t>
  </si>
  <si>
    <t>Parker E.</t>
  </si>
  <si>
    <t>Convoluted array elements and reduced size unit cells for frequency-selective surfaces</t>
  </si>
  <si>
    <t>10.1049/ip-h-2.1991.0004</t>
  </si>
  <si>
    <t>2-s2.0-0026104926</t>
  </si>
  <si>
    <t>['spectral domain', 'scattered field', 'plane waves', 'patch currents', 'passive frequency', 'integral equation', 'infinite array', 'finite arrays', 'exact green', 'discrete angles', 'continuous spectrum', 'analysis starts']</t>
  </si>
  <si>
    <t>Passive frequency-selective surfaces consisting of a finite or infinite array of metallic patches embedded in a plane multilayered dielectric medium are investigated. The analysis starts with the exact Green's function for multilayered media formulated in the spectral domain. The integral equation for the patch currents is solved by the method of moments. For finite arrays, the scattered field is given as a continuous spectrum of plane waves, for infinite periodic arrays, it is nonzero only for discrete angles.</t>
  </si>
  <si>
    <t>6603448150;56196059900</t>
  </si>
  <si>
    <t>Janhsen, A.;Hansen, V.</t>
  </si>
  <si>
    <t>Janhsen A.</t>
  </si>
  <si>
    <t>Arrays of finite or infinite extent in multilayered media for use as passive frequency-selective surfaces</t>
  </si>
  <si>
    <t>10.1049/ip-h-2.1991.0001</t>
  </si>
  <si>
    <t>2-s2.0-0026104927</t>
  </si>
  <si>
    <t>['studied theoretically', 'rigorously taken', 'results obtained', 'present method', 'metallic sphere', 'function matrix', 'function formulation', 'dielectric layer']</t>
  </si>
  <si>
    <t>The far field radiation patterns of a circular disk microstrip antenna mounted on a sphere are studied theoretically. The radiator is replaced by an assumed surface current distribution. The effects of the dielectric layer and the metallic sphere are rigorously taken into account by the spectral domain Green's function formulation. In the spectral domain represented by the vector Legendre series, the Green's function matrix is diagonal. The results are verified by comparison with results obtained from the cavity model theory. The cavity model agrees asymptotically with the present method for the case of a thin dielectric substrate.</t>
  </si>
  <si>
    <t>98-102</t>
  </si>
  <si>
    <t>60002798;60002798</t>
  </si>
  <si>
    <t>55650871700;55510527400</t>
  </si>
  <si>
    <t>Tam, W. Y.;Luk, K. M.</t>
  </si>
  <si>
    <t>Hong Kong</t>
  </si>
  <si>
    <t>Chinese University of Hong Kong</t>
  </si>
  <si>
    <t>Tam W.</t>
  </si>
  <si>
    <t>Far field analysis of spherical-circular microstrip antennas by electric surface current models</t>
  </si>
  <si>
    <t>10.1049/ip-h-2.1991.0016</t>
  </si>
  <si>
    <t>2-s2.0-0026105202</t>
  </si>
  <si>
    <t>Natural Sciences and Engineering Research Council of Canada</t>
  </si>
  <si>
    <t>NSERC</t>
  </si>
  <si>
    <t>['including economy', 'bounded domain', 'antenna systems']</t>
  </si>
  <si>
    <t>Radiation boundary conditions‚Äù are formulated which permit the simulation of two-dimensional electromagnetic wave phenomena with the finite element method using conventional elements over a bounded domain. Implementation of such boundary conditions preserves the symmetry of the global stiffness matrix with all the advantages that this implies, including economy of storage and solution. A number of wire-antenna systems have been modeled with this technique in a finite element computer program called FEAST. The results demonstrate good agreement with published reference data. ¬© 1991 IEEE</t>
  </si>
  <si>
    <t>267-273</t>
  </si>
  <si>
    <t>60030835;60030835;60030835</t>
  </si>
  <si>
    <t>6506956119;35570686200;6603832901</t>
  </si>
  <si>
    <t>Sumbar, Edmund;Vermeulen, Fred E.;Chute, F. Steve</t>
  </si>
  <si>
    <t>Edmonton</t>
  </si>
  <si>
    <t>University of Alberta</t>
  </si>
  <si>
    <t>Sumbar E.</t>
  </si>
  <si>
    <t>Implementation of Radiation Boundary Conditions in the Finite Element Analysis of Electromagnetic Wave Propagation</t>
  </si>
  <si>
    <t>10.1109/22.102969</t>
  </si>
  <si>
    <t>2-s2.0-0026105220</t>
  </si>
  <si>
    <t>['pulse expansion', 'point matching', 'plate waveguide', 'electric field']</t>
  </si>
  <si>
    <t>Two numerical solutions are given for an integrodifferential equation governing the electric field in the aperture of a parallel-plate waveguide-loaded slot antenna excited by an obliquely incident plane wave. Resultant aperture field distributions obtained via Galerkin‚Äôs method with a basis of edge-condition weighted Chebyshev polynomials are compared with the results from pulse expansion with point matching. ¬© 1991 IEEE</t>
  </si>
  <si>
    <t>59-61</t>
  </si>
  <si>
    <t>1558187X</t>
  </si>
  <si>
    <t>IEEE Transactions on Electromagnetic Compatibility</t>
  </si>
  <si>
    <t>Scharstein, Robert W.</t>
  </si>
  <si>
    <t>Tuscaloosa</t>
  </si>
  <si>
    <t>The University of Alabama</t>
  </si>
  <si>
    <t>Scharstein R.</t>
  </si>
  <si>
    <t>Receive and Transmit Mode Aperture Field of the Parallel Plate-Fed Slot Antenna</t>
  </si>
  <si>
    <t>10.1109/15.68250</t>
  </si>
  <si>
    <t>2-s2.0-0026105225</t>
  </si>
  <si>
    <t>['¬± 1', '¬± 0', 'novel method', 'noise receiver', 'focal plane', 'beam efficiency', '1 db']</t>
  </si>
  <si>
    <t>A novel method to measure absorption loss and beam efficiency of large reflector antennas at millimetre wave frequencies is presented. It is based on a compact antenna test range (CATR) which has hot and cold loads placed at the focal plane. The size of loads is feasible. If the measurements are carried out without a CATR, the loads are difficult or impossible to realise. An analysis of the measurement of a 2 m antenna, using a low-noise receiver, shows that the accuracy is better than ¬± 0.1 dB for the loss and ¬± 1% for the beam efficiency.</t>
  </si>
  <si>
    <t>13-18</t>
  </si>
  <si>
    <t>60103653;60103653;60103653</t>
  </si>
  <si>
    <t>7003817193;7006775375;57203241996</t>
  </si>
  <si>
    <t>Lehto, A.;Tuovinen, J.;Raeisaenen, A.</t>
  </si>
  <si>
    <t>Espoo</t>
  </si>
  <si>
    <t>Aalto University</t>
  </si>
  <si>
    <t>Lehto A.</t>
  </si>
  <si>
    <t>Proposed method for measurement of absorption loss and beam efficiency of large mm-wave reflector antennas in compact antenna test range by using hot and cold loads</t>
  </si>
  <si>
    <t>10.1049/ip-h-2.1991.0003</t>
  </si>
  <si>
    <t>2-s2.0-0026105242</t>
  </si>
  <si>
    <t>['wavenumber approach', 'ultimate results', 'theoretical analysis', 'terrestrial swaths', 'synthetic data', 'spherkal earth', 'spatlel resolution', 'space variant', 'serious degradation', 'sar missions', 'sar data', 'resulting algorithm', 'rectilinear path', 'quite similar', 'present used', 'focused simultaneously', 'extremely good', 'extremely emclent', 'conventional algorithms', 'attains almost', 'airplane data', 'air ).', '100 kin']</t>
  </si>
  <si>
    <t>Conventional algorithms for synthetk aperture radar (SAR) data focusing use the matched filter concept and convolve the data with a reference phase signal whkh changes with range. The resulting algorithm Is space variant and Its frequency domain implementation is cumbersome. SAR data, however, can be focused using migration techniques, quite similar to those used In geophysics. The frequency-wavenumber approach Is extremely emclent: It attains almost the ultimate results In performance, with the efficiency of frequency domain lmpIementatiolL The method Is exact when the sensor flies along a rectilinear path, but even with a spherkal Earth and a circular sensor triVectory the results are extremely good. Terrestrial swaths as wide as 100 kin can be focused simultaneously with DO serious degradation, at least with the spatlel resolution at present used or envisaged In SAR missions. The algorithm has been tested with synthetic data, with SEASAT-A data and with airplane data (NASA-AIR). The experimental results rully support the theoretical analysis. ¬© 1991 IEEE</t>
  </si>
  <si>
    <t>194-207</t>
  </si>
  <si>
    <t>60023256;60023256-60021199;60023256</t>
  </si>
  <si>
    <t>57196078573;7006322238;7006127274</t>
  </si>
  <si>
    <t>Cafforio, C.;Prati, C.;Rocca, F.</t>
  </si>
  <si>
    <t>Milan;Rome</t>
  </si>
  <si>
    <t>Politecnico di Milano;Consiglio Nazionale delle Ricerche</t>
  </si>
  <si>
    <t>60023256;60021199</t>
  </si>
  <si>
    <t>Cafforio C.</t>
  </si>
  <si>
    <t>SAR Data Focusing Using Seismic Migration Techniques</t>
  </si>
  <si>
    <t>10.1109/7.78293</t>
  </si>
  <si>
    <t>2-s2.0-0026105438</t>
  </si>
  <si>
    <t>['using spot', 'receive antennas', 'planar samples', 'new free', 'network analyzer', 'multiple reflections', 'mode transitions', 'focused antennas', 'diffraction effects', 'defocusing due', 'calibration procedure', 'bistatic configuration', '40 ghz', '18 ghz']</t>
  </si>
  <si>
    <t>A free-space bistatic measurement system suitable for operation in the frequency range 5.85-40 GHz is calibrated to measure the parallel and perpendicular reflection coefficients of metal-backed planar samples for obliquely incident waves. The measurement system consists of transmit and receive antennas in the bistatic configuration, mode transitions, precision coaxial cables, and the network analyzer. Diffraction effects at the edges of the sample are minimized by using spot-focusing horn lens antennas, which focus most of the energy on a one-wavelength diameter circular section of the sample. A new free-space bistatic calibration technique was developed to eliminate errors due to multiple reflections between transmit and receive antennas via the surface of the sample. The effect of defocusing due to the obliquely incident plane wave with focused antennas is minimized by introducing correction factors which modify measured reflection coefficients. Details of the calibration procedure and a discussion of the experimental results obtained for planar samples of Teflon and Eccogel 1365‚Äì90 in the frequency range 12.4-18 GHz are presented. ¬© 1991 IEEE</t>
  </si>
  <si>
    <t>19-24</t>
  </si>
  <si>
    <t>IEEE Transactions on Instrumentation and Measurement</t>
  </si>
  <si>
    <t>60001439;60001439;60001439;60001439</t>
  </si>
  <si>
    <t>36184760800;6603132150;7202350150;36039583900</t>
  </si>
  <si>
    <t>Umari, Maher H.;Ghodgaonkar, Deepak K.;Varadan, Vasundara V.;Varadan, Vijay K.</t>
  </si>
  <si>
    <t>University Park</t>
  </si>
  <si>
    <t>Pennsylvania State University</t>
  </si>
  <si>
    <t>Umari M.H.</t>
  </si>
  <si>
    <t>A Free-Space Bistatic Calibration Technique for the Measurement of Parallel and Perpendicular Reflection Coefficients of Planar Samples</t>
  </si>
  <si>
    <t>10.1109/19.69942</t>
  </si>
  <si>
    <t>2-s2.0-0026105487</t>
  </si>
  <si>
    <t>['series representing', 'reduce significantly', 'radiation characteristics', 'procedure employs', 'periodic green', 'obtain quantities', 'novel mixed', 'input admittance', 'ground planes', 'either side', 'dielectric layers', 'data available', 'conducting screen', 'cavities placed']</t>
  </si>
  <si>
    <t>An efficient numerical procedure for determining the radiation characteristics of an infinite periodic array of slots in a conducting screen is presented. The procedure employs a novel mixed-potential integral equation formulation and is solved by the method of moments. Subdomain-type basis functions are used to provide the flexibility to model arbitrarily shaped slots. Analysis is carried out to account for dielectric layers, ground planes, or cavities placed on either side of the slot. Series acceleration techniques are employed to reduce significantly the computation time required to sum the series representing the periodic Green's function. The numerical scheme developed is applied to obtain quantities such as the slot field distribution and input admittance as a function of the array scan angle. Where possible, numerical results obtained are compared with data available in the literature. ¬© 1991 IEEE</t>
  </si>
  <si>
    <t>190-196</t>
  </si>
  <si>
    <t>60015573;60005837</t>
  </si>
  <si>
    <t>7406397830;7102880539</t>
  </si>
  <si>
    <t>Singh, Surendra;Wilton, Donald R.</t>
  </si>
  <si>
    <t>Tulsa;Houston</t>
  </si>
  <si>
    <t>The University of Tulsa;University of Houston</t>
  </si>
  <si>
    <t>Singh S.</t>
  </si>
  <si>
    <t>Analysis of an Infinite Periodic Array of Slot Radiators with Dielectric Loading</t>
  </si>
  <si>
    <t>10.1109/8.68181</t>
  </si>
  <si>
    <t>2-s2.0-0026105493</t>
  </si>
  <si>
    <t>['unitary transformations', 'single gsd', 'resulting architecture', 'pipelined cordic', 'parameter computations', 'parallel implementation', 'multiple signals', 'matrix pencil', 'main problem', 'consider algorithms', 'antenna doublets']</t>
  </si>
  <si>
    <t>In this paper, we consider algorithms to find the directions of arrival (DOA‚Äòs) of multiple signals from measurements on an array of antenna doublets (ESPRIT method), and their parallel implementation in VLSI. In particular, we look for algorithms that allow large scale pipelining and use only robust, unitary transformations. The main problem is to find the generalized Schur decomposition (GSD) of a matrix pencil. We tackle it using a modified Stewart Jacobi approach for which convergence is improved and parameter computations are sim-plified. The resulting architecture is a two-layer Jacobi array that can handle all the subproblems: two QR factorizations, two SVD‚Äôs, and a single GSD. An ideal processing element is the pipelined CORDIC. ¬© 1991 IEEE</t>
  </si>
  <si>
    <t>383-394</t>
  </si>
  <si>
    <t>1053587X</t>
  </si>
  <si>
    <t>IEEE Transactions on Signal Processing</t>
  </si>
  <si>
    <t>60006288;60006288</t>
  </si>
  <si>
    <t>7005779209;7005780081</t>
  </si>
  <si>
    <t>van der Veen, Alle Jan;Deprettere, Ed F.</t>
  </si>
  <si>
    <t>Delft University of Technology</t>
  </si>
  <si>
    <t>van der Veen A.J.</t>
  </si>
  <si>
    <t>Parallel VLSI Matrix Pencil Algorithm for High Resolution Direction Finding</t>
  </si>
  <si>
    <t>10.1109/78.80822</t>
  </si>
  <si>
    <t>2-s2.0-0026105510</t>
  </si>
  <si>
    <t>['small size', 'optical fibers', 'optical fiber', 'optic links', 'optic link', 'microwave signals', 'light weight', 'insertion loss', 'first ku', 'emi immunity', 'band fiber', '800 mhz', '6 db', '12 ghz']</t>
  </si>
  <si>
    <t>The poor insertion loss and dynamic range exhibited by fiber-optic links has, until now, undermined the advantages of using an optical fiber for the transmission of microwave signals. By optimizing electrooptic transducer gains, we have developed the first Ku-band fiber-optic link that suffers only 12.6 dB of insertion loss at 12 GHz with a 3 dB bandwidth of 800 MHz. The broad dynamic range (79.4 dB ‚Ä¢ MHz) exhibited by the link can be exploited in a number of analog communications applications where the small size, light weight, flexibility, and EMI immunity of optical fibers are most desired. ¬© 1991 IEEE</t>
  </si>
  <si>
    <t>185-187</t>
  </si>
  <si>
    <t>IEEE Photonics Technology Letters</t>
  </si>
  <si>
    <t>60015623;60015623;60015623;60013155;60013155;60013155</t>
  </si>
  <si>
    <t>7006984131;57215378514;6602164582;22990717100;6701824882;7102207702</t>
  </si>
  <si>
    <t>Ackerman, E.;Kasemset, D.;Wanuga, S.;Boudreau, R.;Schlafer, J.;Lauer, R.</t>
  </si>
  <si>
    <t>Boston;New York</t>
  </si>
  <si>
    <t>General Electric Company;Verizon Communications</t>
  </si>
  <si>
    <t>60015623;60013155</t>
  </si>
  <si>
    <t>Ackerman E.</t>
  </si>
  <si>
    <t>A Low-Loss Ku-Band Directly Modulated Fiber-Optic Link</t>
  </si>
  <si>
    <t>10.1109/68.76884</t>
  </si>
  <si>
    <t>2-s2.0-0026105572</t>
  </si>
  <si>
    <t>['two horns', 'subject asymptotic', 'special interest', 'several horns', 'radiation patterns', 'magnetic fields', 'known asymptotic', 'good agreement', 'exist inside', 'dielectric rod', 'corresponding measurements', 'core air', 'asymptotic technique', 'analysis technique', 'also treat']</t>
  </si>
  <si>
    <t>A known asymptotic-analysis technique is extended to determine the HE11 mode electro-magnetic fields which can exist inside and across the aperture of a metallic-wall conical horn which is centrally-loaded with a concentric dielectric material. Two horns of special interest are then examined: the foam-core air-lining (FCAL) horn and the dielectric rod-loaded (DRL) horn because their radiation patterns (especially those of the FCAL) are close to those from an ideal corrugated horn (CH) of the same size, which the subject asymptotic-analysis technique can also treat. Copolar and 45¬∞ plane crosspolar pattern computations and gain, along with corresponding measurements, are given for several horns of the above types and show very good agreement. However, the limitations of this asymptotic technique, using only the single HE11 model, in predicting extremely good 45¬∞ plane crosspolar patterns are described.</t>
  </si>
  <si>
    <t>23-31</t>
  </si>
  <si>
    <t>Knop, C. M.</t>
  </si>
  <si>
    <t>Joliet</t>
  </si>
  <si>
    <t>Andrew Corporation</t>
  </si>
  <si>
    <t>Knop C.</t>
  </si>
  <si>
    <t>On the performance of metallic-wall conical horns with centrally-loaded dielectric material</t>
  </si>
  <si>
    <t>10.1049/ip-h-2.1991.0005</t>
  </si>
  <si>
    <t>2-s2.0-0026105772</t>
  </si>
  <si>
    <t>['wiley company', 'vertical planes', 'sidelobe levels', 'radiation characteristics', 'presented quantitatively', 'offset antenna', 'offset angle', 'numerical results', 'nonaxlsymmetric distribution', 'nonaxisymmetric distribution', 'kept constant', 'inc .,', 'horizontal planes', 'horizontal one', 'furthermore shifting', 'edge levels', 'edge diffraction', 'aperture efficiency', 'aperture distributions', '60 ¬∞.', '4 db', '3 db', '15 db']</t>
  </si>
  <si>
    <t>Improvement of the radiation characteristics by the ‚Äúnonaxisymmetrical aperture field distribution‚Äù is described. The aperture distributions in the horizontal and vertical planes are designed to be a low‚Äêsidelobe type and a high‚Äêefficiency type, respectively. As a measure of the degree of nonaxisymmetry, the ratio of the edge levels in the vertical and horizontal planes is introduced. The dependences of the degrees of improvement of the aperture efficiency and the wide angle radiation pattern upon the edge level ratio were studied and the amount of improvement was presented quantitatively. For example, the wide angle radiation level was reduced by about 15 dB by nonaxisymmetric aperture distribution with the aperture efficiency kept constant. On the other hand, if the wide angle levels were kept constant, the aperture efficiency was improved by about 0.4 dB with nonaxisymmetric distribution. In the case of an offset antenna, sidelobe levels in the wide‚Äêangle region were increased from the numerical results with the aperture field method by the effect of the edge diffraction. The increase is shown to be less than 3 dB in the case of an offset angle of 60¬∞. Moreover, the wide‚Äêangle directivity can be improved in a certain region centered on the plane in which the attempt was made to achieve a low sidelobe level by means of a nonaxlsymmetric distribution. Possibilities and examples of widening or reducing this region and furthermore shifting it to the surface other than the horizontal one were described. Copyright ¬© 1991 Wiley Periodicals, Inc., A Wiley Company</t>
  </si>
  <si>
    <t>45-54</t>
  </si>
  <si>
    <t>60025555;60025555</t>
  </si>
  <si>
    <t>7003370991;8355553700</t>
  </si>
  <si>
    <t>Karikomi, Masahiro;Yamada, Yoshihide</t>
  </si>
  <si>
    <t>Nippon Telegraph and Telephone Corporation</t>
  </si>
  <si>
    <t>Karikomi M.</t>
  </si>
  <si>
    <t>Characteristics improvement by synthesizing nonaxisymmetrical aperture distribution</t>
  </si>
  <si>
    <t>10.1002/ecja.4410740206</t>
  </si>
  <si>
    <t>2-s2.0-0026106117</t>
  </si>
  <si>
    <t>30-32</t>
  </si>
  <si>
    <t>57189501138;7006782511</t>
  </si>
  <si>
    <t>Schrank, Hal;Parekh, Sharad V.</t>
  </si>
  <si>
    <t>Schrank H.</t>
  </si>
  <si>
    <t>Simple Formulae for Circular-Polarization Axial-Ratio Calculations</t>
  </si>
  <si>
    <t>10.1109/74.80660</t>
  </si>
  <si>
    <t>2-s2.0-0026106178</t>
  </si>
  <si>
    <t>['‚ àí0', 'wiley company', 'transmitted wave', 'temperature coefficient', 'receiver also', 'practical importance', 'power divider', 'particular applications', 'paper describes', 'output power', 'operation principle', 'nrd guide', 'noise figure', 'new type', 'matched terminator', 'inc .,', 'explained briefly', 'directional coupler', 'confirmed experimentally', 'circuit elements', '6 db', '35 ghz', '10 mw']</t>
  </si>
  <si>
    <t>This paper describes the NRD guide (nonradiative dielectric waveguide) proposed as a new type of dielectric transmission line for millimeter‚Äêwave integrated circuits. After the operation principle and the modes of the NRD guide are explained briefly, the nonradiative and low‚Äêloss nature of practical importance are confirmed experimentally. Next, the behavior of the transmitted wave in a bend is studied. Configurations and characteristics of typical NRD guide circuit elements, such as a matched terminator, a directional coupler, a circulator, a beam lead diode mount and a Gunn diode oscillator also are discussed. Using these circuit elements, a transmitter and a receiver are fabricated at 35 GHz and their performances are evaluated. The dimensions of the transmitter and the receiver are as compact as 68 mm √ó 66 mm and 85 mm √ó 75 mm in area, respectively. The output power of the transmitter is 10 mW and the temperature coefficient of the frequency is 0.57 ppm/¬∞C. The temperature coefficient of the receiver also is as small as ‚àí0.76 ppm/¬∞C. The noise figure is measured to be 10.6 dB. This value is obtained by using Si diodes in the mixer. Finally, as particular applications of the NRD guide, a filter, a power divider, and a leaky‚Äêwave antenna are described. Copyright ¬© 1991 Wiley Periodicals, Inc., A Wiley Company</t>
  </si>
  <si>
    <t>20-28</t>
  </si>
  <si>
    <t>8756663X</t>
  </si>
  <si>
    <t>Electronics and Communications in Japan (Part II: Electronics)</t>
  </si>
  <si>
    <t>Yoneyama, Tsukasa</t>
  </si>
  <si>
    <t>Sendai</t>
  </si>
  <si>
    <t>Tohoku University</t>
  </si>
  <si>
    <t>Yoneyama T.</t>
  </si>
  <si>
    <t>Millimeter‚Äêwave integrated circuits using nonradiative dielectric waveguide</t>
  </si>
  <si>
    <t>10.1002/ecjb.4420740203</t>
  </si>
  <si>
    <t>2-s2.0-0026106295</t>
  </si>
  <si>
    <t>['wiley company', 'synthesized map', 'phase tracking', 'made less', 'location error', 'inc .,', 'delay tracking', 'astronomical objects', 'astronomical object', '1 percent']</t>
  </si>
  <si>
    <t>The authors have developed the tracking control system of astronomical objects in the Nobeyama millimeter array. A system was studied which can accomplish sufficient tracking accuracy for an interferometer, such as delay tracking, phase tracking, and fine delay correction. It was found that the location error of an astronomical object can be made less than 1 percent of the maximum spatial resolution on a synthesized map and the radio intensity degradation less than 0.1 percent if the phase tracking is executed at an interval of about 10 s and the fine delay correction at 1 ‚Äê 2 s. Further, from the actual observation results, it was confirmed that this system has realized an extremely high tracking accuracy. Copyright ¬© 1991 Wiley Periodicals, Inc., A Wiley Company</t>
  </si>
  <si>
    <t>67-78</t>
  </si>
  <si>
    <t>60029701;60029701;60029701;60029701;60029701</t>
  </si>
  <si>
    <t>35552169300;56252992000;6602747710;57214214514;55934760400</t>
  </si>
  <si>
    <t>Morita, Koh‚ÄêIchiro ‚ÄêI;Ishiguro, Masato;Chikada, Yoshihiro;Kanzawa, Tomio;Takahashi, Toshikazu</t>
  </si>
  <si>
    <t>Mitaka</t>
  </si>
  <si>
    <t>National Institutes of Natural Sciences - National Astronomical Observatory of Japan</t>
  </si>
  <si>
    <t>Morita K.</t>
  </si>
  <si>
    <t>Tracking accuracy of astronomical objects in the nobeyama millimeter array</t>
  </si>
  <si>
    <t>10.1002/ecja.4410740208</t>
  </si>
  <si>
    <t>2-s2.0-0026106296</t>
  </si>
  <si>
    <t>['zone fields', 'use reciprocity', 'transmission line', 'time domain', 'shielded enclosure', 'second example', 'receiver inside', 'frequency domain', 'first example', 'electromagnetic penetration', 'current incident', 'coupling efficiency', 'antenna connected']</t>
  </si>
  <si>
    <t>We consider the electromagnetic penetration into a shielded enclosure through an antenna connected to a receiver inside the shield. We use reciprocity to relate the far-zone fields to the short circuit current in the transmission line. Using a Norton equivalent circuit, we derive a measure of coupling efficiency, relating the electric field incident on the antenna to the current incident on the receiver. We show that the coupling efficiency can be determined from standard electromagnetic measurements. As a first example, we consider an open-ended coaxial waveguide. As a second example, we consider a transmission line connected to a receiver inside the shield and to a center-fed dipole antenna outside the shield. We present numerical results for the dipole for various receiver bandwidths and transmission line characteristics. The results are given both in the frequency domain and in the time domain for a pulse incident field. ¬© 1991 IEEE</t>
  </si>
  <si>
    <t>60010065;60011273</t>
  </si>
  <si>
    <t>35612588200;7102432240</t>
  </si>
  <si>
    <t>Dudley, Donald G.;Casey, Kendall F.</t>
  </si>
  <si>
    <t>Canton;Tucson</t>
  </si>
  <si>
    <t>L-3 Communications;The University of Arizona</t>
  </si>
  <si>
    <t>60011273;60010065</t>
  </si>
  <si>
    <t>Dudley D.G.</t>
  </si>
  <si>
    <t>A Measure of Coupling Efficiency for Antenna Penetrations</t>
  </si>
  <si>
    <t>10.1109/15.68244</t>
  </si>
  <si>
    <t>2-s2.0-0026106395</t>
  </si>
  <si>
    <t>['v ).', 'many countries', 'evaluated onboard', 'early introduction', 'array antenna']</t>
  </si>
  <si>
    <t>The high gain airborne antenna is considered key technology in aeronautical satellite communication systems, which have been studied by many countries and organizations with a view to early introduction. Described here is the performance of the world's first airborne phased-array antenna, which was developed and evaluated onboard a commercial air craft using the Engineering Test Satellite V (ETS-V). The phased-array antenna was shown to meet both electrical and mechanical standards required for aeronautical satellite communications. Authors‚Äô address: Kashima Space Research Center, Communications Research Laboratory, Ministry of Posts and Telecommunications, Kashima, Ibaraki, 314, Japan. ¬© 1991 IEEE</t>
  </si>
  <si>
    <t>354-360</t>
  </si>
  <si>
    <t>60092258;60092258;60092258</t>
  </si>
  <si>
    <t>36950526800;57200782015;35560533200</t>
  </si>
  <si>
    <t>Taira, Shinichi;Tanaka, Masato;Ohmori, Shingo</t>
  </si>
  <si>
    <t>Koganei</t>
  </si>
  <si>
    <t>Ministry of Posts and Telecommunications, Japan</t>
  </si>
  <si>
    <t>Taira S.</t>
  </si>
  <si>
    <t>High Gain Airborne Antenna For Satellite Communications</t>
  </si>
  <si>
    <t>10.1109/7.78309</t>
  </si>
  <si>
    <t>2-s2.0-0026106426</t>
  </si>
  <si>
    <t>['wide range', 'usually unique', 'thin sheets', 'thicker sheets', 'test setup', 'test panel', 'specification performance', 'simulated test', 'separating cores', 'rf performance', 'rf energy', 'reduce cost', 'radome performance', 'radome design', 'performance regardless', 'performance prior', 'passband centered', 'paper describes', 'materials comprising', 'many errors', 'flat panels', 'extra costs', 'experimental data', 'expected performance', 'etc .,', 'detailed analysis', 'design frequency', 'degraded performance', 'curing environment', 'construct smaller', 'commonly verified', 'associated antenna', 'assembly procedure', 'accurate placement']</t>
  </si>
  <si>
    <t>A microwave radome designed to protect an enclosed antenna must be transparent to RF energy over its operating frequency band. Rigid radomes usually consist of two or more thin sheets of a plastic material separated by one or more thicker sheets (cores) of foam or honeycomb. Thickness of the sheets and separating cores are selected to form an equivalent bandpass filter structure with the passband centered on the design frequency. Consequently, manufacture and assembly usually require accurate maintenance of the thickness of the sheets and separating cores. Assembly requires application of adhesives, accurate placement in a vacuum-curing environment, and attention to outgassing, etc., that is usually unique to each radome design. Variation in the thickness of adhesive, the materials comprising the radome and the assembly procedure can alter the RF performance. Radome performance is commonly verified by measuring the associated antenna's performance with the radome properly installed. This is a success-oriented test since either the radome, the equipment it is designed to operate with, or both, could cause degraded or out-of-specification performance. When the radome and the antenna it protects are large and curved, it is sometimes the practice to construct smaller, flat panels with identical thickness dimensions and assembly procedure. Performance of this test panel is verified with a nontrivial RF transmission test setup. This simulated test of the radome is subject to many errors and the extra costs to build the test setup, and conduct the test. Often the radome and the antenna are produced at widely separated locations, and the expense of shipping a bad radome increases the cost. In view of the foregoing, a method for verifying a radome's performance prior to shipment to the user can reduce cost and delays. It can also help eliminate the radome as the cause of degraded performance. This paper describes a microwave radome gauge (MWRG) for verifying a radome's performance regardless of its size and for a wide range of shapes. A description of the gauge, a detailed analysis of its expected performance, and some experimental data are presented. ¬© 1991 IEEE</t>
  </si>
  <si>
    <t>134-142</t>
  </si>
  <si>
    <t>6602892845;6507617302;6603550383</t>
  </si>
  <si>
    <t>Ricardi, Leon J.;Sutkin, Seymour;Tran, Xi Phan</t>
  </si>
  <si>
    <t>Ricardi L.J.</t>
  </si>
  <si>
    <t>A Microwave Radome Performance Verification Gauge</t>
  </si>
  <si>
    <t>10.1109/8.68173</t>
  </si>
  <si>
    <t>2-s2.0-0026106472</t>
  </si>
  <si>
    <t>['therefore applicable', 'scattering matrix', 'sample calculations', 'parabolic reflector', 'focal length', 'diameter ratio', 'approach yields']</t>
  </si>
  <si>
    <t>Kern's ‚Äútransmission integral‚Äù is used to calculate defocusing errors on offset-fed parabolic reflector antennas. This approach yields the scattering matrix for the parabolic reflector and is therefore applicable to any type of feed. Sample calculations of the twodimensional (2-D) fast Fourier transform are given for a parabola with focal length to diameter ratio of 0.4. ¬© 1991 IEEE</t>
  </si>
  <si>
    <t>129-133</t>
  </si>
  <si>
    <t>Ott, Randolph H.</t>
  </si>
  <si>
    <t>Ott R.H.</t>
  </si>
  <si>
    <t>An Application of Kern's ‚ÄúTransmission Integral‚Äù to Defocusing Errors in Offset-Fed Parabolic Reflector Antennas</t>
  </si>
  <si>
    <t>10.1109/8.68172</t>
  </si>
  <si>
    <t>2-s2.0-0026106473</t>
  </si>
  <si>
    <t>['two types', 'satisfactory performance', 'polarization behavior', 'one based', 'omt used', 'many applications', 'finline technique']</t>
  </si>
  <si>
    <t>A summary of the results of a mainly experimental investigation into the development of wide-band orthomode transducers (OMT's) is presented. We show that satisfactory performance for many applications is possible over bandwidths in excess of 2:1. The wide-band return loss and cross-polarization behavior is given where the OMT used is measured in conjunction with a wide-band corrugated horn. Two types of OMT are considered: one based on a finline technique and the other on a quad-ridged waveguide geometry. Overall, the latter design gives superior performance. ¬© 1991 IEEE</t>
  </si>
  <si>
    <t>294-300</t>
  </si>
  <si>
    <t>60029470;60029470</t>
  </si>
  <si>
    <t>7102927532;7201399131</t>
  </si>
  <si>
    <t>Skinner, Stephen J.;James, Graeme L.</t>
  </si>
  <si>
    <t>Commonwealth Scientific and Industrial Research Organization</t>
  </si>
  <si>
    <t>Skinner S.</t>
  </si>
  <si>
    <t>Wide-Band Orthomode Transducers</t>
  </si>
  <si>
    <t>10.1109/22.102973</t>
  </si>
  <si>
    <t>2-s2.0-0026106492</t>
  </si>
  <si>
    <t>['greatly reduced', 'cc ).', 'associated emi', 'angle radiation']</t>
  </si>
  <si>
    <t>The wide-angle radiation from a prime-fed parabolic reflector antenna and the associated EMI it produces can be greatly reduced by constructing the antenna in the form of an absorber-lined conical cornucopia (CC). Typical measured extents of the reduction in wide-angle radiation are reported here and exceed 40 dB relative to a standard symmetrical prime-fed parabolic antenna of the same gain. ¬© 1991 IEEE</t>
  </si>
  <si>
    <t>63-65</t>
  </si>
  <si>
    <t>Knop, Charles M.</t>
  </si>
  <si>
    <t>On the Use of a Conical Cornucopia Antenna to Reduce EMI</t>
  </si>
  <si>
    <t>10.1109/15.68252</t>
  </si>
  <si>
    <t>2-s2.0-0026106560</t>
  </si>
  <si>
    <t>['numerical computations', 'amplitude elements']</t>
  </si>
  <si>
    <t>Numerical computations were made for a low sidelobe level 20-element symmetrical linear array whose equal-amplitude elements were spaced mostly equally and some unequally to yield aperture illumination densities along the array that approximate a truncated Gaussian distribution. ¬© 1991 IEEE</t>
  </si>
  <si>
    <t>265-266</t>
  </si>
  <si>
    <t>Tomiyasu, K.</t>
  </si>
  <si>
    <t>General Electric Company</t>
  </si>
  <si>
    <t>Tomiyasu K.</t>
  </si>
  <si>
    <t>Combined Equal and Unequal Element Spacings for Low Sidelobe Pattern of a Symmetrical Array with Equal-Amplitude Elements</t>
  </si>
  <si>
    <t>10.1109/8.68195</t>
  </si>
  <si>
    <t>2-s2.0-0026106739</t>
  </si>
  <si>
    <t>['wiley company', 'single source', 'radiation pattern', 'radiation field', 'present antenna', 'placed orthogonally', 'phase shifter', 'phase difference', 'phase delay', 'peripheral length', 'optimum shape', 'length corresponding', 'input impedance', 'inc .,', 'identical shape', 'general characteristics', 'different sizes', 'current distribution', 'computed numerically', 'circular polarization', 'axial ratio', '90 degrees']</t>
  </si>
  <si>
    <t>In the circularly polarized antenna with two orthogonally placed wire antennas of identical shape, each antenna is fed with a phase difference of 90 degrees. In this paper, a crossed twin delta loop antenna is proposed in which two triangular delta loop antennas of different sizes are placed orthogonally. It is demonstrated in principle that this antenna can work as a circularly polarized antenna without any phase shifter. To make the phase difference of the currents between the orthogonal delta loops 90 degrees, the peripheral length of one of the triangular delta loop antennas is longer that that of another by the length corresponding to the phase delay of 90 degrees of the transmission line (=1/4 wavelength √ó 2). These orthogonally placed triangular delta loop antennas are fed in parallel with a single source. In this paper, a circularly polarized orthogonal equilateral triangular delta loop antenna with a reflector is considered. Detailed numerical studies are carried out for the axial ratio of the radiation field and the gain characteristics versus the spacing between the antenna and the reflector. As a result, an optimum shape is found in which the gain is high and the axial ratio of the circular polarization is good. For this structure, the input impedance, current distribution and radiation pattern are computed numerically so that the general characteristics of the present antenna are evaluated. The validity of the theory is confirmed by comparison with experiments. Copyright ¬© 1991 Wiley Periodicals, Inc., A Wiley Company</t>
  </si>
  <si>
    <t>108-116</t>
  </si>
  <si>
    <t>60031720;60031720</t>
  </si>
  <si>
    <t>7005411783;7005288493</t>
  </si>
  <si>
    <t>Kumon, Yasunori;Tsukiji, Takehiko</t>
  </si>
  <si>
    <t>Fukuoka</t>
  </si>
  <si>
    <t>Fukuoka University</t>
  </si>
  <si>
    <t>Kumon Y.</t>
  </si>
  <si>
    <t>An analysis of the crossed twin delta loop antennas with circular polarization</t>
  </si>
  <si>
    <t>10.1002/ecja.4410740212</t>
  </si>
  <si>
    <t>2-s2.0-0026107045</t>
  </si>
  <si>
    <t>['shaped array', 'full potential']</t>
  </si>
  <si>
    <t>For the estimation of twodimensional (2-D) directions of plane wave arrival, an L-shaped array of sensors has 37% better accuracy potential than the conventional cross array. Computationally efficient maximum likelihood algorithm for the L-shaped array is available to achieve its full potential. ¬© 1991 IEEE</t>
  </si>
  <si>
    <t>143-146</t>
  </si>
  <si>
    <t>60026553;60030551;60030551</t>
  </si>
  <si>
    <t>7203055132;55650323300;56823836200</t>
  </si>
  <si>
    <t>Hua, Yingbo;Sarkar, Tapan K.;Weiner, Donald D.</t>
  </si>
  <si>
    <t>United States;Australia</t>
  </si>
  <si>
    <t>Syracuse;Parkville</t>
  </si>
  <si>
    <t>Syracuse University;University of Melbourne</t>
  </si>
  <si>
    <t>60030551;60026553</t>
  </si>
  <si>
    <t>Hua Y.</t>
  </si>
  <si>
    <t>An L-Shaped Array for Estimating 2-D Directions of Wave Arrival</t>
  </si>
  <si>
    <t>10.1109/8.68174</t>
  </si>
  <si>
    <t>2-s2.0-0026107082</t>
  </si>
  <si>
    <t>['wiley company', 'tm incidence', 'theoretical results', 'te incidence', 'slab thickness', 'response speed', 'reflection characteristics', 'modulation rate', 'incident angle', 'inc .,', 'effect near', 'distributed inhomogeneously', 'brewster angle', 'arbitrary angle', '35 ghz', '20 œºs', '1 percent']</t>
  </si>
  <si>
    <t>The problems of reflection and transmission of a plane wave incident at an arbitrary angle on a silicon slab containing optically induced plasma are analyzed by a step‚Äêapproximation method under the assumption that the plasma is distributed inhomogeneously in the direction of the slab thickness. It is found that the TM incidence is influenced more than the TE incidence by the plasma in the reflection coefficient vs. the incident angle. Especially, the effect near the Brewster angle is significant. On the other hand, a plasma is generated in a high‚Äêresistivity silicon slab by means of light‚Äêemitting diodes. A millimeter‚Äêwave at 35 GHz is incident at an arbitrary angle on the slab. The experiments on the reflection and transmission are carried out and the results are compared with the theoretical results. It is found that the reflection characteristics of the millimeter‚Äêwave can be controlled at a modulation rate of about 1 percent and the response speed of the plasma is 20 Œºs. Copyright ¬© 1991 Wiley Periodicals, Inc., A Wiley Company</t>
  </si>
  <si>
    <t>13-19</t>
  </si>
  <si>
    <t>60031225;60031225</t>
  </si>
  <si>
    <t>57208038571;7201754934</t>
  </si>
  <si>
    <t>Sugiyama, Shigeru;Tsutsumi, Makoto</t>
  </si>
  <si>
    <t>Kyoto</t>
  </si>
  <si>
    <t>Kyoto Institute of Technology</t>
  </si>
  <si>
    <t>Sugiyama S.</t>
  </si>
  <si>
    <t>Reflection and transmission of millimeter‚Äêwaves from a plasma‚Äêinduced semiconductor slab</t>
  </si>
  <si>
    <t>10.1002/ecjb.4420740202</t>
  </si>
  <si>
    <t>2-s2.0-0026107256</t>
  </si>
  <si>
    <t>['transmitting mode', 'scattering characteristics', 'scattering analysis', 'radiation impedance', 'numerical examples', 'numerical calculation', 'infinite array', 'dipole elements', 'dipole element', 'current distribution']</t>
  </si>
  <si>
    <t>An analysis of an infinite array of dipole elements over a radar absorbing material (RM) coated ground plane and covered with a radome is presented in this paper. The radiation impedance of the dipole element is obtained when the array is in transmitting mode, and a scattering analysis is carried out when the array is excited by an incoming plane wave and the dipole elements are terminated in loads. The electric field Green's function in terms of Floquet mode expansion due to a periodic Œ¥-function horizontal dipole source is derived to satisfy the layered boundary conditions. The method of moments is used to solve the current distribution on the dipole. Numerical calculation of the radiation impedance of a dipole array covered with a radome has been verified with results from waveguide simulator measurements. Numerical examples are given to show the effect of the RM coated ground plane on the radiation impedance and the scattering characteristics. ¬© 1991 IEEE</t>
  </si>
  <si>
    <t>164-176</t>
  </si>
  <si>
    <t>Chu, Ruey Shi</t>
  </si>
  <si>
    <t>Chu R.S.</t>
  </si>
  <si>
    <t>Analysis of an Infnite Phased Array of Dipole Elements with RAM Coating on Ground Plane and Covered with Layered Radome</t>
  </si>
  <si>
    <t>10.1109/8.68178</t>
  </si>
  <si>
    <t>2-s2.0-0026107295</t>
  </si>
  <si>
    <t>['wraparound antenna', 'tm12 modes', 'studied theoretically', 'spherical co', 'simple theory', 'radiation fields', 'determined using', 'circular disk']</t>
  </si>
  <si>
    <t>The far field radiation patterns of wraparound, circular disk and annular ring microstrip patch antennas mounted on a sphere are studied theoretically. The patches are replaced by equivalent magnetic currents based on cavity model theory. The radiation fields are then determined using the modal expansion technique in spherical co-ordinates. Results for a wraparound antenna of a half-wavelength in width, for the broadside TM11 mode of a circular disk antenna and for the TM11 and TM12 modes of an annular ring antenna are given. The accuracy of the simple theory is confirmed by a more rigorous but complicated theoretical approach based on electric surface current model.</t>
  </si>
  <si>
    <t>103-108</t>
  </si>
  <si>
    <t>55510527400;55650871700</t>
  </si>
  <si>
    <t>Luk, K. M.;Tam, W. Y.</t>
  </si>
  <si>
    <t>Luk K.</t>
  </si>
  <si>
    <t>Patch antennas on a spherical body</t>
  </si>
  <si>
    <t>10.1049/ip-h-2.1991.0017</t>
  </si>
  <si>
    <t>2-s2.0-0026107473</t>
  </si>
  <si>
    <t>['sinusoidal pulses', 'related far', 'radiated signals', 'function approximation', 'forming method', 'field transient', 'computer simulations', 'antenna patterns', 'also given']</t>
  </si>
  <si>
    <t>angular resolution | array antennas | beam forming | Nonsinusoidal waves</t>
  </si>
  <si>
    <t>A beam-forming method for nonsinusoidal waves using parabolic arrays is described. Antenna patterns for rectangular and sinusoidal pulses are given. Patterns for radiated signals with arbitrary time variations are shown to be derivable through function approximation by sums of linear ramp functions. In addition, the related far-field transient of signals that are zero for t &lt; 0 and have an arbitrary time variation for t ‚â• 0 is described. A number of computer simulations are also given. ¬© 1991 IEEE</t>
  </si>
  <si>
    <t>35-41</t>
  </si>
  <si>
    <t>Boules, Raouf N.</t>
  </si>
  <si>
    <t>Catholic University of America</t>
  </si>
  <si>
    <t>Boules R.N.</t>
  </si>
  <si>
    <t>Parabolic-Array Beam Forming for Nonsinusoidal Waves</t>
  </si>
  <si>
    <t>10.1109/15.68247</t>
  </si>
  <si>
    <t>2-s2.0-0026107840</t>
  </si>
  <si>
    <t>['short segments', 'proper angle', 'modulation signal', 'material dispersion', 'greatly reduced', 'five antennas', '13 ghz']</t>
  </si>
  <si>
    <t>The phase velocity mismatch due to material dispersion in traveling-wave LiNbO3 optical waveguide modulators may be greatly reduced by breaking the modulation transmission line into short segments and connecting each segment to its own surface dipole antenna. The array of antennas is then illuminated by the modulation signal from below at the proper angle to produce a delay from antenna to antenna that matches the optical waveguide‚Äôs delay. A phase modulator 25 mm in length with five antennas and five transmission line segments was operated from 4.6 to 13 GHz with a maximum phase modulation sensitivity over 100¬∞/W1/2. ¬© 1991 IEEE</t>
  </si>
  <si>
    <t>133-135</t>
  </si>
  <si>
    <t>60031581;60031581;60021939</t>
  </si>
  <si>
    <t>7006344629;6506941285;7005066766</t>
  </si>
  <si>
    <t>Bridges, William B.;Sheehy, Finbar T.;Schaffner, James H.</t>
  </si>
  <si>
    <t>Pasadena;Malibu</t>
  </si>
  <si>
    <t>California Institute of Technology;HRL Laboratories</t>
  </si>
  <si>
    <t>60031581;60021939</t>
  </si>
  <si>
    <t>Bridges W.B.</t>
  </si>
  <si>
    <t>Wave-Coupled LiNbO&lt;inf&gt;3&lt;/inf&gt; Electrooptic Modulator for Microwave and Millimeter-Wave Modulation</t>
  </si>
  <si>
    <t>10.1109/68.76865</t>
  </si>
  <si>
    <t>2-s2.0-0026108297</t>
  </si>
  <si>
    <t>['wiley company', 'technical background', 'inc .,', 'high isolation']</t>
  </si>
  <si>
    <t>cross‚Äêpol | dual‚Äêpolarization | isolation | Microstrip antenna</t>
  </si>
  <si>
    <t>A 2 √ó 2 dual‚Äêpolarized microstrip array antenna with high isolation between the two input ports and low cross‚Äêpolarization level has been developed. The technical background for this achievement and antenna performance results are presented. Copyright ¬© 1991 Wiley Periodicals, Inc., A Wiley Company</t>
  </si>
  <si>
    <t>99-103</t>
  </si>
  <si>
    <t>Dual‚Äêpolarized microstrip array with high isolation and low cross‚Äêpolarization</t>
  </si>
  <si>
    <t>10.1002/mop.4650040304</t>
  </si>
  <si>
    <t>2-s2.0-0026108315</t>
  </si>
  <si>
    <t>['urban areas', 'unavoidable increase', 'typically arise', 'transmitting mode', 'scattering scenarios', 'reference signals', 'rapid increase', 'proposed scheme', 'optimal combination', 'method based', 'great potential', 'frequency hopping', 'directional sensitivity', 'computer simulations', 'cochannel interference', 'channel capacity', 'base station', 'antenna array', 'additionally increase']</t>
  </si>
  <si>
    <t>The rapid increase in the number of users of mobile telephones places challenging demands on future communication systems. Frequency hopping and advanced coding techniques have already been implemented to reduce the unavoidable increase of cochannel interference. Despite these improvements, it has turned out that it still will be difficult to accommodate enough users. In this paper, the application of adaptive antenna techniques to additionally increase the channel capacity is discussed. Directional sensitivity is obtained by employing an antenna array at the base station, possibly both in receiving and transmitting mode. A scheme for separating several signals at the same frequency is proposed. The method is based on high-resolution direction finding followed by optimal combination of the antenna out-puts. Comparisons to a method based on reference signals are made. Computer simulations are carried out, for testing the applicability of the technique to scattering scenarios that typically arise in urban areas. The proposed scheme is found to have great potential in rejecting cochannel interference, albeit at the expense of high computational requirements. ¬© 1991 IEEE</t>
  </si>
  <si>
    <t>230-236</t>
  </si>
  <si>
    <t>60009358;60009358;60009358;60009358</t>
  </si>
  <si>
    <t>7404215687;6602998118;7004492932;35569027900</t>
  </si>
  <si>
    <t>Anderson, S√∂ren;Millnert, Mille;Viberg, Mats;Wahlberg, Bo</t>
  </si>
  <si>
    <t>Linkoping</t>
  </si>
  <si>
    <t>Linkoping University</t>
  </si>
  <si>
    <t>Anderson S.</t>
  </si>
  <si>
    <t>An Adaptive Array for Mobile Communication Systems</t>
  </si>
  <si>
    <t>10.1109/25.69993</t>
  </si>
  <si>
    <t>2-s2.0-0026108403</t>
  </si>
  <si>
    <t>['two show', 'thermal noise', 'theoretical results', 'smallest eigenvalue', 'interference suppression', 'good agreement', 'experimental system', 'diagonal entries', 'adaptive array']</t>
  </si>
  <si>
    <t>An experimental sample matrix inversion (SMI) adaptive antenna array to suppress weak interfering signals is described. The experimental adaptive array uses a modified SMI algorithm to increase the interference suppression. In the modified SMI algorithm, the sample covariance matrix is redefined to reduce the effect of thermal noise on the weights of an adaptive array. This is accomplished by subtracting a fraction (F) of the smallest eigenvalue of the original covariance matrix from its diagonal entries. The test results obtained using the experimental system are compared with theoretical results. The two show a good agreement. ¬© 1991 IEEE</t>
  </si>
  <si>
    <t>236-243</t>
  </si>
  <si>
    <t>60003500;60003500</t>
  </si>
  <si>
    <t>6603229284;7102202358</t>
  </si>
  <si>
    <t>Dilsavor, Ronald S.;Gupta, Inder J.</t>
  </si>
  <si>
    <t>Dilsavor R.S.</t>
  </si>
  <si>
    <t>An Experimental SMI Adaptive Antenna Array Simulator for Weak Interfering Signals</t>
  </si>
  <si>
    <t>10.1109/8.68188</t>
  </si>
  <si>
    <t>2-s2.0-0026108424</t>
  </si>
  <si>
    <t>['unidirectional beam', 'undirectional type', 'two types', 'triplate configuration', 'simple feed', 'radiation characteristics', 'particular range', 'frequency range', 'experimentally realised', 'evaluated using', 'dss antenna', 'dss ).', 'circularly polarised', 'arm lengths', 'aperture efficiency', '6 ghz', '0 ghz']</t>
  </si>
  <si>
    <t>Two types of dual-spiral slot antennas characterized by their simple feed are studied; one is a bidirectional radiation type (Bi-DSS) and the other is a undirectional type (Uni-DSS). The radiation characteristics of the Bi-DSS are evaluated using the numerically determined magnetic current distribution. It is found that a travelling wave magnetic current distribution becomes dominant for a particular range of slot-arm lengths, contributing to the radiation of a circularly polarised wave. On the basis of the investigation of the Bi-DSS radiation mechanism, the Uni-DSS antenna with a triplate configuration is designed. Formation of a circularly polarised, unidirectional beam is experimentally realised. A 4 √ó 8 Uni-DSS array antenna with a simple feeding system is constructed, achieving an aperture efficiency of 60% over a frequency range of 11.6 GHz to 12.0 GHz.</t>
  </si>
  <si>
    <t>32-36</t>
  </si>
  <si>
    <t>60030526;60030526</t>
  </si>
  <si>
    <t>7403255155;55633340100</t>
  </si>
  <si>
    <t>Hirose, K.;Nakano, H.</t>
  </si>
  <si>
    <t>Hosei University</t>
  </si>
  <si>
    <t>Hirose K.</t>
  </si>
  <si>
    <t>Dual-spiral slot antennas</t>
  </si>
  <si>
    <t>10.1049/ip-h-2.1991.0006</t>
  </si>
  <si>
    <t>2-s2.0-0026108450</t>
  </si>
  <si>
    <t>['tem cell', 'free space', 'antenna factor', '2 %.', '1000 mhz']</t>
  </si>
  <si>
    <t>A small and very wide-band dipole antenna employing FET‚Äôs with a bandwidth exceeding 200 Hz to 1000 MHz has been developed. The antenna factor in free space has been determined by using a TEM cell and the standard antenna method with error within ¬±3.2%. ¬© 1991 IEEE</t>
  </si>
  <si>
    <t>47-49</t>
  </si>
  <si>
    <t>Matsui, Toshimi</t>
  </si>
  <si>
    <t>Tsukuba</t>
  </si>
  <si>
    <t>Electrotechnical Laboratory</t>
  </si>
  <si>
    <t>Matsui T.</t>
  </si>
  <si>
    <t>A Wide-Band FET Antenna and its Calibration</t>
  </si>
  <si>
    <t>10.1109/19.69952</t>
  </si>
  <si>
    <t>2-s2.0-0026108501</t>
  </si>
  <si>
    <t>['superresolution techniques', 'spatial smoothing', 'promising methods', 'network analyzer', 'music algorithm', 'much narrower', 'individual response', 'frequency domain', 'fft ).', 'domain responses', 'domain measurements', 'decorrelation performance', 'band devices', 'algorithm preprocessed']</t>
  </si>
  <si>
    <t>Superresolution techniques for time delay estimation are proposed, which are applied to frequency-domain data measured with a network analyzer. Among many superresolution techniques, we employ a MUSIC (Multiple Signal Classification) algorithm preprocessed by spatial smoothing. The spatial smoothing preprocessing is performed to destroy signal coherence, and we examine the decorrelation performance in detail. Furthermore, the expression which gives an individual response is shown, namely, using the expression, we may eliminate unwanted signals that appear as ripples in the frequency domain. Experimental results show that the frequency bandwidth required by the MUSIC algorithm to resolve distinct time-domain responses and eliminate unwanted signals is much narrower than that required by the fast Fourier transform (FFT). Thus, it may be said that the MUSIC algorithm is applicable to the time-domain measurements with the network analyzer and has much higher resolution capability than the conventional FFT techniques. The MUSIC algorithm is one of the most promising methods to enhance the accuracy of measurement for narrow-band devices such as antennas. ¬© 1991 IEEE</t>
  </si>
  <si>
    <t>177-183</t>
  </si>
  <si>
    <t>60014652;60014652;60014652;60014652</t>
  </si>
  <si>
    <t>57203100681;6603767346;35516180700;7404897527</t>
  </si>
  <si>
    <t>Yamada, Hiroyoshi;Ohmiya, Manabu;Ogawa, Yasutaka;Itoh, Kiyohiko</t>
  </si>
  <si>
    <t>Yamada H.</t>
  </si>
  <si>
    <t>Superresolution Techniques for Time-Domain Measurements with a Network Analyzer</t>
  </si>
  <si>
    <t>10.1109/8.68179</t>
  </si>
  <si>
    <t>2-s2.0-0026108506</t>
  </si>
  <si>
    <t>['¬© asce', 'typical sites', 'term records', 'poisson model', 'point process', 'peak speeds', 'model consisted', 'homogeneous poisson', 'fixed threshold', 'event times', 'determine fisher', 'broadcasting antennae']</t>
  </si>
  <si>
    <t>In order to estimate T&lt;inf&gt;r&lt;/inf&gt;-year wind speed in typical sites where broadcasting antennae are located, the series of daily maximum speeds, recorded in several broadcasting stations, have been analyzed. The estimation from short-term records was considered. A model of bivariate-point process, for the peak speeds and relative event times, was used. This model consisted of assuming a homogeneous Poisson-point process for event times and the independence and identical exponential distribution for the peak speeds exceeding a pre-fixed threshold. The threshold was selected by event times when they were consistent with the Poisson model. Results were compared to those of the Cook-storm and monthly maximum methods and to those of the largest yearly value analysis in which different statistical tools were used to determine Fisher-Tippett type 1 (FT1) asymptotic distribution parameters. ¬© ASCE.</t>
  </si>
  <si>
    <t>375-390</t>
  </si>
  <si>
    <t>Journal of Structural Engineering (United States)</t>
  </si>
  <si>
    <t>Gusella, Vittorio</t>
  </si>
  <si>
    <t>Florence</t>
  </si>
  <si>
    <t>Universit√† degli Studi di Firenze</t>
  </si>
  <si>
    <t>Gusella V.</t>
  </si>
  <si>
    <t>Estimation of extreme winds from short-term records</t>
  </si>
  <si>
    <t>10.1061/(ASCE)0733-9445(1991)117:2(375)</t>
  </si>
  <si>
    <t>2-s2.0-0026108881</t>
  </si>
  <si>
    <t>['systems exactly', 'symmetry modes', 'substructuring techniques', 'structural matrices', 'skeletal structures', 'repeating substructure', 'procedure requires', 'novel combination', 'first present', 'based upon']</t>
  </si>
  <si>
    <t>We consider large eigenvalue problems for skeletal structures with symmetry. We present an algorithm, based upon a novel combination of group‚Äêtheoretic ideas and substructuring techniques, that block‚Äêdiagonalizes such systems exactly and efficiently. The procedure requires only the structural matrices of a repeating substructure, together with the symmetry modes, which are obtained from symmetry considerations alone. We first present a simple paradigmatic example and then follow with several non‚Äêtrivial applications involving large lattice structures. Copyright ¬© 1991 John Wiley &amp; Sons, Ltd</t>
  </si>
  <si>
    <t>265-285</t>
  </si>
  <si>
    <t>International Journal for Numerical Methods in Engineering</t>
  </si>
  <si>
    <t>60007776;60007776</t>
  </si>
  <si>
    <t>7005036370;57191111245</t>
  </si>
  <si>
    <t>Healey, T. J.;Treacy, J. A.</t>
  </si>
  <si>
    <t>Ithaca</t>
  </si>
  <si>
    <t>Cornell University</t>
  </si>
  <si>
    <t>Healey T.J.</t>
  </si>
  <si>
    <t>Exact block diagonalization of large eigenvalue problems for structures with symmetry</t>
  </si>
  <si>
    <t>10.1002/nme.1620310205</t>
  </si>
  <si>
    <t>2-s2.0-0026111067</t>
  </si>
  <si>
    <t>['new antenna', 'cavity loaded', 'active region', 'absorbing material', '10 %).']</t>
  </si>
  <si>
    <t>Existing Broadband planar spiral antennas have a cavity loaded with absorbing material. As a result, they are bulky and lossy. Existing microstrip antennas are narrow-banded (less than 10%). In this paper, the design of spiral-mode microstrip antennas with a bandwidth of 6:1 is demonstrated. This new antenna has a small dissipative loss due to a resistive loading outside its active region. ¬© 1991 IEEE</t>
  </si>
  <si>
    <t>332-335</t>
  </si>
  <si>
    <t>60015099;60015099</t>
  </si>
  <si>
    <t>57203558701;7003971864</t>
  </si>
  <si>
    <t>Wang, Johnson J.H.;Tripp, Victor K.</t>
  </si>
  <si>
    <t>Georgia Tech Research Institute</t>
  </si>
  <si>
    <t>Design of Multioctave Spiral-Mode Microstrip Antennas</t>
  </si>
  <si>
    <t>10.1109/8.76330</t>
  </si>
  <si>
    <t>2-s2.0-0026116316</t>
  </si>
  <si>
    <t>['texas 5', 'surface tolerance', 'secondary reflector', 'remote transmitter', 'radiometric measurements', 'planets demonstrated', 'measured holographically', 'limiting factor', 'frequency range', '300 ghz', '113 ghz']</t>
  </si>
  <si>
    <t>A study to upgrade the high frequency performance of the University of Texas 5-m millimeter wave reflector antenna established surface tolerance of the reflector as the limiting factor. The prime focus antenna was converted to a folded Gregorian geometry. The resulting trireflector system was measured holographically at 113 GHz. A machined secondary reflector was fabricated on a highly accurate computer-controlled milling machine. The inverse of the measured surface perturbations of the primary was machined into the secondary reflector. The modifying of ray path lengths effectively reduced the surface tolerance of the antenna. Radiometric measurements on a remote transmitter and on planets demonstrated an increase in antenna aperture efficiency by more than a factor of two over the frequency range of 230-300 GHz. ¬© 1991 IEEE</t>
  </si>
  <si>
    <t>309-317</t>
  </si>
  <si>
    <t>60011976;;60013372</t>
  </si>
  <si>
    <t>7202232494;55740874900;6603050168</t>
  </si>
  <si>
    <t>Mayer, Charles E.;Davis, John H.;Foltz, Heinrich D.</t>
  </si>
  <si>
    <t>Austin;Fairbanks</t>
  </si>
  <si>
    <t>The University of Texas at Austin;University of Alaska Fairbanks</t>
  </si>
  <si>
    <t>60013372;60011976</t>
  </si>
  <si>
    <t>Mayer C.</t>
  </si>
  <si>
    <t>Texas 5-m Antenna Aperture Efficiency Doubled from 230-300 GHz with Error Compensating Secondary</t>
  </si>
  <si>
    <t>10.1109/8.76327</t>
  </si>
  <si>
    <t>2-s2.0-0026116358</t>
  </si>
  <si>
    <t>['ur equalizer', 'tv receivers', 'time without', 'taps ),', 'standard iir', 'standard equalizers', 'stability problem', 'short periods', 'periodically cleanse', 'line without', 'line processing', 'larger delays', 'iir equalizers', 'iir equalizer', 'ghosting problem', 'ghosted channel', 'ghost delay', 'fir equalizer', 'e .,', 'cancel ghosts', 'analog signal', 'adaptive antenna', '11 œºs']</t>
  </si>
  <si>
    <t>Techniques that can cancel ghosts in received analog TV (for IDTV, EDTV, and HDTV) signals are presented. The fact that there are short periods of time without the analog signal (the horizontal flyback interval between the lines) is utilized to periodically cleanse a finite Impulse response (FIR) or an infinite impulse reponse (HR) equalizer. This line-by-line processing (cleansing) overcomes the limitations of standard equalizers to allow for 40‚Äì50 dB of suppression of ghosts, even with nulls in the spectrum, as long as the ghost delay is less than the period of time without the analog signal. Furthermore, by using time inversion in combination with line-by-line processing, the stability problem of the conventional UR equalizer can be eliminated. It is shown that it may be possible to implement this UR equalizer on a single digital integrated circuit. Alternatively, an FIR equalizer can be used which, although It requires multiple chips (i.e., more taps), can acquire and adapt to the ghosted channel more rapidly than an IIR equalizer. With line-by-line processing, FIR and IIR equalizers can eliminate any ghost with delays up to 11 Œºs in IDTV or EDTV, and any ghost with delays up to the length of the interval between each line without the analog signal in HDTV. For larger delays, we show how a standard IIR or FIR equalizer can be used as a preprocessor to eliminate small ghosts and an adaptive antenna can be used to eliminate large ghosts. Thus, using these techniques in combination with line-by-line processing, we can eliminate the ghosting problem In nearly all TV receivers. ¬© 1991 IEEE</t>
  </si>
  <si>
    <t>136-146</t>
  </si>
  <si>
    <t>IEEE Transactions on Circuits and Systems for Video Technology</t>
  </si>
  <si>
    <t>60021378;60021378;60021378;60021378;122602874</t>
  </si>
  <si>
    <t>7102662778;7004542327;7004629864;57192434862;7003481587</t>
  </si>
  <si>
    <t>Winters, Jack H.;Ayanoglu, Ender;Gitlin, Richard D.;Chih-Lin, I.;Bar-David, Israel</t>
  </si>
  <si>
    <t>United States;Israel</t>
  </si>
  <si>
    <t>Murray;Haifa</t>
  </si>
  <si>
    <t>Nokia Bell Labs;Technion</t>
  </si>
  <si>
    <t>60021378;122602874</t>
  </si>
  <si>
    <t>Winters J.H.</t>
  </si>
  <si>
    <t>Ghost Cancellation of Analog TV Signals: With Applications to IDTV, EDTV, and HDTV</t>
  </si>
  <si>
    <t>10.1109/76.109153</t>
  </si>
  <si>
    <t>2-s2.0-0026116364</t>
  </si>
  <si>
    <t>['wave array', 'transmission line', 'tapered attenuation', 'shunt configuration', 'periodic analysis', 'loaded line', 'design procedure', 'constant attenuation']</t>
  </si>
  <si>
    <t>A simple iterative design procedure is given for a traveling-wave array of dipole elements fed in a shunt configuration by a transmission line. The design procedure is based on a quasi-periodic analysis of the loaded line, which assumes a Block wave propagation on the structure. A design procedure is formulated for the cases of constant attenuation and tapered attenuation on the line. ¬© 1991 IEEE</t>
  </si>
  <si>
    <t>415-418</t>
  </si>
  <si>
    <t>60005837;60000221</t>
  </si>
  <si>
    <t>7404289310;36972521000</t>
  </si>
  <si>
    <t>Jackson, David R.;Kwok, Sai C.</t>
  </si>
  <si>
    <t>Houston;Boulder</t>
  </si>
  <si>
    <t>University of Houston;University of Colorado Boulder</t>
  </si>
  <si>
    <t>Jackson D.R.</t>
  </si>
  <si>
    <t>A Quasi-Periodic Design Procedure for a Traveling-Wave Array of Dipoles</t>
  </si>
  <si>
    <t>10.1109/8.76344</t>
  </si>
  <si>
    <t>2-s2.0-0026116458</t>
  </si>
  <si>
    <t>['unique location', 'two methods', 'two cross', 'quantity measured', 'paper describes', 'minimal disruption', 'location methods', 'appropriate combination', 'affected satellite']</t>
  </si>
  <si>
    <t>This paper describes the design and development of a system for inferring the position of terrestrial satellite uplink stations using existing domestic satellites with minimal disruption to normal satellite operation. Two methods are presented by which a quantity measured at a terrestrial receiving site is mapped into a curve of possible uplink locations on the Earth‚Äôs surface. One method involves measuring differential time delays of a single uplink signal observed through two adjacent spacecraft. Another method uses a short baseline interferometer composed of the two cross-polarized and spatially separated antenna feeds aboard an affected satellite. A unique location is obtained by employing an appropriate combination of the two presented methods. A system for measurement of the required differential delays and phases is described in addition to experimental work performed to demonstrate the feasibility of these location methods. ¬© 1991 IEEE</t>
  </si>
  <si>
    <t>IEEE Aerospace and Electronic Systems Magazine</t>
  </si>
  <si>
    <t>60021032;60021032</t>
  </si>
  <si>
    <t>7406474469;6602186930</t>
  </si>
  <si>
    <t>Smith, William Whitfield;Steffes, Paul G.</t>
  </si>
  <si>
    <t>Georgia Institute of Technology</t>
  </si>
  <si>
    <t>Smith W.</t>
  </si>
  <si>
    <t>A Satellite Interference Location System Using Differential Time and Phase Measurement Techniques</t>
  </si>
  <si>
    <t>10.1109/62.71908</t>
  </si>
  <si>
    <t>2-s2.0-0026116654</t>
  </si>
  <si>
    <t>['two sets', 'spectral domain', 'rigorous analysis', 'radiation patterns', 'properly model', 'probe self', 'performed using', 'orthogonal modes', 'one set', 'magnetic cavity', 'layered parameters', 'input impedance', 'good agreement', 'function formulation', 'experimental data', 'dyadic green', 'disk junction', 'disk currents', 'complete set', 'coaxial probe', 'calculated results', 'also presented', 'additional term']</t>
  </si>
  <si>
    <t>The input impedance of a microstrip antenna consisting of two circular microstrip disks in a stacked configuration driven by a coaxial probe is investigated. A rigorous analysis is performed using a dyadic Green's function formulation where the mixed boundary value problem is reduced to a set of coupled vector integral equations using the vector Hankel transform. Galerkin's method is employed in the spectral domain where two sets of disk current expansions are used. One set is based on the complete set of orthogonal modes of the magnetic cavity, and the other employs Chebyshev polynomials with the proper edge condition for the disk currents. An additional term is added to the disk current expansion to properly model the current in the vicinity of the probe/disk junction. The input impedance of the stacked microstrip antenna including the probe self-impedance is calculated as a function of the layered parameters and the ratio of the two disk radii. Disk current distributions and radiation patterns are also presented. The calculated results are compared with experimental data and shown to be in good agreement. ¬© 1991 IEEE</t>
  </si>
  <si>
    <t>381-390</t>
  </si>
  <si>
    <t>;;60022195</t>
  </si>
  <si>
    <t>6602655744;7403094093;7202290923</t>
  </si>
  <si>
    <t>Tulintseff, Ann N.;Ali, Sami M.;Kong, Jin Au</t>
  </si>
  <si>
    <t>Tulintseff A.</t>
  </si>
  <si>
    <t>Input Impedance of a Probe-Fed Stacked Circular Microstrip Antenna</t>
  </si>
  <si>
    <t>10.1109/8.76338</t>
  </si>
  <si>
    <t>2-s2.0-0026117376</t>
  </si>
  <si>
    <t>['subarray processing', 'phased array', 'os ).', 'obtained using', 'msa ).', 'industrial site', 'found useful', 'exists overlapping', 'dsa ),', 'data sets', 'cpu time', 'adjacent subarrays', '8650 computer']</t>
  </si>
  <si>
    <t>Subarray processing is found useful for self-calibrating a large distorted phased array. Two subarray procedures are added to the multiple scatterer algorithm (MSA). Depending on whether or not there exists overlapping between adjacent subarrays, they are called the multiple scatterer algorithm with subarray processing (MSA-S) or the multiple scatterer algorithm with overlapping subarray processing (MSA-OS). These are tested using experimental microwave echoes from an industrial site and a housing development area near Phoenixville, PA. The data sets are obtained using the X-band (3 cm), 83-m phased array at the Valley Forge Research Center (VFRC) of the University of Pennsylvania. MSA-OS can synthesize a specular-like beamformer using the echoes from three low quality beamformers, each of which is incapable of phase-cohering the array by itself. The three MSA algorithms are found to be superior to the more basic dominant scatterer algorithm (DSA), and MSA-OS is found to perform the best. The MSA algorithms require 40% more CPU time on a VAX-8650 computer than DSA. ¬© 1991 IEEE</t>
  </si>
  <si>
    <t>291-298</t>
  </si>
  <si>
    <t>60003780;60102562;60014662</t>
  </si>
  <si>
    <t>55420318000;7102870158;7006442646</t>
  </si>
  <si>
    <t>Kang, Bongsoon;Steinberg, Bernard D.;Kesler, Stanislav B.</t>
  </si>
  <si>
    <t>United States;United States;South Korea</t>
  </si>
  <si>
    <t>Philadelphia;Philadelphia;Suwon</t>
  </si>
  <si>
    <t>School of Engineering and Applied Science;Drexel University;Samsung Electronics Co. Ltd.</t>
  </si>
  <si>
    <t>60102562;60014662;60003780</t>
  </si>
  <si>
    <t>Kang B.</t>
  </si>
  <si>
    <t>A Solution for Self-Calibrating a Large Distorted Phased Array Using Subarray Processing</t>
  </si>
  <si>
    <t>10.1109/8.76324</t>
  </si>
  <si>
    <t>2-s2.0-0026117377</t>
  </si>
  <si>
    <t>['receiving array', 'radiating sources', 'proposed algorithm', 'phase uncertainties', 'numerical examples', 'mutual coupling', 'known locations', 'direction finding', 'calibration sources', 'based method']</t>
  </si>
  <si>
    <t>An eigenstructure-based method for direction finding in the presence of sensor mutual coupling, gain, and phase uncertainties is presented. The method provides estimates of the directions-of-arrival (DOA) of all the radiating sources as well as calibration of the gain and phase of each sensor and the mutual coupling in the receiving array. Calibration sources at known locations are not required. Conditions are provided for the existence of a solution. The proposed algorithm is described in detail, and its behavior is illustrated by numerical examples. ¬© 1991 IEEE</t>
  </si>
  <si>
    <t>273-284</t>
  </si>
  <si>
    <t>60022880;60014439-60005681</t>
  </si>
  <si>
    <t>7102972288;57208463148</t>
  </si>
  <si>
    <t>Friedlander, Benjamin;Friedlander, Benjamin</t>
  </si>
  <si>
    <t>United States;United States;Israel</t>
  </si>
  <si>
    <t>South Portland;Davis;Tel Aviv-Yafo</t>
  </si>
  <si>
    <t>Fairchild Semiconductor Corporation;University of California, Davis;Tel Aviv University</t>
  </si>
  <si>
    <t>60022880;60014439;60005681</t>
  </si>
  <si>
    <t>Friedlander B.</t>
  </si>
  <si>
    <t>Direction Finding in the Presence of Mutual Coupling</t>
  </si>
  <si>
    <t>10.1109/8.76322</t>
  </si>
  <si>
    <t>2-s2.0-0026117417</t>
  </si>
  <si>
    <t>['usual case', 'stacked antenna', 'recently attracted', 'positioned along', 'mainly due', 'main purpose', 'large bandwidth', 'high gain', 'great deal']</t>
  </si>
  <si>
    <t>Stacked microstrip antennas have recently attracted a great deal of interest and development because of their large bandwidth. The main purpose of this communication is to present microstrip stacked square patches with low cross polar and high gain. The low cross polar is mainly due to the excitation feeds located on the diagonals of the square lower patch. These advantages are explained, compared to the usual case where the excitation is positioned along the median. The evolution of one of the principal antenna parameters is studied by the spectral domain approach. A stacked antenna is realized on low loss substrate and experiment is compared with theory. ¬© 1991 IEEE</t>
  </si>
  <si>
    <t>413-415</t>
  </si>
  <si>
    <t>;;60030553</t>
  </si>
  <si>
    <t>6507362749;7006272544;7202044329</t>
  </si>
  <si>
    <t>Assailly, S.;Terret, C.;Daniel, J. P.</t>
  </si>
  <si>
    <t>Rennes</t>
  </si>
  <si>
    <t>Universite de Rennes 1</t>
  </si>
  <si>
    <t>Assailly S.</t>
  </si>
  <si>
    <t>Some Results on Broadband Microstrip Antenna with Low Cross Polar and High Gain</t>
  </si>
  <si>
    <t>10.1109/8.76343</t>
  </si>
  <si>
    <t>2-s2.0-0026117459</t>
  </si>
  <si>
    <t>['wiley company', 'two layers', 'structural parameters', 'secondary field', 'scanning characteristics', 'radiation field', 'radiation efficiency', 'radiation angle', 'primary field', 'perturbation method', 'periodic structure', 'numerical calculations', 'magnetic slabs', 'incident field', 'inc .,', 'guided field', 'grounded conductor', 'found possible', 'coupling characteristics', 'applied externally', 'antenna consisting']</t>
  </si>
  <si>
    <t>In this paper, a millimeter‚Äêwave antenna is constructed with layered magnetic thin films with different saturation magnetizations placed on a grounded conductor and with a periodic structure on the upper layer interfacing with air. Under the condition in which a dc magnetic field is applied externally, the scanning characteristics and the radiation efficiency of the antenna are analyzed with a perturbation method. In the analysis, the multiple scale method also is applied. From the primary field, the coupling characteristics of the radiation field with the guided field and the incident field are derived while the amplitude transport equation is derived from the secondary field. By means of these results, the expressions for the radiation efficiency and the radiation angle of the antenna are obtained. Numerical calculations are carried out in the millimeter‚Äêwave frequency range so that the magnetic field dependence of the beam scanning angle and the radiation efficiency are investigated. From the numerical results obtained, it is found possible to construct a magnetically tuned millimeter‚Äêwave antenna with a large radiation efficiency and a large beam scanning angle by adjusting the structural parameters of the antenna consisting of two layers of magnetic slabs with different saturation magnetizations. Copyright ¬© 1991 Wiley Periodicals, Inc., A Wiley Company</t>
  </si>
  <si>
    <t>97-106</t>
  </si>
  <si>
    <t>60033080;60000886</t>
  </si>
  <si>
    <t>57224237185;57214924764</t>
  </si>
  <si>
    <t>Erkin, Sidic;Chang, Nion Sock</t>
  </si>
  <si>
    <t>Long Beach;Neyagawa</t>
  </si>
  <si>
    <t>The California State University;Osaka Electro-Communication University</t>
  </si>
  <si>
    <t>Erkin S.</t>
  </si>
  <si>
    <t>Theoretical analysis of a leaky millimeter‚Äêwave antenna consisting of a layered magnetic slab image line with periodic corrugation</t>
  </si>
  <si>
    <t>10.1002/ecja.4410740310</t>
  </si>
  <si>
    <t>2-s2.0-0026117989</t>
  </si>
  <si>
    <t>Air Force Office of Scientific Research</t>
  </si>
  <si>
    <t>AFOSR</t>
  </si>
  <si>
    <t>['waveguide film', 'wafer surface', 'transverse far', 'space radiation', 'simulation reveals', 'refractive index', 'reduced confinement', 'radiation emitted', 'produce reductions', 'phase profiles', 'performance limitations', 'output endface', 'optical waveguides', 'numerical simulation', 'novel molecular', 'longitudinal reduction', 'half maximum', 'field beams', 'electric field', 'effectively reduced', 'distinct advantage', 'direction perpendicular', 'confinement geometry', 'confinement antennas', 'antenna output', 'achieved using']</t>
  </si>
  <si>
    <t>When coupling between the strongly confined modes of integrated-optical waveguides and free-space radiation, the far-field beam divergence is efficiently and effectively reduced through the use of reduced-confinement tapered waveguide antennas. These monolithically integrated antennas are shown to produce reductions of &gt;35% in the transverse far-field beam divergence for radiation emitted from GaAlAs slab waveguides, resulting in far-field beams as narrow as 8.2¬∞ full width at half maximum (FWHM) along the direction perpendicular to the wafer surface. Reduced confinement of the guided mode near the output endface is achieved using a novel molecular-beam-epitaxy growth technique to produce a longitudinal reduction in the refractive index and thickness of the waveguide film. Unlike present horn antennas, the reduced-confinement geometry has the distinct advantage of being compatible with two-dimensional antenna development. a numerical simulation is used to verify and predict the performance limitations of reduced-confinement antennas. Requirements on both the amplitude and phase profiles of the electric field at the antenna output are shown to impose a stringent lower limit on the acceptable taper length for optimal antenna performance. for example, the simulation reveals that a 70% reduction in the transverse far-field beam divergence, from 16 to 5¬∞ FWHM, is attainable from a 1 mm long parabolically tapered antenna for which the film and cladding thicknesses total &gt;9 ¬µm. ¬© 1991 IEEE.</t>
  </si>
  <si>
    <t>687-695</t>
  </si>
  <si>
    <t>IEEE Journal of Quantum Electronics</t>
  </si>
  <si>
    <t>60022195;60022195;60022195;60022195</t>
  </si>
  <si>
    <t>6603852204;7004186546;7404799063;6701398313</t>
  </si>
  <si>
    <t>Bossi, Donald E.;Goodhue, William D.;Johnson, Leonard M.;Rediker, Robert H.</t>
  </si>
  <si>
    <t>Bossi D.</t>
  </si>
  <si>
    <t>Reduced-Confinement Gaalas Tapered Waveguide Antennas for Enhanced Far-Field Beam Directionality</t>
  </si>
  <si>
    <t>10.1109/3.81378</t>
  </si>
  <si>
    <t>2-s2.0-0026118382</t>
  </si>
  <si>
    <t>['treated within', 'theoretical results', 'surface fields', 'surface currents', 'static limit', 'numerical computations', 'general ellipsoid', 'field approach', 'elliptic disk', 'edge condition', 'charge distributions']</t>
  </si>
  <si>
    <t>-Current distributions induced on a perfectly conducting elliptic disk are treated within the framework of the null-field approach. The elliptic disk is treated as the zero thickness limit of a general ellipsoid. In this limit it is necessary to introduce modified expansion functions for the surface fields. It is shown that these expansion functions inherently satisfy the edge condition and no extra weight factors have to be introduced. The first few terms in a low frequency expansion of the surface currents induced by an incident plane wave are derived and from this expansion the static limit is analyzed. The theoretical results are illustrated with numerical computations of the surface currents and charge distributions. ¬© 1991 IEEE</t>
  </si>
  <si>
    <t>318-326</t>
  </si>
  <si>
    <t>Bjorkberg, Jonas</t>
  </si>
  <si>
    <t>Stockholm</t>
  </si>
  <si>
    <t>The Royal Institute of Technology (KTH)</t>
  </si>
  <si>
    <t>Bjorkberg J.</t>
  </si>
  <si>
    <t>Current Distributions on a Perfectly Conducting Elliptic Disk</t>
  </si>
  <si>
    <t>10.1109/8.76328</t>
  </si>
  <si>
    <t>2-s2.0-0026118390</t>
  </si>
  <si>
    <t>['thermally decoupled', 'thermal resistance', 'specifications meet', 'small size', 'separate film', 'readout schemes', 'planar self', 'novel antenna', 'makes use', 'low temperatures', 'deposited directly', 'conveniently produced', 'complementary antenna', 'antenna terminals', 'active area', '18 whz', '109 v']</t>
  </si>
  <si>
    <t>We propose a novel antenna-coupled superconducting bolometer which makes use of the thermal boundary resistance available at low temperatures. The radiation is collected by a planar self-complementary antenna and thermalized in a small thin film resistor. The resulting temperature rise is detected by a transition edge thermometer which can be (but need not be) a separate film. All components are deposited directly on a substrate so that arrays can be conveniently produced by conventional lithographic techniques. The active area of the bolometer is thermally decoupled by its small size and by the thermal resistance of the boundaries with the substrate and the antenna terminals. Design calculations based on a 2x2 ¬µm square film of a superconductor with Tc‚âà0.1 K give an NEP‚âà10-18 WHz-l/2, time constant ‚âà10-6 s and responsivities up to =109 V/W. These specifications meet the requirements for NASA's Space Infrared Telescope Facility and SubMillimeter Moderate Mission. Useful applications also exist at 3He and 4H e temperatures. The calculated NEP scales as T5/2. Materials, architectures, and readout schemes will be discussed. ¬© 1991 IEEE</t>
  </si>
  <si>
    <t>2484-2487</t>
  </si>
  <si>
    <t>IEEE Transactions on Magnetics</t>
  </si>
  <si>
    <t>60025038;60025038</t>
  </si>
  <si>
    <t>7004472931;7201484168</t>
  </si>
  <si>
    <t>Nahum, M.;Richards, P. L.</t>
  </si>
  <si>
    <t>Nahum M.</t>
  </si>
  <si>
    <t>Design Analysis of a Novel Low Temperature Bolometer</t>
  </si>
  <si>
    <t>10.1109/20.133722</t>
  </si>
  <si>
    <t>2-s2.0-0026118433</t>
  </si>
  <si>
    <t>['supports wide', 'receive operation', 'performance measures', 'new architecture', 'monopulse processing', 'computer model', 'angle scanning']</t>
  </si>
  <si>
    <t>A new architecture is presented for a scanning reflector antenna that supports wide-angle scanning, multioctave tunable bandwidths, transmit and receive operation, and monopulse processing. The evolution of the new architecture and a computer model of it are described. Computer simulation results and performance measures are presented. ¬© 1991 IEEE</t>
  </si>
  <si>
    <t>391-400</t>
  </si>
  <si>
    <t>60012564;;60028654;60030551</t>
  </si>
  <si>
    <t>7410191088;7102248223;6505650043;6602632152</t>
  </si>
  <si>
    <t>Davis, Richard M.;Cha, Chung Chi;Kamak, Stephen G.;Sadigh, Ali</t>
  </si>
  <si>
    <t>Syracuse;Syracuse;McLean</t>
  </si>
  <si>
    <t>Syracuse University;SRC, Inc.;MITRE Corporation</t>
  </si>
  <si>
    <t>60030551;60028654;60012564</t>
  </si>
  <si>
    <t>Davis R.M.</t>
  </si>
  <si>
    <t>A Scanning Reflector using an Off-Axis Space-Fed Phased-Array Feed</t>
  </si>
  <si>
    <t>10.1109/8.76339</t>
  </si>
  <si>
    <t>2-s2.0-0026118620</t>
  </si>
  <si>
    <t>['wind speed', 'wave height', 'unique frequency', 'scatterometer utilizes', 'present understanding', 'mechanically spins', 'installed beneath', 'improve upon', 'fully computer', 'electronically scanned', 'airborne c', '50 ¬∞', '20 ¬∞']</t>
  </si>
  <si>
    <t>An airborne C-band scatterometer system (C-Scat) has been developed to remotely sense ocean surface winds and improve upon the present understanding of the relationship between normalized radar cross section (NRCS) and ocean surface roughness influences such as wind speed and direction, wave height and slope, and the air-sea temperature difference. The scatterometer utilizes a unique frequency-steered microstrip array antenna that is installed beneath the fuselage of an airplane. The antenna is electronically scanned in elevation, from 20¬∞ to 50¬∞ off nadir, and mechanically spins in azimuth. The system is fully computer-controlled and capable of measuring ocean surface NRCS from altitudes as high as 25 000 ft. In this paper we describe the design of the scatterometer and present preliminary flight data that demonstrates the instrument's performance. ¬© 1991 IEEE</t>
  </si>
  <si>
    <t>260-267</t>
  </si>
  <si>
    <t>60014313;60014313;60014313;60014313;60014313</t>
  </si>
  <si>
    <t>7102605212;7103288212;7003945447;6507380012;7801393361</t>
  </si>
  <si>
    <t>McLaughlin, David J.;McIntosh, Robert E.;Pazmany, Andrew;Hevizi, Laszlo;Boltniew, Eugene</t>
  </si>
  <si>
    <t>Amherst MA</t>
  </si>
  <si>
    <t>University of Massachusetts Amherst</t>
  </si>
  <si>
    <t>McLaughlin D.</t>
  </si>
  <si>
    <t>A C-Band Scatterometer for Remote Sensing the Air-Sea Interface</t>
  </si>
  <si>
    <t>10.1109/36.73667</t>
  </si>
  <si>
    <t>2-s2.0-0026118753</t>
  </si>
  <si>
    <t>['satellite attitude', 'satellite antenna', 'nominal position', 'interference contribution', 'given location', 'depointing angle', 'attitude control', 'angular motions', 'angular motion']</t>
  </si>
  <si>
    <t>Antenna | Coverage | Geostationary satellite | Pointing error | True view</t>
  </si>
  <si>
    <t>The paper establishes practical formulae in order to determine the depointing angle for a geostationary satellite antenna. Both satellite attitude and station‚Äêkeeping errors are considered. The attitude control and station‚Äêkeeping specifications give the amplitude of the angular motion of the satellite about its centre of mass and the amplitude of the displacement of the satellite with respect to its nominal position, respectively. The effects of these angular motions and displacements on the aiming of the satellite antenna are analysed. A set of formulae is derived which permits the calculation of the overall satellite antenna depointing angle. These formulae can be used for the estimation of the satellite antenna gain loss or interference contribution at a given location on the Earth. Copyright ¬© 1991 John Wiley &amp; Sons, Ltd.</t>
  </si>
  <si>
    <t>85-92</t>
  </si>
  <si>
    <t>International Journal of Satellite Communications</t>
  </si>
  <si>
    <t>March/April 1991</t>
  </si>
  <si>
    <t>115851249;60029116</t>
  </si>
  <si>
    <t>8899045300;7003278868</t>
  </si>
  <si>
    <t>Bousquet, Michel;Maral, G√©rard</t>
  </si>
  <si>
    <t>Palaiseau;Toulouse</t>
  </si>
  <si>
    <t>T√©l√©com Paris;Ecole Normale Superieure</t>
  </si>
  <si>
    <t>60029116;115851249</t>
  </si>
  <si>
    <t>Bousquet M.</t>
  </si>
  <si>
    <t>Satellite antenna depointing originating from attitude control and station keeping specifications</t>
  </si>
  <si>
    <t>10.1002/sat.4600090204</t>
  </si>
  <si>
    <t>2-s2.0-0026119218</t>
  </si>
  <si>
    <t>['time necessary', 'summation method', 'new single', 'memory required', 'computationally expensive']</t>
  </si>
  <si>
    <t>Available Green‚Äôs functions for circular and annular ring microstrip circuits involve doubly infinite series. These series are computationally expensive in terms of the time necessary for summing the series and the memory required to hold the eigenvalues. In this paper the Green‚Äôs function is simplified to a single series using a new single-summation method. The resulting single series eliminates the need for the eigenvalues and increases the speed of computation. ¬© 1991 IEEE</t>
  </si>
  <si>
    <t>601-604</t>
  </si>
  <si>
    <t>60030469;60030469</t>
  </si>
  <si>
    <t>6603859763;6604014057</t>
  </si>
  <si>
    <t>Alhargan, Fayez A.;Judah, Sunil R.</t>
  </si>
  <si>
    <t>Hull</t>
  </si>
  <si>
    <t>University of Hull</t>
  </si>
  <si>
    <t>Alhargan F.A.</t>
  </si>
  <si>
    <t>Reduced form of the Green‚Äôs Functions for Disks and Annular Rings</t>
  </si>
  <si>
    <t>10.1109/22.75312</t>
  </si>
  <si>
    <t>2-s2.0-0026119464</t>
  </si>
  <si>
    <t>['wave propagation', 'various aspects', 'theoretical aspects', 'simplified approaches', 'radio communication', 'quantitative studies', 'quantitative description', 'paper gives', 'multimode operation', 'leaky feeders', 'important role', 'engineering considerations', 'empty tunnels', 'briefly mentioned', 'brief review']</t>
  </si>
  <si>
    <t>This paper gives a brief review of various aspects of electromagnetic (EM) wave propagation in tunnels and of radio communication in such media. First a quantitative description is given for the propagation in empty tunnels and in tunnels containing axial conductors or leaky feeders. The limitations of such simplified approaches are stressed. A review of quantitative studies of these phenomena is then presented. Engineering considerations are briefly mentioned. Attention is drawn to mode conversion techniques, which play an important role, and to the multimode operation of systems. It is concluded that the theoretical aspects of EM wave propagation in tunnels are currently well understood, although work remains to be done on wideband and microwave communication systems. ¬© 1991 IEEE</t>
  </si>
  <si>
    <t>401-406</t>
  </si>
  <si>
    <t>Delogne, Paul</t>
  </si>
  <si>
    <t>Belgium</t>
  </si>
  <si>
    <t>Louvain-la-Neuve</t>
  </si>
  <si>
    <t>Universit√© Catholique de Louvain</t>
  </si>
  <si>
    <t>Delogne P.</t>
  </si>
  <si>
    <t>Mini-Review EM Propagation in Tunnels</t>
  </si>
  <si>
    <t>10.1109/8.76340</t>
  </si>
  <si>
    <t>2-s2.0-0026119572</t>
  </si>
  <si>
    <t>['¬© 1991', 'viewed chronologically', 'test automation', 'systems concepts', 'rights reserved', 'package materials', 'module technology', 'module requirements', 'module integration', 'module developments', 'microwave active', 'latest developments', 'fabrication processes', 'deployable systems', 'control devices', 'circuits developed', 'band transmit', 'allowable tradeoffs']</t>
  </si>
  <si>
    <t>A summary of the phased array radar system developments using X-band transmit/receive (T/R) module technology is presented. Requirements are developed from systems concepts for fighter aircraft radar applications. Factors influencing system performance are discussed in terms of the allowable tradeoffs that must be considered for deployable systems. T/R module architectures are investigated in light of the system derived performance requirements. These module requirements are reduced to the individual circuit function level and examples of circuits developed to meet these requirements are presented. Critical T/R module techologies are discussed in view of the latest developments in microwave active and control devices, manufacturing assembly processes and equip-ment, package materials and fabrication processes, and test automation. Module developments during the past 25 years are viewed chronologically and described in terms of the performance characteristics attained. Test requirements unique to module integration and aperture level performance verification are highlighted. Module price targets are derived from affordability constraints imposed by the fighter aircraft radar application. ¬© 1991, IEEE. All rights reserved.</t>
  </si>
  <si>
    <t>308-341</t>
  </si>
  <si>
    <t>Proceedings of the IEEE</t>
  </si>
  <si>
    <t>60015272;60015272;60015272;60015272;60015272</t>
  </si>
  <si>
    <t>57196232850;57199822969;6507687301;7004343741;7007154645</t>
  </si>
  <si>
    <t>McQuiddy, David N.;Mason, James S.;Bedinger, John M.;Gassner, Ronald L.;Hull, Porter</t>
  </si>
  <si>
    <t>Dallas</t>
  </si>
  <si>
    <t>Texas Instruments</t>
  </si>
  <si>
    <t>McQuiddy D.</t>
  </si>
  <si>
    <t>Transmit/Receive Module Technology for X-Band Active Array Radar</t>
  </si>
  <si>
    <t>10.1109/5.75088</t>
  </si>
  <si>
    <t>2-s2.0-0026119578</t>
  </si>
  <si>
    <t>['scatterer medium', 'satellite signals', 'omni antenna', 'narrowband signals', 'first validated', 'dspn signaling', 'directional antennas', 'direct comparison', 'delay spread', 'closely related', 'classical theory']</t>
  </si>
  <si>
    <t>Dense scatterer | Direct sequence pseudonoise | Directional antenna | Mobile | Modelling</t>
  </si>
  <si>
    <t>A geometric propagation model is developed for simulating the reception of direct sequence pseudonoise (DSPN) satellite signals by a directional or omni antenna in the dense scatterer mobile environment. The model is first validated for narrowband signals by a direct comparison of both simulated cumulative signal strength statistics and simulated diffuse Doppler spectra with classical theory. The model is then used to predict fading statistics for DSPN signaling, either with omni or directional antennas. As expected, the mitigation of fading is closely related to the ratio of DSPN chip duration to delay spread of the scatterer medium for both the omni and directional antennas. Copyright ¬© 1991 John Wiley &amp; Sons, Ltd.</t>
  </si>
  <si>
    <t>99-110</t>
  </si>
  <si>
    <t>;100985012</t>
  </si>
  <si>
    <t>7005207070;57213807221</t>
  </si>
  <si>
    <t>Amoroso, Frank;Jones, William W.</t>
  </si>
  <si>
    <t>Anaheim</t>
  </si>
  <si>
    <t>Interstate Electronics</t>
  </si>
  <si>
    <t>Amoroso F.</t>
  </si>
  <si>
    <t>Modelling direct sequence pseudonoise(dspn) satellite reception with directional antennas in the dense scatterer mobile environment</t>
  </si>
  <si>
    <t>10.1002/sat.4600090206</t>
  </si>
  <si>
    <t>2-s2.0-0026119583</t>
  </si>
  <si>
    <t>['¬© 1991', 'wave fields', 'vertical diameter', 'tokamak plasma', 'resistive loading', 'pronounced enhancement', 'profiles excited', 'poloidal positions', 'poloidal direction', 'plasma parameters', 'paper presents', 'mode conversion', 'large number', 'experimental study', 'antenna indicate']</t>
  </si>
  <si>
    <t>The paper presents the results of an experimental study of the wave fields excited in a tokamak plasma under Alfv√©n wave heating conditions, with a large number of Alfv√©n resonance surfaces present in the plasma. The wave fields excited by Faraday shielded antennas with current elements oriented in the poloidal direction were measured by an array of magnetic probes positioned along a vertical diameter of the plasma. Pronounced enhancement of the wave fields at the radii of Alfv√©n resonance surfaces was observed. The dependence of the wave field profiles on the plasma parameters and on the toroidal and poloidal positions is analysed with the help of a simple theoretical model. Evidence of the excitation of the outward propagating surface electrostatic wave is presented. The profiles excited by a number of phasings of an array of three toroidally spaced antennas are compared. The results provide unambiguous evidence that the peaks in the profiles are due to mode conversion of the compressional Alfv√©n wave to the torsional Alfv√©n wave at Alfv√©n resonance surfaces. Measurements of the resistive loading of the antenna indicate that up to 50% of the total wave power was deposited at Alfv√©n resonance surfaces well inside the plasma and 40% at a single Alfv√©n resonance surface. ¬© 1991, IOP publishing Ltd.</t>
  </si>
  <si>
    <t>465-486</t>
  </si>
  <si>
    <t>Murphy, A. B.</t>
  </si>
  <si>
    <t>The University of Sydney</t>
  </si>
  <si>
    <t>Murphy A.</t>
  </si>
  <si>
    <t>Torsional alfv√ân wave excitation by mode conversion in a tokamak plasma</t>
  </si>
  <si>
    <t>10.1088/0029-5515/31/3/006</t>
  </si>
  <si>
    <t>2-s2.0-0026119657</t>
  </si>
  <si>
    <t>['scattering applications', 'reflection coefficients', 'phased arrays', 'numerical scheme', 'iterative methods', 'copyright 1991', 'active resistance']</t>
  </si>
  <si>
    <t>A numerical scheme is presented to analyze plane periodic surfaces used in phased arrays and scattering applications. Use is made of the grounded dielectric‚Äêslab Green function in formulating the electric field integral equation that is solved by iterative methods. Results comparing several iterative methods are presented as well as other results for reflection coefficients, active resistance, etc. Copyright 1991 by the American Geophysical Union.</t>
  </si>
  <si>
    <t>589-602</t>
  </si>
  <si>
    <t>March-April 1991</t>
  </si>
  <si>
    <t>Cuevas, J. G.</t>
  </si>
  <si>
    <t>Cuevas J.</t>
  </si>
  <si>
    <t>Analysis of plane periodic surfaces appearing in phased arrays and scatterers using grounded dielectric‚Äêslab Green function and iterative methods</t>
  </si>
  <si>
    <t>10.1029/90RS01145</t>
  </si>
  <si>
    <t>2-s2.0-0026119745</t>
  </si>
  <si>
    <t>['various parts', 'total noise', 'test antenna', 'spillover lobes', 'significant contributor', 'sidelobes generated', 'reflector rim', 'reflector mesh', 'radio telescope', 'radiation pattern', 'nearby hilltop', 'near sidelobes', 'main beam', 'hills surrounding', 'following contributions', 'effective temperature', 'directions permitted', 'diffraction around', 'copyright 1991', 'clearly seen', 'antenna temperature', 'antenna pointing', 'antenna noise', '8 k', '7 k', '5 k', '1420 mhz', '1 k']</t>
  </si>
  <si>
    <t>Measurements have been made of the radiation pattern of a symmetrical, prime‚Äêfocus paraboloidal antenna which is used as a radio telescope at 1420 MHz. A transmitter was placed on a nearby hilltop, and the test antenna, used as a receiver, was driven through the range of directions permitted by its mounting; about 55% of the radiation pattern was accessible to measurement. The main beam, near sidelobes, and spillover lobes have been measured, and the conical sidelobes generated by scattering from the feed support struts are clearly seen. The effective temperature of the ground at 1420 MHz has been determined by radiometry. By convolving the radiation pattern with the ground temperature distribution the antenna temperature has been calculated and the contribution from various parts of the radiation pattern estimated. Of a measured total antenna temperature of 26.8 K with the antenna pointing at the zenith, the following contributions can be accounted for: cosmic microwave background (2.7 K), galactic emission (1.0 K), atmospheric emission (2.0 K), direct spillover from the ground into the feed (8.0 K), leakage through the reflector mesh (5.9 K), and diffraction around the reflector rim (0.6 K). It is concluded that ground radiation scattered from the feed support struts into the aperture is a significant contributor to antenna noise, and 5.8 ¬± 2.5 K has been attributed to this cause. Of the total noise from the ground, 1.1 K is contributed by hills surrounding the site; most of this enters the antenna through the sidelobes generated by the feed support struts. On a completely flat site, strut scattering would contribute about 4.7 K. Copyright 1991 by the American Geophysical Union.</t>
  </si>
  <si>
    <t>353-361</t>
  </si>
  <si>
    <t>55472552700;7003557448;6701557873;6602670307</t>
  </si>
  <si>
    <t>Anderson, M. D.;Landecker, T. L.;Routledge, D.;Vaneldik, J. F.</t>
  </si>
  <si>
    <t>Anderson M.</t>
  </si>
  <si>
    <t>The far sidelobes and noise temperature of a small paraboloidal antenna used for radio astronomy</t>
  </si>
  <si>
    <t>10.1029/90RS02556</t>
  </si>
  <si>
    <t>2-s2.0-0026119803</t>
  </si>
  <si>
    <t>['thermal conductance', 'small size', 'rf currents', 'resistive transition', 'optical efficiency', 'much smaller', 'millimeter waves', 'low noise', 'heat capacity', 'film acts', 'fast response', '478 v', '12 whz']</t>
  </si>
  <si>
    <t>We have fabricated and measured the performance of antenna-coupled microbolometers based on the resistive transition of a high Tc superconducting film for use as detectors of far-infrared and millimeter waves. A planar lithographed antenna (log-periodic or log-spiral) is used to couple the radiation to a thin YBCO film with dimensions (‚âà 6x13 ¬µm2) which are much smaller than the wavelength to be measured. This film acts both as the resistor to thermalize the RF currents and as a transition edge thermometer to measure the resulting temperature rise. Because of its small size, both the thermal conductance from the film into the bulk of the substrate and the heat capacity of the thermally active region are small. Consequently, the microbolometer has low noise, fast response and a high voltage responsivity. We have measured a phonon limited electrical NEP of 4.5x10-12 WHz-l/2 at 10 kHz modulation frequency and a responsivity of 478 V/W at a bias of 550 ¬µA. Measurements of the optical efficiency are in progress and will be discussed. ¬© 1991 IEEE</t>
  </si>
  <si>
    <t>3081-3084</t>
  </si>
  <si>
    <t>60025038-60006364;60025038-60006364;60025038-60006364</t>
  </si>
  <si>
    <t>7004472931;7403214762;7201484168</t>
  </si>
  <si>
    <t>Nahum, M.;Hu, Qing;Richards, P. L.</t>
  </si>
  <si>
    <t>Berkeley;Sunnyvale</t>
  </si>
  <si>
    <t>University of California, Berkeley;Conductus Inc.</t>
  </si>
  <si>
    <t>60025038;60006364</t>
  </si>
  <si>
    <t>Fabrication And Measurement of High Tc Superconducting Microbolometers</t>
  </si>
  <si>
    <t>10.1109/20.133863</t>
  </si>
  <si>
    <t>2-s2.0-0026119951</t>
  </si>
  <si>
    <t>['spherical reflector', 'radio telescope', 'paper presents', 'existing techniques', 'exact solution', 'differential equations', 'copyright 1991']</t>
  </si>
  <si>
    <t>This paper presents a new ray method to synthesize shaped offset multireflector antennas which involves solving linear equations. In the other existing techniques, differential equations have to be solved. The advantage of the technique is that the solution is easier to control, so that, for example, low cross‚Äêpolarization can be obtained and an exact solution can be found. The method is applied to synthesize a dual‚Äêreflector feed for the spherical reflector of the radio telescope in Arecibo. Copyright 1991 by the American Geophysical Union.</t>
  </si>
  <si>
    <t>619-623</t>
  </si>
  <si>
    <t>Kildal, Per‚ÄêSimon ‚ÄêS</t>
  </si>
  <si>
    <t>Kildal P.</t>
  </si>
  <si>
    <t>A new approach to the synthesis of reflector antennas</t>
  </si>
  <si>
    <t>10.1029/90RS00948</t>
  </si>
  <si>
    <t>2-s2.0-0026120389</t>
  </si>
  <si>
    <t>F19628-86-C-0117</t>
  </si>
  <si>
    <t>['tuning mechanism', 'required optimization', 'phase shift', 'penetration depth', 'parameter optimization', 'nbn microstrips', 'investigation aimed', 'interferometer testing', 'interferometer branches', 'interference patterns', 'inductance modulation', 'finline antennas', 'dielectric layers', 'dc method', 'conflicting requirements', 'amplitude modulation', 'achieve tunability', '300 %.']</t>
  </si>
  <si>
    <t>We present the results of an investigation aimed at realizing a tunable superconducting mm-wave phase shifter. The tuning mechanism is based on inductance modulation of NbN microstrips by excess quasiparticle injection. When measured by a dc method, using the interference patterns and resonances of specially designed dc SQUIDs, the inductance of NbN microstrips can be varied by up to 300%. Based on these results, we have designed and fabricated superconducting microstrip interferometers to operate as low power 100 GHz phase shifters. The 100 GHz signal is coupled into and out of the interferometers by finline antennas. Amplitude modulation of the output is used as the criterion for phase shift in one of the interferometer branches. Thin superconducting films (thinner than the penetration depth) and dielectric layers are needed to achieve tunability of the inductance. The conflicting requirements of the tunability and of efficient signal coupling are quantified in the interferometer testing, and the range of parameter optimization is bracketed. The elements of this required optimization are presented. ¬© 1991 IEEE</t>
  </si>
  <si>
    <t>2700-2703</t>
  </si>
  <si>
    <t>60019175;60019175;60019175;60019175;60010910</t>
  </si>
  <si>
    <t>6603945587;16218587000;6701450575;7006074935;57218968166</t>
  </si>
  <si>
    <t>Track, E. K.;Dang, H.;Radparvar, M.;Faris, S. M.;Shen, Z. Y.</t>
  </si>
  <si>
    <t>Elmsford;Wilmington</t>
  </si>
  <si>
    <t>HYPRES, Inc.;DuPont</t>
  </si>
  <si>
    <t>60019175;60010910</t>
  </si>
  <si>
    <t>Track E.K.</t>
  </si>
  <si>
    <t>Investigation of An Electronically Tuned 100 Ghz Superconducting Phase Shifter</t>
  </si>
  <si>
    <t>10.1109/20.133769</t>
  </si>
  <si>
    <t>2-s2.0-0026120421</t>
  </si>
  <si>
    <t>['wiley company', 'small size', 'satisfactory result', 'satellite communication', 'realize antennas', 'phase control', 'paper extends', 'must also', 'mobile communications', 'lms algorithm', 'less affected', 'learning algorithm', 'inc .,', 'highly efficient', 'equipment must', 'convergence condition', 'clear specification', 'better suited', 'automobile telephone', 'authors believe', 'applied frequently', 'adaptive array']</t>
  </si>
  <si>
    <t>The demand for the mobile communications is increasing every year, and TV and automobile telephone by satellite communication are expected to find wider applications. If individuals are to carry communication equipment, then the equipment must be small size, lightweight and highly efficient. To realize antennas which must also be of small size, lightweight and highly efficient. For such equipment it is desirable to employ the adaptive array with phase control. Conventionally, the LMS algorithm has been applied frequently in the design of the adaptive array. However, the authors believe that the learning algorithm is better suited to the adaptive array because of its higher convergence speed and the clear specification of the convergence condition. This paper extends the real‚Äêtype learning algorithm to the complex‚Äêtype learning algorithm. The convergence condition for the algorithm is derived, and the result of the application of the method to the adaptive array is shown. A method of deriving the reference wave also is presented which is less affected by the input signal variation and is suited to the adaptive array with only the phase control. Using the proposed complex learning algorithm and the new reference wave, the phase‚Äêcontrolled adaptive array is designed. A satisfactory result is obtained by simulation. Copyright ¬© 1991 Wiley Periodicals, Inc., A Wiley Company</t>
  </si>
  <si>
    <t>15-24</t>
  </si>
  <si>
    <t>Electronics and Communications in Japan (Part III: Fundamental Electronic Science)</t>
  </si>
  <si>
    <t>60002787;60002787</t>
  </si>
  <si>
    <t>57198932165;7005900586</t>
  </si>
  <si>
    <t>Kobayashi, Akira;Yahagi, Takashi</t>
  </si>
  <si>
    <t>Chiba</t>
  </si>
  <si>
    <t>Chiba University</t>
  </si>
  <si>
    <t>Kobayashi A.</t>
  </si>
  <si>
    <t>Adaptive arrays using a complex learning algorithm</t>
  </si>
  <si>
    <t>10.1002/ecjc.4430740303</t>
  </si>
  <si>
    <t>2-s2.0-0026120550</t>
  </si>
  <si>
    <t>['time constant', 'submillimeter wavelengths', 'square film', 'resistance respositivity', 'optical power', 'one minute', 'mylar membrane', 'much thinner', 'lumped resistance', 'estimated accuracy', 'density meter', 'absorption coefficient', '5 mw', '5 %.', '189 œâ', '150 œâ']</t>
  </si>
  <si>
    <t>A quasi-optical power-density meter for millimeter and submillimeter wavelengths has been developed. The device is a 2-cm square thin-film bismuth bolometer deposited on a mylar membrane. The resistance respositivity is 150 œâ/W and the time constant is one minute. The meter is calibrated at DC. The bolometer is much thinner than a wavelength and thus can be modeled as a lumped resistance in a transmissionline equivalent circuit. The absorption coefficient is 0.5 for 189 œâ /square film. As an application, the power-density meter has been used to measure absolute power densities for millimeter-wave antenna efficiency measurements. We have measured absolute power densities of 0.5 mW/cm2 to an estimated accuracy of 5%. ¬© 1991 IEEE</t>
  </si>
  <si>
    <t>425-428</t>
  </si>
  <si>
    <t>;;60031581;60031581;60031581;60031581</t>
  </si>
  <si>
    <t>7501514129;35262006400;7004250981;7103349922;35195416000;7102803490</t>
  </si>
  <si>
    <t>Lee, Karen A.;Guo, Yong;Stimson, Philip A.;Potter, Kent A.;Chiao, Jung Chih;Rutledge, David B.</t>
  </si>
  <si>
    <t>California Institute of Technology</t>
  </si>
  <si>
    <t>Lee K.A.</t>
  </si>
  <si>
    <t>Thin-Film Power-Density Meter for Millimeter Wavelengths</t>
  </si>
  <si>
    <t>10.1109/8.76347</t>
  </si>
  <si>
    <t>2-s2.0-0026120662</t>
  </si>
  <si>
    <t>['two properties', 'transmission lines', 'series connection', 'scanning feature', 'overlay slow', 'antenna integratable', 'also demonstrated']</t>
  </si>
  <si>
    <t>A traveling-wave antenna array having crosstie-overlay slow-wave structures serving as transmission lines is described. The slow-wave transmission lines make the antenna physically small. The series connection of the antenna radiation elements and transmission lines makes the antenna integratable. This antenna is very suitable for microwave monolithic integrated circuit element due to these two properties. The measured radiation pattern is shown to agree with the calculated radiation pattern. The antenna's frequency-scanning feature is also demonstrated. ¬© 1991 IEEE</t>
  </si>
  <si>
    <t>377-380</t>
  </si>
  <si>
    <t>60012370;60013372</t>
  </si>
  <si>
    <t>57209831312;36041035600</t>
  </si>
  <si>
    <t>Lin, Yu De;Itoh, Tatsuo</t>
  </si>
  <si>
    <t>United States;Taiwan</t>
  </si>
  <si>
    <t>Austin;Hsinchu</t>
  </si>
  <si>
    <t>The University of Texas at Austin;National Chiao Tung University</t>
  </si>
  <si>
    <t>60013372;60012370</t>
  </si>
  <si>
    <t>Lin Y.D.</t>
  </si>
  <si>
    <t>Frequency-Scanning Antenna using the Crosstie-Overlay Slow-Wave Structures as Transmission Lines</t>
  </si>
  <si>
    <t>10.1109/8.76337</t>
  </si>
  <si>
    <t>2-s2.0-0026120663</t>
  </si>
  <si>
    <t>['usual parabola', 'two steps', 'torus antenna', 'thus smaller', 'single reflectors', 'scanning reflector', 'scanning ability', 'scan plane', 'reflector surface', 'radiation patterns', 'peak gain', 'one plane', 'numerical simulations', 'new type', 'minimize astigmatism', 'good focusing', 'ellipse rather', 'dimensional surface', 'antenna diameter', '14 db']</t>
  </si>
  <si>
    <t>A new type of microwave single reflector antenna, derived from an ellipse rather than the usual parabola, gives a much greater field of view. This scanning reflector, like the torus antenna, combines reasonable scanning in one plane with good focusing in the other. Its scanning ability is superior to the torus and to other single reflectors because it has much greater aperture efficiency, and is thus smaller while having the same performance. The reflector surface is derived in two steps: a fourth-order even polynomial profile curve in the scan plane is found using least squares to minimize the scanned ray errors; then even polynomial terms in x and y which minimize astigmatism for both the unscanned and maximally scanned beams are added to form the three-dimensional surface. Numerical simulations of radiation patterns for a variety of antenna diameter and field of view cases give excellent results. The 60¬∞ scan case with 30 Œª diameter aperture has only 0.2 dB peak gain deviation from ideal and first sidelobe levels below 14 dB down from peak gain. The 17¬∞, 500 Œª case has only 0.8 dB gain variation and -14 to ‚Äî11 dB sidelobe levels for approximately ¬±68 beamwidths of scan, with F/D equal to about one. ¬© 1991 IEEE</t>
  </si>
  <si>
    <t>336-344</t>
  </si>
  <si>
    <t>60028628;60019947</t>
  </si>
  <si>
    <t>7004701432;7201655550</t>
  </si>
  <si>
    <t>Rappaport, Carey M.;Craig, William P.</t>
  </si>
  <si>
    <t>Boston;New London</t>
  </si>
  <si>
    <t>Northeastern University;US Naval Underwater Systems Center</t>
  </si>
  <si>
    <t>Rappaport C.</t>
  </si>
  <si>
    <t>High Aperture Efficiency Symmetric Reflector Antennas with up to 60¬∞ Field of View</t>
  </si>
  <si>
    <t>10.1109/8.76331</t>
  </si>
  <si>
    <t>2-s2.0-0026120664</t>
  </si>
  <si>
    <t>['simple half', 'rectangular aperture', 'one side', 'measured along', 'm0 placed', 'long edges', 'conducting plane', 'aperture admittances', 'aperture admittance', 'accurate estimate']</t>
  </si>
  <si>
    <t>It has been found that a rectangular aperture not more than one wavelength long in a conducting plane, for the purpose of obtaining an accurate estimate of the tangential electric field in it, can be characterized by two complex numbers called the aperture admittances for the regions on each side of the aperture. To define these admittances, we close the aperture with an infinitesimally thin perfectly conducting plate. The aperture admittance for the region on one side of the aperture is that of the magnetic current sheet M0 placed on this side of the plate. The aperture admittance for the region on the other side of the aperture is that of M0 placed on the other side of the plate. M0 is parallel to one of the long edges of the aperture. Along this edge, M0 is a simple half-cycle of a sinusoid. M0 is independent of the coordinate that is measured along the width of the aperture. ¬© 1991 IEEE</t>
  </si>
  <si>
    <t>423-425</t>
  </si>
  <si>
    <t>;;60030551</t>
  </si>
  <si>
    <t>7004626066;7201653432;7003887991</t>
  </si>
  <si>
    <t>Jan, Ing Chieh;Harrington, Roger F.;Mautz, Joseph R.</t>
  </si>
  <si>
    <t>Jan I.C.</t>
  </si>
  <si>
    <t>Aperture Admittance of a Rectangular Aperture and Its Use</t>
  </si>
  <si>
    <t>10.1109/8.76346</t>
  </si>
  <si>
    <t>2-s2.0-0026120738</t>
  </si>
  <si>
    <t>['space realization', 'signal subspace', 'previous analyses', 'performance analysis', 'norm ),', 'esprit ).', 'doa estimation', 'based algorithms', 'analytical expression']</t>
  </si>
  <si>
    <t>A performance analysis of signal subspace-based algorithms for directions-of-arrival (DOA) estimation involving multiple signal arrivals in array signal processing is presented. Following our previous analyses of orthogonal subspace based algorithms (MUSIC and Min-Norm), an analytical expression of the variance of the DOA estimation-error is developed here for signal subspace based algorithms (state-space realization (SSR) (TAM) and ESPRIT). Simulation results verify the analysis. ¬© 1991 IEEE</t>
  </si>
  <si>
    <t>418-423</t>
  </si>
  <si>
    <t>;;60010806</t>
  </si>
  <si>
    <t>16550324600;57202211387;7006368666</t>
  </si>
  <si>
    <t>Li, Fu;Vaccaro, Richard J.;Tufts, Donald W.</t>
  </si>
  <si>
    <t>Kingston</t>
  </si>
  <si>
    <t>University of Rhode Island</t>
  </si>
  <si>
    <t>Li F.</t>
  </si>
  <si>
    <t>Performance Analysis of the State-Space Realization (TAM) and ESPRIT Algorithms for DOA Estimation</t>
  </si>
  <si>
    <t>10.1109/8.76345</t>
  </si>
  <si>
    <t>2-s2.0-0026120739</t>
  </si>
  <si>
    <t>['tracked vehicles', 'system uses', 'system include', 'results obtained', 'receiver signals', 'including contributions', 'frequency divided', 'doppler spectra', '5 km', '225 ghz']</t>
  </si>
  <si>
    <t>An experimental coherent pulsed radar operating at 225 GHz is described. This system uses a pulsed, phase-locked extended interaction oscillator transmitter and an f/4 (frequency divided by 4) subharmonic mixer pumped by a phase-locked Gunn oscillator as the receiver. A quasi-optical circular polarization duplexer combines transmitter and receiver signals into the same antenna. Results obtained with this system include the detection of targets out to ranges of 3.5 km and observation of Doppler spectra of trucks and tracked vehicles, including contributions from both body and tracks. ¬© 1991 IEEE</t>
  </si>
  <si>
    <t>555-562</t>
  </si>
  <si>
    <t>60015099-60003193-115596654;60015099;60015099-115597149</t>
  </si>
  <si>
    <t>7102589528;6701667927;7101864505</t>
  </si>
  <si>
    <t>Mcmillan, Robert W.;Bohlander, Ronald A.;Butterworth, J. Clark</t>
  </si>
  <si>
    <t>United States;United States;United States;United States</t>
  </si>
  <si>
    <t>Atlanta;Fort Belvoir;Kennesaw;Atlanta</t>
  </si>
  <si>
    <t>Georgia Tech Research Institute;U.S. Army Night Vision &amp; Electronic Sensors Directorate;Pulse Technology, Inc.;Forsythe Technologies</t>
  </si>
  <si>
    <t>60015099;60003193;115597149;115596654</t>
  </si>
  <si>
    <t>Mcmillan R.W.</t>
  </si>
  <si>
    <t>An Experimental 225 GHZ Pulsed Coherent Radar</t>
  </si>
  <si>
    <t>10.1109/22.75300</t>
  </si>
  <si>
    <t>2-s2.0-0026120746</t>
  </si>
  <si>
    <t>['¬© 1990', 'within 0', 'methods used', 'initial static', 'first generation', 'erectable joint', 'doubly curved', 'determined photogrammetrically', 'design features', 'american institute']</t>
  </si>
  <si>
    <t>The design of a first generation, 4-m-diam, doubly curved, tetrahedral support truss for precision parabolic reflector panels, incorporating joints specifically designed for on-orbit astronaut assembly, is presented. Operational and design features of the erectable joint are detailed. Methods used to achieve very accurate strut lengths are described. Initial static and dynamic truss test results are presented that demonstrate linear structural response and predictability. Truss surface accuracy, determined photogrammetrically, is shown to be within 0.003 in. (rms) of design. ¬© 1990 by the American Institute of Aeronautics and Astronautics, Inc.</t>
  </si>
  <si>
    <t>251-257</t>
  </si>
  <si>
    <t>Journal of Spacecraft and Rockets</t>
  </si>
  <si>
    <t>60000854-117806303;60000854-117806303;60000854-117806303;60000854-117806303;60000854-117806303;60002959;60002959</t>
  </si>
  <si>
    <t>7006681941;7801363327;6701657474;7201800747;7003488922;6507530601;7004837580</t>
  </si>
  <si>
    <t>Bush, Harold G.;Herstrom, Catherine L.;Heard, Walter L.;Collins, Timothy J.;Fichter, W. B.;Wallsom, Richard E.;Phelps, James E.</t>
  </si>
  <si>
    <t>Bethesda;Hampton;</t>
  </si>
  <si>
    <t>Lockheed Martin Corporation;NASA Langley Research Center;Spacecraft Structures Branch</t>
  </si>
  <si>
    <t>60002959;60000854;117806303</t>
  </si>
  <si>
    <t>Bush H.</t>
  </si>
  <si>
    <t>Design and fabrication of an erectable truss for precision segmented reflector application</t>
  </si>
  <si>
    <t>10.2514/3.26238</t>
  </si>
  <si>
    <t>2-s2.0-0026121076</t>
  </si>
  <si>
    <t>['principal planes', 'lines parallel', 'geometrical theory', 'envelopes exist', 'diffraction formulation', 'copyright 1991']</t>
  </si>
  <si>
    <t>A closed form near‚Äêfield power density envelope is derived from the geometrical theory of diffraction formulation. The envelopes exist on lines parallel to the aperture in principal planes. These results, and those from an equivalent edge current integral, are compared with numerically integrated results. Copyright 1991 by the American Geophysical Union.</t>
  </si>
  <si>
    <t>611-617</t>
  </si>
  <si>
    <t>Hansen, R. C.</t>
  </si>
  <si>
    <t>Hansen R.</t>
  </si>
  <si>
    <t>A simple near‚Äêfield envelope formula for square aperture antennas</t>
  </si>
  <si>
    <t>10.1029/90RS00905</t>
  </si>
  <si>
    <t>2-s2.0-0026121530</t>
  </si>
  <si>
    <t>['viewing geometry', 'useful terms', 'useful signal', 'transmitted frequency', 'takes advantage', 'system designer', 'surface outside', 'spaceborne sar', 'signal ratio', 'quantitative measure', 'pulsed waveform', 'proper design', 'priori knowledge', 'prf ),', 'power ratio', 'performance achievable', 'parameter expresses', 'nadir angles', 'inevitable sidelobes', 'important role', 'imaging purposes', 'ground reflectivity', 'generally obtained', 'disturbance ratio', 'constrained parameter', 'asymmetrical patterns', 'asr constraint', 'antenna pattern', 'ambiguous echoes', 'ambiguous contributions', 'adaptive arrays', '2 ].', '1 ],']</t>
  </si>
  <si>
    <t>The antenna radiation pattern plays an important role in determining the performance achievable by a Synthetic Aperture Radar (SAR) system [1], [2]. Due to the presence of inevitable sidelobes in the antenna pattern and the need of transmitting a pulsed waveform for imaging purposes, the received signal contains undesired ambiguous signals superimposed to the useful terms. A quantitative measure of the SAR performance degradations, depending on these ambiguous contributions, can be evaluated by the ambiguity-to-signal ratio (ASR), defined as the power ratio between the ambiguous echoes and useful signal. This parameter expresses the capability of the antenna to reject signals returning from regions of the Earth's surface outside the swath. An antenna pattern design technique for spaceborne SAR's, which optimizes the signal-to-disturbance ratio, is presented in this paper. It takes into account the ground reflectivity (relative to the transmitted frequency) and the viewing geometry (altitude and off-nadir angle). The proposed technique makes use of the theory of adaptive arrays and takes advantage of a priori knowledge of the ambiguous echo power as a function of the geometry and average ground reflectivity. The optimized antenna weighting turns out to be complex, and asymmetrical patterns are generally obtained for a spaceborne SAR. The proposed technique allows the achievement of better performance compared to the current design values, especially at large off-nadir angles. In particular, it allows the system designer to relax the choice of the pulse repetition frequency (PRF), which is an over-constrained parameter, from the ASR constraint, kept under control by a proper design of the antenna radiation pattern. ¬© 1991 IEEE</t>
  </si>
  <si>
    <t>254-259</t>
  </si>
  <si>
    <t>60032350;60084299</t>
  </si>
  <si>
    <t>35494538700;6603909364</t>
  </si>
  <si>
    <t>Barbarossa, Sergio;Levrini, Guido</t>
  </si>
  <si>
    <t>Rome;Rome</t>
  </si>
  <si>
    <t>Selenia S.p.A.;Sapienza Universit√† di Roma</t>
  </si>
  <si>
    <t>60084299;60032350</t>
  </si>
  <si>
    <t>Barbarossa S.</t>
  </si>
  <si>
    <t>An Antenna Pattern Synthesis Technique for Spaceborne SAR Performance Optimization</t>
  </si>
  <si>
    <t>10.1109/36.73666</t>
  </si>
  <si>
    <t>2-s2.0-0026122022</t>
  </si>
  <si>
    <t>['substrate parameters', 'radiation efficiency', 'provide insight', 'patch properties', 'input resistance']</t>
  </si>
  <si>
    <t>Simple approximate formulas for the input resistance, bandwidth, and radiation efficiency of a resonant rectangular microstrip patch are derived. These formulas become increasingly accurate as the substrate thickness decreases. Because the formulas are derived from approximations of a rigorous Sommerfeld solution, they provide insight into the effect of the substrate parameters on the patch properties, in addition to providing approximate design equations. ¬© 1991 IEEE</t>
  </si>
  <si>
    <t>407-410</t>
  </si>
  <si>
    <t>60005837;60027550</t>
  </si>
  <si>
    <t>7404289310;7004468161</t>
  </si>
  <si>
    <t>Jackson, David R.;Alexopoulos, Nicolaos G.</t>
  </si>
  <si>
    <t>Los Angeles;Houston</t>
  </si>
  <si>
    <t>University of California, Los Angeles;University of Houston</t>
  </si>
  <si>
    <t>60027550;60005837</t>
  </si>
  <si>
    <t>Jackson D.</t>
  </si>
  <si>
    <t>Communications: Simple Approximate Formulas for Input Resistance, Bandwidth, and Efficiency of a Resonant Rectangular Patch</t>
  </si>
  <si>
    <t>10.1109/8.76341</t>
  </si>
  <si>
    <t>2-s2.0-0026122059</t>
  </si>
  <si>
    <t>['surface wave', 'specifically addressed', 'method yields', 'increasing substrate', 'hopf technique', 'explicit expression', 'cover layer', 'canonical problem']</t>
  </si>
  <si>
    <t>The canonical problem of a semi-infinite, perfectly conducting strip over a grounded dielectric slab is extended to include a cover layer, and solved by the Wiener-Hopf technique. The method yields an explicit expression of the scattered and surface wave fields, as well as the equivalent edge admittance for a normally incident transverse electromagnetic (TEM) wave under the strip. The enhancement of the surface wave as a result of increasing substrate and/or cover layer thickness is specifically addressed. ¬© 1991 IEEE</t>
  </si>
  <si>
    <t>354-358</t>
  </si>
  <si>
    <t>60023053;60000221</t>
  </si>
  <si>
    <t>7201525667;7403319959</t>
  </si>
  <si>
    <t>Tu, Yinggang;Chang, David C.</t>
  </si>
  <si>
    <t>Gaithersburg;Boulder</t>
  </si>
  <si>
    <t>National Institute of Standards and Technology;University of Colorado Boulder</t>
  </si>
  <si>
    <t>Tu Y.</t>
  </si>
  <si>
    <t>Effect of a Cover Layer on the Edge Admittance of a Wide Microstrip</t>
  </si>
  <si>
    <t>10.1109/8.76334</t>
  </si>
  <si>
    <t>2-s2.0-0026122060</t>
  </si>
  <si>
    <t>['junction improves', 'junction discontinuity', 'impedance matching', 'design parameters', 'current distribution', 'authors analyze', 'analysis clarifies', 'accurately predicts', '30 db']</t>
  </si>
  <si>
    <t>The authors analyze the T junction with an inductive post taking its diameter into account for the case where the current distribution is assumed on the surface of the post. A single cylindrical post placed in a T junction improves the impedance matching and compensates the junction discontinuity in a wide frequency band. The analysis clarifies the effects of the design parameters such as the diameter of the post and its location. It accurately predicts the measured return loss. On the basis of this analysis, an effective design procedure of the T junction is proposed and the reflection below-30 dB is realized over 4% bandwidth. ¬© 1991 IEEE</t>
  </si>
  <si>
    <t>563-566</t>
  </si>
  <si>
    <t>60031126;60031126;60031126;60031126</t>
  </si>
  <si>
    <t>7006899159;7402174027;35495699200;7201747933</t>
  </si>
  <si>
    <t>Hirokawa, Jiro;Sakurai, Kimio;Ando, Makoto;Goto, Naohisa</t>
  </si>
  <si>
    <t>Tokyo Institute of Technology</t>
  </si>
  <si>
    <t>Hirokawa J.</t>
  </si>
  <si>
    <t>An Analysis of a Waveguide t Junction with an Inductive Post</t>
  </si>
  <si>
    <t>10.1109/22.75301</t>
  </si>
  <si>
    <t>2-s2.0-0026122402</t>
  </si>
  <si>
    <t>['precursor material', 'noise ratio', 'mixing experiments', 'boundary junctions']</t>
  </si>
  <si>
    <t>We report on the results of mixing at 61 GHz using weak-link, grain-boundary junctions in T12CaBa2Cu2O8 thin films. Films were prepared using laser deposition of precursor material on MgO substrates followed by high-temperature post processing. Mixing experiments were conducted at 75K, at an i.f. frequency of IGHz, using a bow-tie antenna configuration. The signal-to-noise ratio for the system at the i.f. frequency was ~ 104. ¬© 1991 IEEE</t>
  </si>
  <si>
    <t>3070-3072</t>
  </si>
  <si>
    <t>60021508;60001835;60027550</t>
  </si>
  <si>
    <t>7005745688;7005334225;7006388096</t>
  </si>
  <si>
    <t>Ruggiero, S. T.;Cardona, A.;Fetterman, H. R.</t>
  </si>
  <si>
    <t>Los Angeles;Notre Dame;Austin</t>
  </si>
  <si>
    <t>University of California, Los Angeles;University of Notre Dame;Superconductor Technologies Inc.</t>
  </si>
  <si>
    <t>60027550;60021508;60001835</t>
  </si>
  <si>
    <t>Ruggiero S.</t>
  </si>
  <si>
    <t>Mixing in ticabacuo superconductlng films at 61GHz</t>
  </si>
  <si>
    <t>10.1109/20.133860</t>
  </si>
  <si>
    <t>2-s2.0-0026122587</t>
  </si>
  <si>
    <t>['three types', 'homogeneous medium', 'experimental results', 'copyright 1991', 'coaxial feed', 'accurate model']</t>
  </si>
  <si>
    <t>A new, more accurate model for the coaxial feed of microstrip, dual patch microstrip and microstrip backfire antennas is presented. In combination with the use of edge expansion functions in the method of moments this leads to a highly accurate analysis of these three types of antennas in a homogeneous medium. Results obtained using the model are compared with experimental results for few structures. Copyright 1991 by the American Geophysical Union.</t>
  </si>
  <si>
    <t>571-577</t>
  </si>
  <si>
    <t>7005545716;7003998197</t>
  </si>
  <si>
    <t>Vandenbosch, G.;Van de Capelle, A.</t>
  </si>
  <si>
    <t>Vandenbosch G.</t>
  </si>
  <si>
    <t>A highly accurate feed model for microstrip, dual patch microstrip and microstrip backfire antennas</t>
  </si>
  <si>
    <t>10.1029/90RS01500</t>
  </si>
  <si>
    <t>2-s2.0-0026122939</t>
  </si>
  <si>
    <t>['sun reference', 'spacecraft attitude', 'signal polarization', 'rights reserved', 'radiating antenna', 'paper discusses', 'normally determined', 'iterative method', 'inertial orientation', 'inc .,', 'horizon sensors', 'earth sensors', 'angle measurements', 'alternate method']</t>
  </si>
  <si>
    <t>The attitude of a satellite is normally determined from Earth sensors, horizon sensors, and a sun reference. This paper discusses an alternate method of attitude determination using polarization-angle measurements of the normally radiated plane polarized radio frequency (RF) signal from the spacecraft. Simultaneous polarizationangle data, taken at geographically separated locations, contain sufficient information to determine the inertial orientation of the signal polarization at the time of observation. An iterative method, using the sensitivity of polarization-angle measurements to the radiating antenna, is used to determine the orientation. Since the RF signal polarization with respect to the spacecraft body axes is known, the spacecraft attitude can be determined. ¬© 1991 American Institute of Aeronautics and Astronautics, Inc., All rights reserved.</t>
  </si>
  <si>
    <t>236-240</t>
  </si>
  <si>
    <t>Journal of Guidance, Control, and Dynamics</t>
  </si>
  <si>
    <t>Parvez, S. A.</t>
  </si>
  <si>
    <t>McLean/Washington, D.C.</t>
  </si>
  <si>
    <t>GTE Spacenet</t>
  </si>
  <si>
    <t>Parvez S.</t>
  </si>
  <si>
    <t>Attitude determination using antenna polarization angles</t>
  </si>
  <si>
    <t>10.2514/3.20633</t>
  </si>
  <si>
    <t>2-s2.0-0026123114</t>
  </si>
  <si>
    <t>['substrate structure', 'radiation properties', 'analytical techniques']</t>
  </si>
  <si>
    <t>The effect of the substrate structure on the radiation properties of microstrip array feed networks is investigated with the space‚Äêdomain integral equation approach. Numerical and analytical techniques are employed to produce efficient computer algorithms. Results for space and surface wave losses are presented for corner discontinuities printed on substrate/superstrate, and two‚Äêlayer substrate structures. Comparisons are made with the single‚Äêlayer case. Copyright ¬© 1991 John Wiley &amp; Sons, Ltd</t>
  </si>
  <si>
    <t>International Journal of Numerical Modelling: Electronic Networks, Devices and Fields</t>
  </si>
  <si>
    <t>60025778;60025778</t>
  </si>
  <si>
    <t>6602149504;7004624580</t>
  </si>
  <si>
    <t>Harokopus, W. P.;Katehi, P. B.</t>
  </si>
  <si>
    <t>Harokopus W.</t>
  </si>
  <si>
    <t>Radiation losses in microstrip antenna feed networks printed on multilayer substrates</t>
  </si>
  <si>
    <t>10.1002/jnm.1660040103</t>
  </si>
  <si>
    <t>2-s2.0-0026123186</t>
  </si>
  <si>
    <t>['zenith angle', 'triangular struts', 'three struts', 'struts supporting', 'strut contribution', 'simple assumptions', 'significant contributor', 'scattering energy', 'radiometric measurements', 'radiation pattern', 'published measurements', 'noise added', 'main beam', 'made using', 'level relative', 'front hemisphere', 'copyright 1991', 'circular ones', 'back hemisphere', 'approximate formula', 'antenna pointings', 'antenna noise', '1420 mhz']</t>
  </si>
  <si>
    <t>The struts supporting the feed or subreflector of a symmetrical paraboloidal antenna generate sidelobes around cones of wide opening angle by scattering energy from the plane wave leaving the reflector. On the basis of simple assumptions about these ‚Äúscatter cone‚Äù sidelobes, an approximate formula is derived to predict their level relative to the main beam; it is tested against published measurements. The noise added to the antenna when the scatter cone sidelobes receive radiation from the ground is calculated, and this mechanism is seen as a significant contributor to antenna noise. The use of struts of triangular cross section in place of circular ones redirects sidelobe energy away from the back hemisphere of the radiation pattern to the front hemisphere. For most antenna pointings these sidelobes will not strike the ground, and antenna noise temperature is likely to be reduced. Radiometric measurements at 1420 MHz have been made using a 9‚Äêm antenna equipped with struts of various cross sections and sizes. These measurements have been used to isolate the strut contribution to antenna noise, and have verified that this contribution can be reduced by using triangular struts. The strut contribution to antenna noise is calculated as a function of zenith angle of the main beam of the antenna. Triangular struts are superior to circular ones at all main‚Äêbeam zenith angles. When three struts are used, the upright Y configuration of the tripod is better than the inverted Y. Copyright 1991 by the American Geophysical Union.</t>
  </si>
  <si>
    <t>363-373</t>
  </si>
  <si>
    <t>;;;;;</t>
  </si>
  <si>
    <t>7003557448;55472552700;6701557873;6603563094;6603302787;6602670307</t>
  </si>
  <si>
    <t>Landecker, T. L.;Anderson, M. D.;Routledge, D.;Smegal, R. J.;Trikha, P.;Vaneldik, J. F.</t>
  </si>
  <si>
    <t>Landecker T.</t>
  </si>
  <si>
    <t>Ground radiation scattered from feed support struts: A significant source of noise in paraboloidal antennas</t>
  </si>
  <si>
    <t>10.1029/90RS02557</t>
  </si>
  <si>
    <t>2-s2.0-0026123199</t>
  </si>
  <si>
    <t>['superdirective radiation', 'resonant scatterers', 'reflector made', 'maximum directivity', 'finite number', 'determined numerically', 'copyright 1991']</t>
  </si>
  <si>
    <t>The effect of the finite number of two‚Äêdimensional resonant scatterers ‚Äê longitudinally slotted circular cylinder on forming the far‚Äêfield radiation of line magnetic current is investigated. Location and orientation of unclosed cylinders providing the maximum directivity is determined numerically. The possibility of superdirective radiation of an antenna having a reflector made of resonant scatterers with cross‚Äêsection dimensions smaller than a wavelength is shown. Copyright 1991 by the American Geophysical Union.</t>
  </si>
  <si>
    <t>631-636</t>
  </si>
  <si>
    <t>7003905459;7005559067</t>
  </si>
  <si>
    <t>Veremy, Vladimer V.;Shestopalov, Victor P.</t>
  </si>
  <si>
    <t>Veremy V.</t>
  </si>
  <si>
    <t>Superdirective antenna with passive resonant reflector</t>
  </si>
  <si>
    <t>10.1029/90RS01217</t>
  </si>
  <si>
    <t>2-s2.0-0026123532</t>
  </si>
  <si>
    <t>['truncated edge', 'substrate thicknesses', 'reflection coefficient', 'radiation patterns', 'radiation efficiency', 'printed radiator', 'numerical results', 'ground plane', 'form expression', 'dielectric truncation', 'considerably lower', 'certain values']</t>
  </si>
  <si>
    <t>Effects of ground plane and/or dielectric truncation on the radiation efficiency of a printed radiator are studied. A closed-form expression for the reflection coefficient of surface wave modes from the truncated edge is obtained. Numerical results of the reflection coefficient and the radiation efficiency and radiation patterns for various dielectric constants, substrate thicknesses, and ground plane dimensions are presented. It is found that for certain values of ground plane dimensions, the radiation efficiency is considerably lower than normal. These dimensions should be avoided to reduce the surface wave loss. ¬© 1991 IEEE</t>
  </si>
  <si>
    <t>303-308</t>
  </si>
  <si>
    <t>Bhattacharyya, Arun K.</t>
  </si>
  <si>
    <t>Saskatoon</t>
  </si>
  <si>
    <t>University of Saskatchewan</t>
  </si>
  <si>
    <t>Bhattacharyya A.</t>
  </si>
  <si>
    <t>Effects of Ground Plane and Dielectric Truncations on the Efficiency of a Printed Structure</t>
  </si>
  <si>
    <t>10.1109/8.76326</t>
  </si>
  <si>
    <t>2-s2.0-0026123701</t>
  </si>
  <si>
    <t>['range reflector', 'radiative coupling', 'plane waves', 'copyright 1991', 'anomaly exists', 'angular spectrum']</t>
  </si>
  <si>
    <t>The performance of compact antenna ranges is analyzed in terms of the radiative coupling between two near‚Äêfield antennas. Both a geometric optics model and a more exact model based on an angular spectrum of plane waves are used. A two dimensional model shows that an anomaly exists when the test antenna sees the edges of the range reflector. The relationship between test antenna size and range reflector size is investigated and the influence of the shape of the range reflector field studied. Copyright 1991 by the American Geophysical Union.</t>
  </si>
  <si>
    <t>625-630</t>
  </si>
  <si>
    <t>57207612867;7006827241</t>
  </si>
  <si>
    <t>McNair, P. A.C.;Olver, A. D.</t>
  </si>
  <si>
    <t>McNair P.</t>
  </si>
  <si>
    <t>Prediction of compact antenna range performance by radiative coupling</t>
  </si>
  <si>
    <t>10.1029/90RS00968</t>
  </si>
  <si>
    <t>2-s2.0-0026123773</t>
  </si>
  <si>
    <t>['voltage signal', 'video frequencies', 'unlike junction', 'ti mixer', 'thickness less', 'temperature operation', 'quasiparticle population', 'penetration depth', 'natural choice', 'lithographic antenna', 'kinetic inductor', 'ir frequency', 'incident radiation', 'heterodyne applications', 'h ).', 'h ),', 'effective ternperature', 'direct detection', 'based devices', 'antenna impedance', '4 k', '3 thz', '2250 k', '1 k', '*), resulting']</t>
  </si>
  <si>
    <t>Extremely sensitive far-infrared detectors suitable for both direct detection and heterodyne applications are possible based upon ¬µm-sized thin films with thickness less than a superconducting penetration depth. The penetration depth of such a film, and therefore its inductance, varies with temperature and with quasiparticle population (described by an effective ternperature T*), resulting in both bolometric and non-equilibrium ‚Äúphotoinductive‚Äù responses. Incident radiation is coupled into the small-area kinetic inductor by a lithographic antenna, and the resulting inductance changes are amplified and converted to a voltage signal by an integrated microstrip DC SQUID. The device is sensitive because, unlike junction-based devices with large capacitive reactances, the kinetic inductor is naturally well matched to the antenna impedance at the far-IR frequency (v &gt; 2A/h), and to the pre-amplifier (SQUID) impedance at microwave or video frequencies (v &lt; &lt; 2Œî/h). The best kinetic inductor materials are those with low electronic mean free path, large penetration depth, and high critical current density. Thus, common magnet alloys such as NbTi are the natural choice for liquid-He temperature operation. A detailed analysis predicts a (phonon-limited) NEP of 4 x 10‚Äì17W /‚àöHz for a bolometer with an iridium kinetic inductor operated at 0.1 K. A heterodyne noise temperature of 2250 K (single-sideband) at 3 THz, with 200 MHz bandwidth, is predicted for a Nb -Ti mixer with a operated at 4 K. ¬© 1991 IEEE</t>
  </si>
  <si>
    <t>2677-2680</t>
  </si>
  <si>
    <t>60023053;60023053;60023053</t>
  </si>
  <si>
    <t>7202730843;56284398700;6602559580</t>
  </si>
  <si>
    <t>Grossman, E. N.;Mcdonald, D. G.;Sauvageau, J. E.</t>
  </si>
  <si>
    <t>Gaithersburg</t>
  </si>
  <si>
    <t>National Institute of Standards and Technology</t>
  </si>
  <si>
    <t>Grossman E.N.</t>
  </si>
  <si>
    <t>Far-Infrared Kinetic-Inductance Detectors</t>
  </si>
  <si>
    <t>10.1109/20.133763</t>
  </si>
  <si>
    <t>2-s2.0-0026123809</t>
  </si>
  <si>
    <t>['transmitting information', 'transistor gate', 'millimeter waves', '75 ghz']</t>
  </si>
  <si>
    <t>Millimeter wave radiation has been generated from FET‚Äôs and HEMT‚Äôs, integrated-with printed circuit antennas, and illuminated with picosecond optical pulses. Modulation of the millimeter waves was achieved by applying a swept RF signal to the transistor gate. Using this technique, tunable electrical sidebands were added to the optically generated carrier providing a method of transmitting information and doing high resolution spectroscopy. Heterodyne detection demonstrated that the system continuously generated tunable radiation, constrained by the high gain antenna, from 45 to 75 GHz. ¬© 1991 IEEE</t>
  </si>
  <si>
    <t>60021378-60027550-60021939;60027550</t>
  </si>
  <si>
    <t>7006863370;7006388096</t>
  </si>
  <si>
    <t>Ni, D. C.;Fetterman, H. R.</t>
  </si>
  <si>
    <t>Los Angeles;Malibu;Murray</t>
  </si>
  <si>
    <t>University of California, Los Angeles;HRL Laboratories;Nokia Bell Labs</t>
  </si>
  <si>
    <t>60027550;60021939;60021378</t>
  </si>
  <si>
    <t>Ni D.C.</t>
  </si>
  <si>
    <t>Use of Picosecond Optical Pulses and FET‚Äôs Integrated with Printed Circuit Antennas to Generate Millimeter Wave Radiation</t>
  </si>
  <si>
    <t>10.1109/68.79778</t>
  </si>
  <si>
    <t>2-s2.0-0026124070</t>
  </si>
  <si>
    <t>['zero lag', 'vhf wavelengths', 'vertical even', 'vertical direction', 'velocity perpendicular', 'two antennas', 'tilt angles', 'results indicate', 'refractivity surfaces', 'radial velocity', 'radar interferometry', 'phase difference', 'linear variation', 'horizontal plane', 'frequency domain', 'cross spectra', 'copyright 1991']</t>
  </si>
  <si>
    <t>At VHF wavelengths, aspect sensitivity may result in an apparent beam direction that is off vertical even for a nominally vertically pointing beam direction if the refractivity surfaces responsible for the scatter are tilted with respect to the horizontal plane. Middle and upper atmosphere radar measurements obtained by using the system in a standard multireceiver configuration typical for radar interferometry (RI) and spaced antenna measurements have been analyzed for evidence of such effects. The analysis is based on the linear variation of the cross‚Äêspectral phase as a function of the radial velocity in the frequency domain for the RI cross spectra. True‚Äêvertical velocity estimates are obtained by using the fact that the phase difference between two antennas should be equal to zero when the echoes are being received from the vertical direction. The tilt angles of the refractivity surfaces were obtained from the phase of the cross‚Äêcorrelation function at zero lag, and the radial velocity in that direction was determined from the cross spectra. The results indicate that the vertical velocity derived from standard Doppler analyses is actually the velocity perpendicular to the refractivity surfaces and thus can be biased by the projection of the horizontal wind along the effective pointing direction. Copyright 1991 by the American Geophysical Union.</t>
  </si>
  <si>
    <t>417-427</t>
  </si>
  <si>
    <t>;;;;;;</t>
  </si>
  <si>
    <t>57203466193;35598897600;36884983500;55398698300;9274833100;35433785500;35425453600</t>
  </si>
  <si>
    <t>Palmer, Robert D.;Larsen, Miguel F.;Woodman, Ronald F.;Fukao, Shoichiro;Yamamoto, Mamoru;Tsuda, Toshitaka;Kato, Susumu</t>
  </si>
  <si>
    <t>Palmer R.D.</t>
  </si>
  <si>
    <t>VHF radar interferometry measurements of vertical velocity and the effect of tilted refractivity surfaces on standard Doppler measurements</t>
  </si>
  <si>
    <t>10.1029/91RS00006</t>
  </si>
  <si>
    <t>2-s2.0-0026124578</t>
  </si>
  <si>
    <t>['wiley company', 'unavailable state', 'transmitting antenna', 'receiving antennas', 'receiving antenna', 'pointing errors', 'pointing error', 'optical channel', 'link design', 'inc .,', 'heterodyne detection', 'facing satellites', 'another satellite']</t>
  </si>
  <si>
    <t>In the optical intersatellite communication system using a heterodyne detection, the signal level changes by the pointing error of the receiving antenna on the satellite in addition to the pointing error of the transmitting antenna of another satellite. Further, since these antenna pointing errors cause the unavailable state of the optical channel, the unavailability will become a problem. However, to date, nothing has been reported on link design which reflects the unavailability by considering the pointing errors of both the transmitting and receiving antennas. In this paper, equations for the burst error rate are derived by means of the probability density function of the pointing error distributions of the transmitting and receiving antennas. With this burst error rate, the unavailability is computed. Hence, a link design reflecting the unavailability can be carried out by taking into consideration the pointing errors of the transmitting and receiving antennas at the same time. Further, a link design example is presented in the case where the facing satellites have identical communication systems. Copyright ¬© 1991 Wiley Periodicals, Inc., A Wiley Company</t>
  </si>
  <si>
    <t>107-115</t>
  </si>
  <si>
    <t>60001271;60001271;60001271</t>
  </si>
  <si>
    <t>7403195671;35597328200;7102202752</t>
  </si>
  <si>
    <t>Goto, Koji;Araki, Ken'Ichi;Yasukawa, Koji</t>
  </si>
  <si>
    <t>Advanced Telecommunications Research Institute International (ATR)</t>
  </si>
  <si>
    <t>Goto K.</t>
  </si>
  <si>
    <t>Effects of antenna pointing errors on the design of heterodyne optical intersatellite communications</t>
  </si>
  <si>
    <t>10.1002/ecja.4410740311</t>
  </si>
  <si>
    <t>2-s2.0-0026124582</t>
  </si>
  <si>
    <t>['wiley company', 'original one', 'modified antenna', 'large bandwidth', 'inc .,', 'complex one']</t>
  </si>
  <si>
    <t>large bandwidth | Microstrip | printed antenna | slot</t>
  </si>
  <si>
    <t>A simple printed slot antenna is derived from an earlier and more complex one. Experimental data show that the modified antenna, like the original one, has the same performance, mainly a large bandwidth. Copyright ¬© 1991 Wiley Periodicals, Inc., A Wiley Company</t>
  </si>
  <si>
    <t>161-166</t>
  </si>
  <si>
    <t>Rabbaa, A.</t>
  </si>
  <si>
    <t>Morocco</t>
  </si>
  <si>
    <t>Casablanca</t>
  </si>
  <si>
    <t>Laboratoire d'Electronique et Hyperfr√©quencies</t>
  </si>
  <si>
    <t>Rabbaa A.</t>
  </si>
  <si>
    <t>An experimental technique for increasing the bandwidth of printed slot antennas</t>
  </si>
  <si>
    <t>10.1002/mop.4650040409</t>
  </si>
  <si>
    <t>2-s2.0-0026125095</t>
  </si>
  <si>
    <t>['wiley company', 'radiating medium', 'proper choice', 'projected values', 'mutual resistance', 'mutual impedances', 'mutual coupling', 'inc .,', 'considerably smaller', 'chiral medium', 'certain conditions', 'array made', 'also discussed', 'achiral case']</t>
  </si>
  <si>
    <t>chiral medium | chiral self‚Äêand mutual impedances | Mutual impedance | thin linear antenna</t>
  </si>
  <si>
    <t>The problem of mutual coupling between two parallel thin linear antennas in chiral medium is addressed in this article. Expressions for self‚Äê and mutual impedances are presented. The effect of chirality of the radiating medium on the mutual resistance and reactance is discussed. It is found that with proper choice of parameters the chirality of the medium may considerably reduce the mutual impedance effect. Also discussed is the role of chirality on the projected values of the self‚Äê minus mutual resistance of the antenna, which is important in antenna array design. It may be concluded that under certain conditions the self‚Äê minus mutual resistance is considerably smaller than in the achiral case, so that an array made with chiral antenna elements may produce higher gain. Copyright ¬© 1991 Wiley Periodicals, Inc., A Wiley Company</t>
  </si>
  <si>
    <t>172-176</t>
  </si>
  <si>
    <t>Bhattacharyya, Asoke K.</t>
  </si>
  <si>
    <t>Las Cruces</t>
  </si>
  <si>
    <t>New Mexico State University</t>
  </si>
  <si>
    <t>Bhattacharyya A.K.</t>
  </si>
  <si>
    <t>Mutual impedance between two parallel thin linear antennas in chiral medium</t>
  </si>
  <si>
    <t>10.1002/mop.4650040412</t>
  </si>
  <si>
    <t>2-s2.0-0026125616</t>
  </si>
  <si>
    <t>['wiley company', 'technique appeared', 'resulting subreflector', 'numerically applied', 'numerical solution', 'main reflector', 'inflected surface', 'inc .,', 'geometrical optics', 'fields scattered', 'constant intensity', 'computer system', 'basic computation']</t>
  </si>
  <si>
    <t>numerical methods | Reflector antennas | subreflector</t>
  </si>
  <si>
    <t>A JPL Fortran program for designing the main reflector and the subreflector of a Galindo‚ÄêWilliams system with a constant intensity over the aperture of the main reflector was modified for use on our computer system. Geometrical optics and conservation of energy are the basic laws used for designing this type of surface. The basic computation is a numerical solution of three simultaneous differential equations. The resulting subreflector is a type of inflected surface. Analysis of the fields scattered from such a surface using physical optics yields adequate results. Cubic‚Äêphase theory is numerically applied to the Galindo‚ÄêWilliams surface. Although the technique appeared to yield results accurate to within 10%‚Äê15%, the nearness of the edge to the turning point caused a coupling of the edge and turning‚Äêpoint solutions, which prevented higher accuracy. Copyright ¬© 1991 Wiley Periodicals, Inc., A Wiley Company</t>
  </si>
  <si>
    <t>168-172</t>
  </si>
  <si>
    <t>60026914;60029311</t>
  </si>
  <si>
    <t>7003556018;7005574913</t>
  </si>
  <si>
    <t>Rahnavard, M. H.;Rusch, W. V.T.</t>
  </si>
  <si>
    <t>United States;Iran</t>
  </si>
  <si>
    <t>Los Angeles;Shiraz</t>
  </si>
  <si>
    <t>University of Southern California;Shiraz University</t>
  </si>
  <si>
    <t>60029311;60026914</t>
  </si>
  <si>
    <t>Rahnavard M.</t>
  </si>
  <si>
    <t>Application of cubic‚Äêphase theory to galindo‚Äêwilliams subreflector</t>
  </si>
  <si>
    <t>10.1002/mop.4650040411</t>
  </si>
  <si>
    <t>2-s2.0-0026126067</t>
  </si>
  <si>
    <t>['wiley company', 'theoretical study', 'theoretical analysis', 'phantom models', 'particular interest', 'inc .,', 'human tissue', 'experimental measurements', 'biomedical applications']</t>
  </si>
  <si>
    <t>biomedical applications | cancer treatment | Microwave hyperthermia | microwave power applicator</t>
  </si>
  <si>
    <t>We propose to investigate printed circuit applicators for biomedical applications and especially the microstrip‚Äêmicroslot applicator laid on multilayered lossy media and covered or not with a superstrate. Particular interest is focused on the power deposition inside biological tissues. The theoretical analysis is based on the spectral domain approach (SDA) method. In addition, experimental measurements were performed on phantom models of human tissue, which validate the theoretical study. Copyright ¬© 1991 Wiley Periodicals, Inc., A Wiley Company</t>
  </si>
  <si>
    <t>141-145</t>
  </si>
  <si>
    <t>60104665;60104665;60104665;60104665</t>
  </si>
  <si>
    <t>7102611104;57198351980;56255060000;7004583077</t>
  </si>
  <si>
    <t>Dubois, L.;Bera, J.;Pribetich, J.;Chive, M.</t>
  </si>
  <si>
    <t>Dubois L.</t>
  </si>
  <si>
    <t>Theoretical and experimental determination of the power deposition of a microstrip‚Äêmicroslot applicator for biomedical applications</t>
  </si>
  <si>
    <t>10.1002/mop.4650040403</t>
  </si>
  <si>
    <t>2-s2.0-0026126194</t>
  </si>
  <si>
    <t>['variational technique', 'unloaded antenna', 'solving pocklington', 'short pulse', 'radiated signal', 'physically realizable', 'optimum solution', 'optimum load', 'isoperimetric condition', 'francis ltd', 'equation via', 'also compared']</t>
  </si>
  <si>
    <t>An analysis is described to calculate the optimum load which maximizes the radiated electromagnetic field from a linear dipole antenna fed by a very short pulse. For each frequency in the band, the analysis is carried out by solving Pocklington's equation via a Galerkin moment method, together with a variational technique. A constraint on the energy of the radiated signal is used as an isoperimetric condition, so that the solution is physically realizable. The optimum solution is also compared with the response of an unloaded antenna. ¬© 1991 Taylor &amp; Francis Ltd.</t>
  </si>
  <si>
    <t>623-635</t>
  </si>
  <si>
    <t>International Journal of Electronics</t>
  </si>
  <si>
    <t>60027844;60009455;60027844;60027844</t>
  </si>
  <si>
    <t>57207871862;57196905878;7004533004;6603852913</t>
  </si>
  <si>
    <t>Morente, J. A.;Torres, R. P.;Salinas, A.;Porti, J.</t>
  </si>
  <si>
    <t>Spain;Spain</t>
  </si>
  <si>
    <t>Granada;Madrid</t>
  </si>
  <si>
    <t>Universidad de Granada;Escuela T√©cnica Superior de Ingenieros de Telecomunicaci√≥n, Universidad Polit√©cnica de Madrid</t>
  </si>
  <si>
    <t>60027844;60009455</t>
  </si>
  <si>
    <t>Morente J.A.</t>
  </si>
  <si>
    <t>Optimum load for a linear antenna fed by a short duration pulse</t>
  </si>
  <si>
    <t>10.1080/00207219108921314</t>
  </si>
  <si>
    <t>2-s2.0-0026131317</t>
  </si>
  <si>
    <t>['used conveniently', 'source position', 'reflector may', 'planar strip', 'pattern calculation', 'parabolic reflectors', 'numerical examples', 'main beams', 'far field', 'directive beam', 'aperture integration']</t>
  </si>
  <si>
    <t>In the complex source point (CSP) technique an omnidirectional source diffraction solution becomes that for a directive beam when the coordinates of the source position are given appropriate complex values. Here this is applied to include feed directivity in reflector edge diffraction. Solutions and numerical examples for planar strip and parabolic cylinder reflectors are given, including an offset parabolic reflector. The main beams of parabolic reflectors are calculated by aperture integration and the edge diffracted fields by uniform diffraction theory. In both cases, a complex source point feed in the near or far field of the reflector may be used conveniently in the pattern calculation with improvements in accuracy in the lateral and spillover pattern lobes. ¬© 1991 IEEE</t>
  </si>
  <si>
    <t>521-527</t>
  </si>
  <si>
    <t>60010365;60010365</t>
  </si>
  <si>
    <t>6603435010;7003354840</t>
  </si>
  <si>
    <t>Suedan, Gibreel A.;Jull, Edward V.</t>
  </si>
  <si>
    <t>Vancouver</t>
  </si>
  <si>
    <t>The University of British Columbia</t>
  </si>
  <si>
    <t>Suedan G.A.</t>
  </si>
  <si>
    <t>Beam Diffraction by Planar and Parabolic Reflectors</t>
  </si>
  <si>
    <t>10.1109/8.81466</t>
  </si>
  <si>
    <t>2-s2.0-0026136132</t>
  </si>
  <si>
    <t>['¬© 1991', 'wave heating', 'theory analysis', 'small tokamak', 'second order', 'rights reserved', 'radius effects', 'quantitative analysis', 'plasma current', 'n waves', 'model antennas', 'free currents', 'field pinches', 'antenna resistance', 'amplitude alfvc']</t>
  </si>
  <si>
    <t>Equations are derived for the kinetic-theory analysis of small-amplitude Alfvc'n waves in cylindrical plasmas carrying force-free currents. The equations, which include ion Larmor-radius effects to second order, are applicable to reversed-field pinches as well as to tokamaks. Fourier mode amplitudes are derived for model antennas with radial current feeds, and a quantitative analysis is made of the antenna resistance and the wave density fields in a small tokamak during Alfve'n-wave heating. The effect of the plasma current on the wave thermal energy flux is discussed. ¬© 1991, Cambridge University Press. All rights reserved.</t>
  </si>
  <si>
    <t>213-228</t>
  </si>
  <si>
    <t>Journal of Plasma Physics</t>
  </si>
  <si>
    <t>60025709-60023748;60023748</t>
  </si>
  <si>
    <t>6603704472;7004683859</t>
  </si>
  <si>
    <t>Donnelly, I. J.;Clancy, B. E.</t>
  </si>
  <si>
    <t>Sydney;Lucas Heights</t>
  </si>
  <si>
    <t>The University of Sydney;Australian Nuclear Science and Technology Organisation</t>
  </si>
  <si>
    <t>60025709;60023748</t>
  </si>
  <si>
    <t>Donnelly I.</t>
  </si>
  <si>
    <t>Kinetic theory of Alfv√©n waves in plasmas with force-free currents</t>
  </si>
  <si>
    <t>10.1017/S0022377800015658</t>
  </si>
  <si>
    <t>2-s2.0-0026136441</t>
  </si>
  <si>
    <t>['robust antenna', 'quadratic constraints', 'latter set', 'improved methods', 'constrained minimization', 'array design']</t>
  </si>
  <si>
    <t>The paper first shows that the quadratic constraint established in [1] can be approximated using linear and quadratic constraints. Based on the latter set of constraints, the paper further establishes the equivalence between the MMSE (minimum mean square error) and CCMP (correlation-constrained minimization of power) methods for broadband and robust antenna-array design. The relationship provides several insights into the CCMP and its improved methods. ¬© 1991 IEEE</t>
  </si>
  <si>
    <t>223-224</t>
  </si>
  <si>
    <t>IEEE Journal of Oceanic Engineering</t>
  </si>
  <si>
    <t>Er, M. H.</t>
  </si>
  <si>
    <t>Er M.H.</t>
  </si>
  <si>
    <t>Equivalence of mmse and ccmp methods for broadband and robust array design</t>
  </si>
  <si>
    <t>10.1109/48.84140</t>
  </si>
  <si>
    <t>2-s2.0-0026136712</t>
  </si>
  <si>
    <t>['wave range', 'wave applications', 'wave antenna', 'theory developed', 'structural parameters', 'strip grating', 'rigorously taken', 'promising candidate', 'powerful tool', 'particularly suitable', 'numerical solution', 'mechanically simple', 'dielectric interface', 'derived via', 'clearly showing', 'carefully analyzed', 'analysis procedure', 'accurate theory']</t>
  </si>
  <si>
    <t>A type of leaky-wave antenna that is particularly suitable for applications in the millimeter-wave range is carefully analyzed. The structure is basically a version of the dielectric inset waveguide and the leakage is induced by loading the air-dielectric interface with a photo-etched, periodic, metal-strip grating. The antenna is mechanically simple to realize so that it is particularly suitable for millimeter-wave applications. The aim of the paper is to provide a practical and accurate theory for the design of this class of antennas. The analysis procedure is based on the development of a novel, multimode transverse equivalent network representation. All mutual coupling effects are rigorously taken into account. A simple dispersion relation is derived via a transverse resonance procedure and the complex dispersion behavior of the antenna is obtained through its numerical solution. Useful approximate initial design formulas are given and a detailed parametric analysis is carried out clearly showing the effects of changes of all the structural parameters. The results obtained indicate that the structure, in addition to being mechanically simple to realize, exhibits a very flexible electrical behavior. The theory developed, therefore, is a very powerful tool for the design and optimization of this class of antennas; a very promising candidate for millimeter-wave applications. ¬© 1991 IEEE</t>
  </si>
  <si>
    <t>497-504</t>
  </si>
  <si>
    <t>60031159;60031159</t>
  </si>
  <si>
    <t>35444459700;6506090063</t>
  </si>
  <si>
    <t>Guglielmi, Marco;Boccalone, Giuseppe</t>
  </si>
  <si>
    <t>Guglielmi M.</t>
  </si>
  <si>
    <t>A Novel Theory for Dielectric-Inset Waveguide Leaky-Wave Antennas</t>
  </si>
  <si>
    <t>10.1109/8.81463</t>
  </si>
  <si>
    <t>2-s2.0-0026136778</t>
  </si>
  <si>
    <t>['slight increase', 'physical optics', 'method formulation', 'matrix size', 'generating curve', 'finite series', 'expansion results', '5 db']</t>
  </si>
  <si>
    <t>The moment-method technique utilizing entire domain basis functions is applied to the analysis of large, axially symmetric reflector antennas. The electric surface current is modeled as a finite series of sinusoids whose domain consists of the entire generating curve. This expansion results in a matrix size of less than 5% of that produced with subdomain basis functions. Only a slight increase in the CPU requirements occurs from this analysis. The results from this technique show good agreement when compared against both physical optics and a subdomain based moment-method formulation on small, axially fed paraboloidal and hyperboloidal reflector antennas. Extension to a large 100 Œª paraboloidal reflector with f/D = 0.4 produces results comparable to that obtained using physical optics. Convergence is obtained with as few as two expansion terms per wavelength. Discretization of the generating curve with four points per wavelength leads to results which agree within 0.5 dB over data from a more densely defined curve. ¬© 1991 IEEE</t>
  </si>
  <si>
    <t>491-496</t>
  </si>
  <si>
    <t>60025209;60029311</t>
  </si>
  <si>
    <t>7006382310;7005574913</t>
  </si>
  <si>
    <t>Barclay, Michael R.;Rusch, Willard V.T.</t>
  </si>
  <si>
    <t>Los Angeles;Los Angeles</t>
  </si>
  <si>
    <t>University of Southern California;Northrop Grumman corporation</t>
  </si>
  <si>
    <t>60029311;60025209</t>
  </si>
  <si>
    <t>Barclay M.</t>
  </si>
  <si>
    <t>Moment-Method Analysis of Large, Axially Symmetric Reflector Antennas using Entire-Domain Functions</t>
  </si>
  <si>
    <t>10.1109/8.81462</t>
  </si>
  <si>
    <t>2-s2.0-0026136857</t>
  </si>
  <si>
    <t>['suspended stripline', 'radiating array', 'planar device', 'performance capabilities', 'peak gains', 'increasing efficiency', 'directional couplers', 'blass matrix', '5 %.', '19 db']</t>
  </si>
  <si>
    <t>A novel antenna concept that incorporates a beamformer and radiating array into a single, planar device is described. This integration of the beamformer and array components decreases the constructional complexity considerably. The beamforming action resembles that of the Blass matrix, although the use of resonant arrays removes the need for directional couplers. The devices primary mode of operation is detailed and a number of performance capabilities are outlined. Results are given for a five beam experimental array realised in microstrip and operating at approximately 8 GHz. Peak gains of between 13 and 19 dB are achieved with a bandwidth of about 5%. Implementation of the concept in other transmission media seems possible and realisation in waveguide and suspended stripline are discussed as a means of increasing efficiency.</t>
  </si>
  <si>
    <t>176-184</t>
  </si>
  <si>
    <t>Apr</t>
  </si>
  <si>
    <t>60009658;60009658</t>
  </si>
  <si>
    <t>56636089400;57213425197</t>
  </si>
  <si>
    <t>Vetterlein, S. J.;Hall, P. S.</t>
  </si>
  <si>
    <t>Swindon</t>
  </si>
  <si>
    <t>Defence College of Management and Technology</t>
  </si>
  <si>
    <t>Vetterlein S.</t>
  </si>
  <si>
    <t>Multiple beam microstrip patch array with integrated beamformer</t>
  </si>
  <si>
    <t>10.1049/ip-h-2.1991.0029</t>
  </si>
  <si>
    <t>2-s2.0-0026137005</t>
  </si>
  <si>
    <t>['wide spread', 'transmitter location', 'signals received', 'severely affected', 'region reflection', 'reflection point', 'recognising periods', 'propagated predominantly', 'periods provided', 'multimoded propagation', 'hop f', 'ground surface', 'also discussed', 'accurate measurements', '1400 km']</t>
  </si>
  <si>
    <t>From measurements of the amplitude and phase of ionospherically propagated HF radio signals received at several spaced antennas, the direction of arrival (DOA) of the signal in both azimuth and elevation can be determined. Furthermore, by combining the DOA with reflection height measurements, the transmitter location can be estimated from a single receiving site. The direction of arrival has been measured for signals received from several European broadcast stations at distances of up to about 1400 km and the position fixes obtained are discussed. The performance of the system was severely affected by multimoded propagation and techniques for recognising periods of single moded propagation, when accurate measurements are to be expected, are described. Good position fixes were obtained when measurements were restricted to these periods provided that accurate height information was available. A period of data is also discussed for which the signal was found to be propagated predominantly by a 2-hop F-region reflection. A wide spread of fixes for the ground reflection point was found and this is assumed to be caused by the roughness of the ground surface at the reflection point.</t>
  </si>
  <si>
    <t>121-130</t>
  </si>
  <si>
    <t>60033125;60033125</t>
  </si>
  <si>
    <t>35548735200;57198743779</t>
  </si>
  <si>
    <t>Warrington, E. M.;Jones, T. B.</t>
  </si>
  <si>
    <t>Leicester</t>
  </si>
  <si>
    <t>University of Leicester</t>
  </si>
  <si>
    <t>Warrington E.</t>
  </si>
  <si>
    <t>Measurements of the direction of arrival of HF sky wave signals and single site location using a seven element wide aperture (294 m) interferometer array</t>
  </si>
  <si>
    <t>10.1049/ip-h-2.1991.0021</t>
  </si>
  <si>
    <t>2-s2.0-0026137007</t>
  </si>
  <si>
    <t>NAQ 3-419</t>
  </si>
  <si>
    <t>['¬© 1991', 'within 2', 'simple definition', 'scan case', 'reflector antenna', 'po error', 'fair comparison', 'different feeds', 'definition allows', 'conserve power', 'cluster feed', 'beam efficiency', '20 db']</t>
  </si>
  <si>
    <t>This paper presents several topics on the beam efficiency of a reflector antenna. (i) A simple definition for the ‚Äúmain beam‚Äù is suggested for calculating beam efficiency. This definition is related to the reflector aperture diameter, but is independent of the feed edge taper. Use of this definition allows a fair comparison of beam efficiencies due to different feeds to be made. (ii) Physical optics theory does not conserve power. Therefore conventional reflector pattern computation methods based on PO can calculate beam efficiency only within 2% to 3% accuracy. A method for calibrating out this PO error is described. (iii) Beam efficiency curves are presented for typical parabolic reflectors fed by open-ended circular cylinder waveguide feeds. While directivity is optimized by a 10 dB edge taper, beam efficiency is optimized for a higher edge taper of over 20 dB. (iv) Beam efficiency curves for cases in which the beam is scanned off-axis are presented. (v) A cluster feed is utilized to improve beam efficiency for a scan case. ¬© 1991 by Hemisphere Publishing Corporation.</t>
  </si>
  <si>
    <t>235-254</t>
  </si>
  <si>
    <t>April-June 1991</t>
  </si>
  <si>
    <t>Zimmerman, M. L.</t>
  </si>
  <si>
    <t>Zimmerman M.</t>
  </si>
  <si>
    <t>Computation and optimization of beam efficiency for reflector antennas</t>
  </si>
  <si>
    <t>10.1080/02726349108908276</t>
  </si>
  <si>
    <t>2-s2.0-0026137111</t>
  </si>
  <si>
    <t>['zero depending', 'wiley company', 'utilized effectively', 'unit antenna', 'structural parameters', 'real part', 'radio equipment', 'radiation resistance', 'pitch ).', 'mutual impedance', 'moment method', 'loop antenna', 'input impedance', 'inc .,', 'human body', 'helical radius', 'free space', 'etc .,', 'electric image', 'dipole antenna', 'degradation due', 'current distribution', 'conductive plate', 'combined model', 'calculation method', 'basic problem', 'almost equal']</t>
  </si>
  <si>
    <t>To improve the efficiency of a small‚Äêsized antenna, a normal mode helical antenna (NMHA) is promising with a high radiation resistance. However, its efficiency is subject to degradation due to a nearby human body or radio equipment. In this paper, we replaced the human body, etc., by a conductive plate as a basic problem to analyze the influence of the human body and calculated the impedance when NMHA is in proximity of a conductive plate. In our calculation method, the influence of the conductive plate was replaced by an electric image of NMHA. We obtained the current distribution of a two‚Äêelement NMHA array which was placed in parallel by the improved circuit theory method which is similar to the moment method. As a result, we found that the real part of the mutual impedance between the array was positive, negative or zero depending on the value of the structural parameters of the antenna. The radiation resistance with a nearby conductive plate was the real part of subtracting the mutual impedance from the input impedance of a NMHA in a free space. In the shapes for zero or negative the real part of mutual impedance, the radiation resistance was equal to or greater than that of the unit antenna so that the conductive plate could be utilized effectively. We showed that the NMHA is a combined model of a dipole antenna and a loop antenna. For shapes with zero mutual impedances, we found that the far radiated field components of the dipole and those of the loop antenna were equal to the structural parameters which were almost equal to 2œÄ2a2 = pŒª (a: helical radius, and p: pitch). Copyright ¬© 1991 Wiley Periodicals, Inc., A Wiley Company</t>
  </si>
  <si>
    <t>67-75</t>
  </si>
  <si>
    <t>7403954564;8355553700</t>
  </si>
  <si>
    <t>Cho, Keizo;Yamada, Yoshihide</t>
  </si>
  <si>
    <t>Cho K.</t>
  </si>
  <si>
    <t>Impedance characteristics of the normal mode helical antenna with a nearby conduction plate</t>
  </si>
  <si>
    <t>10.1002/ecja.4410740407</t>
  </si>
  <si>
    <t>2-s2.0-0026137396</t>
  </si>
  <si>
    <t>['¬© 1991', 'widely used', 'unidirectional data', 'thermal expansion', 'thermal conductivity', 'tests performed', 'support structures', 'structural analysis', 'special reference', 'space applications', 'solar arrays', 'optimized designs', 'mechanical behaviour', 'lay ups', 'fibre composites', 'cryogenic tanks', 'composite structures', 'composite parts']</t>
  </si>
  <si>
    <t>composites | fibres, space cryogenics</t>
  </si>
  <si>
    <t>Fibre composites are widely used for space applications such as antennas, solar arrays and support structures for cryogenic tanks. For calculation of the mechanical behaviour of composite structures, basic material data are presented. The main mechanical properties of importance are thermal conductivity, thermal expansion, stiffness and strength. For the unidirectional data, special fibre orientations and lay ups are used to optimize the laminates, taking special requirements into account. In this paper the optimized designs of some composite parts for different space applications are shown, with special reference to aspects of the structural analysis and the tests performed to check the calculations. ¬© 1991.</t>
  </si>
  <si>
    <t>298-306</t>
  </si>
  <si>
    <t>Cryogenics</t>
  </si>
  <si>
    <t>60002286;60002286</t>
  </si>
  <si>
    <t>6602851992;6506863743</t>
  </si>
  <si>
    <t>Bansemir, H.;Haider, O.</t>
  </si>
  <si>
    <t>Airbus Group SE</t>
  </si>
  <si>
    <t>Bansemir H.</t>
  </si>
  <si>
    <t>Basic material data and structural analysis of fibre composite components for space application</t>
  </si>
  <si>
    <t>001122759190097G</t>
  </si>
  <si>
    <t>10.1016/0011-2275(91)90097-G</t>
  </si>
  <si>
    <t>2-s2.0-0026137554</t>
  </si>
  <si>
    <t>['trend leads', 'results show', 'required accuracies', 'recent years', 'quiet zone', 'pol distribution', 'microwave antennas', 'many panels', 'larger reflectors', 'key parameter', 'interpanel gaps', 'gaps affects', 'experimental determination', 'compact range']</t>
  </si>
  <si>
    <t>In recent years, the compact range has become a popular measurement tool in the evaluation of microwave antennas. This trend leads to the use of larger reflectors over larger frequency bands. Those reflectors can be built to the required accuracies, but they have to be assembled from many panels which introduce interpanel gaps. The electromagnetic scattering produced by the gaps affects the uniformity of the field in the quiet zone of the compact range. An analytical approach coupled with experimental determination of a key parameter has been developed to quantify the effect of the scattering from the interpanel gaps in a compact range. The results show the significance of this effect on the copol and x-pol distribution in the quiet zone area. ¬© 1991 IEEE</t>
  </si>
  <si>
    <t>480-484</t>
  </si>
  <si>
    <t>7004045654;6602932202;7402436307</t>
  </si>
  <si>
    <t>Shavit, Reuven;Smolski, Adam P.;Cook, Crit J.</t>
  </si>
  <si>
    <t>Shavit R.</t>
  </si>
  <si>
    <t>The Interpanel Gap Scattering Effect in a Compact Range</t>
  </si>
  <si>
    <t>10.1109/8.81460</t>
  </si>
  <si>
    <t>2-s2.0-0026137556</t>
  </si>
  <si>
    <t>['two devices', 'transient fields', 'sensor depends', 'receiver using', 'pulsed fields', 'input impedance', 'field sensors', 'broadband performance', '42 mhz', '350 mhz', '30 hz', '140 mhz', '10 khz']</t>
  </si>
  <si>
    <t>140 MHz, and 10 kHz-350 MHz) based on electrically small spherical antennas for measurement of transient fields have been developed. The antenna is coupled to a receiver using a wideband buffer amplifier. The sensitivity of the sensor depends on the size of the antenna, while the broadband performance is determined by the size of the antenna, the input impedance of the amplifier, and the coupling between the two devices. The sensor is calibrated in a TEM cell using CW and pulsed fields. Results of an analysis and calibration of the sensors are presented. Three broadband E-field sensors (30 Hz-42 MHz. ¬© 1991 IEEE</t>
  </si>
  <si>
    <t>465-468</t>
  </si>
  <si>
    <t>60028897-112732003-60026000;60028897</t>
  </si>
  <si>
    <t>6603879078;56803516700</t>
  </si>
  <si>
    <t>Thansandote, Artnarong;Stuchly, Stanislaw S.</t>
  </si>
  <si>
    <t>Canada;Poland;Canada</t>
  </si>
  <si>
    <t>Ottawa;Gda≈Ñsk;Ottawa</t>
  </si>
  <si>
    <t>University of Ottawa;Uniwersytet Gdanski;Bureau of Radiation and Medical Devices</t>
  </si>
  <si>
    <t>60028897;60026000;112732003</t>
  </si>
  <si>
    <t>Thansandote A.</t>
  </si>
  <si>
    <t>Broadband active e-field sensors for measurement of transients</t>
  </si>
  <si>
    <t>10.1109/TIM.1990.1032986</t>
  </si>
  <si>
    <t>2-s2.0-0026137557</t>
  </si>
  <si>
    <t>['various geometrical', 'two dimensional', 'two cylinders', 'surface impedance', 'radar cross', 'plane wave', 'found independently', 'electromagnetic scattering', 'electrical parameters', 'either types', 'derived rigorously', 'cylinder axes', 'composite cylinder', 'circular cross', 'also investigated']</t>
  </si>
  <si>
    <t>The electromagnetic scattering from an impedance cylinder embedded in a nonconcentric dielectric cylinder is derived rigorously by using a boundary value approach. The two cylinders are assumed to be infinite in length and of circular cross-section. The incident electromagnetic field is in terms of an electric or a magnetic field component parallel to both cylinder axes. The problem is two dimensional and the solution to either types of polarisation (TM or TE) can be found independently. Plane wave and line source excitations are considered in this analysis. The effects of various geometrical and electrical parameters (such as the cylinder's radii, permitivity, surface impedance and eccentricity) on the near field distribution and the far scattered field pattern are examined. Bistatic and monostatic scattering cross-sections of the composite cylinder which minimise or maximise the radar cross-section are also investigated.</t>
  </si>
  <si>
    <t>169-175</t>
  </si>
  <si>
    <t>60010491;60010491;60010491</t>
  </si>
  <si>
    <t>6505862836;7004922524;7005949569</t>
  </si>
  <si>
    <t>Parrikar, R. P.;Kishk, A. A.;Elsherbeni, A. Z.</t>
  </si>
  <si>
    <t>University</t>
  </si>
  <si>
    <t>University of Mississippi</t>
  </si>
  <si>
    <t>Parrikar R.</t>
  </si>
  <si>
    <t>Scattering from an impedance cylinder embedded in a nonconcentric dielectric cylinder</t>
  </si>
  <si>
    <t>10.1049/ip-h-2.1991.0028</t>
  </si>
  <si>
    <t>2-s2.0-0026137776</t>
  </si>
  <si>
    <t>['theoretical values', 'phase patterns', 'measurement set', 'measured values', 'main problems', 'good agreement', 'flexible cables', 'errors caused', '190 ghz', '115 ghz', '100 ghz']</t>
  </si>
  <si>
    <t>The application of conventional antenna phase measurement methods becomes increasingly difficult above 100 GHz. The main problems are the complexity of measurement set-ups and errors caused by the flexible cables or rotary joints needed in the system. To overcome these problems, a novel differential phase measurement method has been developed and used to measure phase centre positions and phase patterns of two corrugated horns at 105-115 GHz and 176-190 GHz. In spite of the simplicity, the differential phase method gives accurate results. Good agreement between the measured values and theoretical values, calculated with the modal matching technique, were obtained.</t>
  </si>
  <si>
    <t>114-120</t>
  </si>
  <si>
    <t>7006775375;7003817193;6504369022</t>
  </si>
  <si>
    <t>Tuovinen, J.;Lehto, A.;Raisaenen, A.</t>
  </si>
  <si>
    <t>Tuovinen J.</t>
  </si>
  <si>
    <t>Phase measurements of millimetre wave antennas at 105-190 GHz with a novel differential phase method</t>
  </si>
  <si>
    <t>10.1049/ip-h-2.1991.0020</t>
  </si>
  <si>
    <t>2-s2.0-0026137779</t>
  </si>
  <si>
    <t>['‚ äúthin', 'widely used', 'numerical work', 'numerical calculation', 'much less', 'field equation', 'exact kernel', 'cylindrical antenna', 'convergent outcomes', 'convenient approximation', 'arbitrarily using', 'approximation may']</t>
  </si>
  <si>
    <t>In the numerical calculation for cylindrical antenna, the ‚Äúthin-wire‚Äù kernel is widely used as a convenient approximation to the exact kernel of electric-field equation. However, this ‚Äúthin-wire‚Äù approximation is valid only if the radius of wire is much less than its length and the wavelength; furthermore, arbitrarily using this approximation may not obtain the convergent outcomes. Presented here is the expression of the exact kernel for the cylindrical antenna, which would be useful in the numerical work. ¬© 1991 IEEE</t>
  </si>
  <si>
    <t>434-435</t>
  </si>
  <si>
    <t>Wang, Wan Xian</t>
  </si>
  <si>
    <t>Wang W.</t>
  </si>
  <si>
    <t>The Exact Kernel for Cylindrical Antenna</t>
  </si>
  <si>
    <t>10.1109/8.81454</t>
  </si>
  <si>
    <t>2-s2.0-0026137853</t>
  </si>
  <si>
    <t>['vertical configuration', 'space required', 'results show', 'related samples', 'receiving station', 'received signals', 'mobile stations', 'locked receiver', 'envelope cross', 'easily obtained', 'cw signal', 'could measure', 'correlation less', 'coherently demodulated', 'branch phase', 'base station', 'antenna separation', 'achieved using', '900 mhz', '3 km']</t>
  </si>
  <si>
    <t>In order to establish the antenna separation necessary to receive sufficiently decor-related samples of the signal at both base and mobile stations, extensive field trials have been carried out in which a CW signal was transmitted over a distance of 1.3 km. The receiving station was equipped with two vertical halfwave dipoles which were spaced in a vertical configuration. The received signals were coherently demodulated by a two-branch phase-locked receiver which could measure both the complex and envelope cross-correlation. Results show that a cross-correlation less than 0.7 can be achieved using an antenna separation of 8Œª to 13Œª at the base station and ‚âà 1Œª at the mobile, for a 1.3 km cell radius. At 900 MHz such an antenna separation is easily obtained and, in both cases, the space required is small. The cross-correlation using vertically spaced antennas at the base station is independent of the incoming arrival angle and hence low correlation can be achieved whilst maintaining omnidirectional coverage. At the mobile the small vertical antenna separation required suggests that an unobtrusive antenna arrangement is feasible.</t>
  </si>
  <si>
    <t>81-86</t>
  </si>
  <si>
    <t>IEE Proceedings, Part I: Communications, Speech and Vision</t>
  </si>
  <si>
    <t>60020661;60020661</t>
  </si>
  <si>
    <t>7005186888;7402708406</t>
  </si>
  <si>
    <t>Feeney, M. T.;Parsons, J. D.</t>
  </si>
  <si>
    <t>Liverpool</t>
  </si>
  <si>
    <t>University of Liverpool</t>
  </si>
  <si>
    <t>Feeney M.T.</t>
  </si>
  <si>
    <t>Cross-correlation between 900 MHz signals received on vertically separated antennas in small-cell mobile radio systems</t>
  </si>
  <si>
    <t>10.1049/ip-i-2.1991.0011</t>
  </si>
  <si>
    <t>2-s2.0-0026137872</t>
  </si>
  <si>
    <t>['paraboloidal reflector', 'formula may', 'antenna theory']</t>
  </si>
  <si>
    <t>An efficient series representation is derived for Ipab, a quadratic phase integral commonly encountered in aperture-antenna theory. The accuracy and efficiency of the series formula relative to ordinary numerical integration are discussed. This formula may be very useful in solving such problems as quadratic-phase error effects on beamwidth, field in the Fresnel-region, on-axis defocus characteristics of a paraboloidal reflector, or shadow-region field behind a disk. ¬© 1991 IEEE</t>
  </si>
  <si>
    <t>556-559</t>
  </si>
  <si>
    <t>60029311;60029311</t>
  </si>
  <si>
    <t>7102349271;7005574913</t>
  </si>
  <si>
    <t>Sun, En Yuan;Rusch, Willard V.T.</t>
  </si>
  <si>
    <t>University of Southern California</t>
  </si>
  <si>
    <t>Sun E.Y.</t>
  </si>
  <si>
    <t>An Efficient Representation of Radiation from a Circular Aperture with Tapered Amplitude Andquadratic Phase</t>
  </si>
  <si>
    <t>10.1109/8.81472</t>
  </si>
  <si>
    <t>2-s2.0-0026138303</t>
  </si>
  <si>
    <t>['gps measurements', 'crl ).']</t>
  </si>
  <si>
    <t>We have developed a Ll band (1575.42 MHz), C/A (coarse/acquisition) code GPS receiver for precise time comparisons. GPS measurements in common-view have been carried out between the Korea Standards Research Institute (KSRI) and the Communications Research Laboratory (CRL). ¬© 1991 IEEE</t>
  </si>
  <si>
    <t>216-218</t>
  </si>
  <si>
    <t>60028270-60032325;60028270-60032325;60028270-60032325;60032325</t>
  </si>
  <si>
    <t>56100412000;37047040800;7102914574;7201878418</t>
  </si>
  <si>
    <t>Lee, Chang Bok;Lee, Dong Doo;Chung, Nak Sam;Morikawa, Takao</t>
  </si>
  <si>
    <t>Japan;South Korea</t>
  </si>
  <si>
    <t>Koganei;Yusong</t>
  </si>
  <si>
    <t>Japan National Institute of Information and Communications Technology;Korea Research Institute of Standards and Science</t>
  </si>
  <si>
    <t>60032325;60028270</t>
  </si>
  <si>
    <t>Lee C.</t>
  </si>
  <si>
    <t>Development of a gps time comparison system and the gps common-view measurements</t>
  </si>
  <si>
    <t>10.1109/TIM.1990.1032919</t>
  </si>
  <si>
    <t>2-s2.0-0026138306</t>
  </si>
  <si>
    <t>['unbalanced current', 'two methods', 'parallel lines', 'oriented opposite', 'method present', 'dipole antenna', 'connected end', 'close approximation', 'choke circuit', 'balun loss', 'antenna elements', 'anechoic chamber']</t>
  </si>
  <si>
    <t>Evaluation of the balun loss of a dipole antenna is performed at 1.2 and 1.7 GHz based on the two methods. The balun is constructed by parallel lines which constitute a choke circuit for unbalanced current. One of the methods is a standard antenna method [1] which substitutes the dipole antenna for a standard gain pyramidal horn antenna inside an anechoic chamber. The other is a direct connection method, that is, two identical dipole antennas are connected end-to-end (after their antenna elements are removed) while oriented opposite to each other. The values of balun loss deduced from each method present a close approximation. ¬© 1991 IEEE</t>
  </si>
  <si>
    <t>480-482</t>
  </si>
  <si>
    <t>115568285-60095982-60032325</t>
  </si>
  <si>
    <t>Kawana, T.</t>
  </si>
  <si>
    <t>Japan;Japan;Japan</t>
  </si>
  <si>
    <t>Kanagawa;Koganei;Tokyo</t>
  </si>
  <si>
    <t>Anritsu Corporation;Japan National Institute of Information and Communications Technology;Radio Equipment Inspection and Certification InStitute</t>
  </si>
  <si>
    <t>60095982;60032325;115568285</t>
  </si>
  <si>
    <t>Kawana T.</t>
  </si>
  <si>
    <t>Evaluation of dipole antenna balun loss in the uhf band</t>
  </si>
  <si>
    <t>10.1109/TIM.1990.1032990</t>
  </si>
  <si>
    <t>2-s2.0-0026138697</t>
  </si>
  <si>
    <t>['weights belonging', 'weight jittering', 'weight based', 'synchronous manner', 'schmidt processor', 'processing stages', 'optimal performance', 'multiplexed manner', 'misadjustment contributed', 'may appear', 'jittering noises', 'input vector', 'current inputs', 'adaptively updated', 'adaptive weights', 'adaptive gram', 'absolute terms']</t>
  </si>
  <si>
    <t>A detailed performance analysis of using the least mean square (LMS) algorithm to update each stage of an adaptive Gram-Schmidt processor in interference cancelling adaptive arrays is presented. It is shown that although the number of adaptive weights in the processor is proportional to M2, the total misadjustment contributed by weight jittering is proportional to only M, where M is the size of the processor. In absolute terms, the weight jittering noises do not accumulate as would be expected, but actually cancelled one another out and decrease in magnitude as the optimal powers become smaller from one processing stage to the next. For optimal performance, the feedback factors used in the individual LMS loops should be normalized so that the amount of misadjustment contributed and the convergence time constant are the same for all processing stages. Also, all the weights belonging to one processing stage must be adjusted in a synchronous manner with the same input vector. This synchronous updating requirement is essential for the cancellation of the jittering noises, although in situations where the weights are adaptively updated in a time-multiplexed manner to reduce computational requirements, it may appear more efficient to update each weight based on the most current inputs. ¬© 1991 IEEE</t>
  </si>
  <si>
    <t>505-511</t>
  </si>
  <si>
    <t>Ko C.C.</t>
  </si>
  <si>
    <t>On the Performance of Adaptive Gram-Schmidt Algorithm for Interference Cancelling Arrays</t>
  </si>
  <si>
    <t>10.1109/8.81464</t>
  </si>
  <si>
    <t>2-s2.0-0026138917</t>
  </si>
  <si>
    <t>['waveguide modes', 'voltage gap', 'variational formula', 'mode approximation', 'microstrip antenna', 'matching methods', 'matching method', 'input impedance', 'increasing complexity', 'gap capacitance', 'field inside', 'dielectric substrate', 'diaphragm exists', 'coaxial line', 'coaxial aperture', 'antennas driven']</t>
  </si>
  <si>
    <t>The input impedance of a probe-fed, annular-ring-loaded, circular-disk microstrip antenna is analysed using three methods of increasing complexity and sophistication. The first method uses a new variational formula which is more suitable for antennas driven by a voltage gap. The second method uses a mode-matching method where the field inside the coaxial line is expanded in terms of waveguide modes. The third method uses the mode-matching method with a diaphragm at the coaxial aperture. The mode-matching methods are identical to the variational formula under the single-mode approximation. However, when a diaphragm is present, the single-mode approximation is insufficient, implying that the variational formula is inaccurate when a diaphragm exists. The theory is used to study the effect of the gap capacitance at the coaxial aperture on the input impedance of the microstrip antenna. It is found that this gap capacitance is important when the dielectric substrate is thick.</t>
  </si>
  <si>
    <t>185-191</t>
  </si>
  <si>
    <t>60000745;60000745;60000745;60000745</t>
  </si>
  <si>
    <t>26643168800;55645491100;57190242812;7401934487</t>
  </si>
  <si>
    <t>Chew, W. C.;Nie, Z.;Liu, Q. H.;Lo, Y. T.</t>
  </si>
  <si>
    <t>Chew W.</t>
  </si>
  <si>
    <t>Analysis of a probe-fed microstrip disk antenna</t>
  </si>
  <si>
    <t>10.1049/ip-h-2.1991.0030</t>
  </si>
  <si>
    <t>2-s2.0-0026139234</t>
  </si>
  <si>
    <t>['shown numerically', 'rotman lens', 'opposite apex', 'new calculation', 'lens gain', 'geometric phase', 'focal ratio', 'focal length', 'focal angle', 'design procedure', 'amplitude errors']</t>
  </si>
  <si>
    <t>The foundation of a satisfactory Rotman lens design is geometric. The effects of the seven design parameters (focal angle, focal ratio, beam angle ratio, maximum beam angle, beam port curve ellipticity, array element spacing, and focal length/Œª) on the shape, and on the geometric phase and amplitude errors of a Rotman lens are described. The advantage of beam port shaping to reduce phase error, and of pointing port horns at the opposite apex (instead of normal to the curve) to reduce off-axis beam amplitude asymmetries, are shown numerically. A design procedure for selecting these parameters is given, and a new calculation of lens gain is presented. ¬© 1991 IEEE</t>
  </si>
  <si>
    <t>464-472</t>
  </si>
  <si>
    <t>Design Trades for Rotman Lenses</t>
  </si>
  <si>
    <t>10.1109/8.81458</t>
  </si>
  <si>
    <t>2-s2.0-0026139255</t>
  </si>
  <si>
    <t>['slight sacrifice', 'several authors', 'proposed structure', 'performance characteristics', 'new structure', 'look direction', 'increased beamwidth', 'derivative constraints', 'broader beamwidth', 'array gain', 'array beamwidth', 'adaptive processor']</t>
  </si>
  <si>
    <t>The performance characteristics of adaptive array systems with derivative constraints have been investigated by several authors. As a result of the derivative constraints, the array beamwidth in the look direction could be made as broad as desired; however, this increased beamwidth was achieved at the price of reducing array gain. A new structure is proposed for an adaptive Broadband beamforming system in a manner that can produce a broader beamwidth in the look direction without any derivative constraints imposed on the adaptive processor. Compared to the conventional Frost beamformer with derivative constraints, the computer simulations illustrate the effectiveness of the proposed structure, which broadens the beamwidth in the look direction with only slight sacrifice of array gain. ¬© 1991 IEEE</t>
  </si>
  <si>
    <t>551-555</t>
  </si>
  <si>
    <t>60011357;60011357</t>
  </si>
  <si>
    <t>7601433253;57192217594</t>
  </si>
  <si>
    <t>Chen, Yuan Hwang;Chen, Chao Hung</t>
  </si>
  <si>
    <t>Kaohsiung</t>
  </si>
  <si>
    <t>National Sun Yat-Sen University</t>
  </si>
  <si>
    <t>Chen Y.H.</t>
  </si>
  <si>
    <t>Communications a New Structure for Adaptive Broadband Beamforming</t>
  </si>
  <si>
    <t>10.1109/8.81470</t>
  </si>
  <si>
    <t>2-s2.0-0026139577</t>
  </si>
  <si>
    <t>['variational properties', 'numerical results', 'mutual reaction', 'moment method', 'harmonic excitation', 'customary manner', 'applied via']</t>
  </si>
  <si>
    <t>Consideration is given to the variational properties of the moment method as applied via the electric field integral equation (EFIE) to perfectly conducting radiators and scatterers with time-harmonic excitation. It is shown that the admittance, impedance, gain and radar cross section can be expressed in terms of the self-reaction or the mutual reaction of the electric current distribution(s) induced on the body. Thus the question of the stationarity of these mportant quantities reduces to a question of the stationarity of the reaction. Subject to the above restrictions and assuming the usual reciprocity theorems are applicable, it is shown that the reaction is stationary with Galerkin's method, but it is not when the non-Galerkin moment method is applied in the customary manner. A few numerical results are included to compare the performance of the variational and nonvariational moment methods. ¬© 1991 IEEE</t>
  </si>
  <si>
    <t>473-479</t>
  </si>
  <si>
    <t>Richmond, Jack H.</t>
  </si>
  <si>
    <t>Richmond J.</t>
  </si>
  <si>
    <t>On the Variational Aspects of the Moment Method</t>
  </si>
  <si>
    <t>10.1109/8.81459</t>
  </si>
  <si>
    <t>2-s2.0-0026139666</t>
  </si>
  <si>
    <t>['xpd depends', 'wiley company', 'two parameters', 'surface error', 'normalized r', 'n ).', 'inc .,', 'approximate formula']</t>
  </si>
  <si>
    <t>antenna efficiency | cross polarization discrimination | random surface errors | Reflector antennas</t>
  </si>
  <si>
    <t>An approximate formula is derived for the on‚Äêaxis cross‚Äêpolarization discrimination (XPD) of a symmetrical reflector antenna with random surface errors. This XPD depends on only two parameters, namely, the normalized r.m.s. surface error (œµ/Œª) and the polarization‚Äêloss efficiency (n). Copyright ¬© 1991 Wiley Periodicals, Inc., A Wiley Company</t>
  </si>
  <si>
    <t>194-196</t>
  </si>
  <si>
    <t>Herben, M. H.A.J.</t>
  </si>
  <si>
    <t>Eindhoven</t>
  </si>
  <si>
    <t>Technische Universiteit Eindhoven</t>
  </si>
  <si>
    <t>Herben M.</t>
  </si>
  <si>
    <t>On‚Äêaxis cross‚Äêpolarization discrimination of reflector antennas with random surface errors</t>
  </si>
  <si>
    <t>10.1002/mop.4650040507</t>
  </si>
  <si>
    <t>2-s2.0-0026139874</t>
  </si>
  <si>
    <t>['¬© 1991', 'taps behind', 'size reduction', 'simple preprocessor', 'schmidt scheme', 'schmidt algorithm', 'paper presents', 'implementation complexity', 'factor equal', 'element signals', 'correlation due', 'convergence behaviour', 'conventional gram', 'array element']</t>
  </si>
  <si>
    <t>adaptive algorithms | adaptive arrays | Array processing</t>
  </si>
  <si>
    <t>This paper presents and investigates a new preprocessed Gram-Schmidt algorithm for broadband linearly constrained arrays using tapped delay line processing. It is proposed that before the conventional Gram-Schmidt scheme is employed to reject unwanted interferences, the element signals should first be transformed by using a simple preprocessor to satisfy the look direction constraint and to reduce the correlation due to finite bandwidth effects. With this preprocessing, the implementation complexity of the algorithm is reduced by a factor equal to the number of taps behind each array element. Furthermore, due to this size reduction, the new algorithm also becomes faster in its convergence behaviour. ¬© 1991.</t>
  </si>
  <si>
    <t>15-25</t>
  </si>
  <si>
    <t>Signal Processing</t>
  </si>
  <si>
    <t>Broadband linearly constrained adaptive array processing with a preprocessed Gram-Schmidt algorithm</t>
  </si>
  <si>
    <t>0165-1684(91)90140-E</t>
  </si>
  <si>
    <t>10.1016/0165-1684(91)90140-E</t>
  </si>
  <si>
    <t>2-s2.0-0026140104</t>
  </si>
  <si>
    <t>['without distorting', 'theoretically analyzed', 'single event', 'repetitive ).', 'receiving bandwidth', 'potentially capable', 'numerical results', 'new antenna', 'electromagnetic pulses', 'domain responses', 'calculated using', '100 ps']</t>
  </si>
  <si>
    <t>A new antenna having a receiving bandwidth from 20 MHzto 10 GHz is described. It is intended for the reception of very fast (subnanosecond) electromagnetic pulses and transients (single event or repetitive). The antenna is theoretically analyzed in the frequency do-main, using the Method of Moments. Frequency-domain receiving characteristics are calculated and numerical results are presented. The time-domain responses of the antenna to two very short incident electromagnetic pulses are calculated using the fast Fourier transform technique. The new antenna is potentially capable of receiving baseband electromagnetic pulses as short as 100 ps, without distorting the waveform. ¬© 1991 IEEE</t>
  </si>
  <si>
    <t>460-464</t>
  </si>
  <si>
    <t>60028897;60028897</t>
  </si>
  <si>
    <t>35586058800;56803516700</t>
  </si>
  <si>
    <t>Esselle, Karu P.;Stuchly, Stanislaw S.</t>
  </si>
  <si>
    <t>Ottawa</t>
  </si>
  <si>
    <t>University of Ottawa</t>
  </si>
  <si>
    <t>Esselle K.</t>
  </si>
  <si>
    <t>An electrically large antenna for transient electromagnetic field measurements</t>
  </si>
  <si>
    <t>10.1109/TIM.1990.1032985</t>
  </si>
  <si>
    <t>2-s2.0-0026140164</t>
  </si>
  <si>
    <t>Rulf, Benjamin</t>
  </si>
  <si>
    <t>Northrop Grumman corporation</t>
  </si>
  <si>
    <t>Rulf B.</t>
  </si>
  <si>
    <t>The Effective Area of a Corner Reflector</t>
  </si>
  <si>
    <t>10.1109/74.88189</t>
  </si>
  <si>
    <t>2-s2.0-0026140176</t>
  </si>
  <si>
    <t>['used specifically', 'simulated data', 'recorded using', 'real data', 'rao bounds', 'radio direction', 'radar tracking', 'naval environment', 'measured data', 'likelihood function', 'deterministic modelling', 'apply specifically', 'angle targets']</t>
  </si>
  <si>
    <t>A maximum-likelihood estimation technique based on deterministic modelling is presented. The algorithm is designed to be used specifically for radar tracking of low-angle targets or radio direction-finding in a naval environment. In this algorithm, a highly deterministic multipath signal model is used for formulating the likelihood function, which is maximised with respect to the angles of arrival. In addition, the Cramer-Rao bounds that apply specifically to this model are derived. It is shown, by using both simulated data and real data, that this technique provides excellent performance in resolving multiple signals. The measured data that are used in this study were recorded using a 32-element sampled aperture antenna on an 'overwater' path.</t>
  </si>
  <si>
    <t>163-171</t>
  </si>
  <si>
    <t>0956375X</t>
  </si>
  <si>
    <t>IEE Proceedings, Part F: Radar and Signal Processing</t>
  </si>
  <si>
    <t>60031828;60031828</t>
  </si>
  <si>
    <t>7203076017;7006562937</t>
  </si>
  <si>
    <t>Lo, T.;Litva, J.</t>
  </si>
  <si>
    <t>Lo T.</t>
  </si>
  <si>
    <t>Use of a highly deterministic multipath signal model in low-angle tracking</t>
  </si>
  <si>
    <t>10.1049/ip-f-2.1991.0022</t>
  </si>
  <si>
    <t>2-s2.0-0026140331</t>
  </si>
  <si>
    <t>['nulling band', 'line processor', 'line configurations', 'jammer scenarios', 'bandwidth performances', '0 ghz']</t>
  </si>
  <si>
    <t>The bandwidth performances of a thinned phased adaptive array with and without a delay-line processor are compared. Five- and nine-jammer scenarios are considered for two EHF bands, 0.125 and 2.0 Ghz. The null-depth which was used as the measure of performance was computed over the nulling band for three different delay-line configurations. The simulation results give some insight into the way in which delay-line compensation provides improved performance as the interference bandwidth increases. ¬© 1991 IEEE</t>
  </si>
  <si>
    <t>562-565</t>
  </si>
  <si>
    <t>60029575;60029575</t>
  </si>
  <si>
    <t>35976040800;57197676109</t>
  </si>
  <si>
    <t>Kim, Y. S.;Weiss, I. M.</t>
  </si>
  <si>
    <t>El Segundo</t>
  </si>
  <si>
    <t>Aerospace Corporation, USA</t>
  </si>
  <si>
    <t>Kim Y.</t>
  </si>
  <si>
    <t>Bandwidth Performance of 16-Element Thinned Phased Array with Tapped Delay-Line Filter</t>
  </si>
  <si>
    <t>10.1109/8.81474</t>
  </si>
  <si>
    <t>2-s2.0-0026140371</t>
  </si>
  <si>
    <t>['substructures using', 'six substructures', 'siedel method', 'scattering phenomena', 'radiation patterns', 'matrix equation', 'hf band', 'grid models', 'extrapolation technique', 'electromagnetic measurements', 'disconnected substructures', 'borne antennas', 'antenna characteristics', 'analyse structures', 'accelerated using']</t>
  </si>
  <si>
    <t>The computer program NEC-2, which calculates the currents on wire-grid models by the method of moments, is modified to analyse structures which consist of a collection of disconnected substructures. The matrix equation for the currents is solved by means of iteration between the substructures using the Siedel method. The convergence is accelerated using an extrapolation technique. For a structure with 708 segments divided into six substructures, the new program NECK took only 1/3 of the time of NEC. The program is used to calculate the impedance and radiation patterns of ship-borne antennas in the presence of a funnel, masts and other antennas, all on a perfectly conducting ground plane. Comparisons of the results obtained using the two codes show good agreement. In addition, a programme of electromagnetic measurements was carried out to validate the use of wire-grid computer codes in the simulation of antenna characteristics and scattering phenomena in the HF band. The results show favorable agreement.</t>
  </si>
  <si>
    <t>151-158</t>
  </si>
  <si>
    <t>60026242;60026242;60026242;60026242</t>
  </si>
  <si>
    <t>7006212804;7003622841;26660930800;7003942187</t>
  </si>
  <si>
    <t>Baldwin, P. J.;Boswell, A. G.P.;Brewster, D. C.;Allwright, J. S.</t>
  </si>
  <si>
    <t>Baldwin P.J.</t>
  </si>
  <si>
    <t>Iterative calculation of ship-borne HF antenna performance</t>
  </si>
  <si>
    <t>10.1049/ip-h-2.1991.0026</t>
  </si>
  <si>
    <t>2-s2.0-0026140490</t>
  </si>
  <si>
    <t>['wiley company', 'studied parametrically', 'predicted using', 'inc .,', 'discretized approach']</t>
  </si>
  <si>
    <t>measurement | Slot antenna | theoretical analysis</t>
  </si>
  <si>
    <t>The characteristics of linearly tapered slot antennas of flare angles 5¬∞‚Äì30¬∞ were studied parametrically, and the frequency range within which they can be predicted using a discretized approach was investigated. Copyright ¬© 1991 Wiley Periodicals, Inc., A Wiley Company</t>
  </si>
  <si>
    <t>200-207</t>
  </si>
  <si>
    <t>60017161;60017161;60017161</t>
  </si>
  <si>
    <t>56002805800;7102523120;56003101900</t>
  </si>
  <si>
    <t>Kooi, P. S.;Yeo, T. S.;Leong, M. S.</t>
  </si>
  <si>
    <t>Kooi P.S.</t>
  </si>
  <si>
    <t>Parametric studies of the linearly tapered slot antenna (LTSA)</t>
  </si>
  <si>
    <t>10.1002/mop.4650040510</t>
  </si>
  <si>
    <t>2-s2.0-0026140538</t>
  </si>
  <si>
    <t>Department of Science and Technology, Ministry of Science and Technology, India</t>
  </si>
  <si>
    <t>DST</t>
  </si>
  <si>
    <t>['wire helices', 'wave structures', 'wave mode', 'wave electric', 'uniformly superior', 'spontaneous excitation', 'slowing structure', 'slotted helices', 'selective structures', 'second set', 'resonant cavities', 'relative importance', 'radial profiles', 'radial component', 'quite significant', 'preferred component', 'plasma production', 'plasma produced', 'plasma density', 'plasma chamber', 'paper presents', 'optimal use', 'nonresonant one', 'microwave power', 'microwave frequencies', 'magnetic field', 'loaded waveguide', 'large diameter', 'helical slow', 'helical coils', 'helical coil', 'helical antenna', 'heating purposes', 'fits snugly', 'field component', 'extended wave', 'experiments show', 'dominant fast', 'dipole antenna', 'detailed study', 'best feed', 'antenna region', 'also shown', 'also performed', 'acts like']</t>
  </si>
  <si>
    <t>This paper presents a detailed study on the optimal use of helical slow-wave structures (both wire and slotted) for plasma production at microwave frequencies. For this purpose a feed optimization study was undertaken in which different feed structures located within the helical coils were used for exciting the helices. Each feed structure excites a preferred component of the wave electric/magnetic field inside the helices. It is seen that the efficacy of plasma production using the different feeds depends directly on the relative importance of the field component (excited by each feed) for the slow-wave mode of the helix-loaded waveguide. The best feed for both wire and slotted helices is shown to be a dipole antenna, oriented so as to excite the radial component of the electric field within the antenna. For the wire helices, an axially oriented monopole antenna (which excites an axial electric field) is also shown to yield comparable results. In order to avoid a spontaneous excitation of the dominant fast-wave mode of the helix-loaded waveguide system preferentially, mode-selective structures (resonant or anti-resonant cavities) tuned to the slow-wave mode have been used. The experiments show that the performance of the resonant helical coils is uniformly superior to that of the nonresonant one. The plasma so produced was characterized with respect to the microwave power and magnetic field at the antenna region. A second set of experiments was also performed, where a second helical coil (in addition to the helical antenna being used for plasma production) was used. This helical coil is a long, large diameter, closely wound wire helix which fits snugly into the plasma chamber or the waveguide. Thus the plasma produced by the helical antenna now flows into this long helical transmission line which acts like an extended wave-slowing structure. This plasma (surrounded by the long helical line) is characterized once again to study the changes in the plasma parameters induced by this line. It is found that using the long helical transmission line gives some improvement in the plasma density, the bulk electron temperature, and their radial profiles. However, the improvement in the hot and intermediate electron temperatures is seen to be quite significant, which indicates the efficacy of this structure for plasma-heating purposes. ¬© 1991 IEEE</t>
  </si>
  <si>
    <t>433-444</t>
  </si>
  <si>
    <t>IEEE Transactions on Plasma Science</t>
  </si>
  <si>
    <t>60032730-122463119;60032730</t>
  </si>
  <si>
    <t>57146946800;7005587161</t>
  </si>
  <si>
    <t>Ganguli, A.;Tewari, D. P.</t>
  </si>
  <si>
    <t>India;India</t>
  </si>
  <si>
    <t>New Delhi;Anantapur</t>
  </si>
  <si>
    <t>Indian Institute of Technology Delhi;JNT University College of Engineering</t>
  </si>
  <si>
    <t>60032730;122463119</t>
  </si>
  <si>
    <t>Ganguli A.</t>
  </si>
  <si>
    <t>Studies on Microwave-Induced Plasma Production Using Helical Slow-Wave Structures</t>
  </si>
  <si>
    <t>10.1109/27.106843</t>
  </si>
  <si>
    <t>2-s2.0-0026140544</t>
  </si>
  <si>
    <t>['¬© 1991', 'using different', 'sometimes impractical', 'solution accuracies', 'similar formulations', 'significantly improve', 'rights reserved', 'representative examples', 'often resorts', 'numerical methods', 'numerical computations', 'multiple simulations', 'moment methods', 'increasingly used', 'experimental verifications', 'design results', 'design engineer', 'computational techniques', 'appropriate formulation', 'analysis methods', 'also presented']</t>
  </si>
  <si>
    <t>Computational techniques are increasingly used to model complex antenna structures and to design them, using CAD tools. The success of the designs, however, depends on the solution accuracies, and on the familiarity of the user with the analysis methods. Unfortunately, most numerical methods, such as moment methods, do not provide error limits due to the modeling of the structure or due to the numerical computations. The design engineer, therefore, often resorts to experimental verifications, which are costly and sometimes impractical. It is shown here that multiple simulations of the problem, using different but similar formulations, can overcome some of the uncertainties, without excessive computational overhead. In addition, the selection of an appropriate formulation for the problem can significantly improve the accuracy. Representative examples are included, to illustrate the benefits of using multiple solutions. A few design results are also presented. ¬© 1991, IEEE. All rights reserved.</t>
  </si>
  <si>
    <t>60009697;60009697;60010491</t>
  </si>
  <si>
    <t>8092251400;6603767490;7004922524</t>
  </si>
  <si>
    <t>Shafai, L.;Moheb, H.;Kishk, A. A.</t>
  </si>
  <si>
    <t>United States;Canada</t>
  </si>
  <si>
    <t>University;Winnipeg</t>
  </si>
  <si>
    <t>University of Mississippi;University of Manitoba</t>
  </si>
  <si>
    <t>60010491;60009697</t>
  </si>
  <si>
    <t>Shafai L.</t>
  </si>
  <si>
    <t>Multiple Formulations for Solution Verification in Numerical Handling of Antenna Analysis and Design Problems</t>
  </si>
  <si>
    <t>10.1109/74.88181</t>
  </si>
  <si>
    <t>2-s2.0-0026140574</t>
  </si>
  <si>
    <t>['two approaches', 'second dimension', 'rotman lens', 'potential uses', 'polarisation converter', 'one uses', 'one plane', 'multiport lens', 'mobile terminals', 'main beam', 'array within', 'antenna may', 'antenna consists']</t>
  </si>
  <si>
    <t>Flat-plate steerable antennas have a number of potential uses; for example, X-band satellite communications to mobile terminals and K-band DBS television reception. A flat-plate array antenna design which could be used for these applications is described. The antenna consists of a printed element face, a polarisation converter, line distribution networks and a Rotman lens. The main beam of the antenna may be slewed in one plane. The second dimension of steering is achieved by rotating the array within its own plane. Two approaches to producing the slewed main beam are given; one uses a multiport lens and the other uses a lens with a single moveable beam port.</t>
  </si>
  <si>
    <t>159-168</t>
  </si>
  <si>
    <t>60091909;60091909</t>
  </si>
  <si>
    <t>6602724184;55495914500</t>
  </si>
  <si>
    <t>Maddocks, M. C.D.;Smith, M. S.</t>
  </si>
  <si>
    <t>British Broadcasting Corporation</t>
  </si>
  <si>
    <t>Maddocks M.</t>
  </si>
  <si>
    <t>Flat-plate steerable antennas for satellite communications and broadcast reception</t>
  </si>
  <si>
    <t>10.1049/ip-h-2.1991.0027</t>
  </si>
  <si>
    <t>2-s2.0-0026140672</t>
  </si>
  <si>
    <t>['test program', 'radc c3', 'last b', 'future modifications', 'flight tests', 'determine sources', 'antenna patterns', 'airframe effects', 'air force', '1b alq', '1a airframes', '1987 identified', '161 system']</t>
  </si>
  <si>
    <t>The Air Force in 1987 identified a requirement to determine sources of and evaluate discrepancies found during flight tests of the B-1B ALQ-161 system. About the same time, RADC obtained one of the last B-1A airframes and proposed a test program to be conducted at the RADC C3 and Protective Systems Evaluation Facilities. RADC had previously made use of full size retired airframes in the evaluation of airframe effects on antenna patterns and EW system performance. This paper will chronicle the establishment of a B-1 test bed from identification of the requirement to the initial measurements program. Disassembly, modification and reassembly of the airframe will be covered. Future modifications and measurements will be previewed. ¬© 1991 IEEE</t>
  </si>
  <si>
    <t>Grudzinski, Sigmund S.</t>
  </si>
  <si>
    <t>Grudzinski S.S.</t>
  </si>
  <si>
    <t>Development of B-l Antenna Measurement Test Bed</t>
  </si>
  <si>
    <t>10.1109/62.79654</t>
  </si>
  <si>
    <t>2-s2.0-0026140994</t>
  </si>
  <si>
    <t>['two cases', 'results seem', 'offset parabola', 'focal point', 'aperture distributions']</t>
  </si>
  <si>
    <t>An investigation is conducted on the synthesis of an offset parabola with array feeds consisting of open-ended waveguides located around the focal point of the reflector. The approach is based on simulated annealing method which has been applied to analysis to two-dimensional phased arrays. Two cases of aperture distributions, uniform and Taylor with 30-dB sidelobe level, are discussed. Both results seem to be satisfactory. ¬© 1991 IEEE</t>
  </si>
  <si>
    <t>535-542</t>
  </si>
  <si>
    <t>60103680;60103680</t>
  </si>
  <si>
    <t>57206396035;55390837800</t>
  </si>
  <si>
    <t>Serizawa, Hirohide;Hongo, Kohei</t>
  </si>
  <si>
    <t>Shizuoka</t>
  </si>
  <si>
    <t>Shizuoka University</t>
  </si>
  <si>
    <t>Serizawa H.</t>
  </si>
  <si>
    <t>Synthesis of Offset Parabola with Open-Ended Waveguides Feed</t>
  </si>
  <si>
    <t>10.1109/8.81468</t>
  </si>
  <si>
    <t>2-s2.0-0026141017</t>
  </si>
  <si>
    <t>['two classes', 'interesting application', 'gaussian beams', 'focal systems']</t>
  </si>
  <si>
    <t>The existence of two classes of doublets of lenses, achromatic for Gaussian beams, are shown. An interesting application is the design of focal systems to illuminate asymmetrical reflectors. ¬© 1991 IEEE</t>
  </si>
  <si>
    <t>559-562</t>
  </si>
  <si>
    <t>60003674;60106862</t>
  </si>
  <si>
    <t>6602395003;6603193043</t>
  </si>
  <si>
    <t>Biraud, F.;Daigne, G.</t>
  </si>
  <si>
    <t>Pessac;Paris</t>
  </si>
  <si>
    <t>Observatoire Aquitain des Sciences de l'Univers, OASU;L'Observatoire de Paris</t>
  </si>
  <si>
    <t>60106862;60003674</t>
  </si>
  <si>
    <t>Biraud F.</t>
  </si>
  <si>
    <t>Achromatic Doublets for Gaussian Beams</t>
  </si>
  <si>
    <t>10.1109/8.81473</t>
  </si>
  <si>
    <t>2-s2.0-0026141392</t>
  </si>
  <si>
    <t>['window thickness', 'two interfaces', 'rectangular waveguide', 'radiating window', 'moment method', 'matrix inversion', 'matrix equations', 'feed waveguide', 'experimental values', 'excellent agreement', 'derived taking', 'boundary conditions']</t>
  </si>
  <si>
    <t>A moment method analysis of a radiating window in an infinite conducting plane excited by a rectangular waveguide is presented. The boundary conditions at the two interfaces are derived taking the effect of window thickness into account. The application of the moment method, using entire domain basis functions, transforms the integral equations representing the boundary conditions into matrix equations. The reflection coefficient seen by the feed waveguide is evaluated from amplitude coefficients determined from matrix inversion. Excellent agreement between theoretical and experimental values of complex reflection coefficient is obtained.</t>
  </si>
  <si>
    <t>142-146</t>
  </si>
  <si>
    <t>60004750;60004750;60004750</t>
  </si>
  <si>
    <t>35753097600;57202662632;57217870863</t>
  </si>
  <si>
    <t>Das, B. N.;Chakraborty, A.;Gupta, S.</t>
  </si>
  <si>
    <t>Kharagpur</t>
  </si>
  <si>
    <t>Indian Institute of Technology Kharagpur</t>
  </si>
  <si>
    <t>Das B.N.</t>
  </si>
  <si>
    <t>Analysis of waveguide-fed thick radiating rectangular windows in a ground plane</t>
  </si>
  <si>
    <t>10.1049/ip-h-2.1991.0024</t>
  </si>
  <si>
    <t>2-s2.0-0026141496</t>
  </si>
  <si>
    <t>['¬© asce', 'two parts', 'tower height', 'tower designer', 'tower configuration', 'top width', 'system relies', 'solving strategy', 'second part', 'sample session', 'problem solving', 'paper reports', 'overall configuration', 'microwave towers', 'languages used', 'knowledge acquisition', 'initial decisions', 'ibm pc', 'heuristics involved', 'geographical location', 'fundamental problem', 'first gives', 'final cost', 'etc .,', 'choose parameters', 'blackboard architecture', 'base width', 'architecture adopted']</t>
  </si>
  <si>
    <t>This paper reports the development of EXTASY‚Äîan expert system for analysis and design of microwave towers. The three inputs given to a tower designer are the tower height, its geographical location, and details about the antennae the tower is to support. Based on these inputs, the overall configuration of the tower has to be fixed by the designers. Expert designers basically rely on heuristics (acquired from experience by designing many towers) to choose parameters such as the base width, the top width, the type of bracing, spacing of the panels, etc., for the tower configuration. The final cost of the tower is sensitive to these initial decisions. These heuristics are incorporated in the form of IF-THEN-WITH rules. Knowledge acquisition for these rules is automated and the system relies on previously generated solutions for making new design decisions. A blackboard architecture is used as the fundamental problem-solving strategy. The paper is presented in two parts. The first gives an introduction to the nature of the problem, the architecture adopted for problem solving, the nature of the heuristics involved and the knowledge acquisition module. The various search strategies implemented and ‚Äúlearning‚Äù in EXTASY are described in the second part of the paper. A sample session with EXTASY is included. The system is implemented on an IBM PC-AT with MS-DOS. The languages used are PROLOG, FORTRAN and BASIC. ¬© ASCE.</t>
  </si>
  <si>
    <t>175-192</t>
  </si>
  <si>
    <t>Journal of Computing in Civil Engineering</t>
  </si>
  <si>
    <t>60022292;60022292;60022292;60022292</t>
  </si>
  <si>
    <t>6603344209;6507327055;6508021418;7005728731</t>
  </si>
  <si>
    <t>Murlidharan, T. L.;Aravind, H. B.;Suryakumar, G. V.;Raman, N. V.</t>
  </si>
  <si>
    <t>Chennai</t>
  </si>
  <si>
    <t>Structural Engineering Research Centre India</t>
  </si>
  <si>
    <t>Murlidharan T.</t>
  </si>
  <si>
    <t>Expert tower analysis and design system. I: Architecture and heuristics</t>
  </si>
  <si>
    <t>10.1061/(ASCE)0887-3801(1991)5:2(175)</t>
  </si>
  <si>
    <t>2-s2.0-0026142062</t>
  </si>
  <si>
    <t>['theoretical predictions', 'techniques aimed', 'specification required', 'several years', 'relatively modest', 'prototype 18', 'experimental results', 'affordable price']</t>
  </si>
  <si>
    <t>Phased array antennas for use with land-mobile satcom services have been under development for several years. Owing to the relatively modest- specification required of these antennas, it should be possible to produce them at an affordable price. A number of techniques aimed at minimising the cost of such arrays without significantly sacrificing performance are considered. A prototype 18-element array embodying these techniques is described, with theoretical predictions and experimental results to substantiate array performance.</t>
  </si>
  <si>
    <t>131-136</t>
  </si>
  <si>
    <t>Brennan, P. V.</t>
  </si>
  <si>
    <t>University College London</t>
  </si>
  <si>
    <t>Brennan P.</t>
  </si>
  <si>
    <t>Low cost phased array antenna for land-mobile satcom applications</t>
  </si>
  <si>
    <t>10.1049/ip-h-2.1991.0022</t>
  </si>
  <si>
    <t>2-s2.0-0026142070</t>
  </si>
  <si>
    <t>['statistical thinning', 'sidelobe gain', 'paper investigates', 'major result']</t>
  </si>
  <si>
    <t>This paper investigates the use of statistical thinning and quantized element weights to produce low sidelobe patterns using large circular array apertures. The major result of the analysis is a comparison of several thinning algorithms and the evaluation of sidelobe gain and effective radiated power data for large, but otherwise arbitrary size arrays. ¬© 1991 IEEE</t>
  </si>
  <si>
    <t>436-447</t>
  </si>
  <si>
    <t>60001247;60077755</t>
  </si>
  <si>
    <t>55951888900;57212701491</t>
  </si>
  <si>
    <t>Mailloux, Robert J.;Cohen, Edward</t>
  </si>
  <si>
    <t>Waltham;</t>
  </si>
  <si>
    <t>Arcon Corporation;Hanscom AFB</t>
  </si>
  <si>
    <t>60077755;60001247</t>
  </si>
  <si>
    <t>Mailloux R.J.</t>
  </si>
  <si>
    <t>Statistically Thinned Arrays with Quantized Element Weights</t>
  </si>
  <si>
    <t>10.1109/8.81455</t>
  </si>
  <si>
    <t>2-s2.0-0026142081</t>
  </si>
  <si>
    <t>['¬© r', 'technical conditions', 'paper describes', 'optic interferometry', 'oldenbourg verlag', 'monolithic chip', 'access port']</t>
  </si>
  <si>
    <t>Abstandsmessung | integrierte Optik | Interferometer | Wegsensor</t>
  </si>
  <si>
    <t>This paper describes the role that optical grating antennae may take in the problematics of integrated interferometric distance measurement. Integrated optic gratings represent the access port to and from the monolithic chip that performs the interference preprocessing functions. As such they allow a homogeneous and fully planar alternative to micro-optic interferometry. It is shown that the technological and technical conditions for the implementation offlat optical antennae in practical sensor systems are about to be fulfilled. ¬© R. Oldenbourg Verlag</t>
  </si>
  <si>
    <t>158-164</t>
  </si>
  <si>
    <t>JG</t>
  </si>
  <si>
    <t>Technisches Messen</t>
  </si>
  <si>
    <t>Parriaux, Olivier</t>
  </si>
  <si>
    <t>Neuchatel</t>
  </si>
  <si>
    <t>Centre Suisse d'Electronique et de Microtechnique SA</t>
  </si>
  <si>
    <t>Parriaux O.</t>
  </si>
  <si>
    <t>Integrated optic displacement interferometers and flat optical antennae</t>
  </si>
  <si>
    <t>10.1524/teme.1991.58.jg.158</t>
  </si>
  <si>
    <t>2-s2.0-0026142653</t>
  </si>
  <si>
    <t>['wiley company', 'studied near', 'standard values', 'spatial distribution', 'relationship among', 'protection standard', 'present standards', 'power density', 'plane wave', 'observation point', 'near field', 'magnetic fields', 'magnetic dipole', 'inc .,', 'far field', 'electromagnetic wave', 'electromagnetic sources', 'electromagnetic source', 'electromagnetic field', 'electric dipole', 'distance characteristics', 'conversion among']</t>
  </si>
  <si>
    <t>Standards for electromagnetic protection taking into account human health have been established in a number of countries. Most of the present standards are expressed in terms of the intensities of electric and magnetic fields or the power density of the irradiating electromagnetic field. Usually, for conversion among these quantities, the relationship in the electromagnetic field at a distance far away (far field, plane wave) is used. However, near the electromagnetic source where the electromagnetic wave is the strongest, the relationship among the forementioned quantities varies depending on the location of the observation point or the type of the source. Therefore, there are recommendations to reconsider the standard values. The purpose of this paper is to provide fundamental references for modeling the electromagnetic sources in various electromagnetic equipment to reconsider the protection standard of the near field, and to develop the electromagnetic shielding theory in the near field. In this paper, the distance characteristics and the spatial distribution of the electromagnetic wave impedance characterizing the nature of the electromagnetic wave are studied near the elementary radiating elements such as the electric dipole, magnetic dipole, half‚Äêwave dipole antenna, small current loop and small helical antenna. Copyright ¬© 1991 Wiley Periodicals, Inc., A Wiley Company</t>
  </si>
  <si>
    <t>86-95</t>
  </si>
  <si>
    <t>60006838;60006838;60032407</t>
  </si>
  <si>
    <t>55198212300;7202055791;7101945152</t>
  </si>
  <si>
    <t>Yamaguchi, Takashi;Okumura, Yoshihisa;Amemiya, Yoshifumi</t>
  </si>
  <si>
    <t>Narashino;</t>
  </si>
  <si>
    <t>Chiba Institute of Technology;Kanazawa Institute of Technology</t>
  </si>
  <si>
    <t>60032407;60006838</t>
  </si>
  <si>
    <t>Yamaguchi T.</t>
  </si>
  <si>
    <t>Wave impedance in the near field around the fundamental electromagnetic radiating elements</t>
  </si>
  <si>
    <t>10.1002/ecja.4410740409</t>
  </si>
  <si>
    <t>2-s2.0-0026142865</t>
  </si>
  <si>
    <t>['special case', 'shielding matrix', 'shielding efficiency', 'finite dimensions', 'conducting shield', 'arbitrary thickness', 'analytical computations']</t>
  </si>
  <si>
    <t>In this paper the shielding matrix for a sphere‚Äêshaped permeable and conducting shield of arbitrary thickness is derived. With the help of this result the shielding efficiency of a double shield consisting of two hollow spheres is determined. The inner hollow sphere is of finite dimensions and composed of permeable nonconducting material while the outer is conductive and stretches out to infinity. The validity of the analytical computations was checked by a comparison with a Finite‚ÄêElement (FE) Analysis for a special case. Copyright ¬© 1991 John Wiley &amp; Sons, Ltd.</t>
  </si>
  <si>
    <t>153-157</t>
  </si>
  <si>
    <t>1430144X</t>
  </si>
  <si>
    <t>European Transactions on Electrical Power</t>
  </si>
  <si>
    <t>May/June 1991</t>
  </si>
  <si>
    <t>Baum, E.</t>
  </si>
  <si>
    <t>Baum E.</t>
  </si>
  <si>
    <t>Shielding of an oscillating dipole field by permeable and conducting sphere‚Äêshaped shields</t>
  </si>
  <si>
    <t>10.1002/etep.4450010307</t>
  </si>
  <si>
    <t>2-s2.0-0026150054</t>
  </si>
  <si>
    <t>['¬© 1991', 'transistor gain', 'substantially higher', 'rights reserved', 'power radiated', 'microstrip line', 'electrical engineers', 'confirmed experimentally']</t>
  </si>
  <si>
    <t>Microstrip | Radiation | Transistors</t>
  </si>
  <si>
    <t>Closed form expressions for the field and total power radiated from a transistor in a microstrip line are given in terms of the three-port S parameters of the device. The expressions are confirmed experimentally. Power radiated can be substantially higher than that from an equivalent open circuit line with equal power incident with actual values dependent on the transistor gain. Such calculations are important in assessing the likely radiation pattern perturbation in planar active antennas. ¬© 1991, The Institution of Electrical Engineers. All rights reserved.</t>
  </si>
  <si>
    <t>986-988</t>
  </si>
  <si>
    <t>57213425197;7003982481</t>
  </si>
  <si>
    <t>Hall, P. S.;Haskins, P. M.</t>
  </si>
  <si>
    <t>Hall P.</t>
  </si>
  <si>
    <t>Radiation from transistor in microstrip line</t>
  </si>
  <si>
    <t>10.1049/el:19910615</t>
  </si>
  <si>
    <t>2-s2.0-0026151744</t>
  </si>
  <si>
    <t>['two receiver', 'tone spurious', 'system performances', 'sts products', 'sts interferences', 'radio system', 'principal causes', 'preliminary results', 'new semi', 'measured results', 'high probability', 'final computed', 'engineering model', 'computational method']</t>
  </si>
  <si>
    <t>Single-tone spurious (STS) interferences are one of the principal causes of radio system disturbances due to their high probability of occurrence. An investigation and analysis of STS interferences are presented. The resulting analysis provides a new semi-empirical computational method to obtain a list of forbidden, potentially disturbing STS frequencies for each non-desensitized receiver operating channel. A newly developed UHF/FM or FSK modulated radio communication system using two frequency converter stages is used as an example to illustrate the method's validity for improving the radio system's performance. The preliminary results of the computational program followed by the STS products and measurements on two receiver's engineering model's contribute to improve the computational method. The improved computational method considers the effects of the STS harmonic components and input power level variations on the frequency converter stages attenuation characteristics and on the receiver's system rejection ratio. The final computed and measured results are very similar to each other. Applying this improved STS frequencies list method to the initial design stages of a radio communication system can help to optimize the system performances and frequency allocation policy. ¬© 1991 IEEE</t>
  </si>
  <si>
    <t>77-89</t>
  </si>
  <si>
    <t>Gavan, Jacques</t>
  </si>
  <si>
    <t>Israel</t>
  </si>
  <si>
    <t>Tel Aviv-Yafo</t>
  </si>
  <si>
    <t>Holon Institute of Technology</t>
  </si>
  <si>
    <t>Gavan J.</t>
  </si>
  <si>
    <t>Analysis of Single-Tone Spurious Effects in Nondesensitized Radio Communication Systems</t>
  </si>
  <si>
    <t>10.1109/15.78344</t>
  </si>
  <si>
    <t>2-s2.0-0026152305</t>
  </si>
  <si>
    <t>['‚ äêlink', 'varying degree', 'quantitative evaluation', 'paper presents', 'experienced due', 'combined effects', 'behave differently']</t>
  </si>
  <si>
    <t>Co‚Äêchannel interference | Fade distribution | Mobile satellite</t>
  </si>
  <si>
    <t>In a mobile satellite system with a frequency reuse cellular configuration, significant co‚Äêchannel interference can be experienced due to the antenna side‚Äêlobe level. The signal will be subjected not only to its own fading, but also to the effect of the varying degree of fading on the co‚Äêchannel interferer, and this interference will behave differently in the up and in the down‚Äêlink. This paper presents a quantitative evaluation of the combined effects of fades and co‚Äêchannel interference on a mobile satellite link. Copyright ¬© 1991 John Wiley &amp; Sons, Ltd.</t>
  </si>
  <si>
    <t>167-170</t>
  </si>
  <si>
    <t>60032619;60032619;60032619;60032619</t>
  </si>
  <si>
    <t>6507611585;7004919589;7102314753;7006002142</t>
  </si>
  <si>
    <t>Boutin, Karl;Lecours, Michel;Pelletier, Marcel;Delisle, Gilles Y.</t>
  </si>
  <si>
    <t>Quebec</t>
  </si>
  <si>
    <t>Universit√© Laval</t>
  </si>
  <si>
    <t>Boutin K.</t>
  </si>
  <si>
    <t>Effects of fade distribution on a mobile satellite down‚Äêlink and up‚Äêlink performance in a frequency reuse cellular configuration</t>
  </si>
  <si>
    <t>10.1002/sat.4600090305</t>
  </si>
  <si>
    <t>2-s2.0-0026152445</t>
  </si>
  <si>
    <t>['variance expression', 'unresolved targets', 'target width', 'single derivation', 'simple non', 'rayleigh targets', 'rayleigh cases', 'probability distribution', 'paper presents', 'monopulse ratio', 'including noise', 'glint interpretation', 'conditional distribution', 'comprehensive diagrams', 'based upon', 'antenna position', 'analytical expressions']</t>
  </si>
  <si>
    <t>This paper presents a single derivation of the probability distribution of the monopulse ratio. The derivation is based upon a conditional distribution and considers both Rayleigh targets and simple non-Rayleigh cases. The mean is obtained almost without calculation. The variance expression is given a completely general noise + glint interpretation. Analytical expressions for angle error mean and spread, including noise, target width and unresolved targets, are presented, as functions of antenna position, in simple and comprehensive diagrams. ¬© 1991 IEEE</t>
  </si>
  <si>
    <t>520-531</t>
  </si>
  <si>
    <t>Tullsson, Bert Eric</t>
  </si>
  <si>
    <t>Tullsson B.E.</t>
  </si>
  <si>
    <t>Monopulse Tracking of Rayleigh Targets: A Simple Approach</t>
  </si>
  <si>
    <t>10.1109/7.81434</t>
  </si>
  <si>
    <t>2-s2.0-0026152530</t>
  </si>
  <si>
    <t>['substantial extent', 'slot parameters', 'rectangular waveguide', 'moments solutions', 'height waveguides', 'examined rigorously', 'broad wall', 'almost completely']</t>
  </si>
  <si>
    <t>Internal higher order mode coupling between adjacent longitudinal radiating slots cut in a broad wall of a rectangular waveguide is examined rigorously. Method of moments solutions to pertinent coupled integral equations are investigated. Higher order mode coupling effects on amplitude and phase of the aperture electric field are studied as a function of waveguide and slot parameters. It is shown that higher order mode coupling effects are accounted for, to a substantial extent in standard-height waveguides, and almost completely in reduced height waveguides, by including the TE20 mode coupling in the analysis. ¬© 1991 IEEE</t>
  </si>
  <si>
    <t>694-698</t>
  </si>
  <si>
    <t>60020975;60020975</t>
  </si>
  <si>
    <t>56219429900;7006582654</t>
  </si>
  <si>
    <t>Rengarajan, Sembiam R.;Nardi, Daniel D.</t>
  </si>
  <si>
    <t>Northridge</t>
  </si>
  <si>
    <t>California State University, Northridge</t>
  </si>
  <si>
    <t>Rengarajan S.R.</t>
  </si>
  <si>
    <t>On Internal Higher Order Mode Coupling in Slot Arrays</t>
  </si>
  <si>
    <t>10.1109/8.81506</t>
  </si>
  <si>
    <t>2-s2.0-0026153222</t>
  </si>
  <si>
    <t>Ohio State University</t>
  </si>
  <si>
    <t>OSU</t>
  </si>
  <si>
    <t>['test zone', 'operation increases', 'normally restricted', 'lowest frequency', 'linear dimension', 'larger targets', '10 x']</t>
  </si>
  <si>
    <t>Traditional range requirements are evaluated for spherical and compact range measurement systems. Based on the chamber size needed to meet these requirements, it is shown that a compact range system is more appropriate for targets three wavelengths (Œª) and larger. The commercially available compact range systems are, however, normally restricted to 10 X or larger targets. This is due to the excessive diffraction associated with presently available compact range reflectors. In this paper, it is shown that one can overcome this limitation by using a blended rolled edge compact range reflector. For example, one can use a 9 Œª √ó 9 Œª blended rolled edge reflector to measure 3 X targets at the lowest frequency of operation. As the frequency of operation increases, the test zone of the reflector approaches one-half the reflector's linear dimension, which is consistent with presently available compact range systems. ¬© 1991 IEEE</t>
  </si>
  <si>
    <t>632-638</t>
  </si>
  <si>
    <t>7102202358;7004270570</t>
  </si>
  <si>
    <t>Gupta, Inder J.;Burnside, Walter D.</t>
  </si>
  <si>
    <t>Gupta I.</t>
  </si>
  <si>
    <t>Compact Range Measurement Systems for Electrically Small Test Zones</t>
  </si>
  <si>
    <t>10.1109/8.81491</t>
  </si>
  <si>
    <t>2-s2.0-0026153223</t>
  </si>
  <si>
    <t>['¬© 1991', 'uncompensated paths', 'typically encountered', 'rights reserved', 'results show', 'performance results', 'nondiversity receivers', 'electrical engineers', 'diversity ports', 'combined use', 'antenna diversity']</t>
  </si>
  <si>
    <t>Digital communication systems | Digital transmission</t>
  </si>
  <si>
    <t>Performance results are given for the combined use of a decision feeback equaliser with antenna diversity in time dispersive Rayleigh fading channels such as those typically encountered in narrowband digital cellular mobile systems. The results show that the use of dual antenna diversity provides significant gains over nondiversity receivers with decision feedback equalisers, and that this performance is robust in the presence of uncompensated paths and correlation between the diversity ports. ¬© 1991, The Institution of Electrical Engineers. All rights reserved.</t>
  </si>
  <si>
    <t>953-955</t>
  </si>
  <si>
    <t>60013155;60013155</t>
  </si>
  <si>
    <t>7410222212;7003289875</t>
  </si>
  <si>
    <t>Liu, Y. J.;Ketchum, J.</t>
  </si>
  <si>
    <t>New York</t>
  </si>
  <si>
    <t>Verizon Communications</t>
  </si>
  <si>
    <t>Liu Y.</t>
  </si>
  <si>
    <t>Performance of antenna diversity and decision feedback equalisers in narrowband digital cellular systems</t>
  </si>
  <si>
    <t>10.1049/el:19910595</t>
  </si>
  <si>
    <t>2-s2.0-0026153349</t>
  </si>
  <si>
    <t>['wiley company', 'radiating edges', 'measured data', 'input impedance', 'inc .,', 'good agreement', 'coaxial line']</t>
  </si>
  <si>
    <t>input impedance | Microstrip antennas</t>
  </si>
  <si>
    <t>Closed‚Äêform expressions for the input impedance of half‚Äêwavelength rectangular microstrip antennas fed by a coaxial line at the center of one of the radiating edges and open‚Äêcircuited at one of the ends are derived. Good agreement between computed and measured data is obtained. Copyright ¬© 1991 Wiley Periodicals, Inc., A Wiley Company</t>
  </si>
  <si>
    <t>222-224</t>
  </si>
  <si>
    <t>100344020;100344020;100344020;100344020;100344020</t>
  </si>
  <si>
    <t>7003789742;57214417086;55834414200;7003462116;35106843800</t>
  </si>
  <si>
    <t>Deb, D.;Gupta, A.;Das, S.;Palit, D.;Bhattacharjee, A. K.</t>
  </si>
  <si>
    <t>Durgapur</t>
  </si>
  <si>
    <t>R.E. College</t>
  </si>
  <si>
    <t>Deb D.</t>
  </si>
  <si>
    <t>Empirical expressions for the input impedance of rectangular microstrip antennas</t>
  </si>
  <si>
    <t>10.1002/mop.4650040604</t>
  </si>
  <si>
    <t>2-s2.0-0026153397</t>
  </si>
  <si>
    <t>['well resolved', 'two cities', 'significant changes', 'data could', 'copyright 1991', 'central illinois', 'brightness temperatures', 'avoid contamination']</t>
  </si>
  <si>
    <t>In 1972 and again in 1989‚Äì1990 measurements of the incidental radio noise from two cities in central Illinois were made in the range 144‚Äì412 MHz by flying over in a light airplane equipped with downward looking antennas. The cities were well resolved by the antennas, so the data could be expressed as brightness temperatures. Care was taken to avoid contamination of the data by radiation from transmitters and the airplane's systems. Variation of brightness with frequency, time of day, and season of the year was determined. Comparison of the 1972 and 1989‚Äì1990 data shows no significant changes between epochs. Copyright 1991 by the American Geophysical Union.</t>
  </si>
  <si>
    <t>773-781</t>
  </si>
  <si>
    <t>6603117138;7006760191;7006435649</t>
  </si>
  <si>
    <t>Cudak, Mark C.;Swenson, George W.;Cochran, William W.</t>
  </si>
  <si>
    <t>Cudak M.</t>
  </si>
  <si>
    <t>Airborne measurements of incidental radio noise from cities</t>
  </si>
  <si>
    <t>10.1029/91RS00451</t>
  </si>
  <si>
    <t>2-s2.0-0026153479</t>
  </si>
  <si>
    <t>['specified degree', 'beamforming weights', 'avoid saturation', 'analog implementation', 'adaptive beamformer']</t>
  </si>
  <si>
    <t>We derive a closed form expression for the marginal probability density function (pdf) for the weight vector coefficients in a minimum variance distortionless response (MVDR) adaptive beamformer, when the snapshots are i.i.d. normal, and the weights are computed via sample matrix inversion. The marginal pdf allows one to determine the dynamic range required to avoid saturation (with a specified degree of probability) in digital and/or analog implementation of beamforming weights. ¬© 1991 IEEE</t>
  </si>
  <si>
    <t>1232-1235</t>
  </si>
  <si>
    <t>Steinhardt, Allan O.</t>
  </si>
  <si>
    <t>Steinhardt A.</t>
  </si>
  <si>
    <t>The PDF of Adaptive Beamforming Weights</t>
  </si>
  <si>
    <t>10.1109/78.80979</t>
  </si>
  <si>
    <t>2-s2.0-0026153941</t>
  </si>
  <si>
    <t>['weather wide', 'untasked operation', 'untasked form', 'receive modules', 'phase control', 'passive lens', 'novel space', 'mechanical distortion', 'matching networks', 'many beamwidths', 'inherently insensitive', 'first step', 'electronic scan', 'dielectric substrate', 'area surveillance', 'active transmit']</t>
  </si>
  <si>
    <t>A novel space-fed radar antenna called a ‚ÄúVenetian blind‚Äù is proposed for all-weather wide-area surveillance from space. The antenna can support both tasked and untasked operation. In its untasked form (essentially a space-fed passive lens), it achieves off-axis squint angles of many beamwidths with negligible performance degradation. It is inherently insensitive to mechanical distortion and is a first step in the evolution to the more complex tasked system antenna. The antenna lens consists of easily manufactured slats with microstrip dipole radiating elements and matching networks on a dielectric substrate. Phase control is achieved with low loss delay lines in the passive lens or active transmit/receive modules if electronic scan is desired. ¬© 1991 IEEE</t>
  </si>
  <si>
    <t>13-17</t>
  </si>
  <si>
    <t>60003537;60003537;60003537;60003537</t>
  </si>
  <si>
    <t>6603926492;7404589855;6602524193;6603925088</t>
  </si>
  <si>
    <t>Hightower, Charles H.;Wong, Sam H.;Perkons, Alfred R.;Igwe, Christian I.</t>
  </si>
  <si>
    <t>Canoga Park</t>
  </si>
  <si>
    <t>Rockwell International</t>
  </si>
  <si>
    <t>Hightower C.H.</t>
  </si>
  <si>
    <t>A Space-Fed Phased Array for Surveillance From Space</t>
  </si>
  <si>
    <t>10.1109/62.79672</t>
  </si>
  <si>
    <t>2-s2.0-0026154066</t>
  </si>
  <si>
    <t>['scattered fields', 'phase shaping', 'mirror location', 'made rapidly', 'low frequencies', 'input pattern', 'high frequencies', 'geometrical optics', 'field computations', 'efficacious use', 'defocusing loss', 'beamwaveguide antenna']</t>
  </si>
  <si>
    <t>In a geometrical optics (GO) design of a beamwaveguide antenna for operation at multiple frequency bands, it is found that the phase center location for the diffracted field pattern is not at the GO focal point at low frequencies. This results in some defocusing loss in the system if the mirror location is selected to optimize the performance at the high frequencies. Results are presented of an investigation on improvements that might be possible by changing the design of the lower frequency input pattern to the beamwaveguide. In particular, the effects of amplitude and phase shaping the input pattern have been studied with an aperture diffraction model. Accurate vector near-field computations were made rapidly by efficacious use of a spherical wave expansion of the input and scattered fields. ¬© 1991 IEEE</t>
  </si>
  <si>
    <t>687-690</t>
  </si>
  <si>
    <t>60020975;60009037;60009037</t>
  </si>
  <si>
    <t>56219429900;7003293983;7003977774</t>
  </si>
  <si>
    <t>Rengarajan, Sembiam R.;Galindo-Israel, Victor;Imbriale, William A.</t>
  </si>
  <si>
    <t>Northridge;Pasadena</t>
  </si>
  <si>
    <t>California State University, Northridge;Jet Propulsion Laboratory</t>
  </si>
  <si>
    <t>60020975;60009037</t>
  </si>
  <si>
    <t>Amplitude and Phase-Shaping Effects in Beamwaveguides</t>
  </si>
  <si>
    <t>10.1109/8.81504</t>
  </si>
  <si>
    <t>2-s2.0-0026154148</t>
  </si>
  <si>
    <t>['‚ äònear', '¬© 1991', 'rights reserved', 'power control', 'interference ratio', 'electrical engineers', 'cdma ).']</t>
  </si>
  <si>
    <t>Digital transmission | Indexing term: Radiocommunication</t>
  </si>
  <si>
    <t>Power control is used to solve the ‚Äònear-far‚Äô problem which arises in a spread spectrum system using direct sequence code-division multiple access (CDMA). A method to estimate the signal-to-interference ratio to be used for power control is proposed and the difference in the signal-to-interference ratio between the set power control threshold and the average value actually received at the antenna over a fading multipath channel is presented. ¬© 1991, The Institution of Electrical Engineers. All rights reserved.</t>
  </si>
  <si>
    <t>920-922</t>
  </si>
  <si>
    <t>60023456;60023456</t>
  </si>
  <si>
    <t>7404274924;7006783653</t>
  </si>
  <si>
    <t>Chang, L. F.;Ariyavisitakul, S.</t>
  </si>
  <si>
    <t>Piscataway</t>
  </si>
  <si>
    <t>Telcordia Technologies, Inc.</t>
  </si>
  <si>
    <t>Chang L.</t>
  </si>
  <si>
    <t>Performance of Power Control Method for Cdma Radio Communications System</t>
  </si>
  <si>
    <t>10.1049/el:19910576</t>
  </si>
  <si>
    <t>2-s2.0-0026154183</t>
  </si>
  <si>
    <t>['¬© 1991', 'successfully used', 'rights reserved', 'polarisation cross', 'novel four', 'insertion loss', 'electrical engineers', 'cylindrical cavity']</t>
  </si>
  <si>
    <t>Antennas | Waveguides</t>
  </si>
  <si>
    <t>A novel four-port waveguide crossover circuit was developed with an insertion loss of less than 0.7dB and an isolation of over 18dB. The circuit was successfully used to feed a dual-polarisation cross-slot antenna backed by a cylindrical cavity. ¬© 1991, The Institution of Electrical Engineers. All rights reserved.</t>
  </si>
  <si>
    <t>997-998</t>
  </si>
  <si>
    <t>60020547;60020547;60020547;118839799</t>
  </si>
  <si>
    <t>7404879378;56771612600;7003548524;7003488129</t>
  </si>
  <si>
    <t>Chang, K.;Li, M.;Hummer, K. A.;Speciale, R. A.</t>
  </si>
  <si>
    <t>College Station;Ontario</t>
  </si>
  <si>
    <t>Texas A&amp;M University;General Dynamics Corporation</t>
  </si>
  <si>
    <t>60020547;118839799</t>
  </si>
  <si>
    <t>Chang K.</t>
  </si>
  <si>
    <t>Low loss waveguide four-port crossover circuit and its application for cross-slot antenna feed</t>
  </si>
  <si>
    <t>10.1049/el:19910621</t>
  </si>
  <si>
    <t>2-s2.0-0026154245</t>
  </si>
  <si>
    <t>['squint angles', 'predicting formulas', 'paper characterizes', 'many applications', 'gregorian antennas', 'geometrical optics', 'free conditions', 'diffraction analysis', 'beam squint', 'accurate estimation']</t>
  </si>
  <si>
    <t>Accurate estimation on the direction and the amount of beam squint is important in many applications of modern reflector antennas. This paper characterizes the beam squint phenomenon in circularly polarized fed paraboloidal, Cassegrain, and Gregorian antennas. Geometrical optics (GO)/aperture field method is used to derive generalized squint-predicting formulas, the accuracy of which are verified by computer simulations based on diffraction analysis. From these formulas, the squint-free conditions are developed. An extension of these formulas is suggested to predict the squint angles for general multireflector antennas. ¬© 1991 IEEE</t>
  </si>
  <si>
    <t>612-619</t>
  </si>
  <si>
    <t>7007026217;56981016900</t>
  </si>
  <si>
    <t>Duan, Dah Weih;Rahmat-Sarnii, Yahya</t>
  </si>
  <si>
    <t>Duan D.W.</t>
  </si>
  <si>
    <t>Beam Squint Determination in Conic-Section Reflector Antennas with Circularly Polarized Feeds</t>
  </si>
  <si>
    <t>10.1109/8.81488</t>
  </si>
  <si>
    <t>2-s2.0-0026154620</t>
  </si>
  <si>
    <t>['specific case', 'spatially dispersed', 'spatial dispersion', 'several db', 'recent development', 'phased array', 'nine frequencies', 'mobile satellite', 'may offer', 'im products', 'im improvement', 'im ).', 'given capacity', 'frequency reuse', 'frequencies different', 'four beams', 'figure 1', 'element amplifiers', 'carriers intended', 'beam area', '12 carriers']</t>
  </si>
  <si>
    <t>In the recent development of phased array/distributed amplifier systems for application to mobile satellite or thin route communication systems, the intermodulation (IM) generated by the element amplifiers is spatially dispersed in such a way that some of the IM radiated energy falls outside the intended beam area. In addition, some of the IM falling inside the beam area has frequencies different from the carriers intended for that area. It is known that for fixed beam systems with frequency reuse, an average IM noise reduction of several dB can be realized. In the specific case under investigation, of four beams, nine frequencies and 12 carriers (1‚Äê33 frequency reuse factor), an IM improvement of about 2‚Äê0 dB is realized. The improvement in carrier‚Äêto‚ÄêIM‚Äênoise ratio can be applied to increase system capacity, or for given capacity it can be used to reduce RF power amplifier back‚Äêoff, which can be translated into a reduction of spacecraft prime power requirement. The considerable advantage gained from the multiple beam distributed amplifier approach makes it worthwhile to explore the workings of such a system and other benefits it may offer. One of the benefits is a common RF power pool for all carriers and beams, and the other is the spatial dispersion of intermodulation (IM). A satellite multiple beam pattern and the spatial dispersion of IM products are shown in Figure 1. Copyright ¬© 1991 John Wiley &amp; Sons, Ltd.</t>
  </si>
  <si>
    <t>155-165</t>
  </si>
  <si>
    <t>60005304;60005304</t>
  </si>
  <si>
    <t>7004942669;7004117041</t>
  </si>
  <si>
    <t>Johannsen, K. G.;Hintze, J.</t>
  </si>
  <si>
    <t>Waltham</t>
  </si>
  <si>
    <t>Raytheon</t>
  </si>
  <si>
    <t>Johannsen K.</t>
  </si>
  <si>
    <t>Intermodulation in multiple fixed beam distributed amplifier phased array antenna systems</t>
  </si>
  <si>
    <t>10.1002/sat.4600090304</t>
  </si>
  <si>
    <t>2-s2.0-0026154636</t>
  </si>
  <si>
    <t>Ministry of Education, Culture, Sports, Science and Technology</t>
  </si>
  <si>
    <t>Monbusho</t>
  </si>
  <si>
    <t>['wave radiation', 'thickness even', 'studied using', 'spatial distributions', 'sheet beam', 'good agreement', 'finely focused', 'fine focusing', 'dimensional ellipso', 'beam power', '100 kw', '10 mm']</t>
  </si>
  <si>
    <t>The focusing of millimeter-wave radiation from a high power 60 GHz gyrotron is studied using a two-dimensional ellipso-parabolic focusing antenna system. Fine focusing with an elliptic reflector gives a sheet beam of about 10 mm in thickness even at a high power input of about 100 kW. The addition of a parabolic reflector produces a finely focused and nearly Gaussian beam of about 10 mm in diameter with an energy density higher than lOOkWcm-2. Spatial distributions of beam power are compared with calculations and good agreement is obtained. ¬© 1991 Taylor and Francis, Ltd.</t>
  </si>
  <si>
    <t>979-988</t>
  </si>
  <si>
    <t>60024322;60023147;60011001;60010848;60025709</t>
  </si>
  <si>
    <t>55860753000;7202475139;56293616300;10242269300;56431290800</t>
  </si>
  <si>
    <t>Miyake, Shoji;Wada, Osami;Nakajima, Masamitsu;Idehara, Toshitaka;Brand, G. F.</t>
  </si>
  <si>
    <t>Australia;Japan;Japan;Japan;Japan</t>
  </si>
  <si>
    <t>Sydney;Suita;Okayama;Kyoto;Fukui</t>
  </si>
  <si>
    <t>The University of Sydney;Osaka University;Okayama University;Kyoto University;University of Fukui</t>
  </si>
  <si>
    <t>60025709;60024322;60023147;60011001;60010848</t>
  </si>
  <si>
    <t>Focusing of high power millimeter-wave radiation by a quasi-optical antenna system</t>
  </si>
  <si>
    <t>10.1080/00207219108921342</t>
  </si>
  <si>
    <t>2-s2.0-0026155003</t>
  </si>
  <si>
    <t>Defense Advanced Research Projects Agency</t>
  </si>
  <si>
    <t>DARPA</t>
  </si>
  <si>
    <t>['rf signal', 'polarization self', 'polarization modulation', 'microwave applications', 'inherent simplicity', 'experimental investigations', 'advantageous technique']</t>
  </si>
  <si>
    <t>Polarization modulation is proposed as an advantageous technique for optical-microwave applications in phased array antennas, for it provides an inherent simplicity in producing continuously variable phase shifts in the RF signal. Experimental investigations with the polarization self-modulated laser demonstrate great potential for performing this task. ¬© 1991 IEEE</t>
  </si>
  <si>
    <t>478-480</t>
  </si>
  <si>
    <t>7102037451;14621199600</t>
  </si>
  <si>
    <t>Loh, W. H.;Tang, C. L.</t>
  </si>
  <si>
    <t>Loh W.H.</t>
  </si>
  <si>
    <t>Polarization Modulation for Optical-Microwave Applications in Phased Array Antennas</t>
  </si>
  <si>
    <t>10.1109/68.93885</t>
  </si>
  <si>
    <t>2-s2.0-0026155021</t>
  </si>
  <si>
    <t>['terrain effects', 'site reflections', 'reduced susceptibility', 'operational installation', 'multiplate model', 'model versatile', 'mls ),', 'landing guidance', 'innovative techniques', 'expanded coverage', 'disturbing effects', 'beginning phase', 'approach combines', 'antenna array', 'accurate formulation']</t>
  </si>
  <si>
    <t>The microwave landing system (MLS), which is at the beginning phase of operational installation, is a response to the need for greater traffic handling capacity, accuracy and versatility of landing guidance, and reduced susceptibility to disturbing effects of site reflections. However, the expanded coverage and increased accuracy requirements make the MLS more susceptible to the features of the site in which they are located. A powerful analytical approach is presented for evaluating the terrain effects on MLS. The approach combines a multiplate model with a powerful and exhaustive ray tracing technique and an accurate formulation for estimating the electromagnetic fields due to the antenna array in the presence of terrain. Innovative techniques are introduced at each stage to make the model versatile to handle most general terrain contours and also to reduce computational requirements to a minimum. The model is applied to several terrain geometries and the results are discussed. ¬© 1991 IEEE</t>
  </si>
  <si>
    <t>540-549</t>
  </si>
  <si>
    <t>Poulose, M. M.</t>
  </si>
  <si>
    <t>Poulose M.M.</t>
  </si>
  <si>
    <t>Terrain Modeling for Microwave Landing System</t>
  </si>
  <si>
    <t>10.1109/7.81436</t>
  </si>
  <si>
    <t>2-s2.0-0026155251</t>
  </si>
  <si>
    <t>['temperature distribution', 'temperature air', 'single antennas', 'significantly improve', 'radial uniformity', 'ohmic heating', 'microwave antennas', 'maintain uniformity', 'flow rate', 'ends accessible', 'cooling rate', 'cm length', 'antenna feedline', 'air passing', 'air entering', '10 l', '1 w']</t>
  </si>
  <si>
    <t>Microwave antennas are inserted through brachytherapy catheters implanted in a tumor to deliver interstitial hyperthermia cancer therapy. Theoretical calculations show that a cooling rate on the order of 0.1 W/cm length of catheter will significantly improve the radial uniformity of the temperature distribution of single antennas or arrays. Experiments and theoretical calculations show that air passing through the annulus between the antenna and the catheter at 10 L/min or less will produce such a cooling rate in a 2.2-mm OD catheter that has both ends accessible. To maintain uniformity of cooling rate along the catheter, it is better to control the cooling rate by preheating the air entering the catheter to 30-40¬∞C than it is to control the flow rate of room-temperature air. Ohmic heating of the antenna feedline does not confound the air cooling action significantly. ¬© 1991 IEEE</t>
  </si>
  <si>
    <t>450-460</t>
  </si>
  <si>
    <t>60018123;60030443;60030443</t>
  </si>
  <si>
    <t>6508250670;7003830659;35613554200</t>
  </si>
  <si>
    <t>Eppert, Volker;Trembly, B. Stuart;Richter, Horst J.</t>
  </si>
  <si>
    <t>United States;Germany</t>
  </si>
  <si>
    <t>Hanover;Kassel</t>
  </si>
  <si>
    <t>Thayer School of Engineering at Dartmouth;Universit√§t Kassel</t>
  </si>
  <si>
    <t>60030443;60018123</t>
  </si>
  <si>
    <t>Eppert V.</t>
  </si>
  <si>
    <t>Air Cooling for an Interstitial Microwave Hyperthermia Antenna: Theory and Experiment</t>
  </si>
  <si>
    <t>10.1109/10.81564</t>
  </si>
  <si>
    <t>2-s2.0-0026155444</t>
  </si>
  <si>
    <t>['¬© 1991', 'rights reserved', 'output ports', 'oscillator consists', 'alternative approaches', 'active arrays', '6 ghz']</t>
  </si>
  <si>
    <t>Investigations of two-port FET oscillators and their use in active arrays for spatial power combining are reported. The oscillator consists of a single FET amplifier with a microstrip coupler providing feedback, thereby creating distinct input and output ports. This type of oscillator exhibits increased locking bandwidth over alternative approaches. Results are given for a five element linear array operating at 6 GHz. ¬© 1991, IEEE. All rights reserved.</t>
  </si>
  <si>
    <t>112-113</t>
  </si>
  <si>
    <t>IEEE Microwave and Guided Wave Letters</t>
  </si>
  <si>
    <t>60013372;60027550</t>
  </si>
  <si>
    <t>7005227226;36041035600</t>
  </si>
  <si>
    <t>Birkeland, Joel;Itoh, Tatsuo</t>
  </si>
  <si>
    <t>Los Angeles;Austin</t>
  </si>
  <si>
    <t>University of California, Los Angeles;The University of Texas at Austin</t>
  </si>
  <si>
    <t>60027550;60013372</t>
  </si>
  <si>
    <t>Birkeland J.</t>
  </si>
  <si>
    <t>Two-Port FET Oscillators with Applications to Active Arrays</t>
  </si>
  <si>
    <t>10.1109/75.89080</t>
  </si>
  <si>
    <t>2-s2.0-0026155696</t>
  </si>
  <si>
    <t>['two models', 'rao bound', 'one quarter', 'one half', 'low snr', 'large number', 'joint crb', 'high snr', 'array structure']</t>
  </si>
  <si>
    <t>We present explicit expressions of the Cramer-Rao bound (CRB) for estimating the two-dimensional (2-D) direction of single source based on a 2-D array of identical omnidirectional sensors. The two often used models, random wave model and unknown wave model, are compared. It is shown that the CRB's for the two models have the same dependency on the array structure. A specialization of the CRB for two orthogonal uniform linear arrays (ULA's) is discussed. It is found that the joint CRB's of the direction angles based on the two orthogonal ULA's can be as low as one quarter (for the random wave model with large number of snapshots and low SNR) or one half (for both models with high SNR) of the CRB's based on each ULA. ¬© 1991 IEEE</t>
  </si>
  <si>
    <t>1215-1218</t>
  </si>
  <si>
    <t>60026553;60030551</t>
  </si>
  <si>
    <t>7203055132;55650323300</t>
  </si>
  <si>
    <t>Hua, Yingbo;Sarkar, Tapan K.</t>
  </si>
  <si>
    <t>A Note on the Cramer-Rao Bound for 2-D Direction Finding Based on 2-D Array</t>
  </si>
  <si>
    <t>10.1109/78.80958</t>
  </si>
  <si>
    <t>2-s2.0-0026155710</t>
  </si>
  <si>
    <t>['prototype sensor', 'paper describes', 'measured front', 'many applications', 'initial development', 'extrapolation issues', 'directional sensor', 'balanced transmission', 'back ratios', 'back ratio', '29 db']</t>
  </si>
  <si>
    <t>This paper describes the initial development of the balanced transmission-line wave sensor. This sensor is being developed to address the need for a directional sensor when dealing with extrapolation issues at hybrid EMP simulators. A prototype sensor was designed and tested. It provided good performance with measured front/back ratios between 20 and 29 dB. This may be adequate for many applications. There are, however, many variables left to explore, and it may be possible to improve the front/back ratio with further work. ¬© 1991 IEEE</t>
  </si>
  <si>
    <t>105-112</t>
  </si>
  <si>
    <t>6603844288;7004092579</t>
  </si>
  <si>
    <t>Farr, Everett G.;Hofstra, Joseph S.</t>
  </si>
  <si>
    <t>Farr E.</t>
  </si>
  <si>
    <t>An Incident Field Sensor for EMP Measurements</t>
  </si>
  <si>
    <t>10.1109/15.78347</t>
  </si>
  <si>
    <t>2-s2.0-0026155812</t>
  </si>
  <si>
    <t>['thin circular', 'fields calculated', 'emp simulators', 'elliptical loops', 'broadband behavior', 'approximate solutions']</t>
  </si>
  <si>
    <t>Approximate solutions for the current of thin circular and elliptical loops have been determined, based on an asymptotic antenna theory. The fields at and around the center have been calculated to illustrate the broadband behavior of these structures when used as EMP simulators. A comparison is presented between fields calculated with this approach and those measured in an actual EMP simulator. ¬© 1991 IEEE</t>
  </si>
  <si>
    <t>97-104</t>
  </si>
  <si>
    <t>60028156;60028156</t>
  </si>
  <si>
    <t>57213070608;7403449886</t>
  </si>
  <si>
    <t>Zuffada, Cinzia;Yang, Fang Chou</t>
  </si>
  <si>
    <t>Bloomfield</t>
  </si>
  <si>
    <t>Kaman Aerospace Corporation</t>
  </si>
  <si>
    <t>Zuffada C.</t>
  </si>
  <si>
    <t>Currents and Fields of Thin Circular and Elliptical Loops</t>
  </si>
  <si>
    <t>10.1109/15.78346</t>
  </si>
  <si>
    <t>2-s2.0-0026155824</t>
  </si>
  <si>
    <t>['¬© 1990', 'third type', 'surface charging', 'spacecraft charging', 'second type', 'rights reserved', 'one type', 'occurrence frequency', 'local time', 'induced anomalies', 'experienced environment', 'buried charging', 'anomaly occurring', 'american institute', '4 spacecraft', '3 ),']</t>
  </si>
  <si>
    <t>The Tracking and Data Relay Satellites TDRS-A (F-l), TDRS-C (F-3), and TDRS-D (F-4) have all experienced environment-induced anomalies. These anomalies were determined to be related to spacecraft charging based on their occurrence frequency, distribution in local time, and the environment at the time of the anomalies. One type of anomaly occurring in F-l is believed to be the result of buried charging with shadowing from the spacecraft‚Äôs antennas being the discharge trigger mechanism. The circuitry in the F-3 and F-4 spacecraft were modified to make them immune to this type of anomaly. However, F-3 and then F-4 both suffered a second type of anomaly also attributed to buried charging effects. In addition, F-l and F-3 have experienced a third type of anomaly that appears to be associated with surface charging. These anomalies, the local plasma environment, and their relationship to spacecraft charging are discussed. ¬© 1990 by the American Institute of Aeronautics and Astronautics, Inc. All rights reserved.</t>
  </si>
  <si>
    <t>324-329</t>
  </si>
  <si>
    <t>101015885-60004541;60009037;60009037</t>
  </si>
  <si>
    <t>6508114667;7005089070;55900200000</t>
  </si>
  <si>
    <t>Daughtridge, S.;Garrett, H. B.;Whittlesey, A.</t>
  </si>
  <si>
    <t>Pasadena;Washington, D.C.;Chantilly</t>
  </si>
  <si>
    <t>Jet Propulsion Laboratory;INTELSAT;Contel Federal Systems</t>
  </si>
  <si>
    <t>60009037;60004541;101015885</t>
  </si>
  <si>
    <t>Daughtridge S.</t>
  </si>
  <si>
    <t>Environment-induced anomalies on the TDRS and the role of spacecraft charging</t>
  </si>
  <si>
    <t>10.2514/3.26247</t>
  </si>
  <si>
    <t>2-s2.0-0026155899</t>
  </si>
  <si>
    <t>['suitable definition', 'specified current', 'general expression', 'effective length']</t>
  </si>
  <si>
    <t>A suitable definition for the vector effective length of an arbitrary slot receiving antenna placed in a large conducting plane is presented and a general formula obtained for its derviation. The relationship of this effective length to that for a flat strip wire antenna driven by a specified current is obtained. Formulas for the length of some specific common slot antennas are derived from the general expression. The current sampling property of a small straight slot is discussed. ¬© 1991 IEEE</t>
  </si>
  <si>
    <t>705-709</t>
  </si>
  <si>
    <t>Wunsch, A. David</t>
  </si>
  <si>
    <t>Lowell</t>
  </si>
  <si>
    <t>University of Massachusetts Lowell</t>
  </si>
  <si>
    <t>Wunsch A.D.</t>
  </si>
  <si>
    <t>The Vector Effective Length of Slot Antennas</t>
  </si>
  <si>
    <t>10.1109/8.81509</t>
  </si>
  <si>
    <t>2-s2.0-0026156105</t>
  </si>
  <si>
    <t>['waveguide simulator', 'vertical wires', 'unit cell', 'theoretical model', 'theoretical method', 'theoretical computation', 'radiation impedances', 'radiation characteristics', 'numerical examples', 'measured data', 'making use', 'horizontal dipoles', 'ground plane', 'general trend', 'floquet modes', 'dipole array', 'current distributions', 'coupling effects']</t>
  </si>
  <si>
    <t>A theoretical method is presented to analyze the radiation characteristics of an infinite phased array of horizontal dipoles in the presence of adjacent vertical wires protruding out of the ground plane. Green's functions for vertical and horizontal Œ¥-sources in a unit cell are derived in terms of Floquet modes. By superposition of the Green's functions, the E- and H-fields in a unit cell are obtained. The current distributions and the input radiation impedances of the dipole array are obtained by making use of the method of moments. Numerical examples are given to show the coupling effects. Measurements of the radiation impedances in a waveguide simulator with and without the coupling effects due to the vertical wires have also been conducted to verify the theoretical model. The general trend of measured data has been predicted quite well by the theoretical computation. ¬© 1991 IEEE</t>
  </si>
  <si>
    <t>591-599</t>
  </si>
  <si>
    <t>7501503817;7102122144</t>
  </si>
  <si>
    <t>Lee, Kuan Min;Chu, Ruey Shi</t>
  </si>
  <si>
    <t>Lee K.</t>
  </si>
  <si>
    <t>ANalysis of Mutual Coupling Between an Infinite Phased Array of Horizontal Dipoles and Vertical Wires</t>
  </si>
  <si>
    <t>10.1109/8.81485</t>
  </si>
  <si>
    <t>2-s2.0-0026156106</t>
  </si>
  <si>
    <t>['wiley company', 'sidelobe level', 'radiation patterns', 'radiation pattern', 'modified horns', 'method whereby', 'measured results', 'inc .,', 'horn antenna']</t>
  </si>
  <si>
    <t>concave edge | Horn antenna | suppressed sidelobes</t>
  </si>
  <si>
    <t>A method whereby the sidelobe level of the radiation pattern of a horn antenna can be reduced is proposed. The sidelobes are reduced by curving the edges in the aperture of the antenna. Radiation patterns of regular and modified horns were calculated with GTD and compared with measured results. Copyright ¬© 1991 Wiley Periodicals, Inc., A Wiley Company</t>
  </si>
  <si>
    <t>238-239</t>
  </si>
  <si>
    <t>60021902;60021902</t>
  </si>
  <si>
    <t>7004459157;7004219095</t>
  </si>
  <si>
    <t>Odendaal, J. W.;Pistorius, C. W.I.</t>
  </si>
  <si>
    <t>South Africa</t>
  </si>
  <si>
    <t>Pretoria</t>
  </si>
  <si>
    <t>University of Pretoria</t>
  </si>
  <si>
    <t>Odendaal J.</t>
  </si>
  <si>
    <t>Horn antenna with suppressed sidelobe level</t>
  </si>
  <si>
    <t>10.1002/mop.4650040610</t>
  </si>
  <si>
    <t>2-s2.0-0026156124</t>
  </si>
  <si>
    <t>['radiation pattern', 'ndal scattering', 'dielectric structures', 'composite structures', 'basis functions']</t>
  </si>
  <si>
    <t>Radiation pattern and input impedance measurements for a rectangular microstrip patch are used to establish the accuracy of a general moment method approach. The approach uses two-dimensional (2-D) rooftop basis functions to model arbitrarily shaped, three-dimensional (3-D) composite, conductor-dielectric structures. The numerical results show agreement with the measurements. However, both the experimental and theoretical results show considerable differences when compared with previously published analysis using pulse-basis functions. These differences and others that are pointed out cast serious doubts on the validity of using pulse basis functions to ndal scattering of radiation from composite structures. ¬© 1991 IEEE</t>
  </si>
  <si>
    <t>690-694</t>
  </si>
  <si>
    <t>60007776;60007776-60017366</t>
  </si>
  <si>
    <t>7103208478;7202478023</t>
  </si>
  <si>
    <t>York, Robert A.;Compton, Richard C.</t>
  </si>
  <si>
    <t>Yorktown Heights;Ithaca</t>
  </si>
  <si>
    <t>IBM Thomas J. Watson Research Center;Cornell University</t>
  </si>
  <si>
    <t>60017366;60007776</t>
  </si>
  <si>
    <t>York R.</t>
  </si>
  <si>
    <t>Experimental Verification of the 2-D Rooftop Approach for Modeling Microstrip Patch Antennas</t>
  </si>
  <si>
    <t>10.1109/8.81505</t>
  </si>
  <si>
    <t>2-s2.0-0026156372</t>
  </si>
  <si>
    <t>['wave scattering', 'numerical results', 'ground plane', 'backed slit', 'arbitrary shape', 'admittance matrix']</t>
  </si>
  <si>
    <t>Two-dimensional transverse magnetic (TM) wave scattering from a cavity-backed slit in a ground plane is analyzed by Harrington and Mautz's generalized network formulation. The admittance matrix of the cavity of arbitrary shape and medium is obtained by the finite element method. The computed admittance matrix, added to the radiation admittance matrix of the equivalent magnetic current on a ground plane, is used to solve for the equivalent magnetic current on the slit. Numerical results for coated staggered cavities are included. ¬© 1991 IEEE</t>
  </si>
  <si>
    <t>661-663</t>
  </si>
  <si>
    <t>60000745;60005429</t>
  </si>
  <si>
    <t>26023218700;7102465090</t>
  </si>
  <si>
    <t>Jeng, Shyh Kang;Tzeng, San Tan</t>
  </si>
  <si>
    <t>Taiwan;United States</t>
  </si>
  <si>
    <t>Taipei;Urbana</t>
  </si>
  <si>
    <t>National Taiwan University;University of Illinois Urbana-Champaign</t>
  </si>
  <si>
    <t>60005429;60000745</t>
  </si>
  <si>
    <t>Jeng S.</t>
  </si>
  <si>
    <t>Scattering from a Cavity-Backed Slit in a Ground Plane‚ÄîTM Case</t>
  </si>
  <si>
    <t>10.1109/8.81496</t>
  </si>
  <si>
    <t>2-s2.0-0026156373</t>
  </si>
  <si>
    <t>['untruncated patterns', 'truncation point', 'spherical surfaces', 'spherical surface', 'radial distance', 'patterns obtained', 'pattern level', 'numerically generate', 'field data', 'electromagnetic field', 'azimuthally independent', 'antenna parameters']</t>
  </si>
  <si>
    <t>The electromagnetic field radiated by paraboloidal and hyperboloidal reflector antennas excited by an azimuthally independent, linearly polarized source is considered. The electromagnetic field is sampled on a spherical surface in order to numerically generate a set of spherical wave mode coefficients which, in turn, are used to compute antenna patterns. Patterns are produced in the near- and far-field regions based on both full and partial, or truncated, near- and far-field data as a function of the antenna parameters and the truncation angle location. The similarity of the patterns obtained from truncated field data to the untruncated patterns is found to depend on the pattern level at the truncation point, the location of the truncation point, the antenna parameters, and the radial distance between the spherical surfaces on which the electromagnetic field is sampled and produced. ¬© 1991 IEEE</t>
  </si>
  <si>
    <t>639-644</t>
  </si>
  <si>
    <t>60027550;60020975</t>
  </si>
  <si>
    <t>6604057106;56219429900</t>
  </si>
  <si>
    <t>Yaccarino, Robert G.;Rengarajan, Sembiam R.</t>
  </si>
  <si>
    <t>Los Angeles;Northridge</t>
  </si>
  <si>
    <t>University of California, Los Angeles;California State University, Northridge</t>
  </si>
  <si>
    <t>Yaccarino R.G.</t>
  </si>
  <si>
    <t>Application of Spherical Wave Expansions to Reflector Antennas Using Truncated Field Data</t>
  </si>
  <si>
    <t>10.1109/8.81492</t>
  </si>
  <si>
    <t>2-s2.0-0026156863</t>
  </si>
  <si>
    <t>['wiley company', 'percentage shift', 'patch antenna', 'input impedance', 'inc .,', 'experimental investigations', 'also presented', 'also indicated', '2 v']</t>
  </si>
  <si>
    <t>bandwidth | electromagnetically coupled | input impedance | Microstrip antenna</t>
  </si>
  <si>
    <t>The results of some experimental investigations on electromagnetically coupled microstrip antennas on two‚Äêlayer substrates are reported in this article. The variation of input impedance of electromagnetically coupled square and circular microstrip patches, with the degree of overlapping between the patch and feedline, is studied. Also presented is the percentage shift of resonance frequency due to the change of this overlapping. A method of increasing the 1:2 V.S.W.R. bandwidth of the patch antenna is also indicated. Copyright ¬© 1991 Wiley Periodicals, Inc., A Wiley Company</t>
  </si>
  <si>
    <t>236-238</t>
  </si>
  <si>
    <t>60020825;60020825;60020825;60020825;60020825</t>
  </si>
  <si>
    <t>7202869307;7402758768;57191005473;6701556104;7201666265</t>
  </si>
  <si>
    <t>Roy, J. S.;Shaw, S. K.;Paul, P.;Poddar, D. R.;Chowdhury, S. K.</t>
  </si>
  <si>
    <t>Roy J.</t>
  </si>
  <si>
    <t>Some experimental investigations on electromagnetically coupled microstrip antennas on two‚Äêlayer substrates</t>
  </si>
  <si>
    <t>10.1002/mop.4650040609</t>
  </si>
  <si>
    <t>2-s2.0-0026156980</t>
  </si>
  <si>
    <t>['¬© 1991', 'two regimes', 'strong enhancement', 'solid beryllium', 'point discharge', 'point configuration', 'persist well', 'pep regime', 'pellet injection', 'pellet discharges', 'null x', 'novel system', 'mode phase', 'ion temperatures', 'important issue', 'fusion reactivity', 'enhanced performance', 'electron temperatures', 'coupling resistance', 'central ion', '9 mw', '5 mw', '3s kev', '15 v', '10 kev', '1 surface']</t>
  </si>
  <si>
    <t>The combination of two regimes of enhanced performance, the H-mode and the pellet enhanced performance (PEP) mode, has been achieved in JET. The strong enhancement of the central plasma parameters, obtained with pellet injection and subsequent auxiliary heating, is found to persist well into the H-mode phase. A characteristic of the PEP regime is that an improvement of the fusion reactivity over non-pellet discharges is obtained under the condition of nearly equal electron and ion temperatures. A maximum neutron production rate of 0.95 √ó 10l6 s-1 was obtained in a double-null X-point discharge with 2.5 MW of neutral beam heating and 9 MW of ion cyclotron resonance heating, with central ion and electron temperatures of about 10 keV and a central deuterium density of 8.0 √ó 1019 m-3. The corresponding fusion product nD(0)œÑETi(0) is between 7.0 and 8.6 √ó 1020 m-3s keV. The enhanced neutron production is predominantly of thermonuclear (Maxwellian) origin. The compatibility of these regimes is an important issue in the context of tokamak ignition strategies. Several technical developments on JET have played a role in the achievement of this result: (1) the use of low voltage plasma breakdown (0.15 V/m) to permit pellet injection in an X-point configuration before the formation of a q = 1 surface; (2) the elimination of ICRH specific impurities with antenna Faraday screens made of solid beryllium; (3) the use of a novel system of plasma radial position control that stabilizes the coupling resistance of the ion cyclotron heating system. ¬© 1991, IOP publishing Ltd.</t>
  </si>
  <si>
    <t>839-850</t>
  </si>
  <si>
    <t>60018020;60018020;60018020;60018020;60018020;60018020;60018020;60018020;60018020;60018020;60018020;60018020;60018020;60018020;60018020;60018020;60018020;60018020;60018020;60018020;60018020;60018020;60018020</t>
  </si>
  <si>
    <t>6701379838;6603724199;7202591076;7004163618;22991444600;7201801766;7006674222;7004524370;7004241518;57200265110;7005524697;57213115516;6701608996;7103032460;6602927351;7101741406;16220031800;7004221273;7005152182;7003994552;6505844351;6603893101;6506326812</t>
  </si>
  <si>
    <t>Tubbing, B. J.D.;Balet, B.;Bartlett, D. V.;Challis, C. D.;Corti, S.;Gill, R. D.;Gormezano, C.;Gowers, C. W.;Von Hellermann, M.;Hugon, M.;Jacquinot, J. J.;Jaeckel, H.;Kupschus, P.;Lawson, K.;Morsi, H.;O'rourke, J.;Pasini, D.;Rimini, F. G.;Sadler, G.;Start, D. F.H.;Stubberfield, P. M.;Tanga, A.;Tibone, F.</t>
  </si>
  <si>
    <t>Princeton</t>
  </si>
  <si>
    <t>Princeton Plasma Physics Laboratory</t>
  </si>
  <si>
    <t>Tubbing B.</t>
  </si>
  <si>
    <t>H-mode confinement in jet with enhanced performance by pellet peaked density profiles</t>
  </si>
  <si>
    <t>10.1088/0029-5515/31/5/003</t>
  </si>
  <si>
    <t>2-s2.0-0026157166</t>
  </si>
  <si>
    <t>['perfect electric', 'original body', 'material parameters', 'magnetic currents', 'image theory', 'developed using', 'chirality admittance', 'chiral body']</t>
  </si>
  <si>
    <t>Image theory for a chiral body over a perfect electric or magnetic conducting ground plane is developed using the chiral volume equivalence theorem and conventional image theory for electric and magnetic currents. The image of the chiral body is shown to have the same material parameters as the original body, except that the chirality admittance of the image is the negative of the original. ¬© 1991 IEEE</t>
  </si>
  <si>
    <t>676-677</t>
  </si>
  <si>
    <t>6602488511;7203066664</t>
  </si>
  <si>
    <t>Kluskens, Michael S.;Newman, Edward</t>
  </si>
  <si>
    <t>Kluskens M.</t>
  </si>
  <si>
    <t>Image Theory for Chiral Bodies</t>
  </si>
  <si>
    <t>10.1109/8.81500</t>
  </si>
  <si>
    <t>2-s2.0-0026157483</t>
  </si>
  <si>
    <t>['spectral domain', 'solved using', 'scattered power', 'results include', 'resulting equation', 'one dimension', 'mm ).', 'inner products', 'function formulation', 'free space', 'dimensional array', 'computer code', 'basis functions', 'analysis uses', 'acceleration techniques']</t>
  </si>
  <si>
    <t>The results are presented of an analysis of finite frequency selective surfaces (FSS's) with patches of various aspect ratios, using two types of basis functions. The FSS studied consists of a two-dimensional array, finite in one dimension and infinite in the other, of perfectly electrically conducting plates in free space. The analysis uses a Green's function formulation in the spectral domain and the resulting equation is solved using the method of moments (MM). To solve this equation, acceleration techniques were used to speed the evaluation of the inner products and the computer code was optimized for speed. Results are presented for a 0.1 aspect ratio patch arranged in a square lattice using both types of basis functions. These results include the currents on the patches, the scattered power density pattern, and the average power density of the scattered power as a function of frequency. Results showing 3 dB bandwidth, resonance peak versus frequency, and scattered power versus frequency are plotted for patches with aspect ratios varying from 0.1 to 1. ¬© 1991 IEEE</t>
  </si>
  <si>
    <t>569-575</t>
  </si>
  <si>
    <t>60020304-60009254</t>
  </si>
  <si>
    <t>Grounds, Preston W.</t>
  </si>
  <si>
    <t>College Park;West Lafayette</t>
  </si>
  <si>
    <t>University of Maryland, College Park;Purdue University</t>
  </si>
  <si>
    <t>60020304;60009254</t>
  </si>
  <si>
    <t>Grounds P.W.</t>
  </si>
  <si>
    <t>Numerical Analysis of Finite Frequency Selective Surfaces with Rectangular Patches of Various Aspect Ratios</t>
  </si>
  <si>
    <t>10.1109/8.81482</t>
  </si>
  <si>
    <t>2-s2.0-0026157484</t>
  </si>
  <si>
    <t>U.S. Navy</t>
  </si>
  <si>
    <t>F- 19628-85-G-002</t>
  </si>
  <si>
    <t>USN</t>
  </si>
  <si>
    <t>['strongly driven', 'programmable modules', 'paper describes', 'highly modular', 'extremely flexible', 'easily expanded', 'different number', '60 db']</t>
  </si>
  <si>
    <t>This paper describes a digital beamforming processor for an adaptive array radar. Both the functionality and the architecture of the processor are strongly driven by a goal of achieving adap tive null depths in the 60 dB to 70 dB range. The processor is highly modular, and the adaptive beamforming algorithm are implemented with programmable modules. As a result, the processor is extremely flexible. It can be easily expanded to a different number of channels, and can also be reconfigured to implement other adaptive array architectures. ¬© 1991 IEEE</t>
  </si>
  <si>
    <t>18-22</t>
  </si>
  <si>
    <t>Teitelbaum, Kenneth</t>
  </si>
  <si>
    <t>Teitelbaum K.</t>
  </si>
  <si>
    <t>A Flexible Processor for a Digital Adaptive Array Radar</t>
  </si>
  <si>
    <t>10.1109/62.79673</t>
  </si>
  <si>
    <t>2-s2.0-0026157486</t>
  </si>
  <si>
    <t>['wide range', 'simulation study', 'rao bound', 'provides insight', 'paper presents', 'many methods', 'large number', 'estimation error', 'asymptotic variance', 'asymptotic relations', 'asymptotic properties', 'asymptotic distribution', 'array data']</t>
  </si>
  <si>
    <t>A large number of signal processing problems are concerned with estimating unknown signal parameters from sensor array measurements. This area has drawn much interest and many methods for parameter estimation based on array data have appeared in the literature. This paper presents some of these algorithms as variations of the same subspace fitting problem. The methods considered herein are the deterministic maximum likelihood method (ML), ESPRIT, and a recently proposed multidimensional signal subspace method. These methods are formulated in a subspace fitting based framework, which provides insight into their algebraic and asymptotic relations. It is shown that by introducing a specific weighting matrix, the multidimensional signal subspace method can achieve the same asymptotic properties as ML. The asymptotic distribution of the estimation error is derived for a general subspace weighting and the weighting that provides minimum variance estimates is identified. The resulting optimal technique is termed the weighted subspace fitting (WSF) method. Numerical examples indicate that the asymptotic variance of the WSF estimates coincides with the Cram√©r-Rao bound. The performance improvement compared to the other techniques is found to be most prominent for highly correlated signals. A simulation study is presented, indicating that the asymptotic variance expressions are valid for a wide range of scenarios. ¬© 1991 IEEE</t>
  </si>
  <si>
    <t>1110-1121</t>
  </si>
  <si>
    <t>60009358;60009358</t>
  </si>
  <si>
    <t>7004492932;7007005676</t>
  </si>
  <si>
    <t>Viberg, Mats;Ottersten, Bj√∂rn</t>
  </si>
  <si>
    <t>Viberg M.</t>
  </si>
  <si>
    <t>Sensor Array Processing Based on Subspace Fitting</t>
  </si>
  <si>
    <t>10.1109/78.80966</t>
  </si>
  <si>
    <t>2-s2.0-0026157739</t>
  </si>
  <si>
    <t>['sinusoidal electric', 'mutual impedance', 'magnetic dipoles', 'efficient computation', 'analytic expressions']</t>
  </si>
  <si>
    <t>Analytic expressions are presented to provide an accurate and efficient computation of the mutual impedance between sinusoidal electric and magnetic dipoles. ¬© 1991 IEEE</t>
  </si>
  <si>
    <t>684-686</t>
  </si>
  <si>
    <t>60003892;60003892;60000854</t>
  </si>
  <si>
    <t>55729544000;35583458100;7103023636</t>
  </si>
  <si>
    <t>Liu, Kefeng;Balanis, Constantine A.;Barber, George C.</t>
  </si>
  <si>
    <t>Tempe;Hampton</t>
  </si>
  <si>
    <t>Arizona State University;NASA Langley Research Center</t>
  </si>
  <si>
    <t>60003892;60000854</t>
  </si>
  <si>
    <t>Liu K.</t>
  </si>
  <si>
    <t>Exact Mutual Impedance Between Sinusoidal Electric and Magnetic Dipoles</t>
  </si>
  <si>
    <t>10.1109/8.81503</t>
  </si>
  <si>
    <t>2-s2.0-0026157760</t>
  </si>
  <si>
    <t>['representations take', 'point sources', 'hybrid greea', 'given argument', 'formulations incorporating', 'fall well', 'estimated numerically', 'equivalent mixed', 'domain green', 'critical distance', 'corresponding spectral', 'benefit significantly']</t>
  </si>
  <si>
    <t>It is shown that as an observation point approaches a periodic planar phased array of point sources, the corresponding spectral-domain Green's function, or grating lobe series, converges dramatically slower than an equivalent mixed-domain representation exhibiting Gaussian convergence. For a given argument of the Green's function, the critical transition distance above the array for which both representations take the same time to compute can be estimated numerically. Since phased array antenna structures with cavity or waveguide type backings often have dimensions that fall well below the critical distance, investigations of such structures would seem to benefit significantly from formulations incorporating such hybrid Greea's functions. ¬© 1991 IEEE</t>
  </si>
  <si>
    <t>677-679</t>
  </si>
  <si>
    <t>Cohen, Edward</t>
  </si>
  <si>
    <t>Arcon Corporation</t>
  </si>
  <si>
    <t>Cohen E.</t>
  </si>
  <si>
    <t>Critical Distance for Grating Lobe Series</t>
  </si>
  <si>
    <t>10.1109/8.81501</t>
  </si>
  <si>
    <t>2-s2.0-0026157803</t>
  </si>
  <si>
    <t>['synthesis methods', 'synthesis method', 'starting point', 'search algorithm', 'reflector system', 'potential users', 'physical optics', 'paper presents', 'outer rim', 'optimize one', 'obtained together', 'nonlinear first', 'may arise', 'mapping equations', 'makes practical', 'mainframe cray', 'independently analyzed', 'important objective', 'geometrical optics', 'general case', 'earlier paper', 'diffraction methods', 'certain problems']</t>
  </si>
  <si>
    <t>In an earlier paper, the geometrical optics (GO) principles, constraints, and requirements of the dual and single offset shaped reflector synthesis problem were collected and developed into a set of nonlinear first-order partial differential equations (PDE's). Methods of solving these PDE's numerically were illustrated as were certain problems that may arise. This paper presents an extension of the methods by which solutions to the PDE's can be obtained together with several case examples. These examples are then independently analyzed by GO and physical optics (PO) diffraction methods so that the potential users of this approach may gain confidence in the predictability of the synthesis methods. The initial or starting point for the integration over each reflector can be taken on the outer rim, the center, or at an intermediate point‚Äîthe intermediate starting point being the more general case. In addition, the utility of the speed of this synthesis method is demonstrated. For example, the program utilized herein completes a synthesis in less than 45 s on a 386/20 personal computer and within a fraction of a second on a mainframe Cray. This makes practical the incorporation of the synthesis into a search algorithm that can optimize one or more parameters of the reflector system. For example, optimization of the mapping equations for low cross polarization is performed. An important objective of this paper is to demonstrate the validity and the utility of the synthesis method discussed in our earlier paper. ¬© 1991 IEEE</t>
  </si>
  <si>
    <t>620-626</t>
  </si>
  <si>
    <t>60009037;60009037;60000745;60103907</t>
  </si>
  <si>
    <t>7003293983;7003977774;55197051100;6701717991</t>
  </si>
  <si>
    <t>Galindo-Israel, Victor;Imbriale, William A.;Mittra, Raj;Shogen, Kazuyoshi</t>
  </si>
  <si>
    <t>Japan;United States;United States</t>
  </si>
  <si>
    <t>Tokyo;Pasadena;Urbana</t>
  </si>
  <si>
    <t>Nippon Hoso Kyokai;Jet Propulsion Laboratory;University of Illinois Urbana-Champaign</t>
  </si>
  <si>
    <t>60103907;60009037;60000745</t>
  </si>
  <si>
    <t>Galindo-Israel V.</t>
  </si>
  <si>
    <t>On the Theory of the Synthesis of Offset Dual-Shaped Reflectors‚ÄîCase Examples</t>
  </si>
  <si>
    <t>10.1109/8.81489</t>
  </si>
  <si>
    <t>2-s2.0-0026157804</t>
  </si>
  <si>
    <t>['threshold signal', 'squared error', 'single source', 'performance modeling', 'particular geometry', 'particular attention', 'offs exist', 'nonuniform arrays', 'noise ratio', 'mle ).', 'examined assuming', 'conducted using']</t>
  </si>
  <si>
    <t>The impact of the linear array geometry on the direction of arrival estimation accuracy is examined assuming a single source of illumination and additive white Gaussian system noise. The analysis was conducted using the Cramer-Rao lower bound (CRLB), simulations and performance modeling of maximum likelihood estimation (MLE). Particular attention is paid to the implementation of the MLE, the threshold signal-to-noise ratio (SNR), probability of outlier and high SNR mean-squared error (MSE) performance which are evaluated and compared for uniform and nonuniform arrays. The conditions under which trade-offs exist in choosing a particular geometry and their significance are determined. ¬© 1991 IEEE</t>
  </si>
  <si>
    <t>576-584</t>
  </si>
  <si>
    <t>6602500606;7101764513</t>
  </si>
  <si>
    <t>Vertatschitsch, Edward;Haykin, Simon</t>
  </si>
  <si>
    <t>Vertatschitsch E.</t>
  </si>
  <si>
    <t>Impact of Linear Array Geometry on Direction-of-Arrival Estimation for a Single Source</t>
  </si>
  <si>
    <t>10.1109/8.81483</t>
  </si>
  <si>
    <t>2-s2.0-0026157980</t>
  </si>
  <si>
    <t>['tilted upward', 'premonsoon months', 'northern india', 'nighttime fading', 'investigations revealed', 'fade depths', 'energy refracted', 'copyright 1991', 'clock basis']</t>
  </si>
  <si>
    <t>Microwave field strength measurements are conducted on a round the clock basis on an operational communication link in northern India. In winter and premonsoon months, nighttime signal exhibits deep fades with fall in median signal level. The investigations revealed that nighttime fading is due to the refraction of signal from ground‚Äêbased layers. To minimise the amount of energy refracted by the ground‚Äêbased layers, the antennae were tilted upward. The tilting of antennae has decreased the fade depths, and an improvement in the performance of the link is obtained. Copyright 1991 by the American Geophysical Union.</t>
  </si>
  <si>
    <t>751-758</t>
  </si>
  <si>
    <t>7201465504;7006526600;7403239285;7401453208</t>
  </si>
  <si>
    <t>Prasad, M. V.S.N.;Dutta, H. N.;Sarkar, S. K.;Reddy, B. M.</t>
  </si>
  <si>
    <t>Prasad M.</t>
  </si>
  <si>
    <t>Fading reduction in microwave IOS links using antenna beam tilting techniques</t>
  </si>
  <si>
    <t>10.1029/90RS02690</t>
  </si>
  <si>
    <t>2-s2.0-0026158025</t>
  </si>
  <si>
    <t>['¬© 1990', 'typical advantages', 'three types', 'tbe shdf', 'stiffened truss', 'spatial diagonal', 'smallest number', 'small number', 'rights reserved', 'mechanisms necessary', 'ii ),', 'dsc ),', 'deployable mechanisms', 'deploy large', 'demonstrating smooth', 'american institute']</t>
  </si>
  <si>
    <t>Three types of newly proposed deployable concepts, Spatial Diagonal-stiffened Truss (SDT), Sliding Hinge Double Fold-11 (SHDF- II), and Deployable Solar Concentrator (DSC), are described. The SDT and tbe SHDF-II are two-dimensional deployable truss structures that can be applied to large antenna structures; whereas the DSC is available for large solar concentrator systems. Typical advantages of the SDT and the SHDF-II are their good packaging efficiency and the small number of mechanisms necessary for deployment and/or folding. The SDT has the best packaging efficiency among existing deployable concepts while the SHDF-II has the smallest number of deployable mechanisms (0.25 per module). The DSC is a deployable truss structure with rigid reflector plates. The DSC has the advantage of being able to deploy large-size concentrators automatically. Functional test models of both the SDT and the DSC were fabricated and tested. The test results showed the practicality of the concepts by demonstrating smooth and consistent deployment movement. ¬© 1990 by the American Institute of Aeronautics and Astronautics, Inc. All rights reserved.</t>
  </si>
  <si>
    <t>330-338</t>
  </si>
  <si>
    <t>60103374-100661333;60000809-117806628</t>
  </si>
  <si>
    <t>7101998085;7005690620</t>
  </si>
  <si>
    <t>Takamatsu, K. A.;Onoda, J.</t>
  </si>
  <si>
    <t>Japan;Japan;United States;United States</t>
  </si>
  <si>
    <t>Tokyo;Sagamihara;;Seabrook</t>
  </si>
  <si>
    <t>Fuji Heavy Industries Ltd;JAXA Institute of Space and Astronautical Science;Research Division for Space Transportation;Aerospace Engineering Division</t>
  </si>
  <si>
    <t>60103374;60000809;117806628;100661333</t>
  </si>
  <si>
    <t>Takamatsu K.</t>
  </si>
  <si>
    <t>New deployable truss concepts for large antenna structures or solar concentrators</t>
  </si>
  <si>
    <t>10.2514/3.26248</t>
  </si>
  <si>
    <t>2-s2.0-0026158103</t>
  </si>
  <si>
    <t>['¬© 1991', 'weak single', 'waves may', 'substantial fraction', 'power may', 'pass absorption', 'observations suggest', 'magnetic field', 'lower densities', 'increasing rig', 'ii tokamak', 'electron densities', 'driven current', 'drive current', 'bench tests', 'antenna radiated', '45 ghz', '35 kw']</t>
  </si>
  <si>
    <t>A dielectric-free slotted waveguide fast wave coupler (SWFWC), operating in the lower hybrid range of frequencies, has been used to drive current on the Versator-II tokamak. Up to 35 kW of radiofrequency at 2.45 GHz has been radiated into plasmas with electron densities of 2 √ó 1012 cm-3 √±e 1.2 √ó 1013 cm-3 and a magnetic field of Btor = 1.0 T. When the coupler was flush with or beyond the limiter, the radiating efficiency improved linearly with increasing rig. For electron densities √±e 5 √ó 1012 cm-3, the current drive efficiency was similar to that of the slow lower hybrid wave; however, at lower densities the efficiency of the SWFWC was reduced and it drove no current when √±e 2 √ó 1012 cm-3. During bench tests, the antenna radiated &gt;90% of its power in the fast wave polarization. These observations suggest that the SWFWC launched primarily fast waves. However, we do not exclude the possibility that, owing to weak single-pass absorption, a substantial fraction of the power may have been converted to slow waves within the plasma, and these waves may have been responsible for most of the driven current. ¬© 1991, IOP publishing Ltd.</t>
  </si>
  <si>
    <t>960-967</t>
  </si>
  <si>
    <t>60022195;60022195;60022195;60022195;60022195;60022195</t>
  </si>
  <si>
    <t>6507645984;9271791400;7004214978;7006050699;7102094477;57220454695</t>
  </si>
  <si>
    <t>Colborn, J. A.;Parker, R. R.;Luckhardt, S. C.;Porkolab, M.;Squire, J. P.;Villase√±or, J.</t>
  </si>
  <si>
    <t>Colborn J.A.</t>
  </si>
  <si>
    <t>Current drive on the versator-ii tokamak with a slotted waveguide fast wave coupler</t>
  </si>
  <si>
    <t>10.1088/0029-5515/31/5/014</t>
  </si>
  <si>
    <t>2-s2.0-0026158117</t>
  </si>
  <si>
    <t>['wiley company', 'vibration amplitude', 'ultrasonic probe', 'transmission coefficient', 'sound source', 'secondary source', 'proposed method', 'product value', 'principle often', 'phased array', 'phase difference', 'paper reports', 'next medium', 'method based', 'method analyzes', 'medium boundary', 'line elements', 'large number', 'inc .,', 'focused field', 'field analysis', 'cylindrical vibrator', 'calculation belong', 'applied even', 'application example', 'acoustic lens']</t>
  </si>
  <si>
    <t>For the field analysis of an ultrasonic probe, the method based on Huygens' principle often is employed. Most such calculations, however, are concerned with the cases where the sound source and the region of calculation belong to the same medium or belong to a different medium divided by a single planar boundary. This paper reports on the two‚Äêdimensional method of field analysis, which is based on Huygens' principle, but can be applied even if a large number of curved medium boundaries exists between the source and the region of calculation. The method analyzes the field as follows: the vibration amplitude and transmission coefficient on the medium boundary closest to the source are calculated. The product of the vibration amplitude and the transmission coefficient is calculated, and the medium boundary is regarded as the secondary source with the product value as the vibration amplitude. Then the field at the next medium boundary or in the next medium is calculated. The medium boundary is divided into line elements, and the transmission coefficient is calculated by determining the angle of incidence from the phase difference of the vibration at both ends of the element. As an application example of the proposed method of field analysis, the focused field is analyzed which is formed by the acoustic lens, cylindrical vibrator and the phased array. Copyright ¬© 1991 Wiley Periodicals, Inc., A Wiley Company</t>
  </si>
  <si>
    <t>21-29</t>
  </si>
  <si>
    <t>Okada, Hisao</t>
  </si>
  <si>
    <t>Hitachi, Ltd.</t>
  </si>
  <si>
    <t>Okada H.</t>
  </si>
  <si>
    <t>Sound field analysis of ultrasonic probe with many medium boundaries</t>
  </si>
  <si>
    <t>10.1002/ecjc.4430740503</t>
  </si>
  <si>
    <t>2-s2.0-0026158793</t>
  </si>
  <si>
    <t>['wiley company', 'vertical polarization', 'turnstile antenna', 'paper proposes', 'one using', 'measuring antenna', 'measurement errors', 'measurement error', 'measurement accuracy', 'loop antenna', 'isotropic characteristic', 'inc .,', 'improved significantly', 'horizontal polarization', 'dipole antenna', 'degraded significantly', 'crossed dipole', 'analyzed theoretically']</t>
  </si>
  <si>
    <t>Methods for evaluating the crosspolarization power ratio (XPR) in mobile communication include the one using a crossed dipole, the one using a dipole antenna and a turnstile antenna, and that using a dipole antenna and a loop antenna. However, measurement errors in these methods have not been investigated. In this paper, the measurement error characteristics of various XPR measurement methods are analyzed theoretically. By finding the factors causing degradation of measurement accuracy, this paper proposes a method with more accuracy and clarifies its measurement error characteristics. It is found that the measurement error depends on the XPR and the measurement accuracy is degraded significantly because the measuring antenna does not have an isotropic characteristic and the antenna for horizontal polarization has a vertical polarization pattern. To improve this deficiency, a method is proposed in which a cylindrical slot antenna is used for the horizontal polarization because the sensitivity of this antenna to the vertical polarization can be made sufficiently low. It is pointed out that the measurement error with this antenna can be improved significantly. Copyright ¬© 1991 Wiley Periodicals, Inc., A Wiley Company</t>
  </si>
  <si>
    <t>90-101</t>
  </si>
  <si>
    <t>Taga, Tokio</t>
  </si>
  <si>
    <t>Taga T.</t>
  </si>
  <si>
    <t>A theoretical study of measurement of cross‚Äêpolarization power ratio (XPR) in mobile communication environments</t>
  </si>
  <si>
    <t>10.1002/ecja.4410740510</t>
  </si>
  <si>
    <t>2-s2.0-0026158950</t>
  </si>
  <si>
    <t>['wiley company', 'synthesized map', 'relative phase', 'receiver variation', 'radio interferometer', 'phase variation', 'inc .,', 'conventional method', 'calibration method', 'atmospheric fluctuation', 'antenna positions', 'antenna position', '1 arcsec']</t>
  </si>
  <si>
    <t>In a radio interferometer, the error of the antenna position is one of the factors affecting significantly the synthesized map. We have developed a calibration method for the antenna position for the Nobeyama millimeter array. In comparison with the conventional method, the new calibration method has two significant characteristics. First, using the relative phase between reference celestial radio sources, the phase variation of a large time scale due to the atmospheric fluctuation and the receiver variation can be eliminated. Second, by means of the three‚Äêdimensional discrete Fourier transform, one can estimate the antenna position errors without any ambiguity. With this calibration method, the antenna positions of the Nobeyama millimeter array were determined within 0.3 mm rms. As a result, directions of celestial radio sources were measured within 0.1 arcsec. Copyright ¬© 1991 Wiley Periodicals, Inc., A Wiley Company</t>
  </si>
  <si>
    <t>62-70</t>
  </si>
  <si>
    <t>60029701;60029701;60000809</t>
  </si>
  <si>
    <t>35552169300;56252992000;55683255300</t>
  </si>
  <si>
    <t>Morita, Koh‚ÄêIchiro ‚ÄêI;Ishiguro, Masato;Kobayashi, Hideyuki</t>
  </si>
  <si>
    <t>Mitaka;Sagamihara</t>
  </si>
  <si>
    <t>National Institutes of Natural Sciences - National Astronomical Observatory of Japan;JAXA Institute of Space and Astronautical Science</t>
  </si>
  <si>
    <t>60029701;60000809</t>
  </si>
  <si>
    <t>Morita K.‚Äê.</t>
  </si>
  <si>
    <t>Calibration of antenna positions in millimeter wave interferometry</t>
  </si>
  <si>
    <t>10.1002/ecja.4410740507</t>
  </si>
  <si>
    <t>2-s2.0-0026159015</t>
  </si>
  <si>
    <t>['œ ∏', 'wiley company', 'tm waves', 'surface waves', 'separation distance', 'reflection plate', 'radiation characteristics', 'radiated power', 'radiated beam', 'permittivity œµr', 'near fields', 'linear current', 'inc .,', 'good agreement', 'geometrical optics', 'generation rate', 'gain enhancement', 'frontal direction', 'fourier analyses', 'experimental results', 'either te', 'directed toward', 'dielectric plate', 'detailed examination']</t>
  </si>
  <si>
    <t>A gain enhancement is shown by loading with a dielectric plate of permittivity œµr for an antenna with a reflection plate placed parallel in front of the antenna. For an infinitely extended dielectric plate, for simplicity, a two‚Äêdimensional problem with a linear current of a delta‚Äêfunction type was treated. Fourier analyses and geometrical optics were applied and a detailed examination was made of the radiation characteristics, gain, the generation rate of surface waves and the near fields as functions of the separation distance between the reflection plate and the dielectric plate, thickness t of the dielectric plate and œµr. In particular, the radiated beam was directed toward the frontal direction (Œ∏ = 0) for h = mŒª/2 and tr = (2n‚Äê1)Œª/4, (m and n are integers; Œª is free space wavelength) for either TE or TM waves. The radiated power was multiplied by a factor of œµr of the power by the antenna itself. Good agreement was obtained with experimental results. Copyright ¬© 1991 Wiley Periodicals, Inc., A Wiley Company</t>
  </si>
  <si>
    <t>71-79</t>
  </si>
  <si>
    <t>60033350;60033350;60030933</t>
  </si>
  <si>
    <t>35565621400;7005270938;7003971341</t>
  </si>
  <si>
    <t>Sugio, Yoshihiko;Makimoto, Toshio;Tsugawa, Tetsuo</t>
  </si>
  <si>
    <t>Neyagawa;Osaka</t>
  </si>
  <si>
    <t>Setsunan University;Osaka Institute of Technology</t>
  </si>
  <si>
    <t>60033350;60030933</t>
  </si>
  <si>
    <t>Sugio Y.</t>
  </si>
  <si>
    <t>Two‚Äêdimensional analysis for gain enhancement of dielectric loaded antenna with a ground plane</t>
  </si>
  <si>
    <t>10.1002/ecja.4410740508</t>
  </si>
  <si>
    <t>2-s2.0-0026160368</t>
  </si>
  <si>
    <t>['¬© 1991', 'specifically tuned', 'rights reserved', 'opr ),', 'oac ),', 'neodiprion sertifer', 'monoterpene identified', 'field attractant', 'except one', 'diprionyl acetate', 'cells observed', 'behavioral inhibitor', 'behavioral antagonist', 'also recorded']</t>
  </si>
  <si>
    <t>Diprionol | Electroantennogram | Olfaction | Sex pheromone | Single sensillum</t>
  </si>
  <si>
    <t>Electroantennographic and single sensillum recordings were performed on male pine sawfly, Neodiprion sertifer, antennae. Responses to the sex pheromone component (2S, 3S, 7S)- 3,7-dimethyl-2-pentadecenyl (diprionyl) acetate (SSS:OAc), to the behavioral inhibitor (2S, 3R, 7R)-diprionyl acetate (SRR:OAc), to the six other enantiomers of diprionyl acetate, and to the biosynthetic precursor diprionol were recorded. Responses to trans-perillenal, a monoterpene identified in female gland extracts and to (2S, 3S, 7S)-diprionyl propionate (SSS:OPr), a field attractant for N. sertifer and some related sawfly species were also recorded. EAG recordings demonstrated a high antennal sensitivity to SSS:OAc and to SSS:OPr. A somewhat lower response was elicited by SRR:OAc. Single sensillum recordings revealed 8‚Äì12 different cells firing in each sensillum, corresponding to the number of cells observed in earlier morphological investigations. Out of these cells all, except one, responded to SSS:OAc and to SSS:OPr. No differences in the response to the two components could be observed. The largest amplitude cell in each sensillum was specifically tuned to the behavioral antagonist, SRR:OAc. The pheromone perception system encountered in male pine sawflies thus differs clearly from that observed in moths. ¬© 1991, Springer-Verlag. All rights reserved.</t>
  </si>
  <si>
    <t>533-538</t>
  </si>
  <si>
    <t>Journal of Comparative Physiology A: Sensory, Neural and Behavioral Physiology</t>
  </si>
  <si>
    <t>60029170;60029170;100401976;100401976;60029170;60029170</t>
  </si>
  <si>
    <t>7103226689;6603416331;35547826200;57192280528;6701834460;7004376332</t>
  </si>
  <si>
    <t>Hansson, B. S.;Van der Pers, J. N.C.;H√∂gberg, H. E.;Hedenstr√∂m, E.;Anderbrant, O.;L√∂fqvist, J.</t>
  </si>
  <si>
    <t>Sweden;Sweden</t>
  </si>
  <si>
    <t>Lund;Sundsvall</t>
  </si>
  <si>
    <t>Lunds Universitet;University College of Sundsvall/H√§rn√∂sand</t>
  </si>
  <si>
    <t>60029170;100401976</t>
  </si>
  <si>
    <t>Sex pheromone perception in male pine sawflies, Neodiprion sertifer (Hymenoptera; Diprionidae)</t>
  </si>
  <si>
    <t>10.1007/BF00215075</t>
  </si>
  <si>
    <t>2-s2.0-0026162293</t>
  </si>
  <si>
    <t>['wide variety', 'update time', 'target tracks', 'scan radar', 'reduced leading', 'freedom compared', 'carlo simulations', 'also examined', 'additional strategies', 'additional degree']</t>
  </si>
  <si>
    <t>Phased array radar have an additional degree of freedom compared with track-while-scan radar, in that a variable update time may be used in the former. On detection of a manoeuvre, the update time may be reduced leading to an improved tracking accuracy. It has been shown how a variable update time may be incorporated into the Œ±Œ≤ filter, the value of this update time being dependent on the magnitude of the residual. The algorithm of Cohen is tested by application of Monte-Carlo simulations to a wide variety of target tracks. Additional strategies in choosing the update time are also examined. The dependence of the mean square estimation errors and the mean update times are investigated for a range of parameters of the algorithm. It is concluded that in choosing the parameters of the algorithm, there is a trade-off between keeping the estimation errors low and restricting the mean update time from becoming excessively small.</t>
  </si>
  <si>
    <t>255-262</t>
  </si>
  <si>
    <t>Jun</t>
  </si>
  <si>
    <t>60015138;60015138;60015138</t>
  </si>
  <si>
    <t>7005475256;56961674700;7004481204</t>
  </si>
  <si>
    <t>Wilkin, D. J.;Harrison, I.;Woolfson, M. S.</t>
  </si>
  <si>
    <t>Nottingham</t>
  </si>
  <si>
    <t>University of Nottingham</t>
  </si>
  <si>
    <t>Wilkin D.J.</t>
  </si>
  <si>
    <t>Target tracking algorithms for phased array radar</t>
  </si>
  <si>
    <t>10.1049/ip-f-2.1991.0033</t>
  </si>
  <si>
    <t>2-s2.0-0026168787</t>
  </si>
  <si>
    <t>['statistical distributions', 'results obtained', 'receiving antennas', 'incoming rays', 'experimental measurement', 'appear broadly']</t>
  </si>
  <si>
    <t>The results obtained from the experimental measurement of angles-of-arrival (AOA's) and amplitudes of individual multipath rays on three separate microwave links are presented. An extensive data base has been established from the operation of a wide-aperture vertical array of receiving antennas. From these data, statistical distributions of the AOA's and amplitudes of the incoming rays are presented which appear broadly to be consistent with the predictions of ray-tracing. ¬© 1991 IEEE</t>
  </si>
  <si>
    <t>798-803</t>
  </si>
  <si>
    <t>Webster, Alan R.</t>
  </si>
  <si>
    <t>The University of Western Ontario</t>
  </si>
  <si>
    <t>Webster A.R.</t>
  </si>
  <si>
    <t>Multipath Angle-of-Arrival Measurements on Microwave Line-of-Sight Links</t>
  </si>
  <si>
    <t>10.1109/8.86878</t>
  </si>
  <si>
    <t>2-s2.0-0026168933</t>
  </si>
  <si>
    <t>['radiation characteristics', 'numerical results', 'dipole arrays', 'acceleration techniques']</t>
  </si>
  <si>
    <t>A computationally efficient algorithm for determining the radiation characteristics of an infinite periodic array of bent thin wire radiators is presented. Each radiator may comprise several wire segments to form a junction. Analysis is carried out for an infinite periodic array covered with multiple dielectric layers. The array lattice may be rectangular or triangular. The capability of handling dielectric layers over the array is added by using a mixed potential approach. The resulting integral equation is solved by the method of moments with sub-domain basis functions. Acceleration techniques are employed to speed up the convergence of a doubly infinite periodic Green's function. Numerical results are presented for dipole arrays with and without dielectric loading.</t>
  </si>
  <si>
    <t>207-212</t>
  </si>
  <si>
    <t>60015573;60015573</t>
  </si>
  <si>
    <t>7406397830;6505524848</t>
  </si>
  <si>
    <t>Singh, S.;Mannaa, H. M.</t>
  </si>
  <si>
    <t>Tulsa</t>
  </si>
  <si>
    <t>The University of Tulsa</t>
  </si>
  <si>
    <t>Analysis of infinite periodic array of thin wire radiators with dielectric loading</t>
  </si>
  <si>
    <t>10.1049/ip-h-2.1991.0033</t>
  </si>
  <si>
    <t>2-s2.0-0026169034</t>
  </si>
  <si>
    <t>['method reported', 'extends leeper', 'basic features', 'antennas obtained']</t>
  </si>
  <si>
    <t>A method for the synthesis of two-dimensional aperiodic antenna arrays with a low sidelobe level is suggested and studied. It extends Leeper's approach to the synthesis of linear arrays based on cyclic difference sets. The method reported here is based on a new combinatorial construction called generalised two-dimensional difference sets. Ways of constructing such sets and the basic features of the antennas obtained are considered.</t>
  </si>
  <si>
    <t>233-237</t>
  </si>
  <si>
    <t>60011313;60011313</t>
  </si>
  <si>
    <t>6701599026;7003684032</t>
  </si>
  <si>
    <t>Kopilovich, L. E.;Sodin, L. G.</t>
  </si>
  <si>
    <t>Ukraine</t>
  </si>
  <si>
    <t>Kiev</t>
  </si>
  <si>
    <t>National Academy of Sciences in Ukraine</t>
  </si>
  <si>
    <t>Kopilovich L.</t>
  </si>
  <si>
    <t>Two-dimensional aperiodic antenna arrays with a low sidelobe level</t>
  </si>
  <si>
    <t>10.1049/ip-h-2.1991.0037</t>
  </si>
  <si>
    <t>2-s2.0-0026169071</t>
  </si>
  <si>
    <t>['time processing', 'stage sub', 'paired frequency', 'optimal technique', 'multiple elements', 'linear array', 'key element', 'incident angles', 'element method', 'arbitrary number', 'also advanced']</t>
  </si>
  <si>
    <t>A method is presented that provides numerical estimates of properly paired frequency and incident angles for an arbitrary number of sinusoidal radar pulses incident on a linear array. The key element of the method is a two-stage sub-optimal technique that estimates the angle of arrival of a pulse by using the output of two antenna elements and a previously calculated value of paired frequency. A method of extending the two-element method to multiple elements, by using a noise protected modification of the Chinese remainder theorem (CRT) is also advanced. Owing to its simplicity, the algorithm is appropriate to real-time processing.</t>
  </si>
  <si>
    <t>247-254</t>
  </si>
  <si>
    <t>60018306;60018306</t>
  </si>
  <si>
    <t>7102034877;7004988657</t>
  </si>
  <si>
    <t>McCormick, W. S.;Tsui, J. B.Y.</t>
  </si>
  <si>
    <t>Dayton</t>
  </si>
  <si>
    <t>Wright State University</t>
  </si>
  <si>
    <t>McCormick W.</t>
  </si>
  <si>
    <t>Suboptimal real-time frequency/incident-angle estimator for multiple radar pulses</t>
  </si>
  <si>
    <t>10.1049/ip-f-2.1991.0032</t>
  </si>
  <si>
    <t>2-s2.0-0026169562</t>
  </si>
  <si>
    <t>['thereby creating', 'small enough', 'microwave receivers', 'gain array', 'feeding via', 'enable two', 'dimensional arrays', 'conventional designs', 'common substrate', 'balanced mixer', 'antennas integrated', 'antenna pattern', '35 ghz']</t>
  </si>
  <si>
    <t>A family of microwave receivers is described which consists of antennas integrated with a balanced mixer and IF amplifier on a common substrate. Each receiver is small enough to enable two-dimensional arrays to be fabricated monolithically within a single semiconductor chip. The antenna pattern of each receiver is suitable for feeding via a dielectric immersion lens, thereby creating a high-gain array of beams in the farfield. Such receivers have been built to operate at 10 and 35 GHz, and show conversion loss similar to more conventional designs.</t>
  </si>
  <si>
    <t>253-257</t>
  </si>
  <si>
    <t>60026242;60026242;60026242;60026242;60026242;60026242</t>
  </si>
  <si>
    <t>6603988462;6602164144;57196965538;57213850643;7007061259;7102294945</t>
  </si>
  <si>
    <t>Alder, C. J.;Brewitt-Taylor, C. R.;Dixon, M.;Hodges, R. D.;Irving, L. D.;Rees, H. D.</t>
  </si>
  <si>
    <t>Alder C.</t>
  </si>
  <si>
    <t>Microwave and millimetre-wave receivers with integral antenna</t>
  </si>
  <si>
    <t>10.1049/ip-h-2.1991.0041</t>
  </si>
  <si>
    <t>2-s2.0-0026169594</t>
  </si>
  <si>
    <t>['unknown currents', 'resonant frequencies', 'radiation patterns', 'numerical analysis', 'hankel transformation', 'excellent agreement']</t>
  </si>
  <si>
    <t>A theoretical and numerical analysis is performed on the dual-frequency stacked circular-disk and annular-ring microstrip antennas. The problem is formulated in the Hankel transform domain. First the Green's function is derived, relating the transformed electric surface currents on the patches and the transformed tangential electric field components on the substrates. Galerkin's method, together with Parse-val's relation for Hankel transformation, are then used to solve for the resonant frequencies and the unknown currents. The far-zone radiation patterns are expressed in terms of the transforms of the currents. Numerical results obtained for the resonant frequencies and radiation patterns are found to be in excellent agreement with the experimental data available in the literature. ¬© 1991 IEEE</t>
  </si>
  <si>
    <t>867-870</t>
  </si>
  <si>
    <t>60029306;60021624</t>
  </si>
  <si>
    <t>7402099663;7501501369</t>
  </si>
  <si>
    <t>Fan, Zhibo;Lee, Kai Fong</t>
  </si>
  <si>
    <t>China;United States</t>
  </si>
  <si>
    <t>Wuhan;Toledo</t>
  </si>
  <si>
    <t>Wuhan University;The University of Toledo</t>
  </si>
  <si>
    <t>Fan Z.</t>
  </si>
  <si>
    <t>Hankel Transform Domain Analysis of Dual-Frequency Stacked Circular-Disk and Annular-Ring Microstrip Antennas</t>
  </si>
  <si>
    <t>10.1109/8.86891</t>
  </si>
  <si>
    <t>2-s2.0-0026169602</t>
  </si>
  <si>
    <t>['technical challenges', 'system design', 'swath widths', 'science announcement', 'sar ).', 'polar orbit', 'payload instrument', 'operational purposes', 'launch date', 'intended primarily', 'image resolutions', 'ground segment', 'gather data', 'five years', 'essential elements', 'cm wavelength', '500 km', '28 min']</t>
  </si>
  <si>
    <t>RADARSAT, the first Canadian remote sensing spacecraft, is to be launched in 1994, and is designed to provide Earth observation information for five years. The only payload instrument is a 5.6-cm wavelength (C-band) synthetic aperture imaging radar (SAR). RADARSAT will gather data on command for up to 28 min during each cycle of its 800-km (nominal) near-polar orbit. Image resolutions from 10 to 100 m at swath widths of 45 to 500 km will be available. RADARSAT is intended primarily for operational purposes, so that the ground segment and data delivery systems are essential elements in the system design. A Science Announcement of Opportunity is expected to be published before the launch date. Technical challenges in the RADARSAT design include calibration, rapid data processing, the phased array antenna to provide controlled beam steering, and the first satellite implementation of a special radar technique known as ScanSAR. ¬© 1991 IEEE</t>
  </si>
  <si>
    <t>839-849</t>
  </si>
  <si>
    <t>60005603;;60007248;60007248</t>
  </si>
  <si>
    <t>7102934132;6603900738;6701642121;7402716568</t>
  </si>
  <si>
    <t>Raney, R. Keith;Luscombe, Anthony P.;Langham, E. J.;Ahmed, Shabeer</t>
  </si>
  <si>
    <t>Longueuil;Ottawa</t>
  </si>
  <si>
    <t>Canadian Space Agency;Canada Centre for Remote Sensing</t>
  </si>
  <si>
    <t>60007248;60005603</t>
  </si>
  <si>
    <t>Raney R.K.</t>
  </si>
  <si>
    <t>Radarsat</t>
  </si>
  <si>
    <t>10.1109/5.90162</t>
  </si>
  <si>
    <t>2-s2.0-0026169907</t>
  </si>
  <si>
    <t>['wiley company', 'vary across', 'results show', 'refractive index', 'nonuniform structures', 'inc .,', 'channel width', 'article presents', 'also presented']</t>
  </si>
  <si>
    <t>Finite Element Method | Semiconductor Laser Array</t>
  </si>
  <si>
    <t>This article presents the analysis of semiconductor laser arrays based on the finite element method, with emphasis on nonuniform structures where the channel width and/or refractive index can vary across the array. The results show that the variation of channel width will have the same effect on the near‚Äêfield intensity profile as the variation of channel refractive index. Based on this finding, a laser array structure devised to achieve a highly desirable uniform intensity distribution for the lowest‚Äêorder mode is also presented. Copyright ¬© 1991 Wiley Periodicals, Inc., A Wiley Company</t>
  </si>
  <si>
    <t>247-250</t>
  </si>
  <si>
    <t>60021097;60021097</t>
  </si>
  <si>
    <t>57191109250;7006158681</t>
  </si>
  <si>
    <t>Zhao, An Ping;Cvetkovic, Srba R.</t>
  </si>
  <si>
    <t>Guildford</t>
  </si>
  <si>
    <t>University of Surrey</t>
  </si>
  <si>
    <t>Zhao A.</t>
  </si>
  <si>
    <t>Finite element analysis of semiconductor laser arrays</t>
  </si>
  <si>
    <t>10.1002/mop.4650040702</t>
  </si>
  <si>
    <t>2-s2.0-0026170143</t>
  </si>
  <si>
    <t>['simulation results', 'signal conditions', 'proposed technique', 'observed properties', 'mmic design', 'key idea', 'illustrative examples', 'gate barrier', 'bias circuit', 'appropriate device', 'also presented']</t>
  </si>
  <si>
    <t>A simple design technique for a GaAs FET limiter exhibiting minimum phase distortion is presented. The key idea in removing phase distortion by selecting an appropriate device and designing a bias circuit is based on the observed properties of the gate barrier under large-signal conditions. Also presented are some illustrative examples and simulation results. The proposed technique is suitable for MMIC design. ¬© 1991 IEEE</t>
  </si>
  <si>
    <t>1059-1062</t>
  </si>
  <si>
    <t>60027245;60019894;60019894;60019894;60019894;60019894</t>
  </si>
  <si>
    <t>7003890159;7003881087;7003885679;6603225350;6602631345;7004550812</t>
  </si>
  <si>
    <t>Parra, T.;Gayral, M.;Llopis, O.;Pouysegur, M.;Sautereau, J.;Graffeuil, J.</t>
  </si>
  <si>
    <t>Toulouse;Toulouse</t>
  </si>
  <si>
    <t>Universite Paul Sabatier Toulouse III;Thales Alenia Space</t>
  </si>
  <si>
    <t>60027245;60019894</t>
  </si>
  <si>
    <t>Parra T.</t>
  </si>
  <si>
    <t>Design of a Low Phase Distortion GaAs FET Power Limiter</t>
  </si>
  <si>
    <t>10.1109/22.81682</t>
  </si>
  <si>
    <t>2-s2.0-0026170162</t>
  </si>
  <si>
    <t>['w peak', 'state type', 'signal processor', 'return echos', 'processed image', 'paper deals', 'mainly dedicated', 'introduced along', 'ground resolution', 'geological applications', 'foldable configuration', 'echo signals', 'design parameters', 'chirp pulse', '35 deg']</t>
  </si>
  <si>
    <t>This paper deals with the spaceborne synthetic aperture radar (SAR) to be launched on the Japanese Earth Resources Satellite-1. The SAR is operated in L-band. The purpose of the mission is mainly dedicated for geological applications. The ground resolution of the processed image is designed as 18 m and the off-nadir angle required to meet geological applications is 35 deg. The key system parameter design and performance are introduced along with the reason of choosing such design parameters. For the hardware currently developed, ground test results are presented. The antenna is a thin-flat-foldable configuration which has a 11.9 m by 2.2 m aperture when extended in orbit. The transmitter, receiver, and signal processor are all solid-state type to achieve high reliability of operation. They transmit an 1100-W peak (minimum) chirp pulse and receive the return echos and process the echo signals into in-phase and quadrature data streams. ¬© 1991 IEEE</t>
  </si>
  <si>
    <t>800-809</t>
  </si>
  <si>
    <t>;;60101699;60101699;60031293;60031293</t>
  </si>
  <si>
    <t>36841034100;57205830211;55242459000;6603171877;7403216165;55741515900</t>
  </si>
  <si>
    <t>Nemoto, Yoshiaki;Nishino, Hideo;Ono, Makoto;Mizutamari, Hitoshi;Nishikawa, Katsuhiko;Tanaka, Kaoru</t>
  </si>
  <si>
    <t>Tokyo;Tokyo</t>
  </si>
  <si>
    <t>Mitsubishi Electric Corporation;NEC Corporation</t>
  </si>
  <si>
    <t>60101699;60031293</t>
  </si>
  <si>
    <t>Nemoto Y.</t>
  </si>
  <si>
    <t>Japanese Earth Resources Satellite-1 Synthetic Aperture Radar</t>
  </si>
  <si>
    <t>10.1109/5.90159</t>
  </si>
  <si>
    <t>2-s2.0-0026170225</t>
  </si>
  <si>
    <t>['solved via', 'priori knowledge', 'maximisation problem', 'mainbeam nulling', 'j nulls', 'emitter sources', 'array normal', 'also given', '2 unknowns']</t>
  </si>
  <si>
    <t>The pointing direction gain of a linear phased array antenna is maximised with the constraints of phase-only control at the N antenna elements and the imposition of J nulls at angles Œ∏1, Œ∏2,..., Œ∏J from the array normal. The specification of J nulling angles requires the a priori knowledge of the directions of the emitter sources. This maximisation problem with constraints is reduced to 2J + 2 nonlinear equations which can be solved via a vector Newton algorithm to yield the N complex antenna weights in terms of the 2J + 2 unknowns. Examples are given for a 20 element array with uniform and Hamming amplitude weighting and the imposition of as many as five nulling angles. Examples of mainbeam nulling are also given.</t>
  </si>
  <si>
    <t>241-246</t>
  </si>
  <si>
    <t>7003942539;6603970174</t>
  </si>
  <si>
    <t>Castella, F. R.;Kuttler, J. R.</t>
  </si>
  <si>
    <t>Castella F.</t>
  </si>
  <si>
    <t>Optimised array antenna nulling with phase-only control</t>
  </si>
  <si>
    <t>10.1049/ip-f-2.1991.0031</t>
  </si>
  <si>
    <t>2-s2.0-0026170341</t>
  </si>
  <si>
    <t>['well suited', 'wave applications', 'video signals', 'room available', 'processing electronics', 'polarized two', 'polarized antennas', 'polarized antenna', 'novel bias', 'mixer receivers', 'membrane inside', 'fully monolithic', 'field patterns', 'feeding structure', 'efficiency balanced', 'diagnostics experiments', 'astronomical measurements', 'aperture radars', '92 ghz', '20 db']</t>
  </si>
  <si>
    <t>A dual-polarized two-dimensional imaging array has been designed for millimeter-wave applications. The dual-polarized design consists of two dipoles perpendicular to each other and suspended on the same membrane inside a pyramidal cavity etched in silicon. The dual-polarized antenna is fully monolithic with plenty of room available for processing electronics. The IF or video signals are taken out through a novel bias and feeding structure. The measured polarization isolation is better than 20 dB at 92 GHz, and the orthogonal channels show identical far-field patterns. The antenna is well suited for millimeter-wave polarimetric synthetic-aperture radars and high-efficiency balanced-mixer receivers. Additional application areas are dual-polarized antennas for plasma-diagnostics experiments and radio-astronomical measurements. ¬© 1991 IEEE</t>
  </si>
  <si>
    <t>820-825</t>
  </si>
  <si>
    <t>6602531547;7006384021</t>
  </si>
  <si>
    <t>Ali-Ahmad, Walid Y.;Rebeiz, Gabriel M.</t>
  </si>
  <si>
    <t>Ali-Ahmad W.Y.</t>
  </si>
  <si>
    <t>92 GHz Dual-Polarized Integrated Horn Antennas</t>
  </si>
  <si>
    <t>10.1109/8.86882</t>
  </si>
  <si>
    <t>2-s2.0-0026170378</t>
  </si>
  <si>
    <t>['operating condition', 'much smaller', 'internally matched', 'internal inductance', 'inner side', 'helix winding', 'helical antenna', 'frequencies lower', 'experimental results', 'distributed capacitance', 'dielectric sheet', 'carefully adjusting', 'axial mode', 'antenna design']</t>
  </si>
  <si>
    <t>An internally matched helical beam antenna is designed and constructed. The helix winding of a helical antenna is designed to be a slow wave section by placing a ground copper sheet on the inner side of the winding and inserting a dielectric sheet between the winding and the ground copper sheet to form a distributed capacitance along the antenna. By carefully adjusting the internal inductance of the helix winding and the distributed capacitance, we can cause the antenna to be radiated in the axial mode and to be internally matched to the 50 œâ transmission line feeding it. With this arrangement, the dimension of such an antenna can be much smaller than that for an ordinary helical beam antenna at the same operating condition. (The constructed internally matched antenna in this paper has a dimension of only about 0.2% of that for an ordinary helix.) This advantage becomes significant, especially when the antenna is to be operated at frequencies lower than several hundred megahertz. Details of the antenna design and experimental results are presented. ¬© 1991 IEEE</t>
  </si>
  <si>
    <t>811-814</t>
  </si>
  <si>
    <t>35460663000;25960688900</t>
  </si>
  <si>
    <t>Wong, Kin Lu;Chen, Wen Shyang</t>
  </si>
  <si>
    <t>Wong K.</t>
  </si>
  <si>
    <t>Study of an Internally Matched Helical Beam Antenna</t>
  </si>
  <si>
    <t>10.1109/8.86880</t>
  </si>
  <si>
    <t>2-s2.0-0026170379</t>
  </si>
  <si>
    <t>['reflector size', 'inverse transformation', 'improved method', 'fourier transform', 'form expression', 'edge diffraction', 'accomplished using']</t>
  </si>
  <si>
    <t>An improved method for determining the test zone field of compact range reflectors is presented. The plane wave spectrum (PWS) approach is employed to obtain the test zone field from knowledge of the reflector aperture field distribution. The method is particularly well suited to the analysis of reflectors having a linearly serrated rim for reduced edge diffraction. Computation of the PWS of the reflector aperture field is facilitated by a closed-form expression for the Fourier transform of a polygonal window function. Inverse transformation in the test zone region is accomplished using a fast Fourier transform (FFT) algorithm with a properly adjusted sampling rate which is a function of both the reflector size and the distance from the reflector. The method is validated by comparison with results obtained using surface current and aperture field integration techniques. The performance of several serrated reflectors is evaluated in order to observe the effects of edge diffraction on the test zone fields. ¬© 1991 IEEE</t>
  </si>
  <si>
    <t>746-753</t>
  </si>
  <si>
    <t>36862665100;7102110120</t>
  </si>
  <si>
    <t>Mckay, James P.;Rahmat-Samii, Yahya</t>
  </si>
  <si>
    <t>Mckay J.P.</t>
  </si>
  <si>
    <t>Compact Range Reflector Analysis Using the Plane Wave Spectrum Approach with an Adjustable Sampling Rate</t>
  </si>
  <si>
    <t>10.1109/8.86871</t>
  </si>
  <si>
    <t>2-s2.0-0026170380</t>
  </si>
  <si>
    <t>CA 91109</t>
  </si>
  <si>
    <t>['space shuttle', 'september 1993', 'radars share', 'joint sponsorship', 'italian governments', 'imaging radars', 'frequency radar', 'c system', '9600 mhz', '5300 mhz', '1250 mhz']</t>
  </si>
  <si>
    <t>The SIR-C/X-SAR Synthetic Aperture Radar is a three-frequency radar to be flown on the Space Shuttle in September 1993. The SIR-C system is a two-frequency radar and is the third of a series of imaging radars to be flown on the Shuttle. The SIR-C system operates at 1250 MHz (L-band) and 5300 MHz (C-band) and is designed to get four polarization radar imagery at multiple surface angles. The X-Band Synthetic Aperture Radar (X-SAR) system is an X-band imaging radar operating at 9600 MHz being developed under the joint sponsorship of the German and Italian governments. Both radars share a common antenna structure and operate in synchronism. ¬© 1991 IEEE</t>
  </si>
  <si>
    <t>827-838</t>
  </si>
  <si>
    <t>60009037;60009037;60007798</t>
  </si>
  <si>
    <t>7401611011;6701498951;55431562100</t>
  </si>
  <si>
    <t>Jordan, Rolando L.;Huneycutt, Bryan L.;Werner, Marian</t>
  </si>
  <si>
    <t>Pasadena;¬†Cologne</t>
  </si>
  <si>
    <t>Jet Propulsion Laboratory;Deutsches Zentrum fur Luft- Und Raumfahrt</t>
  </si>
  <si>
    <t>60009037;60007798</t>
  </si>
  <si>
    <t>Jordan R.L.</t>
  </si>
  <si>
    <t>The SIR-C/X-SAR Synthetic Aperture Radar System</t>
  </si>
  <si>
    <t>10.1109/5.90161</t>
  </si>
  <si>
    <t>2-s2.0-0026170513</t>
  </si>
  <si>
    <t>['system performance', 'receiver noise', 'quantization origins', 'performance evaluation', 'errors coming', 'element system', 'appropriate second', 'antenna pattern', 'amplitude imbalance']</t>
  </si>
  <si>
    <t>The technique of using three receiving elements for amplitude comparison monopulse direction finders (DF) is examined. An appropriate second-order discriminant function is chosen for this technique. Simulation is then used to compare the system performance to that of the two-element system. In performance evaluation, errors coming from receiver noise, antenna pattern, amplitude imbalance, mechanical and quantization origins are accounted for. ¬© 1991 IEEE</t>
  </si>
  <si>
    <t>596-600</t>
  </si>
  <si>
    <t>6507932245;6506285757;6603117012</t>
  </si>
  <si>
    <t>Abd El-Alim, Onsy A.;Agrama, Elsayed E.;Ezz-El-Arab, Mohamed E.</t>
  </si>
  <si>
    <t>Abd El-Alim O.</t>
  </si>
  <si>
    <t>Second-Order Discriminant Function for Amplitude Comparison Monopulse Antenna Systems</t>
  </si>
  <si>
    <t>10.1109/19.87025</t>
  </si>
  <si>
    <t>2-s2.0-0026170794</t>
  </si>
  <si>
    <t>['x band', 'wave generation', 'theoretical description', 'radiating element', 'power millimeter', 'power combining', 'oscillator arrays', 'optical method', 'operating frequency', 'inphase operation', 'free space', 'experiments indicate', 'design purposes', 'also presented', '22 w', '10 w']</t>
  </si>
  <si>
    <t>A quasi-optical method for SolidState power combining is discussed, with application to high-power millimeter-wave generation. The approach uses two-dimensional planar arrays of weakly coupled oscillators. Limiting the strength of the coupling avoids multifrequency moding problems and simplifies the design. A radiating element is embedded in each oscillator so that the power combining is accomplished in free space. The concept has been demonstrated with two prototype arrays, one using Gunn diodes and the other MESFET'S. A theoretical description of the coupled-oscillator arrays is also presented for design purposes, and is used to investigate phasing problems and stability. Experiments indicate that inphase operation is facilitated by using a quasi-optical reflector element, which influences the operating frequency and coupling between the elements. Equivalent isotropic radiated powers of 22 W at 1% efficiency for a 16-element Gunn array and 10 W at 26% efficiency for a 16-element MESFET array have been obtained at X band. ¬© 1991 IEEE</t>
  </si>
  <si>
    <t>1000-1009</t>
  </si>
  <si>
    <t>York R.A.</t>
  </si>
  <si>
    <t>Quasi-Optical Power Combining Using Mutually Synchronized Oscillator Arrays</t>
  </si>
  <si>
    <t>10.1109/22.81670</t>
  </si>
  <si>
    <t>2-s2.0-0026170890</t>
  </si>
  <si>
    <t>['statistical analysis', 'squared error', 'signal presence', 'signal power', 'sensor data', 'output power', 'inversely proportional', 'gaussian distributed', 'expected value', 'excess mean', 'directly proportional', 'desired signal', 'data vectors', 'data vector', 'covariance matrix', 'beta distributed', 'adaptive degrees']</t>
  </si>
  <si>
    <t>A statistical analysis of the adaptive convergence behavior of linearly constrained beamformers is given, assuming the sample covariance estimator is used to estimate the covariance matrix. The sensor data is assumed to be Gaussian distributed and independent from data vector to data vector. The output power and mean-squared error in the absence of the desired signal are shown to be multiples of chi-squared random variables. The presence of the desired signal results in an excess mean-squared error that is beta distributed and depends only on the signal power, number of data vectors, and number of adaptive degrees of freedom. The expected value of the excess mean-squared error resulting from the signal presence is directly proportional to the signal power and number of adaptive degrees of freedom, but is inversely proportional to the number of data vectors. ¬© 1991 IEEE</t>
  </si>
  <si>
    <t>1470-1473</t>
  </si>
  <si>
    <t>Van Veen, Barry D.</t>
  </si>
  <si>
    <t>Madison</t>
  </si>
  <si>
    <t>University of Wisconsin-Madison</t>
  </si>
  <si>
    <t>Van Veen B.</t>
  </si>
  <si>
    <t>Adaptive Convergence of Linearly Constrained Beamformers Based on the Sample Covariance Matrix</t>
  </si>
  <si>
    <t>10.1109/78.136563</t>
  </si>
  <si>
    <t>2-s2.0-0026170893</t>
  </si>
  <si>
    <t>['¬© 1991', 'wideband detectors', 'room temperature', 'laser transducer', 'laser interferometer', 'japan society', 'highly sensitive', 'gravitational radiation', 'expected performance', 'displacement transducer', 'detection bandwidth', 'around 1', 'applied physics', '80 hz', '4x 10', '2 khz']</t>
  </si>
  <si>
    <t>Disk antenna | Fabry-Perot cavity | Fabry-Perot interferometer | Gravitational radiation | Gravitational-wave detection | Laser interferometer | Vibration transducer</t>
  </si>
  <si>
    <t>Disk antennas combined with a laser interferometer as a displacement transducer can be made into highly sensitive, wideband detectors for gravitational radiation. The proposed detector system, which operates at room temperature, has a minimum detectable amplitude of gravitational radiation, hm[n=4x 10-18, and a detection bandwidth of 80 Hz at around 1.2 kHz. The expected performance of the laser transducer is calculated and the feasibility of this type of detector for gravitational radiation is shown. ¬© 1991 The Japan Society of Applied Physics.</t>
  </si>
  <si>
    <t>1326-1330</t>
  </si>
  <si>
    <t>6 R</t>
  </si>
  <si>
    <t>Japanese Journal of Applied Physics</t>
  </si>
  <si>
    <t>60025272;60025272;60025272</t>
  </si>
  <si>
    <t>7004058311;7003618768;7102139718</t>
  </si>
  <si>
    <t>Tsubono, Kimio;Mio, Norikatsu;Mizutani, Akihiko</t>
  </si>
  <si>
    <t>The University of Tokyo</t>
  </si>
  <si>
    <t>Tsubono K.</t>
  </si>
  <si>
    <t>Laser interferometer instrumented in a disk antenna for gravitational radiation</t>
  </si>
  <si>
    <t>10.1143/JJAP.30.1326</t>
  </si>
  <si>
    <t>2-s2.0-0026171054</t>
  </si>
  <si>
    <t>['wiley company', 'patch antennas', 'microstrip lines', 'letter analyzes', 'investigated due', 'inc .,', 'feed networks', 'cylindrical striplines', 'curved surfaces']</t>
  </si>
  <si>
    <t>microstrip | Microwave circuits and systems | strip lines</t>
  </si>
  <si>
    <t>Cylindrical striplines and microstrip lines have recently been investigated due to their applications as feed networks of patch antennas on curved surfaces. This letter analyzes the broadside coupled cylindrical suspended microstrip lines using conformal mapping technique. Closed‚Äêform expressions for even‚Äê and odd‚Äêmode characteristic impedances are obtained. This analysis can also be extended to warped broadside coupled suspended cylindrical microstrip lines. Copyright ¬© 1991 Wiley Periodicals, Inc., A Wiley Company</t>
  </si>
  <si>
    <t>253-255</t>
  </si>
  <si>
    <t>Reddy, C. Jagadeswara</t>
  </si>
  <si>
    <t>Mumbai</t>
  </si>
  <si>
    <t>Society for Applied Microwave Electronics Engineering &amp; Research</t>
  </si>
  <si>
    <t>Reddy C.J.</t>
  </si>
  <si>
    <t>Analysis of broadside coupled cylindrical suspended microstrip lines using conformal mapping techniques</t>
  </si>
  <si>
    <t>10.1002/mop.4650040704</t>
  </si>
  <si>
    <t>2-s2.0-0026171281</t>
  </si>
  <si>
    <t>['two lasers', 'substantial improvement', 'spectral purity', 'satellite transmitter', 'phase locking', 'phase error', 'demands placed', 'data rates', '131 mb']</t>
  </si>
  <si>
    <t>A coherent optical beam forming network principle using phase-locked semiconductor lasers as sources is presented. For this scheme the spectral purity of the intermediate frequency derived from mixing the signals from two semiconductor lasers is considered and the relationship between the linewidths of the lasers in a satellite transmitter and the phase error at the detector of a microwave differential quaternary phase-shift keying earth station receiver is analyzed. The demands placed on the linewidths from the point of view of phase stability requirements are calculated for coherent optical beam forming networks using quaternary phase-shift keying modulation at data rates of 33 and 131 Mb/s as examples. Furthermore, it is shown that a substantial improvement in performance can be achieved when phase locking the two lasers to each other is feasible. ¬© 1991 IEEE</t>
  </si>
  <si>
    <t>779-790</t>
  </si>
  <si>
    <t>Journal of Lightwave Technology</t>
  </si>
  <si>
    <t>115596906-60011373;60011373</t>
  </si>
  <si>
    <t>6603797042;7005242581</t>
  </si>
  <si>
    <t>Gliese, Ulrik;Stubkj√¶r, Kristian E.</t>
  </si>
  <si>
    <t>Denmark;Denmark</t>
  </si>
  <si>
    <t>Lyngby;</t>
  </si>
  <si>
    <t>Danmarks Tekniske Universitet;Center for Broadband Telecommunications Electromagnetics Institute</t>
  </si>
  <si>
    <t>60011373;115596906</t>
  </si>
  <si>
    <t>Gliese U.</t>
  </si>
  <si>
    <t>Laser Linewidth Requirements and Improvements for Coherent Optical Beam Forming Networks in Satellites</t>
  </si>
  <si>
    <t>10.1109/50.81982</t>
  </si>
  <si>
    <t>2-s2.0-0026171301</t>
  </si>
  <si>
    <t>['practical designs', 'performed using', 'often utilised', 'noticeable effect', 'microstrip series', 'general conclusions', 'fully includes', 'feedline radiation', 'feed network', 'fed arrays', 'experimental analysis', 'element series', 'advantageous full']</t>
  </si>
  <si>
    <t>Microstrip series-fed arrays are often utilised for compact array designs. This type of feed structure minimises feedline lengths and feedline radiation. However, in practice, the radiation from the feed network still can be significant and it can have a noticeable effect on the array radiation pattern. Analysis is performed using the advantageous full-wave discrete image technique. Theoretical and experimental analysis of the radiation from a four-element series-fed microstrip array antenna, which fully includes the effect of the feed network, is presented. General conclusions are made for the purpose of practical designs.</t>
  </si>
  <si>
    <t>238-242</t>
  </si>
  <si>
    <t>7404507474;6506765696;7006562937;56042261700</t>
  </si>
  <si>
    <t>Wu, K. L.;Spenuk, M.;Litva, J.;Fang, D. G.</t>
  </si>
  <si>
    <t>Wu K.</t>
  </si>
  <si>
    <t>Theoretical and experimental study of feed network effects on the radiation pattern of series-fed microstrip antenna arrays</t>
  </si>
  <si>
    <t>10.1049/ip-h-2.1991.0038</t>
  </si>
  <si>
    <t>2-s2.0-0026171740</t>
  </si>
  <si>
    <t>NSC 7H1404-E002-01</t>
  </si>
  <si>
    <t>['variational equation', 'several antennas', 'reflection coeffcients', 'radiation patterns', 'radiation characteristics', 'pvp ),', 'power gains', 'linearized structures', 'function approach', 'analyzed numerically']</t>
  </si>
  <si>
    <t>The reflection and radiation characteristics of a planar dielectric antenna with arbitrary geometrical confguration a analyzed numerically. A variational equation is first established based on the partial variational principle (PVP), and then solved by tie finite element method coupled with the frontal soluton technique. The radiation and boundary conditons ar incorporated by combining the modal expansion method and the Green's function approach for exterior field representation. The reflection coeffcients, the radiation patterns, and the directive and power gains of several antennas with linearized structures are studied and compared. ¬© 1991 IEEE</t>
  </si>
  <si>
    <t>713-718</t>
  </si>
  <si>
    <t>60012370;60005429</t>
  </si>
  <si>
    <t>55469205300;8434560800</t>
  </si>
  <si>
    <t>Chung, Shyh Jong;Chen, Chun Hsiung</t>
  </si>
  <si>
    <t>Taiwan;Taiwan</t>
  </si>
  <si>
    <t>Hsinchu;Taipei</t>
  </si>
  <si>
    <t>National Chiao Tung University;National Taiwan University</t>
  </si>
  <si>
    <t>Chung S.</t>
  </si>
  <si>
    <t>A Partial Variational Analysis of Planar Dielectric Antennas</t>
  </si>
  <si>
    <t>10.1109/8.86867</t>
  </si>
  <si>
    <t>2-s2.0-0026171748</t>
  </si>
  <si>
    <t>['wiley company', 'transmission data', 'skew angle', 'inc .,', 'antenna arrays']</t>
  </si>
  <si>
    <t>insertion loss | mutual coupling | Rectangular patch antenna | skew angle</t>
  </si>
  <si>
    <t>This article considers mutual coupling as a function of the skew angle between rectangular microstrip patch antennas configured in a two‚Äêelement array. Reflection and transmission data for antenna arrays are presented with emphasis on the measured mutual coupling between the elements for varying skew angles. Copyright ¬© 1991 Wiley Periodicals, Inc., A Wiley Company</t>
  </si>
  <si>
    <t>258-264</t>
  </si>
  <si>
    <t>60022144;60022144;100499921</t>
  </si>
  <si>
    <t>7004705420;7202885990;7402463601</t>
  </si>
  <si>
    <t>Wahid, P. F.;Dunn, G. L.;Dunn, D. S.</t>
  </si>
  <si>
    <t>Orlando;Orlando</t>
  </si>
  <si>
    <t>University of Central Florida;Technical Systems Associates, Inc</t>
  </si>
  <si>
    <t>60022144;100499921</t>
  </si>
  <si>
    <t>Wahid P.</t>
  </si>
  <si>
    <t>Mutual coupling between skewed microstrip patch antennas</t>
  </si>
  <si>
    <t>10.1002/mop.4650040706</t>
  </si>
  <si>
    <t>2-s2.0-0026171902</t>
  </si>
  <si>
    <t>['phase correction', 'measurements show', 'experimental measurements', '10 ghz']</t>
  </si>
  <si>
    <t>A simple new method for correcting phase errors due to flexing of cables in an antenna measurement setup is introduced. The method has been verified with experimental measurements at 10 GHz. The measurements show that the accuracy of the phase correction is limited by the accuracy of the phase measurement device in the system. ¬© 1991 IEEE</t>
  </si>
  <si>
    <t>859-861</t>
  </si>
  <si>
    <t>7006775375;7003817193;35809669200</t>
  </si>
  <si>
    <t>Tuovinen, J.;Lehto, A.;R√§is√§nen, A.</t>
  </si>
  <si>
    <t>A New Method for Correcting Phase Errors Caused by Flexing of Cables in Antenna Measurements</t>
  </si>
  <si>
    <t>10.1109/8.86889</t>
  </si>
  <si>
    <t>2-s2.0-0026172087</t>
  </si>
  <si>
    <t>['turns realizes', 'turn helix', 'small number', 'ratio criterion', 'radiating element', 'profile helix', 'low pitch', 'circular polarization']</t>
  </si>
  <si>
    <t>It is revealed that the combination of low pitch and a small number of turns realizes a low-profile helix as a radiating element of circular polarization. A two-turn helix of 4¬∞ pitch angle shows a bandwidth of 12% for a 3 dB axial-ratio criterion. ¬© 1991 IEEE</t>
  </si>
  <si>
    <t>754-757</t>
  </si>
  <si>
    <t>60030526;60030526;60030526;60030526;60030526</t>
  </si>
  <si>
    <t>55633340100;55437889300;7201857417;7003298527;56405174700</t>
  </si>
  <si>
    <t>Nakano, Hisamatsu;Takeda, Haruo;Honma, Teruaki;Mimaki, Hiroaki;Yamauchi, Junji</t>
  </si>
  <si>
    <t>Nakano H.</t>
  </si>
  <si>
    <t>Extremely Low-Profilec Helix Radiating a Circularly Polarized Wave</t>
  </si>
  <si>
    <t>10.1109/8.86872</t>
  </si>
  <si>
    <t>2-s2.0-0026172088</t>
  </si>
  <si>
    <t>['wires may', 'wire spacing', 'wire separation', 'solution obtained', 'order approximation', 'infinite length', 'homogeneous medium', 'electromagnetic coupling']</t>
  </si>
  <si>
    <t>The electromagnetic coupling of two crossed thin wires of infinite length is considered. Two coupled integral equations are obtained, given in terms of generalized impedance functions, for the spectral currents flowing in each wire. The wires may be in a homogeneous medium or over a halfspace. The numerical implementation focuses, however, only on the former. The numerical solution may be obtained by either applying moment or multiple scattering methods. The solution obtained from the method of moments is applicable for any wire spacing. Obversely, the multiple scattering method leads to a convenient matrix series solution, which shows that the coupling between wires is proportional to 1/d&lt;sup&gt;2&lt;/sup&gt; (d is the wire separation) plus higher order scattering terms. An example is provided that demonstrates the sufficiency of retaining only the first two terms contained in the first-order approximation. ¬© 1991 IEEE</t>
  </si>
  <si>
    <t>732-739</t>
  </si>
  <si>
    <t>60021392;60010065</t>
  </si>
  <si>
    <t>7408526961;7103195054</t>
  </si>
  <si>
    <t>Young, Jeffrey L.;Wait, James R.</t>
  </si>
  <si>
    <t>Tucson;Tucson</t>
  </si>
  <si>
    <t>Hughes Missile Systems Company;The University of Arizona</t>
  </si>
  <si>
    <t>Young J.</t>
  </si>
  <si>
    <t>Electromagnetic Response of Two Crossing, Infinitely Long, Thin Wires</t>
  </si>
  <si>
    <t>10.1109/8.86869</t>
  </si>
  <si>
    <t>2-s2.0-0026173147</t>
  </si>
  <si>
    <t>Caltech</t>
  </si>
  <si>
    <t>['topographic mapping', 'nominal mission', 'late 2003', 'largest moon', 'individual modes', 'close flybys']</t>
  </si>
  <si>
    <t>Cassini Titan Radar Mapper is a multimode radar instrument designed to probe the optically inaccessible surface of Titan, Saturn's largest moon. The instrument is to be included in the payload of the Cassini Saturn Mission. The spacecraft is scheduled for launch in 1995 and is expected to arrive at Saturn and be inserted in orbit around Saturn in late 2003. The individual modes of Cassini Radar Mapper will allow surface imaging at few hundred meters resolution, and topographic mapping. The Mapper will be in operation during close flybys of Titan and will map ~30% of Titan's surface in the course of the nominal mission. ¬© 1991 IEEE</t>
  </si>
  <si>
    <t>867-880</t>
  </si>
  <si>
    <t>60009037;60009037;60009037;60009037</t>
  </si>
  <si>
    <t>7005392498;7006718891;8426086300;57211224617</t>
  </si>
  <si>
    <t>Elachi, Charles;Im, Eastwood;Roth, Ladislav E.;Werner, Charles L.</t>
  </si>
  <si>
    <t>Elachi C.</t>
  </si>
  <si>
    <t>Cassini Titan Radar Mapper</t>
  </si>
  <si>
    <t>10.1109/5.90164</t>
  </si>
  <si>
    <t>2-s2.0-0026173177</t>
  </si>
  <si>
    <t>['scanned position', 'scanned plane', 'radiation pattern', 'phase function', 'phase distribution', 'perpendicular direction', 'nonisotropic elements', 'desired patterns', 'computed results', 'better agreement', 'beam shape', 'appropriate correction']</t>
  </si>
  <si>
    <t>A method of scanning a one-dimensional shaped pattern generated by a tilted circular planar array of nonisotropic elements is presented. A method of synthesis of phase function for a desired cosecant pattern and specified amplitude distribution for excitation of the elements of the array is presented. Phase distribution required in the perpendicular direction for retaining the beam shape in the scanned plane is determined. Computed results on the phase distribution and radiation pattern are presented. The appropriate correction is applied to get a better agreement between the realized and desired patterns in this scanned position of the beam. ¬© 1991 IEEE</t>
  </si>
  <si>
    <t>851-854</t>
  </si>
  <si>
    <t>57224727174;57202662632;35753097600</t>
  </si>
  <si>
    <t>Kumar, Jagat;Chakraborty, Ajay;Das, B. N.</t>
  </si>
  <si>
    <t>Kumar J.</t>
  </si>
  <si>
    <t>Communications Scanning of Cosecant Beams Generated by a Tilted Planar Array of Nonisotropic Radiators</t>
  </si>
  <si>
    <t>10.1109/8.86886</t>
  </si>
  <si>
    <t>2-s2.0-0026173434</t>
  </si>
  <si>
    <t>['sidelobe levels', 'numerical simulations', 'measured data', 'ground antennas', 'deterioration effects']</t>
  </si>
  <si>
    <t>Reflector surface distortion degrades antenna performance by lowering the gain and increasing the sidelobe levels. The distortion may result from thermal, gravitational or other effects. It is the purpose of this paper to present novel distortion compensation concepts based on the application of properly matched array feeds. Both numerical simulations and measured data are presented to demonstrate the utility of the concept. In particular, it is shown that the concept is most useful for overcoming the deterioration effects of slowly varying surface distortions. The application of this concept could prove very useful for future large space and ground antennas. ¬© 1991 IEEE</t>
  </si>
  <si>
    <t>Rahmat-Samii, Y.</t>
  </si>
  <si>
    <t>Novel Array-Feed Distortion Compensation Techniques for Reflector Antennas</t>
  </si>
  <si>
    <t>10.1109/62.88976</t>
  </si>
  <si>
    <t>2-s2.0-0026173520</t>
  </si>
  <si>
    <t>['surface currents', 'several problems', 'radiation patterns', 'point impedances', 'ordinate transformations', 'numerical results', 'new series', 'different configurations', 'conducting surfaces', 'analysed using']</t>
  </si>
  <si>
    <t>Radiation of wire antenna structures in the vicinity of conducting surfaces is analysed using an entire-domain Galerkin formulation. A method is developed for modelling those conducting surfaces by interconnected rectangular plates. The singular integrals involved in the matrix elements due to the junctions between the plates are treated by a new series of co-ordinate transformations and evaluated with the aid of specially constructed quadrature formulas. Numerical results are presented for surface currents on the reflectors and for driving-point impedances and radiation patterns of the antennas. Several problems with different configurations are solved. Results show good agreement with those obtained by other methods.</t>
  </si>
  <si>
    <t>225-232</t>
  </si>
  <si>
    <t>Hassan, M. A.</t>
  </si>
  <si>
    <t>Saudi Arabia</t>
  </si>
  <si>
    <t>Riyadh</t>
  </si>
  <si>
    <t>King Saud University</t>
  </si>
  <si>
    <t>Hassan M.</t>
  </si>
  <si>
    <t>Numerical modelling technique for the radiation of wire antennas near conducting surfaces</t>
  </si>
  <si>
    <t>10.1049/ip-h-2.1991.0036</t>
  </si>
  <si>
    <t>2-s2.0-0026173582</t>
  </si>
  <si>
    <t>['wind velocity', 'weather conditions', 'two swaths', 'tropospheric dynamics', 'space agencies', 'seasat scatterometer', 'seasat experience', 'sea interaction', 'satellite scatterometers', 'nasa scatterometer', 'measuring near', 'greatly increase', 'early 1990']</t>
  </si>
  <si>
    <t>Satellite scatterometers are microwave radars capable of measuring near-surface vector winds (both speed and direction) over the oceans under all-weather conditions. Such data are required for most studies of upper ocean circulation, tropospheric dynamics, and air-sea interaction. In conjunction with an empirically determined relationship between radar cross section and wind velocity, scatterometry employs colocated measurements of the radar cross section of the ocean from multiple azimuth angles to estimate vector winds. The technique has been demonstrated with the flight of the Seasat scatterometer in 1978; additional satellite scatterometers will be orbited in the early 1990's by European and U.S. Space agencies. This paper summarizes scatterometry and scatterometer design issues, with emphasis on the design of the NASA Scatterometer (NSCAT) to be flown on the Japanese ADEOS mission. Building on the Seasat experience, the NSCAT system includes several enhancements (such as three antenna azimuths in each of two swaths, and an on-board digital Doppler processor to allow backscatter measurements to be colocated everywhere within the orbit) that will greatly increase the quality of the NSCAT wind data. ¬© 1991 IEEE</t>
  </si>
  <si>
    <t>850-866</t>
  </si>
  <si>
    <t>60009037;60009037;60009037</t>
  </si>
  <si>
    <t>6603561155;7007130054;35508257500</t>
  </si>
  <si>
    <t>Naderi, F. M.;Freilich, M. H.;Long, D. G.</t>
  </si>
  <si>
    <t>Naderi F.M.</t>
  </si>
  <si>
    <t>Spaceborne Radar Measurement of Wind Velocity Over the Ocean‚ÄîAn Overview of the NSCAT Scatterometer System</t>
  </si>
  <si>
    <t>10.1109/5.90163</t>
  </si>
  <si>
    <t>2-s2.0-0026173730</t>
  </si>
  <si>
    <t>['undesired heating', 'terminating impedance', 'target volume', 'surrounding tissue', 'outer conductor', 'open end', 'mounted outside', 'microwave antenna', 'mechanical length', 'little damage', 'interstitial radiotherapy', 'insertion depth', 'high impedance', 'high concentration', 'generator end', 'feeding line', 'e .,', 'dipole irrespective', 'dipole antenna', 'dielectric materials', '915 mhz', '4 sleeve']</t>
  </si>
  <si>
    <t>An improved interstitial microwave antenna design was investigated in static phantom experiments at 915 MHz and different insertion depths. Compared with conventional interstitial antennas, the dipole microwave antenna presented in this paper shows heating patterns which are concentrated on the dipole irrespective of the insertion depth. By analogy to interstitial radiotherapy, the microwave antenna we have developed thus allows a high concentration of energy in the target volume with as little damage as possible to the healthy surrounding tissue. The undesired heating of healthy tissue along the feeding line observed with conventional interstitial antennas is avoided. A Œª/4 sleeve on the feeding line (which does not radiate microwave energy itself to the surrounding tissue) transforms an open end, i.e., a high impedance at the generator end of the dipole antenna. The current flowing back along the outside of the outer conductor of the feeding line in the direction of the generator is 0 at this point. Both dipole sections thus have the same terminating impedance. Since the Œª/4 sleeve is mounted outside the antenna, its mechanical length is not restricted by the mechanical length of the antenna. It can hence be charged with dielectric materials of low dielectricity constants, e.g. PTFE. ¬© 1991 IEEE</t>
  </si>
  <si>
    <t>1048-1054</t>
  </si>
  <si>
    <t>60017059;60017059;60017059</t>
  </si>
  <si>
    <t>6506041828;6507544357;57212720428</t>
  </si>
  <si>
    <t>H√ºrter, W.;Reinbold, F.;Lorenz, W. J.</t>
  </si>
  <si>
    <t>German Cancer Research Center</t>
  </si>
  <si>
    <t>H√ºrter W.</t>
  </si>
  <si>
    <t>A Dipole Antenna for Interstitial Microwave Hyperthermia</t>
  </si>
  <si>
    <t>10.1109/22.81680</t>
  </si>
  <si>
    <t>2-s2.0-0026173783</t>
  </si>
  <si>
    <t>['well known', 'system focus', 'reflected field', 'optical axis', 'numerical calculations', 'measured using', 'laterally displaced', 'gregorian mode', 'good agreement', 'feed horn', 'experimental results', 'crosspolarized component', 'circular polarization', 'beam squint']</t>
  </si>
  <si>
    <t>The beam squint effect for circularly polarized excitation is well known for offset reflector antennas. In the case of circularly polarized excitation, the beam squint is manifested by a small angular shift of the radiation patterns corresponding to left- and right-circular polarization. The same effect occurs qualitatively also in a symmetrical reflector antenna with a laterally displaced feed horn. In both cases, the beam squint effect is caused by the crosspolarized component in the reflected field. Numerical calculations have been carried out and the beam squint for circular polarized excitation has been measured using the 100-m telescope of the Max-Planck-Institut f√úr Radioastronomie. The telescope was operated in the Gregorian mode, where the equivalent focal length is fequiv = 387.5 m. The feed horn was laterally displaced by 1.364 m from the optical axis at the system focus. In good agreement between the numerical calculations and the experimental results, we find a shift of the two radiation patterns of œàs ‚àΩ 2 arcsec. ¬© 1991 IEEE</t>
  </si>
  <si>
    <t>774-779</t>
  </si>
  <si>
    <t>60001754;60001754;60029311;60029311</t>
  </si>
  <si>
    <t>7005283177;6602118486;36884351500;7005574913</t>
  </si>
  <si>
    <t>Fiebig, Dirk;Wohlleben, Rudolf;Prata, Aluizio;Rusch, Willard V.T.</t>
  </si>
  <si>
    <t>Los Angeles;Bonn</t>
  </si>
  <si>
    <t>University of Southern California;Max Planck Institute for Radio Astronomy</t>
  </si>
  <si>
    <t>60029311;60001754</t>
  </si>
  <si>
    <t>Fiebig D.</t>
  </si>
  <si>
    <t>Beam Squint in Axially Symmetric Reflector Antennas with Laterally Displaced Feeds</t>
  </si>
  <si>
    <t>10.1109/8.86875</t>
  </si>
  <si>
    <t>2-s2.0-0026174074</t>
  </si>
  <si>
    <t>['¬© 1991', 'toll site', 'time showed', 'speed transmission', 'serial data', 'rights reserved', 'replying signals', 'reply twice', 'problems arise', 'physical barriers', 'laboratory conditions', 'individual vehicles', 'highway using', 'error rate', 'eliminated simply', 'electrical engineers', 'effectively detected', 'detection zone', 'detection errors', '900 interrogations', '7 %.']</t>
  </si>
  <si>
    <t>Electronic road toll collection has usually been carried out on the highway using an automatic vehicle identification (AVI) system. At the toll site, physical barriers are set up between lanes so that individual vehicles can be effectively detected. Problems arise, however, in the detection of vehicles on busy city roads where barriers between lanes are not desirable and the traffic does not always maintain lane discipline. A new AVI system using a randomised time division multiplexing (TDM) technique for detecting several vehicles simultaneously entering the detection zone is described in this paper. Laboratory experiments carried out for up to eight identification tags at the same time showed that all replies were detected for 900 interrogations. Collisions between replying signals did not occur. The high-speed transmission of serial data has, however, an error rate of 3-7%. Under laboratory conditions, the detection errors were eliminated simply by allowing the tags to reply twice. ¬© 1991, The Institution of Electrical Engineers. All rights reserved.</t>
  </si>
  <si>
    <t>99-107</t>
  </si>
  <si>
    <t>55196818100;7103112677</t>
  </si>
  <si>
    <t>Do, Manh Anh;Ong, Jin Teong</t>
  </si>
  <si>
    <t>Do M.A.</t>
  </si>
  <si>
    <t>New automatic vehicle identification system for detection of traffic without lane discipline</t>
  </si>
  <si>
    <t>10.1049/ecej:19910018</t>
  </si>
  <si>
    <t>2-s2.0-0026174185</t>
  </si>
  <si>
    <t>['wiley company', 'schottky diodes', 'responsibility used', 'proposed method', 'open resonator', 'inc .,', 'improved significantly', 'expanded model', 'equivalent circuit', 'detector based', 'design theory', 'design procedure', 'design method', 'confirmed experimentally', 'biconical circuits', '100 ghz']</t>
  </si>
  <si>
    <t>Performance of Schottky diodes has been improved significantly so that they can be used at frequencies in the submillimeter‚Äêwave band and beyond. At the same time, various submillimeter‚Äêwave detector circuits have been proposed and studied. These circuits contain antennas on the assumption of free space propagation since there exist no established transmission lines at submillimeter‚Äêwave frequencies. The authors have carried out studies on the design theory of biconical circuits as a form for submillimeter‚Äêwave detector circuits. In this paper, this was improved as an open resonator and its equivalent circuit was derived. Based on the latter, a design procedure was established. The responsibility used for the quantum‚Äêtype detectors was extended so that the figure of merit for an open‚Äêtype detector was defined and evaluated. With an expanded model of the detector based on the proposed method, detection of 8 to 100 GHz was successful so that the equivalent circuit and the design method were confirmed experimentally. Copyright ¬© 1991 Wiley Periodicals, Inc., A Wiley Company</t>
  </si>
  <si>
    <t>25-34</t>
  </si>
  <si>
    <t>60011107;60008435</t>
  </si>
  <si>
    <t>6505816817;56243818700</t>
  </si>
  <si>
    <t>Daiku, Yoshiaki;Ono, Shoichi</t>
  </si>
  <si>
    <t>Sendai;Sendai</t>
  </si>
  <si>
    <t>Tohoku Institute of Technology;Tohoku University</t>
  </si>
  <si>
    <t>Daiku Y.</t>
  </si>
  <si>
    <t>Design theory of a diode video detector for the submillimeter wave region using an open‚Äêtype biconical resonator</t>
  </si>
  <si>
    <t>10.1002/ecjb.4420740603</t>
  </si>
  <si>
    <t>2-s2.0-0026174682</t>
  </si>
  <si>
    <t>['wiley company', 'wide beamwidth', 'vertical plane', 'suppression capability', 'sls signals', 'sls signal', 'results show', 'problems caused', 'previous methods', 'phase center', 'mainbeam killing', 'lobing variation', 'interrogating antenna', 'inc .,', 'differential lobing', 'developed transmits', 'deep lobing', 'conventional method', 'clearly suppressed', 'also observed', '10 percent']</t>
  </si>
  <si>
    <t>Since conventional secondary surveillance radar for air traffic control uses an antenna with wide beamwidth in the vertical plane, the deep lobing that appears makes aircraft detection very difficult. When the interrogating and SLS signals are transmitted from two different antennas, the period of lobing variation differs for both the signals and differential lobing is also observed. To prevent the problems caused by differential lobing, the integrated SLS antenna that was developed transmits the SLS signal from the same phase center as an interrogating antenna; moreover, the period of lobing variation in both cases becomes equal. Experiments were defined out to compare the suppression capability of differential lobing of the integrated SLS antenna with the previous methods. The results show that the mainbeam killing and the sidelobe punch‚Äêthrough due to differential lobing have been clearly suppressed and aircraft detection capability has improved by 10 percent as compared to the conventional method. Copyright ¬© 1991 Wiley Periodicals, Inc., A Wiley Company</t>
  </si>
  <si>
    <t>42-50</t>
  </si>
  <si>
    <t>Kaku, Nobuyuki</t>
  </si>
  <si>
    <t>Chofu</t>
  </si>
  <si>
    <t>Electronic Navigation Research Institute</t>
  </si>
  <si>
    <t>Kaku N.</t>
  </si>
  <si>
    <t>Experiments on suppression of differential lobing using an integrated SLS antenna</t>
  </si>
  <si>
    <t>10.1002/ecja.4410740605</t>
  </si>
  <si>
    <t>2-s2.0-0026174741</t>
  </si>
  <si>
    <t>['wiley company', 'two reflectors', 'strong desire', 'shaped keeping', 'scale model', 'radiation pattern', 'provide easy', 'phase distribution', 'one horn', 'measured values', 'main reflector', 'inc .,', 'imaginary multihorns', 'good shape', 'feed point', 'calculated values', 'aperture distribution', 'adjusted taking', '75 ghz', '12 ghz']</t>
  </si>
  <si>
    <t>The antenna for broadcasting satellites succeeding the BS‚Äê3 can utilize larger antennas than before and there is a very strong desire to improve the capability of precise beam shaping. To develop an antenna which meets this requirement, the reflector shaping technique has been investigated for a system which consists of two reflectors and one horn, and where reflectors can be shaped to provide easy and precise beam shaping. To determine the aperture distribution of the main reflector for the desired radiation pattern, imaginary multihorns are used, and the position and power of each horn is adjusted. Then one horn is placed at the feed point and the subreflector is shaped keeping in mind the amplitude distribution given by imaginary multihorns. Afterward, the main reflector is adjusted taking into consideration the phase distribution. Using this two‚Äêstep reflector shaping technique, dual‚Äêreflector antennas with the main reflector having a diameter of 2.8 m were designed at a frequency of 12 GHz. As a result, a radiation pattern of good shape was obtained which covers all the four main islands of Japan at ‚Äê2 dB (relative value), Okinawa at ‚Äê4 dB and Ogasa‚Äêwara Islands at ‚Äê14 dB. To check the validity of this technique, a scale model of approximately one‚Äêhalf size was fabricated and measurements were made at 22.75 GHz. The calculated values are shown to agree with the measured values. Copyright ¬© 1991 Wiley Periodicals, Inc., A Wiley Company</t>
  </si>
  <si>
    <t>60-69</t>
  </si>
  <si>
    <t>6701717991;6602515710</t>
  </si>
  <si>
    <t>Shogen, Kazuyoshi;Ohmaru, Kenji</t>
  </si>
  <si>
    <t>Shogen K.</t>
  </si>
  <si>
    <t>Contoured‚Äêbeam antenna using shaped offset‚Äêfed dual‚Äêreflectors for broadcasting satellites</t>
  </si>
  <si>
    <t>10.1002/ecja.4410740607</t>
  </si>
  <si>
    <t>2-s2.0-0026175056</t>
  </si>
  <si>
    <t>['wiley company', 'small enough', 'separation angle', 'satellite station', 'rigorous theory', 'practical purposes', 'paper presents', 'interference noise', 'integration along', 'infinitesimal rate', 'inc .,', 'frequency sharing', 'elevation angle', 'computation method', 'beam path', 'approximation errors']</t>
  </si>
  <si>
    <t>When the frequency sharing between the fixed satellite communication system and the radio relay system is realized, it is indispensable to evaluate the interference noise in the design of each channel. Especially, to treat the interference between the satellite station and the terrestrial radio‚Äêrelay station, it is necessary to find the separation angle between the radio‚Äêrelay antenna beam and the geostationary satellite orbit. This paper presents a method for evaluation of the separation angle with the atmospheric beam refraction. The beam refraction angle is given as an integration along the beam path of the infinitesimal rate of change of the elevation angle for the altitude. A simple approximate expression is derived for facilitating the derivation of the separation angle. By comparison with the rigorous theory, the approximation errors are shown to be small enough for all practical purposes. A computation method for the separation angle is described for a terrestrial radio‚Äêrelay station position and an antenna beam direction from the geostationary satellite orbit. As an application, an actual radio‚Äêrelay link is chosen for which the separation angle distribution and the interference noise distribution are derived. By means of the computational method presented in this paper, the interference noise from the satellite station to the terrestrial radio‚Äêrelay station is now evaluated rather easily. Copyright ¬© 1991 Wiley Periodicals, Inc., A Wiley Company</t>
  </si>
  <si>
    <t>51-59</t>
  </si>
  <si>
    <t>100933885;60025555</t>
  </si>
  <si>
    <t>36891302100;7406266921</t>
  </si>
  <si>
    <t>Ooi, Tetsuo;Saito, Yoichi</t>
  </si>
  <si>
    <t>Tokyo;Kimitsu</t>
  </si>
  <si>
    <t>Nippon Telegraph and Telephone Corporation;TSCT Kimitsu Satellite Control Cent</t>
  </si>
  <si>
    <t>60025555;100933885</t>
  </si>
  <si>
    <t>Ooi T.</t>
  </si>
  <si>
    <t>Calculation method of separation angles and interference between satellite and radio‚Äêrelay links in atmospheric refraction condition</t>
  </si>
  <si>
    <t>10.1002/ecja.4410740606</t>
  </si>
  <si>
    <t>2-s2.0-0026175296</t>
  </si>
  <si>
    <t>['wiley company', 'neighboring countries', 'inc .,', 'field experiment', 'conducted using', 'apparent efficiency', 'antenna impedance', 'antenna height', 'almost identical', 'actual antenna', '32 percent', '1 wavelength']</t>
  </si>
  <si>
    <t>Medium‚Äêwave radio broadcasting in Japan has been disturbed by jamming from neighboring countries. To deal with this problem, consideration should be given to the use of numerous low‚Äêpower broadcasting stations, each with a rather narrow service area. A helical loaded monopole antenna is recommended for use in such stations. A field experiment was conducted using a model one‚Äêtenth the size of the actual antenna. The antenna impedance was almost identical to the theoretical and the apparent efficiency was 32 percent at an antenna height of 0.1 wavelength. Copyright ¬© 1991 Wiley Periodicals, Inc., A Wiley Company</t>
  </si>
  <si>
    <t>37-41</t>
  </si>
  <si>
    <t>101466293;101466293</t>
  </si>
  <si>
    <t>56301998600;56127629700</t>
  </si>
  <si>
    <t>Nakamura, Kotaro;Nakamura, Tetsuo</t>
  </si>
  <si>
    <t>Denki Kogyo Co. Ltd.</t>
  </si>
  <si>
    <t>Nakamura K.</t>
  </si>
  <si>
    <t>The helical loaded monopole antenna</t>
  </si>
  <si>
    <t>10.1002/ecja.4410740604</t>
  </si>
  <si>
    <t>2-s2.0-0026175297</t>
  </si>
  <si>
    <t>['wiley company', 'various characteristics', 'two sets', 'peak level', 'measured results', 'measured including', 'inc .,', 'horn works', 'frequency bands', 'designed data', 'design method', 'described first', 'circular waveguide', 'cascaded combinations']</t>
  </si>
  <si>
    <t>This paper describes double‚Äêflare type, triple‚Äêmode horns made of two sets of cascaded combinations of a circular waveguide and a flare with a mechanism to generate higher order modes. This horn is intended to be used in two frequency bands. At a lower frequency band, the horn works as a dual‚Äêmode horn, while it operates as a triple‚Äêmode horn at a higher frequency band. Desired electrical characteristics can be obtained in both frequency bands. In this paper, a design method of this triple‚Äêmode horn is described first and the condition for minimizing the cross‚Äêpolarization components is presented. Next, the double‚Äêflare type triple‚Äêmode horn is described. It is shown that this condition is satisfied in two frequency bands. Various characteristics of the triple‚Äêmode horn fabricated for 12/14 GHz designed on the basis of the present design procedure are presented. Excellent electrical characteristics are measured including the level of the cross‚Äêpolarization components of less than ‚Äê29 dB with respect to the peak level of the co‚Äêpolarization component. The measured results are similar to the designed data. Copyright ¬© 1991 Wiley Periodicals, Inc., A Wiley Company</t>
  </si>
  <si>
    <t>70-79</t>
  </si>
  <si>
    <t>60101699;60101699</t>
  </si>
  <si>
    <t>6603168233;35459666200</t>
  </si>
  <si>
    <t>Ebisui, Takashi;Ishida, Osami</t>
  </si>
  <si>
    <t>Mitsubishi Electric Corporation</t>
  </si>
  <si>
    <t>Ebisui T.</t>
  </si>
  <si>
    <t>12/14‚ÄêGHz bands double‚Äêflare type triple‚Äêmode horn</t>
  </si>
  <si>
    <t>10.1002/ecja.4410740608</t>
  </si>
  <si>
    <t>2-s2.0-0026175313</t>
  </si>
  <si>
    <t>['weight vector', 'though using', 'squares minimization', 'significant savings', 'real vector', 'real matrix', 'real computations', 'phase origin', 'gsc beamformer', 'gsc ).', 'form beamformer', 'covariance matrix', 'conventional mle', 'conjugate symmetric', 'computational load', 'computation time', 'backward averaging', 'adaptive beamforming']</t>
  </si>
  <si>
    <t>The Hermitian persymmetric maximum likelihood estimator (MLE) is better than the conventional MLE in estimating the covariance matrix of a symmetrically distributed antenna array. Though using the Hermitian persymmetric MLE improves the performance of adaptive beamforming, it increases the computational load due to the forward-backward averaging of array input sample data. By observing that the weight vector obtained from the Hermitian persymmetric MLE is conjugate symmetric if the phase origin is chosen at the array geometric center, methods are developed to reduce the computational load of the direct-form beamformer and the generalized sidelobe canceller (GSC). For the direct-form beamformer, a simple unitary transformation is proposed to transform the conjugate symmetric weight vector and the Hermitian persymmetric MLE into a real vector and a real matrix, respectively. As to the GSC beamformer, we construct a signal blocking matrix such that the weight vector of the least-squares minimization is a real vector. Therefore, the weights of both beamformers can be adapted with real computations, with significant savings in computation time. ¬© 1991 IEEE</t>
  </si>
  <si>
    <t>926-932</t>
  </si>
  <si>
    <t>6602733011;7401672122</t>
  </si>
  <si>
    <t>Huarng, Keh Chiarng;Yeh, Chien Chung</t>
  </si>
  <si>
    <t>Huarng K.</t>
  </si>
  <si>
    <t>Adaptive beamforming with conjugate symmetric weights</t>
  </si>
  <si>
    <t>10.1109/8.86911</t>
  </si>
  <si>
    <t>2-s2.0-0026185553</t>
  </si>
  <si>
    <t>['used together', 'shaped reflectors', 'reflector size', 'reflector producing', 'plane wave', 'phase ripple', 'offset dual', 'minimum amplitude', 'excellent candidate', 'examined herein', 'edge diffraction', 'done either', 'cross polarization', 'compact ranges', 'compact range', 'alternative approach']</t>
  </si>
  <si>
    <t>The application of the theory of the synthesis of offset dual-shaped reflectors to the design of compact ranges is examined. The object of the compact range is to provide a uniform plane wave with minimum amplitude and phase ripple over as large a volume as possible for a given size reflector. Ripple can be lowered by reducing the edge diffraction from the reflector producing the plane wave. This has been done either by serrating or rolling the edge. An alternative approach is to use dual offset-shaped reflector synthesis techniques to produce a reflector aperture distribution that is uniform over most of the aperture but has a Gaussian taper near the edge. This approach can be used together with rolling and/or serration if desirable. The dual chamber method for reducing extraneous subreflector diffraction can be used and is examined herein. The amount of phase and amplitude ripple obtained with two different dual-shaped reflector designs is studied as a function of position in the plane wave zone and reflector size in wavelengths. The amount of both transverse and longitudinal (z-component) cross polarization is studied. The dual-shaped offset reflector design is found to be an excellent candidate for a compact range. ¬© 1991 IEEE</t>
  </si>
  <si>
    <t>1007-1013</t>
  </si>
  <si>
    <t>60009037;60009037;60020975;60000745</t>
  </si>
  <si>
    <t>7003293983;7003977774;56219429900;55197051100</t>
  </si>
  <si>
    <t>Galindo-Israel, Victor;Imbriale, William A.;Rengarajan, Sembiam R.;Mittra, Raj</t>
  </si>
  <si>
    <t>Northridge;Pasadena;Urbana</t>
  </si>
  <si>
    <t>California State University, Northridge;Jet Propulsion Laboratory;University of Illinois Urbana-Champaign</t>
  </si>
  <si>
    <t>60020975;60009037;60000745</t>
  </si>
  <si>
    <t>Offset dual-shaped reflectors for dual chamber compact ranges</t>
  </si>
  <si>
    <t>10.1109/8.86922</t>
  </si>
  <si>
    <t>2-s2.0-0026185558</t>
  </si>
  <si>
    <t>['transmission characteristics', 'numerically efficient', 'numerical results', 'microstrip line', 'finite conductivity', 'edge condition', 'conducting strip', 'basis functions', 'attenuation constants']</t>
  </si>
  <si>
    <t>Impedance boundary condition model is incorporated in the spectral Domain formulation to calculate the transmission characteristics of microstrip line with lossy conducting strip. Subsectional rectangular pulse functions are used as the basis functions for the surface current distribution because of the finite conductivity of the conducting strip. The approach has the advantage of being more flexible without presuming the edge condition of the surface current distribution and numerically efficient. Numerical results for the phase and attenuation constants of superconducting microstrip line are computed for a comparison. ¬© 1991 IEEE.</t>
  </si>
  <si>
    <t>172-174</t>
  </si>
  <si>
    <t>57149406300;36041035600</t>
  </si>
  <si>
    <t>Kuo, Chih Wen;Itoh, Tatsuo</t>
  </si>
  <si>
    <t>Kuo C.W.</t>
  </si>
  <si>
    <t>A Flexible Approach Combining the Spectral Domain Method and Impedance Boundary Condition for the Analysis of Microstrip Lines</t>
  </si>
  <si>
    <t>10.1109/75.84573</t>
  </si>
  <si>
    <t>2-s2.0-0026185926</t>
  </si>
  <si>
    <t>['vehicle antenna', 'still contributing', 'rooftop mounting', 'parasitic patches', 'overall l', 'mutual coupling', 'mobile satellite', 'main beam', 'low profile', 'horizontal plane', 'gain land', 'experimental results', 'excellent performance', 'elevation direction', 'driven elements', 'director elements', 'continental u', 'antenna becomes', 'active patches']</t>
  </si>
  <si>
    <t>A new antenna structure is formed by combining the Yagi-Uda array concept and the microstrip radiator technique. This antenna, called the microstrip Yagi array, has been developed for the mobile satellite (MSAT) system as a low-profile, low-cost, and mechanically steered medium-gain land-vehicle antenna. With antenna's active patches (driven elements) and parasitic patches (reflector and director elements) located on the same horizontal plane, the main beam of the array can be tilted, by the effect of mutual coupling, in the elevation direction to provide optimum coverage for Continental U.S. users. Because the parasitic patches are not connected to any of the lossy RF power distributing circuit, while still contributing to achieve the MSAT required antenna gain, the antenna becomes a very efficient radiating system. With the complete monopulse beamforming and power distributing circuits etched on a single thin stripline board underneath the microstrip Yagi array, the overall L-band antenna system has achieved a very low profile for vehicle's rooftop mounting, as well as a low manufacturing cost. Experimental results are presented to demonstrate the excellent performance of this microstrip Yagi antenna. ¬© 1991 IEEE</t>
  </si>
  <si>
    <t>1024-1030</t>
  </si>
  <si>
    <t>7408102852;7004510677</t>
  </si>
  <si>
    <t>Huang, John;Densmore, Arthur C.</t>
  </si>
  <si>
    <t>Microstrip yagi array antenna for mobile satellite vehicle application</t>
  </si>
  <si>
    <t>10.1109/8.86924</t>
  </si>
  <si>
    <t>2-s2.0-0026186339</t>
  </si>
  <si>
    <t>['snapshots increases', 'small number', 'signal sources', 'relatively small', 'noise ratio', 'multiple near', 'much superior', 'modified two', 'modified 2', 'low snr', 'localization techniques', 'large number', 'high signal', 'field sources']</t>
  </si>
  <si>
    <t>A study is presented of the localization of multiple near-field sources in a spatially white Gaussian noise environment. First, we use a modified two-dimensional (2-D) version of the multiple signal classification (MUSIC) algorithm to localize the signal sources; range and bearing. Then, we consider a global-optimum maximum likelihood searching approach to localize these sources. It is shown that in the single source situation, the covariances of both the 2-D MUSIC, estimator and the maximum likelihood estimator (MLE) approach the Cramer-Rao lower bound (CRLB) as the number of snapshots increases to infinity. In the multiple source situation, we observe that for a high signal-to-noise ratio (SNR) and a large number of snapshots, the root mean square errors (RMSE's) of both localization techniques are relatively small. However, for low SNR and/or small number of snapshots, the performance of the MLE is much superior than that of the modified 2-D MUSIC. ¬© 1991 IEEE</t>
  </si>
  <si>
    <t>968-975</t>
  </si>
  <si>
    <t>60026415;60026415</t>
  </si>
  <si>
    <t>7501573533;6603686726</t>
  </si>
  <si>
    <t>Huang, Yung Dar;Barkat, Mourad</t>
  </si>
  <si>
    <t>Stony Brook</t>
  </si>
  <si>
    <t>Stony Brook University</t>
  </si>
  <si>
    <t>Huang Y.</t>
  </si>
  <si>
    <t>Near-field multiple source localization by passive sensor array</t>
  </si>
  <si>
    <t>10.1109/8.86917</t>
  </si>
  <si>
    <t>2-s2.0-0026186340</t>
  </si>
  <si>
    <t>['well known', 'weighted sum', 'uniformly weighted', 'spatial points', 'retrodirective beam', 'realistic assumption', 'nonuniformly weighted', 'interferer angle', 'interference source', 'generally true', 'auxiliary elements', 'auxiliary antennas', 'additive combination', 'adaptive action']</t>
  </si>
  <si>
    <t>The adaptive action of a multiple sidelobe canceler (MSLC) can be viewed as the additive combination of the unadapted main beam and a retrodirective beam. The retrodirective beam is formed by the weighted sum of the array of auxiliary elements. It is well known that for a single-zero-bandwidth (narrowband) interference source, the retrodirective beam is uniformly weighted and is steered to the interference source. It is shown that this is not generally true for the non-zero bandwidth case. It is shown that if the main and auxiliary antennas are spatial points, then the retrodirective beam is nonuniformly weighted, steered to the interference source, and peaks at the interferer angle. For the more realistic assumption of a nonpoint main antenna, the retrodirective beam does not peak at the interferer angle for any bandwidth. ¬© 1991 IEEE</t>
  </si>
  <si>
    <t>625-633</t>
  </si>
  <si>
    <t>Nitzberg, R.</t>
  </si>
  <si>
    <t>Nitzberg R.</t>
  </si>
  <si>
    <t>Some Properties of Retrodirective Beam of Multiple Sidelobe Canceler</t>
  </si>
  <si>
    <t>10.1109/7.85035</t>
  </si>
  <si>
    <t>2-s2.0-0026186370</t>
  </si>
  <si>
    <t>['uniformly polarized', 'spatial separation', 'single source', 'signals observed', 'resolving power', 'rao bound', 'polarization diversity', 'polarization difference', 'performance comparisons', 'paper investigates', 'numerical examples', 'noise ratio', 'interference ratio', 'hardware complexity', 'estimated directions', 'determine whether', 'array originate', 'array due']</t>
  </si>
  <si>
    <t>This paper investigates the performance of direction finding systems utilizing diversely polarized antenna arrays. The Cramer-Rao bound (CRB) is used to evaluate the accuracy of the estimated directions of arrival. The resolving power of the array is evaluated by analyzing the performance of a likelihood ratio detector designed to determine whether the signals observed by the array originate from a single source or from two closely spaced sources. Numerical examples and analysis of some special cases provide insights into the improvement in direction finding accuracy and in the resolving power of the array due to polarization diversity. The case of a signal in the presence of an interferer is studied in some detail. The CRB and the probability of detection are evaluated as functions of the spatial separation and the polarization difference between signal and interferer, signal-to-noise ratio, and signal-to-interference ratio. Performance comparisons are made between uniformly polarized and diversely polarized arrays. We show that improved direction finding performance can be obtained by using polarization diversity, with no increase in hardware complexity. ¬© 1991 IEEE</t>
  </si>
  <si>
    <t>1589-1603</t>
  </si>
  <si>
    <t>60022880;60022880</t>
  </si>
  <si>
    <t>7402247592;7102972288</t>
  </si>
  <si>
    <t>Weiss, Anthony J.;Friedlandei, Benjamin</t>
  </si>
  <si>
    <t>South Portland</t>
  </si>
  <si>
    <t>Fairchild Semiconductor Corporation</t>
  </si>
  <si>
    <t>Weiss A.J.</t>
  </si>
  <si>
    <t>Performance Analysis Of Diversely Polarized Antenna Arrays</t>
  </si>
  <si>
    <t>10.1109/78.134397</t>
  </si>
  <si>
    <t>2-s2.0-0026186428</t>
  </si>
  <si>
    <t>['variational stability', 'two stability', 'two cases', 'stability analysis', 'spin axis', 'special class', 'scales method', 'rotor location', 'rigid core', 'rights reserved', 'rate rotors', 'platform damping', 'platform consisting', 'platform asymmetry', 'periodic coefficients', 'pass method', 'paper investigates', 'numerical example', 'linearized system', 'linearized equations', 'inc .,', 'general dual', 'full equations', 'free rotors', 'floquet theory', 'flexible platform', 'desired solution', 'constant spin', 'axially torque', 'analysis methods']</t>
  </si>
  <si>
    <t>This paper investigates the variational stability of a general dual-spin spacecraft consisting of an asymmetric rigid rotor and a flexible platform. Two cases of rotors are considered: constant spin-rate rotors and axially torque-free rotors. The full equations of motion are derived and conditions for the existence of a pure spin motion, referred to as the desired solution, are obtained. A linearization about this solution yields equations with periodic coefficients. A special class of spacecraft is observed, in which the linearized equations are the same for both cases of rotors. Two stability-analysis methods are developed and used for stability analysis of the linearized system under consideration: a numerical scheme based on the Floquet theory and Hsu's single-pass method, and a perturbation method based on the multiple-scales method. A numerical example is presented of a platform consisting of a rigid core and a beam-like antenna extended along the spin axis of the rotor. The effects of the rotor and platform asymmetry, rotor location, and platform damping are demonstrated and explained. ¬© 1991 American Institute of Aeronautics and Astronautics, Inc., All rights reserved.</t>
  </si>
  <si>
    <t>751-760</t>
  </si>
  <si>
    <t>60026340-60016849;60016849;60016849</t>
  </si>
  <si>
    <t>7801695504;7004581896;7006774649</t>
  </si>
  <si>
    <t>Viderman, Z.;Rimrott, F. P.J.;Cleghorn, W. L.</t>
  </si>
  <si>
    <t>Israel;Canada</t>
  </si>
  <si>
    <t>Haifa;Toronto</t>
  </si>
  <si>
    <t>RAFAEL Armament Development Authority Ltd.;University of Toronto</t>
  </si>
  <si>
    <t>60026340;60016849</t>
  </si>
  <si>
    <t>Viderman Z.</t>
  </si>
  <si>
    <t>Stability of an asymmetric dual-spin spacecraft with flexible platform</t>
  </si>
  <si>
    <t>10.2514/3.20709</t>
  </si>
  <si>
    <t>2-s2.0-0026186465</t>
  </si>
  <si>
    <t>160-613</t>
  </si>
  <si>
    <t>['¬© 1990', 'temperature field', 'rights reserved', 'quasisteady state', 'numerical scheme', 'numerical results', 'numerical examples', 'large truss', 'general algorithm', 'finite elements', 'elastic analyses', 'dynamic state', 'displacement field', 'computational cost', 'american institute']</t>
  </si>
  <si>
    <t>Large truss-type space structures undergoing periodic motion are analyzed using Fourier decomposition in time and finite elements in space. Both the temperature field and the displacement field in the structure are found. Any symmetry which the structure may possess with respect to the axis of rotation is exploited in the numerical scheme and leads to saving in computational cost. A general algorithm is devised to calculate the external heat flux distribution. Numerical examples, which include a rotating cylindrically shaped structure and a parabolic antenna dish in orbit around Earth, are presented. The transition between the quasisteady state and the dynamic state in both the thermal and the elastic analyses is discussed in view of the numerical results. ¬© 1990 by the American Institute of Aeronautics and Astronautics, Inc. All rights reserved.</t>
  </si>
  <si>
    <t>457-464</t>
  </si>
  <si>
    <t>July-August 1991</t>
  </si>
  <si>
    <t>60022403;60022403</t>
  </si>
  <si>
    <t>7006231808;7006953872</t>
  </si>
  <si>
    <t>Givoli, Dan;Rand, Omri</t>
  </si>
  <si>
    <t>Haifa</t>
  </si>
  <si>
    <t>Technion - Israel Institute of Technology</t>
  </si>
  <si>
    <t>Givoli D.</t>
  </si>
  <si>
    <t>Thermoelastic analysis of space structures in periodic motion</t>
  </si>
  <si>
    <t>10.2514/3.26266</t>
  </si>
  <si>
    <t>2-s2.0-0026186788</t>
  </si>
  <si>
    <t>['wave interactions', 'reduce surface', 'array environment', 'antenna exhibited', '95 ghz', '3 ghz']</t>
  </si>
  <si>
    <t>A circular-patch antenna fed by an aperture coupled microstrip line has been demonstrated at 29.3 GHz. The patch was enclosed by a cavity to reduce surface-wave interactions in an array environment and to improve heat dissipation when using active devices. The antenna exhibited a 2:1 input VSWR bandwidth of 12% from 27.52 to 30.95 GHz. ¬© 1991 IEEE.</t>
  </si>
  <si>
    <t>170-171</t>
  </si>
  <si>
    <t>60020547;60020547;60015272;60015272;60026717</t>
  </si>
  <si>
    <t>7402580085;7404879378;6506321312;6602149628;24522606100</t>
  </si>
  <si>
    <t>Navarro, Julio A.;Chang, Kai;Tolleson, Joseph;Sanzgiri, Shashi;Lee, R. Q.</t>
  </si>
  <si>
    <t>Cleveland;College Station;Dallas</t>
  </si>
  <si>
    <t>NASA Glenn Research Center;Texas A&amp;M University;Texas Instruments</t>
  </si>
  <si>
    <t>60026717;60020547;60015272</t>
  </si>
  <si>
    <t>Navarro J.A.</t>
  </si>
  <si>
    <t>A 29.3-GHz Cavity-Enclosed Aperture-Coupled Circular-Patch Antenna for Microwave Circuit Integration</t>
  </si>
  <si>
    <t>10.1109/75.84572</t>
  </si>
  <si>
    <t>2-s2.0-0026187103</t>
  </si>
  <si>
    <t>['vertical wall', 'sunlit hemisphere', 'sorted according', 'solar illumination', 'solar flux', 'results demonstrate', 'relative amplitude', 'radar antenna', 'polar regions', 'polar hole', 'polar cap', 'peak density', 'one boundary', 'magnetic meridian', 'magnetic activity', 'lowest densities', 'latitude variations', 'ionospheric boundaries', 'invariant latitude', 'highest densities', 'f region', 'enhanced plasma', 'electron density', 'electron densities', 'easily identified', 'dawn sector', 'copyright 1991', 'convected toward', 'auroral precipitation', 'approximately twice', 'also examined', '85 ¬∞', '120 ¬∞.']</t>
  </si>
  <si>
    <t>The Sondrestrom incoherent scatter radar has been used to study F region electron densities in the polar cap. The data were obtained while the radar antenna was scanned in the plane of the magnetic meridian. In this mode, electron densities are measured as a function of altitude and latitude so that ionospheric boundaries can be easily identified. One boundary that is present in much of the data is a vertical wall of electron density between 80 and 200 km altitude that separates the region of aurorally produced electron density from the polar regions where auroral precipitation is absent. On the basis of this criterion we identified more than 500 radar scans during which the radar measured F region electron densities in the polar cap. The data were sorted according to magnetic activity, solar flux, invariant latitude, and magnetic local time. Besides calculating average electron density profiles, we also examined the altitude and latitude variations of the F region peak density. The peak density in the polar cap F region varies by a factor of 4 between solar zenith angles of 85¬∞ and 120¬∞. The relative amplitude of large‚Äêscale irregularities is approximately twice as large when the F region is not sunlit. The results of model calculations agree well with the observed local time variations in F region peak density. The highest densities are found in the afternoon local time sector where enhanced plasma from the sunlit hemisphere is convected toward the nightside. The lowest densities are found in the dawn sector where the polar hole is created by a convection cell situated entirely on the nightside. These results demonstrate the importance of solar illumination and convection in determining the properties of the polar F region. Copyright 1991 by the American Geophysical Union.</t>
  </si>
  <si>
    <t>1069-1078</t>
  </si>
  <si>
    <t>Robinson, R. M.</t>
  </si>
  <si>
    <t>Robinson R.</t>
  </si>
  <si>
    <t>A survey of polar cap F region electron densities measured by the Sondrestrom radar</t>
  </si>
  <si>
    <t>10.1029/91RS00581</t>
  </si>
  <si>
    <t>2-s2.0-0026187324</t>
  </si>
  <si>
    <t>['work demonstrates', 'terahertz frequencies', 'structure consists', 'silicon wafers', 'scaled antenna', 'plane measurements', 'integrated corner', 'easily scalable', 'diagnostic applications', 'cube antennas', 'cube antenna', '5 db', '222 ghz', '119 œºm']</t>
  </si>
  <si>
    <t>An integrated corner-cube antenna has been designed, fabricated, and measured at 119 Œºm. The structure consists of a traveling-wave antenna integrated on a 1-Œºm dielectric membrane and suspended in a longitudinal cavity etched in silicon wafers. The patterns at 119 Œºm agree well with millimeter-wave patterns measured on a scaled antenna at 222 GHz. A directivity of 18 ¬± 0.5 dB is calculated from E- and H-plane measurements. This work demonstrates that high-efficiency integrated corner-cube antennas are easily scalable to terahertz frequencies and could be used for radio-astronomical and plasma-diagnostic applications. ¬© 1991 IEEE.</t>
  </si>
  <si>
    <t>155-157</t>
  </si>
  <si>
    <t>60025778;60025778;60025778;60006337;60006337</t>
  </si>
  <si>
    <t>7004646209;36985970700;7006384021;57170650100;7102677087</t>
  </si>
  <si>
    <t>Gearhart, Steven S.;Ling, Curtis C.;Rebeiz, Gabriel M.;Dav√©e, Hemant;Chin, Gordon</t>
  </si>
  <si>
    <t>Ann Arbor;Greenbelt</t>
  </si>
  <si>
    <t>University of Michigan, Ann Arbor;NASA Goddard Space Flight Center</t>
  </si>
  <si>
    <t>60025778;60006337</t>
  </si>
  <si>
    <t>Gearhart S.S.</t>
  </si>
  <si>
    <t>Integrated 119-Œºm Linear Corner-Cube Array</t>
  </si>
  <si>
    <t>10.1109/75.84567</t>
  </si>
  <si>
    <t>2-s2.0-0026187360</t>
  </si>
  <si>
    <t>['wiley company', 'spectral domain', 'microstrip antenna', 'investigated using', 'inc .,', 'field distribution', 'experimental results', 'entire domain', 'coplanar waveguide']</t>
  </si>
  <si>
    <t>antenna feed | coplanar waveguide | method of moments | Microstrip antennas</t>
  </si>
  <si>
    <t>A microstrip antenna fed by a coplanar waveguide is investigated using a full‚Äêwave analysis based on the method of moments in the spectral domain. The surface current density on the microstrip antenna and the field distribution in the slots of the coplanar waveguide are represented by entire domain and subsectional basis functions. The reflection coefficient referenced on the coplanar waveguide is calculated and compared to the experimental results. Copyright ¬© 1991 Wiley Periodicals, Inc., A Wiley Company</t>
  </si>
  <si>
    <t>292-295</t>
  </si>
  <si>
    <t>7003949001;7202515804;7401934487</t>
  </si>
  <si>
    <t>Aksun, M. I.;Chuang, S. L.;Lo, Y. T.</t>
  </si>
  <si>
    <t>Aksun M.</t>
  </si>
  <si>
    <t>Coplanar waveguide‚Äêfed microstrip antennas</t>
  </si>
  <si>
    <t>10.1002/mop.4650040804</t>
  </si>
  <si>
    <t>2-s2.0-0026187523</t>
  </si>
  <si>
    <t>['underlying structure', 'temporal variability', 'spatial distribution', 'several frequencies', 'noise environment', 'models examined', 'model including', 'mlm spectra', 'measures applied', 'large aperture', 'hf noise', 'fairly stationary', 'eigenvalue spread', 'data collected', 'copyright 1991', 'continental u', '16 mhz', '10 mhz']</t>
  </si>
  <si>
    <t>An L‚Äêshaped antenna array with a large aperture is used for characterizing the spatial distribution and temporal variability of the noise environment for several frequencies in the high‚Äêfrequency (HF) band. The process of whitening is used to compare spatial covariance matrices constructed from data collected on the array. The eigenvalue spread and the maximum likelihood method (MLM) spectrum are measures applied to these spatial covariance matrices to characterize the spatial distribution of the sources of HF noise. MLM spectra of the HF noise environment show a fairly flat distribution, but there is higher noise power in the directions of the continental U.S. In the temporal variability analysis it is determined that the HF noise environment at lower HF frequencies (8 and 10 MHz) has an underlying structure that is fairly stationary; the noise environment at 16 MHz does not show this stationarity. Models for HF noise fields are compared to the data. The model including both a symmetrical sky noise field and receiver thermal noise fits the data the best of the models examined. Copyright 1991 by the American Geophysical Union.</t>
  </si>
  <si>
    <t>981-995</t>
  </si>
  <si>
    <t>Keller, Catherine M.</t>
  </si>
  <si>
    <t>Keller C.</t>
  </si>
  <si>
    <t>HF noise environment models</t>
  </si>
  <si>
    <t>10.1029/91RS00585</t>
  </si>
  <si>
    <t>2-s2.0-0026187726</t>
  </si>
  <si>
    <t>56-61</t>
  </si>
  <si>
    <t>Soviet Applied Mechanics</t>
  </si>
  <si>
    <t>6603646158;7006207264;57196543591;6506754216</t>
  </si>
  <si>
    <t>Gudramovich, V. S.;Baranov, N. G.;Konovalov, N. A.;Maitala, I. M.</t>
  </si>
  <si>
    <t>Gudramovich V.</t>
  </si>
  <si>
    <t>Vibrations of the shells of reflecting antennas during vibrational excitation</t>
  </si>
  <si>
    <t>10.1007/BF00888233</t>
  </si>
  <si>
    <t>2-s2.0-0026187796</t>
  </si>
  <si>
    <t>['thus justified', 'theoretical predictions', 'radiation characteristics', 'omnidirectional antenna', 'investigated theoretically', 'good agreement', 'experimental results', 'eigenvalue problem']</t>
  </si>
  <si>
    <t>A millimeter-wave omnidirectional circular dielectric rod grating antenna is investigated theoretically and experimentally. As an eigenvalue problem, the antenna is analyzed with the rigorous mode matching method. The radiation characteristics of the antenna are calculated and measured in the Ka-band frequency range. A comparison between the experimental results and the theoretical predictions is made and very good agreement is found. The practicality of the omnidirectional antenna and the effectiveness of the theory are thus justified. ¬© 1991 IEEE</t>
  </si>
  <si>
    <t>883-891</t>
  </si>
  <si>
    <t>60019118;60019118;60087684;60011199</t>
  </si>
  <si>
    <t>13614168600;7201919992;7403589710;7003541666</t>
  </si>
  <si>
    <t>Xu, Shanjia;Min, Jianhua;Peng, Song Tsuen;Schwering, Felix K.</t>
  </si>
  <si>
    <t>United States;China;United States</t>
  </si>
  <si>
    <t>Old Westbury;Hefei;Fort Monmouth</t>
  </si>
  <si>
    <t>New York Institute of Technology;University of Science and Technology of China;U.S. Army Communications and Electronics Command</t>
  </si>
  <si>
    <t>60087684;60019118;60011199</t>
  </si>
  <si>
    <t>Xu S.</t>
  </si>
  <si>
    <t>A Millimeter-Wave Omnidirectional Circular Dielectric Rod Grating Antenna</t>
  </si>
  <si>
    <t>10.1109/8.86905</t>
  </si>
  <si>
    <t>2-s2.0-0026187911</t>
  </si>
  <si>
    <t>['source coherence', 'observed coherence', 'far field']</t>
  </si>
  <si>
    <t>Lateral spatial coherence of an antenna is modeled by random phase front tilts. An effective source coherence length is introduced, and a generalized Fresnel coefficient which takes into account the coherence of the source is abstracted. Generalized reciprocity relationships for beamwidth and source coherence as well as for observed coherence and source power distribution valid in the near and far field are developed. ¬© 1991 IEEE</t>
  </si>
  <si>
    <t>892-897</t>
  </si>
  <si>
    <t>Plonus, Martin A.</t>
  </si>
  <si>
    <t>Evanston</t>
  </si>
  <si>
    <t>Northwestern University</t>
  </si>
  <si>
    <t>Plonus M.</t>
  </si>
  <si>
    <t>Spatial Coherence Properties of Planar Antennas</t>
  </si>
  <si>
    <t>10.1109/8.86906</t>
  </si>
  <si>
    <t>2-s2.0-0026187928</t>
  </si>
  <si>
    <t>['successfully used', 'recent years', 'properly assess', 'presented based', 'numerical results', 'many types', 'holographic technique', 'computer simulations', 'cases applicable', 'attention must']</t>
  </si>
  <si>
    <t>The application of microwave holographic metrology has received much attention in recent years. The technique has been successfully used in improving the performance of many types of reflector and array antennas throughout the world. In order to properly assess the ultimate achievable holographic performance improvements, attention must be focused on detailed system error evaluation. In this paper, the effects of measurement errors appearing during the implementation of the microwave holographic technique are investigated and many representative results are presented based on computer simulations. The numerical results are tailored for cases applicable to the utilization of the holographic technique for the NASA's Deep Space Network (DSN) antennas, although the methodology of analysis is applicable to any antenna. Many important system measurement topics are presented and summarized. ¬© 1991 IEEE</t>
  </si>
  <si>
    <t>933-942</t>
  </si>
  <si>
    <t>60009037;60027550</t>
  </si>
  <si>
    <t>6506631203;7102110120</t>
  </si>
  <si>
    <t>Rochblatt, David J.;Rahmat-Samii, Yahya</t>
  </si>
  <si>
    <t>Los Angeles;Pasadena</t>
  </si>
  <si>
    <t>University of California, Los Angeles;Jet Propulsion Laboratory</t>
  </si>
  <si>
    <t>60027550;60009037</t>
  </si>
  <si>
    <t>Rochblatt D.J.</t>
  </si>
  <si>
    <t>Effects of measurement errors on microwave antenna holography</t>
  </si>
  <si>
    <t>10.1109/8.86912</t>
  </si>
  <si>
    <t>2-s2.0-0026187956</t>
  </si>
  <si>
    <t>['united kingdom', 'umist model', 'sunspot number', 'sri international', 'receiving antenna', 'power lines', 'many systems', 'manchester institute', 'individual channels', 'incidental radiators', 'high frequency', 'geographic location', 'copyright 1991', 'congestion within', 'band congestion', 'atmospheric noise']</t>
  </si>
  <si>
    <t>Information on other‚Äêuser interference is important in predicting the performance of high frequency (HF) systems. For many systems, especially frequency‚Äêhopping systems, other‚Äêuser interference frequently is more important than man‚Äêmade noise from incidental radiators (for example, power lines) or atmospheric noise from lightning. Occupancy of individual channels and congestion of allocated HF bands (for example, fixed and mobile, amateur) vary with type of service, frequency, time of day, season, angle of arrival, type of receiving antenna, bandwidth, threshold, geographic location, and sunspot number. This paper summarizes channel occupancy and band congestion observations made in the continental United States and Europe in 1987 with SRI International's Mobile Spectrum Monitoring Unit. The data on band congestion are compared with the empirical model developed by researchers at the University of Manchester Institute for Science and Technology (UMIST), Manchester, United Kingdom. A concept for extending the UMIST model for congestion at a point to a model for congestion within a region is described. Copyright 1991 by the American Geophysical Union.</t>
  </si>
  <si>
    <t>959-970</t>
  </si>
  <si>
    <t>7005494900;6701446855</t>
  </si>
  <si>
    <t>Stehle, Roy H.;Hagn, George H.</t>
  </si>
  <si>
    <t>Stehle R.H.</t>
  </si>
  <si>
    <t>HF channel occupancy and band congestion: The other‚Äêuser interference problem</t>
  </si>
  <si>
    <t>10.1029/91RS00558</t>
  </si>
  <si>
    <t>2-s2.0-0026187981</t>
  </si>
  <si>
    <t>['uniform slots', 'traveling wave', 'suppresses reflection', 'subscriber antenna', 'slot design', 'residual power', 'radially outward', 'radial line', 'model antenna', 'matching spiral', 'intolerably tapered', 'excellent efficiency', 'dummy load', 'direct broadcast', 'circular polarization', 'aperture field']</t>
  </si>
  <si>
    <t>A single-layered radial line slot antenna (RLSA) is proposed for a direct broadcast from a satellite (DBS) subscriber antenna. It utilizes a radially outward-traveling wave and the aperture field is intolerably tapered if the uniform slots are used. Two novel techniques are applied. First, the slot design for uniform aperture field distribution is introduced. Second, the radial line is terminated by a matching spiral, in place of a dummy load. It suppresses reflection and radiates all the residual power in circular polarization. For a model antenna of 600 mm diameter, the excellent efficiency of 65% is observed. ¬© 1991 IEEE</t>
  </si>
  <si>
    <t>954-959</t>
  </si>
  <si>
    <t>7408117894;35481283400;35495699200;7201747933</t>
  </si>
  <si>
    <t>Takahashi, Masaharu;Takada, Jun Ichi;Ando, Makoto;Goto, Naohisa</t>
  </si>
  <si>
    <t>Takahashi M.</t>
  </si>
  <si>
    <t>A slot design for uniform aperture field distribution in single-layered radial line slot antennas</t>
  </si>
  <si>
    <t>10.1109/8.86915</t>
  </si>
  <si>
    <t>2-s2.0-0026188145</t>
  </si>
  <si>
    <t>['wiley company', 'radiation patterns', 'inc .,', 'frequency domain', 'computed using']</t>
  </si>
  <si>
    <t>finite‚Äêdifference time‚Äêdomain | Yagi antennas</t>
  </si>
  <si>
    <t>The radiation patterns of thin‚Äêwire Yagi antennas are computed using the finite‚Äêdifference time‚Äêdomain method. The radiated time‚Äêdo main fields are transformed to the frequency domain and then compared to the frequency‚Äêdomain results obtained from the method of moments. Copyright ¬© 1991 Wiley Periodicals, Inc., A Wiley Company</t>
  </si>
  <si>
    <t>311-313</t>
  </si>
  <si>
    <t>6507050860;7004219095</t>
  </si>
  <si>
    <t>Boonzaaler, J. J.;Pistorius, C. W.I.</t>
  </si>
  <si>
    <t>Boonzaaler J.</t>
  </si>
  <si>
    <t>Thin‚Äêwire Yagi antenna radiation patterns using the finite‚Äêdifference time‚Äêdomain method</t>
  </si>
  <si>
    <t>10.1002/mop.4650040810</t>
  </si>
  <si>
    <t>2-s2.0-0026188442</t>
  </si>
  <si>
    <t>['wave frequencies', 'structure consists', 'sis detector', 'silicon wafer', 'reflector antenna', 'polarization levels', 'matching network', 'low cross', 'integrated corner', 'bend antenna', 'beam efficiency', 'antenna length', '222 ghz']</t>
  </si>
  <si>
    <t>An integrated corner-reflector antenna has been designed, fabricated and measured at millimeter-wave frequencies. The structure consists of a traveling-wave antenna integrated on a 1.2- Œºm dielectric membrane and suspended in a longitudinal cavity etched in a silicon wafer. A new traveling wave antenna design, the modified-bend antenna, with an antenna length of L = 1.2Œª and spacing d= 0.96Œª from the apex, results in a wide-band input impedance centered at 140 Œ© and low cross-polarization levels. Measurements at 180-270 GHz show a well defined pattern with low sidelobe levels and a main-beam efficiency of 93 and 83% at 180 and 222 GHz, respectively. The monolithic approach allows the integration of a matching network and a Schottky-diode or SIS detector at the base of the antenna to yield a low-noise monolithic millimeterwave receiver. ¬© 1991 IEEE</t>
  </si>
  <si>
    <t>1000-1006</t>
  </si>
  <si>
    <t>60025778;60025778;60025778</t>
  </si>
  <si>
    <t>7004646209;36985970700;7006384021</t>
  </si>
  <si>
    <t>Gearhart, Steven S.;Ling, Curtis C.;Rebeiz, Gabriel M.</t>
  </si>
  <si>
    <t>Gearhart S.</t>
  </si>
  <si>
    <t>Integrated millimeter-wave corner-cube antennas</t>
  </si>
  <si>
    <t>10.1109/8.86921</t>
  </si>
  <si>
    <t>2-s2.0-0026188757</t>
  </si>
  <si>
    <t>['‚ àí1', 'true drift', 'temperatures ),', 'suitable orientation', 'structures drifting', 'southward bz', 'polar cap', 'phase scintillations', 'much reduced', 'much attention', 'moderate values', 'moderate levels', 'irregularity anisotropy', 'irregularities associated', 'ionization patches', 'investigate whether', 'highly anisotropic', 'fair estimate', 'f region', 'enhanced density', 'e region', 'diffraction pattern', 'copyright 1991', 'control exerted', 'antenna baseline', 'also demonstrate', 'actual velocity', '1 km']</t>
  </si>
  <si>
    <t>Recently, much attention has been focused on the control exerted by the north‚Äêsouth component of the interplanetary magnetic field (IMF) on the nature of large‚Äêscale plasma structures in the polar cap ionosphere. In this paper we investigate whether the above IMF control also extends to the small‚Äêscale irregularities of plasma density associated with the large‚Äêscale structures. For this purpose, we have performed spaced‚Äêreceiver scintillation measurements at Thule and Sondrestrom, Greenland, using the 250‚ÄêMHz transmissions from quasi‚Äêgeostationary polar beacon satellites. Under IMF Bz northward conditions, moderate levels of amplitude (S4 &lt; 0.6) and phase scintillations are observed with highly variable decorrelation times. Spaced‚Äêreceiver drifts under this situation show dramatic reversals of the true drift of the diffraction pattern from antisunward to sunward with moderate values of the axial ratio ranging between 4 and 12. For southward Bz we detect, in the central polar cap, a series of large magnitude scintillation (S4 ‚àº 1) structures drifting at speeds of the order of 500 m s‚àí1 in the antisunward direction indicating the passage of large‚Äêscale ionization structures in the F region. In these cases the apparent drift speed of the diffraction pattern can only be determined as the pattern on ground is highly anisotropic (axial ratios 15 to 40) which makes it difficult to determine the true drift velocity. However, with suitable orientation of our antenna baseline we find that the apparent drift gives a fair estimate of the actual velocity. We also demonstrate that when these irregularities associated with the ionization patches in the F region transit across the polar cap and are observed at Sondrestrom, in conjunction with underlying E region ionization caused by auroral particle precipitation (as sensed by simultaneous incoherent scatter radar measurements of densities and temperatures), the irregularity anisotropy is much reduced. This reduction of anisotropy is possibly a result of increased cross‚Äêfield diffusion due to coupling with the E region having enhanced density. The true drift of the diffraction pattern measured at Sondrestrom on one evening agrees remarkably well with the simultaneous incoherent scatter radar measurements of F region plasma drifts, both sets of drifts showing equatorward and eastward motion varying between 0.5 and 1 km s‚àí1. Copyright 1991 by the American Geophysical Union.</t>
  </si>
  <si>
    <t>1079-1103</t>
  </si>
  <si>
    <t>7403655948;57213721901;37013154300;26425558700;7003365430;7202345493</t>
  </si>
  <si>
    <t>Basu, Sunanda;Basu, S.;Costa, Emanoel;Bryant, C.;Valladares, C. E.;Livingston, R. C.</t>
  </si>
  <si>
    <t>Basu S.</t>
  </si>
  <si>
    <t>Interplanetary magnetic field control of drifts and anisotropy of high‚Äêlatitude irregularities</t>
  </si>
  <si>
    <t>10.1029/91RS00586</t>
  </si>
  <si>
    <t>2-s2.0-0026188933</t>
  </si>
  <si>
    <t>['thermal radiation', 'temperature distribution', 'observation angle', 'new approach', 'multispectral method', 'microwave radiometry', 'given frequency', 'constant permittivity', 'body temperature', 'biological tissues', 'biological body']</t>
  </si>
  <si>
    <t>A new approach for deriving the temperature distribution in biological tissues by microwave radiometry is proposed. It consists in the measurement of the thermal radiation of the body, at a given frequency, as a function of the observation angle, for two mutually orthogonal polarizations. Theoretically, this method yields results comparable to those obtained with the multispectral method. In order to derive the relations between the body temperature and the emitted thermal signal, the biological body is modeled by a set of parallel planar layers, each characterized by constant permittivity and temperature. ¬© 1991 IEEE</t>
  </si>
  <si>
    <t>1235-1239</t>
  </si>
  <si>
    <t>60019141;60019141</t>
  </si>
  <si>
    <t>57196639069;7006073745</t>
  </si>
  <si>
    <t>Montreuil, Jean;Nachman, Manfred</t>
  </si>
  <si>
    <t>Montreal</t>
  </si>
  <si>
    <t>Polytechnique Montr√©al</t>
  </si>
  <si>
    <t>Montreuil J.</t>
  </si>
  <si>
    <t>Multiangle Method for Temperature Measurement of Biological Tissues by Microwave Radiometry</t>
  </si>
  <si>
    <t>10.1109/22.85394</t>
  </si>
  <si>
    <t>2-s2.0-0026188946</t>
  </si>
  <si>
    <t>['radiation patterns', 'radiation characteristics', 'near fields', 'field transformation', 'different radii', 'dielectric substrate', 'conducting sphere']</t>
  </si>
  <si>
    <t>The radiation characteristics of a wraparound microstrip antenna on conducting sphere are investigated for different radii, frequencies, permittivities and thickness of dielectric substrate. The near fields are determined from the magnetic ring currents at the edges of the strip by the use of spherical wave functions. Radiation patterns are obtained from a near-field to far-field transformation by the method of spherical wave expansion. ¬© 1991 IEEE</t>
  </si>
  <si>
    <t>1031-1034</t>
  </si>
  <si>
    <t>60021176;60070264;60025757</t>
  </si>
  <si>
    <t>7403597567;57188557257;7006389495</t>
  </si>
  <si>
    <t>Das, Annapurna;Das, S. K.;Narasimhan, M. S.</t>
  </si>
  <si>
    <t>India;India;India</t>
  </si>
  <si>
    <t>Chennai;Chennai;Chennai</t>
  </si>
  <si>
    <t>SAMEER-Centre for Electromagnetics India;Indian Institute of Technology Madras;Anna University</t>
  </si>
  <si>
    <t>60070264;60025757;60021176</t>
  </si>
  <si>
    <t>Das A.</t>
  </si>
  <si>
    <t>Radiation characteristics of wraparound microstrip antenna on spherical body</t>
  </si>
  <si>
    <t>10.1109/8.86925</t>
  </si>
  <si>
    <t>2-s2.0-0026189443</t>
  </si>
  <si>
    <t>['test zone', 'test range', 'test objects', 'single room', 'reflector used', 'probe measurements', 'plane wave', 'model order', 'measurement range', 'generate approximations', 'field patterns', 'compact range', 'ar parameters']</t>
  </si>
  <si>
    <t>A compact range is an electromagnetic anechoic chamber with a very large (parabolic) reflector used to generate approximations to a plane wave in the confines of a single room. It is used to measure the far-field patterns of antennas or the far-field radar cross section of test objects. Such a measurement range will have spurious scattering mechanisms which will cause spurious signals as well as the desired plane wave to illuminate the test zone. An estimation technique based on autoregressive (AR) modeling of field probe data is developed to locate and quantify the spurious signal sources in this type of test range. Singular value decomposition and forward-backward linear prediciton are used to estimate the model order and the AR parameters. Examples of probe measurements and analysis for the Ohio State University compact range are given. ¬© 1991 IEEE</t>
  </si>
  <si>
    <t>24541951100;6602278963</t>
  </si>
  <si>
    <t>Walton, Eric K.;Moghaddar, Ali</t>
  </si>
  <si>
    <t>Walton E.</t>
  </si>
  <si>
    <t>Imaging of a Compact Range Using Autoregressive Spectral Estimation</t>
  </si>
  <si>
    <t>10.1109/62.89002</t>
  </si>
  <si>
    <t>2-s2.0-0026189538</t>
  </si>
  <si>
    <t>['shortening ratio', 'radiation pattern', 'qualities make', 'practical realization', 'practical measurements', 'placed asymmetrically', 'one turn', 'final section', 'directional plane', 'dipole consists', 'constructively contribute', 'circular sections', 'basic ideas', '40 %,', '1 ),']</t>
  </si>
  <si>
    <t>The basic ideas and the practical realization of a shortened, directive dipole called the coil section dipole is described. The dipole consists of both linear and circular sections which constructively contribute to the radiation pattern. The circular sections are realized as helices with one turn, and two radiating elements are placed asymmetrically on a Lecher feed line. In the final section, the practical measurements are presented. They show that the shortening ratio is 40%, the bandwidth 7¬∑5% (VSWR‚â§2:1), the half-power beamwidth ¬±21¬∞, and the directivity in the traditional dipole omni-directional plane about 1¬∑35. These qualities make the coil section dipole particularly well suited for shortened array antennas which are directive along one axis. ¬© 1991 Taylor &amp; Francis, Ltd.</t>
  </si>
  <si>
    <t>127-137</t>
  </si>
  <si>
    <t>B√òifot, Anton M.</t>
  </si>
  <si>
    <t>Norway</t>
  </si>
  <si>
    <t>Trondheim</t>
  </si>
  <si>
    <t>SINTEF Foundation for Scientific and Industrial Research</t>
  </si>
  <si>
    <t>B√òifot A.</t>
  </si>
  <si>
    <t>Shortened, directive dipole for array antennas</t>
  </si>
  <si>
    <t>10.1080/00207219108925464</t>
  </si>
  <si>
    <t>2-s2.0-0026189644</t>
  </si>
  <si>
    <t>UCLA</t>
  </si>
  <si>
    <t>['transverse types', 'standard height', 'moments solutions', 'mode coupling', 'main waveguide', 'coupling slots']</t>
  </si>
  <si>
    <t>Method of moments solutions to pertinent coupled integral equations have been investigated for arrays of coupling slots of the centered-inclined and longitudinal-transverse types between a main waveguide and crossed branch waveguides. It has been demonstrated that, by including the TE&lt;inf&gt;20&lt;/inf&gt; mode coupling in the analysis, most of the higher order mode effects can be accounted for in reduced height waveguides, whereas in waveguides of standard height there may be a small additional effect arising from the TE&lt;inf&gt;01&lt;/inf&gt; mode coupling. ¬© 1991 IEEE</t>
  </si>
  <si>
    <t>1219-1223</t>
  </si>
  <si>
    <t>Rengarajan, Sembiam R.</t>
  </si>
  <si>
    <t>Rengarajan S.</t>
  </si>
  <si>
    <t>Higher Order Mode Coupling Effects in the Feeding Waveguide of a Planar Slot Array</t>
  </si>
  <si>
    <t>10.1109/22.85390</t>
  </si>
  <si>
    <t>2-s2.0-0026189662</t>
  </si>
  <si>
    <t>['power coupled', 'pfr ),', 'paraboloidal reflector', 'paraboloid either', 'focus reflector', 'focus feed', 'flanged paraboloids', 'convex portion', 'constant radius', 'computed results', 'circular rim', 'b ratio', 'axis gain', 'avoid approximating', 'available measured', 'alternative procedures', 'also studied', 'also presented']</t>
  </si>
  <si>
    <t>An analysis is presented which employs the uniform geometrical theory of diffraction (UGTD) for determining the near fields diffracted by a paraboloid either with or without a conical flange attached to its circular rim when an axially propagated plane wave is incident on the concave or convex portion of the paraboloidal reflector. The field correlation theorem is employed to determine the power coupled by a prime focus feed associated with the paraboloid which is being iliuminated by a uniform plane wave. This analysis enables one to avoid approximating the prime-focus feed (PFF) as a point source radiating spherical waves. Based on this analysis, the front-to-back (F/B) ratio of unflanged and flanged paraboloids is computed. Computed results show satisfactory agreement with the available measured as well as computed results based on alternative procedures. Further, the variation in the on-axis gain of a prime-focus reflector (PFR), when the feed is displaced from the focus is also studied. Typical computed results of this study are presented which are compared with the available measured data. Computed results on F/B ratio of paraboloids (flanged or unflanged) illuminated by a PFF whose radiated field exhibits phase variation over a constant radius are also presented. ¬© 1991 IEEE</t>
  </si>
  <si>
    <t>877-882</t>
  </si>
  <si>
    <t>60025757;60025757</t>
  </si>
  <si>
    <t>7006389495;6506663898</t>
  </si>
  <si>
    <t>Narasimhan, M. S.;Govind, K. R.</t>
  </si>
  <si>
    <t>Indian Institute of Technology Madras</t>
  </si>
  <si>
    <t>Narasimhan M.S.</t>
  </si>
  <si>
    <t>Front-to-Back Ratio of Paraboloidal Reflectors</t>
  </si>
  <si>
    <t>10.1109/8.86904</t>
  </si>
  <si>
    <t>2-s2.0-0026189857</t>
  </si>
  <si>
    <t>['unstacked patches', 'theoretical results', 'stacked structure', 'reciprocity theorem', 'original results', 'mutual coupling', 'good agreement']</t>
  </si>
  <si>
    <t>Some original results on mutual coupling between two identical stacked microstrip antennas are presented. The theoretical results, calculated by using the reciprocity theorem and the spectral domain method, are in good agreement with experiments. The mutual coupling between stacked structure is compared with that between unstacked patches. ¬© 1991 IEEE</t>
  </si>
  <si>
    <t>1049-1051</t>
  </si>
  <si>
    <t>60030553;60030553;60030553;60019269</t>
  </si>
  <si>
    <t>7006272544;6603795399;6508155100;6507362749</t>
  </si>
  <si>
    <t>Terret, C.;Mahdjoubi, K.;Edimo, M.;Assailly, S.</t>
  </si>
  <si>
    <t>Rennes;Puteaux</t>
  </si>
  <si>
    <t>Universite de Rennes 1;Thales Group</t>
  </si>
  <si>
    <t>60030553;60019269</t>
  </si>
  <si>
    <t>Terret C.</t>
  </si>
  <si>
    <t>Mutual coupling between stacked square microstrip antennas fed on their diagonal</t>
  </si>
  <si>
    <t>10.1109/8.86931</t>
  </si>
  <si>
    <t>2-s2.0-0026190340</t>
  </si>
  <si>
    <t>['wall susceptance', 'wall conductance', 'wall admittance', 'various substrates', 'thick substrate', 'radiation efficiency', 'physical aperture', 'outside fields', 'numerical results', 'circular patch', 'aperture surface', 'accurate formulation']</t>
  </si>
  <si>
    <t>Accurate formulation for the wall admittance of a circular patch on a thick substrate/superstrate is presented. The principle of equivalence is invoked at the physical aperture of the patch, which yields equivalent electric and magnetic surface currents for the outside fields. The unknown electric current, in terms of the aperture electric field, is obtained from the field continuity condition on the aperture surface. Numerical results reveal that for a small substrate thickness, the equivalent electric current may be ignored. However, it should be included in the analysis for larger substrate thicknesses. Numerical results for the wall conductance, wall susceptance, and the radiation efficiency of a patch with various substrates and superstrates are presented. ¬© 1991 IEEE</t>
  </si>
  <si>
    <t>1038-1041</t>
  </si>
  <si>
    <t>Characteristics of circular patch on thick substrate and superstrate</t>
  </si>
  <si>
    <t>10.1109/8.86927</t>
  </si>
  <si>
    <t>2-s2.0-0026190341</t>
  </si>
  <si>
    <t>['transient response', 'transient phenomena', 'numerical examples', 'microstrip lines', 'integrated structure', 'form solution', 'field region', 'field radiated', 'equivalent circuits', 'analytical closed']</t>
  </si>
  <si>
    <t>The transient response of the field radiated from electric dipole sources and microstrip lines, having an arbitrary time waveform is analyzed. By using the three-dimensional Fourier transform of the spectral dyadic Green's function, relative to the integrated structure, an analytical closed-form solution is obtained and equivalent circuits for the analysis of the transient phenomena in the far-field region are derived. Numerical examples are provided to obtain noticeable insights to the behavior of planar circuits working under Gaussian pulsed excitation. ¬© 1991 IEEE</t>
  </si>
  <si>
    <t>910-918</t>
  </si>
  <si>
    <t>Cicchetti, Renato</t>
  </si>
  <si>
    <t>Sapienza Universit√† di Roma</t>
  </si>
  <si>
    <t>Cicchetti R.</t>
  </si>
  <si>
    <t>Transient analysis of radiated field from electric dipoles and microstrip lines</t>
  </si>
  <si>
    <t>10.1109/8.86909</t>
  </si>
  <si>
    <t>2-s2.0-0026190343</t>
  </si>
  <si>
    <t>['wire satisfies', 'two excitations', 'near field', 'field behavior', 'extreme near', 'conducting surface', 'circular cylinder', 'boundary match', 'best accuracy', 'also accurate']</t>
  </si>
  <si>
    <t>The extreme near-field behavior of the wire grid model of a conducting surface is examined. Using a wire grid model of an infinite transverse magnetic (TM) circular cylinder, it is verified that the best accuracy for the E-field is obtained when the wire satisfies the ‚Äúsame surface area‚Äù rule of thumb. Two excitations are considered: 1) a uniform surface current and 2) plane wave incidence. In case 1), although the boundary value match between the wires is poor, the extreme near field is still quite accurate. In case 2), the near field is also accurate, however, the largest errors occur not between the wires, but in the interior of the scatterer. In both cases, the boundary match between the wires as a check on the accuracy of the solution is misleading. ¬© 1991 IEEE</t>
  </si>
  <si>
    <t>994-999</t>
  </si>
  <si>
    <t>Paknys, Robert J.</t>
  </si>
  <si>
    <t>Concordia University</t>
  </si>
  <si>
    <t>Paknys R.J.</t>
  </si>
  <si>
    <t>The near field of a wire grid model</t>
  </si>
  <si>
    <t>10.1109/8.86920</t>
  </si>
  <si>
    <t>2-s2.0-0026190362</t>
  </si>
  <si>
    <t>['weighting function', 'time delay', 'thus avoiding', 'signal path', 'requirement leads', 'many applications', 'filter embodiment', 'correlator embodiment', 'correlation embodiment', 'bulky true']</t>
  </si>
  <si>
    <t>Wide-bandwidth weighted array processing requires that the weighting function, applied to each element in the array, be a function of the frequency. In many applications this requirement leads to the use of costly and bulky true-time delay (TDD) based weighting devices. In this paper, the equivalence between a filter embodiment and a correlator embodiment of the weighting function is used to show that the remote coding configuration can serve as a correlation embodiment of the weighting function, thus avoiding the need for TTD's in the signal path. ¬© 1991 IEEE</t>
  </si>
  <si>
    <t>1216-1219</t>
  </si>
  <si>
    <t>60014662;60014662;60014662</t>
  </si>
  <si>
    <t>6603065910;7005569608;24463325600</t>
  </si>
  <si>
    <t>Goffer, Amit P.;Kam, Moshe;Herczfeld, Peter R.</t>
  </si>
  <si>
    <t>Drexel University</t>
  </si>
  <si>
    <t>Goffer A.</t>
  </si>
  <si>
    <t>Wide-Bandwidth Optical Phased Array Based on Remote Coding Configuration</t>
  </si>
  <si>
    <t>10.1109/22.85389</t>
  </si>
  <si>
    <t>2-s2.0-0026190830</t>
  </si>
  <si>
    <t>['specified distance', 'region around', 'random sidelobes', 'prevents elements', 'neighbor constraint', 'maximum number', 'main beam', 'lying closer', 'isotropic radiators', 'elements consistent', 'e .,', 'densely packed', 'chosen constraint']</t>
  </si>
  <si>
    <t>When a nearest-neighbor constraint, which prevents elements from lying closer than some specified distance from each other, is imposed on a large random planar array of isotropic radiators, the corresponding radiation pattern contains a region around the main beam where random sidelobes are suppressed. This effect is mostly clearly manifested if the array is densely packed, i.e., if the array contains nearly the maximum number of elements consistent with the chosen constraint. A theory is developed to account for this effect. ¬© 1991 IEEE</t>
  </si>
  <si>
    <t>1047-1049</t>
  </si>
  <si>
    <t>60012564;60012564;60012564</t>
  </si>
  <si>
    <t>7006009447;6602335110;6507965925</t>
  </si>
  <si>
    <t>Fante, Ronald L.;Robertshaw, Gregory A.;Zamoscianyk, Stephen</t>
  </si>
  <si>
    <t>McLean</t>
  </si>
  <si>
    <t>MITRE Corporation</t>
  </si>
  <si>
    <t>Fante R.L.</t>
  </si>
  <si>
    <t>Observation and explanation of an unusual feature of random arrays with a nearest-neighbor constraint</t>
  </si>
  <si>
    <t>10.1109/8.86930</t>
  </si>
  <si>
    <t>2-s2.0-0026190963</t>
  </si>
  <si>
    <t>['various phases', 'synthesis method', 'one pattern', 'integrated way', 'flexible enough', 'electronic control', 'efficient implementation', 'cost reasons', 'common amplitude']</t>
  </si>
  <si>
    <t>Due to space or cost reasons, a single array antenna can be required to radiate more than one pattern, each pattern being selected by an electronic control, in which only the phase can be modified. A synthesis method is presented for such a problem, which is able to determine both the common amplitude and the various phases in an integrated way. Moreover, our approach is flexible enough to take into account additional constraints and allows an efficient implementation. Some test cases showing the effectiveness of the method are presented. ¬© 1991 IEEE</t>
  </si>
  <si>
    <t>919-925</t>
  </si>
  <si>
    <t>60017293;60017293;60017293</t>
  </si>
  <si>
    <t>7006499276;7006097620;7003742703</t>
  </si>
  <si>
    <t>Bucci, Ovidio M.;Mazzarella, Giuseppe;Panariello, Gaetano</t>
  </si>
  <si>
    <t>Naples</t>
  </si>
  <si>
    <t>Universit√† degli Studi di Napoli Federico II</t>
  </si>
  <si>
    <t>Bucci O.</t>
  </si>
  <si>
    <t>Reconfigurable arrays by phase-only control</t>
  </si>
  <si>
    <t>10.1109/8.86910</t>
  </si>
  <si>
    <t>2-s2.0-0026190964</t>
  </si>
  <si>
    <t>['type problems', 'numerical evaluations', 'layer substrate', 'expansions agree']</t>
  </si>
  <si>
    <t>A uniform asymptotic approximation is developed in the limit of small substrate thickness for the Green‚Äôs functions used in microstrip-type problems. The approximation is valid for a single-layer substrate. The expansions agree with near and far-field results previously published in the literature. Comparison of the approximation is made with numerical evaluations of the exact integral solution available for the problem. ¬© 1991 IEEE</t>
  </si>
  <si>
    <t>1223-1226</t>
  </si>
  <si>
    <t>Dunn, John M.</t>
  </si>
  <si>
    <t>Dunn J.</t>
  </si>
  <si>
    <t>A Uniform Asymptotic Expansion for the Green‚ÄôS Functions Used in Microstrip Calculations</t>
  </si>
  <si>
    <t>10.1109/22.85391</t>
  </si>
  <si>
    <t>2-s2.0-0026191213</t>
  </si>
  <si>
    <t>['mutual flux', 'mri ),', 'good agreement', 'experimental results', 'array antennas']</t>
  </si>
  <si>
    <t>Theconditions for zeroing the mutual flux between two closely spaced coil antennas are examined. Our analysis is expanded to examine the case of multiple linear antenna coils. Array antennas are used in many areas including magnetic resonance imaging (MRI), in which we are interested. Theoretical as well as experimental results are presented and compared. Good agreement between theory and measurements has been confirmed. These results allow us to suggest a two-dimensional receiving array antenna. ¬© 1991 IEEE</t>
  </si>
  <si>
    <t>949-953</t>
  </si>
  <si>
    <t>60015331;60015331;60015331</t>
  </si>
  <si>
    <t>6603932324;55289254200;57214980519</t>
  </si>
  <si>
    <t>Angelidis, Pantelis;Vassiliadis, Kostas;Sergiadis, George D.</t>
  </si>
  <si>
    <t>Greece</t>
  </si>
  <si>
    <t>Thessaloniki</t>
  </si>
  <si>
    <t>Aristotle University of Thessaloniki</t>
  </si>
  <si>
    <t>Angelidis P.</t>
  </si>
  <si>
    <t>Lowest mutual coupling between closely spaced loop antennas</t>
  </si>
  <si>
    <t>10.1109/8.86914</t>
  </si>
  <si>
    <t>2-s2.0-0026191304</t>
  </si>
  <si>
    <t>['wiley company', 'urban area', 'surrounding area', 'sufficiently greater', 'radio zone', 'multiple waves', 'measured results', 'made smaller', 'inc .,', 'effective use', 'antenna height', 'antenna gain']</t>
  </si>
  <si>
    <t>Spatial correlation characteristics of the base station antenna in a mobile propagation path have been studied in the past in the case where the antenna height is sufficiently greater than the average building height in the surrounding area. However, for effective use of frequencies, the base station antenna height may be reduced so that the radio zone can be made smaller. To this end, it is necessary to determine the method for computing the spatial correlation characeristics in the case where the base station antenna height is comparable to the average building height. In this paper, the arriving angle distribution of the multiple waves in an urban area is measured and the ration of the scattered wave level to the main arriving wave level is related to the antenna height and the antenna gain. Also, a method is proposed for deriving the spatial corrrelation coefficient by means of a and its usefulness is verified by measured results. Copyright ¬© 1991 Wiley Periodicals, Inc., A Wiley Company</t>
  </si>
  <si>
    <t>107-113</t>
  </si>
  <si>
    <t>60025555;60025555;60025555</t>
  </si>
  <si>
    <t>6602131146;7005540034;7102730225</t>
  </si>
  <si>
    <t>Akeyama, Akira;Sakagami, Shuji;Aoyama, Shigeru</t>
  </si>
  <si>
    <t>Akeyama A.</t>
  </si>
  <si>
    <t>UHF band spatial correlation characteristics of mobile base station antennas</t>
  </si>
  <si>
    <t>10.1002/ecja.4410740711</t>
  </si>
  <si>
    <t>2-s2.0-0026192988</t>
  </si>
  <si>
    <t>['wiley company', 'switched successively', 'shown theoretically', 'radiation pattern', 'necessary characteristics', 'mutual coupling', 'inc .,', 'directional diversity', 'dielectric substrate', 'desired signal', 'cavity model', 'antenna fabricated']</t>
  </si>
  <si>
    <t>In digital mobile communication, the directional diversity method is useful against fading. In this method, the antennas are switched successively to the antenna directed toward the arrival of the desired signal. In this paper, a four‚Äêdirectional switching antenna is proposed for the directional diversity. The proposed planar antenna consists of a sectoral patch antenna and 3‚ÄêdB hybrids. By means of the cavity model, the eigenvalue, radiation pattern and mutual coupling between the elements are calculated for this antenna. It is shown theoretically that this antenna has the necessary characteristics of a four‚Äêdirection antenna. The radiation pattern and the mutual coupling between the elements were measured for the antenna fabricated on a dielectric substrate to confirm the validity of the computation. Copyright ¬© 1991 Wiley Periodicals, Inc., A Wiley Company</t>
  </si>
  <si>
    <t>98-106</t>
  </si>
  <si>
    <t>60018279;60018279;60018279</t>
  </si>
  <si>
    <t>7402657600;7005933447;7004160110</t>
  </si>
  <si>
    <t>Arai, Hiroyuki;Teramoto, Hiroyuki;Toki, Masahiro</t>
  </si>
  <si>
    <t>Yokohama</t>
  </si>
  <si>
    <t>Yokohama National University</t>
  </si>
  <si>
    <t>Arai H.</t>
  </si>
  <si>
    <t>Planar four‚Äêdirection antenna for antenna pattern diversity reception</t>
  </si>
  <si>
    <t>10.1002/ecja.4410740710</t>
  </si>
  <si>
    <t>2-s2.0-0026193441</t>
  </si>
  <si>
    <t>['wiley company', 'unpredictable phenomena', 'transmission characteristics', 'studied theoretically', 'new type', 'metal plates', 'interpreted physically', 'inc .,', 'experimental confirmation', 'dielectric waveguide', 'dielectric strip', 'curious phenomena', 'also calculated']</t>
  </si>
  <si>
    <t>The nonradiative dielectric waveguide (NRD‚Äêguide) is a dielectric waveguide which normally is composed of low‚Äêpermittivity dielectric materials; but, if high‚Äêpermittivity materials are used, then the circuit size may be reduced. However, when high‚Äêpermittivity materials are used, then single‚Äêmode transmission becomes impossible and some unpredictable phenomena are observed which have never been observed in a low‚Äêpermittivity waveguide. In this paper, transmission characteristics of the high‚Äêpermittivity nonradiative dielectric waveguide are studied theoretically as well as experimentally. Assuming that the presence of small air gaps between the dielectric strip and metal plates of the NRD‚Äêguide, which cannot be avoided in practice, is the origin of these phenomena, the analysis has been performed which shows that a serious effect occurs even for extremely small gaps and the bandwidth of single‚Äêmode transmission becomes very small. Ultimately, this makes the single‚Äêmode transmission impossible. The electromagnetic field distribution in the NRD‚Äêguide is also calculated and the curious phenomena are interpreted physically. Moreover, a trapped insular NRD‚Äêguide is proposed which permits single‚Äêmode transmission even if high‚Äêpermittivity material is used. An experimental confirmation is made of the usefulness of this new type of NRD‚Äêguide. Copyright ¬© 1991 Wiley Periodicals, Inc., A Wiley Company</t>
  </si>
  <si>
    <t>20-29</t>
  </si>
  <si>
    <t>60008435-117383158;60008435</t>
  </si>
  <si>
    <t>7102082362;7202091831</t>
  </si>
  <si>
    <t>Shinohara, Soubee;Yoneyama, Tsukasa</t>
  </si>
  <si>
    <t>Japan;</t>
  </si>
  <si>
    <t>Sendai;</t>
  </si>
  <si>
    <t>Tohoku University;Ministry of Posts and Telecommunications</t>
  </si>
  <si>
    <t>60008435;117383158</t>
  </si>
  <si>
    <t>Shinohara S.</t>
  </si>
  <si>
    <t>Some interesting transmission characters of nonradiative dielectric waveguides using high‚Äêpermittivity material</t>
  </si>
  <si>
    <t>10.1002/ecjb.4420740703</t>
  </si>
  <si>
    <t>2-s2.0-0026193928</t>
  </si>
  <si>
    <t>['wiley company', 'two sets', 'sn ratio', 'separated adaptively', 'radiation patterns', 'radiation pattern', 'proposed system', 'one strategy', 'mobile communication', 'make use', 'major factor', 'information identical', 'inc .,', 'fading effect', 'fading due', 'estimated individually', 'error rate', 'direct wave', 'delayed waves', 'delayed wave', 'conventional method', 'controlled adaptively', 'communication quality', 'basic evaluation', 'antenna weights', 'adaptively combining', 'adaptive array']</t>
  </si>
  <si>
    <t>In mobile communication, fading due to multipath is a major factor in the deterioration of communication quality. One strategy for this problem is the adaptive array which eliminates the effect of the delayed waves by beam‚Äêforming or controlling the radiation pattern adaptively. However, in the conventional method, the delayed waves simply are eliminated but are not utilized. It has been pointed out also that the directional diversity reception is effective in reducing the fading effect. In the conventional directional diversity reception method, the radiation pattern of the antenna is fixed. In this paper, it is pointed out that the information identical to that in the direct wave is contained in the delayed wave. A directional diversity method is proposed in which, by means of the radiation pattern of the adaptive array antenna, the direct wave and the delayed waves are separated adaptively or combined. In this system, two sets of antenna weights are included for unknown or time‚Äêvarying waves and the radiation patterns of the antenna can be controlled adaptively so that the directions of arrival can be estimated individually. By adaptively combining the direct and delayed waves, the SN ratio can be improved. The basic evaluation of this system is carried out to indicate that the error rate can be improved over that for the conventional adaptive array antenna which does not make use of the delayed wave. A possibility of using the proposed system in mobile communication is discussed. Copyright ¬© 1991 Wiley Periodicals, Inc., A Wiley Company</t>
  </si>
  <si>
    <t>87-97</t>
  </si>
  <si>
    <t>7004335439;7102287283;56894680100</t>
  </si>
  <si>
    <t>Kuroiwa, Noboru;Kohno, Ryuji;Imai, Hideki</t>
  </si>
  <si>
    <t>Kuroiwa N.</t>
  </si>
  <si>
    <t>Design of a directional diversity receiver using an adaptive array antenna</t>
  </si>
  <si>
    <t>10.1002/ecja.4410740709</t>
  </si>
  <si>
    <t>2-s2.0-0026194274</t>
  </si>
  <si>
    <t>['¬© 1991', 'paper presents', 'cooling power', '100 mk']</t>
  </si>
  <si>
    <t>3 4 He/ He mixing chamber | dilution refrigerators | helium | ultralow temperature detectors</t>
  </si>
  <si>
    <t>This paper presents the features of a large mixing chamber, designed for cooling a 2300 kg aluminium gravitational wave antenna below 100 mK. Measurements of the Kapitza thermal boundary resistance and of the cooling power are reported. ¬© 1991.</t>
  </si>
  <si>
    <t>712-714</t>
  </si>
  <si>
    <t>60027509-60021660;60027509-60021660</t>
  </si>
  <si>
    <t>7005568912;7003738313</t>
  </si>
  <si>
    <t>Coccia, E.;Modena, I.</t>
  </si>
  <si>
    <t>Universit√† degli Studi di Roma "Tor Vergata";Istituto Nazionale di Fisica Nucleare - INFN</t>
  </si>
  <si>
    <t>60027509;60021660</t>
  </si>
  <si>
    <t>Coccia E.</t>
  </si>
  <si>
    <t>&lt;sup&gt;3&lt;/sup&gt;He/&lt;sup&gt;4&lt;/sup&gt;He mixing chamber for an ultralow temperature gravitational wave antenna</t>
  </si>
  <si>
    <t>001122759190232L</t>
  </si>
  <si>
    <t>10.1016/0011-2275(91)90232-L</t>
  </si>
  <si>
    <t>2-s2.0-0026202505</t>
  </si>
  <si>
    <t>['technical feasibility', 'system consists', 'successfully demonstrated', 'optical fiber', 'noise ratio', 'new cells', 'mobile phones', 'mobile equipment', 'linear end', 'lightwave transmitter', 'g 1', 'end transmission', 'effective receiver', 'direct modulation', 'direct detection', 'canister antennas', 'base station', 'analog version', 'also serve', '7 gb', '116b detector']</t>
  </si>
  <si>
    <t>Procuring base station antenna sites for new cells of rapidly growing cellular mobile radio services can be difficult. In response to this difficulty, we envisage a distributed antenna system using optical fiber subcarrier transmission. The system consists of many small canisters which radiate and receive radio signals to and from mobile phones. An optical-fiber connected canister antenna can also serve as a supplement to cover dead spots of imperfect base station antenna coverage. Linear end-to-end transmission between the base station and canister antennas can be provided by direct modulation and direct detection of a 1.3 Œºm optical carrier with 850 MHz subcarriers. The system is designed to be retrofitted into the existing cellular radio system without modifying base station or mobile equipment. Both radio and optical link budgets together with the required dynamic range of widely varying mobile signals have been analyzed. Technical feasibility has been verified by signal-to-noise ratio and intermodulation distortion measurements using an analog version of the FT-G 1.7 Gb/s lightwave transmitter with a 25A ASTROTEC isolator, and a cost-effective receiver with an AT&amp;T 116B detector. A prototype canister transceiver has been constructed and tested. Using the above components with existing base station and mobile equipment, a two-way audio link via 12 km of optical fiber and mobile radio path has been successfully demonstrated. ¬© 1991 IEEE</t>
  </si>
  <si>
    <t>599-606</t>
  </si>
  <si>
    <t>60021378;60021378</t>
  </si>
  <si>
    <t>7401775859;7006813926</t>
  </si>
  <si>
    <t>Chu, Ta Shing;Gans, Michael J.</t>
  </si>
  <si>
    <t>Chu T.</t>
  </si>
  <si>
    <t>Fiber Optic Microcellular Radio</t>
  </si>
  <si>
    <t>10.1109/25.97514</t>
  </si>
  <si>
    <t>2-s2.0-0026202603</t>
  </si>
  <si>
    <t>['sparse linear', 'simplex formed', 'resulting array', 'problem lies', 'point constraints', 'planar arrays', 'number p', 'minimum number', 'maximally sparse', 'local minimum', 'extreme point', 'cost function', 'constrained optimization']</t>
  </si>
  <si>
    <t>The problem of designing nonuniformly spaced arrays is formulated as one of constrained optimization in which the cost function is chosen to select the array with the minimum number of elements. The response of the array is controlled by a set of inequality point response constraints. It is shown that a suitable cost function for this problem is the l&lt;inf&gt;p&lt;/inf&gt;quasi-norm for 0 &lt; p &lt; 1 and that there exists a number p&lt;inf&gt;1&lt;/inf&gt;such that for all 0 &lt; p &lt; p&lt;inf&gt;1&lt;/inf&gt;the resulting array is maximally sparse. Furthermore it is shown that a solution to the problem lies at an extreme point of the simplex formed by the point constraints. A simplex search algorithm is described which will converge to a local minimum of the cost function on this simplex. The algorithm is illustrated in application to the design of sparse linear and planar arrays. ¬©1991 IEEE</t>
  </si>
  <si>
    <t>1178-1187</t>
  </si>
  <si>
    <t>60029311-60006832</t>
  </si>
  <si>
    <t>Leahy, Richard M.</t>
  </si>
  <si>
    <t>Los Angeles;Provo</t>
  </si>
  <si>
    <t>University of Southern California;Brigham Young University</t>
  </si>
  <si>
    <t>60029311;60006832</t>
  </si>
  <si>
    <t>Leahy R.</t>
  </si>
  <si>
    <t>On the Design of Maximally Sparse Beamforming Arrays</t>
  </si>
  <si>
    <t>10.1109/8.97353</t>
  </si>
  <si>
    <t>2-s2.0-0026202605</t>
  </si>
  <si>
    <t>['piecewise sinusoidal', 'perpendicular monopoles', 'parallel monopoles', 'new expressions', 'mutual impedance', 'exponential integrals', 'dimensional integrals', 'current direction', 'constant transverse', 'closed form', 'arbitrary size']</t>
  </si>
  <si>
    <t>New expressions are presented for the mutual impedance of arbitrary size, coplanar, parallel, and perpendicular surface monopoles. The assumed current distribution on the monopoles is piecewise sinusoidal in the current direction, and constant transverse to it. The expression for the parallel monopoles is a summation of exponential integrals and one-dimensional integrals, whereas that of perpendicular monopoles is in closed form, containing exponential integrals only. ¬©1991 IEEE</t>
  </si>
  <si>
    <t>1251-1256</t>
  </si>
  <si>
    <t>60004923;60004923</t>
  </si>
  <si>
    <t>57218704208;54680796400</t>
  </si>
  <si>
    <t>Koksal, Adnan;Frank Kauffman, J.</t>
  </si>
  <si>
    <t>Raleigh</t>
  </si>
  <si>
    <t>NC State University</t>
  </si>
  <si>
    <t>Koksal A.</t>
  </si>
  <si>
    <t>Mutual Impedance of Parallel and Perpendicular Coplanar Surface Monopoles</t>
  </si>
  <si>
    <t>10.1109/8.97367</t>
  </si>
  <si>
    <t>2-s2.0-0026202678</t>
  </si>
  <si>
    <t>['parabolic reflectors', 'numerical results', 'new application', 'mm ).', 'hyperthermia application', 'flared horns', 'fdtd method', 'dimensional waveguides', 'difference time']</t>
  </si>
  <si>
    <t>The application of the finite-difference time-domain (FDTD) method to various radiating structures is considered. These structures include two- and three-dimensional waveguides, flared horns, a two-dimensional parabolic reflector, and a two-dimensional hyperthermia application. Numerical results for the horns, waveguides, and parabolic reflectors are compared with results from method of moments (MM). The results for the hyperthermia application are shown as extensions of the previously validated models. This new application of the FDTD method is shown to be useful when other numerical or analytic methods cannot be applied. ¬©1991 IEEE</t>
  </si>
  <si>
    <t>1203-1212</t>
  </si>
  <si>
    <t>60007363-60027561;60007363;60007363</t>
  </si>
  <si>
    <t>49661664400;56969598400;7006104679</t>
  </si>
  <si>
    <t>Katz, Daniel S.;Piket-May, Melinda J.;Taflove, Allen</t>
  </si>
  <si>
    <t>Chicago;Evanston</t>
  </si>
  <si>
    <t>University of Illinois at Chicago;Northwestern University</t>
  </si>
  <si>
    <t>60027561;60007363</t>
  </si>
  <si>
    <t>Katz D.S.</t>
  </si>
  <si>
    <t>FDTD Analysis of Electromagnetic Wave Radiation from Systems Containing Horn Antennas</t>
  </si>
  <si>
    <t>10.1109/8.97356</t>
  </si>
  <si>
    <t>2-s2.0-0026202679</t>
  </si>
  <si>
    <t>['third calibrator', 'rotation angle', 'polarization responses', 'polarization antennas', 'noise consideration', 'new self', 'flat plate', 'experimental results', 'calibration technique', 'calibration process', 'calibration performance', 'also useful', '5 ¬∞.']</t>
  </si>
  <si>
    <t>The principle and experimental results of a new self-consistent calibration algorithm of wide-band polarimetric measurement system are presented. The calibration targets include a flat plate, a dihedral corner reflector, and a rotated dihedral corner reflector. The rotation angle of the third calibrator can be derived in the calibration process and used to verify the calibration performance. Based on the signal-to-noise consideration an optimal rotation angle for dihedral corner reflector is found to be 22.5¬∞. This calibration technique is also useful in characterizing the frequency and polarization responses of dual-polarization antennas. ¬©1991 IEEE</t>
  </si>
  <si>
    <t>1188-1192</t>
  </si>
  <si>
    <t>56948239500;7401775911;15833854100</t>
  </si>
  <si>
    <t>Chen, Tzong Jyh;Chu, Tah Hsiung;Chen, Fu Chiarng</t>
  </si>
  <si>
    <t>Chen T.</t>
  </si>
  <si>
    <t>A New Calibration Algorithm of Wide-Band Polarimetric Measurement System</t>
  </si>
  <si>
    <t>10.1109/8.97354</t>
  </si>
  <si>
    <t>2-s2.0-0026203161</t>
  </si>
  <si>
    <t>['vehicle phased', 'three cavity', 'scanning phased', 'return loss', 'resonant frequency', 'mobile satellite', 'low loss', 'low cost', 'impedance matching', 'hence reduces', 'field pattern', 'backed crossed', 'array applications', 'array antennas']</t>
  </si>
  <si>
    <t>Three cavity-backed crossed-slot antenna configurations are described that offer simple design, easy frequency tuning, and are lightweight, low loss, and low cost. These antennas are designed for mobile satellite (MSAT) vehicle phased-array applications. The slots in these antennas are end-loaded. The end loading makes the slots effectively longer, and hence reduces their resonant frequency. Therefore, relatively small radiating elements can be achieved for large-angle-scanning phased-array antennas. These antennas have good RF characteristics and provide a relatively wide bandwidth without needing external tuning circuits for impedance matching. Measurements for the return loss and the far-field pattern of these antennas are presented. ¬©1991 IEEE</t>
  </si>
  <si>
    <t>1237-1240</t>
  </si>
  <si>
    <t>Manshadi, F.</t>
  </si>
  <si>
    <t>Manshadi F.</t>
  </si>
  <si>
    <t>End-Loaded Crossed-Slot Radiating Elements</t>
  </si>
  <si>
    <t>10.1109/8.97363</t>
  </si>
  <si>
    <t>2-s2.0-0026203216</t>
  </si>
  <si>
    <t>['type solution', 'iterative stacked']</t>
  </si>
  <si>
    <t>Numerical results based on a Galerkin-type solution for a stacked microstrip patch phased array element gain performance predict a bandwidth of 20-30% in a 45¬∞ scan volume. An iterative stacked-phased-array-element design procedure is developed. The method is facilitated by identification of the individual uncoupled resonant configurations of the stagger-tuned patch system. ¬©1991 IEEE</t>
  </si>
  <si>
    <t>1062-1070</t>
  </si>
  <si>
    <t>60102437-60108318</t>
  </si>
  <si>
    <t>Lubin, Yan</t>
  </si>
  <si>
    <t>United States;China</t>
  </si>
  <si>
    <t>New York;Beijing</t>
  </si>
  <si>
    <t>NYU Tandon School of Engineering;China Academy of Space Technology</t>
  </si>
  <si>
    <t>60108318;60102437</t>
  </si>
  <si>
    <t>Lubin Y.</t>
  </si>
  <si>
    <t>WideBand, Wide-Angle Microstrip Stacked-Patch-Element Phased Arrays</t>
  </si>
  <si>
    <t>10.1109/8.97339</t>
  </si>
  <si>
    <t>2-s2.0-0026203217</t>
  </si>
  <si>
    <t>['simulation results', 'significantly improved', 'noise ratio', 'existing algorithms', 'effective signal', 'autocorrelation estimation', 'approach based']</t>
  </si>
  <si>
    <t>An approach based on spatial filter preprocessing (SFP) is developed to enhance the resolution of the existing spectrum estimation algorithms and is applied to sensor array processing in the single snapshot case. The effective signal-to-noise ratio (SNR) and the accuracy of autocorrelation estimation are significantly improved through the use of this approach. Simulation results are presented to illustrate the improved performance achieved by the new approach relative to that obtained with some existing algorithms. ¬©1991 IEEE</t>
  </si>
  <si>
    <t>1125-1129</t>
  </si>
  <si>
    <t>60021666-60005465;60005465</t>
  </si>
  <si>
    <t>56796259800;57196177623</t>
  </si>
  <si>
    <t>Zhang, Ming;Li, Lohming</t>
  </si>
  <si>
    <t>China;China</t>
  </si>
  <si>
    <t>Nanjing;Chengdu</t>
  </si>
  <si>
    <t>Nanjing University of Aeronautics and Astronautics;University of Electronic Science and Technology of China</t>
  </si>
  <si>
    <t>60021666;60005465</t>
  </si>
  <si>
    <t>Zhang M.</t>
  </si>
  <si>
    <t>A Novel Approach of Resolution Enhancement with Application in Array Processing of Single Snapshot</t>
  </si>
  <si>
    <t>10.1109/8.97346</t>
  </si>
  <si>
    <t>2-s2.0-0026203286</t>
  </si>
  <si>
    <t>['predicted using', 'phase front', 'best fit', '25 times']</t>
  </si>
  <si>
    <t>The electromagnetic field close to a pyramidal horn antenna has been predicted using a numerical technique assuming a spherical phase front in the aperture of the horn. Comparison to experimental results using an infrared imaging technique has shown that the best fit is for a phase front that is 1.25 times more curved than a sphere. ¬© 1991 IEEE</t>
  </si>
  <si>
    <t>188-196</t>
  </si>
  <si>
    <t>60010265;60010265;60010265</t>
  </si>
  <si>
    <t>7202379305;7003593918;7006081196</t>
  </si>
  <si>
    <t>Metzger, Don W.;Norgard, John D.;Sega, Ronald M.</t>
  </si>
  <si>
    <t>Colorado Springs</t>
  </si>
  <si>
    <t>University of Colorado at Colorado Springs</t>
  </si>
  <si>
    <t>Metzger D.W.</t>
  </si>
  <si>
    <t>Near-Field Patterns from Pyramidal Horn Antennas: Numerical Calculation and Experimental Verification</t>
  </si>
  <si>
    <t>10.1109/15.85132</t>
  </si>
  <si>
    <t>2-s2.0-0026203343</t>
  </si>
  <si>
    <t>['yet achieve', 'two reasons', 'three reasons', 'service area', 'receivers tuned', 'receiver operates', 'operate closer', 'ntsc station', 'ntsc receiver', 'noise ratio', 'new service', 'lower carrier', 'hdtv transmitter', 'hdtv receivers', 'free display', 'directional antenna', 'digital spectrum', 'compatible hdtv']</t>
  </si>
  <si>
    <t>The Digital Spectrum-Compatible HDTV (DSC-HDTV) System allows noise-free and imperfection-free display of a received signal throughout a television broadcast station's service area. Compared to an NTSC station with the same service area, the DSC-HDTV station radiates less power for two reasons. The DSC-HDTV transmission signal is more efficient and, secondly, a digital receiver operates with a lower carrier-to-noise ratio. As a result, the DSC-HDTV transmitter can operate closer to a cochannel NTSC station than another NTSC station without increasing the interference into receivers tuned to the cochannel NTSC station and yet achieve a HDTV service area comparable to NTSC. The decreased cochannel spacing does not cause unacceptable NTSC interference into DSC-HDTV receivers for three reasons. First, there is a newly devised interference rejection system; secondly, the receiver operates with a lower acceptable carrier-to-interference ratio compared to an NTSC receiver; and, thirdly, a directional antenna is assumed for the new service. ¬© 1991 IEEE</t>
  </si>
  <si>
    <t>469-475</t>
  </si>
  <si>
    <t>60074719;60074719;60074719;60074719</t>
  </si>
  <si>
    <t>6602143785;7005132651;16219570500;6507792059</t>
  </si>
  <si>
    <t>Citta, R.;Fockens, P.;Lee, R.;Rypkema, J.</t>
  </si>
  <si>
    <t>Lincolnshire</t>
  </si>
  <si>
    <t>Zenith Electronics Corporation</t>
  </si>
  <si>
    <t>Citta R.</t>
  </si>
  <si>
    <t>The digital spectrum-compatible HDTV transmission system</t>
  </si>
  <si>
    <t>10.1109/30.85554</t>
  </si>
  <si>
    <t>2-s2.0-0026203419</t>
  </si>
  <si>
    <t>['wideband source', 'variant filters', 'temporal frequency', 'spatial distribution', 'source location', 'recent research', 'linear shift', 'linear array', 'correspondence examines', 'coherent focusing', 'array outputs']</t>
  </si>
  <si>
    <t>In recent research, coherent focusing of wideband data received by a linear array of sensors has been achieved by adjusting the spatial sampling rate, or ‚Äúspatially resampling‚Äù the array outputs, as a function of temporal frequency. Spatial resampling permits each wideband source in multigroup multiple source scenarios to be represented by a rank-one model without preliminary estimates of the spatial distribution of the sources. This correspondence examines the design and performance of linear shift-variant filters for coherent wideband processing via spatial resampling. In particular, a minimax error criterion is used to obtain realizable resampling filters and an approximate statistical analysis of wideband spatially resampled minimum variance spatial spectral estimation is presented. Simulation results indicate that spatial resampling provides a computationally efficient means of reducing the threshold observation time required to obtain high resolution estimates of source location. ¬© 1991 IEEE</t>
  </si>
  <si>
    <t>1899-1903</t>
  </si>
  <si>
    <t>60033154;60016297</t>
  </si>
  <si>
    <t>7005264853;7004853582</t>
  </si>
  <si>
    <t>Krolik, Jeffrey;Swingler, David</t>
  </si>
  <si>
    <t>Montreal;Halifax</t>
  </si>
  <si>
    <t>Concordia University;Saint Mary's University</t>
  </si>
  <si>
    <t>Krolik J.</t>
  </si>
  <si>
    <t>The Performance of Minimax Spatial Resampling Filters for Focusing Wide-Band Arrays</t>
  </si>
  <si>
    <t>10.1109/78.91162</t>
  </si>
  <si>
    <t>2-s2.0-0026203443</t>
  </si>
  <si>
    <t>['paper presents', 'conducting bench', '50 mhz']</t>
  </si>
  <si>
    <t>cable emissions | coupled trans mission lines | Screened room</t>
  </si>
  <si>
    <t>This paper presents an equivalent circuit model for a screened room emission measurement setup. It develops transfer functions that are used to illustrate the variations in received emission levels produced by changes in interconnecting cable layout when the cable is placed over a conducting bench in the room. The model is based on a coupled transmission line approach and is valid at frequencies up to 50 MHz. ¬© 1991 IEEE</t>
  </si>
  <si>
    <t>60016418;60016418</t>
  </si>
  <si>
    <t>7201951152;7005566736</t>
  </si>
  <si>
    <t>Goodwin, Stephen;Marvin, Andrew C.</t>
  </si>
  <si>
    <t>York</t>
  </si>
  <si>
    <t>University of York</t>
  </si>
  <si>
    <t>Goodwin S.</t>
  </si>
  <si>
    <t>An Analysis of the Effects of Cable Layout on Cable to Antenna Coupling Inside a Screened Room</t>
  </si>
  <si>
    <t>10.1109/15.85129</t>
  </si>
  <si>
    <t>2-s2.0-0026203449</t>
  </si>
  <si>
    <t>['sufficient conditions', 'squared error', 'optimization problems', 'optimal window', 'new window', 'maximum error', 'mathematical analyses', 'hamming window', 'fundamentally inefficient', 'experimental evidence', 'examples demonstrate', 'design algorithm', 'best tradeoff']</t>
  </si>
  <si>
    <t>A new optimal window is presented in this paper. It can provide the best tradeoff between the peak sidelobe level and the total sidelobe energy. Necessary and sufficient conditions are established for the optimal window. A design algorithm is presented and examples are discussed. The examples demonstrate that the new window is capable of much better performance than previously available windows, such as the Hamming window. Relationships between the maximum error and the mean-squared error are explored for optimization problems. It is concluded that minimax and least squares approximations are both fundamentally inefficient. This conclusion is supported by experimental evidence and mathematical analyses. ¬© 1991 IEEE</t>
  </si>
  <si>
    <t>1753-1769</t>
  </si>
  <si>
    <t>Adams, John W.</t>
  </si>
  <si>
    <t>Adams J.W.</t>
  </si>
  <si>
    <t>A New Optimal Window</t>
  </si>
  <si>
    <t>10.1109/78.91146</t>
  </si>
  <si>
    <t>2-s2.0-0026203451</t>
  </si>
  <si>
    <t>['wideband time', 'undesired signals', 'two antennas', 'target area', 'small reflections', 'reported together', 'reflectometer uses', 'reflection coefficient', 'reflection characteristics', 'receiving ).', 'microwave absorbers', 'main sources', 'generated outside', 'domain reflectometer', 'difference mode', 'anechoic chamber', 'absorber placed', '1000 mhz']</t>
  </si>
  <si>
    <t>Absorber | microwaves | reflectivity | reflectometer | RF | time domain</t>
  </si>
  <si>
    <t>A wideband time-domain reflectometer is used to evaluate the reflection characteristics of RF /microwave absorbers. The reflectometer uses an array of two identical broadband antennas (both transmitting and receiving). The two antennas are used in a difference mode to remove the undesired signals and enhance the small reflections being measured. Using this technique, we can separate the target surface reflections from those generated outside the target area. The bandwidth of our pulses is 30 to 1000 MHz, and the reflection coefficient is measured over this range. The method has been used to characterize the reflectivity of three different types of absorber placed in an anechoic chamber. The results are reported together with a discussion of the main sources of errors. ¬© 1991 IEEE</t>
  </si>
  <si>
    <t>234-240</t>
  </si>
  <si>
    <t>;60023053;60023053</t>
  </si>
  <si>
    <t>57218242641;6602402610;35578175900</t>
  </si>
  <si>
    <t>Tofani, Santi;Ondrejka, Arthur;Kanda, Motohisa</t>
  </si>
  <si>
    <t>Tofani S.</t>
  </si>
  <si>
    <t>A Time-Domain Method for Characterizing the Reflection Coefficient of Absorbing Materials from 30 to 1000 MHz</t>
  </si>
  <si>
    <t>10.1109/15.85137</t>
  </si>
  <si>
    <t>2-s2.0-0026203455</t>
  </si>
  <si>
    <t>['waveguide adaptor', 'solid probe', 'numerical results', 'input impedance', 'ibm pc', 'computer algorithm']</t>
  </si>
  <si>
    <t>An analysis of a coaxial-to-waveguide adaptor that incorporates a solid probe, coated with a dielectric is presented. Based on this analysis, a computer algorithm for an IBM PC is developed. The numerical results for the input impedance of the probe are presented and show good agreement with the other analyses and experiments. ¬© 1991 IEEE</t>
  </si>
  <si>
    <t>211-214</t>
  </si>
  <si>
    <t>Bialkowski, Marek E.</t>
  </si>
  <si>
    <t>Brisbane</t>
  </si>
  <si>
    <t>The University of Queensland</t>
  </si>
  <si>
    <t>Bialkowski M.</t>
  </si>
  <si>
    <t>Analysis of a Coaxial-to-Waveguide Adaptor Incorporating a Dielectric Coated Probe</t>
  </si>
  <si>
    <t>10.1109/75.84590</t>
  </si>
  <si>
    <t>2-s2.0-0026203758</t>
  </si>
  <si>
    <t>['volute parameters', 'vector combination', 'radiation fields', 'procedure relies', 'helical wires', 'given set', 'etc .,', 'axial ratio', 'antennas based', 'antenna patterns']</t>
  </si>
  <si>
    <t>A theoretical design procedure for volute for antennas based on the predictions of their performance has been developed. The procedure relies on the vector combination of the radiation fields of the helical wires and the end connecting wires with a continuous sinusoidal current distribution along each wire of the volute. Antenna patterns of circularly polarized fields, directivity, 3-dB beam width, axial ratio, front-to-back power ratio, etc., can all be calculated from a given set of volute parameters. A practical design example utilizing this procedure is presented. ¬©1991 IEEE</t>
  </si>
  <si>
    <t>1227-1230</t>
  </si>
  <si>
    <t>Wang, H. S.C.</t>
  </si>
  <si>
    <t>Whittier</t>
  </si>
  <si>
    <t>Wang Engineering and Research</t>
  </si>
  <si>
    <t>Wang H.S.C.</t>
  </si>
  <si>
    <t>Theoretical Design and Predictions of Volute Antenna Performance</t>
  </si>
  <si>
    <t>10.1109/8.97360</t>
  </si>
  <si>
    <t>2-s2.0-0026203785</t>
  </si>
  <si>
    <t>Office of Naval Research</t>
  </si>
  <si>
    <t>N00014-85-K- 0603</t>
  </si>
  <si>
    <t>ONR</t>
  </si>
  <si>
    <t>['sensitive technique', 'periphery rather', 'oxide breakdown', 'cv measurement', 'cv degradation', 'charging current', 'characterizing plasma']</t>
  </si>
  <si>
    <t>CV measurement is shown to be a more sensitive technique for characterizing plasma-etching induced damage than oxide breakdown. Plasma charging current was deduced by reproducing the CV degradation by constant current stressing. The charging current is found to increase in proportion to the periphery rather than to the area of the ‚Äúantenna.‚Äù ¬© 1991 IEEE</t>
  </si>
  <si>
    <t>404-406</t>
  </si>
  <si>
    <t>IEEE Electron Device Letters</t>
  </si>
  <si>
    <t>60121438;60121438;60121438-60031293;60121438</t>
  </si>
  <si>
    <t>7404012153;7401525685;35415264800;35594318600</t>
  </si>
  <si>
    <t>Shin, H.;King, C. C.;Horiuchi, T.;Chenming, Hu</t>
  </si>
  <si>
    <t>Berkeley;Tokyo</t>
  </si>
  <si>
    <t>University of California, Berkeley;NEC Corporation</t>
  </si>
  <si>
    <t>60121438;60031293</t>
  </si>
  <si>
    <t>Shin H.</t>
  </si>
  <si>
    <t>Thin Oxide Charging Current During Plasma Etching of Aluminum</t>
  </si>
  <si>
    <t>10.1109/55.119146</t>
  </si>
  <si>
    <t>2-s2.0-0026203864</t>
  </si>
  <si>
    <t>['two cavity', 'rectangular slot', 'mode matching', 'many applications', 'input impedance', 'derived based', 'cylindrical cavity', 'conformal antennas', 'cavity length']</t>
  </si>
  <si>
    <t>The input impedance of a cylindrical cavity-backed slot antenna has been derived based on mode matching and the complex Poynting theorem. Two cavity-backed slot antennas were fabricated to verify the theory. The numerical results agree very well with measurements. Two resonant frequencies were found from the input impedance. One resonant frequency is attributed to the rectangular slot and the other is due to the cavity. The slot length controls the first resonant frequency and has a much stronger effect on the input impedance at the antenna operating frequency as compared with the cavity length. The results should have many applications in conformal antennas and arrays. ¬©1991 IEEE</t>
  </si>
  <si>
    <t>1158-1166</t>
  </si>
  <si>
    <t>60020547;60020547;60020547</t>
  </si>
  <si>
    <t>56771612600;7003548524;7404879378</t>
  </si>
  <si>
    <t>Li, Ming Yi;Hummer, Kenneth A.;Chang, Kai</t>
  </si>
  <si>
    <t>Li M.</t>
  </si>
  <si>
    <t>Theoretical and Experimental Study of the Input Impedance of the Cylindrical Cavity-Backed Rectangular Slot Antennas</t>
  </si>
  <si>
    <t>10.1109/8.97351</t>
  </si>
  <si>
    <t>2-s2.0-0026203952</t>
  </si>
  <si>
    <t>['video signal', 'video display', 'transmission system', 'mode b', 'local area', 'install antennas', 'enough space', 'distortion factor', 'dbs receiver', 'dbs programs', 'audio signal', 'also receive', '70 db', '60 db', '45 db', '3 degrees']</t>
  </si>
  <si>
    <t>Described is a new optical fiber audio/video signal transmission system for distributing the DBS programs to the displays/receivers in a local area where there is no enough space to install antennas for each receiver. A customer who has a DBS receiver but no space for setting an antenna can receive the DBS programs through the optical fiber system. A customer who has no DBS receiver can also receive the DBS programs on a video display through the optical fiber system. The DG and DP of the transmission system for a video signal were under 3% and 3 degrees, respectively. The distortion factor for an audio signal was under 0.08% in mode A and 0.02% in mode B, respectively. The SNR of a video signal was above 45 dB (unweighed) and SNR for an audio signal was above 60 dB in mode A and 70 dB in mode B. ¬© 1991 IEEE</t>
  </si>
  <si>
    <t>372-378</t>
  </si>
  <si>
    <t>60103680;60103680;60103680;60103680;60103680;60103680;115568633;115568633</t>
  </si>
  <si>
    <t>7404001025;55859272900;6603600126;6507214799;7408719352;7102081893;7006386776;57199865897</t>
  </si>
  <si>
    <t>Ikeda, Hiroaki;Li, Jinzhu;Rabou, N. A.;Awoki, Kazuya;Yoshida, Hirofumi;Shinohara, Shigenobu;Tsuchiya, Etsuo;Nishimura, Ken Ichi</t>
  </si>
  <si>
    <t>Shizuoka;Hamamatsu</t>
  </si>
  <si>
    <t>Shizuoka University;Palcom Electronics Corporation</t>
  </si>
  <si>
    <t>60103680;115568633</t>
  </si>
  <si>
    <t>Ikeda H.</t>
  </si>
  <si>
    <t>DBS program distribution network in local area through optical fiber</t>
  </si>
  <si>
    <t>10.1109/30.85539</t>
  </si>
  <si>
    <t>2-s2.0-0026204162</t>
  </si>
  <si>
    <t>['¬© 1991', 'short introduction', 'sar design', 'rights reserved', 'phased arrays', 'key issues', 'electrical engineers']</t>
  </si>
  <si>
    <t>A short introduction to the background and theory of synthetic aperture radar (SAR) imaging is given. Some of the key issues in SAR design are discussed and possible future developments involving SAR operation with phased arrays are suggested. ¬© 1991, The Institution of Electrical Engineers. All rights reserved.</t>
  </si>
  <si>
    <t>159-170</t>
  </si>
  <si>
    <t>Currie, A.</t>
  </si>
  <si>
    <t>Farnborough</t>
  </si>
  <si>
    <t>BAE Systems plc</t>
  </si>
  <si>
    <t>Currie A.</t>
  </si>
  <si>
    <t>Synthetic aperture radar</t>
  </si>
  <si>
    <t>10.1049/ecej:19910029</t>
  </si>
  <si>
    <t>2-s2.0-0026204224</t>
  </si>
  <si>
    <t>['wave applications', 'submillimeter wavelengths', 'state devices', 'simple transmission', 'responsivity detector', 'power meter', 'power calibration', 'polarization independent', 'optical measurements', 'line model', 'infrared lasers', 'frequency network', 'approach results', 'application example', 'agree well', '90 ghz', '100 ghz']</t>
  </si>
  <si>
    <t>A novel monolithic power meter has been developed for submillimeter-wave applications (100 GHz to 10 THz). The detector is a large-area bismuth bolometer integrated on a 1.2-Œºm-thick dielectric membrane. This approach results in a wideband, high-responsivity detector. The power meter is simple to fabricate, inexpensive, and can be easily calibrated using a low-frequency network. Quasi-optical measurements at 90, 140, and 240 GHz show that the bolometer is polarization independent and could be modeled by a simple transmission-line model. Absolute power measurements at 90, 140, and 240 GHz show a + 5% accuracy and agree well with a calibrated Anritsu power meter at 90 GHz. Potential application areas are power calibration, antenna coupling efficiency measurements, and absolute power measurements from solid-state devices and far-infrared lasers at submillimeter wavelengths. Absolute output power measurements on a 220-280 GHz tripler using the quasi-optical power meter are presented as an application example. ¬© 1991 IEEE</t>
  </si>
  <si>
    <t>1257-1261</t>
  </si>
  <si>
    <t>36985970700;7006384021</t>
  </si>
  <si>
    <t>Ling, Curtis C.;Rebeiz, Gabriel M.</t>
  </si>
  <si>
    <t>Ling C.C.</t>
  </si>
  <si>
    <t>A Wide-Band Monolithic Quasi-Optical Power Meter for Millimeter- and Submillimeter-Wave Applications</t>
  </si>
  <si>
    <t>10.1109/22.85398</t>
  </si>
  <si>
    <t>2-s2.0-0026204385</t>
  </si>
  <si>
    <t>['two inverted', 'quantitative evaluation', 'mobile communication', 'interelement spacings', 'ifa element', 'f elements', 'f antenna', 'element orientations', 'dimensional analysis', 'clear expression', 'array performances']</t>
  </si>
  <si>
    <t>The performance of an adaptive array antenna with two inverted-F elements is analyzed by using the method of moments. A random signal model for mobile communication in a typical urban area is used. Three-dimensional analysis is applied to give a clear expression of the array output signal-to-interference plus noise ratio (SINR) performance. Also, a factor called SINR pattern angle ratio (PAR) is introduced with which a quantitative evaluation of the SINR patterns becomes possible. By using the PAR, the array performances for different array parameters such as inverted-F antenna (IFA) element orientations, interelement spacings and incident signal directions are computed. As a result, the IFA element is found more preferable to a quarterwave monopole array in the assumed signal environment. ¬© 1991 IEEE</t>
  </si>
  <si>
    <t>575-583</t>
  </si>
  <si>
    <t>60014256;60014256;60014256</t>
  </si>
  <si>
    <t>7005272381;7403304145;7102376306</t>
  </si>
  <si>
    <t>Chao, Rong Yu;Fujimoto, Kyohei;Hirasawa, Kazuhiro</t>
  </si>
  <si>
    <t>University of Tsukuba</t>
  </si>
  <si>
    <t>Chao R.</t>
  </si>
  <si>
    <t>Three-Dimensional Performance of an LMS Adaptive Array with Inverted-F Elements</t>
  </si>
  <si>
    <t>10.1109/25.97512</t>
  </si>
  <si>
    <t>2-s2.0-0026204420</t>
  </si>
  <si>
    <t>['transmit matrix', 'transmit channels', 'three 2', 'systematic errors', 'significant degradation', 'residual reflections', 'receive matrix', 'receive channels', 'r ].', 'polarimetric radar', 'physical understanding', 'paper presents', 'isolation matrix', 'frequency response', 'error terms', 'empty room', 'complete 12', 'channel imbalance', 'antenna measurements', '2 matrices']</t>
  </si>
  <si>
    <t>Systematic and statistical errors cause a significant degradation in the performance of polarimetric radar and antenna measurements. This paper presents a complete 12-term error model for the systematic errors in polarimetric free space measurements, as there are the frequency response, channel imbalance, the coupling between the transmit channels, the coupling between the receive channels, the coupling from transmit to receive and finally the residual reflections of the environment. The errors are contained in three 2*2 matrices, the isolation matrix [I], the transmit matrix [T], and the receive matrix [R]. A full polarimetric calibration with the empty room, a sphere, a vertical dihedral corner and a 45¬∞ dihedral corner is proposed. The physical understanding is supported by a cubic signal graph for the error terms. ¬©1991 IEEE</t>
  </si>
  <si>
    <t>60029428;60029428</t>
  </si>
  <si>
    <t>7006593766;6602879540</t>
  </si>
  <si>
    <t>Wiesbeck, Werner;Riegger, Sebastian</t>
  </si>
  <si>
    <t>Karlsruhe</t>
  </si>
  <si>
    <t>Karlsruhe Institute of Technology, Campus South</t>
  </si>
  <si>
    <t>Wiesbeck W.</t>
  </si>
  <si>
    <t>A Complete Error Model for Free Space Polarimetric Measurements</t>
  </si>
  <si>
    <t>10.1109/8.97343</t>
  </si>
  <si>
    <t>2-s2.0-0026204421</t>
  </si>
  <si>
    <t>['suitably transformed', 'significantly faster', 'signal transformation', 'particular null', 'one zero', 'new algorithm', 'multiplexed manner', 'lms updating', 'lms algorithm', 'independently steered', 'implementation complexity', 'employed directly', 'element signals', 'convergence behavior', 'almost independent', 'adaptively updated', 'adaptively adjust', 'adaptive arrays']</t>
  </si>
  <si>
    <t>A fast null steering algorithm for adaptive arrays with look direction constraint is presented and investigated. Basically, in this algorithm, the least mean square (LMS) algorithm is used to adaptively adjust the positions of the array response zeros one after another in a time-multiplexed manner to track unknown jammers. To ensure that the look direction response and the other zeros remain unchanged when a particular null is being updated, the element signals are suitably transformed before the LMS updating. Despite this signal transformation, the new algorithm has almost the same implementation complexity as when the LMS algorithm is employed directly, as only one zero is being adaptively updated at any instant. However, with each null being independently steered, the convergence behavior of the new algorithm is significantly faster and is almost independent of the external noise environment. ¬©1991 IEEE</t>
  </si>
  <si>
    <t>1098-1104</t>
  </si>
  <si>
    <t>A Fast Null Steering Algorithm for Linearly Constrained Adaptive Arrays</t>
  </si>
  <si>
    <t>10.1109/8.97342</t>
  </si>
  <si>
    <t>2-s2.0-0026204478</t>
  </si>
  <si>
    <t>European Space Agency</t>
  </si>
  <si>
    <t>7371 /87/NL</t>
  </si>
  <si>
    <t>ESA</t>
  </si>
  <si>
    <t>['using total', 'transient current', 'paper examines', 'obtained directly', 'interference resonance', 'electrostatic discharges', 'electromagnetic pulses', 'electromagnetic pulse', 'dimensional plots', 'coupling phenomenon']</t>
  </si>
  <si>
    <t>electromagnetic pulse | interference frequency | microstrip patch antenna | Thevenin equivalent circuit | Transient response</t>
  </si>
  <si>
    <t>This paper examines the interaction of electromagnetic pulses such as those due to electrostatic discharges with a microstrip patch antenna. By using total-field finite difference software, the transient current is obtained directly from Maxwell's equations in the time-domain and three-dimensional plots of the electric charge density on perfectly conducting surfaces showing the coupling of the electromagnetic pulse to the antenna. This rigorous approach also illustrates and gives an interpretation of the interference resonance below the usual working frequencies of the antenna. Furthermore, an analytical equivalent circuit for the coupling phenomenon is discussed. ¬© 1991 IEEE</t>
  </si>
  <si>
    <t>224-233</t>
  </si>
  <si>
    <t>6602436044;7004363654;7006402070;57205894152</t>
  </si>
  <si>
    <t>Seaux, Jean Paul;Reineix, Alain;Jecko, Bernard;Hamelin, Joel H.</t>
  </si>
  <si>
    <t>Seaux J.</t>
  </si>
  <si>
    <t>Transient Analysis of a Space-Born Microstrip Patch Antenna Illuminated by an Electromagnetic Pulse</t>
  </si>
  <si>
    <t>10.1109/15.85136</t>
  </si>
  <si>
    <t>2-s2.0-0026204661</t>
  </si>
  <si>
    <t>['tubular one', 'transverse electromagnetic', 'thin monopole', 'rigorously analysed', 'outer radius', 'numerical results', 'mode admittance', 'ground plane', 'estimated using', 'coaxial waveguide', 'coaxial line', 'ccpt ).', 'also given']</t>
  </si>
  <si>
    <t>A solid circular cylindrical monopole fed through a perfectly conducting ground plane by a coaxial line, is rigorously analysed by applying full wave field theory using the conservation of complex power technique (CCPT). The model of this analysis is the structure of a coaxial line feeding a larger coaxial waveguide terminated in a ground plane. As the outer radius of the coaxial waveguide is increased, the transverse electromagnetic (TEM) mode admittance of a cylindrical monopole radiating over a ground plane is estimated using a variable bound approach. Numerical results for a thin monopole are established, and then compared with King‚Äôs results for the tubular one. Results for a thick monopole fed by its coaxial line having the dielectric constant Œµ&lt;inf&gt;r&lt;/inf&gt; are also given. ¬©1991 IEEE</t>
  </si>
  <si>
    <t>1243-1247</t>
  </si>
  <si>
    <t>60009697-60014171</t>
  </si>
  <si>
    <t>Do-Nhat, Tam</t>
  </si>
  <si>
    <t>Waterloo;Winnipeg</t>
  </si>
  <si>
    <t>University of Waterloo;University of Manitoba</t>
  </si>
  <si>
    <t>60014171;60009697</t>
  </si>
  <si>
    <t>Do-Nhat T.</t>
  </si>
  <si>
    <t>The Admittance of a Monopole Antenna Fed through a Ground Plane by a Coaxial Line</t>
  </si>
  <si>
    <t>10.1109/8.97365</t>
  </si>
  <si>
    <t>2-s2.0-0026204869</t>
  </si>
  <si>
    <t>['transverse electromagnetic', 'realizable method', 'mode assumed', 'loop driven', 'input susceptance', 'image plane', 'image equivalent', 'function generator', 'excellent agreement', 'divergent series', 'coaxial line', 'accurate measurements', 'accurate comparison']</t>
  </si>
  <si>
    <t>The conventional Fourier series analysis for the thin-wire circular transmitting loop, or its image equivalent the half-loop, uses a delta-function generator for excitation. This method of excitation introduces two problems: it does not correspond to any realizable method of feeding the antenna so an accurate comparison with measurement is not possible, and it produces a divergent series for the input susceptance. To overcome these problems, a new theoretical model is used for the antenna: a half-loop driven through an image plane by a coaxial transmission line, with a transverse electromagnetic (TEM) mode assumed in the aperture of the coaxial line. This model is solved in a manner that preserves the simplicity of the original Fourier series analysis; all coefficients are obtained as closed form expressions. Input admittances calculated from this new theoretical model are in excellent agreement with accurate measurements. ¬©1991 IEEE</t>
  </si>
  <si>
    <t>1167-1177</t>
  </si>
  <si>
    <t>7403686350;7406739047</t>
  </si>
  <si>
    <t>Zhou, Guangping;Smith, Glenn S.</t>
  </si>
  <si>
    <t>Zhou G.</t>
  </si>
  <si>
    <t>An Accurate Theoretical Model for the Thin-Wire Circular Half-Loop Antenna</t>
  </si>
  <si>
    <t>10.1109/8.97352</t>
  </si>
  <si>
    <t>2-s2.0-0026204870</t>
  </si>
  <si>
    <t>['wavenumber larger', 'solved using', 'results obtained', 'present analysis', 'lossy medium', 'lossy coating', 'loss tangent', 'loss dielectric', 'input admittance', 'hopf technique', 'center across', 'analytic expressions', 'ambient medium']</t>
  </si>
  <si>
    <t>The problem of a dielectric-coated dipole antenna in a relatively dense medium is solved using the Wiener-Hopf technique. The analysis is done for a perfectly conducting dipole antenna coated by a low-loss dielectric and embedded in a lossy medium of a wavenumber larger than that of the lossy coating. Analytic expressions are derived for the input admittance and the current distribution along the dipole which is excited at the center across a nonzero width feed gap. Results obtained from present analysis are compared with available literature data for different antenna length embedded in ambient medium with loss tangent a /(at. The numerical work involves only the determination of certain integrals using standard integration routines. ¬©1991 IEEE</t>
  </si>
  <si>
    <t>1057-1061</t>
  </si>
  <si>
    <t>Saoudy, S. A.</t>
  </si>
  <si>
    <t>St John's</t>
  </si>
  <si>
    <t>Memorial University of Newfoundland</t>
  </si>
  <si>
    <t>Saoudy S.</t>
  </si>
  <si>
    <t>Wiener-Hopf Type Analysis of Dielectric-Coated Dipole Antenna in Relatively Dense Medium</t>
  </si>
  <si>
    <t>10.1109/8.97338</t>
  </si>
  <si>
    <t>2-s2.0-0026205679</t>
  </si>
  <si>
    <t>['unmodulated tones', 'two frequencies', 'two antennas', 'three types', 'space diversity', 'signal envelopes', 'results presented', 'relative merits', 'polarized signals', 'nearly uncorrelated', 'found significant', 'field strengths', 'also reported', '900 mhz', '4 wavelength', '2 db']</t>
  </si>
  <si>
    <t>A series of experiments that were conducted to evaluate the relative merits of three types of diversities in the indoor portable radio channels at 900 MHz is described. Unmodulated tones were used to probe the channel in a typical university work environment. The statistics of the signal envelopes were analyzed to determine the correlation of the field strengths when the signals are separated in space, frequency or polarization. According to the results presented here, the performance of a narrow-band system (&lt; 200 kHz) at 900 MHz could greatly benefit from a frequency diversity scheme provided that the separation between the two frequencies is greater than approximately 5 MHz. Similarly, the advantage of space diversity is found significant when the two antennas are spaced by 3/4 wavelength or more. It is also reported that co-polarized and cross-polarized signals are nearly uncorrelated and their relative field strengths differ by less than 2 dB in most locations. ¬© 1991 IEEE</t>
  </si>
  <si>
    <t>569-574</t>
  </si>
  <si>
    <t>60017592;60017592;60017592</t>
  </si>
  <si>
    <t>35896683100;7003693421;7004444053</t>
  </si>
  <si>
    <t>Lemieux, Jean Francois;El-Tanany, Mohamed S.;Hafez, H. M.</t>
  </si>
  <si>
    <t>Carleton University</t>
  </si>
  <si>
    <t>Lemieux J.</t>
  </si>
  <si>
    <t>Experimental Evaluation of Space /Frequency /Polarization Diversity in the Indoor Wireless Channel</t>
  </si>
  <si>
    <t>10.1109/25.97511</t>
  </si>
  <si>
    <t>2-s2.0-0026205916</t>
  </si>
  <si>
    <t>['wellbehaved sidelobes', 'similar condition', 'sidelobe performance', 'insure well', 'derived requirement', 'circular arrays', 'behaved sidelobes', 'array curvature']</t>
  </si>
  <si>
    <t>Sidelobe performance in an array with a quadratic phase distribution is related to the array curvature and conditions are derived that insure well-behaved sidelobes for quadratic phase conformal arrays. A similar condition is derived for parabolic shaped arrays and results are given to illustrate the validity of the derived requirement for wellbehaved sidelobes for both parabolic and circular arrays. ¬©1991 IEEE</t>
  </si>
  <si>
    <t>1234-1237</t>
  </si>
  <si>
    <t>Holder, E. J.</t>
  </si>
  <si>
    <t>Holder E.J.</t>
  </si>
  <si>
    <t>Sidelobe Performance in Quadratic Phase Conformal Arrays</t>
  </si>
  <si>
    <t>10.1109/8.97362</t>
  </si>
  <si>
    <t>2-s2.0-0026205917</t>
  </si>
  <si>
    <t>['zone radiation', 'time domain', 'near zones', 'form expression', 'field due', 'electromagnetic fields', 'corresponding plots', 'calculated directly']</t>
  </si>
  <si>
    <t>The electromagnetic fields of a transient traveling wave current on a straight wire segment are calculated directly in the time domain. Retarded potential theory is used to establish an impulse response valid in both far and near zones. A closed-form expression for the field due to a rectangular current pulse is obtained, and corresponding plots are given. Comparison with experimental data reveals close agreement. A formula for far-zone radiation from an arbitrarily shaped wire is developed; results for a proposed directive antenna geometry are presented. ¬© 1991 IEEE</t>
  </si>
  <si>
    <t>172-178</t>
  </si>
  <si>
    <t>60031707;60031707;60005059</t>
  </si>
  <si>
    <t>7006894465;6603625295;7003598608</t>
  </si>
  <si>
    <t>Rothwell, Edward J.;Ilavarasan, Ponniah;Cloud, Michael J.</t>
  </si>
  <si>
    <t>East Lansing;Southfield</t>
  </si>
  <si>
    <t>Michigan State University;Lawrence Technological University</t>
  </si>
  <si>
    <t>60031707;60005059</t>
  </si>
  <si>
    <t>Rothwell E.J.</t>
  </si>
  <si>
    <t>Transient Field Produced by a Traveling-Wave Wire Antenna</t>
  </si>
  <si>
    <t>10.1109/15.85130</t>
  </si>
  <si>
    <t>2-s2.0-0026205938</t>
  </si>
  <si>
    <t>['wide variety', 'video communication', 'video appliances', 'tv sets', 'tv antenna', 'tap installation', 'signal levels', 'several years', 'security devices', 'physical characteristics', 'media bridging', 'lighting controls', 'information coding', 'important part', 'home automation', 'distribution within', 'configuration rules', 'completely understood', 'communications methodology', 'coaxial bus', 'cebus concept', 'catv cable', 'bandwidth allocation']</t>
  </si>
  <si>
    <t>Home automation has been just over the horizon for several years. The reasons for this are not completely understood, however it will be recognized that compatibility between home automation products is necessary for this new consumer industry to grow. A home automation standard standard called CEBus, now being released by the EIA, will standardize the communications between automated home appliances and pave the way for a wide variety of home automation capabilities. An important part of the CEBus concept is the ability to interconnect various appliances such as telephones, lighting controls, security devices and infrared (IR) remote control units with CATV cable, TV antenna, TV sets, VCRs, cameras and other video appliances. Such devices might also generate video for distribution within the home to other appliances. This video communication is supported by the coaxial bus, or CXBus. The topology, configuration rules, physical characteristics and communications methodology (language) of the CXBus are described. The media and tap installation, connection to appliances, range of signal levels, bandwidth allocation, information coding and media bridging are considered. Those who own. manage. build, maintain or repair CATV systems will need to gain some understanding of the CXBus as it affects their systems and customers. ¬© 1991 IEEE</t>
  </si>
  <si>
    <t>357-366</t>
  </si>
  <si>
    <t>O'Brien, Thomas E.</t>
  </si>
  <si>
    <t>O'Brien T.E.</t>
  </si>
  <si>
    <t>Physical and media specifications of the CXBus</t>
  </si>
  <si>
    <t>10.1109/30.85537</t>
  </si>
  <si>
    <t>2-s2.0-0026206135</t>
  </si>
  <si>
    <t>['uda two', 'stacked circular', 'reflection loss', 'loop elements', 'graphical method', 'gain enhancement', 'feeder sections', 'experimental results', 'experimental ones', 'different numbers', 'designed antenna', 'design procedure', 'design method', 'demon strated', 'broadside directions', 'array effects']</t>
  </si>
  <si>
    <t>A design method is presented for the Yaei-Uda two-stacked circular-loop array antenna, which works as a single balanced feed antenna. The antenna is analyzed with a theoretical model consisting of loop elements and feeder sections. The results are compared with experimental ones. By using the computed and measured antenna currents, the gain enhancement of the antenna is confirmed to be due to both the stacked-loop-array and endfire-array effects. A method of compensation for the reflection loss and a design procedure are discussed in detail. A graphical method is given to estimate th optimum size of the antenna without detailed numerical calculations, and the performance of the designed antenna is demon strated by experiments. Experimental results are presented for several antennas arranged with different numbers of loops in endfire and broadside directions. ¬©1991 IEEE</t>
  </si>
  <si>
    <t>1112-1118</t>
  </si>
  <si>
    <t>60000886-60024322</t>
  </si>
  <si>
    <t>Okuno, Kiyoshi</t>
  </si>
  <si>
    <t>Suita;Neyagawa</t>
  </si>
  <si>
    <t>Osaka University;Osaka Electro-Communication University</t>
  </si>
  <si>
    <t>60024322;60000886</t>
  </si>
  <si>
    <t>Okuno K.</t>
  </si>
  <si>
    <t>Design Method of Yagi-Uda Two-Stacked Circular Loop Array Antennas</t>
  </si>
  <si>
    <t>10.1109/8.97344</t>
  </si>
  <si>
    <t>2-s2.0-0026206251</t>
  </si>
  <si>
    <t>['step size', 'simulation results', 'sensor arrays', 'proposed method', 'proper selection', 'hood function', 'global maximum', 'frequency domain', 'dynamic programming', 'broadband sources']</t>
  </si>
  <si>
    <t>An analysis is presented to estimate the number of broadband sources by sensor arrays and to compute the maximum likelihood estimator (MLE) of their direction-of-arrival (DOA) based on the dynamic programming (DP) algorithm. The approach is devised in the frequency domain. With proper selection of the number of elements, the distance between elements, and the step size, the global maximum for the log-likeli-hood function (LLF) can be obtained. Otherwise, the global maximum is not guaranteed. Simulation results are presented and studied to demonstrate the performance of the proposed method. ¬©1991 IEEE</t>
  </si>
  <si>
    <t>1213-1221</t>
  </si>
  <si>
    <t>26662098000;6603686726</t>
  </si>
  <si>
    <t>Lin, Shen De;Barkat, Mourad</t>
  </si>
  <si>
    <t>Lin S.</t>
  </si>
  <si>
    <t>Maximum Likelihood Estimation of Direction-of-Arrival and Detection for BroadBand Sources via Dynamic Programming</t>
  </si>
  <si>
    <t>10.1109/8.97357</t>
  </si>
  <si>
    <t>2-s2.0-0026206456</t>
  </si>
  <si>
    <t>['top load', 'optimum antenna', 'input impedance', 'experimental study', 'effective height', 'conducting body', 'antenna analysis', 'amplifier noise']</t>
  </si>
  <si>
    <t>A theoretical and experimental study of an optimum receiving antenna configuration that fits within certain allocated space requirements is presented. The antenna analysis is based on a quasi-static numerical study of a conducting body of revolution above a perfectly conducting ground plane. A general numerical algorithm is developed to determine the input impedance and the effective height of the antenna. In addition, a discussion of the amplifier noise and its role in the choice of the optimum antenna are included. Results are presented for cylindrical and truncated conical structures both with and without a top load. ¬© 1991 IEEE</t>
  </si>
  <si>
    <t>197-204</t>
  </si>
  <si>
    <t>60019947;60022659</t>
  </si>
  <si>
    <t>7201591225;7202185170</t>
  </si>
  <si>
    <t>Casey, John P.;Bansal, Rajeev</t>
  </si>
  <si>
    <t>Storrs;New London</t>
  </si>
  <si>
    <t>University of Connecticut;US Naval Underwater Systems Center</t>
  </si>
  <si>
    <t>60022659;60019947</t>
  </si>
  <si>
    <t>Casey J.</t>
  </si>
  <si>
    <t>Analysis and Optimization of an Electrically Small Receiving Antenna</t>
  </si>
  <si>
    <t>10.1109/15.85133</t>
  </si>
  <si>
    <t>2-s2.0-0026206482</t>
  </si>
  <si>
    <t>['uniaue free', 'snr ).', 'operational characteristics', 'noise ratio', 'future enhancements', 'effective bandwidth', 'channel ultra']</t>
  </si>
  <si>
    <t>A uniaue free-field transient scattering facility is described which employs a dual-channel ultra-wide-band impulsive source. Following a brief historical review, the theory and operational characteristics of the laboratory are discussed. New technical implementations are then described which have yielded significant improvement in effective bandwidth and signal-to-noise ratio (SNR). High quality experimental validations are shown, and consideration is given to future enhancements. ¬©1991 IEEE</t>
  </si>
  <si>
    <t>1230-1234</t>
  </si>
  <si>
    <t>60033012-60000131</t>
  </si>
  <si>
    <t>Morgan, Michael A.</t>
  </si>
  <si>
    <t>Monterey;Ottawa</t>
  </si>
  <si>
    <t>Naval Postgraduate School;National Defence and the Canadian Forces</t>
  </si>
  <si>
    <t>60033012;60000131</t>
  </si>
  <si>
    <t>Morgan M.</t>
  </si>
  <si>
    <t>Ultra-Wide-Band Transient Electromagnetic Scattering Laboratory</t>
  </si>
  <si>
    <t>10.1109/8.97361</t>
  </si>
  <si>
    <t>2-s2.0-0026206622</t>
  </si>
  <si>
    <t>['electromagnetic fields', 'currents associated', 'appropriate adjustment']</t>
  </si>
  <si>
    <t>The electromagnetic fields and currents associated with an infinite four parallel wire transmission line are analyzed through the use of the spatial Fourier transform method. The near and far electromagnetic fields and currents that are associated with frill and gap voltage excitations are analyzed by the Fourier transform method. Possible VHF compact range applications of a four parallel wire antenna system are discussed, including the possibility of simulating an off-axis EM plane wave by the appropriate adjustment of the exciting voltage phase on each of the four parallel wires. Comparisons of Fourier transform method solutions with method-of-moments (MOM) solutions and finite-difference-time-domain (FD-TD) solutions are made for an infinite four parallel wire antenna system. ¬© 1991 IEEE</t>
  </si>
  <si>
    <t>215-223</t>
  </si>
  <si>
    <t>Jarem, John</t>
  </si>
  <si>
    <t>Huntsville</t>
  </si>
  <si>
    <t>The University of Alabama in Huntsville</t>
  </si>
  <si>
    <t>Jarem J.</t>
  </si>
  <si>
    <t>Analysis of a Four Parallel Wire Antenna System by the Spatial Fourier Transform Method</t>
  </si>
  <si>
    <t>10.1109/15.85135</t>
  </si>
  <si>
    <t>2-s2.0-0026206697</t>
  </si>
  <si>
    <t>Department of Trade and Industry</t>
  </si>
  <si>
    <t>DTI</t>
  </si>
  <si>
    <t>['used close', 'special cases', 'resonant dipoles', 'radiation patterns', 'input impedance', 'ground plane', 'broadband antenna', 'antenna factor', 'antenna elements', 'also examined']</t>
  </si>
  <si>
    <t>The characteristics of a wire biconical antenna that determine its antenna factor were computed by using the method of moments code NEC-2. In the absence of much published data on this type of antenna, a fairly extensive validation exercise was conducted from which a suitable computer model was derived. The input impedance, gain, and radiation patterns of the antenna were computed for the special cases where the biconical is used above a conducting ground plane for open-field EMC testing. The effects of height above the ground plane and polarization of the antenna on these parameters were found and the antenna factor corrected for them. The current distribution along the antenna elements was also examined, and it was found that significant pattern distortion can occur at some frequencies when a horizontal wire biconical antenna is used close to the ground. These results will allow this broadband antenna to be used with confidence in applications where previously only resonant dipoles were specified. ¬© 1991 IEEE</t>
  </si>
  <si>
    <t>179-187</t>
  </si>
  <si>
    <t>60020661;60016218</t>
  </si>
  <si>
    <t>7101618795;7005409475</t>
  </si>
  <si>
    <t>Austin, Brian A.;Fourie, Andre P.C.</t>
  </si>
  <si>
    <t>United Kingdom;South Africa</t>
  </si>
  <si>
    <t>Liverpool;Johannesburg</t>
  </si>
  <si>
    <t>University of Liverpool;University of the Witwatersrand, Johannesburg</t>
  </si>
  <si>
    <t>Austin B.A.</t>
  </si>
  <si>
    <t>Characteristics of the Wire Biconical Antenna Used for EMC Measurements</t>
  </si>
  <si>
    <t>10.1109/15.85131</t>
  </si>
  <si>
    <t>2-s2.0-0026206698</t>
  </si>
  <si>
    <t>['target zone', 'subsequently lead', 'main reflector', 'incident field', 'gregorian subreflector', 'diffracted fields', '5 db']</t>
  </si>
  <si>
    <t>In dual chamber compact ranee measurement systems, a Gregorian subreflector is used to illuminate the main reflector. Since the subreflector is finite in size, there will be diffracted fields from its edges which degrade the incident field on the main reflector and subsequently lead to undesired stray fields in the target zone. Some treatment of the subreflector edge diffraction is to use a serrated edge subreflector. Here a serrated edge Gregorian subreflector for a dual chamber compact range system is presented. It is shown that by using the serrated edge subreflector, one can reduce the ripple in the target zone field due to the subreflector edge diffraction from 2 to 0.5 dB. ¬©1991 IEEE</t>
  </si>
  <si>
    <t>1258-1261</t>
  </si>
  <si>
    <t>60003500;60003500;60003500;60003500</t>
  </si>
  <si>
    <t>7102202358;57189255194;7004270570;57198651722</t>
  </si>
  <si>
    <t>Gupta, Inder J.;Brown, David G.;Burnside, Walter D.;Lin, W.</t>
  </si>
  <si>
    <t>A Serrated Edge Gregorian Subreflector for Dual Chamber Compact Range Systems</t>
  </si>
  <si>
    <t>10.1109/8.97369</t>
  </si>
  <si>
    <t>2-s2.0-0026206840</t>
  </si>
  <si>
    <t>['spectral domain', 'parasitic patch', 'parasitic element', 'microstrip antenna', 'investigated theoretically', 'integral equation', 'input impedance', 'impedance matching', 'galerkin procedure', 'bandwidth enhancement']</t>
  </si>
  <si>
    <t>The variation of the size and position of a parasitic element with the input impedance and bandwidth of a stack rectangular microstrip antenna is investigated theoretically. An integral equation for the unknown patch current densities is formulated in the spectral domain. The Galerkin procedure is employed to solve for the solution. It is found that the input impedance varies significantly with the size and position of the parasitic patch. The result is important for bandwidth enhancement and impedance matching of the microstrip antenna. ¬©1991 IEEE</t>
  </si>
  <si>
    <t>1247-1251</t>
  </si>
  <si>
    <t>7006646156;55510527400</t>
  </si>
  <si>
    <t>Au, Tsien Ming;Luk, Kwai Man</t>
  </si>
  <si>
    <t>Au T.</t>
  </si>
  <si>
    <t>Effect of Parasitic Element on the Characteristics of Microstrip Antenna</t>
  </si>
  <si>
    <t>10.1109/8.97366</t>
  </si>
  <si>
    <t>2-s2.0-0026206841</t>
  </si>
  <si>
    <t>['generally fed', 'circular waveguide']</t>
  </si>
  <si>
    <t>Circularly polarized antennas such as C-band space communications antennas are generally fed by rotationally symmetric structures radiating the two strongly decoupled orthogonal polarizations. A light, compact, and high-performance device able to generate circularly polarized waves in a circular waveguide, is discussed. ¬©1991 IEEE</t>
  </si>
  <si>
    <t>1222-1224</t>
  </si>
  <si>
    <t>60104081;60104081</t>
  </si>
  <si>
    <t>6602955282;6701775173</t>
  </si>
  <si>
    <t>Behe, Roger;Brachat, Patrice</t>
  </si>
  <si>
    <t>Issy-les-Moulineaux</t>
  </si>
  <si>
    <t>Orange Labs</t>
  </si>
  <si>
    <t>Behe R.</t>
  </si>
  <si>
    <t>Compact Duplexer-Polarizer with Semicircular Waveguide</t>
  </si>
  <si>
    <t>10.1109/8.97358</t>
  </si>
  <si>
    <t>2-s2.0-0026206942</t>
  </si>
  <si>
    <t>['wiley company', 'widely used', 'surface currents', 'small size', 'scalar green', 'resonance frequencies', 'present article', 'patch located', 'numerical approximations', 'mostly done', 'mom ).', 'microwave systems', 'microstrip structures', 'microstrip structure', 'microstrip patch', 'microstrip geometry', 'microstrip devices', 'limited accuracy', 'inc .,', 'geometrical simplicity', 'functions corresponding', 'function technique', 'empirical methods', 'electromagnetic fields', 'dielectric interface', 'derived earlier', 'computed using', 'computed results', 'accurate analysis']</t>
  </si>
  <si>
    <t>Green's function | method of moment | Microstrip patch antenna</t>
  </si>
  <si>
    <t>Microstrip structures are now widely used in microwave systems because of their geometrical simplicity, small size, and ease of fabrication. The microstrip structure is inhomogeneous along several directions, which makes the accurate analysis of the electromagnetic fields very difficult. Hence, the design of microstrip devices is mostly done with approximative and empirical methods of limited accuracy. In this report the Green's function technique is used to analyze rectangular microstrip patches. Scalar Green's functions corresponding to the microstrip geometry were derived earlier by the authors. With the aid of these functions, surface currents and resonance frequencies of a patch located in the air/dielectric interface can be computed using the method of moments (MoM). To make the implementation of MoM as simple as possible, numerical approximations for scalar Green's functions are developed. These approximations are functions of permittivity, the frequency, and the thickness of the substrate. Examples of computed results for resonance frequencies of a microstrip patch are given in the present article. Copyright ¬© 1991 Wiley Periodicals, Inc., A Wiley Company</t>
  </si>
  <si>
    <t>341-348</t>
  </si>
  <si>
    <t>57213134651;7003588789;7102492958</t>
  </si>
  <si>
    <t>Lehtola, Antero;Nikoskinen, Keijo I.;Lindell, Ismo V.</t>
  </si>
  <si>
    <t>Lehtola A.</t>
  </si>
  <si>
    <t>Application of the Green's function technique in microstrip patch antenna analysis</t>
  </si>
  <si>
    <t>10.1002/mop.4650040904</t>
  </si>
  <si>
    <t>2-s2.0-0026207887</t>
  </si>
  <si>
    <t>['scanned gratings', 'presented showing', 'periodic array', 'numerical examples', 'efficiently scattering', 'dielectric substrate', 'circular polarisation']</t>
  </si>
  <si>
    <t>A periodic array of thin conducting ring patches etched on a dielectric substrate and placed over a ground-plane is investigated for the use as a frequency-scanned reflection grating (blazed grating). The theoretical analysis used is based on Floquet's theorem and the method of moments. Numerical examples are presented showing that frequency-scanned gratings can be designed to operate for circular polarisation with high blazing efficiency, i.e. with the property of efficiently scattering the power of an incident electromagnetic wave into the first order diffracted wave.</t>
  </si>
  <si>
    <t>273-276</t>
  </si>
  <si>
    <t>Aug</t>
  </si>
  <si>
    <t>Johansson, F. Stefan</t>
  </si>
  <si>
    <t>Chalmers University of Technology</t>
  </si>
  <si>
    <t>Johansson F.S.</t>
  </si>
  <si>
    <t>Frequency-scanned reflection gratings consisting of ring patches</t>
  </si>
  <si>
    <t>10.1049/ip-h-2.1991.0046</t>
  </si>
  <si>
    <t>2-s2.0-0026207891</t>
  </si>
  <si>
    <t>['wiley company', 'tm01 mode', 'theoretical analysis', 'resonant frequency', 'input impedance', 'inc .,', 'helical direction', 'far fields', 'dyadic green', 'cylindrical substrate', 'cavity model']</t>
  </si>
  <si>
    <t>curred substrate | Green's function | Microstrip antenna</t>
  </si>
  <si>
    <t>A theoretical analysis of a rectangular microstrip antenna along a helical direction on a cylindrical substrate is shown in this article. The cavity model with magnetic side walls approximation is used for the calculation of the resonant frequency and input impedance. The theory of dyadic Green's functions in conjunction with the saddle point method are used for the evaluation of the far fields. Results are shown for the TM01 mode. Copyright ¬© 1991 Wiley Periodicals, Inc., A Wiley Company</t>
  </si>
  <si>
    <t>369-372</t>
  </si>
  <si>
    <t>60029570;60029570</t>
  </si>
  <si>
    <t>24328775100;7004822283</t>
  </si>
  <si>
    <t>De Castro Lima, Antonio Cesar;Giarola, Attilio Jos√©</t>
  </si>
  <si>
    <t>Brazil</t>
  </si>
  <si>
    <t>Campinas</t>
  </si>
  <si>
    <t>Universidade Estadual de Campinas</t>
  </si>
  <si>
    <t>De Castro Lima A.</t>
  </si>
  <si>
    <t>Rectangular microstrip antenna along a helical direction on a cylindrical substrate</t>
  </si>
  <si>
    <t>10.1002/mop.4650040911</t>
  </si>
  <si>
    <t>2-s2.0-0026207907</t>
  </si>
  <si>
    <t>['‚ äê1', 'wiley company', 'theoretical study', 'reduces degradation', 'radiation pattern', 'present analysis', 'portable transceiver', 'polarization characteristics', 'paper presents', 'metropolitan area', 'inc .,', 'diversity branch', 'cross polarization', 'correlation characteristics', 'artificial variation', 'antenna directivity', '5 db']</t>
  </si>
  <si>
    <t>Antenna diversity reception can significantly alleviate fading with a relatively simple configuration. Hence, this technique will be indispensable in future portable radio systems. In the antenna diversity system installed in a portable transceiver, degradation of the diversity effect due to artificial variation of the radiation pattern (polarization characteristics) is expected. To design an effective diversity branch which reduces degradation by such variations, it is necessary to carry out an analysis of characteristics of the diversity branch in which the arrivals of both the co‚Äêpolarization and cross polarization are taken into account. This paper presents a theoretical analysis method for the antenna diversity correlation characteristics which takes into account the statistical incident wave distributions of both the co‚Äêpolarization and cross polarization. In addition, a theoretical study is carried out on the correlation between the cross dipole antenna branches, constituting a polarization diversity antenna. The theoretical analysis reveals that the correlation characteristics of the diversity branches depend strongly not only on the antenna directivity but also on the incident wave characteristics and that the correlation between the diversity branches becomes almost zero regardless of the antenna pattern variation and the incident wave characteristics if the cross‚Äêpolarization power ratio (XPR) is ‚Äê1.5 dB. Further, the validity of the present analysis is confirmed through 900‚ÄêMHz band experiments in a metropolitan area. Copyright ¬© 1991 Wiley Periodicals, Inc., A Wiley Company</t>
  </si>
  <si>
    <t>101-116</t>
  </si>
  <si>
    <t>Analysis of correlation characteristics of antenna diversity in land mobile radio environments</t>
  </si>
  <si>
    <t>10.1002/ecja.4410740810</t>
  </si>
  <si>
    <t>2-s2.0-0026207927</t>
  </si>
  <si>
    <t>['rectangular cross', 'rectangular apertures', 'orthogonal modes', 'ordinate transformation', 'mutual coupling', 'high isolation', 'hard open', 'fundamental smooth', 'dual polarisation', 'double integrals', 'directivity characteristics', 'conventional smooth', 'calculations show', 'approximate methods', 'analyse coupling']</t>
  </si>
  <si>
    <t>The coupling and directivity characteristics of an array with fundamental smooth-walled, soft and hard open-ended waveguide elements with rectangular cross-section are considered. Exact and approximate methods to analyse coupling in arrays are discussed. It is known that the coupling, which can be expressed by a quadruple integral across the rectangular apertures, can be reduced to double integrals by introducing a co-ordinate transformation. Calculations show that the soft waveguide elements are suited for applications where low return loss and mutual coupling are required. Arrays with hard waveguide elements yield high directivity for limited scan applications. Both elements can, in contrast to conventional smooth-walled (SW) horns, operate in dual polarisation with high isolation between the orthogonal modes.</t>
  </si>
  <si>
    <t>283-288</t>
  </si>
  <si>
    <t>106790627;106790627;106790627</t>
  </si>
  <si>
    <t>55884538900;56219429900;7102110120</t>
  </si>
  <si>
    <t>Lier, E.;Rengarajan, S.;Rahmat-Samii, Y.</t>
  </si>
  <si>
    <t>GE Astro Space</t>
  </si>
  <si>
    <t>Lier E.</t>
  </si>
  <si>
    <t>Comparison between different rectangular horn elements for array antenna applications</t>
  </si>
  <si>
    <t>10.1049/ip-h-2.1991.0048</t>
  </si>
  <si>
    <t>2-s2.0-0026207928</t>
  </si>
  <si>
    <t>['convenient method', 'complete description', 'analysis provides']</t>
  </si>
  <si>
    <t>A convenient method of analysing the operation of a split coaxial balun is presented. The analysis provides a complete description of the baluns' impedance transforming properties as a function of frequency.</t>
  </si>
  <si>
    <t>378-379</t>
  </si>
  <si>
    <t>Louw, W. J.</t>
  </si>
  <si>
    <t>Louw W.J.</t>
  </si>
  <si>
    <t>Matrix analysis of split coaxial balun</t>
  </si>
  <si>
    <t>10.1049/ip-h-2.1991.0062</t>
  </si>
  <si>
    <t>2-s2.0-0026208122</t>
  </si>
  <si>
    <t>['spiral radiates', 'spiral backed', 'small disk', 'plane reflector', 'frequency range', 'cpw radiation', 'cpw ).', '7 %)']</t>
  </si>
  <si>
    <t>A small conducting disk is added to a spiral backed by a plane reflector to extend the frequency range over which the spiral radiates a circularly polarised wave (CPW). The numerical analysis based on the moment method reveals that the frequency range for CPW radiation is extended to 1:1.42 (34.7%) with the small disk from 1:1.18 (16.5%) without the small disk.</t>
  </si>
  <si>
    <t>375-377</t>
  </si>
  <si>
    <t>60030526;60030526;60030526;60030526</t>
  </si>
  <si>
    <t>55633340100;7004403314;36805806500;57220533028</t>
  </si>
  <si>
    <t>Nakano, H.;Soga, H.;Honma, I.;Yamauchi, J.</t>
  </si>
  <si>
    <t>Effects of adding a small disk to a spiral antenna backed by a conducting plane reflector</t>
  </si>
  <si>
    <t>10.1049/ip-h-2.1991.0061</t>
  </si>
  <si>
    <t>2-s2.0-0026208123</t>
  </si>
  <si>
    <t>['spectrum monitoring', 'predicted behaviour', 'phased array', 'novel type', 'isotropic coverage', 'experimental results', 'direction finding']</t>
  </si>
  <si>
    <t>A novel type of phased array is described which seems particularly attractive in direction finding and adaptive beam steering applications, and allows considerable simplification in the necessary signal processing. A variant of the technique also permits gain with isotropic coverage for reception. The principles of the technique are outlined, along with a discussion of several possible array configuration for use with direction finding, communications and spectrum monitoring. Experimental results are presented to confirm the predicted behaviour of the array.</t>
  </si>
  <si>
    <t>368-374</t>
  </si>
  <si>
    <t>60022148;60022148;60022148;60022148</t>
  </si>
  <si>
    <t>7202211079;6603087395;35087329300;7202821654</t>
  </si>
  <si>
    <t>Benjamin, R.;Titze, W.;Brennan, P. V.;Griffiths, H. D.</t>
  </si>
  <si>
    <t>Benjamin R.</t>
  </si>
  <si>
    <t>Symmetric-pair antennas for beam steering, direction finding or isotropic-reception gain</t>
  </si>
  <si>
    <t>10.1049/ip-h-2.1991.0060</t>
  </si>
  <si>
    <t>2-s2.0-0026208179</t>
  </si>
  <si>
    <t>['square plate', 'phase variation', 'numerically confirmed', 'novel expressions', 'new co', 'keller cone', 'inner integration', 'generally suffer', 'false singularities', 'consistent use', 'also po', 'almsot comparable']</t>
  </si>
  <si>
    <t>The method of equivalent edge currents (MEC) has extended the applicability of GTD. The equivalent edge currents, however, generally suffer from false singularities outside the Keller cone. These singularities depend upon the coordinate for inner integration in the surface to edge integral reduction. The objective of this paper is to eliminate false singularities of the currents. A new co-ordinate for inner integration that maximises the phase variation of the integrand is proposed. Consistent use of this co-ordinate leads us to novel expressions for not only fringe but also PO and GTD equivalent edge currents without any false singularities. These currents are verified for diffraction from a disk and a square plate. It is numerically confirmed that GTD-MEC using new currents predicts uniform patterns and is almsot comparable to PTD.</t>
  </si>
  <si>
    <t>289-296</t>
  </si>
  <si>
    <t>60031126;60031126;60031126</t>
  </si>
  <si>
    <t>35495699200;6701895600;7403391489</t>
  </si>
  <si>
    <t>Ando, M.;Murasaki, T.;Kinoshita, T.</t>
  </si>
  <si>
    <t>Ando M.</t>
  </si>
  <si>
    <t>Elimination of false singularities in GTD equivalent edge currents</t>
  </si>
  <si>
    <t>10.1049/ip-h-2.1991.0049</t>
  </si>
  <si>
    <t>2-s2.0-0026208432</t>
  </si>
  <si>
    <t>['upland quake', 'unique region', 'ulf activity', 'succinct overview', 'seismic activity', 'san diego', 'rapid decay', 'radio observations', 'predictor studies', 'monitoring stations', 'monitor 0', 'low frequency', 'long time', 'likely source', 'hypotheses concerning', 'good correlation', 'exact mechanisms', 'electromagnetic emissions', 'earthquake precursor', 'disturbed ionosphere', 'detectable seismo', 'data collection', 'april 17', 'although questioned', '100 khz']</t>
  </si>
  <si>
    <t>Although questioned for a long time, there is accumulating growing evidence for the existence of detectable seismo-electromagnetic phenomena worldwide. California is geologically as well as seismically a unique region for studying these phenomena in depth; and, in particular, the southern California geologic province with a multitude of offshore and inland fault zones with San Diego in its center. At the Naval Ocean Systems Center Low Frequency Noise Laboratory, San Diego CA., we monitor 0.1-10 Hz ultra-low frequency (ULF) and 10-40 Hz extremely low-frequency (ELF) signals using mu-metal loaded multiturn search coil sensors, as well as 10-100 kHz very low-frequency signals using large 1m diameter loop antennas. We have observed precursor seismo-electromagnetic emissions of several earthquake events. In this paper, we report on observations of broadband ULF signals before and during the Upland quake of April 17, 1990 (Ms = 4.6), centered 200 km N of San Diego. The signals were detected with the vertically oriented search coil sensor and not with the horizontally oriented sensors, which suggests a disturbed ionosphere as the most likely source of these signals. The large prequake ULF activity, the rapid decay of ULF activity after the quake, and the absence of any geomagnetic storms indicate a good correlation of the ULF activity with the Upland quake. Although the exact mechanisms for coupling geologic activity to the ionosphere is not known, we cite a number of hypotheses concerning these mechanisms. Based on this succinct overview, an interpretation of our radio observations of seismic activity is presented and extended to earthquake precursor or predictor studies. We are in the process of expanding this research with the building of more monitoring stations and the improvement of our measurement, data collection, formatting, and data processing capabilities.</t>
  </si>
  <si>
    <t>1138-1145</t>
  </si>
  <si>
    <t>Canadian journal of physics</t>
  </si>
  <si>
    <t>Aug-Sep</t>
  </si>
  <si>
    <t>60032503;60032503;60032503</t>
  </si>
  <si>
    <t>6507650194;7005012652;7006670998</t>
  </si>
  <si>
    <t>Dea, Jack Y.;Richman, Charles I.;Boerner, Wolfgang M.</t>
  </si>
  <si>
    <t>San Diego</t>
  </si>
  <si>
    <t>Space and Naval Warfare Systems Center San Diego</t>
  </si>
  <si>
    <t>Dea J.</t>
  </si>
  <si>
    <t>Observations of seismo-electromagnetic earthquake precursor radiation signatures along Southern Californian fault zones. Evidence of long-distance precursor ultra-low frequency signals observed before a moderate Southern California earthquake episode</t>
  </si>
  <si>
    <t>10.1139/p91-173</t>
  </si>
  <si>
    <t>2-s2.0-0026208486</t>
  </si>
  <si>
    <t>['various dipoles', 'spatial co', 'sommerfield integrals', 'sommerfield equality', 'short series', 'prony method', 'paper introduces', 'new method', 'nearly exact', 'lossy ground', 'exponential functions', 'dimensional dipole', 'analytically evaluated', 'accurately approximated']</t>
  </si>
  <si>
    <t>The paper introduces a new method of discrete complex images, to evaluate the Sommerfield integrals arising in the problem of a three-dimensional dipole above and within a lossy ground. The spectral domain quantity, which is independent of spatial co-ordinates, is accurately approximated by a short series of exponential functions. By use of the Prony method and nonlinear optimisation technique, and through the Sommerfield equality, the Sommerfield integrals can be analytically evaluated into simple closed forms of spatial complex images. Various dipoles (HED, VED, HMD and VMD) above and within the lossy ground are studied. Numerical results show that for any parameters of the lossy ground, the closed-from Green function approaches the precision of the 'nearly exact' results of Sommerfield integrals.</t>
  </si>
  <si>
    <t>319-326</t>
  </si>
  <si>
    <t>60014171;60014171;60014171</t>
  </si>
  <si>
    <t>15039138100;55664638500;57210544895</t>
  </si>
  <si>
    <t>Yang, J. J.;Chow, Y. L.;Fang, D. G.</t>
  </si>
  <si>
    <t>Waterloo</t>
  </si>
  <si>
    <t>University of Waterloo</t>
  </si>
  <si>
    <t>Yang J.</t>
  </si>
  <si>
    <t>Discrete complex images of a three-dimensional dipole above and within a lossy ground</t>
  </si>
  <si>
    <t>10.1049/ip-h-2.1991.0053</t>
  </si>
  <si>
    <t>2-s2.0-0026208608</t>
  </si>
  <si>
    <t>['wideband radar', 'three cycles', 'single cycle', 'damped sinusoid', 'considerable research', 'certain ultra', 'array elements']</t>
  </si>
  <si>
    <t>Transient radiated fields caused by impulsively excited apertures and aperture response caused by incident impulsive waves has been the subject of considerable research in acoustics. This research is also of importance to wideband radar. Medical ultrasound steered phased arrays use transmitted pulses consisting of from one to three cycles of a damped sinusoid, which is similar to certain ultra-wideband radar systems. Related studies applied to wide-band radar transmitting a single cycle of a sine wave indicate that it may be possible to construct a steered phased array radar with ultra high resolution using very sparse array apertures. In narrowband phased arrays, grating lobe considerations require that the array elements be placed close together. In contrast, very sparse, ultra high resolution wide band arrays may be constructed-without incurring grating lobe problems.</t>
  </si>
  <si>
    <t>342-346</t>
  </si>
  <si>
    <t>100446436;100446436;100446436;100446436</t>
  </si>
  <si>
    <t>7202749418;7006001482;7003361077;55398971000</t>
  </si>
  <si>
    <t>Anderson, F.;Christensen, W.;Fullerton, L.;Kortegaard, B.</t>
  </si>
  <si>
    <t>Impulse Imaging Corp</t>
  </si>
  <si>
    <t>Anderson F.</t>
  </si>
  <si>
    <t>Ultra-wideband beamforming in sparse arrays</t>
  </si>
  <si>
    <t>10.1049/ip-h-2.1991.0056</t>
  </si>
  <si>
    <t>2-s2.0-0026208629</t>
  </si>
  <si>
    <t>['wiley company', 'inc .,', 'experimental data', 'excellent agreement', 'computed results']</t>
  </si>
  <si>
    <t>Slot‚Äêcoupled microstrip antenna</t>
  </si>
  <si>
    <t>In this paper, a simple and eficient analysis f o r slot‚Äêcoupled microstrip antennas with a microstrip line feed is developed, using the cavity‚Äêmodel theory. The computed results are found in excellent agreement with the experimental data. Copyright ¬© 1991 Wiley Periodicals, Inc., A Wiley Company</t>
  </si>
  <si>
    <t>335-341</t>
  </si>
  <si>
    <t>56304867400;7401934487;7003949001;7202515804</t>
  </si>
  <si>
    <t>Yang, Rugui;Lo, Y. T.;Aksun, M. I.;Chuang, S. L.</t>
  </si>
  <si>
    <t>Yang R.</t>
  </si>
  <si>
    <t>Simple and efficient analysis for a slot‚Äêcoupled patch antenna with a microstrip line feed</t>
  </si>
  <si>
    <t>10.1002/mop.4650040903</t>
  </si>
  <si>
    <t>2-s2.0-0026208889</t>
  </si>
  <si>
    <t>['working wavelength', 'wiley company', 'short dipole', 'new kind', 'microstrip antenna', 'maximum dimension', 'inc .,', 'article describes']</t>
  </si>
  <si>
    <t>dipolar radiation | Microstrip patch antenna</t>
  </si>
  <si>
    <t>This article describes a new kind of microstrip antenna that uses a double‚Äêresonance phenomenon to radiate as a short dipole. The working wavelength of this antenna is approximately eight times the maximum dimension of the antenna. Copyright ¬© 1991 Wiley Periodicals, Inc., A Wiley Company</t>
  </si>
  <si>
    <t>383-384</t>
  </si>
  <si>
    <t>60008447;60008447;60008447</t>
  </si>
  <si>
    <t>6602436044;7004363654;7006402070</t>
  </si>
  <si>
    <t>Seaux, J. P.;Reineix, A.;Jecko, B.</t>
  </si>
  <si>
    <t>Limoges</t>
  </si>
  <si>
    <t>Universite de Limoges</t>
  </si>
  <si>
    <t>Double‚Äêresonance antenna</t>
  </si>
  <si>
    <t>10.1002/mop.4650041002</t>
  </si>
  <si>
    <t>2-s2.0-0026218729</t>
  </si>
  <si>
    <t>Bundesministerium f√ºr Forschung und Technologie</t>
  </si>
  <si>
    <t>13 N 5502</t>
  </si>
  <si>
    <t>BMFT</t>
  </si>
  <si>
    <t>['total length', 'temperature superconductor', 'substrate material', 'substrate height', 'substrate compatible', 'sharp drop', 'radiatioin efficiency', 'power dependence', 'latter case', 'investigated antennas', 'hts films', 'experimental investigations', 'current density', 'crystalline laalo', 'computational results', 'antenna structure', 'antenna gain', '77 k', '6 mm']</t>
  </si>
  <si>
    <t>This paper presents experimental as well as computational results for 2.4 GHz microstrip antennas which are miniaturized (total length, 6 mm) by both a new, ‚Äústepped impedance‚Äù patch shape and a relatively high substrate permittivity. The investigated antennas were fabricated from YBa&lt;inf&gt;2&lt;/inf&gt;Cu&lt;inf&gt;3&lt;/inf&gt;O&lt;inf&gt;7-Œ¥&lt;/inf&gt;thin films epitaxially grown on single-crystalline LaAlO&lt;inf&gt;3&lt;/inf&gt; substrates by pulsed excimer laser ablation or by high pressure oxygen dc sputtering and, for comparison, from copper on the same substrate material. It is shown that the radiatioin efficiency of this antenna structure is only about 1% to 6% (depending on the substrate height) for copper at 77 K but is increased to values between 35% and 65% for HTS films. In the latter case, considerable improvements could be obtained if a substrate compatible with a high-temperature superconductor with a lower loss tangent were available. From experimental investigations of the power dependence of the antenna gain a 77 K, nonlinearities, especially a sharp drop at a current density of about 2 - 10&lt;sup&gt;6&lt;/sup&gt; A/cm&lt;sup&gt;2&lt;/sup&gt;, were observed. ¬© 1991 IEEE</t>
  </si>
  <si>
    <t>1513-1521</t>
  </si>
  <si>
    <t>60022995-60007774;60022995-60073312;60022995-60007798</t>
  </si>
  <si>
    <t>7003780857;7006693036;6504594789</t>
  </si>
  <si>
    <t>Chaloupka, Heinz;Piel, Helmut;Pischke, Arndt</t>
  </si>
  <si>
    <t>Germany;Germany;Germany;Germany</t>
  </si>
  <si>
    <t>Bergisch Gladbach;Wuppertal;¬†Cologne;J√ºlich</t>
  </si>
  <si>
    <t>Internationale Atomreaktorbau GmbH;Bergische Universit√§t Wuppertal;Deutsches Zentrum fur Luft- Und Raumfahrt;Forschungszentrum J√ºlich (FZJ)</t>
  </si>
  <si>
    <t>60073312;60022995;60007798;60007774</t>
  </si>
  <si>
    <t>Chaloupka H.</t>
  </si>
  <si>
    <t>Miniaturized High-Temperature Superconductor Microstrip Patch Antenna</t>
  </si>
  <si>
    <t>10.1109/22.83826</t>
  </si>
  <si>
    <t>2-s2.0-0026218850</t>
  </si>
  <si>
    <t>F-30602-87-C-OOI4</t>
  </si>
  <si>
    <t>['x band', 'delay times', 'antenna pattern']</t>
  </si>
  <si>
    <t>We present, in detail, the design and performance of the first microwave phased array antenna steered by optical delay lines. Using semiconductor laser switching to implement the delay times, we demonstrated the absence of ‚Äúbeam squint‚Äù in the antenna pattern as its frequency was switched from L to X band. ¬© 1991 IEEE</t>
  </si>
  <si>
    <t>1124-1131</t>
  </si>
  <si>
    <t>60021939;60005304</t>
  </si>
  <si>
    <t>56838927400;6701687363</t>
  </si>
  <si>
    <t>Wille Ng, L.;Walston, Andrew A.</t>
  </si>
  <si>
    <t>Malibu;Waltham</t>
  </si>
  <si>
    <t>HRL Laboratories;Raytheon</t>
  </si>
  <si>
    <t>Wille Ng L.</t>
  </si>
  <si>
    <t>The First Demonstration Of An Optically Steered Microwave Phased Array Antenna Using True-Time-Delay</t>
  </si>
  <si>
    <t>10.1109/50.85809</t>
  </si>
  <si>
    <t>2-s2.0-0026218950</t>
  </si>
  <si>
    <t>['paper shows', 'invariance properties', 'crossed dipoles', 'arrival directions']</t>
  </si>
  <si>
    <t>This paper shows how estimation of signal parameters via rotational invariance techniques (ESPRIT) may be used to estimate both the arrival directions and the polarizations of incoming plane waves with a uniform linear array of crossed dipoles. The ESPRIT algorithm exploits the invariance properties of such an array so that both angle and polarization estimates may be computed. Some typical examples showing the use of this method are presented in the paper. ¬© 1991 IEEE</t>
  </si>
  <si>
    <t>1376-1383</t>
  </si>
  <si>
    <t>7410065637;35611381200</t>
  </si>
  <si>
    <t>Li, Jian;Compton, R. T.</t>
  </si>
  <si>
    <t>Li J.</t>
  </si>
  <si>
    <t>Angle and Polarization Estimation using Esprit with a Polarization Sensitive Array</t>
  </si>
  <si>
    <t>10.1109/8.99047</t>
  </si>
  <si>
    <t>2-s2.0-0026219010</t>
  </si>
  <si>
    <t>['william culpepper', 'tower height', 'rights reserved', 'radial length', 'radial height', 'mounted tower', 'conventional ground', 'computer analysis']</t>
  </si>
  <si>
    <t>Computer-modeling studies indicate that elevated radiais may be used in conjunction with a conventional ground-mounted tower to produce radiated field strength which is equivalent to that emitted by a similar monopole using 120 buried radiais. Several different methods of attaching the radiais to the tower were investigated, along with variations in radial height, radial length, and tower height. Limited field testing, performed by William Culpepper, appears to confirm the results of the computer analysis. ¬© 1991 IEEE. All rights reserved.</t>
  </si>
  <si>
    <t>IEEE Transactions on Broadcasting</t>
  </si>
  <si>
    <t>60032784;60011132</t>
  </si>
  <si>
    <t>7003514705;7003656248</t>
  </si>
  <si>
    <t>Christman, Al;Radcliff, Roger</t>
  </si>
  <si>
    <t>Grove City;Athens</t>
  </si>
  <si>
    <t>Grove City College;Ohio University</t>
  </si>
  <si>
    <t>Christman A.</t>
  </si>
  <si>
    <t>Using elevated radials with ground-mounted towers</t>
  </si>
  <si>
    <t>10.1109/11.99087</t>
  </si>
  <si>
    <t>2-s2.0-0026219161</t>
  </si>
  <si>
    <t>['¬© 1991', 'temperature superconductors', 'rights reserved', 'radiation efficiency', 'possible applications', 'millimeterwave arrays', 'matching networks', 'loop antennas', 'hts material', 'hts antennas', 'frequency range', 'feed networks', 'copper antenna', 'compact arrays', '100 ghz', '1 mhz']</t>
  </si>
  <si>
    <t>antenna arrays | antenna feed networks | antennas | electrically small antennas | High temperature superconductivity | superdirectivity</t>
  </si>
  <si>
    <t>A survey of possible applications of high-temperature superconductors (HTS‚Äôs) to antennas and antenna feed networks is presented. The frequency range of consideration is 1 MHz to 100 GHz. Three antenna application areas seem appropriate for HTS material: electrically small antennas and their matching networks; feed and matching networks for compact arrays with enhanced directive gain (superdirective arrays); and feed networks for millimeterwave arrays. Preliminary experimental results are presented on YBaCuO and TIBaCaCuO 500 MHz half-loop antennas that show an increase in radiation efficiency (compared with a copper antenna at the same temperature) by a factor of 5 for the HTS antennas. ¬© 1991, IEEE. All rights reserved. ¬© 1991 IEEE</t>
  </si>
  <si>
    <t>1498-1507</t>
  </si>
  <si>
    <t>60021080;60021080;60021080</t>
  </si>
  <si>
    <t>7004504343;7004480877;7404931486</t>
  </si>
  <si>
    <t>Dinger, Robert J.;Bowling, Donald R.;Martin, Anna M.</t>
  </si>
  <si>
    <t>China Lake</t>
  </si>
  <si>
    <t>Naval Air Warfare Center Weapons Division</t>
  </si>
  <si>
    <t>Dinger R.</t>
  </si>
  <si>
    <t>A Survey of Possible Passive Antenna Applications of High-Temperature Superconductors</t>
  </si>
  <si>
    <t>10.1109/22.83824</t>
  </si>
  <si>
    <t>2-s2.0-0026219437</t>
  </si>
  <si>
    <t>N00014-89-J-1456</t>
  </si>
  <si>
    <t>['œé0 obtained', 'significant improvement', 'retrieval process', 'proposed procedure', 'procedure calculates', 'numerical procedure', 'model parameters', 'measured data', 'incidence angles', 'inaccurate estimate', 'exponential model', 'error resulting', 'error due', 'correction procedure', 'beam approximation', 'beam antennas', 'antenna pattern', 'accurate estimate']</t>
  </si>
  <si>
    <t>A numerical procedure for estimating true scattering coefficients, œÉ0, from measurements made using wide-beam antennas is discussed. The use of wide-beam antennas results in an inaccurate estimate of œÉ0 if the narrow-beam approximation is used in the retrieval process for œÉ0. To reduce this error, we propose a correction procedure that estimates the error resulting from the use of narrow-beam approximation and utilizes the error to obtain a more accurate estimate of œÉ0. An exponential model has been assumed to take into account the variation of œÉ0 with incidence angles, and the model parameters are estimated from measured data. Based on the model and knowledge of the antenna pattern, the procedure calculates the error due to the narrow-beam approximation. The procedure is shown to provide a significant improvement in estimation of œÉ0 obtained with wide-beam antennas. The proposed procedure is also shown insensitive to the assumed œÉ0 model. ¬© 1991 IEEE</t>
  </si>
  <si>
    <t>778-783</t>
  </si>
  <si>
    <t>60015457;60015457</t>
  </si>
  <si>
    <t>57199480229;35513627000</t>
  </si>
  <si>
    <t>Wang, Qinglin;Gogineni, Sivaprasad</t>
  </si>
  <si>
    <t>University of Kansas</t>
  </si>
  <si>
    <t>Wang Q.</t>
  </si>
  <si>
    <t>A Numerical Procedure for Recovering Scattering Coefficients from Measurements with Wide-Beam Antennas</t>
  </si>
  <si>
    <t>10.1109/36.83993</t>
  </si>
  <si>
    <t>2-s2.0-0026219475</t>
  </si>
  <si>
    <t>['¬© 1991', 'particular fields', 'microwave properties', 'htsc antennas', 'general description', 'different classes', 'briefly reported']</t>
  </si>
  <si>
    <t>Microwave properties of presently available HTSC thin films are briefly reported and conditions for applications to planar passive microwave devices are outlined. The consideration of a HTSC microstrip line is followed by a more general description of different classes of applications. Finally some particular fields for HTSC antennas are mentioned. ¬© 1991.</t>
  </si>
  <si>
    <t>259-266</t>
  </si>
  <si>
    <t>Physica C: Superconductivity and its applications</t>
  </si>
  <si>
    <t>60022995;60022995</t>
  </si>
  <si>
    <t>7003780857;35466217700</t>
  </si>
  <si>
    <t>Chaloupka, Heinz;M√ºller, G√ºnter</t>
  </si>
  <si>
    <t>Wuppertal</t>
  </si>
  <si>
    <t>Bergische Universit√§t Wuppertal</t>
  </si>
  <si>
    <t>Applications of HTSC thin films with low microwave losses to linear devices</t>
  </si>
  <si>
    <t>092145349190677Q</t>
  </si>
  <si>
    <t>10.1016/0921-4534(91)90677-Q</t>
  </si>
  <si>
    <t>2-s2.0-0026219786</t>
  </si>
  <si>
    <t>['subpulse frequencies', 'simulation results', 'sensor array', 'pulse period', 'noise ratio', 'monotone frequency', 'hopped signaling', 'element signal', 'conventional array', 'certain threshold', 'appropriately designing']</t>
  </si>
  <si>
    <t>Frequency-hopped signaling is proposed to improve the estimation of the number of diversely moving sources/targets by a sensor array. Information theoretic criteria is employed in the analysis, and simulation results are presented. It is shown that by appropriately designing the pulse period and the subpulse frequencies, the system performance using frequency-hopped signaling is much more superior than that of the conventional array with a monotone frequency when the element signal-to-noise ratio (SNR) is above a certain threshold. ¬© 1991 IEEE</t>
  </si>
  <si>
    <t>1384-1390</t>
  </si>
  <si>
    <t>Huang Y.D.</t>
  </si>
  <si>
    <t>On Estimating the Number of Sources with a Frequency-Hopped Signaling Sensor Array</t>
  </si>
  <si>
    <t>10.1109/8.99048</t>
  </si>
  <si>
    <t>2-s2.0-0026219927</t>
  </si>
  <si>
    <t>['typical examples', 'two air', 'tuning aperture', 'theoretical results', 'tapered transition', 'radiation fields', 'phase constant', 'nonradiative dielectric', 'mode couplings', 'millimeter waves', 'limiting cases', 'leakage constant', 'interesting behaviors', 'experimental data', 'dielectric interfaces', 'accurate theory']</t>
  </si>
  <si>
    <t>The radiation of millimeter waves from the nonradiative dielectric (NRD) leaky wave antennas with the tapered transition and the tuning aperture is investigated. An accurate theory for the leakage constant and the phase constant of the antennas is presented, which is based on the generalized scattering parameters considering the higher order mode interactions at the discontinuities. The associated transverse equivalent network involves the characterization of the mode couplings at two air-to-dielectric interfaces, the coupled mode analysis of the tapered transition, and the calculation of the radiation fields at the tuning aperture via the extended spectral domain approach. The interesting behaviors of the present modified configuration of NRD leaky wave antennas are illustrated by typical examples. The validity of the theory is confirmed by the comparison of the theoretical results with the experimental data for the limiting cases. ¬© 1991 IEEE</t>
  </si>
  <si>
    <t>1366-1371</t>
  </si>
  <si>
    <t>60005244;60005244</t>
  </si>
  <si>
    <t>7003583976;7404239172</t>
  </si>
  <si>
    <t>Rong, Ao Sheng;Sun, Zhong Liang</t>
  </si>
  <si>
    <t>Nanjing</t>
  </si>
  <si>
    <t>Southeast University</t>
  </si>
  <si>
    <t>Rong A.S.</t>
  </si>
  <si>
    <t>Radiation of Millimeter Waves from Nrd Leaky Wave Antennas with Tapered Transition and Tuning Aperture</t>
  </si>
  <si>
    <t>10.1109/8.99045</t>
  </si>
  <si>
    <t>2-s2.0-0026219928</t>
  </si>
  <si>
    <t>['¬© 1991', 'ybco wire', 'ybco array', 'smallest separation', 'maximum difference', 'experimental results', 'element end', 'copper array', 'array elements', '9 db', '1 ghz']</t>
  </si>
  <si>
    <t>A high temperature superconducting two-element end-fed superdirective array made out of YBCO wire is presented. Experimental results are given at a frequency of 1 GHz for a copper array and a YBCO array, showing a maximum difference in gain of 9 dB at the smallest separation between the array elements. ¬© 1991.</t>
  </si>
  <si>
    <t>267-271</t>
  </si>
  <si>
    <t>60019702;60019702;60019702;60019702;60019702</t>
  </si>
  <si>
    <t>57196142070;7101744863;7005970306;17435967100;35417096700</t>
  </si>
  <si>
    <t>Huang, Y.;Lancaster, M. J.;Maclean, T. S.M.;Wu, Z.;Alford, N. Mc N.</t>
  </si>
  <si>
    <t>Birmingham</t>
  </si>
  <si>
    <t>University of Birmingham</t>
  </si>
  <si>
    <t>A high temperature superconductor superdirectional antenna array</t>
  </si>
  <si>
    <t>0921-4534(91)90678-R</t>
  </si>
  <si>
    <t>10.1016/0921-4534(91)90678-R</t>
  </si>
  <si>
    <t>2-s2.0-0026220162</t>
  </si>
  <si>
    <t>['uda antennas', 'size reduction', 'possible elements', 'ohmic losses', 'new class', 'improved bandwidth', 'cross polarization']</t>
  </si>
  <si>
    <t>A new class of wire antennas called meander antennas is introduced as possible elements for size reduction. Efficiency is affected only by the ohmic losses in the wire, and cross polarization is negligible. An increase in the number of meander sections introduces less size reduction in return for an improved bandwidth. These antennas can be used to reduce the size of the existing wire antennas such as Yagi-Uda antennas and log-periodic dipole arrays. ¬© 1991 IEEE</t>
  </si>
  <si>
    <t>1428-1430</t>
  </si>
  <si>
    <t>60027682;60025778</t>
  </si>
  <si>
    <t>6602633301;7202900529</t>
  </si>
  <si>
    <t>Rashed, Jalil;Tai, Chen To</t>
  </si>
  <si>
    <t>Iran;United States</t>
  </si>
  <si>
    <t>Zahedan;Ann Arbor</t>
  </si>
  <si>
    <t>University of Sistan and Baluchestan;University of Michigan, Ann Arbor</t>
  </si>
  <si>
    <t>Rashed J.</t>
  </si>
  <si>
    <t>Communications a New Class of Resonant Antennas</t>
  </si>
  <si>
    <t>10.1109/8.99054</t>
  </si>
  <si>
    <t>2-s2.0-0026220221</t>
  </si>
  <si>
    <t>['tlm model', 'simulated results', 'screened room', 'results confirm', 'model developed', 'investigated using', 'field profiles', 'experimental results', 'emc ).', 'electromagnetic compatibility', 'comparisons confirm']</t>
  </si>
  <si>
    <t>The transmission‚Äêline modelling (TLM) method is applied to problems in electromagnetic compatibility (EMC). Simulated results for a field‚Äêto‚Äêwire coupling problem are presented, together with comparisons with experimental results. The comparisons confirm the validity of the model and its accuracy. The effects on resonances and field profiles, of placing a measurement dipole antenna inside a screened room are investigated. The resonant structure inside an unlined screened room and the same room when lined with radiation‚Äêabsorbing material are investigated using a TLM model. The results confirm that the model developed can be used for the characterization of the entire EMC test environment. Copyright ¬© 1991 John Wiley &amp; Sons, Ltd</t>
  </si>
  <si>
    <t>143-152</t>
  </si>
  <si>
    <t>56974659200;7005918688;35510119400</t>
  </si>
  <si>
    <t>Herring, J. L.;Naylor, P.;Christopoulos, C.</t>
  </si>
  <si>
    <t>Herring J.</t>
  </si>
  <si>
    <t>Transmission‚Äêline modelling in electromagnetic compatibility studies</t>
  </si>
  <si>
    <t>10.1002/jnm.1660040303</t>
  </si>
  <si>
    <t>2-s2.0-0026220345</t>
  </si>
  <si>
    <t>['supporting guys', 'studied cases', 'rights reserved', 'radiation efficiency', 'power density', 'near fields', 'lower interference', 'last antenna', 'good agreements', 'efficient radiation']</t>
  </si>
  <si>
    <t>An asymmetric vertical dipole is proposed as MF AM broadcast station transmitting antenna. This kind of vertical dipole antenna uses the supporting guys as part of the radiating structure permitting an efficient radiation with stong surface wave and a low high angle radiation. It produces lower high angle radiation compared to a classical buried ground plane monopole of similar height permitting a better nocturnal service area and lower interference to other stations on the same frequency. Analisys of near fields and power density of monopoles, elevated ground plane monopoles and asymmetric vertical dipoles is made in order to explain why this last antenna can match the radiation efficiency of the classical monopole without a buried ground plane. Good agreements between calculation and measurements are achieved in all studied cases. ¬© 1991 IEEE. All rights reserved.</t>
  </si>
  <si>
    <t>106-114</t>
  </si>
  <si>
    <t>Trainotti, Valentin</t>
  </si>
  <si>
    <t>Trainotti V.</t>
  </si>
  <si>
    <t>MF am transmitting asymmetric vertical dipole</t>
  </si>
  <si>
    <t>10.1109/11.99090</t>
  </si>
  <si>
    <t>2-s2.0-0026220384</t>
  </si>
  <si>
    <t>['using scbelkunoff', 'two disks', 'radiation pattern', 'loaded inside', 'latter quantity', 'equivalence principle', 'dielectric disks', 'dielectric constant', 'anisotropic permittivity']</t>
  </si>
  <si>
    <t>The radiation pattern of a circular cylindrical waveguide that is loaded inside with periodically spaced dielectric disks is derived by considering the region between two disks as a medium with anisotropic permittivity and using Scbelkunoff's equivalence principle. The farfield electric field components and their relationship to cross polarization ratio are determined. The variation of the latter quantity with the size, spacing, and dielectric constant of the dielectric disks is studied. ¬© 1991 IEEE</t>
  </si>
  <si>
    <t>1430-1434</t>
  </si>
  <si>
    <t>Rao, Tenneti C.</t>
  </si>
  <si>
    <t>Rao T.</t>
  </si>
  <si>
    <t>Radiation Characteristics of a Dielectric Disk-Loaded Circular Cylindrical Waveguide</t>
  </si>
  <si>
    <t>10.1109/8.99055</t>
  </si>
  <si>
    <t>2-s2.0-0026220413</t>
  </si>
  <si>
    <t>['wet specimens', 'results include', 'reflection coefficients', 'moisutre content', 'moisture content', 'mode transitions', 'iterative procedure', 'frequency range', 'error function', 'dielectric properties', 'complex permittivity', 'complex permittivities', '0 ghz']</t>
  </si>
  <si>
    <t>A contactless measurement setup measures the magnitude and phase of reflection coefficients of metal-backed asphaltic concrete specimens in the frequency range of 12.4-18.0 GHz. A vector network analyzer, spot-focusing horn lens antenna, mode transitions, and coaxial cables measure free-space complex reflection coefficients. The complex permittivity is calculated from the measured reflection coefficient of metal-backed asphaltic concrete specimens, by an iterative procedure that minimizes an error function. A significant difference exists between the dielectric properties of the dry and wet specimens. Therefore, the presence of moisture can be detected. The moisture content of wet specimens is deduced from the complex permittivities of dry and wet specimens using the effective medium approximation for asphaltic concrete mixtures. The results include the moisutre content and dielectric properties of asphaltic concrete specimens at different air void contents. ¬© 1991 IEEE</t>
  </si>
  <si>
    <t>710-717</t>
  </si>
  <si>
    <t>60027090;60001439;60001439;60001439</t>
  </si>
  <si>
    <t>7006858361;6603132150;36039583900;7202350150</t>
  </si>
  <si>
    <t>Al-Qadi, I. L.;Ghodgaonkar, D. K.;Varadan, V. K.;Varadan, V. V.</t>
  </si>
  <si>
    <t>Blacksburg;University Park</t>
  </si>
  <si>
    <t>Virginia Polytechnic Institute and State University;Pennsylvania State University</t>
  </si>
  <si>
    <t>60027090;60001439</t>
  </si>
  <si>
    <t>Al-Qadi I.</t>
  </si>
  <si>
    <t>Effect of Moisture on Asphaltic Concrete at Microwave Frequencies</t>
  </si>
  <si>
    <t>10.1109/TGRS.1991.817705</t>
  </si>
  <si>
    <t>2-s2.0-0026220624</t>
  </si>
  <si>
    <t>['weights corresponding', 'used solely', 'total number', 'steerable nulls', 'radiation pattern', 'phase shifters', 'main beam', 'linear array', 'independent steering', 'desired signal', 'array elements', 'approximately equal']</t>
  </si>
  <si>
    <t>A method for independent steering of each null in the radiation pattern of a linear array is introduced. It depends on using a set of real weights associated with each null. It has the capability of tracking the direction of jammers by changing only the set of weights corresponding to each jammer. Phase shifters are used solely to steer the main beam in the direction of the desired signal. The number of steerable nulls is approximately equal to or less than half the total number of array elements. ¬© 1991 Taylor &amp; Francis, Ltd.</t>
  </si>
  <si>
    <t>485-491</t>
  </si>
  <si>
    <t>Ibrahim, Hosny M.</t>
  </si>
  <si>
    <t>Egypt</t>
  </si>
  <si>
    <t>Assiut</t>
  </si>
  <si>
    <t>Assiut University</t>
  </si>
  <si>
    <t>Ibrahim H.</t>
  </si>
  <si>
    <t>Independent null steering of a linear array using amplitude control</t>
  </si>
  <si>
    <t>10.1080/00207219108925494</t>
  </si>
  <si>
    <t>2-s2.0-0026220685</t>
  </si>
  <si>
    <t>['time delay', 'superdirective arrays', 'small antennas', 'potential implementations', 'matching networks', 'benefit directly', 'array phasers']</t>
  </si>
  <si>
    <t>The applicabilty of superconductors to antennas is examined. Potential implementations that are examined are superdirective arrays; electrically small antennas; tuning and matching of these two; high-gain millimeterwavelength arrays; and kinetic inductance slow wave structures for array phasers and traveling wave array feeds. Superdirective arrays and small antennas will not benefit directly, but their tuning/matching networks will undergo major improvements. Miniaturization of antennas will not be aided, but much higher gain millimeterwave arrays will be realizable. Finally, kinetic inductance slow wave lines appear advantageous for array phasers and time delay, as well as for traveling wave array feeds. ¬© 1991 IEEE</t>
  </si>
  <si>
    <t>1508-1512</t>
  </si>
  <si>
    <t>Hansen R.C.</t>
  </si>
  <si>
    <t>Antenna Applications of Superconductors</t>
  </si>
  <si>
    <t>10.1109/22.83825</t>
  </si>
  <si>
    <t>2-s2.0-0026220721</t>
  </si>
  <si>
    <t>['planewave spectrum', 'monopole elements', 'good agreement', 'farfield data', 'array near', 'accurately model']</t>
  </si>
  <si>
    <t>A model for simulating the performance of a phased array antenna with one-dimensional nearfield scanning is addressed. Measurements and simulations in the reactive nearfield region for a linear phased array antenna with monopole elements are described. The array and nearfield probe characteristics are simulated by using the method of moments. Measurements and simulations of the array near-zone received voltage, planewave spectrum, and farfield data, using centerline scanning at less than one wavelength distance from the antenna, are shown to be in good agreement. The presence of evanescent grating lobes in the planewave spectrum is observed. It is shown that a V-dipole theoretical probe antenna can accurately model a practical nearfield measurement probe. ¬© 1991 IEEE</t>
  </si>
  <si>
    <t>1305-1311</t>
  </si>
  <si>
    <t>60022195;60022195;60022195</t>
  </si>
  <si>
    <t>7005553277;7004932214;6603292257</t>
  </si>
  <si>
    <t>Fenn, Alan J.;Aumann, Herbert M.;Willwerth, Frank G.</t>
  </si>
  <si>
    <t>Fenn A.</t>
  </si>
  <si>
    <t>Linear Array Characteristics with One-Dimensional Reactive-Region Near-Field Scanning: Simulations and Measurements</t>
  </si>
  <si>
    <t>10.1109/8.99038</t>
  </si>
  <si>
    <t>2-s2.0-0026220774</t>
  </si>
  <si>
    <t>['squared error', 'square distortion', 'spectral shape', 'soft constraints', 'signal direction', 'quadratic constraint', 'purposely chosen', 'permit distortion', 'nondecreasing function', 'noise ratio', 'easily computed', 'distortion presented', 'desired response', 'beamforming method', 'beamformer weights', 'beamformer response', 'actual response']</t>
  </si>
  <si>
    <t>Soft constraints on the beamformer response to the signal are examined in the context of minimum variance beamforming. A quadratic constraint on the beamformer weights is used to control the mean-squared error between a desired response and the actual response in the signal direction. The constraint is purposely chosen to permit distortion of the signal with the goal of achieving improved interference cancellation. Under the assumptions of known signal direction and spectral shape the signal-to-noise ratio is shown to be a nondecreasing function of the mean-square distortion. The distortion presented to the signal is easily computed from the beamformer weights and can be equalized after beamforming if desired. Properties of this beamforming method and its relationship to linearly constrained beamforming are discussed. Simulations verify analytic results and illustrate the utility of the soft constrained approach. ¬© 1991 IEEE</t>
  </si>
  <si>
    <t>1964-1972</t>
  </si>
  <si>
    <t>Minimum Variance Beamforming With Soft Response Constraints</t>
  </si>
  <si>
    <t>10.1109/78.134429</t>
  </si>
  <si>
    <t>2-s2.0-0026220810</t>
  </si>
  <si>
    <t>['well designed', 'unwanted direction', 'uda arrays', 'uda array', 'suppressor elements', 'radiating dipole', 'parasitic arrays', 'new configuration', 'new arrays', 'new array', 'moment method', 'measured values', 'good agreement', 'forward gain', 'endfire array', 'effectively increased', 'designed yagi', 'conventional yagi', 'backward radiation', 'aligned parallel', '5 db']</t>
  </si>
  <si>
    <t>A new configuration of parasitic arrays is introduced. The characteristic of the array in both forward and backward radiation are improved by using new element, ‚Äúsuppressor.‚Äù The suppressor elements are aligned parallel to a radiating dipole or to conventional an endfire array such as Yagi-Uda array. Radiation in the unwanted direction (such as in the back lobe region) is reduced by the suppressors and the forward gain is effectively increased. Design of the optimum antenna parameters was achieved by well known calculations using the moment method and results were compared to measured values with good agreement. New arrays were compared to well-designed Yagi-Uda arrays. A new array which is aligned with two broadside suppressors and with three endfire elements had improved forward gain of 1.5 dB and reduced backward gain of ‚Äî4 dB compared to a conventional Yagi-Uda array which is well designed with five endfire elements. ¬© 1991 IEEE</t>
  </si>
  <si>
    <t>1434-1436</t>
  </si>
  <si>
    <t>60032315;60032315</t>
  </si>
  <si>
    <t>6603289446;55731586100</t>
  </si>
  <si>
    <t>Hartanto, Agus;Suzuki, Tsutomu</t>
  </si>
  <si>
    <t>The University of Electro-Communications</t>
  </si>
  <si>
    <t>Hartanto A.</t>
  </si>
  <si>
    <t>An Improvement of Parasitic Dipole Array using Suppressor Elements</t>
  </si>
  <si>
    <t>10.1109/8.99056</t>
  </si>
  <si>
    <t>2-s2.0-0026220923</t>
  </si>
  <si>
    <t>['¬© 1991', 'staircase approximation', 'simple model', 'rights reserved', 'mode reflections', 'material parameters', 'investigated theoretically', 'hop geometry', 'far field', 'cylindrical mode', 'appropriate design', 'aperture efficiency', '30 db']</t>
  </si>
  <si>
    <t>By means of a staircase approximation of the hop geometry and a cylindrical mode-matching technique dielectrically lined antenna feeds are investigated theoretically. An aperture field integration leads to the far field, where mode reflections are considered by a simple model. The aperture efficiency is up to 95% by appropriate design of the geometry and material parameters. The cross-polarisation is below-30 dB as well. ¬© 1991, Walter de Gruyter. All rights reserved.</t>
  </si>
  <si>
    <t>239-244</t>
  </si>
  <si>
    <t>Frequenz</t>
  </si>
  <si>
    <t>Reiter, Carsten</t>
  </si>
  <si>
    <t>Reiter C.</t>
  </si>
  <si>
    <t>Dielectrically Lined Antenna Feeds with High Aperture Efficiency and Low Cross-Polarisation</t>
  </si>
  <si>
    <t>10.1515/FREQ.1991.45.9-10.239</t>
  </si>
  <si>
    <t>2-s2.0-0026220971</t>
  </si>
  <si>
    <t>['uncorrelated signals', 'snr ).', 'single frequency', 'signal geometry', 'second scheme', 'schemes capitalize', 'osinr ),', 'operating frequency', 'noise ratios', 'noise ratio', 'improved effectiveness', 'eccm techniques', 'desired signal', 'correlated jamming', 'computer simulation', 'array output', 'antenna nulling', 'also discussed']</t>
  </si>
  <si>
    <t>Antenna nulling is an effective ECCM asset that can be put in use with other ECCM techniques to obtain additional processing gain. Two antenna nulling schemes that can be used with frequency-hopping to reduce the follower jammer threat are described. One of the schemes is only effective with uncorrelated signals. The second scheme is designed for coping with correlated jamming. Both schemes capitalize on the arrival time differences of the desired signal and the interference to isolate the interference for cancellation. The fast converging sample matrix inversion algorithm is considered in both schemes for improved effectiveness. Performances of the antenna nulling schemes, described in terms of the array output-signal-to-interference and noise ratio (OSINR), are evaluated by computer simulation. The OSINR of the array at a single frequency in the hop-set is presented for a range of desired signal-to-noise and jammer-to-noise ratios. The processing gain offered by the antenna nulling system was found to increase with increasing desired signal-to-noise ratio (SNR). Variation in array performance caused by the change in operating frequency and the signal geometry is also discussed. ¬© 1991 IEEE</t>
  </si>
  <si>
    <t>1391-1397</t>
  </si>
  <si>
    <t>Eken, Faik</t>
  </si>
  <si>
    <t>The Hague</t>
  </si>
  <si>
    <t>NATO Consultation, Command and Control Agency</t>
  </si>
  <si>
    <t>Eken F.</t>
  </si>
  <si>
    <t>Use of Antenna Nulling with Frequency-Hopping against the Follower Jammer</t>
  </si>
  <si>
    <t>10.1109/8.99049</t>
  </si>
  <si>
    <t>2-s2.0-0026221119</t>
  </si>
  <si>
    <t>['surface resistivity', 'sidelobe reduction', 'sidelobe level', 'secondary patterns', 'reflection coefficient', 'reflecting surface', 'moments show', 'ideal feed', 'field scattered', 'feed using', 'feed backlobe', 'every point', 'e .,', '1 ).']</t>
  </si>
  <si>
    <t>A. procedure is presented for determining the resistivity of a paraboloid's reflecting surface to obtain a desired sidelobe level. The only requirement is that the normalized aperture distribution due to the feed be greater than the corresponding normalized low sidelobe distribution at every point on the reflector (i.e., the reflection coefficient of the surface - 1). In the synthesis procedure blockage is ignored and an ideal feed is assumed. In spite of this, computation of the secondary patterns of a resistively corrected antenna including the feed using the method of moments show that a ‚Äî 40 dB sidelobe level is achievable. In principal there is no limit in the sidelobe reduction for the field scattered from the reflector. In practice, blockage, feed illumination errors, errors in the surface resistivity and the feed backlobe will limit the sidelobe level. ¬© 1991 IEEE</t>
  </si>
  <si>
    <t>1372-1375</t>
  </si>
  <si>
    <t>60033012;60029311</t>
  </si>
  <si>
    <t>7004276659;7005574913</t>
  </si>
  <si>
    <t>Jenn, David C.;Rusch, Willard V.T.</t>
  </si>
  <si>
    <t>Monterey;Los Angeles</t>
  </si>
  <si>
    <t>Naval Postgraduate School;University of Southern California</t>
  </si>
  <si>
    <t>Jenn D.C.</t>
  </si>
  <si>
    <t>Low-Sidelobe Reflector Synthesis and Design using Resistive Surfaces</t>
  </si>
  <si>
    <t>10.1109/8.99046</t>
  </si>
  <si>
    <t>2-s2.0-0026221248</t>
  </si>
  <si>
    <t>['wiley company', 'orthogonal arms', 'odd mode', 'inc .,', 'even mode', 'edge fields', 'balanced line', 'also described']</t>
  </si>
  <si>
    <t>A new microstrip antenna element is described which exhibits polarization agility. This is achieved by employing a T‚Äêslot radiator which is driven by the edge fields of a balanced microstrip line. The balanced line can support two propagating modes, namely, an even mode and an odd mode, and by switching between these modes, the orthogonal arms of the T‚Äêslot radiator are separately excited thus forming orthogonally polarized radiated fields. A microstrip patch antenna, which displays polarization agility using the same mechanism, is also described. Copyright ¬© 1991 Wiley Periodicals, Inc., A Wiley Company</t>
  </si>
  <si>
    <t>419-421</t>
  </si>
  <si>
    <t>Sangster, A. J.</t>
  </si>
  <si>
    <t>Heriot-Watt University</t>
  </si>
  <si>
    <t>Sangster A.</t>
  </si>
  <si>
    <t>Polarization agile microstrip array antenna element</t>
  </si>
  <si>
    <t>10.1002/mop.4650041015</t>
  </si>
  <si>
    <t>2-s2.0-0026221266</t>
  </si>
  <si>
    <t>['wiley company', 'vswr 2', 'inc .,', 'impedance bandwidth']</t>
  </si>
  <si>
    <t>Antennas | impedance bandwidth | printed dipoles</t>
  </si>
  <si>
    <t>The design and development of an L‚Äêband printed dipole antenna, optimized for wide‚Äêband applications near first resonance, is reported. This design has achieved more than 48% impedance bandwidth (VSWR 2:1), without degrading its overall radiation efficiency. Copyright ¬© 1991 Wiley Periodicals, Inc., A Wiley Company</t>
  </si>
  <si>
    <t>417-419</t>
  </si>
  <si>
    <t>60031544;60031544;60031544;60031544;60031544</t>
  </si>
  <si>
    <t>7402866405;7004362848;7005956560;7004265836;56259735900</t>
  </si>
  <si>
    <t>Dey, Supriyo;Aanandan, C. K.;Jose, K. A.;Monahan, P.;Nair, K. G.</t>
  </si>
  <si>
    <t>Kochi</t>
  </si>
  <si>
    <t>Cochin University of Science and Technology</t>
  </si>
  <si>
    <t>Dey S.</t>
  </si>
  <si>
    <t>Wide‚Äêband printed dipole antenna</t>
  </si>
  <si>
    <t>10.1002/mop.4650041014</t>
  </si>
  <si>
    <t>2-s2.0-0026221550</t>
  </si>
  <si>
    <t>['wide range', 'transionospheric radiosonde', 'transionospheric propagation', 'time resolution', 'simultaneous measurements', 'radio waves', 'problem formulation', 'possible cooperation', 'personal computers', 'paper gives', 'main parameters', 'magnetic tape', 'geostationary satellite', 'exact time', 'data obtained', 'copyright 1991', 'complex study', '136 mhz']</t>
  </si>
  <si>
    <t>This paper gives a description of the transionospheric radiosonde (TIR) designed for simultaneous measurements of the main parameters of the ETS 2 radio signal at 136 MHz (polarization, angles of arrival, frequency Doppler shift, and amplitude, with a time resolution of 3O s; amplitude scintillations using spaced antennas with a resolution of 0.2 s). These data, referenced to exact time, are stored on magnetic tape and diskettes for the purpose of making a subsequent digital processing on a PDP‚Äê11 computer and personal computers. Data from the TIR radio interferometer can be useful when studying the dynamics of a geostationary satellite in orbit; when making a complex study of the transionospheric propagation of radio waves; and when studying the structure, dynamics, interaction, and transformation of ionospheric irregularities simultaneously in a wide range of scales (from 100 m to 1000 km). The objective of this paper is also to attract the researcher's attention to the data obtained by these authors, for possible cooperation on the level of problem formulation or joint secondary treatment and interpretation of data. Copyright 1991 by the American Geophysical Union.</t>
  </si>
  <si>
    <t>1177-1198</t>
  </si>
  <si>
    <t>September-October 1991</t>
  </si>
  <si>
    <t>7005976446;7006740163;7006316198;6602452452</t>
  </si>
  <si>
    <t>Afraimovich, E. L.;Min'ko, N. P.;Shapovalov, A. N.;Zvezdin, V. N.</t>
  </si>
  <si>
    <t>Afraimovich E.</t>
  </si>
  <si>
    <t>Simultaneous measurements of the polarization, angles of arrival, Doppler frequency, and amplitude of the VHF radio signal from ETS 2</t>
  </si>
  <si>
    <t>10.1029/91RS01109</t>
  </si>
  <si>
    <t>2-s2.0-0026221590</t>
  </si>
  <si>
    <t>['vertex conditions', 'vector helmholtz', 'systematic extension', 'static case', 'singularity function', 'singularities along', 'polygonal contour', 'polygonal combinations', 'limit process', 'explicitly reported', 'electric field', 'conductor edges', 'composite configurations', 'boundary conditions', 'arbitrary aperture', 'also indicated']</t>
  </si>
  <si>
    <t>The electric field behavior around printed conductors with polygonal contour, as used in antennas and microwave circuit components, is investigated. The diffraction problem posed by these geometries involves edge and vertex conditions as well as boundary conditions. These can collectively be described by means of a simple singularity function that gives the distribution of zeros of the electric field on the flat conductor surfaces and of its singularities along the conductor edges. The analysis is based on solving the vector Helmholtz's equation for the plane-sector perfect conductor in a conical coordinate system and the static case is derived from a limit process. The values of the singularity function for the electric field components are explicitly reported for the more commonly encountered 90¬∞ and 270¬∞ sectors and for 90¬∞ bitriangular antennas. Systematic extension to sectors of arbitrary aperture, composite configurations and to their polygonal combinations is also indicated. ¬© 1991 IEEE</t>
  </si>
  <si>
    <t>1312-1320</t>
  </si>
  <si>
    <t>60030480;60030480</t>
  </si>
  <si>
    <t>7102946227;56253019800</t>
  </si>
  <si>
    <t>Marchetti, S.;Rozzi, T.</t>
  </si>
  <si>
    <t>Bath</t>
  </si>
  <si>
    <t>University of Bath</t>
  </si>
  <si>
    <t>Marchetti S.</t>
  </si>
  <si>
    <t>Electric Field Singularities at Sharp Edges of Planar Conductors</t>
  </si>
  <si>
    <t>10.1109/8.99039</t>
  </si>
  <si>
    <t>2-s2.0-0026221663</t>
  </si>
  <si>
    <t>['‚ äúblack', 'reconstructing near', 'new algorithm', 'initial assumptions', 'farfield patterns', 'either limited', 'diagnostic capability', 'deriving diagnostics', 'aut ).', 'aperture fields', 'aperture distribution', 'antenna development', '25 db', '2 ¬∞.']</t>
  </si>
  <si>
    <t>In addition to farfield patterns, an antenna test facility may be used to estimate the aperture fields of the antenna under test (AUT). Such a diagnostic capability can be invaluable both for antenna development and for production testing tasks. However, previously reported algorithms for reconstructing near-in fields are either limited to AUT's that conform to a particular electromagnetic model, or are incapable of resolving some features of the aperture distribution. A new algorithm for deriving diagnostics from spherical surface measurement data is described. In keeping with a ‚Äúblack-box‚Äù testing rationale, no initial assumptions are made as to the properties of the AUT. Nevertheless, high resolution reconstructions may be generated. In the case of planar array diagnosis, single element excitation faults may be quantified to an accuracy of 0.25 dB and 2¬∞. ¬© 1991 IEEE</t>
  </si>
  <si>
    <t>1436-1441</t>
  </si>
  <si>
    <t>Wood, Peter J.</t>
  </si>
  <si>
    <t>Wood P.</t>
  </si>
  <si>
    <t>A New Methodology for Reconstructing Aperture Fields from Spherical Surface Data, with Application to Array Antenna Diagnostics</t>
  </si>
  <si>
    <t>10.1109/8.99057</t>
  </si>
  <si>
    <t>2-s2.0-0026221857</t>
  </si>
  <si>
    <t>['vector continuity', 'tricot mesh', 'strip width', 'solid validation', 'simple model', 'round wire', 'properly treated', 'poor reflectivity', 'periodic structure', 'periodic array', 'junction points', 'junction contacts', 'frequently used', 'found experimentally', 'flat weave', 'flat strips', 'etc .).', 'equivalent radius', 'comprehensive set', 'certain conditions', 'careful attention', 'avoid soldering', 'analytical examples', 'analysis uses', 'also presented', 'actual mesh']</t>
  </si>
  <si>
    <t>Wire mesh knit reflecting surfaces are now frequently used on unfurlable type spacecraft reflector antennas (Tracking and Data Relay Satellite System (TDRSS), Galileo, etc.). The fineness of the wires and the complexity of the weave has made the problem of an exact numerical diffraction analysis quite formidable. In this paper this type of mesh is analyzed by treating it as a flat weave of intertwined wire strips in a periodic array. The analysis is by moment methods using a piecewise triangular basis function with a Floquet mode analysis of the periodic structure. Since the analysis uses a flat strip model and the actual mesh is composed of round wire, an equivalent radius of one-fourth the strip width is used to equate round wire and flat strips. In particular, it is found that bends and junctions can be properly treated only if precise and careful attention is paid to the vector continuity of current through the bends. It is common in some fine wire mesh grids to avoid soldering the junctions of wires and to depend upon contact pressure in order to obtain good electrical continuity at junction points. Under certain conditions, as has been found experimentally, poor electrical contact at the junction points can result in poor surface reflectivity and considerable transmission loss. Analytical examples of this loss are presented. Data are also presented for the cases of nonreflective (resistive) junction contacts. This leads to a simple model of the tricot mesh that provides an explanation of poor reflectivity. Finally, a comprehensive set of experiments is conducted to provide a solid validation of the theory. ¬© 1991 IEEE</t>
  </si>
  <si>
    <t>1352-1365</t>
  </si>
  <si>
    <t>60009037;60009037;60027550</t>
  </si>
  <si>
    <t>7003977774;7003293983;7102110120</t>
  </si>
  <si>
    <t>Imbriale, William A.;Galindo-Israel, Victor;Rahmat-Samii, Yahya</t>
  </si>
  <si>
    <t>Imbriale W.A.</t>
  </si>
  <si>
    <t>On the Reflectivity of Complex Mesh Surfaces</t>
  </si>
  <si>
    <t>10.1109/8.99044</t>
  </si>
  <si>
    <t>2-s2.0-0026221903</t>
  </si>
  <si>
    <t>['leading term', 'infinite series', 'generating function', 'general coefficient', 'evaluating integrals', 'copyright 1991', 'averaging used', 'averaging method']</t>
  </si>
  <si>
    <t>An improved asymptotic series for an integral representing transient current on an infinite cylindrical antenna caused by a step voltage source, applied at the gap, is given. A generating function for obtaining the general coefficient is derived. The method is applicable to types of integrals whose integrands consist of a product of a slowly varying function and a rapidly varying function. A simple accurate formula obtained before, by the averaging method, is shown to be the leading term of this infinite series. The averaging used in evaluating integrals is shown to improve the accuracy of the leading term. Copyright 1991 by the American Geophysical Union.</t>
  </si>
  <si>
    <t>1205-1208</t>
  </si>
  <si>
    <t>7410237435;7003397779</t>
  </si>
  <si>
    <t>Chen, Kenneth C.;Warne, Larry K.</t>
  </si>
  <si>
    <t>Chen K.</t>
  </si>
  <si>
    <t>Improved asymptotic expansions of time domain antenna current</t>
  </si>
  <si>
    <t>10.1029/91RS01415</t>
  </si>
  <si>
    <t>2-s2.0-0026222030</t>
  </si>
  <si>
    <t>['tangential component', 'selected set', 'scattered field', 'otherwise arbitrary', 'novel solution', 'limiting case', 'fictitious sources', 'disjoint bodies', 'cross polarization', 'complex amplitudes']</t>
  </si>
  <si>
    <t>A novel solution is presented for the problem of three-dimensional electromagnetic scattering of a time-harmonic plane wave from an infinite periodic linear array of finite-size perfectly conducting bodies. A set of fictitious sources comprising periodic and properly modulated cylindrical electric current sheets of cross polarization is used to simulate the scattered field. The complex amplitudes of these fictitious sources are adjusted to render the tangential component of the electric field zero at a selected set of points on the surface of one of the scatterers. The suggested solution procedure is simple to implement and is applicable to linear periodic arrays composed of disjoint bodies of smooth, but otherwise arbitrary, shape. The accuracy of the method has been demonstrated. It has also been shown that in the limiting case of widely spaced spherical scatterers the numerical solution agrees well with an approximate analytic solution. ¬© 1991 IEEE</t>
  </si>
  <si>
    <t>1332-1337</t>
  </si>
  <si>
    <t>60022403;60022403;60022403</t>
  </si>
  <si>
    <t>7006183140;7005691179;7006183137</t>
  </si>
  <si>
    <t>Boag, Amir;Leviatan, Yehuda;Boag, Alona</t>
  </si>
  <si>
    <t>Boag A.</t>
  </si>
  <si>
    <t>Analysis of Electromagnetic Scattering from Linear Periodic Arrays of Perfectly Conducting Bodies using a Cylindrical-Current Model</t>
  </si>
  <si>
    <t>10.1109/8.99041</t>
  </si>
  <si>
    <t>2-s2.0-0026222175</t>
  </si>
  <si>
    <t>['results show', 'resonant frequency', 'relative permittivity', 'moment method', 'microstrip antennas', 'medium consisting', 'integral equations', 'electromagnetic fields', 'electric type', 'dyadic green', 'directly fed', 'dielectric overlay', 'carefully considered']</t>
  </si>
  <si>
    <t>The use of dyadic Green's functions and the moment method is explored for the solution of microstrip antenna problems on circular cylindrical substrates. The dyadic Green's functions of the electric type are obtained for a medium consisting of three cylindrical dielectric layers concentric with a perfect conducting cylinder and integral equations are developed for the evaluation of the electromagnetic fields. The effect of a dielectric overlay on the resonant frequency of a cylindrical-rectangular microstrip antenna is analyzed. The patch is directly fed by means of a microstripline printed along the cylinder axial direction. The results show that the effect of the dielectric overlay is substantial when its relative permittivity and thickness are increased, such that this effect has to be very carefully considered in the design of microstrip antennas. ¬© 1991 IEEE</t>
  </si>
  <si>
    <t>1398-1404</t>
  </si>
  <si>
    <t>60024989;60024989;60024989;60029570</t>
  </si>
  <si>
    <t>7201708217;6508138133;35617724800;7004822283</t>
  </si>
  <si>
    <t>Da Costa Silva, Franklin;de Assis Fonseca, S√©argio Barroso;Soares, Antonio Jos√© Martins;Giarola, Att√≠lio Jos√©</t>
  </si>
  <si>
    <t>Brazil;Brazil</t>
  </si>
  <si>
    <t>Campinas;Brasilia</t>
  </si>
  <si>
    <t>Universidade Estadual de Campinas;Universidade de Bras√≠lia</t>
  </si>
  <si>
    <t>60029570;60024989</t>
  </si>
  <si>
    <t>Da Costa Silva F.</t>
  </si>
  <si>
    <t>Analysis of Microstrip Antennas on Circular-Cylindrical Substrates with a Dielectric Overlay</t>
  </si>
  <si>
    <t>10.1109/8.99050</t>
  </si>
  <si>
    <t>2-s2.0-0026222481</t>
  </si>
  <si>
    <t>['wiley company', 'ray methods', 'interposed layer', 'inc .,', 'hybrid technique', 'experimental results']</t>
  </si>
  <si>
    <t>antennas | Open‚Äêended waveguides | radiation | stratified media</t>
  </si>
  <si>
    <t>A hybrid technique for combining the method of moments and ray methods is applied to analyze a rectangular waveguide‚Äêfed aperture radiating into a semi‚Äêinfinite medium through an interposed layer. Numerical and experimental results are compared to test the accuracy and the applicability of this method. Copyright ¬© 1991 Wiley Periodicals, Inc., A Wiley Company</t>
  </si>
  <si>
    <t>401-403</t>
  </si>
  <si>
    <t>60021859;60028868;60021859;60021859</t>
  </si>
  <si>
    <t>7101648719;7006025870;7102464308;57202007643</t>
  </si>
  <si>
    <t>Gentili, Guido Diffi;Manara, G.;Pelosi, G.;Tiberio, R.</t>
  </si>
  <si>
    <t>Pisa;Florence</t>
  </si>
  <si>
    <t>Universit√† di Pisa;Universit√† degli Studi di Firenze</t>
  </si>
  <si>
    <t>60028868;60021859</t>
  </si>
  <si>
    <t>Radiation of open‚Äêended waveguides into stratified media</t>
  </si>
  <si>
    <t>10.1002/mop.4650041009</t>
  </si>
  <si>
    <t>2-s2.0-0026223081</t>
  </si>
  <si>
    <t>['transmitted fields', 'squint away', 'sidelobe level', 'ray paths', 'plume region', 'plume effect', 'main beam', 'kw class', 'inhomogeneous plume', 'inhomogeneous dielectrics', 'gradual degradation', 'good agreement', 'geometrical optics', 'arcjet prototypes', 'arcjet plume', 'approximated using', 'antenna performance']</t>
  </si>
  <si>
    <t>The effect of an arcjet plume on the performance of satellite reflector antennas is studied. The arcjet plume is modeled as a weakly ionized plasma. Spatial permittivity distribution of the plume is approximated using the measured electron density profile and a cold plasma model. Geometrical optics is applied to determine the ray paths as well as the transmitted fields through the inhomogeneous plume. The ray optics results are compared against several exact solutions for scattering from inhomogeneous dielectrics and good agreement is observed for sufficiently large scatterer size. The farfield antenna patterns of the reflector in the presence of the plume are calculated from the transmitted ray fields using a ray-tube integration scheme. For arcjet prototypes in the 1-kW class, the plume effect on the antenna performance is small. As the electron density increases (corresponding to higher arcjet power), a gradual degradation of the main beam and sidelobe level is observed. In addition, the main beam tends to squint away from the plume region. ¬© 1991 IEEE</t>
  </si>
  <si>
    <t>1412-1420</t>
  </si>
  <si>
    <t>60013372;60013372;60013372;60013372;60026717</t>
  </si>
  <si>
    <t>7202062608;7410128245;7102019226;7003417991;7006606550</t>
  </si>
  <si>
    <t>Ling, Hao;Kim, Hyeongdong;Hallock, Gary A.;Birkner, Bjorn W.;Zaman, Afroz J.M.</t>
  </si>
  <si>
    <t>Cleveland;Austin</t>
  </si>
  <si>
    <t>NASA Glenn Research Center;The University of Texas at Austin</t>
  </si>
  <si>
    <t>60026717;60013372</t>
  </si>
  <si>
    <t>Ling H.</t>
  </si>
  <si>
    <t>Effect of an Arcjet Plume on Satellite Reflector Performance</t>
  </si>
  <si>
    <t>10.1109/8.99052</t>
  </si>
  <si>
    <t>2-s2.0-0026223141</t>
  </si>
  <si>
    <t>['systematic generalization', 'singularity function', 'printed conductors', 'polygonal path', 'magnetic field', 'explicitly reported', 'conductor edge', 'composite configurations', 'boundary conditions', 'arbitrary aperture']</t>
  </si>
  <si>
    <t>The magnetic field and related current density behavior are investigated on the surface of printed conductors with polygonal contour used in MIC circuit components and antennas. From the rigorous E solution for the plane sector perfect conductor, we determine the H singular solution. We formulate a convenient singularity function that just represents the boundary conditions and the singularity distributed along the conductor edge. The singularity function is explicitly reported for the commonly encountered 90¬∞ and 270¬∞ plane sectors and 90¬∞ bitriangular antenna, whereas its systematic generalization is indicated for sectors of arbitrary aperture and composite configurations and polygonal path. ¬© 1991 IEEE</t>
  </si>
  <si>
    <t>1321-1331</t>
  </si>
  <si>
    <t>H-Field And J-Current Singularities at Sharp Edges in Printed Circuits</t>
  </si>
  <si>
    <t>10.1109/8.99040</t>
  </si>
  <si>
    <t>2-s2.0-0026223232</t>
  </si>
  <si>
    <t>['minimization technique', 'cost function']</t>
  </si>
  <si>
    <t>We applied optimization techniques to the synthesis of binomial and partially tapered lowsidelobe array antennas. The resulting low sidelobe tapers depended upon the cost function and minimization technique. ¬© 1991 IEEE</t>
  </si>
  <si>
    <t>3902-3904</t>
  </si>
  <si>
    <t>60022225;60022225</t>
  </si>
  <si>
    <t>7005314891;7102186231</t>
  </si>
  <si>
    <t>McCormack, Chris;Haupt, Randy</t>
  </si>
  <si>
    <t>United States Air Force Academy</t>
  </si>
  <si>
    <t>McCormack C.</t>
  </si>
  <si>
    <t>Antenna pattern synthesis using partially tapered arrays</t>
  </si>
  <si>
    <t>10.1109/20.104955</t>
  </si>
  <si>
    <t>2-s2.0-0026224328</t>
  </si>
  <si>
    <t>['various characteristics', 'resonant frequency', 'reciprocity theorem', 'radiation efficiency', 'proper adjustment', 'patch dimensions', 'patch currents', 'input impedance', 'antenna characteristics', 'also discussed']</t>
  </si>
  <si>
    <t>An analysis is presented for studying the superstrate (cover) effeets on the slot‚Äîcoupled microstrip antennas. The approach is based on the reciprocity theorem and uses the grounded double‚Äî and single‚Äîlayer dielectric slab Green's functions in a moment method solution for the unknown slot fields and patch currents. From these fields and currents, various characteristics of the antenna can be extracted, such as the radiation efficiency, directivity, input impedance, and resonant frequency. Numerical calculations showing superstrate effects on these antenna characteristics are presented. The input matches obtained from proper adjustment of the slot and patch dimensions are also discussed. ¬© 1991 IEEE</t>
  </si>
  <si>
    <t>3868-3871</t>
  </si>
  <si>
    <t>60005429;60005429</t>
  </si>
  <si>
    <t>57195219573;7202048581</t>
  </si>
  <si>
    <t>Huang, Chang Hsiu H.;Hsu, Powen</t>
  </si>
  <si>
    <t>Huang C.H.H.</t>
  </si>
  <si>
    <t>Superstrate effects on slot-coupled microstrip antennas</t>
  </si>
  <si>
    <t>10.1109/20.104945</t>
  </si>
  <si>
    <t>2-s2.0-0026224639</t>
  </si>
  <si>
    <t>['vector identity', 'te scattering', 'scattering characteristics', 'recent years', 'primarily produced', 'paper presents', 'numerical results', 'moments solution', 'integral equation', 'explicit model', 'elements consist', 'electromagnetic scattering', 'divergence theorem', 'dimensional distributions', 'dielectric substrates', 'dielectric sheet', 'dielectric cylinder', 'dielectric body', 'conducting surfaces', 'antenna array', 'also shown', 'also presented']</t>
  </si>
  <si>
    <t>In recent years, printed circuit antennas have become very useful in phased array antennas. These antenna array-elements consist of three-dimensional distributions of dielectric substrates and conductors. An explicit model of these microstrip and stripline element geometries is needed for predicting their radiation and scattering characteristics. The near electric field of a dielectric body is primarily produced by the bound charge residing on the surface. An accurate near field model is obtained through the use of this bound charge density. The polarization current induced in the dielectric is expanded in terms of divergence-free expansion functions which produce surface change doublets. An integral equation is obtained where differentiation in the scalar potential term is avoided through use of a vector identity, the equation of continuity. and the divergence theorem. This paper presents a volume integral formulation in conjunction with a method of moments solution for electromagnetic scattering from two-and three-dimensional homogeneous dielectric printed circuit substrates. The theory for printed circuits consisting of dielectric substrates and conducting surfaces is also presented. The TE scattering from a dielectric cylinder and a dielectric sheet are computed and compared to other numerical results. The results for electromagnetic scattering from a three-dimensional dielectric cube are also shown and compared to other results. ¬© 1991 IEEE</t>
  </si>
  <si>
    <t>4271-4274</t>
  </si>
  <si>
    <t>60030551;60030551</t>
  </si>
  <si>
    <t>56771984700;7201653432</t>
  </si>
  <si>
    <t>Povillelli, Mark J.;Harrington, Roger F.</t>
  </si>
  <si>
    <t>Povillelli M.</t>
  </si>
  <si>
    <t>A volume and surface source integral formulation for electromagnetic scattering from printed circuit antennas</t>
  </si>
  <si>
    <t>10.1109/20.105045</t>
  </si>
  <si>
    <t>2-s2.0-0026224706</t>
  </si>
  <si>
    <t>['wiley company', 'selective fading', 'seen also', 'proposed method', 'inc .,', 'improved greatly', 'improved better', 'error rate', 'effective technique', 'delay difference', 'computer simulation', 'case without', 'ber performances', 'adaptive array']</t>
  </si>
  <si>
    <t>This paper considers CMA adaptive array for the high‚Äêspeed TDMA transmission system using GMSK, which is the most ordinary constant‚Äêenvelope modulation system in the digital mobile land communication. A computer simulation is executed for the case where a four‚Äêelement adaptive array is applied to cope with the selective fading. CMA is employed as the array control algorithm, which is suited to the compensation of the constant‚Äêenvelope modulated signal. Assuming a model with two arriving waves, the convergence and the BER performances of CMA are evaluated. It is shown that the BER is improved greatly up to the limit that no more error can be reduced, compared to the case without an adaptive array. It is seen also that the error rate is improved better when the delay difference between the two arriving waves is large. Thus, the proposed method is shown to be an effective technique to cope with selective fading. Copyright ¬© 1991 Wiley Periodicals, Inc., A Wiley Company</t>
  </si>
  <si>
    <t>43-53</t>
  </si>
  <si>
    <t>Ohgane, Takeo</t>
  </si>
  <si>
    <t>Ohgane T.</t>
  </si>
  <si>
    <t>Characteristics of CMA adaptive array for selective fading compensation in digital land mobile radio communications</t>
  </si>
  <si>
    <t>10.1002/ecja.4410740905</t>
  </si>
  <si>
    <t>2-s2.0-0026224816</t>
  </si>
  <si>
    <t>['wiley company', 'unit circle', 'two equations', 'thereby improve', 'sidelobe level', 'shifted radially', 'ripple depth', 'representation equation', 'radiation pattern', 'numerical example', 'mutual coupling', 'inc .,', 'fabrication error', 'excitation coefficients', 'error evaluation', 'element spacing', 'determined mainly', 'clarified analytically', 'array antennas', 'approximate equations', 'almost independent', '5 wavelengths', '4 db']</t>
  </si>
  <si>
    <t>To develop a radiation pattern synthesis technique for array antennas, the relationship between the ripple depth of the radiation pattern and the flatness of the array excitation amplitude distribution is clarified analytically. The roots of the representation equation of the radiation pattern are shifted radially from Schelkunoff's unit circle so that the ripple depth is changed. The ripple depth of the radiation pattern and the flatness of the excitation amplitude distribution are expressed by approximate equations in terms of the amount of the shift of the root. If the amount of the shift of the root is eliminated from these two equations, the relationship between the ripple depth and the flatness of the excitation amplitude distribution can be derived. Approximate equations indicate that the relationship between the two is almost independent of the sidelobe level and is determined mainly by the number of elements. As a numerical example, an asymmetrically shaped pattern is generated for a 20‚Äêelement array antenna with an element spacing of 0.5 wavelengths. The approximate equations and the rigorously calculated results are compared for error evaluation. It is confirmed that the approximate equations yield accurate evaluations if the ripple depth is more than 4 dB. Flatter excitation amplitude distributions reduce the influence of fabrication error and the mutual coupling of the elements and thereby improve the accuracy of the excitation coefficients. Useful design data also are obtained. Copyright ¬© 1991 Wiley Periodicals, Inc., A Wiley Company</t>
  </si>
  <si>
    <t>63-72</t>
  </si>
  <si>
    <t>7005114522;8355553700</t>
  </si>
  <si>
    <t>Kijima, Makoto;Yamada, Yoshihide</t>
  </si>
  <si>
    <t>Kijima M.</t>
  </si>
  <si>
    <t>Relationship between array excitation distribution and radiation pattern ripple depth</t>
  </si>
  <si>
    <t>10.1002/ecja.4410740907</t>
  </si>
  <si>
    <t>2-s2.0-0026225319</t>
  </si>
  <si>
    <t>['spherical objects', 'irregular shapes', 'good agreement', 'computation time']</t>
  </si>
  <si>
    <t>A surface integral equation is derived for the scattering by highly conducting permeable objects of irregular shapes and solved, numerically, using the method of moments. The presented analysis make uses of the impedance boundary condition to simplify the formulation and reduce the computation time and memory requirements associated with the method of moments. Results for the induced voltage across a receiving loop antenna are presented. The computed and exact theoretical results for spherical objects are in good agreement. ¬© 1991 IEEE</t>
  </si>
  <si>
    <t>4268-4270</t>
  </si>
  <si>
    <t>60009697;60009697</t>
  </si>
  <si>
    <t>7005104207;8092251400</t>
  </si>
  <si>
    <t>Sebak, A.;Shafai, L.</t>
  </si>
  <si>
    <t>Winnipeg</t>
  </si>
  <si>
    <t>University of Manitoba</t>
  </si>
  <si>
    <t>Computation of electromagnetic field scattered by three-dimensional permeable objects</t>
  </si>
  <si>
    <t>10.1109/20.105044</t>
  </si>
  <si>
    <t>2-s2.0-0026225602</t>
  </si>
  <si>
    <t>['underlying effects', 'significant element', 'sidelobe tapering', 'rf performance', 'ray tracing', 'radome interactions', 'radar radomes', 'predicted near', 'physical phenomena', 'phased steering', 'phase weighting', 'paper presents', 'field solution', 'field results', 'field radiation', 'electrically large', 'coupling interactions', 'computer codes', 'complex nature', 'better understanding', 'arbitrary amplitude', 'antenna arrays', 'also observed']</t>
  </si>
  <si>
    <t>The design of large antenna radome systems has relied on ray tracing and experimental methods due to a lack of dynamic electromagnetic analysis and computer codes. The prediction of radiation and scattering of these systems has always been encumbered by the complex nature and size of the radome itself. In order to gain a better understanding into the underlying effects of far-field pattern distortions, the near-field solution of antenna radome interactions must be viewed. The antenna can also be complex in design, have wide bandwidth operation, be electrically large in wavelengths, and have significant element-to-element and element-to-radome interactions. This paper presents a method for determining the RF performance from antenna radome configurations based on a frequency-domain finite element method. The application of this analysis on the design of antenna arrays in aircraft leading edges and radar radomes will be discussed. The modeled antenna array elements can be driven with arbitrary amplitude and phase weighting for sidelobe tapering and phased steering of the pattern. The understanding of near-field radiation and coupling interactions is an important design aid. Physical phenomena such as resonances are also observed in the predicted near-field results. ¬© 1991 IEEE</t>
  </si>
  <si>
    <t>4299-4302</t>
  </si>
  <si>
    <t>60028668;60021211</t>
  </si>
  <si>
    <t>6603841936;56738168100</t>
  </si>
  <si>
    <t>Povinelli, Mark J.;D‚ÄôAngelo, John</t>
  </si>
  <si>
    <t>Cincinnati;Niskayuna</t>
  </si>
  <si>
    <t>GE Aviation;GE Global Research</t>
  </si>
  <si>
    <t>Povinelli M.</t>
  </si>
  <si>
    <t>Finite element analysis of large wavelength antenna radome problems for leading edge and radar phased arrays</t>
  </si>
  <si>
    <t>10.1109/20.105052</t>
  </si>
  <si>
    <t>2-s2.0-0026226082</t>
  </si>
  <si>
    <t>['wiley company', 'used widely', 'united states', 'regional dependence', 'received power', 'proposed method', 'predicted results', 'new parameter', 'included effectively', 'inc .,', 'existing methods', 'data bank', '27 data']</t>
  </si>
  <si>
    <t>The space diversity technique is used widely to improve propagation impairment on line‚Äêof‚Äêsight microwave links. Although prediction methods for the space diversity improvement in received power were proposed by Makino and Morita, Vigants, Boithias and Battesti, and Boithias, Battesti, and Rooryck, the predicted results were quite different among all these methods. To investigate this point, a data bank was constructed. This data bank consists of 27 data from Japan, the United States, Italy, France, FRG, Sweden, and Finland. Some theoretical investigations also were conducted. Based on the investigations, it was clarified that the cause of the difference in predicted results was a regional dependence of the long‚Äêterm variation in the short‚Äêterm average of the received power. This regional dependence is included effectively in the Rayleigh fading occurrence factor. A unified prediction method, which was derived by a multiple linear regression and included the Rayleigh fading occurrence factor as a new parameter, was proposed. Based on the testing by the data bank, the proposed method was proved to be more accurate than the existing methods. Copyright ¬© 1991 Wiley Periodicals, Inc., A Wiley Company</t>
  </si>
  <si>
    <t>73-81</t>
  </si>
  <si>
    <t>Hosoya, Yoshio</t>
  </si>
  <si>
    <t>Hosoya Y.</t>
  </si>
  <si>
    <t>A unified prediction method for space diversity improvement in received power on microwave links</t>
  </si>
  <si>
    <t>10.1002/ecja.4410740908</t>
  </si>
  <si>
    <t>2-s2.0-0026226092</t>
  </si>
  <si>
    <t>['wiley company', 'uniform theory', 'surface wave', 'small since', 'serious distortion', 'rocket due', 'radiation pattern', 'radiation mechanism', 'quite large', 'propagates inside', 'paper proposes', 'measured results', 'making assumptions', 'large effect', 'large compared', 'insulating material', 'inc .,', 'diffracted fields', 'diffracted field', 'dielectric sheet', 'dielectric material', 'dielectric coating', 'calculated values', 'analytical results']</t>
  </si>
  <si>
    <t>The airborne antenna may be considered to be small since it is mounted on a conductor which is large compared to the wavelength and its radiation pattern has to include the diffracted fields from the conductor. Moreover, thick dielectric coating on the body, which is used as insulating material, causes a serious distortion of the radiation pattern; and this is confirmed through measurements that the effect is quite large. This paper proposes a method of analysis where the effect of dielectric material on the radiation pattern is estimated analytically using a simple plane conductor model. Analysis is based on the excitation of the surface wave which propagates inside the dielectric sheet and making assumptions about the radiation mechanism, its diffracted field is calculated by the uniform theory of diffraction (UTD) method. The availability of this method of analysis was confirmed by comparing the measured results of this model with the calculated values. From the measured and analytical results, it was confirmed that a large effect is produced in the axially back direction of the rocket due to dielectric coating on the body. Copyright ¬© 1991 Wiley Periodicals, Inc., A Wiley Company</t>
  </si>
  <si>
    <t>89-99</t>
  </si>
  <si>
    <t>60002561;60002561;60022990</t>
  </si>
  <si>
    <t>35554356600;35397626800;6506595580</t>
  </si>
  <si>
    <t>Hasebe, Nozomu;Takahashi, Yoshihiro;Tanioka, Noritaka</t>
  </si>
  <si>
    <t>Chofu;Tokyo</t>
  </si>
  <si>
    <t>Japan Aerospace Exploration Agency;Nihon University</t>
  </si>
  <si>
    <t>60022990;60002561</t>
  </si>
  <si>
    <t>Hasebe N.</t>
  </si>
  <si>
    <t>Radiation pattern analysis of an antenna mounted on a finite ground plane with a dielectric coating</t>
  </si>
  <si>
    <t>10.1002/ecja.4410740910</t>
  </si>
  <si>
    <t>2-s2.0-0026226212</t>
  </si>
  <si>
    <t>['well known', 'various authors', 'taylor synthesis', 'tapered arrays', 'studied extensively', 'spaced tapered', 'side lobes', 'random arrays', 'radar systems', 'preliminary results', 'predominantly determined', 'parameters involved', 'namely number', 'main beam', 'large numbers', 'large number', 'investigation presented', 'illumination function', 'finite elements', 'extremely difficult', 'deterministic manner', 'desired level', 'continuous aperture', 'circular array', 'algorithm tend', '6 ])', '5 ]).', '3 ]).']</t>
  </si>
  <si>
    <t>The subject of circular array has been studied extensively by various authors (ref.[1]). The objective of the investigation presented here was to synthesize a very large circular array in a deterministic manner. For simplicity of design and implementation we consider only spaced tapered and highly thinned arrays. It is well known that in random as well as tapered arrays the control of the side lobes is extremely difficult and is predominantly determined by the number of elements in the array (refs. [2] and [3]). In this paper we outline an algorithm by which side lobes near the main beam can be controlled to a desired level. The low near sidelobe level promotes accurate interpretation of two-way beams utilized in radar systems, in presence of clutter. The side lobe levels away from the main beam follow the mathematical distribution studied in the theory of random arrays. These sidelobes, however , can further be attenuated by using highly directive radiating elements. The large number of elements is approximated as a continuous aperture. We then obtain the optimized illumination function starting with T.T. Taylor synthesis (refs. [4] and [5]). This illumination function, using the theory of unequally spaced elements, (ref. [6]) is used for the discretization of continuous aperture in terms of discrete ring elements. These rings in turn are further discretized as a set of finite elements. Due to large numbers of parameters involved, namely number of rings, location of rings, number of elements of each ring etc., the algorithm tend to be iterative in nature. A set of preliminary results, with very few iterations, are very encouraging giving us low sidelobes. The method has been applied in many cases successfully and the method is being studied more rigorously to provide improved results. ¬© 1991 IEEE</t>
  </si>
  <si>
    <t>3872-3875</t>
  </si>
  <si>
    <t>60021211;60021211;60021211</t>
  </si>
  <si>
    <t>56772039600;55723139000;7202304735</t>
  </si>
  <si>
    <t>Hussair, M. A.;Lin, Wen Tai T.;McKee, Martin</t>
  </si>
  <si>
    <t>Niskayuna</t>
  </si>
  <si>
    <t>GE Global Research</t>
  </si>
  <si>
    <t>Hussair M.</t>
  </si>
  <si>
    <t>Representation of continuous circular aperture as a set of discrete rings for a prescribed radiation pattern</t>
  </si>
  <si>
    <t>10.1109/20.104947</t>
  </si>
  <si>
    <t>2-s2.0-0026226790</t>
  </si>
  <si>
    <t>ECS-8906807</t>
  </si>
  <si>
    <t>['special geometries', 'simulation code', 'several results', 'radiation analysis', 'radar scattering', 'obtained using', 'objects comprised', 'numerous publications', 'numerical solution', 'numerical results', 'moments formulation', 'many problems', 'magnetic materials', 'equation formulation', 'electromagnetic scattering', 'dielectric objects', 'conductors coated', 'comparison however', 'analytical solutions', 'almost always']</t>
  </si>
  <si>
    <t>Many Problems in radar scattering and antenna design involve complex material objects made of conductors, dielectrics and, more recently, magnetic materials. Analytical solutions are available for only a few special geometries and almost always a numerical method must be employed to study realistic problems. For the solution of conducting or dielectric objects, numerous publications are available in the literature. Recently, several results have been published for the electromagnetic scattering from objects comprised of both conductors and dielectrics as well as for conductors coated with lossy dielectric materials. In comparison however, relatively few studies have been made of scattering objects comprised of lossy magnetic materials. Usually an impedance boundary condition approximation is used to formulate this problem. In this paper, a method of moments formulation for the scattering and radiation analysis of single or multiple bodies made of conducting and lossy dielectric materials, or conducting and lossy magnetic materials is presented. Based on this formulation, a simulation code has been developed which is specialized for the analysis of rotationally symmetric geometries. The numerical solution is obtained using an integral-equation formulation, for which several different forms can be selected. Numerical results for the scattering from conducting objects partially coated with a lossy dielectric material as well as conducting objects partially coated with a lossy magnetic material will be presented. ¬© 1991 IEEE</t>
  </si>
  <si>
    <t>4283-4286</t>
  </si>
  <si>
    <t>60010491;60009697;60009697;60009697</t>
  </si>
  <si>
    <t>7004922524;7006811773;7005104207;8092251400</t>
  </si>
  <si>
    <t>Kishk, A. A.;Bridges, G. E.;Sebak, A.;Shafai, L.</t>
  </si>
  <si>
    <t>Kishk A.A.</t>
  </si>
  <si>
    <t>Integral equation solution of scattering from partially coated conducting bodies of revolution</t>
  </si>
  <si>
    <t>10.1109/20.105048</t>
  </si>
  <si>
    <t>2-s2.0-0026226850</t>
  </si>
  <si>
    <t>['whenever possible', 'volume procedure', 'typical parallel', 'time harmonic', 'time domain', 'surrounding space', 'rectangular waveguide', 'radiation patterns', 'radiation pattern', 'radiation due', 'pulse sources', 'processing stage', 'plate waveguides', 'outer boundary', 'order accuracy', 'mutual coupling', 'magnetic fields', 'local system', 'interlaced mesh', 'input impedance', 'independently mapped', 'fluid dynamics', 'fitted coordinates', 'field quantities', 'domain schemes', 'discretized using', 'discretized maxwell', 'dimensional horn', 'curl equations', 'conservation form', 'computational domain', 'approximate solutions']</t>
  </si>
  <si>
    <t>Maxwell's curl equations in the time domain are cast into a conservation form and discretized using a finite-volume procedure which has been very successful in solving hyperbolic differential equations of fluid dynamics. The Lax-Wendroff explicit scheme is then used to solve the discretized Maxwell's equations, resulting in second-order accuracy with respect to both time and space. Unlike some other time-domain schemes, this one does not require an interlaced mesh for electric and magnetic fields. The computational domain comprising the antenna or array of antennas and the surrounding space are divided into a number of zones each of which is independently mapped into a local system of body-fitted coordinates, allowing for nonmatching grid lines at the interfaces. A first-order, nonreflecting boundary condition is used at the outer boundary of the computational domain. The electric and magnetic fields tangential to a conveniently chosen contour very close to the radiator are stored and used in the post-processing stage to obtain the near-and far-field quantities of interest such as input impedance, mutual coupling, and radiation pattern. Fast Fourier transforms are used to obtain the frequency domain information for radiation due to both time harmonic and pulse sources. Radiation pattern and input impedance of some typical parallel-plate waveguides and mutual coupling for arrays of parallel-plate waveguides are computed and, whenever possible, compared with closed form exact or approximate solutions. Also, radiation patterns for a two-dimensional horn and a rectangular waveguide are presented. ¬© 1991 IEEE</t>
  </si>
  <si>
    <t>3841-3844</t>
  </si>
  <si>
    <t>60027960;60027960;60027960</t>
  </si>
  <si>
    <t>7004370641;7102439819;16197058300</t>
  </si>
  <si>
    <t>Mohammadian, A. H.;Shankar, V.;Hall, W. F.</t>
  </si>
  <si>
    <t>Thousand Oaks</t>
  </si>
  <si>
    <t>Rockwell International Science Center</t>
  </si>
  <si>
    <t>Mohammadian A.H.</t>
  </si>
  <si>
    <t>Application of time-domain finite-volume method to some radiation problems in two and three dimensions</t>
  </si>
  <si>
    <t>10.1109/20.104939</t>
  </si>
  <si>
    <t>2-s2.0-0026227025</t>
  </si>
  <si>
    <t>N00014-89-J-1538</t>
  </si>
  <si>
    <t>['‚ äù', 'sensor elements', 'receive imaging', 'planar region', 'missing elements', 'measures data', 'large two', 'fixed number', 'convex region', 'central idea']</t>
  </si>
  <si>
    <t>The resolution of a linear imaging system is deter. mined by the size of the aperture on which it measures data. For a fixed number of sensor elements, large two-dimensional (2-D) apertures are formed when the elements are placed on the boundary of some planar region. It is proven that it is possible, in principle, to use only the boundary of some convex region as the aperture, while synthesizing the effect of having placed sensors throughout the interior of that region. This allows sidelobe levels to be controlled. Such a possibility is clearly of interest to designers of large, distributed sensor arrays for use in both active, transmit/receive imaging and passive, receive-only imaging. The central idea that is exploited in the work is that of the coarray of an aperture. Signal processing techniques have been developed that effectively ‚Äúfill-in‚Äù the missing elements from the interior of the aperture for the cases of rectangular, hexagonal, and triangular boundary apertures. ¬© 1991 IEEE</t>
  </si>
  <si>
    <t>1155-1166</t>
  </si>
  <si>
    <t>IEEE Transactions on Systems, Man and Cybernetics</t>
  </si>
  <si>
    <t>September/October 1991</t>
  </si>
  <si>
    <t>60006297;60006297</t>
  </si>
  <si>
    <t>7003434189;56251804200</t>
  </si>
  <si>
    <t>Kozick, Richard J.;Kassam, Saleem A.</t>
  </si>
  <si>
    <t>University of Pennsylvania</t>
  </si>
  <si>
    <t>Kozick R.J.</t>
  </si>
  <si>
    <t>Linear Imaging with Sensor Arrays on Convex Polygonal Boundaries</t>
  </si>
  <si>
    <t>10.1109/21.120066</t>
  </si>
  <si>
    <t>2-s2.0-0026227257</t>
  </si>
  <si>
    <t>P01CA029578</t>
  </si>
  <si>
    <t>['wide range', 'water bolus', 'type applicators', 'two factors', 'two examples', 'test experimentally', 'technique calculates', 'small tumors', 'second uses', 'results show', 'power delivered', 'point impedance', 'permittivity strips', 'normal components', 'near fields', 'muscle conductivity', 'mhz dipole', 'graphical display', 'fundamental limitation', 'first uses', 'electric fields', 'electric field', 'difference time', 'capacitive coupling', 'calculates driving', 'applicators designed', 'antenna ends']</t>
  </si>
  <si>
    <t>A hyperthermia applicator design tool consisting of a finite-difference time-domain (FDTD) technique in combination with a graphical display of electric fields and normalized linear temperature rise is described. This technique calculates, rather than assumes, antenna current distributions; it includes mutual interactions between the body and the applicator, and it calculates driving-point impedance and power delivered to the applicator. Results show that the fundamental limitation of 2-D electric-type applicators is overheating of the fat by normal components of the electric field, which exist because of near fields and capacitive coupling with the muscle. Two factors which contribute to the capacitance are the muscle conductivity and the small antenna size in air. Two examples of applicators designed to avoid fat overheating are described: a 27-MHz segmented dipole for heating large tumors to 7 cm depth, and a 100-MHz dipole for small tumors to 5 cm depth. The first uses a water bolus, and the second uses a water bolus with low-permittivity strips to reduce normal fields at the antenna ends. The results of this study describe fundamental limitations of electric field applicators, and illustrate the use of a powerful applicator design tool that allows rapid evaluation of a wide range of ideas for applicators which would require months and years to test experimentally. ¬© 1991 IEEE</t>
  </si>
  <si>
    <t>861-870</t>
  </si>
  <si>
    <t>60025488;60025488;60025488</t>
  </si>
  <si>
    <t>56796303400;7006062328;7201640781</t>
  </si>
  <si>
    <t>Shaw, Joseph A.;Durney, Carl H.;Christensen, Douglas A.</t>
  </si>
  <si>
    <t>Salt Lake City</t>
  </si>
  <si>
    <t>The University of Utah</t>
  </si>
  <si>
    <t>Shaw J.</t>
  </si>
  <si>
    <t>Computer-Aided Design of Two-Dimensional Electric-Type Hyperthermia Applicators using the Finite-Difference Time-Domain Method</t>
  </si>
  <si>
    <t>10.1109/10.83606</t>
  </si>
  <si>
    <t>2-s2.0-0026228543</t>
  </si>
  <si>
    <t>['intracavitary hyperthermia', 'experimental temperatures', 'complete electromagnetic']</t>
  </si>
  <si>
    <t>A prototype of a water-cooled electromagnetic applicator for intracavitary hyperthermia has been tested. The temperature distributions produced in a Polyacrylamide dissipative medium have been shown using liquid crystals. A complete electromagnetic and heat transfer model can predict the experimental temperatures. ¬© 1991 IEEE</t>
  </si>
  <si>
    <t>924-928</t>
  </si>
  <si>
    <t>60021859;60021859;115596222;115596222</t>
  </si>
  <si>
    <t>7101648719;7102532844;6506538761;56235319700</t>
  </si>
  <si>
    <t>Gentili, G. Biffi;Gori, F.;Lachi, L.;Leoncini, M.</t>
  </si>
  <si>
    <t>A Water-Cooled Em Applicator Radiating in a Phantom Equivalent Tissue‚ÄîExperiments and Numerical Analysis</t>
  </si>
  <si>
    <t>10.1109/10.83613</t>
  </si>
  <si>
    <t>2-s2.0-0026228544</t>
  </si>
  <si>
    <t>['terms taken', 'series involving', 'second kind', 'nonlinear transformation', 'monotonic series', 'algorithm derived']</t>
  </si>
  <si>
    <t>The œÅ-algorithm, a nonlinear transformation, is shown to be applicable to monotonic series. The results of applying the algorithm to a series involving the zeroth-order Hankel function of the second kind and its associated Fourier transform are given. It is shown that the algorithm performs better than the œµ-algorithm derived from Shanks‚Äô transform. Numerical results include a relative error measure versus number of terms taken in the series. ¬© 1991 IEEE</t>
  </si>
  <si>
    <t>1514-1517</t>
  </si>
  <si>
    <t>7406397830;7408223119</t>
  </si>
  <si>
    <t>Singh, Surendra;Singh, Ritu</t>
  </si>
  <si>
    <t>On the Use of œÅ-Algorithm in Series Acceleration</t>
  </si>
  <si>
    <t>10.1109/8.97383</t>
  </si>
  <si>
    <t>2-s2.0-0026237144</t>
  </si>
  <si>
    <t>['wiley company', 'solar system', 'sheaths surrounding', 'sheaths form', 'plasma sheath', 'metal antenna', 'inc .,', 'article describes', 'active comets']</t>
  </si>
  <si>
    <t>Antennas in plasmas | plasma sheaths</t>
  </si>
  <si>
    <t>The region of charge nonneutrality surrounding a metal antenna that is inserted in an infinite homogeneous plasma is called a plasma sheath. Sheaths form in several time scales that are determined by the electron and the ion plasma periods until an eventual steady‚Äêstate Langmuir sheath forms. This article describes the sheaths surrounding an antenna in a dusty plasma consisting of electrons, ions, and heavy dust particles to which electrons have attached themselves. Such a plasma is found in active comets and in the rings surrounding several planets in the solar system and in rings around mature stars. Copyright ¬© 1991 Wiley Periodicals, Inc., A Wiley Company</t>
  </si>
  <si>
    <t>427-430</t>
  </si>
  <si>
    <t>Lonngren, Karl E.</t>
  </si>
  <si>
    <t>Iowa City</t>
  </si>
  <si>
    <t>University of Iowa</t>
  </si>
  <si>
    <t>Lonngren K.</t>
  </si>
  <si>
    <t>Antenna sheaths in a dusty plasma</t>
  </si>
  <si>
    <t>10.1002/mop.4650041104</t>
  </si>
  <si>
    <t>2-s2.0-0026237606</t>
  </si>
  <si>
    <t>['previous paper', 'original approach', 'new approach', 'crossed dipoles', 'authors describedhow', 'arrival directions', 'alternative approach']</t>
  </si>
  <si>
    <t>In a previous paper. the authors describedhow the ESPRIT algorithm may be used to estimate both the arrival directions and the polarizations of incoming plane waves with a uniform linear array of crossed dipoles. An alternative approach is described here that may be used with the same array to estimate arrival angles only. This new approach has the advantage that it requires far fewer computations. The performance of this approach is compared with that of the original approach and with that of estimators using conventional ESPRIT arrays. ¬© 1991 IEEE</t>
  </si>
  <si>
    <t>1539-1543</t>
  </si>
  <si>
    <t>60015941;60003500</t>
  </si>
  <si>
    <t>Lexington;Columbus</t>
  </si>
  <si>
    <t>University of Kentucky;The Ohio State University</t>
  </si>
  <si>
    <t>Angle Estimation Using a Polarization Sensitive Array</t>
  </si>
  <si>
    <t>10.1109/8.97389</t>
  </si>
  <si>
    <t>2-s2.0-0026237742</t>
  </si>
  <si>
    <t>['array antenna', 'analytic method']</t>
  </si>
  <si>
    <t>An analytic method for designing an asymmetric sidelob array antenna pattern is presented. The fundamental principles applied are the analytic signal theory and the phase shifting property of the excitation of an array antenna. An example is given to demonstrate the feasibility and the effectiveness of this proposed design methodology. ¬© 1991 IEEE</t>
  </si>
  <si>
    <t>60072419;60013959</t>
  </si>
  <si>
    <t>54392869400;7004472556</t>
  </si>
  <si>
    <t>Chuang, Ching Song;Couch, Leon W.</t>
  </si>
  <si>
    <t>Longtan;Gainesville</t>
  </si>
  <si>
    <t>Chung-shan Institute of Science and Technology Taiwan;University of Florida</t>
  </si>
  <si>
    <t>Chuang C.S.</t>
  </si>
  <si>
    <t>The Design of Narrow Beamwidth Asymmetric Sidelobe Array Antenna Patterns Using Concept Analytic Signal</t>
  </si>
  <si>
    <t>10.1109/8.97386</t>
  </si>
  <si>
    <t>2-s2.0-0026237743</t>
  </si>
  <si>
    <t>['free space', 'far field', 'exact result', 'easily obtained']</t>
  </si>
  <si>
    <t>It is shown that the field of arbitrary point sources can be found from the aperture field method. It is exemplified that the exact result in the far field is easily obtained for an electric Hertzian dipole in free space. ¬© 1991 IEEE</t>
  </si>
  <si>
    <t>1543-1544</t>
  </si>
  <si>
    <t>Appel-Hansen, J√∏rgen</t>
  </si>
  <si>
    <t>Denmark</t>
  </si>
  <si>
    <t>Lyngby</t>
  </si>
  <si>
    <t>Danmarks Tekniske Universitet</t>
  </si>
  <si>
    <t>Appel-Hansen J.</t>
  </si>
  <si>
    <t>Fields from Point Sources Using the Aperture Field Method</t>
  </si>
  <si>
    <t>10.1109/8.97390</t>
  </si>
  <si>
    <t>2-s2.0-0026237830</t>
  </si>
  <si>
    <t>['low cross', 'feeding aperture']</t>
  </si>
  <si>
    <t>An aperture-coupled microstrip stacked patch antenna is studied with the goal of obtaining wide bandwidth, low cross-polarization and weak parasitic radiation from the feeding aperture for applications in printed phased array antennas. ¬© 1991 IEEE</t>
  </si>
  <si>
    <t>288-290</t>
  </si>
  <si>
    <t>60110693;60110693</t>
  </si>
  <si>
    <t>6603231347;7003385210</t>
  </si>
  <si>
    <t>Croq, Frederic;Papiernik, Albert</t>
  </si>
  <si>
    <t>Nice</t>
  </si>
  <si>
    <t>Universit√© C√¥te d'Azur</t>
  </si>
  <si>
    <t>Croq F.</t>
  </si>
  <si>
    <t>Stacked Slot-Coupled Printed Antenna</t>
  </si>
  <si>
    <t>10.1109/75.89098</t>
  </si>
  <si>
    <t>2-s2.0-0026237838</t>
  </si>
  <si>
    <t>['observed fluctuations', 'impulse response', 'airborne radar']</t>
  </si>
  <si>
    <t>Fluctuations are examined of an L-band. horizontally polarized signal that was transmitted from the ground through a coniferous forest canopy to an airborne radar. The azimuth synthetic aperture radar (SAR) impulse response in the presence of the measured magnitude fluctuations shows increased sidelobes over the case with no trees. Statistics of the observed fluctuations are similar to other observations. ¬© 1991 IEEE</t>
  </si>
  <si>
    <t>1537-1539</t>
  </si>
  <si>
    <t>7005890897;7404605334;7005577978</t>
  </si>
  <si>
    <t>Durden, Stephen L.;Klein, Jeffrey D.;Zebker, Howard A.</t>
  </si>
  <si>
    <t>Durden S.L.</t>
  </si>
  <si>
    <t>Radar Measurement of L-Band Signal Fluctuations Caused by Propagation Through Trees</t>
  </si>
  <si>
    <t>10.1109/8.97388</t>
  </si>
  <si>
    <t>2-s2.0-0026238007</t>
  </si>
  <si>
    <t>['useful results', 'tampere university', 'radio broadcasts', 'pin insulators', 'mv equipment', 'mv disconnectors', 'medium voltage', 'mainly detected', 'faulted components', 'disturb tv', 'climate room', 'approximately 200', 'also studied']</t>
  </si>
  <si>
    <t>distribution networks | equipment | medium voltage | radio and TV broadcasts | radio interference | TV interference</t>
  </si>
  <si>
    <t>Radio interference voltage (RIV) caused by medium voltage (MV) (here phase to phase voltage 20 kV) insulators and disconnectors was studied in the climate room at the high voltage laboratory of Tampere University of Technology. in addition antenna measurements were made near MV networks. With the exception of some faulted components, interference was mainly detected in disconnectors and pin insulators. The reduction of RIV of MV equipment was also studied and some useful results were obtained. Typical interference caused by MV disconnectors or pin insulators can disturb TV or radio broadcasts if the distance from the origin of discharges is below approximately 200 m. ¬© 1991 IEEE.</t>
  </si>
  <si>
    <t>1856-1861</t>
  </si>
  <si>
    <t>IEEE Transactions on Power Delivery</t>
  </si>
  <si>
    <t>60011170;60011170;60011170</t>
  </si>
  <si>
    <t>55886162300;50361421400;6603809893</t>
  </si>
  <si>
    <t>Kannus, K.;Lehtio, A.;Lakervi, E.</t>
  </si>
  <si>
    <t>Tampere</t>
  </si>
  <si>
    <t>Tampereen Yliopisto</t>
  </si>
  <si>
    <t>Kannus K.</t>
  </si>
  <si>
    <t>Radio and TV interference caused by public 24 kV distribution networks</t>
  </si>
  <si>
    <t>10.1109/61.97732</t>
  </si>
  <si>
    <t>2-s2.0-0026238251</t>
  </si>
  <si>
    <t>['voltage standing', 'theoretical analysis', 'slot width', 'resonance frequencies', 'radiation patterns', 'performed experimentally', 'newly derived', 'magnetic current', 'input impedance', 'field inside', 'circular polarization', 'cavity depth']</t>
  </si>
  <si>
    <t>Analysis of a cavity-backed annular slot antenna with one point shorted is performed experimentally and theoretically. Resonance frequencies, bandwidths, and radiation patterns are studied with respect to a slot width, a cavity depth, and a slot shorting position. In the theoretical analysis, the method of moments is applied to find the magnetic current on the slot and the Green's function for the field inside the cavity has been newly derived. By selecting a slot shorting position, circular polarization and the bandwidth of more than 10% voltage standing-wave ratio ((VSWR) ‚â§ 2) for the input impedance are obtained. ¬© 1991 IEEE</t>
  </si>
  <si>
    <t>1472-1478</t>
  </si>
  <si>
    <t>35595653100;7102376306;7403304145</t>
  </si>
  <si>
    <t>Morishita, Hisashi;Hirasawa, Kazuhiro;Fujimoto, Kyohei</t>
  </si>
  <si>
    <t>Morishita H.</t>
  </si>
  <si>
    <t>Analysis of a Cavity-Backed Annular Slot Antenna with One Point Shorted</t>
  </si>
  <si>
    <t>10.1109/8.97378</t>
  </si>
  <si>
    <t>2-s2.0-0026238479</t>
  </si>
  <si>
    <t>['wave antenna', 'particular case', 'numerical investigation', 'normal incidence', 'millimeter waveband', 'metal substrate', 'electrodynamic problem', 'effective algorithm', 'diffraction characteristics', 'dielectric plate', 'also elaborated']</t>
  </si>
  <si>
    <t>The electrodynamic problem of surface wave diffraction by a finite grating made of thin metal rods and placed on the dielectric plate is studied. Green's function of a dielectric slab situated on a metal substrate is used for mathematics. The system of algebraic linear equations in unknown complex amplitudes of currents in the rods is obtained in a particular case of normal incidence of the traveling wave upon the grating. The effective algorithm for numerical investigation of all diffraction characteristics of the structure is also elaborated. An example of the diffraction model application for design of a leaky-wave antenna in millimeter waveband is presented. ¬© 1991 IEEE</t>
  </si>
  <si>
    <t>282-284</t>
  </si>
  <si>
    <t>115993634;115993634</t>
  </si>
  <si>
    <t>7004641779;6506008956</t>
  </si>
  <si>
    <t>Kalinichev, V. I.;Kuranov, Y. V.</t>
  </si>
  <si>
    <t>Radio Engineering Faculty</t>
  </si>
  <si>
    <t>Kalinichev V.I.</t>
  </si>
  <si>
    <t>Surface Wave Diffraction by a Finite Metal Grating and Numerical Model for Design of Leaky-Wave Antennas</t>
  </si>
  <si>
    <t>10.1109/75.89096</t>
  </si>
  <si>
    <t>2-s2.0-0026238485</t>
  </si>
  <si>
    <t>['x mode', 'theoretical results', 'simplifying assumptions', 'ropagation constants', 'horn core', 'field configurations', 'experimental results', 'described using', 'characteristic equations', 'approximate analysis', 'appropriate boundaries', 'aperture field', 'also calculated']</t>
  </si>
  <si>
    <t>An approximate analysis of the aperture field of an E-plane sectoral solid dielectric horn antenna is described using the TE to x mode. The analysis is based on the solution of Maxwell's equations after making some simplifying assumptions. The electric and magnetic fields inside the horn core are matched to those outside at appropriate boundaries to yield transcendental equations which are then solved on a computer for the ropagation constants and field configurations. The theoretical results so obtained are in agreement with experimental results. Characteristic equations for the TM to x mode are also calculated and the results are compared with those of Marcatili, Goell, Eyges and Morita. ¬© 1991 Taylor &amp; Francis, Ltd.</t>
  </si>
  <si>
    <t>697-706</t>
  </si>
  <si>
    <t>60019106;60019106;60019106</t>
  </si>
  <si>
    <t>55726457100;38461094000;56930826900</t>
  </si>
  <si>
    <t>Singh, Anil K.;Jha, B.;Jha, R. K.</t>
  </si>
  <si>
    <t>Varanasi</t>
  </si>
  <si>
    <t>Indian Institute of Technology Banaras Hindu University</t>
  </si>
  <si>
    <t>Singh A.</t>
  </si>
  <si>
    <t>Near-field analysis of E-plane sectoral solid dielectric horn antennas</t>
  </si>
  <si>
    <t>10.1080/00207219108925512</t>
  </si>
  <si>
    <t>2-s2.0-0026238742</t>
  </si>
  <si>
    <t>['¬© 1991', 'thermal oscillations', 'performance data', 'paper describes', 'main features', 'horizontal cryostats', '200 dm3']</t>
  </si>
  <si>
    <t>cryostats | gravity wave antennas | hellum</t>
  </si>
  <si>
    <t>This paper describes a simple liquid helium cryostat with a main vacuum tank constructed from industrial steel pipes and an evacuated horizontal experimental can with a volume of 200 dm3. The novel construction allows high efficiency cooling and simple helium storage and avoids the problem of thermal oscillations, which are experienced in many other horizontal cryostats. This paper describes the main features of the cryostat and some performance data. ¬© 1991.</t>
  </si>
  <si>
    <t>918-920</t>
  </si>
  <si>
    <t>60031806;60031806;60031806;60031806;60031806;60021182</t>
  </si>
  <si>
    <t>22974326500;57198970387;24351526300;9744506400;16218179400;36764691900</t>
  </si>
  <si>
    <t>Blair, D. G.;Turner, P. J.;Devlin, J.;van Kann, F. J.;Brennan, M. A.;Shusen, C.</t>
  </si>
  <si>
    <t>Australia;China</t>
  </si>
  <si>
    <t>Perth;Guangzhou</t>
  </si>
  <si>
    <t>The University of Western Australia;Sun Yat-Sen University</t>
  </si>
  <si>
    <t>60031806;60021182</t>
  </si>
  <si>
    <t>Blair D.G.</t>
  </si>
  <si>
    <t>Novel large volume horizontal cryostat</t>
  </si>
  <si>
    <t>001122759190029V</t>
  </si>
  <si>
    <t>10.1016/0011-2275(91)90029-V</t>
  </si>
  <si>
    <t>2-s2.0-0026238805</t>
  </si>
  <si>
    <t>['¬© 1991', 'monolithically integrated', 'maximum sensitivity', 'diffusion regions', '94 ghz', '1 thz']</t>
  </si>
  <si>
    <t>On high resistive silicon substrates Schottky barrier diodes have been monolithically integrated with planar antenna structures. The Schottky barrier diodes were fabricated on n+ diffusion regions with thin epitaxial layers grown by molecular beam epitaxy. Low series resistance (&lt; 6 Œ©), ideality factor of less than 1.1 and cut-off frequencies up to 1 THz have been achieved. The maximum sensitivity of the detector was 90 mV/(mW cm-2) at 94 GHz. ¬© 1991.</t>
  </si>
  <si>
    <t>285-288</t>
  </si>
  <si>
    <t>Microelectronic Engineering</t>
  </si>
  <si>
    <t>60085149;60085149;60085149;60085149;60085149</t>
  </si>
  <si>
    <t>7003507147;7004589090;7005637821;7004495079;57197207185</t>
  </si>
  <si>
    <t>Strohm, K. M.;Luy, J. F.;B√ºchler, J.;Sch√§ffler, F.;Schaub, A.</t>
  </si>
  <si>
    <t>Stuttgart</t>
  </si>
  <si>
    <t>Daimler AG</t>
  </si>
  <si>
    <t>Strohm K.M.</t>
  </si>
  <si>
    <t>Planar 100 GHz silicon detector circuits</t>
  </si>
  <si>
    <t>016793179190230B</t>
  </si>
  <si>
    <t>10.1016/0167-9317(91)90230-B</t>
  </si>
  <si>
    <t>2-s2.0-0026238811</t>
  </si>
  <si>
    <t>['thus reduce', 'sidelobe level', 'remaining elements', 'reconfigured distribution', 'planar arrays', 'phase distribution', 'partially compensate', 'nonlinear function', 'main beam', 'failed elements', 'difference patterns', 'defective elements']</t>
  </si>
  <si>
    <t>Element failures increase the sidelobe power level of an array. Reconfiguring the amplitude and phase distribution of the remaining elements can partially compensate for the failed elements and thus reduce the sidelobe level. The result of this investigation is an algorithm that yields the reconfigured distribution by minimizing the ratio of the average peak sidelobe power level to the power in the main beam, taking into account the defective elements. The minimization of this nonlinear function is carried out via a conjugate gradient method. The algorithm is applied to the synthesis of sum and difference patterns of planar arrays. ¬© 1991 IEEE</t>
  </si>
  <si>
    <t>1497-1504</t>
  </si>
  <si>
    <t>Peters, Timothy J.</t>
  </si>
  <si>
    <t>Peters T.</t>
  </si>
  <si>
    <t>A Conjugate Gradient-Based Algorithm to Minimize the Sidelobe Level of Planar Arrays with Element Failures</t>
  </si>
  <si>
    <t>10.1109/8.97381</t>
  </si>
  <si>
    <t>2-s2.0-0026238909</t>
  </si>
  <si>
    <t>['order corresponds', 'nonadaptive beamformer', 'initially separated', 'freedom represented', 'differing numbers', 'correspondence describes', 'cascade decomposition', 'adaptive weights', 'adaptive degrees']</t>
  </si>
  <si>
    <t>This correspondence describes a cascade decomposition of the generalized sidelobe canceller (GSC) implementation for linearly constrained minimum variance beamformers. The GSC is initially separated into an adaptive interference cancellation module followed by a nonadaptive beamformer. We prove that the adaptive interference cancellation module can be decomposed into a cascade of first (or higher) order adaptive interference cancellation modules, where the order corresponds to the number of adaptive degrees of freedom represented in the module. This distributes the computational burden associated with determining the adaptive weights over several lower order problems and facilitates simultaneous implementation of beamformers with differing numbers of adaptive degrees of freedom. ¬© 1991 IEEE</t>
  </si>
  <si>
    <t>2343-2346</t>
  </si>
  <si>
    <t>60032179;60032179</t>
  </si>
  <si>
    <t>7405913569;6603004264</t>
  </si>
  <si>
    <t>Liu, Tsung Ching;Veen, Barry Van</t>
  </si>
  <si>
    <t>Liu T.</t>
  </si>
  <si>
    <t>A Modular Structure for Implementation of Linearly Constrained Minimum Variance Beamformers</t>
  </si>
  <si>
    <t>10.1109/78.91191</t>
  </si>
  <si>
    <t>2-s2.0-0026239405</t>
  </si>
  <si>
    <t>['thin corrugation', 'theoretical results', 'theoretical approach', 'problems arising', 'present work', 'periodic structure', 'limiting frequencies', 'good agreement', 'extensively investigated', 'enables us', 'electric field', 'different apertures', 'corrugated waveguides']</t>
  </si>
  <si>
    <t>The field of corrugated waveguides has been extensively investigated over a number of years, as such structures have been used for antenna feeds 111-I4I. To obtain an answer to problems arising in many microwave applications, some labs use overdimensioned corrugated waveguides. In the present work, we propose a theoretical approach with eigenmodes that enables us to determine the values of the limiting frequencies (frequencies of ‚àè modes in the periodic structure) of an overdimensioned parallelepiped cavity loaded with a thin corrugation as a function of the height of the aperture. In this approach, the electric field is represented by different analytical functions. We compared the theoretical results with the experimental values obtained for different apertures and periodicities, according to the value of the wavelength in comparison with the aperture and the period. Each function is in good agreement in a certain frequency range. ¬© 1991 IEEE</t>
  </si>
  <si>
    <t>1773-1779</t>
  </si>
  <si>
    <t>115743946;60110693</t>
  </si>
  <si>
    <t>6603752771;7003385210</t>
  </si>
  <si>
    <t>Fenelon, J. P.;Papiernik, A.</t>
  </si>
  <si>
    <t>Nice;Limoges</t>
  </si>
  <si>
    <t>Universit√© C√¥te d'Azur;R.C.O.M.</t>
  </si>
  <si>
    <t>60110693;115743946</t>
  </si>
  <si>
    <t>Fenelon J.P.</t>
  </si>
  <si>
    <t>Theoretical and experimental study of the evolution of fields in an overdimensioned waveguide with a corrugated surface</t>
  </si>
  <si>
    <t>10.1109/22.88552</t>
  </si>
  <si>
    <t>2-s2.0-0026239536</t>
  </si>
  <si>
    <t>['¬© 1991', 'usually obtained', 'two procedures', 'tunnel tests', 'tests showed', 'tests carried', 'suitably modifying', 'subsequent application', 'steady theory', 'static model', 'significant reductions', 'rotating model', 'reasons leading', 'quite significant', 'practical applications', 'loads whilst', 'load reduction', 'experimental results', 'empirical methods', 'differences emerged', 'cross flow']</t>
  </si>
  <si>
    <t>modelling | rotating radar antenna | wind-tunnel tests</t>
  </si>
  <si>
    <t>Aerodynamic loads acting on a rotating antenna depend essentially on its speed of rotation. Due to the complexity of wind-tunnel tests on a rotating model, the evaluation of these loads is usually obtained through tests carried out on a non-rotating model, suitably modifying the results with theoretical or semi-empirical methods to account for rotation. In order to investigate the accuracy of this methodology, wind-tunnel tests on a rotating antenna placed in a cross flow were carried out and the experimental results were compared with those obtained from tests on a static model with subsequent application of the quasi-steady theory to determine the loads whilst in rotation. Differences emerged from the comparison between the two procedures, some of which were quite significant; an attempt has been made to determine the reasons leading to these differences. Furthermore, the tests on the rotating model were used to verify the efficiency of load reduction of a new fin configuration previously analysed with tests on a static model. Tests showed that significant reductions in torque can be obtained with the new fin configuration, confirming the possibility of its use in practical applications. ¬© 1991.</t>
  </si>
  <si>
    <t>345-350</t>
  </si>
  <si>
    <t>Engineering Structures</t>
  </si>
  <si>
    <t>Lombardi, G.</t>
  </si>
  <si>
    <t>Pisa</t>
  </si>
  <si>
    <t>Universit√† di Pisa</t>
  </si>
  <si>
    <t>Lombardi G.</t>
  </si>
  <si>
    <t>Wind-tunnel tests on a model antenna rotating in a cross flow</t>
  </si>
  <si>
    <t>014102969190020D</t>
  </si>
  <si>
    <t>10.1016/0141-0296(91)90020-D</t>
  </si>
  <si>
    <t>2-s2.0-0026239802</t>
  </si>
  <si>
    <t>['uniform array', 'performance superior', 'negligible degradation', 'look direction', 'improved rejection', 'adaptive elements']</t>
  </si>
  <si>
    <t>It is shown, through analysis and simulation, that the use of a minimum redundancy array (MRA) in conjunction with an adaptive beamformer results in performance superior to that attained by a comparable system based on an array with uniformly spaced elements, or uniform array (UA) in terms of rejecting interferences located in close angular proximity to the look direction. Further, it is demonstrated that choosing the adaptive elements of a thinned adaptive array (TAA) based on a minimum spatial redundancy criterion, rather than spacing them uniformly, results in improved rejection of main lobe interferences, with negligible degradation in sidelobe interference rejection capabilities.</t>
  </si>
  <si>
    <t>441-447</t>
  </si>
  <si>
    <t>Oct</t>
  </si>
  <si>
    <t>60002306;60002306;60002306</t>
  </si>
  <si>
    <t>57197961194;6701822565;35609616800</t>
  </si>
  <si>
    <t>Jorgenson, M. B.;Fattouche, M.;Nichols, S. T.</t>
  </si>
  <si>
    <t>Calgary</t>
  </si>
  <si>
    <t>University of Calgary</t>
  </si>
  <si>
    <t>Jorgenson M.B.</t>
  </si>
  <si>
    <t>Applications of minimum redundancy arrays in adaptive beamforming</t>
  </si>
  <si>
    <t>10.1049/ip-h-2.1991.0074</t>
  </si>
  <si>
    <t>2-s2.0-0026240352</t>
  </si>
  <si>
    <t>['unwanted antennas', 'fields radiated', 'exterior via', 'dyadic green']</t>
  </si>
  <si>
    <t>The problems of predicting the radiated field coupling between circuit components inside nonideal shielded enclosures and the electromagnetic emissions radiated outside from circuit components inside such enclosures, are considered. The problems are formulated by representing the circuit components involved by one or more equivalent small antennas located inside the enclosure. The fields radiated by these unwanted antennas are coupled to the exterior via an aperture. The analytical model developed in this paper for predictions is based on dyadic Green's functions.</t>
  </si>
  <si>
    <t>143-147</t>
  </si>
  <si>
    <t>Canadian Journal of Electrical and Computer Engineering</t>
  </si>
  <si>
    <t>60028897;60028897;60028897</t>
  </si>
  <si>
    <t>6506942661;6506965766;7003283139</t>
  </si>
  <si>
    <t>Cooray, F. R.;Crawhall, R.;Costache, G. I.</t>
  </si>
  <si>
    <t>Cooray F.</t>
  </si>
  <si>
    <t>Radiated fields from circuit components inside rectangular enclosures with apertures</t>
  </si>
  <si>
    <t>10.1109/CJECE.1991.6591703</t>
  </si>
  <si>
    <t>2-s2.0-0026240401</t>
  </si>
  <si>
    <t>['upper plate', 'solved numerically', 'rigorously solved', 'resonator modes', 'resonant frequencies', 'radiation patterns', 'post resonator', 'nontrivial solutions', 'integral equation', 'external excitation', 'electric field', 'cylindrical dielectric', 'annular slot']</t>
  </si>
  <si>
    <t>The problem of a cylindrical dielectric-post resonator with an annular slot in the upper plate is rigorously solved. The analysis is based on an integral equation for the electric field in the slot which in the absence of external excitation has nontrivial solutions only at the complex resonant frequencies of the structure. This integral equation is solved numerically by the method of moments, and the resonant frequencies are determined as the zeros of the associated matrix determinant in the complex frequency plane. Attention is limited to the axisymmetric TM0n modes. Sample numerical results are given, including the complex resonant frequencies, the associated modal fields, and the radiation patterns of the first few resonator modes, and show the dependence of these quantities on the width and location of the annular slot.</t>
  </si>
  <si>
    <t>429-434</t>
  </si>
  <si>
    <t>7004961387;57205973667;7006839683</t>
  </si>
  <si>
    <t>Michalski, K. A.;Di, X.;Glisson, A. W.</t>
  </si>
  <si>
    <t>Michalski K.</t>
  </si>
  <si>
    <t>Rigorous analysis of the TM&lt;inf&gt;0n&lt;/inf&gt; modes in a dielectric-post resonator with an annular slot in the upper plate</t>
  </si>
  <si>
    <t>10.1049/ip-h-2.1991.0072</t>
  </si>
  <si>
    <t>2-s2.0-0026240547</t>
  </si>
  <si>
    <t>['theoretically investigated', 'substantial bandwidth', 'satellite antennas', 'radiation characteristics', 'orthogonal modes', 'mechanical simplicity', 'low cross', 'elliptical reflectors', 'elliptical beam', 'dielectric material', 'broadband horns', 'array antennas']</t>
  </si>
  <si>
    <t>The propagation and radiation characteristics of a rectangular hybrid mode horn partially filled with a dielectric material are theoretically investigated. It is demonstrated that this horn, which belongs to a class called dielcore horns, exhibits high isolation between orthogonal modes over a substantial bandwidth. The mechanical simplicity and potentially low production cost, means that it constitutes an alternative to broadband horns with an elliptical beam and low cross-polarisation. The horn may find applications as a feed in radar and satellite antennas with elliptical reflectors, and as elements in array antennas.</t>
  </si>
  <si>
    <t>407-411</t>
  </si>
  <si>
    <t>60013141;60013141</t>
  </si>
  <si>
    <t>55884538900;6701337740</t>
  </si>
  <si>
    <t>Lier, E.;Stoffels, C.</t>
  </si>
  <si>
    <t>Norges Teknisk-Naturvitenskapelige Universitet</t>
  </si>
  <si>
    <t>Propagation and radiation characteristics of rectangular dielectric-loaded hybrid mode horn</t>
  </si>
  <si>
    <t>10.1049/ip-h-2.1991.0068</t>
  </si>
  <si>
    <t>2-s2.0-0026240720</t>
  </si>
  <si>
    <t>['wiley company', 'studied theoretically', 'studied due', 'standard deviation', 'spatial divergence', 'severe due', 'obtained easily', 'mobile station', 'measured data', 'inc .,', 'diversity effect', 'deep fading', 'correlation coefficient', 'base station', 'arriving wave', 'area occupied', 'antenna height', '30 wavelengths', '3 wavelengths', '2 deg', '11 deg']</t>
  </si>
  <si>
    <t>Vertical space diversity used for reduction of deep fading in the mobile propagation path is effective for the base station and mobile station for the future land mobile communications for which the installation conditions become increasingly more severe due to the smallness of the area occupied by the antenna in this system. In this paper, the correlation coefficient of the vertical space diversity is studied theoretically and experimentally in the case where the antenna height changes from the mobile station to the base station. Further, from the comparison of the computed and measured data of the correlation coefficient, the spatial divergence of the multiple waves arriving at the antenna has been studied due to its importance in finding the diversity effect. The divergence of the multiple wave vs. the antenna height is estimated. As a result, the antenna spacing needed to obtain the diversity effect for an arbitrary antenna height is obtained easily. For instance, in the case where the antenna height is 156 m, the standard deviation of the divergence of the arriving wave is 0.2 deg. If the correlation coefficient is assumed to be less than 0.6, the required antenna spacing is about 30 wavelengths. For the antenna height of 1.5 m, the standard deviation of the divergence of the arriving wave is about 11 deg and the required antenna spacing is about 0.3 wavelengths. Copyright ¬© 1991 Wiley Periodicals, Inc., A Wiley Company</t>
  </si>
  <si>
    <t>68-76</t>
  </si>
  <si>
    <t>7004434439;56130802900;8355553700</t>
  </si>
  <si>
    <t>Ebine, Yoshio;Takahashi, Tatsumi;Yamada, Yoshihide</t>
  </si>
  <si>
    <t>Ebine Y.</t>
  </si>
  <si>
    <t>A study of vertical space diversity for a land mobile radio</t>
  </si>
  <si>
    <t>10.1002/ecja.4410741007</t>
  </si>
  <si>
    <t>2-s2.0-0026241517</t>
  </si>
  <si>
    <t>DMS-891 2593</t>
  </si>
  <si>
    <t>['radiation problems', 'radiation pattern', 'optimization problems', 'numerical examples', 'minimizes one', 'general method', 'finite dimensions', 'currents may', 'current distribution', 'considered wherein', 'antenna performance']</t>
  </si>
  <si>
    <t>A class of radiation problems is considered wherein an arbitrary smooth surface on which currents may be induced is treated as an antenna. A variety of measures of antenna performance are defined in terms of functionals of the radiation pattern. These in turn give rise to a class of optimization problems in which the current distribution is sought which maximizes or minimizes one or another of the antenna performance junctionals. A general method, based on the use of vector wave functions, of reducing each problem to one in finite dimensions is presented. Some numerical examples are presented to illustrate results attainable by these methods. ¬© 1991 IEEE</t>
  </si>
  <si>
    <t>1559-1568</t>
  </si>
  <si>
    <t>60023004;60023004;60000765</t>
  </si>
  <si>
    <t>7004135825;7103318986;7005560094</t>
  </si>
  <si>
    <t>Angell, Thomas S.;Kirsch, Andreas;Kleinman, Ralph E.</t>
  </si>
  <si>
    <t>Newark;Erlangen</t>
  </si>
  <si>
    <t>University of Delaware;Friedrich-Alexander-Universit√§t Erlangen-N√ºrnberg</t>
  </si>
  <si>
    <t>60023004;60000765</t>
  </si>
  <si>
    <t>Angell T.</t>
  </si>
  <si>
    <t>Antenna Control And Optimization</t>
  </si>
  <si>
    <t>10.1109/5.104230</t>
  </si>
  <si>
    <t>2-s2.0-0026241796</t>
  </si>
  <si>
    <t>['time processing', 'signal sources', 'projection matrix', 'noise ratio', 'new method', 'good performance', 'computationally simple', 'array processing']</t>
  </si>
  <si>
    <t>In the paper, a new method of constructing the projection matrix for array processing, using a uniform linear array in the single snapshot case, is presented. The method is computationally simple, independent of the coherence of signal sources and beneficial to real-time processing. Good performance can be obtained when the signal-to-noise ratio (SNR) is high. Simulation results show the effectiveness of the new method.</t>
  </si>
  <si>
    <t>56796259800;8369203800;57196177623</t>
  </si>
  <si>
    <t>Zhang, Ming;Yang, Wanlin;Li, Lohming</t>
  </si>
  <si>
    <t>New method of constructing the projection matrix for array processing in single snapshot case</t>
  </si>
  <si>
    <t>10.1049/ip-f-2.1991.0053</t>
  </si>
  <si>
    <t>2-s2.0-0026241816</t>
  </si>
  <si>
    <t>1551-1558</t>
  </si>
  <si>
    <t>7006593766;6603217627</t>
  </si>
  <si>
    <t>Wiesbeck, Werner;Kahny, Daniel</t>
  </si>
  <si>
    <t>Single Reference, Three Target Calibration And Error Correction For Monostatic, Polarimetric Free Space Measurements</t>
  </si>
  <si>
    <t>10.1109/5.104229</t>
  </si>
  <si>
    <t>2-s2.0-0026242007</t>
  </si>
  <si>
    <t>['two methods', 'subsequently used', 'solution process', 'separate computation', 'moment method', 'matrix elements', 'large size', 'greatly reduced', 'following reasons', 'finite screen', 'evaluated numerically', 'conjugate gradient', 'configuration requires', 'aperture region', 'aperture configurations', 'algorithm may']</t>
  </si>
  <si>
    <t>Large, finite screens containing smaller apertures with a variety of geometries are addressed. Owing to the large size of the finite screen it is assumed that matrix methods would not be applicable for the problem in its entirety. The use of the conjugate gradient (CG) algorithm may not provide the most efficient approach either, for the following reasons: each configuration requires a separate computation; a separate computation is needed for each excitation; it has been shown in the past that intricate geometries may inhibit convergence. The solution process is separated into two distinct stages: (a) Green's function for the unperturbed, short circuited finite screen structure is evaluated numerically. At this stage the CG is applicable with good and predictable convergence characteristics and no large matrix needs to be stored. (b) This Green's function is subsequently used with a new magnetic field integral equation for the aperture region, solved by the moment method. Most of the matrix elements are useful for aperture configurations, hence computation time for each configuration is greatly reduced. The scheme thus combines the two methods in a way that utilises their advantages where they are most applicable.</t>
  </si>
  <si>
    <t>435-440</t>
  </si>
  <si>
    <t>60005681;60005681</t>
  </si>
  <si>
    <t>7004638528;56039602600</t>
  </si>
  <si>
    <t>Kastner, R.;Herscovici, N.</t>
  </si>
  <si>
    <t>Tel Aviv University</t>
  </si>
  <si>
    <t>Kastner R.</t>
  </si>
  <si>
    <t>Two stage computation of apertures in finite screens</t>
  </si>
  <si>
    <t>10.1049/ip-h-2.1991.0073</t>
  </si>
  <si>
    <t>2-s2.0-0026242139</t>
  </si>
  <si>
    <t>['wiley company', 'urban environments', 'urban environment', 'street side', 'situation near', 'simple functions', 'representative value', 'propagation loss', 'prediction formula', 'parameter dependencies', 'paper describes', 'occupied buildings', 'mobile station', 'median value', 'measured values', 'measured data', 'inc .,', 'foregoing parameters', 'distance dependencies', 'conventional methods', 'conventional method', 'channel design', 'building height', 'area obtained', 'area factor', '1433 mhz']</t>
  </si>
  <si>
    <t>This paper describes the estimation of the propagation loss in an urban environment important for channel design of land mobile communication. Conventional methods for estimating the propagation loss in an urban environment gives a representative value of the propagation loss in the urban environment or the propagation loss (median value) within a 500 m √ó 800 m area obtained by introducing an area factor of occupied buildings. Such a method is not suitable for estimation of the propagation loss depending on the situation near the mobile station. In this paper, the relationship of the measured data of the propagation loss in the Tokyo Metropolitan area at 813 and 1433 MHz with the urban environment parameters such as the base station antenna height, distance, frequency, width of the street where the mobile station exists, direction, average building height, building height on the street side is derived by the multiple regression analysis method. A prediction formula for the propagation loss (median value in the section of about 80 m) including these parameters is derived. The parameter dependencies of the propagation loss, such as the antenna height dependence and the average building height dependence, are described. In addition, the distance dependencies of the propagation loss in this prediction formula and conventional method are compared with the measured values. The prediction formula is expressed in terms of the sum of simple functions of the foregoing parameters. Hence, the estimation of the propagation loss can be carried out easily, taking into consideration the urban environments such as the height of the buildings and width of the streets. Copyright ¬© 1991 Wiley Periodicals, Inc., A Wiley Company</t>
  </si>
  <si>
    <t>87-99</t>
  </si>
  <si>
    <t>7005540034;6507387731</t>
  </si>
  <si>
    <t>Sakagami, Shuji;Kuboi, Kiyoshi</t>
  </si>
  <si>
    <t>Sakagami S.</t>
  </si>
  <si>
    <t>Mobile propagation loss prediction for arbitrary urban environments</t>
  </si>
  <si>
    <t>10.1002/ecja.4410741009</t>
  </si>
  <si>
    <t>2-s2.0-0026242501</t>
  </si>
  <si>
    <t>['trapped waves', 'transmission level', 'resonant frequency', 'passband shaping', 'observed bandwidth', 'limiting value', 'dielectric layer']</t>
  </si>
  <si>
    <t>Single layer arrays of linear dipole slots and patches symmetrically embedded in a dielectric layer or bonded to its surface illustrate dielectric tuning effects in this mainly computer aided but partly experimental study. After its initial rapid decline as the layer thickness increases, the resonant frequency of the slots varies cyclically about the limiting value for the patches. Contours of transmission level on a frequency/thickness plot illustrate this frequency pulling effect and lead to a discussion of passband shaping and the sensitivity to angle of incidence. Equivalent circuit concepts account for the observed bandwidth and resonant frequency variations. The performance of two experimental surfaces is described, including the influence of trapped waves in the dielectric.</t>
  </si>
  <si>
    <t>448-454</t>
  </si>
  <si>
    <t>60010818;60010818;60010818</t>
  </si>
  <si>
    <t>7103342300;7201840709;56020461500</t>
  </si>
  <si>
    <t>Callaghan, P.;Parker, E. A.;Langley, R. J.</t>
  </si>
  <si>
    <t>Canterbury</t>
  </si>
  <si>
    <t>University of Kent</t>
  </si>
  <si>
    <t>Callaghan P.</t>
  </si>
  <si>
    <t>Influence of supporting dielectric layers on the transmission properties of frequency selective surfaces</t>
  </si>
  <si>
    <t>10.1049/ip-h-2.1991.0075</t>
  </si>
  <si>
    <t>2-s2.0-0026242555</t>
  </si>
  <si>
    <t>['¬© 1991', 'used directly', 'unit circle', 'theoretical minimum', 'rapidly tracked', 'phase shifts', 'perfect nulls', 'paper proposes', 'one parameter', 'new algorithm', 'multiplexed manner', 'lms algorithm', 'grouped together', 'finding routine', 'external sources', 'coherent sources', 'array elements', '3 2s', '1 identical', '1 elements']</t>
  </si>
  <si>
    <t>This paper proposes and investigates a fast phase shifting based null steering algorithm which requires only the theoretical minimum of M + 1 (equal to or just larger than 3 2S) array elements for resolving S coherent sources. With this algorithm, the M + 1 array elements are grouped together to form M - S + 1 identical but spatially shifted power inversion sub-arrays, each having S + 1 elements and with response zeros given by phase shifts on the unit circle so that perfect nulls are formed at S directions. By performing some simple signal preprocessing and adjusting these phase shift values one after another in a time-multiplexed manner to minimize the average output power from all the sub-arrays, the external sources can be rapidly tracked and resolved without using any root-finding routine. Futhermore, with only one parameter being adjusted at any instant, the new algorithm is 4 times less complex to implement than when the LMS algorithm is used directly. ¬© 1991.</t>
  </si>
  <si>
    <t>Resolution of coherent sources by using a fast phase shifting based null steering algorithm</t>
  </si>
  <si>
    <t>016516849190035H</t>
  </si>
  <si>
    <t>10.1016/0165-1684(91)90035-H</t>
  </si>
  <si>
    <t>2-s2.0-0026243510</t>
  </si>
  <si>
    <t>['subsequently studied', 'paper uses', 'obtained empirically', 'cylinder diameter', 'backscatter pattern', 'approximate expressions']</t>
  </si>
  <si>
    <t>The backscatter pattern of a long, perfectly conducting cylinder with flat endcaps exhibits a travelling wave lobe near end-on in the case of a Œ∏-polarised incident electric field. The paper uses a method that combines the MOM and the UTD to isolate the travelling wave contribution, and approximate expressions are obtained empirically to correct the backscatter pattern calculated by means of the UTD, which does not include the travelling wave contribution. The travelling wave contribution is subsequently studied as a function of cylinder diameter and length.</t>
  </si>
  <si>
    <t>417-420</t>
  </si>
  <si>
    <t>60013272;60013272</t>
  </si>
  <si>
    <t>7006499009;35565202000</t>
  </si>
  <si>
    <t>de Villiers, M. C.;Malherbe, J. A.G.</t>
  </si>
  <si>
    <t>The Council for Scientific and Industrial Research</t>
  </si>
  <si>
    <t>de Villiers M.</t>
  </si>
  <si>
    <t>Isolation of the travelling wave contribution to the backscatter pattern of conducting cylinders</t>
  </si>
  <si>
    <t>10.1049/ip-h-2.1991.0070</t>
  </si>
  <si>
    <t>2-s2.0-0026243695</t>
  </si>
  <si>
    <t>['slot antenna', 'radiation patterns', 'printed circuit', 'new type', 'new ppla', 'input impedances', 'empirical results', 'current distribution', 'analytical results']</t>
  </si>
  <si>
    <t>A new type of printed polygonal loop antenna (PPLA) has been devised by the authors. In the paper, analytical results of the new PPLA by the spectral domain method are shown, and two-dimensional current distribution on the printed circuit is obtained. The current distribution reveals that the new PPLA behaves like a slot antenna, unlike a conventional microstrip patch antenna. The radiation patterns and the input impedances are calculated from the current distribution. The results of numerical analysis agree very well with empirical results.</t>
  </si>
  <si>
    <t>389-396</t>
  </si>
  <si>
    <t>60018352;60018352</t>
  </si>
  <si>
    <t>7202863472;57198911589</t>
  </si>
  <si>
    <t>Cai, M.;Ito, M.</t>
  </si>
  <si>
    <t>Nagaoka</t>
  </si>
  <si>
    <t>Nagaoka University of Technology</t>
  </si>
  <si>
    <t>Cai M.</t>
  </si>
  <si>
    <t>New type of printed polygonal loop antenna</t>
  </si>
  <si>
    <t>10.1049/ip-h-2.1991.0066</t>
  </si>
  <si>
    <t>2-s2.0-0026243696</t>
  </si>
  <si>
    <t>['wave frequency', 'superstrate thickness', 'superstrate permittivity', 'superstrate interface', 'substrate interface', 'resultant electric', 'power absorption', 'numerical calculations', 'magnetic fields', 'layer model', 'incident angle', 'electromagnetic interference', 'conducting strips', 'also considered']</t>
  </si>
  <si>
    <t>The exact analytical expressions for the plane wave reflection coefficient at the air-superstrate interface of a four-layer model for a superstrate-loaded microstrip circuit are given and the electromagnetic interference of a plane wave incident on such a model of the circuit is studied. Numerical results illustrating the power absorption by the model and the resultant electric and magnetic fields on the superstrate-substrate interface as a function of wave frequency, superstrate thickness, superstrate permittivity and incident angle are presented. The presence of the conducting strips on the surface of the circuit is also considered. Details of the numerical calculations are described.</t>
  </si>
  <si>
    <t>455-459</t>
  </si>
  <si>
    <t>Wong, K. L.</t>
  </si>
  <si>
    <t>Electromagnetic interference of a plane wave incident on superstrate-loaded microstrip circuits</t>
  </si>
  <si>
    <t>10.1049/ip-h-2.1991.0076</t>
  </si>
  <si>
    <t>2-s2.0-0026243951</t>
  </si>
  <si>
    <t>['‚ äúmini', 'two reflectors', 'rights reserved', 'reflector system', 'reflector feed', 'reflector antenna', 'previous conferences', 'physical optics', 'paper reviews', 'paper describes', 'often referred', 'lower losses', 'low frequencies', 'larger bandwidth', 'journal articles', 'gregorian design', 'first described', 'electrical design', 'arecibo observatory']</t>
  </si>
  <si>
    <t>The 305-m spherical-reflector antenna of the Arecibo Observatory will be equipped with a dual-reflector feed. This reflector system is often referred to as the Gregorian, due to the shapes of the two reflectors. The Gregorian design has larger bandwidth, lower losses, and provides better aperture illumination than the old line feeds. The methods which have been developed for the electrical design of the dual-reflector feed have been presented at previous conferences, and are now well-documented in journal articles. The purpose of this paper is to give an overview of the work which led to this design. The basic ideas behind the design are first described. Thereafter, this paper reviews the methods and algorithms that have been developed to synthesize the shapes of the two reflectors, and to analyze them. Results are given of analysis by forward ray tracing, using geometrical optics with edge-diffraction corrections included. At low frequencies, analysis is performed by physical optics (PO) integration. Finally, this paper describes a ‚Äúmini-Gregorian‚Äù which has been constructed, built, and tested to verify the dual-reflector feed concept. ¬© 1991 IEEE. All rights reserved.</t>
  </si>
  <si>
    <t>60000990;60007776;60007776</t>
  </si>
  <si>
    <t>7101988263;7402021303;7003641531</t>
  </si>
  <si>
    <t>Kildal, P.;Baker, L.;Hagfors, T.</t>
  </si>
  <si>
    <t>United States;Sweden</t>
  </si>
  <si>
    <t>Ithaca;Gothenburg</t>
  </si>
  <si>
    <t>Cornell University;Chalmers University of Technology</t>
  </si>
  <si>
    <t>60007776;60000990</t>
  </si>
  <si>
    <t>Development of a Dual-Reflector Feed for the Arecibo Radio Telescope: An Overview</t>
  </si>
  <si>
    <t>10.1109/74.97945</t>
  </si>
  <si>
    <t>2-s2.0-0026244083</t>
  </si>
  <si>
    <t>['shaped line', 'numerical method', 'investigate arbitrarily', 'integral equation', 'galerkin procedure', 'experimental results', 'experimental error', 'computational efficiency', 'also discussed']</t>
  </si>
  <si>
    <t>A numerical method is developed to investigate arbitrarily-shaped line-fed microstrip antennas. The electric integral equation is solved by adopting the triangular shaped basis element and using the Galerkin procedure. In the integral equation, Sommerfeld-type full wave Green's functions are used. To enhance the computational efficiency, the full wave discrete image technique is applied. To examine the method, comparison is made between numerical and experimental results which show excellent agreement. The experimental error is also discussed.</t>
  </si>
  <si>
    <t>421-428</t>
  </si>
  <si>
    <t>7404507474;7006562937;6602956219;7501662188</t>
  </si>
  <si>
    <t>Wu, K. L.;Litva, J.;Fralich, R.;Wu, C.</t>
  </si>
  <si>
    <t>Full wave analysis of arbitrarily shaped line-fed microstrip antennas using triangular finite-element method</t>
  </si>
  <si>
    <t>10.1049/ip-h-2.1991.0071</t>
  </si>
  <si>
    <t>2-s2.0-0026244177</t>
  </si>
  <si>
    <t>['structure consists', 'strip spacings', 'strip spacing', 'scattered fields', 'paper presents', 'nonuniformly spaced', 'moderate increase', 'matrix inversion', 'large arrays', 'large array', 'judicious choice', 'integral equation', 'hybrid method', 'diffraction loss', 'current distribution', 'also discussed']</t>
  </si>
  <si>
    <t>The paper presents a hybrid method for the computation of scattered fields from a leaky halfplane illuminated by an electric line source. The structure consists of a large array of nonuniformly spaced, thin, perfectly conducting coplanar strips near the edge of a perfectly conducting halfplane. The analysis is carried out by a combination of the integral equation and physical optics methods. The solution for the current distribution on the strips is obtained by the use of the conjugate contrast source truncation iterative algorithm. Thus, matrix inversion is circumvented and the method is particularly well suited for large arrays of strips. An approximate procedure based on a physical optics derived resistive taper is given for the synthesis of strip spacings. Numerical results indicate that a moderate increase in diffraction loss in the halfplane shadow region is feasible by a judicious choice of strip spacing. Advantages and limitations of the method are also discussed.</t>
  </si>
  <si>
    <t>397-406</t>
  </si>
  <si>
    <t>60028186;60028186;60028186</t>
  </si>
  <si>
    <t>7006898765;6507236309;35609196900</t>
  </si>
  <si>
    <t>Bokhari, S. A.;Keer, M.;Gardiol, F. E.</t>
  </si>
  <si>
    <t>Lausanne</t>
  </si>
  <si>
    <t>Swiss Federal Institute of Technology Lausanne</t>
  </si>
  <si>
    <t>Bokhari S.A.</t>
  </si>
  <si>
    <t>TM diffraction by a partly leaky halfplane</t>
  </si>
  <si>
    <t>10.1049/ip-h-2.1991.0067</t>
  </si>
  <si>
    <t>2-s2.0-0026244297</t>
  </si>
  <si>
    <t>['¬© 1991', 'svd trade', 'recursive implementation', 'recursive algorithms', 'proposed class', 'new algorithms', 'line implementations', 'high degree', 'first question', 'easily implementable', 'data matrix', 'autocorrelation matrix']</t>
  </si>
  <si>
    <t>Adaptive array signal processing | array manifold | eigendecomposition | min-norm | MUSIC | singular value decomposition | subspace</t>
  </si>
  <si>
    <t>Two important questions in array signal processing are addressed in this paper: the data matrix versus autocorrelation matrix alternative and the recursive implementation of subspace DOA methods. The discussion of the first question is done in face of the proposed class of recursive algorithms. These new algorithms are easily implementable and have a high degree of parallelism that is suitable for on-line implementations. Algorithms for recursive implementation of the eigendecomposition (ED) of the autocorrelation matrix and SVD of the data matrix are described. The ED/SVD trade-off is discussed. ¬© 1991.</t>
  </si>
  <si>
    <t>35-49</t>
  </si>
  <si>
    <t>100836700-60007592;60007592</t>
  </si>
  <si>
    <t>55887298900;7006343001</t>
  </si>
  <si>
    <t>Ortigueira, Manuel Duarte;Lagunas, Miguel Angel</t>
  </si>
  <si>
    <t>Spain;Portugal</t>
  </si>
  <si>
    <t>Barcelona;Lisbon</t>
  </si>
  <si>
    <t>Universitat Polit√®cnica de Catalunya;INSEC</t>
  </si>
  <si>
    <t>60007592;100836700</t>
  </si>
  <si>
    <t>Ortigueira M.</t>
  </si>
  <si>
    <t>Eigendecomposition versus singular value decomposition in adaptive array signal processing</t>
  </si>
  <si>
    <t>016516849190037J</t>
  </si>
  <si>
    <t>10.1016/0165-1684(91)90037-J</t>
  </si>
  <si>
    <t>2-s2.0-0026244543</t>
  </si>
  <si>
    <t>['wiley company', 'vehicle body', 'urban area', 'studied theoretically', 'rear windows', 'passenger sedan', 'inc .,', 'horizontal plane', 'correlation coefficient', 'antenna element', 'antenna branch', '3 dbd', '180 ¬∞']</t>
  </si>
  <si>
    <t>When constructing a compartment‚Äêmounted diversity antenna for land mobile communication, it is important to provide an antenna branch with a small correlation factor and to improve the receiving level degradation due to the effect of the vehicle body. To solve these problems, a directivity diversity antenna is proposed which is in a hybrid circuit form with antennas placed near the front and rear windows of a passenger sedan with respect to the direction of motion. This antenna was studied theoretically and experimentally. If the antenna element has a beamwidth of 180¬∞ in the horizontal plane and a gain of 3 dBd, a receiving level almost identical to that of an omnidirectional 0‚ÄêdBd gain antenna in the horizontal plane installed outside the vehicle was attained in an urban area. The correlation coefficient was small between the terminals. Copyright ¬© 1991 Wiley Periodicals, Inc., A Wiley Company</t>
  </si>
  <si>
    <t>88-98</t>
  </si>
  <si>
    <t>Ebine, Yoshio</t>
  </si>
  <si>
    <t>Investigation of a compartment‚Äêmounted diversity antenna for land mobile radios</t>
  </si>
  <si>
    <t>10.1002/ecja.4410741108</t>
  </si>
  <si>
    <t>2-s2.0-0026248219</t>
  </si>
  <si>
    <t>['slot length', 'ground plane', 'experimental investigation', 'coplanar line', 'capacitive coupling', 'adjusted via', 'accomplished via']</t>
  </si>
  <si>
    <t>An experimental investigation of a microstrip patch antenna with a coplanar feed line is presented. The coupling from the coplanar line to the patch is accomplished via a slot in the ground plane to which the coplanar line is connected either inductively or capacitively. The input return loss can easily be adjusted via the slot length. Additional frequency tuning is possible by switching between inductive and capacitive coupling. ¬© 1991 IEEE</t>
  </si>
  <si>
    <t>340-342</t>
  </si>
  <si>
    <t>60010586;60010586</t>
  </si>
  <si>
    <t>7102063968;6602637014</t>
  </si>
  <si>
    <t>Menzel, W.;Grabherr, W.</t>
  </si>
  <si>
    <t>Ulm</t>
  </si>
  <si>
    <t>Universit√§t Ulm</t>
  </si>
  <si>
    <t>Menzel W.</t>
  </si>
  <si>
    <t>A Microstrip Patch Antenna with Coplanar Feed Line</t>
  </si>
  <si>
    <t>10.1109/75.93905</t>
  </si>
  <si>
    <t>2-s2.0-0026253678</t>
  </si>
  <si>
    <t>NAG-1-224</t>
  </si>
  <si>
    <t>['truss members', 'structural sizes', 'small fraction', 'simple form', 'shape errors', 'rights reserved', 'possible improvement', 'performance close', 'paper deals', 'optimum design', 'optimum actuators', 'large reductions', 'large numbers', 'inc .,', 'ideal actuators', 'greatly reduce', 'expected value', 'effectiveness index', 'bound obtained', 'also characterized', 'actuators associated', 'actuator sites']</t>
  </si>
  <si>
    <t>This paper deals with correction of shape distortion due to zero-mean normally distributed errors in structural sizes. The concept of ideal actuators-actuators that can produce any desired displacement field-is introduced. Using this concept, a bound on the possible improvement in the expected value of the root-mean-square shape error is obtained. The shape correction associated with the ideal actuators is also characterized. An actuator effectiveness index is developed by comparing the displacement field generated by the actuator to the ideal. The results are specialized to a simple form for truss structures composed of nominally identical members. The bound and effectiveness index are tested on a 55-m radiometer antenna truss structure. It is found that previously obtained results for optimum actuators had a performance close to the bound obtained here. Also, it is found that large numbers of actuators are needed for large reductions in shape errors. Furthermore, the actuators associated with the optimum design are shown to have high effectiveness indices. Since only a small fraction of truss elements tend to have high effectiveness indices, the use of the effectiveness index can greatly reduce the number of truss members that need to be considered as actuator sites. ¬© 1991 American Institute of Aeronautics and Astronautics, Inc., All rights reserved.</t>
  </si>
  <si>
    <t>1945-1950</t>
  </si>
  <si>
    <t>AIAA Journal</t>
  </si>
  <si>
    <t>Haftka, Raphael T.</t>
  </si>
  <si>
    <t>Blacksburg</t>
  </si>
  <si>
    <t>Virginia Polytechnic Institute and State University</t>
  </si>
  <si>
    <t>Haftka R.</t>
  </si>
  <si>
    <t>Limits on static shape control for space structures</t>
  </si>
  <si>
    <t>10.2514/3.10823</t>
  </si>
  <si>
    <t>2-s2.0-0026253704</t>
  </si>
  <si>
    <t>['wiley company', 'radiation patterns', 'inc .,', 'frequency domain']</t>
  </si>
  <si>
    <t>finite‚Äêdifference time domain | Thin‚Äêwire junctions</t>
  </si>
  <si>
    <t>Approximations for the circumferential magnetic fields at right‚Äêangled junctions are derived and validated by computing the radiation patterns of a square‚Äêloop antenna by means of the finite‚Äêdifference time‚Äêdomain (FD‚ÄêTD) method. The radiated time‚Äêdomain fields are transformed to the frequency domain and then compared to the frequency domain results obtained from the method of moments. Copyright ¬© 1991 Wiley Periodicals, Inc., A Wiley Company</t>
  </si>
  <si>
    <t>Field approximations at thin‚Äêwire junctions for the finite‚Äêdifference time‚Äêdomain method</t>
  </si>
  <si>
    <t>10.1002/mop.4650041212</t>
  </si>
  <si>
    <t>2-s2.0-0026253790</t>
  </si>
  <si>
    <t>['wire radius', 'wiley company', 'inc .,', 'compact radiator']</t>
  </si>
  <si>
    <t>meander lines | meander monopoles | Wire antennas</t>
  </si>
  <si>
    <t>The characteristics of a meander line section at resonance is studied and the current distribution along the wire is obtained. The far‚Äêfield components and the effect of wire radius are studied, and a transition from a simple meander monopole as a compact radiator to a meander line section is investigated. Copyright ¬© 1991 Wiley Periodicals, Inc., A Wiley Company</t>
  </si>
  <si>
    <t>537-540</t>
  </si>
  <si>
    <t>Rashed‚ÄêMohassel, J.</t>
  </si>
  <si>
    <t>Iran</t>
  </si>
  <si>
    <t>Zahedan</t>
  </si>
  <si>
    <t>University of Sistan and Baluchestan</t>
  </si>
  <si>
    <t>Rashed‚ÄêMohassel J.</t>
  </si>
  <si>
    <t>The radiation characteristics of a resonant meander line section as a monopole</t>
  </si>
  <si>
    <t>10.1002/mop.4650041208</t>
  </si>
  <si>
    <t>2-s2.0-0026253819</t>
  </si>
  <si>
    <t>['wiley company', 'power transmission', 'one side', 'narrow slot', 'microstrip coupler', 'inc .,', 'empirical design', 'contactless transition', 'acceptable loss']</t>
  </si>
  <si>
    <t>microstrip antennas | millimeter‚Äêwave sensor | slot coupler through ground plane | Two‚Äêsided microstrip circuit board</t>
  </si>
  <si>
    <t>An empirical design of a microstrip coupler through a narrow slot in the common ground plane of a two‚Äêsided microstrip circuit board is presented. The power transmission between a microstripline on a high‚Äêpermittivity ceramic substrate (Œµr = 9.8) and one on a low‚Äêpermittivity Teflon‚Äêbased substrate (Œµr = 2.2) is measured at near‚Äêmillimeter‚Äêwave frequencies for a varying slot length. It is demonstrated that such a contactless transition can successfully be used with an acceptable loss in order to couple the power from one side to the other of a two‚Äêsided microstrip circuit board. Copyright ¬© 1991 Wiley Periodicals, Inc., A Wiley Company</t>
  </si>
  <si>
    <t>543-547</t>
  </si>
  <si>
    <t>Lin, C. C.</t>
  </si>
  <si>
    <t>A microstrip coupler through a narrow slot in the common ground plane of a two‚Äêsided microstrip circuit board</t>
  </si>
  <si>
    <t>10.1002/mop.4650041210</t>
  </si>
  <si>
    <t>2-s2.0-0026253862</t>
  </si>
  <si>
    <t>['radiation characteristics', 'periodically loaded', 'new feed', 'ideal substitute', 'horn antenna']</t>
  </si>
  <si>
    <t>Design and development of a new feed-horn antenna with low sidelobe levels is reported. The E-walls of this antenna are fabricated with low-loss dielectric substrate, periodically loaded with thin conducting strips. The antenna is found to be simulating the radiation characteristics of metallic corrugated horns. This can be an ideal substitute for metallic corrugated horns with added advantages like light-weight and low production cost. ¬© 1991 IEEE</t>
  </si>
  <si>
    <t>318-319</t>
  </si>
  <si>
    <t>100395982;60031544;60031544</t>
  </si>
  <si>
    <t>7005341694;57218539158;56796747400</t>
  </si>
  <si>
    <t>Rodrigues, Stephen;Mohanan, P.;Nailr, K. G.</t>
  </si>
  <si>
    <t>Kochi;Kalamassery</t>
  </si>
  <si>
    <t>Cochin University of Science and Technology;St. Paul's College</t>
  </si>
  <si>
    <t>60031544;100395982</t>
  </si>
  <si>
    <t>Rodrigues S.</t>
  </si>
  <si>
    <t>A Strip-Loaded Feed-Horn Antenna</t>
  </si>
  <si>
    <t>10.1109/75.93897</t>
  </si>
  <si>
    <t>2-s2.0-0026254178</t>
  </si>
  <si>
    <t>['wide variety', 'transmit polarizations', 'thus permitting', 'technological advances', 'single fixed', 'several others', 'several instruments', 'scattered wave', 'recent developments', 'radar technology', 'promising tool', 'possible polarizations', 'polarization state', 'polarization signatures', 'polarization properties', 'polarization antenna', 'polarimetric signals', 'new instruments', 'nature appears', 'natural terrains', 'natural surfaces', 'model accurately', 'mapped using', 'imaging polarimetry', 'future use', 'fundamental equations', 'earth system', 'discuss several', 'detailed understanding', 'complete measurement', 'capability enables', 'calibration peculiar', 'bewildering variety', 'also cover']</t>
  </si>
  <si>
    <t>Conventional imaging radars operating with a single fixed-polarization antenna are being supplanted by the next generation instrument capable of measuring the polarization of the scattered wave for any and all transmit polarizations. Recent developments in radar technology have led to the development of imaging radar polarimeters, that is, radars that are capable of imaging the Earth's surface at any and all possible polarizations through antenna synthesis techniques. The capability enables the complete measurement of a target's polarization properties, thus permitting a much more detailed understanding of the electromagnetic scattering process. Here we review these technological advances, both hardware and algorithmic, and present some sample data sets acquired using these techniques. We also cover the aspects of ground signal processing and calibration peculiar to the polarimetric signals. The basic theory underlying imaging radar polarimetry for the study of natural surfaces is fairly well developed at this point in time, that is, the fundamental equations are understood in the context of investigation of the Earth's surface. Several instruments are currently in operation with several others being planned, including spaceborne implementations. We discuss several of the currently operating instruments and some of the implementations now planned for future use. Already a wide variety of natural terrains have been mapped using these new instruments. The observed scattering characteristics vary as a function of polarization state and also of frequency. Nature appears to be described by what is now a bewildering variety of polarization signatures. At present we are unable to model accurately all of these types of scattering, but imaging polarimetry is a promising tool to aid in this process and in the understanding of the Earth system. ¬© 1991 IEEE</t>
  </si>
  <si>
    <t>1583-1606</t>
  </si>
  <si>
    <t>7005577978;7103099518</t>
  </si>
  <si>
    <t>Zebker, Howard A.;Van Zyl, Jakob J.</t>
  </si>
  <si>
    <t>Zebker H.A.</t>
  </si>
  <si>
    <t>Imaging Radar Polarimetry: A Review</t>
  </si>
  <si>
    <t>10.1109/5.118982</t>
  </si>
  <si>
    <t>2-s2.0-0026254851</t>
  </si>
  <si>
    <t>['paper describes', 'numerical calculations', 'method utilizes', 'ltsa arrays', 'ltsa ),', 'infinite arrays', 'ground plane', 'convergence issues', 'antennas printed', 'also discussed']</t>
  </si>
  <si>
    <t>This paper describes a Green‚Äôs function-moment method analysis of infinite arrays of endfire slot antennas, including the constant width slot antenna (CWSA) and the linearly tapered slot antenna (LTSA), with a ground plane. The method utilizes an application of equivalence at a plane in front of the array which facilitates the extension of this analysis to antennas printed on protruding dielectric sheets and/or the addition of a radome. Numerical calculations are compared with waveguide simulator experiments for CWSA and LTSA arrays as well as several less complex problems. Relevant numerical considerations and convergence issues are also discussed. ¬© 1991 IEEE</t>
  </si>
  <si>
    <t>1615-1625</t>
  </si>
  <si>
    <t>60014313;60014313;60014313;60020818</t>
  </si>
  <si>
    <t>7004535821;7006791463;6603547695;6603542757</t>
  </si>
  <si>
    <t>Cooley, Michael E.;Schaubert, Daniel H.;Buris, Nicholas E.;Urbanik, Edward A.</t>
  </si>
  <si>
    <t>Pittsburgh;Amherst MA</t>
  </si>
  <si>
    <t>Westinghouse Electric Company;University of Massachusetts Amherst</t>
  </si>
  <si>
    <t>60020818;60014313</t>
  </si>
  <si>
    <t>Cooley M.</t>
  </si>
  <si>
    <t>Radiation and Scattering Analysis of Infinite Arrays of Endfire Slot Antennas with a Ground Plane</t>
  </si>
  <si>
    <t>10.1109/8.102777</t>
  </si>
  <si>
    <t>2-s2.0-0026254899</t>
  </si>
  <si>
    <t>['waveguide centerline', 'theoretical study', 'performance antennas', 'calculated results']</t>
  </si>
  <si>
    <t>A theoretical study is made of the aperture field distributions, the far-field amplitude patterns, and the mutual coupling characteristics of several long leaky-wave slot antennas cut on the broadwall of a rectangular waveguide mounted in an infinite ground plane. Straight long slots have high inner side lobes in the far field amplitude patterns, which reduces their utility as high-performance antennas. To reduce these sidelobes, a long slot may be meandered from waveguide centerline to sidewall and back to centerline in such a way to produce the desired radiation patterns. Calculated results for antennas of several meander patterns are presented and discussed. ¬© 1991 IEEE</t>
  </si>
  <si>
    <t>1553-1560</t>
  </si>
  <si>
    <t>60003892;60003892</t>
  </si>
  <si>
    <t>6602466087;35583458100</t>
  </si>
  <si>
    <t>Whetten, Frank L.;Balanis, Constantine A.</t>
  </si>
  <si>
    <t>Tempe</t>
  </si>
  <si>
    <t>Arizona State University</t>
  </si>
  <si>
    <t>Whetten F.L.</t>
  </si>
  <si>
    <t>Meandering Long Slot Leaky-Wave Waveguide Antennas</t>
  </si>
  <si>
    <t>10.1109/8.102768</t>
  </si>
  <si>
    <t>2-s2.0-0026254901</t>
  </si>
  <si>
    <t>['within 2', 'theoretically studied', 'range wide', 'performance amplifiers', 'optimal combination', 'mos devices', 'measured without', 'matching either', 'existing bipolar', 'design techniques', 'design principles', 'cmos realizations', 'cmos ones', 'bicmos technology', 'bicmos process', 'bicmos amplifiers', 'band amplifiers', 'analytically shown', '25 œºv', '135 db']</t>
  </si>
  <si>
    <t>Design techniques of high-dynamic-range wide-band amplifiers in BiCMOS technology for matching either a telescope (capacitive) or a wire (resistive) antenna are presented. The advantage of the BiCMOS process over bipolar and CMOS ones in designing such high-performance amplifiers is theoretically studied. It is analytically shown that by optimal combination of bipolar and MOS devices, BiCMOS amplifiers can be designed that show superior performance over the existing bipolar and CMOS realizations. The design principles are verified by the measurements on a bipolar test amplifier implemented in a linear gate array of a BiCMOS technology. A total equivalent input noise level as low as 0.25 ŒºV&lt;inf&gt;rms&lt;/inf&gt; within 2.5-kHz IF band is achieved and a very high dynamic range of 135 dB is measured without the use of any AGC. ¬© 1991 IEEE</t>
  </si>
  <si>
    <t>1681-1688</t>
  </si>
  <si>
    <t>1558173X</t>
  </si>
  <si>
    <t>IEEE Journal of Solid-State Circuits</t>
  </si>
  <si>
    <t>60025063-60021378;60025063;60025063</t>
  </si>
  <si>
    <t>7202170388;7102399083;34572758100</t>
  </si>
  <si>
    <t>Chang, Zhong Yuan;Sansen, Willy M.C.;Steyaert, Michel S.J.</t>
  </si>
  <si>
    <t>3000 Leuven;Murray</t>
  </si>
  <si>
    <t>KU Leuven;Nokia Bell Labs</t>
  </si>
  <si>
    <t>60025063;60021378</t>
  </si>
  <si>
    <t>Chang Z.</t>
  </si>
  <si>
    <t>Design Considerations of High-Dynamic-Range Wide-Band Amplifiers in BiCMOS Technology</t>
  </si>
  <si>
    <t>10.1109/4.98990</t>
  </si>
  <si>
    <t>2-s2.0-0026254959</t>
  </si>
  <si>
    <t>['¬© 1991', 'three configurations', 'scan performance', 'planar strips', 'obtained using', 'methods available', 'input impedance', 'inhomogeneous substrate', 'infinite arrays', 'dielectric substrate', 'configurations include', 'calculated results', 'antenna characteristics', 'analyzed using']</t>
  </si>
  <si>
    <t>Infinite arrays of two-dimensional microstrip elements are analyzed using the finite difference method. The method is used to study the behavior of three configurations of planar strips over a dielectric substrate in an infinite array environment. These configurations include the "dipole" element, the "microstrip" element over an inhomogeneous substrate. For each configuration, calculated results are presented with special attention given to antenna characteristics such as input impedance and scan performance. Verification of the finite difference approach for these problems is achieved by comparing its results with those obtained using other methods available in the literature. ¬© 1991.</t>
  </si>
  <si>
    <t>366-392</t>
  </si>
  <si>
    <t>Computer Physics Communications</t>
  </si>
  <si>
    <t>60013649;60014313</t>
  </si>
  <si>
    <t>8507385300;7006791463</t>
  </si>
  <si>
    <t>Bayard, Jean Pierre R.;Schaubert, Daniel H.</t>
  </si>
  <si>
    <t>Amherst MA;Sacramento</t>
  </si>
  <si>
    <t>University of Massachusetts Amherst;California State University, Sacramento</t>
  </si>
  <si>
    <t>60014313;60013649</t>
  </si>
  <si>
    <t>Bayard J.</t>
  </si>
  <si>
    <t>Finite difference solution of infinite arrays of two-dimensional microstrip structures</t>
  </si>
  <si>
    <t>001046559190210C</t>
  </si>
  <si>
    <t>10.1016/0010-4655(91)90210-C</t>
  </si>
  <si>
    <t>2-s2.0-0026255096</t>
  </si>
  <si>
    <t>['wiley company', 'type traditionally', 'radiation patterns', 'radiation pattern', 'newly derived', 'magnetic plane', 'magnetic currents', 'limited space', 'inc .,', 'geometric theory', 'diffraction ).', 'asymptotic calculation', 'accurate analysis']</t>
  </si>
  <si>
    <t>The major angle corner reflector antenna is characterized by a large half‚Äêpower value width in the magnetic plane and a large front‚Äêto‚Äêback ratio. This antenna is considered a candidate for the fixed‚Äêstate antenna for radio communication within a limited space being studied by the authors. The analysis of radiation patterns of antennas of this type traditionally has been carried out by the induced electromotive force (EMF) method. In such calculations, the errors in the sidelobes have been substantial. In the analysis of the radiation pattern in this paper, the corner diffraction formula derived previously and the approximate corner diffraction formula for a hollow wedge corner which is newly derived by an asymptotic calculation from the equivalent edge electric and magnetic currents in the UTD are included in the application of the GTD (Geometric Theory of Diffraction). It is shown that by this approach an accurate analysis can be performed in both the E‚Äê and H‚Äêplanes. It is confirmed that the results by the GTD, by the MM (moment method), and by the experiments agree well. Copyright ¬© 1991 Wiley Periodicals, Inc., A Wiley Company</t>
  </si>
  <si>
    <t>60024751;60024751;60024751</t>
  </si>
  <si>
    <t>57191235626;56216531000;7003894513</t>
  </si>
  <si>
    <t>Zhang, Xu;Inagaki, Naoki;Kikuma, Nobuyoshi</t>
  </si>
  <si>
    <t>Nagoya</t>
  </si>
  <si>
    <t>Nagoya Institute of Technology</t>
  </si>
  <si>
    <t>Zhang X.</t>
  </si>
  <si>
    <t>Geometrical theory of diffraction including corner diffractions with application to radiation pattern analysis of major angle corner reflector antenna</t>
  </si>
  <si>
    <t>10.1002/ecjb.4420741102</t>
  </si>
  <si>
    <t>2-s2.0-0026255176</t>
  </si>
  <si>
    <t>['¬© 1991', 'wide variety', 'using microwaves', 'tradeoffs involved', 'medical diagnosis', 'including humans', 'incident radiation', 'important role', 'future needs', 'field radiations', 'example results', 'difference time', 'computer modeling', 'computational methods', 'complementary nature', 'cancer treatment', 'briefly described', 'biomedical applications', 'bioelectromagnetics research', 'applicators used', 'applications involved', 'also used']</t>
  </si>
  <si>
    <t>Computer modeling and numerical techniques played an important role, found a wide variety of applications, and provided valuable results in the area of bioelectromagnetics. These techniques were used to calculate electromagnetic specific absorption rates (SARs) in various biological models, including humans, and to evaluate a wide variety of applicators used to administer microwave hyperthermia for cancer treatment both noninvasively and interstitially. Computational methods were also used to examine the feasibility of using microwaves in medical diagnosis and imaging. In these biomedical applications, both near- and far-field radiations were modeled and incident radiation from single and phased array antennas were utilized. In this paper, we review some of the computational techniques used in bioelectromagnetics. Example results are presented to illustrate the wide variety of applications involved in the area of bioelectromagnetics research. Advantages, limitations, and the complementary nature of three numerical techniques based on the method of moments, finite-difference time-domain, and the spherical-wave expansion methods are discussed. Tradeoffs involved in selecting a specific solution procedure to analyze the highly diverse applications in bioelectromagnetics are discussed and future needs in bioelectromagnetics research are briefly described. ¬© 1991.</t>
  </si>
  <si>
    <t>224-254</t>
  </si>
  <si>
    <t>Iskander, Magdy F.</t>
  </si>
  <si>
    <t>Iskander M.</t>
  </si>
  <si>
    <t>Computational techniques in bioelectromagnetics</t>
  </si>
  <si>
    <t>0010-4655(91)90202-V</t>
  </si>
  <si>
    <t>10.1016/0010-4655(91)90202-V</t>
  </si>
  <si>
    <t>2-s2.0-0026255360</t>
  </si>
  <si>
    <t>Science and Engineering Research Council</t>
  </si>
  <si>
    <t>SERC</t>
  </si>
  <si>
    <t>['vsat antenna', 'paper considers', 'low gain', 'interference comes', 'impairments associated', 'finite number', 'data services']</t>
  </si>
  <si>
    <t>This paper considers the transmission of C-MAC data services to VSATs. The impairments associated with VSATs such as the effects of adjacent satellite interference and low gain of the VSAT antenna are taken into account. Time domain simulation is used to evaluate the performance of data services when the interference comes from a finite number of sources. The received bit error rate then determines the choice of coding for typical data services. ¬© 1991 IEEE</t>
  </si>
  <si>
    <t>763-771</t>
  </si>
  <si>
    <t>6701401101;7005522039</t>
  </si>
  <si>
    <t>Sparkes, D. J.;Tozer, T. C.</t>
  </si>
  <si>
    <t>Sparkes D.</t>
  </si>
  <si>
    <t>Performance of C-MAC VSAT data services</t>
  </si>
  <si>
    <t>10.1109/30.106938</t>
  </si>
  <si>
    <t>2-s2.0-0026255403</t>
  </si>
  <si>
    <t>['thermal noise', 'step parameter', 'single receiver', 'computationally simple']</t>
  </si>
  <si>
    <t>A method is described to normalize the step parameter and perturbation amount used for gradient search adaptive algorithms. The step normalization assures rapid stable convergence. The perturbation normalization also assures rapid stable convergence and limits the output perturbation noise to a level below thermal noise. The normalizations are computationally simple and are consistent with the use of a single receiver at the adaptive array output Results are presented to verify the robustness of the technique. ¬© 1991 IEEE</t>
  </si>
  <si>
    <t>901-905</t>
  </si>
  <si>
    <t>7004908028;6701744626</t>
  </si>
  <si>
    <t>Farina, David J.;Flam, Richard P.</t>
  </si>
  <si>
    <t>Farina D.J.</t>
  </si>
  <si>
    <t>A Self-Normalizing Gradient Search Adaptive Array Algorithm</t>
  </si>
  <si>
    <t>10.1109/7.104256</t>
  </si>
  <si>
    <t>2-s2.0-0026255455</t>
  </si>
  <si>
    <t>['wave measurements', 'wave analysis', 'theoretical results', 'submillimeter applications', 'resonant properties', 'remote sensing', 'radio astronomy', 'promising class', 'plasma diagnostics', 'part ii', 'numerical evaluation', 'input impedance', 'horn structure', 'ground plane', 'field patterns', 'field pattern', 'corresponding behavior', 'convergence characteristics']</t>
  </si>
  <si>
    <t>Dipole extited integrated horn antennas etched in Si/GaAs are a very promising class of antennas for millimeter and submillimeter applications. Areas of application include imaging and tracking through rain and fog, remote sensing, radio astronomy, and plasma diagnostics. In this paper (Part I), the far-field pattern and input impedance of a dipole-fed horn antenna in a ground plane are calculated using full-wave analysis. The solution is based on the numerical evaluation of the pertinent Green‚Äôs function for the horn structure and the application of the method of moments. The convergence characteristics of the full-wave analysis method are investigated, along with the resonant properties of the strip-dipole and the corresponding behavior of the far-field patterns. The theoretical results are compared in Part II with microwave and millimeter-wave measurements. ¬© 1991 IEEE</t>
  </si>
  <si>
    <t>1575-1581</t>
  </si>
  <si>
    <t>7004469751;6602531547;56246062600;7006384021</t>
  </si>
  <si>
    <t>Eleftheriades, George V.;Ali-Ahmad, Walid Y.;Katehi, Linda P.B.;Rebeiz, Gabriel M.</t>
  </si>
  <si>
    <t>Eleftheriades G.V.</t>
  </si>
  <si>
    <t>Millimeter-Wave Integrated-Horn Antennas: Part I‚ÄîTheory</t>
  </si>
  <si>
    <t>10.1109/8.102771</t>
  </si>
  <si>
    <t>2-s2.0-0026255619</t>
  </si>
  <si>
    <t>['paraboloidal coordinates', 'parabolic function', 'l2 space', 'integral transform', 'helmholtz equation', 'free space', 'arbitrary function']</t>
  </si>
  <si>
    <t>A parabolic function expansion for an arbitrary function in L2 space is derived with the aid of the classical eigenfunction expansion theory of Titchmarsh. The Green‚Äôs function in free space in terms of the parabolic function is expanded as an example. The theory is then applied to the integral transform of the Helmholtz equation in paraboloidal coordinates. ¬© 1991 Taylor &amp; Francis, Ltd.</t>
  </si>
  <si>
    <t>845-852</t>
  </si>
  <si>
    <t>Dafang, Yi</t>
  </si>
  <si>
    <t>Southwest Jiaotong University</t>
  </si>
  <si>
    <t>Dafang Y.</t>
  </si>
  <si>
    <t>Parabolic function expansion and its application to EM theory</t>
  </si>
  <si>
    <t>10.1080/00207219108925528</t>
  </si>
  <si>
    <t>2-s2.0-0026255695</t>
  </si>
  <si>
    <t>['‚ àí4', 'reference distance', 'microcellular sites', 'mean wide', 'generally less', 'excess delay', 'direct component', 'delay spreads', 'data reveal', 'common scatterers', '900 mhz', '8 œºs', '7 dbm2', '6 œºs', '3 œºs', '2 œºs', '16 œºs', '10 db', '1 km']</t>
  </si>
  <si>
    <t>This paper presents typical and worst case root mean square (rms) delay spreads, excess delay spreads (10 dB) and mean channel path loss at 900 MHz in four European cities using typical cellular and microcellular antenna locations. A power law propagation model is used to determine how the mean wide-band channel path loss changes as a function of distance between a base and a mobile. It is shown that a change in reference distance from 1 km to 100m can change the perceived propagation power law exponent from 3.0 to 2.7, where free space propagation is assumed from the transmitter to the reference distance. The data reveal that for microcellular sites with low base antennas, rms delay spreads are less than 2 Œºs with excess delay spreads (10 dB) less than 6 Œºs. When high base station antennas are used, rms delay spreads are generally less than 8 Œºs and excess delay spreads (10 dB) are less than 16 Œºs. The worst case measurement with line-of-sight to the Frankfurt skyline produced a multipath component 7 dB below the direct component at an excess delay of 51.3 Œºs. The worst case rms delay spread is 19.6 Œºs. Radar cross sections (RCS) of common scatterers in cellular and microcellular radio channels are shown to range between ‚àí4.5 and +55.7 dBm2. ¬© 1991 IEEE</t>
  </si>
  <si>
    <t>721-730</t>
  </si>
  <si>
    <t>60027090;60027090;100435080;115597010;100435080</t>
  </si>
  <si>
    <t>7005280056;7006091503;7404324093;7006768922;55496947000</t>
  </si>
  <si>
    <t>Seidel, Scott Y.;Rappaport, Theodore S.;Jain, Sanjiv;Lord, Michael L.;Singh, Rajendra</t>
  </si>
  <si>
    <t>Blacksburg;Farmington Hills;Arlington</t>
  </si>
  <si>
    <t>Virginia Polytechnic Institute and State University;Cellular One;LCC Inc</t>
  </si>
  <si>
    <t>60027090;115597010;100435080</t>
  </si>
  <si>
    <t>Seidel S.Y.</t>
  </si>
  <si>
    <t>Path Loss, Scattering, and Multipath Delay Statistics in Four European Cities for Digital Cellular and Microcellular Radiotelephone</t>
  </si>
  <si>
    <t>10.1109/25.108383</t>
  </si>
  <si>
    <t>2-s2.0-0026255736</t>
  </si>
  <si>
    <t>['wave frequencies', 'safely used', 'results indicate', 'radio astronomy', 'radiation patterns', 'impedance measurements', 'horn apertures', 'ground plane', 'experimentally investigated', 'dipole positions', 'array environment', 'angle horn', 'also found', '5 œª', '20 db', '0 œª']</t>
  </si>
  <si>
    <t>The impedance and radiation patterns of a dipolefed integrated horn antenna in a ground plane are experimentally investigated at microwave and millimeter-wave frequencies. The agreement with the full-wave analysis technique presented in Part I is good. The results indicate that for a 70¬∞ flare-angle horn, horn apertures from 1.0 Œª-square to 1.5 Œª-square with dipole positions between 0.36 and 0.55 X yield good radiation patterns with a gain between 10‚Äì13 dB, a cross-polarization level lower than -20 dB, and resonant dipole impedances between 40 Œ© and 120 Œ©. It is also found that the impedance measurements can be safely used for two-dimensional horn arrays, but the radiation patterns differ because of the Floquet modes associated with the array environment. The integrated horn antenna is a high-efficiency antenna suitable for applications in millimeter-wave imaging systems, remote-sensing, and radio astronomy. ¬© 1991 IEEE</t>
  </si>
  <si>
    <t>1582-1586</t>
  </si>
  <si>
    <t>6602531547;7004469751;56246062600;7006384021</t>
  </si>
  <si>
    <t>Ali-Ahmad, Walid V.;Eleftheriades, George V.;Katehi, Linda P.B.;Rebeiz, Gabriel M.</t>
  </si>
  <si>
    <t>Ali-Ahmad W.V.</t>
  </si>
  <si>
    <t>Millimeter-Wave Integrated-Horn Antennas: Part II‚ÄîExperiment</t>
  </si>
  <si>
    <t>10.1109/8.102772</t>
  </si>
  <si>
    <t>2-s2.0-0026255780</t>
  </si>
  <si>
    <t>['new waveguides', 'monolithic technology', 'matching technique', 'low losses', 'electromagnetic coupling', 'dielectric materials', 'antenna front', 'active devices', '0 thz']</t>
  </si>
  <si>
    <t>The design and construction of low-loss monolithic transmission lines are critical to systems which require that THz-power be guided to the antenna front-ends. This paper proposes two types of novel monolithic guiding structures, which are designed for the 0.3-2.0 THz and 0.1-0.3 THz ranges, respectively. The new waveguides are constructed from dielectric materials and structures which are available in monolithic technology so that the integration of active devices is possible. Propagation in each of the waveguides is characterized over relevant frequency ranges by applying a mode-matching technique, which takes into account all forms of electromagnetic coupling as well as losses in the dielectrics. The structures are predicted to exhibit excellent power confinement and low losses. ¬© 1991 IEEE</t>
  </si>
  <si>
    <t>1847-1854</t>
  </si>
  <si>
    <t>56603246200;56246062600</t>
  </si>
  <si>
    <t>Engel,, Andrew G.;Katehi, Linda P.B.</t>
  </si>
  <si>
    <t>Engel, A.G.</t>
  </si>
  <si>
    <t>Low-Loss Monolithic Transmission Lines for Submillimeter and Terahertz Frequency Applications</t>
  </si>
  <si>
    <t>10.1109/22.97485</t>
  </si>
  <si>
    <t>2-s2.0-0026255832</t>
  </si>
  <si>
    <t>['¬© iop', 'simulated using', 'simulated l', 'radiation resistance', 'proposed bpx', 'plasma density', 'parabolic profiles', 'paper presents', 'mode transition', 'kutta method', 'feeder scheme', 'design proposed', 'density gradient', 'current straps', 'code developed']</t>
  </si>
  <si>
    <t>The paper presents a study of the effects of a simulated L- to H-mode transition for the proposed BPX (Burning Plasma Experiment) device on the coupling of a recessed coil antenna in the ion cyclotron range of frequencies. Two computer codes are used: ANTIMP, a code developed by the authors, which uses a Runge-Kutta method of solution, and a finite element code, developed by Brambilla, which has been modified to examine fourfeed antenna coils. The radiation resistance is calculated for antenna parameters consistent with a design proposed by the Oak Ridge National Laboratory. Both finite cavity size and finite phase velocity along the current straps are modelled. The plasma density is simulated using both piecewise linear profiles and parabolic profiles. For anticipated BPX values of the density gradient at the separatrix, the radiation resistance decreases by a factor of two to three during an L- to H-mode transition. The reduction of the value of the radiation resistance due to finite phase velocity can be minimized by using a four-feeder scheme. ¬© IOP.</t>
  </si>
  <si>
    <t>2141-2146</t>
  </si>
  <si>
    <t>60032179;60032179;60032179</t>
  </si>
  <si>
    <t>7101750735;7005335418;6701356958</t>
  </si>
  <si>
    <t>Lam, N. T.;Scharer, J. E.;Bettenhausen, M.</t>
  </si>
  <si>
    <t>Lam N.</t>
  </si>
  <si>
    <t>Effects of the l- to h-mode transition on a recessed coil antenna in bpx</t>
  </si>
  <si>
    <t>10.1088/0029-5515/31/11/010</t>
  </si>
  <si>
    <t>2-s2.0-0026256014</t>
  </si>
  <si>
    <t>['various directions', 'transverse electomagnetic', 'receiving performance', 'realized using', 'new broad', 'incident pulse', 'good fidelity', 'frequency domains', 'film v', 'boresite direction', 'also tested']</t>
  </si>
  <si>
    <t>A new broad-band receiving antenna was realized using a resistively loaded thin-film V-monopole and a 500‚Äì0 oscilloscope probe. The pulse-receiving performance of the antenna was evaluated in a time-domain antenna range, for various directions of the incident pulse. The antenna is capable of receiving a 520 ps electromagnetic pulse, incident within 45¬∞ from the boresite direction, with good fidelity. The antenna was also tested in a transverse electomagnetic (TEM) cell both in time and frequency domains. The frequency-domain receiving transfer function of the antenna was found to be within - 57 ¬± 3 dB in the 22-1.1 GHz frequencv range. ¬© 1991 IEEE</t>
  </si>
  <si>
    <t>1587-1591</t>
  </si>
  <si>
    <t>;60003122</t>
  </si>
  <si>
    <t>Victoria</t>
  </si>
  <si>
    <t>University of Victoria</t>
  </si>
  <si>
    <t>Esselle K.P.</t>
  </si>
  <si>
    <t>A Broad-Band Resistively Loaded V-Antenna: Experimental Results</t>
  </si>
  <si>
    <t>10.1109/8.102773</t>
  </si>
  <si>
    <t>2-s2.0-0026256046</t>
  </si>
  <si>
    <t>['¬© 1991', 'slot antenna', 'rf bias', 'high density', 'floating potential', 'ecr system', 'directional feature', 'density plasma', 'co magnets', '430 v', '4 torr', '3 torr', '3 gm', '180 v', '15 ev', '100 w']</t>
  </si>
  <si>
    <t>Compact ECR | ECR plasma etching | Magnet ECR | NF  plasma 3 | Slot antenna</t>
  </si>
  <si>
    <t>A compact electron cyclotron resonance (ECR) plasma-etching reactor employing Sm-Co magnets was studied. A flattened rectangular waveguide with a slot antenna enabled this ECR system, and the plasma was generated with high density of 2 x 1012 cm-3 at 1 x 10~3 Torr of Ar. The silicon etch rate in NF3 was limited at low-gas flow rate because of the redeposition of the etching products dissociated by high-density plasma; but, by increasing flow rate, 5000 A/min was achieved at 1 x 10~3 Torr under the floating potential of 15 eV. The RF bias of 100 W (430 V of the self-bias) offered a very high etch rate of 2.3 gm/min. The directional feature was achieved at 25 W RF bias (180 V of the self-bias) at 5 x 10-4 Torr. Further, the multi-slot antenna which was excited by independent microwave sources turned out to improve the etching uniformity considerably. ¬© 1991, IOP Publishing Ltd.</t>
  </si>
  <si>
    <t>3159-3163</t>
  </si>
  <si>
    <t>11S</t>
  </si>
  <si>
    <t>60030788;60030788;60030788;60030788;60030788</t>
  </si>
  <si>
    <t>6602542646;7404792938;35986668500;7102728941;7006633555</t>
  </si>
  <si>
    <t>Narai, Akira;Hashimoto, Tetsuro;Ichihashi, Hideki;Shindo, Haruo;Horiike, Yasuhiro</t>
  </si>
  <si>
    <t>Higashihiroshima</t>
  </si>
  <si>
    <t>Hiroshima University</t>
  </si>
  <si>
    <t>Narai A.</t>
  </si>
  <si>
    <t>Compact electron cyclotron resonance plasma-etching reactor employing permanent magnet</t>
  </si>
  <si>
    <t>10.1143/JJAP.30.3159</t>
  </si>
  <si>
    <t>2-s2.0-0026256391</t>
  </si>
  <si>
    <t>['weight corresponding', 'used solely', 'total number', 'steerable nulls', 'real weight', 'radiation pattern', 'phase shifters', 'method depends', 'main beam', 'independent steering', 'given null', 'desired signal', 'array elements']</t>
  </si>
  <si>
    <t>A method for independent steering of each null in the radiation pattern of a linear array using real weight control is introduced. The method depends on decoupling the weights such that each real weight is associated with a given null. It has the capability of tracking the direction of jammers by changing only the weight corresponding to each jammer. Phase shifters are used solely to steer the main beam in the direction of the desired signal. The price for this method is that the number of steerable nulls is equal to or less than half the total number of array elements. ¬© 1991 IEEE</t>
  </si>
  <si>
    <t>1648-1650</t>
  </si>
  <si>
    <t>Null Steering by Real-Weight Control‚ÄîA Method of Decoupling the Weights</t>
  </si>
  <si>
    <t>10.1109/8.102781</t>
  </si>
  <si>
    <t>2-s2.0-0026256558</t>
  </si>
  <si>
    <t>['reflector antennas', 'polar bandwidth', 'pattern characteristics', 'lower cost', 'discussed herein', 'dielcore horns', 'corresponding dual', 'bandwidth characteristics']</t>
  </si>
  <si>
    <t>Primary-fed elliptical reflector antennas present an alternative to corresponding dual-reflector systems due to compactness and lower cost. In this paper the pattern characteristics of elliptical reflector antennas are investigated when they are fed by rectangular and elliptical horns partially filled with a dielectric. The bandwidth characteristics of these dielcore horns which are discussed herein are superior to those of their corrugated horn counterparts. This new reflector antenna exhibits high efficiency and low cross polarization, and may be suitable for radar and satellite antenna applications. Particularly, the antenna configuration may become useful in relatively small antennas where more than 10% cross-polar bandwidth is required. The efficient dielcore horns may also be used as feeds for elliptical nonshaped dual-reflector antennas. ¬© 1991 IEEE</t>
  </si>
  <si>
    <t>1592-1597</t>
  </si>
  <si>
    <t>60003269;60027550;123939054</t>
  </si>
  <si>
    <t>55884538900;7102110120;56219429900</t>
  </si>
  <si>
    <t>Lier, Erik;Rahmat-Samii, Yahya;Rengarajan, Sembiam R.</t>
  </si>
  <si>
    <t>Los Angeles;Princeton;Northridge</t>
  </si>
  <si>
    <t>University of California, Los Angeles;Princeton University;University of California</t>
  </si>
  <si>
    <t>60027550;60003269;123939054</t>
  </si>
  <si>
    <t>Application of Rectangular and Elliptical Dielcore Feed Horns to Elliptical Reflector Antennas</t>
  </si>
  <si>
    <t>10.1109/8.102774</t>
  </si>
  <si>
    <t>2-s2.0-0026256560</t>
  </si>
  <si>
    <t>['scale model', 'network analyzer', 'microvax iii', 'measured data', 'identified visually', 'francis group', 'experimental results', 'basic principle', 'also discussed']</t>
  </si>
  <si>
    <t>Frequency angular and polarization diversity techniques | Imaging radar | Microwave diversity imaging system</t>
  </si>
  <si>
    <t>The basic principle, methodology and experimental results of the automated microwave diversity imaging system developed in the Electromagnetic Research Laboratory of National Taiwan University are presented. The microwave image formulation is based on Bojarski‚Äôs identity. In practice, accessing the object backscattering information using the frequency, angular and polarization diversity techniques is conducted by the developed microwave measurement system with major parts including dual polarization antennas, network analyzer and a MicroVax III. It is shown that images of a scale model of the space shuttle reconstructed from the measured data can be identified visually. The implications for high-resolution microwave imaging radar networks are also discussed. ¬© 1991 Taylor and Francis Group, LLC.</t>
  </si>
  <si>
    <t>585-591</t>
  </si>
  <si>
    <t>Journal of the Chinese Institute of Engineers, Transactions of the Chinese Institute of Engineers,Series A/Chung-kuo Kung Ch'eng Hsuch K'an</t>
  </si>
  <si>
    <t>Chu, Tah Hsiung</t>
  </si>
  <si>
    <t>Microwave Diversity Imaging System - Principle, Methodology and Experimental Results</t>
  </si>
  <si>
    <t>10.1080/02533839.1991.9677374</t>
  </si>
  <si>
    <t>2-s2.0-0026257085</t>
  </si>
  <si>
    <t>['¬© 1991', 'resonant frequency', 'reaction concept', 'primary source', 'input impedance', 'dielectric substrate']</t>
  </si>
  <si>
    <t>An analysis of a probe-fed circular patch antenna etched on an electrically thick substrate is conducted. The probe is considered to be the primary source of radiation and the unknown induced curent on the patch is determined from the reaction concept. The integral transformation technique is employed in order to obtain various radiation characteristics of the patch. Numerical results reveal that the resonant frequency, input impedance, bandwidth and radiation efficiency vary widely with the thickness of the dielectric substrate. This study may find application in high-frequency printed antennas, especially at the millimeter-wave frequency range. ¬© 1991.</t>
  </si>
  <si>
    <t>485-495</t>
  </si>
  <si>
    <t>Analysis of circular patch antennas on electrically thick substrates</t>
  </si>
  <si>
    <t>10.1016/0010-4655(91)90214-6</t>
  </si>
  <si>
    <t>2-s2.0-0026257271</t>
  </si>
  <si>
    <t>OG~0001731T</t>
  </si>
  <si>
    <t>['signals originating', 'receivers becomes', 'nearly optimum', 'mobile users', 'improve performance', 'different sectors', 'base station', 'area around', 'also discussed']</t>
  </si>
  <si>
    <t>We consider a packet radio system consisting of a base station and a number of mobile users. To improve performance on the inbound (mobile-to-base station) channel, the area around the base station is divided into M sectors. Signals originating from users in different sectors are received by different directional antennas at the base station. If the number Nrof receivers at the base station is less than M, the selection of the antennas to be connected to the receivers becomes an issue. A number of antenna selection schemes are compared for three different channel models, assuming an ideal antenna pattern. It is found that the scheme which selects the antennas with the largest received signal powers is nearly optimum. The effects of a more practical nonideal antenna pattern are also discussed. ¬© 1991 IEEE</t>
  </si>
  <si>
    <t>1709-1718</t>
  </si>
  <si>
    <t>IEEE Transactions on Communications</t>
  </si>
  <si>
    <t>7401968617;7402612617</t>
  </si>
  <si>
    <t>Lau, Chiew T.;Leung, Cyril</t>
  </si>
  <si>
    <t>Lau C.</t>
  </si>
  <si>
    <t>Antenna Selection in a Multisector Packet Radio System</t>
  </si>
  <si>
    <t>10.1109/26.111451</t>
  </si>
  <si>
    <t>2-s2.0-0026257350</t>
  </si>
  <si>
    <t>['rectangular patch', 'prompted investigations', 'microstrip patches', 'magnetic current', 'interesting mechanisms', 'good agreement', 'experimental results', 'design curves', 'cavity model', 'array antennas', 'aperture coupling', 'antenna performance', '10 ghz']</t>
  </si>
  <si>
    <t>Interest in the use of microstrip patches for array antennas has prompted investigations into numerous feed mechanisms. One of the interesting mechanisms that offers considerable advantages, especially for multilayered antenna configurations, is aperture coupling. In this paper, the coupling of a feedline to a rectangular patch through an aperture in the ground plane separating them is described using modal field analysis. The cavity model is used to describe the patch, the feedline is represented by a dynamic planar waveguide model, and the coupling is via a magnetic current in the aperture. Both theoretical and experimental results for the antenna performance are presented and design curves are generated. Very good agreement between theory and experiment was obtained. Results and design curves were obtained for antennas at 5 and 10 GHz, respectively. ¬© 1991 IEEE</t>
  </si>
  <si>
    <t>1567-1574</t>
  </si>
  <si>
    <t>60018714;60000131;60026338;60018714</t>
  </si>
  <si>
    <t>57027512900;6507501502;35566584200;7004481899</t>
  </si>
  <si>
    <t>Ittipiboon, Apisak;Oostlander, Ron;Antar, Yahia M.M.;Cuhaci, Michel</t>
  </si>
  <si>
    <t>Canada;Canada;Canada</t>
  </si>
  <si>
    <t>Kingston;Ottawa;Ottawa</t>
  </si>
  <si>
    <t>Royal Military College of Canada;Communications Research Centre;National Defence and the Canadian Forces</t>
  </si>
  <si>
    <t>60026338;60018714;60000131</t>
  </si>
  <si>
    <t>Ittipiboon A.</t>
  </si>
  <si>
    <t>A Modal Expansion Method of Analysis and Measurement on Aperture-Coupled Microstrip Antenna</t>
  </si>
  <si>
    <t>10.1109/8.102770</t>
  </si>
  <si>
    <t>2-s2.0-0026257389</t>
  </si>
  <si>
    <t>['transmit antenna', 'results rather', 'receiving system', 'receive antenna', 'predetection signal', 'power gain', 'noise ratio', 'noise equation', 'inversely proportional', 'explicitly yield', 'directive gain', 'communication system', 'approximately equal']</t>
  </si>
  <si>
    <t>The predetection signal-to-noise ratio (SNR) of a radar or communication system is proportional to the power gain of the transmit antenna and the directive gain of the receive antenna, and is inversely proportional to the operating noise factor of the receiving system. The operating noise factor is approximately equal to the product of the external noise factor and the signal/noise processing factor when the system is external noise limited, as is usually the case for over-the-horizon (OTH) radar. Unfortunately, the form of the signal/noise equation that is employed for some applications, particularly OTH radar, often does not explicitly yield these results. It is recommended that the form of the signal/noise equation be amended to explicitly yield these results rather than equivalent implicit results. ¬© 1991 IEEE</t>
  </si>
  <si>
    <t>886-890</t>
  </si>
  <si>
    <t>Weiner, M. M.</t>
  </si>
  <si>
    <t>Noise Factor And Antenna Gains In The Signal/Noise Equation For Over-The-Horizon Radar</t>
  </si>
  <si>
    <t>10.1109/7.104252</t>
  </si>
  <si>
    <t>2-s2.0-0026257570</t>
  </si>
  <si>
    <t>['used solely', 'technique frees', 'phase shifters', 'new technique', 'main beam', 'independently steering', 'desired signal', 'complicated amplitude', 'also removes', 'also capable']</t>
  </si>
  <si>
    <t>Null steering methods usually involve costly and complicated amplitude and/or phase control systems. A new technique is presented for null steering based on the element position perturbations. This technique frees the phase shifters to be used solely for steering the main beam toward the direction of the desired signal. It also removes the limitations of the other techniques by independently steering the main beam and the nulls to arbitrary independent directions. This technique is also capable of obtaining sidelobe cancellation and wide-band signal rejection. ¬© 1991 IEEE</t>
  </si>
  <si>
    <t>1561-1566</t>
  </si>
  <si>
    <t>60009506;60009506</t>
  </si>
  <si>
    <t>7005550811;36182437100</t>
  </si>
  <si>
    <t>Ismail, T. H.;Dawoud, Mahmoud M.</t>
  </si>
  <si>
    <t>Dhahran</t>
  </si>
  <si>
    <t>King Fahd University of Petroleum and Minerals</t>
  </si>
  <si>
    <t>Ismail T.</t>
  </si>
  <si>
    <t>Null Steering in Phased Arrays by Controlling the Element Positions</t>
  </si>
  <si>
    <t>10.1109/8.102769</t>
  </si>
  <si>
    <t>2-s2.0-0026257779</t>
  </si>
  <si>
    <t>['radiated fields', 'pattern reconstruction', 'minimum number', 'interpolation error', 'field equivalent', 'exact samples', 'also evaluated', 'accurate recovery']</t>
  </si>
  <si>
    <t>An optimal sampling interpolation algorithm is developed, which allows the accurate recovery of scattered or radiated fields over a sphere from a minimum number of samples. Using the concept of the field equivalent (spatial) bandwidth, a central interpolation scheme is developed to compute the field in Œ∏,œï coordinates, starting from its samples. The maximum allowable sample spacing and error upper bounds are also rigorously derived. Several simulated examples of pattern reconstruction are presented, for both the cases of field and power patterns interpolation. The interpolation error, as a function of the retained samples number, has been also evaluated and compared with the theoretical upper bounds. Finally, the algorithm stability versus randomly distributed errors added to the exact samples is demonstrated. ¬© 1991 IEEE</t>
  </si>
  <si>
    <t>1633-1643</t>
  </si>
  <si>
    <t>60017293;60007061;60002324</t>
  </si>
  <si>
    <t>Italy;Italy;Italy</t>
  </si>
  <si>
    <t>Naples;Salerno;Florence</t>
  </si>
  <si>
    <t>Universit√† degli Studi di Napoli Federico II;Universit√† degli Studi di Salerno;Istituto Di Fisica Applicata Nello Carrara</t>
  </si>
  <si>
    <t>Optimal Interpolation of Radiated Fields Over a Sphere</t>
  </si>
  <si>
    <t>10.1109/8.102779</t>
  </si>
  <si>
    <t>2-s2.0-0026259264</t>
  </si>
  <si>
    <t>['threshold value', 'theoretical results', 'propagating quasi', 'parametric instability', 'microstrip antenna', 'first order', 'experiments performed']</t>
  </si>
  <si>
    <t>A theory is presented for the first order (three-wave) parametric instability of quasi-surface spin wave propagating in a tangentially magnetised ferromagnetic film. We take into account that the propagating quasi-surface spin wave is excited by the localized pumping magnetic field (e.g. the field of a microstrip antenna) and calculate the threshold value of this field. Theoretical results are compared to the results of the experiments performed in yttrium-iron garnet films. ¬© 1991 IEEE</t>
  </si>
  <si>
    <t>5444-5446</t>
  </si>
  <si>
    <t>115609805;115609805</t>
  </si>
  <si>
    <t>7004200595;7005346692</t>
  </si>
  <si>
    <t>Kalinikos, B. A.;Slavin, A. N.</t>
  </si>
  <si>
    <t>Leningrad</t>
  </si>
  <si>
    <t>Kalinikos B.A.</t>
  </si>
  <si>
    <t>First Order Parametric Instability of Quasi-Surface Spin Waves in Ferromagnetic Films</t>
  </si>
  <si>
    <t>10.1109/20.278866</t>
  </si>
  <si>
    <t>2-s2.0-0026259292</t>
  </si>
  <si>
    <t>['successfully distinguish', 'single scan', 'radar antenna', 'propagation algorithm', 'postprocessing procedures', 'feature selection', 'experimental results', 'data collected', 'comparative evaluation', 'classifier incorporates']</t>
  </si>
  <si>
    <t>We have constructed a neural network classifier to successfully distinguish between several major classes of radar returns including weather, birds, and aircraft. This classifier incorporates both preprocessing and postprocessing procedures, as well as a multilayer feedforward network (based on the back-propagation algorithm) in its design. It achieves an average classification accuracy of 89% on generalization for data collected during a single scan of the radar antenna. In this paper, we describe the procedures of feature selection for neural network training, the classifier design considerations, the learning algorithm development, the implementation, and the experimental results of the neural clutter classifier, which is simulated on a Warp systolic computer. The paper also includes a comparative evaluation of the multilayer neural network with a traditional Bayes classifier. ¬© 1991 IEEE</t>
  </si>
  <si>
    <t>589-600</t>
  </si>
  <si>
    <t>IEEE Transactions on Neural Networks</t>
  </si>
  <si>
    <t>7101764513;36907620800</t>
  </si>
  <si>
    <t>Haykin, Simon;Deng, Cong</t>
  </si>
  <si>
    <t>Haykin S.</t>
  </si>
  <si>
    <t>Classification of Radar Clutter Using Neural Networks</t>
  </si>
  <si>
    <t>10.1109/72.97936</t>
  </si>
  <si>
    <t>2-s2.0-0026259553</t>
  </si>
  <si>
    <t>['useful bandwidth', 'transmits broad', 'steering technique', 'possible implementation', 'operating bandwidth', 'new technique', 'linear phase', 'beam steering', 'bandwidth signals', 'antenna array']</t>
  </si>
  <si>
    <t>An antenna array that transmits Broad-bandwidth signals and is steered by phase shifters produces array dispersion. Array dispersion limits the useful bandwidth of the antenna array. A new technique of beam steering, based on time-varying phase weights, is introduced which reduces array dispersion and increases the operating bandwidth. The beam-steering technique is equivalent to placing a linear phase and linear frequency offset across the array. A possible implementation is presented. ¬© 1991 IEEE</t>
  </si>
  <si>
    <t>861-865</t>
  </si>
  <si>
    <t>Plumb, Richard G.</t>
  </si>
  <si>
    <t>Plumb R.</t>
  </si>
  <si>
    <t>Correspondence</t>
  </si>
  <si>
    <t>10.1109/7.104243</t>
  </si>
  <si>
    <t>2-s2.0-0026259619</t>
  </si>
  <si>
    <t>['¬© 1991', 'whether measurement', 'various transformed', 'various transform', 'various kinds', 'various areas', 'unifying perspective', 'typical example', 'transfer function', 'third arises', 'source array', 'series models', 'samples needed', 'sampled data', 'rigorous green', 'redundant information', 'potential applications', 'pole series', 'physical interpretation', 'pair variables', 'pair domains', 'numerical calculations', 'model parameters', 'mbpe based', 'interface problem', 'intensive nature', 'information acquisition', 'generalized signal', 'function application', 'frequency band', 'far fields', 'electromagnetic fields', 'efficient use', 'easily computable', 'deals primarily', 'data matrix', 'data compression', 'concluding remarks', 'computer time', 'computer modeling', 'appropriate variable']</t>
  </si>
  <si>
    <t>All of electromagnetics, whether measurement, analysis, or computation, may be regarded as activities of information acquisition, processing, and presentation. It is relevant to mention the information-intensive nature of electromagnetics, because this property can provide a useful, unifying perspective from which might be developed efficiency improvements in these various areas. If, for example, redundant information can be reduced or avoided in numerical calculations, the result should be a possibly substantial decrease in the amount of computer time that is needed for computer modeling. In this paper, we consider the use of a generalized signal-processing approach called "model-based parameter estimation" (MBPE) for making various improvements in either the efficiency of electromagnetic computer modeling or the efficiency of representing electromagnetic observables. One is to increase the efficiency of the basic model computation itself, a typical example being that of replacing the rigorous Green's function for the antenna-interface problem by a simpler, more easily computable, approximation. Another is to make more efficient use of the results that are computed, for example, by reducing the number of samples needed to construct a transfer function over some frequency band. A third arises because the electromagnetic fields/sources in various transformed-pair domains, such as exhibited by the far fields and locations of a linear-source array, are described by exponential and pole series from which physically relevant parameters can be extracted, which are useful for such purposes as data compression and physical interpretation. The discussion below deals primarily with MBPE based on exponential- and poles-series models which yield generalized waveform- and spectral-domain response functions of various transform-pair variables. We demonstrate how sampling such observables in terms of the appropriate variable or derivatives thereof leads to a data matrix from which the model parameters can be computed. Various kinds of data and models are used to illustrate the breadth of potential applications, with an emphasis on estimating frequency responses from frequency-sampled data. Some concluding remarks are addressed to use of MBPE for the Green's-function application. ¬© 1991.</t>
  </si>
  <si>
    <t>43-75</t>
  </si>
  <si>
    <t>60006164;60026175</t>
  </si>
  <si>
    <t>7404492537;7203060346</t>
  </si>
  <si>
    <t>Miller, E. K.;Burke, G. J.</t>
  </si>
  <si>
    <t>Livermore;Los Alamos</t>
  </si>
  <si>
    <t>Lawrence Livermore National Laboratory;Los Alamos National Laboratory</t>
  </si>
  <si>
    <t>60026175;60006164</t>
  </si>
  <si>
    <t>Miller E.</t>
  </si>
  <si>
    <t>Using model-based parameter estimation to increase the physical interpretability and numerical efficiency of computational electromagnetics</t>
  </si>
  <si>
    <t>001046559190193O</t>
  </si>
  <si>
    <t>10.1016/0010-4655(91)90193-O</t>
  </si>
  <si>
    <t>2-s2.0-0026259637</t>
  </si>
  <si>
    <t>['various delays', 'usually determined', 'typically made', 'transmitted signal', 'symbols chosen', 'strong incentives', 'site basis', 'service quality', 'rich environments', 'required carrier', 'received signal', 'proposed system', 'multiple echoes', 'multipath problem', 'many sites', 'known set', 'echoes arrive', 'delay spread', 'coverage maps', 'candidate design', '11 along']</t>
  </si>
  <si>
    <t>Designers of indoor and urban radio networks require detailed understanding of Dra dio propagation in these reflector-rich environments. Digital radio networks convey information as a sequence of symbols chosen from a known set, whose identity must be decided by the receivers. These decisions are typically made in the presence of noise and, within or near building walls or other reflectors, multiple echoes of the transmitted signal. The echoes arrive at various delays: echoes at short delays may cancel the received signal: echoes at longer delays distort the signal by causing different symbols to overlap. These effects are called the multipath problem. There are strong incentives to characterize the multipath problem on a site-by-site basis and thus, to map the service quality (coverage) to be expected from a candidate design. In this way, it may be estimated how many sites the proposed system can serve. Coverage maps are usually determined by maps of site-dependent parameters like received signal power and Root-Mean-Square (RMS) delay spread (11 along with system performance parameters like receiver sensitivity and required carrier-to-interference power ratio. ¬© 1991 IEEE</t>
  </si>
  <si>
    <t>27-30</t>
  </si>
  <si>
    <t>IEEE Network</t>
  </si>
  <si>
    <t>6603017358;7402615387</t>
  </si>
  <si>
    <t>McKown, John W.;Hamilton, R. Lee</t>
  </si>
  <si>
    <t>McKown J.W.</t>
  </si>
  <si>
    <t>Ray Tracing as a Design Tool for Radio Networks</t>
  </si>
  <si>
    <t>10.1109/65.103807</t>
  </si>
  <si>
    <t>2-s2.0-0026259839</t>
  </si>
  <si>
    <t>['¬© 1991', 'wave solution', 'wave simulation', 'uses spectral', 'theoretical formulation', 'surface wave', 'substrate layering', 'printed antennas', 'printed antenna', 'multilayer substrates', 'isolated elements', 'infinite arrays', 'general full', 'find useful', 'domain green', 'completely rigorous', 'arrays coupled', 'array configurations', 'antenna elements', 'analysis used']</t>
  </si>
  <si>
    <t>A general full-wave solution to arbitrary multilayer geometries of printed antennas and arrays coupled to multiple printed feed lines has been developed. It uses spectral-domain Green's functions for multilayer substrates to account for the substrate layering of the printed antenna, and a newly developed generalized multiport reciprocity analysis to treat the coupling of the transmission feed lines to the antenna elements. The analysis is completely rigorous, including all surface wave or other non-radiating modal effects. The solution has been developed for both isolated elements as well as infinite arrays. The theoretical formulation of the generalized multiport reciprocity analysis is described in details and results for several practical examples are presented to demonstrate the accuracy and versatility of the analysis used. Considering the rigor and versatility of the analysis, it should find useful for full-wave simulation and computer aided design of a variety of multilayered printed phased-array configurations. ¬© 1991.</t>
  </si>
  <si>
    <t>393-440</t>
  </si>
  <si>
    <t>60108318;60014313</t>
  </si>
  <si>
    <t>7201995024;7006061921</t>
  </si>
  <si>
    <t>Das, Nirod K.;Pozar, David M.</t>
  </si>
  <si>
    <t>New York;Amherst MA</t>
  </si>
  <si>
    <t>NYU Tandon School of Engineering;University of Massachusetts Amherst</t>
  </si>
  <si>
    <t>Das N.</t>
  </si>
  <si>
    <t>A generalized CAD model for printed antennas and arrays with arbitrary multilayer geometries</t>
  </si>
  <si>
    <t>10.1016/0010-4655(91)90211-3</t>
  </si>
  <si>
    <t>2-s2.0-0026260018</t>
  </si>
  <si>
    <t>['unique characteristics', 'systems based', 'spread spectrum', 'preferred choice', 'multipath problem', 'lans ).', 'lan world', 'distinguishes radio', 'developed within', 'building network', 'article addresses', 'antenna diversity', 'adaptive equalization']</t>
  </si>
  <si>
    <t>Wireless In-Building Network (WIN) systems based on microwave radio technology [1] have recently been introduced as an alternative to the traditional wired media used to interconnect Local Area Networks (LANs). These WIN systems introduce a ‚Äúnew‚Äù physical medium into the LAN world, namely the indoor radio channel. This article addresses the unique characteristics of this medium, focussing on the multipath propagation problem, which most distinguishes radio from wired LAN media. This is followed by a discussion of the three principal techniques that have been developed within the radio communication industry to deal with this multipath problem: adaptive equalization, spread spectrum, and antenna diversity. Finally, a review of the strengths and weaknesses of each of these techniques will reveal that antenna diversity is clearly the preferred choice for use in WIN systems operating in the recently allocated spectrum near 18 GHz. ¬© 1991 IEEE</t>
  </si>
  <si>
    <t>21-26</t>
  </si>
  <si>
    <t>Mitzlaff, James E.</t>
  </si>
  <si>
    <t>Mitzlaff J.E.</t>
  </si>
  <si>
    <t>Radio Propagation and Anti-Multipath Techniques in the WIN Environment</t>
  </si>
  <si>
    <t>10.1109/65.103806</t>
  </si>
  <si>
    <t>2-s2.0-0026260137</t>
  </si>
  <si>
    <t>['wireless systems', 'wireless networks', 'user devices', 'untethered communications', 'sometimes exceed', 'significant interest', 'research symposiums', 'product announcements', 'material costs', 'major portion', 'lans ),', 'key applications', 'interconnecting end', 'initial installation', 'inconvenience involved', 'helped lessen', 'fiber optics', 'experts acknowledge', 'coaxial cable', 'building technology', 'associated software', 'articles related', 'always significant']</t>
  </si>
  <si>
    <t>Recently, there has been significant interest in wireless in-building communication systems for both voice and data. This is evident from the number of research symposiums, tutorials, product announcements, and articles related to wireless in-building technOlogy. One of the key applications of wireless systems is in Local Area Networks (LANs), and a major portion of the cost of LANs is in interconnecting end-user devices, which experts acknowledge can sometimes exceed the cost of the terminals and associated software. Labor and material costs for wiring are always significant, whether the medium is twisted-pair, coaxial cable, or fiber optics, and whether it is for the initial installation or subsequent rewiring due to moves, adds, or changes. Structured Distribution Systems (SDS) have helped lessen the expense and inconvenience involved with wiring, but the e will always be environments in which wiring is difficult, as well as applications for untethered communications. Ultimately, wired and wireless networks will coexist, since each has qualities that address particular user needs. ¬© 1991 IEEE</t>
  </si>
  <si>
    <t>31-38</t>
  </si>
  <si>
    <t>7102746001;6505784774;57192275766;55481623700</t>
  </si>
  <si>
    <t>Buchholz, Dale;Odlyzko, Paul;Taylor, Mark;White, Richard</t>
  </si>
  <si>
    <t>Buchholz D.</t>
  </si>
  <si>
    <t>Wireless In-Building Network Architecture and Protocols</t>
  </si>
  <si>
    <t>10.1109/65.103808</t>
  </si>
  <si>
    <t>2-s2.0-0026260164</t>
  </si>
  <si>
    <t>['zone independently', 'wendroff scheme', 'total number', 'time domain', 'stokes equations', 'standard free', 'specified according', 'space green', 'solved using', 'resistive sheets', 'radar cross', 'pulse excitations', 'providing second', 'perfect conductors', 'outer boundary', 'order accuracy', 'mesh density', 'material properties', 'magnetic fields', 'local wavelength', 'interlaced mesh', 'impedance surfaces', 'grid points', 'gradually decreased', 'formulation accounts', 'fitted coordinates', 'first cast', 'facilitate treatment', 'external sophistication', 'exterior region', 'discrete maxwell', 'conservation form', 'computed field', 'computational mesh', 'computational domain']</t>
  </si>
  <si>
    <t>Maxwell's equations in the time domain are first cast into a conservation form. They are then solved using a finite-volume discretization procedure proven very successful in solving some hyperbolic partial differential equations in computational fluid dynamics such as Euler or Navier-Stokes equations. The Lax-Wendroff explicit scheme is used to solve the discrete Maxwell's equations and as a result, second-order accuracy is achieved in both time and space. Multizoning is used to facilitate treatment of objects with internal and/or external sophistication. Body-fitted coordinates are used to map each zone independently from the rest of the object, allowing for nonmatching grid lines at the interface. Body-fitted coordinates facilitate accurate implementation of various boundary conditions on the object. The density of the computational mesh can vary and may be specified according to the local wavelength in the material. Also in the exterior region and away from the body, the mesh density is gradually decreased to reduce the total number of the grid points and the unknown field vectors. The formulation accounts for any variations in the material properties as a function of space, time, or frequency. In addition to perfect conductors, impedance surfaces and resistive sheets are handled. At the outer boundary of the computational domain a first-order, nonreflecting outer boundary condition is used. The Lax-Wendroff scheme, while providing second-order accuracy in the time and space, does not require, for its stability, an interlaced mesh for the electric and magnetic fields or the material properties. The method can be used for both time-harmonic and pulse excitations. At the end of the time-marching, the computed field in the time domain near the object and tangential to a conveniently chosen contour is stored. This information is converted into the frequency domain using fast Fourier transforms. If far field quantities such as radar cross-section or antenna radiation pattern are desired, they may be computed from the frequency-domain information using a standard free-space Green's function.</t>
  </si>
  <si>
    <t>331-345</t>
  </si>
  <si>
    <t>Nov</t>
  </si>
  <si>
    <t>Mohammadian, Alireza H.;Shankar, Vijaya;Hall, William F.</t>
  </si>
  <si>
    <t>Computation of electromagnetic scattering and radiation using a time-domain finite-volume discretization procedure</t>
  </si>
  <si>
    <t>10.1016/0010-4655(91)90207-2</t>
  </si>
  <si>
    <t>2-s2.0-0026260451</t>
  </si>
  <si>
    <t>['¬© 1991', 'using newton', 'therefore constitutes', 'support boom', 'rights reserved', 'paper describes', 'multiple points', 'main reflector', 'lagrange multipliers', 'flexible structures', 'experimentally verified', 'drive mechanism', 'coupling coefficients', 'connection conditions', 'closed loop', 'american institute']</t>
  </si>
  <si>
    <t>This paper describes the dynamics of an antenna pointing control system with flexible structures for multibeam communication satellites. The flexible structures are a large antenna main reflector and a subreflector support boom. The main reflector is connected to a rigid main body at multiple points and therefore constitutes a closed loop, and the support boom has a drive mechanism on its tip. First, the dynamics are derived by using Newton-Euler and constraint equations based on connection conditions and Lagrange multipliers and thenclarified by incorporating the flexibility of the antenna main reflector and the support boom into coupling coefficients. Those coefficients are numerically and experimentally verified. Also, the effect of the critical structural parameters on the antenna pointing control system is evaluated. ¬© 1991 by the American Institute of Aeronautics and Astronautics, Inc. All rights reserved.</t>
  </si>
  <si>
    <t>1123-1128</t>
  </si>
  <si>
    <t>Ueba, Masazumi</t>
  </si>
  <si>
    <t>Ueba M.</t>
  </si>
  <si>
    <t>Dynamics of an antenna pointing control system with flexible structures</t>
  </si>
  <si>
    <t>10.2514/3.20766</t>
  </si>
  <si>
    <t>2-s2.0-0026260473</t>
  </si>
  <si>
    <t>['rayleigh fading', 'paper presents', 'normal signals', 'lower bound', 'interference signals', 'generalized expression', 'correlated due', 'combining uncorrelated', 'cellular telephony']</t>
  </si>
  <si>
    <t>This paper presents a study to evaluate the cochannel interference probability for the desired and interference signals which are correlated due to shadowing. The effects of correlation on the normalized reuse distance is investigated. A generalized expression for the cochannel interference probability is derived by combining uncorrelated (fast) Rayleigh fading and correlated (slow) log-normal signals. Cochannel interference probability for sectorized cell layouts is compared with the lower bound of cochannel interference probability for omnidirectional antenna systems. The results are useful for evaluating the performance of cellular telephony and packet radio networks. ¬© 1991 IEEE</t>
  </si>
  <si>
    <t>708-713</t>
  </si>
  <si>
    <t>6603577027;7402378359</t>
  </si>
  <si>
    <t>Safak, Aysel;Prasad, Ramjee</t>
  </si>
  <si>
    <t>Safak A.</t>
  </si>
  <si>
    <t>Effects of Correlated Shadowing Signals on Channel Reuse in Mobile Radio Systems</t>
  </si>
  <si>
    <t>10.1109/25.108381</t>
  </si>
  <si>
    <t>2-s2.0-0026260604</t>
  </si>
  <si>
    <t>['¬© 1991', 'radiation characteristics', 'perturbation elements', 'numerical approach', 'made using', 'loop antenna', 'dielectric materials', 'approach reveal', 'also used']</t>
  </si>
  <si>
    <t>A numerical approach to line or wire antennas printed on dielectric materials is presented. The formulation is made using the method of moments, where the current on the line is expanded by piecewise sinusoidal functions. These functions are also used to form the impedance matrix elements. The numerical analyses based on this approach reveal the radiation characteristics of a bent dipole antenna, a loop antenna with perturbation elements, and an equiangular spiral antenna. ¬© 1991.</t>
  </si>
  <si>
    <t>441-450</t>
  </si>
  <si>
    <t>Nakano, Hisamatsu</t>
  </si>
  <si>
    <t>A numerical approach to line antennas printed on dielectric materials</t>
  </si>
  <si>
    <t>10.1016/0010-4655(91)90212-4</t>
  </si>
  <si>
    <t>2-s2.0-0026260729</t>
  </si>
  <si>
    <t>CHE-8616361</t>
  </si>
  <si>
    <t>['¬© 1991', 'weakly quenched', 'transfer electrons', 'surfactant trans', 'supported langmuir', 'stilbene mixture', 'stilbene derivatives', 'spacers ";', 'pure nsma', 'nsma ),', 'molecules used', 'microheterogeneous media', 'long ranges', 'layered together', 'induced fragmentation', 'hydrophobic site', 'give evidence', 'general structure', 'ferrocene donor', 'fatty acid', 'entire monolayer', 'energy transfer', 'electron transfer', 'efficient energy', 'effectively span', 'cyanine dye', 'blodgett assemblies', 'approximately doubled', 'also show', 'aggregate characteristics', 'adjacent layer']</t>
  </si>
  <si>
    <t>antenna effects | energy delocalization | H-aggregation | Langmuir-Blodgett assemblies of surfactant stilbenes | supramolecular assemblies</t>
  </si>
  <si>
    <t>A number of surfactant trans-stilbene derivatives having the general structure: {A figure is presented} (nSmA), have been synthesized and investigated in supported Langmuir-Blodgett assemblies. Layers of pure nSmA or mixtures with fatty acids show "H" aggregate characteristics including relatively low oscillator strengths for the lowest excited singlet state. Consequently these exhibit relatively low ability, individually, to donate excitation energy or transfer electrons over long ranges. Mixtures of these stilbenes, layered together to form mixed films, also show "H" aggregate characteristics but give evidence for delocalization or "supramolecular" behavior in which the chromophore can effectively span the width of an entire monolayer and result in efficient energy and electron transfer processes over distances spanning several monolayers. The extension to "H" aggregated and diluted (monomer) diphenylbutadiene and diphenylhexatriene layers results in assemblies in which vectorial energy transfer and redox processes occur. The stilbene-mixtures have also been used as a "medium" interposed between layers containing potential donors and acceptors for studies of both electron transfer and energy transfer. One of the molecules used as an energy transfer and electron transfer quencher is the cobalt(III) complex of 8S1A. Although this molecule undergoes photochemical intramolecular-electron transfer-induced fragmentation in solution and microheterogeneous media, it shows net photostability in the films but serves as a highly effective trap. In the photoinduced electron transfer studies the fluorescence of a cyanine dye is examined with a remote ferrocene incorporated into an adjacent layer at a hydrophobic site. The cyanine dye fluorescence is weakly quenched by the ferrocene donor when separated by fatty acid "spacers"; the quenching is approximately doubled when the fatty acid is replaced by the stilbene mixture. ¬© 1991.</t>
  </si>
  <si>
    <t>37-48</t>
  </si>
  <si>
    <t>Reactive Polymers</t>
  </si>
  <si>
    <t>60027165;60027165;60027165;60014582</t>
  </si>
  <si>
    <t>7006299186;7004569446;7401583633;6701630475</t>
  </si>
  <si>
    <t>Whitten, David G.;Spooner, Susan P.;Hsu, Yong;Penner, Thomas L.</t>
  </si>
  <si>
    <t>Rochester;Rochester</t>
  </si>
  <si>
    <t>University of Rochester;Eastman Kodak Company</t>
  </si>
  <si>
    <t>60027165;60014582</t>
  </si>
  <si>
    <t>Whitten D.</t>
  </si>
  <si>
    <t>Photoinduced electron and energy transfer processes in supported multilayers: Energy delocalization and antennae effects</t>
  </si>
  <si>
    <t>092311379190145E</t>
  </si>
  <si>
    <t>10.1016/0923-1137(91)90145-E</t>
  </si>
  <si>
    <t>2-s2.0-0026260809</t>
  </si>
  <si>
    <t>['¬© 1991', 'synoptic addresses', 'surface roughness', 'structural model', 'sequential approach', 'present study1quantifies', 'pointing error', 'planet earth', 'orbit disturbances', 'optimum positions', 'numerous factors', 'measured based', 'lfmr structure', 'lfmr concept', 'instrument aboard', 'geostationary platform', 'geometric displacement', 'extreme importance', 'electromagnetic performance', 'dynamic disturbance', 'antenna structure', 'analyses performed', 'american institute', 'adversely affected']</t>
  </si>
  <si>
    <t>This synoptic addresses the on-orbit structural performance of a low-frequency microwave radiometer (LFMR) for Earth science applications. The LFMR is an instrument aboard a geostationary platform as part of the proposed program Mission to Planet Earth. The present study1quantifies the ability of the LFMR structure to retain its design shape subject to a representative onboard disturbance. It includes a description of the LFMR concept, the structural model, the assumed on-orbit disturbances, and the analyses performed to quantify the antenna‚Äôs resulting root mean squared (rms) surface roughness, pointing error, and defocus. These errors are measured based on the locations of the nodes of the distorted antenna relative to the ideal (error-free) antenna node positions. The electromagnetic performance of an antenna can be adversely affected by numerous factors, among which is the geometric displacement of the antenna‚Äôs various structural components from their optimum positions. Minimizing the overall surface roughness, pointing error, and defocus is of extreme importance for high-precision reflector antennas such as the LFMR. Reference 1 describes in detail a sequential approach for assessing the ability of an antenna structure to retain its geometric shape subject to a dynamic disturbance. ¬© 1991 by the American Institute of Aeronautics and Astronautics, Inc.</t>
  </si>
  <si>
    <t>617-618</t>
  </si>
  <si>
    <t>60000854;60000854;60000745</t>
  </si>
  <si>
    <t>6506239928;7201823759;6602244910</t>
  </si>
  <si>
    <t>Wahls, Deborah M.;Farmer, Jeffery T.;Sleight, David W.</t>
  </si>
  <si>
    <t>Hampton;Urbana</t>
  </si>
  <si>
    <t>NASA Langley Research Center;University of Illinois Urbana-Champaign</t>
  </si>
  <si>
    <t>60000854;60000745</t>
  </si>
  <si>
    <t>Wahls D.</t>
  </si>
  <si>
    <t>Structural dynamic performance of a geostationary microwave radiometer</t>
  </si>
  <si>
    <t>10.2514/3.26290</t>
  </si>
  <si>
    <t>2-s2.0-0026260823</t>
  </si>
  <si>
    <t>['technique combines', 'radiation properties', 'proposed technique', 'presented demonstrating', 'patch antennas', 'impedance loads', 'ground plane', 'finite element', 'fft ).', 'cavity via', 'cavity recessed', 'arrays residing', 'also capable']</t>
  </si>
  <si>
    <t>A hybrid numerical technique is presented for a characterization of the scattering and radiation properties of microstrip patch antennas and arrays residing in a cavity recessed in a ground plane. The technique combines the finite element and boundary integral methods to formulate a system for the solution of the fields at the aperture and those inside the cavity via the biconjugate gradient method in conjunction with the fast Fourier transform (FFT). By virtue of the finite element method, the proposed technique is applicable to patch antennas and arrays residing on or embedded in a layered dielectric substrate and is also capable of treating various feed configurations and impedance loads. Several numerical results are presented demonstrating the validity, efficiency and capability of the technique. ¬© 1991 IEEE</t>
  </si>
  <si>
    <t>1598-1604</t>
  </si>
  <si>
    <t>7403588231;7102576479</t>
  </si>
  <si>
    <t>Jin, Jian Ming;Volakis, John L.</t>
  </si>
  <si>
    <t>Jin J.M.</t>
  </si>
  <si>
    <t>A Hybrid Finite Element Method for Scattering and Radiation by Microstrip Patch Antennas and Arrays Residing in a Cavity</t>
  </si>
  <si>
    <t>10.1109/8.102775</t>
  </si>
  <si>
    <t>2-s2.0-0026260961</t>
  </si>
  <si>
    <t>['vehicle turntable', 'vehicle measurements', 'system designs', 'statistical analysis', 'sma ).', 'shoulder level', 'head level', 'anechoic chamber']</t>
  </si>
  <si>
    <t>Portable radio antenna performance on the body was measured for several different radio models in the 150, 450, 800, and 900 MHz bands. In-vehicle measurements were made at an outdoor antenna range equipped with a vehicle turntable. All other measurements were made in an anechoic chamber. Tests were made at the head level, at the side level swivel type carry case, at the side level belt loop type carry case, and at the shoulder level with a speaker microphone antenna (SMA). A statistical analysis was made of the data for use in coverage propagation predictions and system designs. ¬© 1991 IEEE</t>
  </si>
  <si>
    <t>750-756</t>
  </si>
  <si>
    <t>60024590;60024590</t>
  </si>
  <si>
    <t>7403558829;36658459300</t>
  </si>
  <si>
    <t>Hill, Casey;Kneisel, Tom</t>
  </si>
  <si>
    <t>Schaumburg</t>
  </si>
  <si>
    <t>Motorola</t>
  </si>
  <si>
    <t>Hill C.</t>
  </si>
  <si>
    <t>Portable Radio Antenna Performance in the 150, 450, 800, and 900 MHz Bands ‚ÄúOutside‚Äù and In-Vehicle</t>
  </si>
  <si>
    <t>10.1109/25.108386</t>
  </si>
  <si>
    <t>2-s2.0-0026261327</t>
  </si>
  <si>
    <t>National Institute of Mental Health</t>
  </si>
  <si>
    <t>F32MH009783</t>
  </si>
  <si>
    <t>NIMH</t>
  </si>
  <si>
    <t>['two odors', 'sucrose us', 'sucrose feeding', 'subjects withheld', 'restrained honeybees', 'response patterns', 'readily learn', 'one associated', 'odor followed', 'odor context', 'odor associated', 'honeybee workers', 'discrimination quickly', 'aversive stimuli', 'allows subjects', '1974 ).']</t>
  </si>
  <si>
    <t>Proboscis extension conditioning of honeybee workers was used to test the ability of bees to respond to appetitive and aversive stimuli while restrained in a harness that allows subjects to move their antennae and mouthparts (Kuwabara, 1957; Menzel, Erber, &amp; Masuhr, 1974). Subjects were conditioned to discriminate between two odors, one associated with sucrose feeding and the other associated with a 10 V AC shock if they responded to the sucrose unconditioned stimulus (US) in the context of that odor. Most Ss readily learned to respond to the odor followed by sucrose feeding and not to the odor associated with sucrose stimulation plus shock. Furthermore, in the context of the odor associated with shock, significantly more subjects withheld or delayed proboscis extension on stimulation with the sucrose US than they did in the context of the odor associated with feeding. Thus, restrained honeybees can readily learn to avoid shock according to an odor context by withholding proboscis extension to a normally powerful releaser. Analysis of individual learning curves revealed that subjects differed markedly in performance on this task. Some learn the discrimination quickly, whereas others show different kinds of response patterns.</t>
  </si>
  <si>
    <t>345-356</t>
  </si>
  <si>
    <t>Journal of comparative psychology (Washington, D.C. : 1983)</t>
  </si>
  <si>
    <t>60023324;60023324;60023324</t>
  </si>
  <si>
    <t>7501691923;7004543157;35850079600</t>
  </si>
  <si>
    <t>Smith, B. H.;Abramson, C. I.;Tobin, T. R.</t>
  </si>
  <si>
    <t>Arizona Research Laboratories</t>
  </si>
  <si>
    <t>Smith B.</t>
  </si>
  <si>
    <t>Conditional withholding of proboscis extension in honeybees (Apis mellifera) during discriminative punishment.</t>
  </si>
  <si>
    <t>10.1037/0735-7036.105.4.345</t>
  </si>
  <si>
    <t>2-s2.0-0026265517</t>
  </si>
  <si>
    <t>['√© couvreuse', '√¢ che', 'une posture', 'termite predation', 'termite captures', 'surrounding zone', 'surrounding area', 'soil around', 'simply inciting', 'recruit nestmates', 'predatory behaviour', 'ponerinae specialized', 'paltothyreus tarsatus', 'ouvri √®', 'observe l', 'megaponera foetens', 'lorsque l', 'la capture', 'immediately return', 'hunting area', 'hind legs', 'group activity', 'found generally', 'foraging workers', 'first worker', 'first termite', 'first explore', 'elle peut', 'either rubs', 'distinguish soldiers', 'certain occasions', 'autre part', 'apr √®', 'ants considered', 'antennae back']</t>
  </si>
  <si>
    <t>foraging paths | Fourmis Ponerinae | Ponerine ants | Pr√©dation | Pr√©dation | recruitment | recrutement | trajets exploratoires</t>
  </si>
  <si>
    <t>Les Pachycondyla soror sont des pr√©dateurs g√©n√©ralistes. Lorsque l'ouvri√®re d√©couvreuse a captur√© une grosse proie, elle peut, soit la ramener au nid toute seule, soit recruter des cong√©n√®res pour cette t√¢che. Apr√®s la capture d'un premier termite, les trajets exploratoires sont caract√©ris√©s par une g√©om√©trie diff√©rente: leur sinuosit√© augmente. Il s'agit l√† d'une adaptation √† la chasse de proies vivant en groupes. D'autre part, ces fourmis distinguent parfaitement les ouvriers des soldats. Face aux soldats, on observe l'apparition d'une posture (antennes et pattes ant√©rieures relev√©es, hors de port√©e des mandibules de la proie). Dans quelques cas, deux ouvriers sont ramen√©s √† la fois. The predatory behaviour of Pachycondyla soror Formicidae, Ponerinae Pachycondyla soror belongs to the Ponerinae, a subfamily of ants considered as primitive. The foraging workers are generalist predators capable of preying on large arthropods using two methods to recruit nestmates. In the hunting area they are capable of recruiting nestmates situated in the surrounding area. The first worker that discovers the prey, either rubs its gaster on the soil around the prey or stings the prey, then returns to the nest to recruit nestmates by simply inciting them to leave the nest. There is group activity during the mastery of the prey and its transport to the nest. During termite captures, these ants are able to distinguish soldiers from workers. Faced with soldiers they present a posture of ‚Äòprudence‚Äô, they throw their antennae back and lift their hind legs, thus avoiding contact of these appendages with the mandibles of the prey. After the capture of the first termite, the workers of P. soror do not immediately return to the nest. They first explore the surrounding zone with particularly sinuous path (area concentrated search). As termites are found generally in groups, this behaviour favours encounter with other individuals. On certain occasions, P. soror workers transport two termites at a time or they recruit nestmates (as mentioned previously). These two observations foreshadow the predatory behaviour of Paltothyreus tarsatus and Megaponera foetens, two other Ponerinae specialized in Termite predation. 1991 The Netherlands Entomological Society</t>
  </si>
  <si>
    <t>123-135</t>
  </si>
  <si>
    <t>Entomologia Experimentalis et Applicata</t>
  </si>
  <si>
    <t>Dejean, Alain</t>
  </si>
  <si>
    <t>Villetaneuse</t>
  </si>
  <si>
    <t>University Sorbonne Paris Nord</t>
  </si>
  <si>
    <t>Dejean A.</t>
  </si>
  <si>
    <t>Le comportement pr√©dateur de Pachycondyla soror</t>
  </si>
  <si>
    <t>10.1111/j.1570-7458.1991.tb01460.x</t>
  </si>
  <si>
    <t>2-s2.0-0026266567</t>
  </si>
  <si>
    <t>['wiley company', 'two prototypes', 'taken lightly', 'surface distortion', 'surface accuracy', 'simple formulas', 'reflector shaping', 'paper describes', 'measured examples', 'measured characteristics', 'made small', 'inc .,', 'fabrication process', 'edge level', 'difference values', 'approximate expression', 'aperture diameter', '475 ghz', '3600 mm']</t>
  </si>
  <si>
    <t>This paper describes the improvement of characteristics of an offset tri‚Äêreflector antenna by introduction of reflector surface shaping, and the importance and allowance of suppression of the higher periodic components of the reflector surface distortion caused in the fabrication process. In an antenna with a good wide‚Äêangle radiation pattern, degradation of the sidelobe characteristics due to the higher‚Äêorder periodical components of the surface distortion cannot be taken lightly. In this paper, the angle and the level of the side‚Äêlobe peak due to the periodic aperture phase error are expressed in simple formulas. These formulas are combined with an approximate expression of the wide‚Äêangle radiation pattern so that the allowance of the periodic reflector surface distortion is given. Next, a design and measured characteristics are described for a shaped offset tri‚Äêreflector antenna with its aperture diameter of 3600 mm to be used at frequencies of 3.6 to 6.475 GHz. Two prototypes with difference values of surface accuracy are compared. By means of measured examples, it is pointed out that suppression of higher‚Äêorder periodic components of the surface distortion is important. By means of reflector shaping, a nonaxisymmetric aperture distortion is important. By means of reflector shaping, a nonaxisymmetric aperture distribution is realized so that the edge level in the horizontal cross section is made small. Further, by suppressing the higher‚Äêorder periodic components of the surface distortion, an offset tri‚Äêreflector antenna with a good wide‚Äêangle pattern and a good cross‚Äêpolarization characteristic was realized. Copyright ¬© 1991 Wiley Periodicals, Inc., A Wiley Company</t>
  </si>
  <si>
    <t>7003370991;8355553700;35564404500</t>
  </si>
  <si>
    <t>Karikomi, Masahiro;Yamada, Yoshihide;Kagoshima, Ken‚ÄêIchi ‚ÄêI</t>
  </si>
  <si>
    <t>Wide‚Äêangle radiation pattern improvement of a shaped offset tri‚Äêreflector antenna by reducing higher‚Äêorder periodical reflector distortion</t>
  </si>
  <si>
    <t>10.1002/ecja.4410741201</t>
  </si>
  <si>
    <t>2-s2.0-0026276184</t>
  </si>
  <si>
    <t>['proposed procedures', 'paper discusses', 'orthometric height', 'level surveying', 'level survey', 'gps measurements', 'gps antennas', 'geodetic height']</t>
  </si>
  <si>
    <t>Simultaneous kinematic Global Positioning System (GPS) and level surveying is proposed to obtained more efficiently certain geodetic measurements. Here, GPS antennas are attached to the top of two levelling rods, and GPS measurements are taken while a level survey is performed. This procedure enables precise estimates of differences in change in orthometric height and change in geodetic height to be determined along baselines. The combined measurements also allow some second order error cancellation. This paper discusses how the proposed procedures can be used to efficiently and accurately obtain gravity deflections of the vertical. -Author</t>
  </si>
  <si>
    <t>71-74</t>
  </si>
  <si>
    <t>Surveying &amp; Land Information Systems</t>
  </si>
  <si>
    <t>Evans, A. G.</t>
  </si>
  <si>
    <t>Evans A.</t>
  </si>
  <si>
    <t>Simultaneous kinematic global positioning system (GPS) and level surveying: a proposed technique for geodetic measurements</t>
  </si>
  <si>
    <t>2-s2.0-0026277617</t>
  </si>
  <si>
    <t>['wiley company', 'system design', 'several tens', 'prediction formula', 'paper describes', 'measured values', 'measured results', 'inc .,', 'found also', 'distance dependence', 'correlation bandwidth', 'base station', '920 mhz', '360 khz', '3 km']</t>
  </si>
  <si>
    <t>This paper describes the measured results of the correlation bandwidth in urban radio paths and the relationship between the measured values of the correlation bandwidth and the propagation parameters useful for system design of digital mobile communications. The correlation bandwidth was derived from the measurement of the amplitude‚Äêfrequency characteristics in a bandwidth of 915 to 920 MHz. Within a distance of 0.5 to 3 km from the base station, it is found that the correlation bandwidth is about 80 to 360 kHz, if the base station antenna height is several tens to 100 m. It is found also that the correlation bandwidth: (1) decreases with the distance, (2) increases with the base station antenna height, and (3) decreases with the average building height. The relationship of the correlation bandwidth with the distance, base station antenna height, and the average building height (within a circle of a radius of 3 km centered at the base station) has been studied by multiple regression analysis. The distance dependence, base station antenna height dependence, and average building height dependence have been quantized and a prediction formula for the correlation bandwidth is obtained. Copyright ¬© 1991 Wiley Periodicals, Inc., A Wiley Company</t>
  </si>
  <si>
    <t>7005540034;6602131146</t>
  </si>
  <si>
    <t>Sakagami, Shuji;Akeyama, Akira</t>
  </si>
  <si>
    <t>Correlation bandwidth in urban mobile radio paths‚Äîdependence of distance, base station antenna height and average building height</t>
  </si>
  <si>
    <t>10.1002/ecja.4410741202</t>
  </si>
  <si>
    <t>2-s2.0-0026280741</t>
  </si>
  <si>
    <t>['tobin lake', 'summer data', 'notigi reservoir', 'methylating bacteria', 'least contaminated', 'lawrence river', 'include population', 'greater activity', 'general index', 'contamination derived', 'community indices', 'chemical indices', 'chemical data', 'biological indices']</t>
  </si>
  <si>
    <t>The severity of deformities in the ligulae and antennae of Procladius is indexed and both indices are expanded to include population and community indices and a general index of Chironomid Community Response. These biological indices are compared with Indices of Contamination derived from chemical data from the St. Lawrence River, Port Hope Harbour, Southern Indian Lake-Notigi Reservoir, Tobin Lake, and Last Mountain Lake. Biological and chemical indices both identified Lac St. Louis Site 4 on the St. Lawrence River as the most highly contaminated site and the Wupaw Bay site in the Southern Indian Lake-Notigi Reservoir as the least contaminated of the 23 sites studied. The increase in frequency and severity of deformities in spring and summer data from the Rat Lake basin suggests that larvae are sensitive to increased mercury availability resulting from the greater activity of Hg-methylating bacteria in warmer summer waters. -Author</t>
  </si>
  <si>
    <t>1151-1166</t>
  </si>
  <si>
    <t>Canadian Journal of Fisheries and Aquatic Sciences</t>
  </si>
  <si>
    <t>Warwick, W. F.</t>
  </si>
  <si>
    <t>Gatineau</t>
  </si>
  <si>
    <t>Environment Canada</t>
  </si>
  <si>
    <t>Warwick W.F.</t>
  </si>
  <si>
    <t>Indexing deformities in ligulae and antennae of Procladius larvae (Diptera: Chironomidae): application to contaminant-stressed environments</t>
  </si>
  <si>
    <t>10.1139/f91-139</t>
  </si>
  <si>
    <t>2-s2.0-0026281882</t>
  </si>
  <si>
    <t>['‚ äêgroup', 'wiley blackwell', 'subsequent attachment', 'rights reserved', 'reversible settlement', 'protected areas', 'lepeophtheirus salmonis', 'filament used', 'external lamina', 'chalimus cuticle', 'basal plate', 'axial duct', 'apparently continuous', 'also described']</t>
  </si>
  <si>
    <t>A study was undertaken of the settlement and attachment of larvae of Lepeophtheirus salmonis (Kr√∏yer, 1837) on a salmonid host Salmo salar Linnaeus, 1758. Preferred settlement sites were the fins and other protected areas. Initial, reversible settlement was followed by attachment with the hooked second antennae. The filament used for subsequent attachment was found to comprise three distinct regions; basal plate, stem and external lamina. The filament was secured to the epithelial basement membrane by the basal plate which was formed by secretion down the axial duct from the posterior A‚Äêgroup of cells. The stem was fibrous and carried the axial duct along its length. A thin external lamina covered the stem and was apparently continuous with the chalimus cuticle. A number of filament‚Äêassociated organs are also described, comprising cell groups A‚ÄêC although only the function of A was characterized. Copyright ¬© 1991, Wiley Blackwell. All rights reserved</t>
  </si>
  <si>
    <t>201-212</t>
  </si>
  <si>
    <t>Journal of Zoology</t>
  </si>
  <si>
    <t>60025200;60025200;60025200;60111514</t>
  </si>
  <si>
    <t>7004120851;7003803347;57151706700;36876383800</t>
  </si>
  <si>
    <t>Bron, J. E.;Sommerville, C.;Jones, M.;Rae, G. H.</t>
  </si>
  <si>
    <t>Rosyth;Stirling</t>
  </si>
  <si>
    <t>Marine Harvest, United Kingdom;University of Stirling</t>
  </si>
  <si>
    <t>60111514;60025200</t>
  </si>
  <si>
    <t>Bron J.</t>
  </si>
  <si>
    <t>The settlement and attachment of early stages of the salmon louse, Lepeophtheirus salmonis (Copepoda: Caligidae) on the salmon host, Salmo salar</t>
  </si>
  <si>
    <t>10.1111/j.1469-7998.1991.tb04799.x</t>
  </si>
  <si>
    <t>2-s2.0-0026281909</t>
  </si>
  <si>
    <t>Australian Research Council</t>
  </si>
  <si>
    <t>ARC</t>
  </si>
  <si>
    <t>['¬© 1991', 'possible reasons', 'mesosphere observed', 'magnetometer records', 'diurnal tides', 'day variations', 'daily values', 'daily measure', 'correlation would']</t>
  </si>
  <si>
    <t>A daily measure of the strength of the ionospheric current system near noon for each day of 1985 has been determined from magnetometer records. These daily values are correlated with daily tidal amplitudes in the mesosphere observed by the spaced-antenna wind technique. If upward-propagating tidal modes play any part in inducing dynamo currents some correlation would be expected, but none is found. Also, the day-to-day variations of the diurnal and semi-diurnal tides are uncorrelated with each other. Possible reasons for the results are discussed. ¬© 1991.</t>
  </si>
  <si>
    <t>39-47</t>
  </si>
  <si>
    <t>60009512;60009512</t>
  </si>
  <si>
    <t>7401658887;7103327130</t>
  </si>
  <si>
    <t>Phillips, A.;Briggs, B. H.</t>
  </si>
  <si>
    <t>Adelaide</t>
  </si>
  <si>
    <t>The University of Adelaide</t>
  </si>
  <si>
    <t>Phillips A.</t>
  </si>
  <si>
    <t>The day-to-day variability of upper atmosphere tidal winds and dynamo currents</t>
  </si>
  <si>
    <t>10.1016/0021-9169(91)90018-3</t>
  </si>
  <si>
    <t>2-s2.0-0026284410</t>
  </si>
  <si>
    <t>['wiley company', 'undesired wave', 'selected elements', 'radiation pattern', 'phase value', 'numerical simulation', 'null forming', 'null formation', 'main beam', 'large number', 'inc .,', 'exact calculation', 'deep nulls', 'computation time', 'antenna elements']</t>
  </si>
  <si>
    <t>In phased‚Äêarray antennas, nulls of the radiation pattern can be formed in the direction of undesired wave by controlling only the phase excitation without affecting the main beam. However, the computation time becomes very large when an antenna with a large number of elements is analyzed and it becomes very difficult to counteract the variation of wave boundary instantly. Here, based on the exact calculation of phase value by the method of plane‚Äêwave synthesis, the foremen‚Äêtioned elements are selected which contribute more to the null formation, and the method of controlling only the phase of the selected elements is presented. Using this method, the computation time can be reduced. Moreover, the depth of nulls and the gain of the main beam obtained in this way is the same as that produced by controlling the phase of all the antenna elements. As a result of numerical simulation and experiments of null forming in the phased‚Äêarray antenna using a 5‚Äêbit phase shifter, deep nulls with the level of less than ‚Äê40 dB could be formed without decreasing the gain of the main beam. Copyright ¬© 1991 Wiley Periodicals, Inc., A Wiley Company</t>
  </si>
  <si>
    <t>23-32</t>
  </si>
  <si>
    <t>7004961264;7006380481</t>
  </si>
  <si>
    <t>Chiba, Isamu;Mano, Seiji</t>
  </si>
  <si>
    <t>Chiba I.</t>
  </si>
  <si>
    <t>Null beam forming by phase control of selected elements in phased‚Äêarray antennas</t>
  </si>
  <si>
    <t>10.1002/ecja.4410741203</t>
  </si>
  <si>
    <t>2-s2.0-0026285391</t>
  </si>
  <si>
    <t>['time course', 'thoracic segments', 'tail development', 'strongly repressed', 'spalt major', 'several enhancer', 'reporter gene', 'regulatory elements', 'recessive loss', 'one transposant', 'normal development', 'mesothoracic leg', 'located near', 'localized expression', 'leg disc', 'larval primordium', 'indirect targets', 'homozygous antp', 'function mutations', 'function mutants', 'expressed ectopically', 'express antp', 'enhancer detector', 'embryonic head', 'either direct', 'drosophila melanogaster', 'direct interaction', 'developmental fate', 'detector transposon', 'corresponding genes', 'antp gene', 'antp -)', 'antennal structures', 'antennal discs', 'antennal disc', 'adult antenna']</t>
  </si>
  <si>
    <t>Antennapedia gene | Downstream genes | Drosophila | Enhancer detection | Homeotic genes | Spalt locus</t>
  </si>
  <si>
    <t>Localized expression of the homeotic gene Antennapedia (Antp) in Drosophila melanogaster is required for normal development of the thoracic segments. When the Antp gene is expressed ectopically in the larval primordium of the antenna, the antennal imaginal disc, the developmental fate of the disc is switched and the adult antenna is transformed to a mesothoracic leg. We screened ‚àº550 different fly strains carrying single copies of an enhancer-detector transposon to identify regulatory elements and corresponding genes that ate either activated or repressed in antennal discs in response to this transformation. Several regulatory elements that are either direct or indirect targets of Antp were found. One transposant that expresses the reporter gene (lacZ) in the antennal disc, but not in the leg disc, was studied in more detail. The enhancer detector in this strain is located near a similarly regulated gene at the spalt (sal) locus, which encodes a homeotic function involved in embryonic head and tail development. The expression of this newly discovered gene, spalt major (salm) is strongly repressed in gain-of-function mutants that express Antp in the antennal disc. Recessive loss-of-function mutations (Antp-) have the opposite developmental effect; they cause the differentiation of antennal structures in the second leg disc. Accordingly, salm is derepressed in clones of homozygous Antp- cells. Therefore, we conclude that Antp negatively regulates salm. The time course of the interaction and reporter gene fusion experiments suggests (but does not prove) a direct interaction between Antp and cis-regulatory elements of salm. Our analysis of several enhancer-detector strains suggests that the basic patterning information in the antennal and leg imaginal discs is very similar.</t>
  </si>
  <si>
    <t>2467-2480</t>
  </si>
  <si>
    <t>12 PART B</t>
  </si>
  <si>
    <t>Genes and Development</t>
  </si>
  <si>
    <t>60015184;60015184-60022195;60015184-60076515;60028717;60015184</t>
  </si>
  <si>
    <t>6505951450;7404894911;57214302015;7004488933;57203032471</t>
  </si>
  <si>
    <t>Wagner-Bernholz, Juliane T.;Wilson, Clive;Gibson, Greg;Schuh, Reinhard;Gehring, Walter J.</t>
  </si>
  <si>
    <t>United States;Germany;United States;Switzerland</t>
  </si>
  <si>
    <t>Stanford;Munich;Cambridge;Basel</t>
  </si>
  <si>
    <t>Beckman Center for Molecular and Genetic Medicine;Ludwig-Maximilians-Universit√§t M√ºnchen;Massachusetts Institute of Technology;Biozentrum, Universit√§t Basel</t>
  </si>
  <si>
    <t>60076515;60028717;60022195;60015184</t>
  </si>
  <si>
    <t>Wagner-Bernholz J.T.</t>
  </si>
  <si>
    <t>Identification of target genes of the homeotic gene Antennapedia by enhancer detection</t>
  </si>
  <si>
    <t>10.1101/gad.5.12b.2467</t>
  </si>
  <si>
    <t>2-s2.0-0026287693</t>
  </si>
  <si>
    <t>['wiley company', 'wideband antenna', 'wide bandwidth', 'sharp directivity', 'proposed antenna', 'numerical analysis', 'loop part', 'inc .,', 'highest gain', 'high gain', 'equivalent circuits', 'directivity gain', 'design data', 'current distribution', '80 deg', '45 deg', '360 mhz', '10 db']</t>
  </si>
  <si>
    <t>By taking into consideration the high gain characteristics of a circular twin‚Äêloop antenna and by distributing this antenna in a log‚Äêperiodic arrangement, an antenna with a wide bandwidth was proposed. Equivalent circuits for the loop part and its transmission line part were established to perform a numerical analysis. After examining its properties, data to design such an antenna were obtained. In particular, the reason why this antenna had a high gain and wide bandwidth through its current distribution was clarified. Based on the design data of this paper, an antenna was constructed and its performance was measured. As a result, its half‚Äêpower bandwidth was about 80 deg for the E‚Äêplane and 45 deg for the H‚Äêplane with a sharp directivity. Over a wide bandwidth of about 360 MHz for the 3‚ÄêdB bandwidth, VSWR was less than about 2.2 and the directivity gain was more than about 10 dB. From these data, the validity of the present design method was confirmed. Thus, at present, the proposed antenna is a wideband antenna with a structure that has the highest gain. Copyright ¬© 1991 Wiley Periodicals, Inc., A Wiley Company</t>
  </si>
  <si>
    <t>80-90</t>
  </si>
  <si>
    <t>60000886;60000886;60024322</t>
  </si>
  <si>
    <t>6506660035;57217837814;6701890399</t>
  </si>
  <si>
    <t>Korekado, Toshikazu;Okuno, Kiyoshi;Kurazono, Sadao</t>
  </si>
  <si>
    <t>Korekado T.</t>
  </si>
  <si>
    <t>Design of log‚Äêperiodic two‚Äêstacked circular loop antenna</t>
  </si>
  <si>
    <t>10.1002/ecja.4410741208</t>
  </si>
  <si>
    <t>2-s2.0-0026287871</t>
  </si>
  <si>
    <t>['west extent', 'transmitter system', 'tharsis region', 'small amount', 'rocks larger', 'reflected energy', 'poorly sampled', 'north pole', 'much deeper', 'minute snapshots', 'martian dust', 'low level', 'largest configuration', 'large array', 'individual 12', 'identified outside', 'h2o ice', 'fringe spacings', 'elysium region', 'depth greater', 'deposit must', 'density less', 'cap image', 'called stealth', '67 km', '5 cm', '2000 km', '2 percent']</t>
  </si>
  <si>
    <t>Full disk images of Mars have been obtained with the use of the Very Large Array (VLA) to map the radar reflected flux density. The transmitter system was the 70-m antenna of the Deep Space Network at Goldstone, California. The surface of Mars was illuminated with continuous wave radiation at a wavelength of 3.5 cm. The reflected energy was mapped in individual 12-minute snapshots with the VLA in its largest configuration; fringe spacings as small as 67 km were obtained. The images reveal near-surface features including a region in the Tharsis volcano area, over 2000 km in east-west extent, that displayed no echo to the very low level of the radar system noise. The feature, called Stealth, is interpreted as a deposit of dust or ash with a density less than about 0.5 gram per cubic centimeter and free of rocks larger than 1 cm across. The deposit must be several meters thick and may be much deeper. The strongest reflecting geological feature was the south polar ice cap, which was reduced in size to the residual south polar ice cap at the season of observation. The cap image is interpreted as arising from nearly pure CO2 or H2O ice with a small amount of martian dust (less than 2 percent by volume) and a depth greater than 2 to 5 m. Only one anomalous reflecting feature was identified outside of the Tharsis region, although the Elysium region was poorly sampled in this experiment and the north pole was not visible from Earth.</t>
  </si>
  <si>
    <t>1508-1513</t>
  </si>
  <si>
    <t>60086312;60086312;60086312-60020304;60009037</t>
  </si>
  <si>
    <t>7003859294;7202035444;7202301972;7101725729</t>
  </si>
  <si>
    <t>Muhleman, Duane O.;Butler, Bryan J.;Grossman, Arie W.;Slade, Martin A.</t>
  </si>
  <si>
    <t>Pasadena;College Park;Pasadena</t>
  </si>
  <si>
    <t>Division of Geological and Planetary Sciences;University of Maryland, College Park;Jet Propulsion Laboratory</t>
  </si>
  <si>
    <t>60086312;60020304;60009037</t>
  </si>
  <si>
    <t>Muhleman D.</t>
  </si>
  <si>
    <t>Radar images of mars</t>
  </si>
  <si>
    <t>10.1126/science.253.5027.1508</t>
  </si>
  <si>
    <t>2-s2.0-0026290029</t>
  </si>
  <si>
    <t>['¬© 1991', 'space administration', 'slr systems', 'slr sites', 'scientific community', 'laser satellites', 'information enhancing', 'improved estimates', 'gravitational field', 'gravitational constant', 'earth rotation', 'centimeter level', 'become available', 'average 1', '5 mm', '0006 km3']</t>
  </si>
  <si>
    <t>Since the US National Aeronautics and Space Administration (NASA) launch of the LAGEOS (LAser GEOdynamics Satellite) in May of 1976, a wealth of information enhancing the knowledge of geodesy and geophysics has become available to the scientific community. Both the quality and quantity of data have improved. The precision of satellite laser ranging (SLR) is now at the sub-centimeter level, and cooperation with other nations in the purchase and deployment of SLR systems and laser satellites has led to an extensive SLR data base. Scientists are now able to make precise estimates of the product of the gravitational constant and the Earth's mass (GM), polar motion, Earth rotation, laser station coordinates, distances between stations, and tectonic plate motions. SLR also contributes strongly to improved estimates of the Earth's gravitational field. Recent NASA solutions using the laser ranging data indicate the value of GM is 398600.4408 ¬± 0.0006 km3/s2. The one sigma precision of the other geodetic parameters obtained are on average 1.9 marc sec polar motion, 0.09 ms length of day, 35 mm center of mass geodetic positioning, 20 mm baselines, and 5 mm/yr tectonic plate rates. The precision of a number of these quantities has been confirmed by comparison of an independent data set obtained by very long baseline interferometry antennas located near several of the SLR sites. ¬© 1991.</t>
  </si>
  <si>
    <t>111-118</t>
  </si>
  <si>
    <t>60006337;60006337;100319458;100319458;100319458;100319458;100319458;60020304;60020304;101593696</t>
  </si>
  <si>
    <t>6602835483;57198520033;7401710314;6701320471;7403152001;6602077957;7401944266;6602248657;7102661366;24355211800</t>
  </si>
  <si>
    <t>Kolenkiewicz, R.;Smith, D. E.;Dunn, P. J.;Torrence, M. H.;Robbins, J. W.;Klosko, S. M.;Williamson, R. G.;Pavlis, E. C.;Douglas, N. B.;Fricke, S. K.</t>
  </si>
  <si>
    <t>College Park;Greenbelt;Landover;Latham</t>
  </si>
  <si>
    <t>University of Maryland, College Park;NASA Goddard Space Flight Center;RMS Technologies, Inc;ST Systems Corporation</t>
  </si>
  <si>
    <t>60020304;60006337;101593696;100319458</t>
  </si>
  <si>
    <t>Kolenkiewicz R.</t>
  </si>
  <si>
    <t>The role of laser determined orbits in geodesy and geophysics</t>
  </si>
  <si>
    <t>027311779190239G</t>
  </si>
  <si>
    <t>10.1016/0273-1177(91)90239-G</t>
  </si>
  <si>
    <t>2-s2.0-0026290890</t>
  </si>
  <si>
    <t>['systematically 1', 'one ssm', 'initial effort', 'first flown', 'f9 ).', 'data source', 'climate monitoring', 'beam positions', 'beam position', 'asymmetries exist', 'archived ssm', 'antenna temperatures']</t>
  </si>
  <si>
    <t>The Special Sensor Microwave/Temperature (SSM/T) sounder, on board the Defense Meteorological Satellite Program (DMSP) spacecraft, is equipped with twice as many atmospheric channels as the MSU. First flown in 1979, archived SSM/T data are available since 1987. As an initial effort to assess the utility of this data source for climate monitoring, antenna temperatures from the two operational SSM/T instruments were compared by channel, beam position, and latitude. Results indicate antenna temperatures from one SSM/T (F8) are systematically 1-3 K higher than from the other (F9). Also, asymmetries exist with respect to beam positions. -from Authors</t>
  </si>
  <si>
    <t>127-133</t>
  </si>
  <si>
    <t>Palaeogeography, Palaeoclimatology, Palaeoecology (Global &amp; Planetary Change Section)</t>
  </si>
  <si>
    <t>100875051;100875051</t>
  </si>
  <si>
    <t>7404565893;6507701580</t>
  </si>
  <si>
    <t>Moore, D. A.;Drahos, H. F.</t>
  </si>
  <si>
    <t>Landover</t>
  </si>
  <si>
    <t>SM Syst &amp; Research Corp</t>
  </si>
  <si>
    <t>Moore D.</t>
  </si>
  <si>
    <t>Comparison of microwave temperature sounders for atmospheric monitoring</t>
  </si>
  <si>
    <t>2-s2.0-0026295494</t>
  </si>
  <si>
    <t>National Research Council</t>
  </si>
  <si>
    <t>NRC</t>
  </si>
  <si>
    <t>['¬© 1991', 'virgin moths', 'tetradecenyl acetate', 'source concentrations', 'source concentration', 'rights reserved', 'release rates', 'mating suppression', 'l ),', 'kft .)', 'entomological society', 'electroantennogram study', 'curvalana could', 'croesia curvalana', '8 ng', '6 œºg', '4 ng', '38 %.', '30 œºg']</t>
  </si>
  <si>
    <t>A mating suppression bioassay, an electroantennogram study, and a lure attractancy study demonstrated the sensitivity of the Croesia curvalana (Kft.) moth to the female sex pheromone. Mating suppression of 98% was achieved with source concentrations of 30 Œºg of either (E) and (Z)-11-tetradecenal (95:5) or the natural pheromone blend of (E) and (Z)-11-tetradecenal (90:10) + (E) and (Z)-11-tetradecenyl acetate (85:15) (aldehyde:acetate = 9:l), and was 60% with a source concentration of 0.6 Œºg. Source concentrations of the minor component acetate, ranging from 15 to 0.6 Œºg, produced mating suppressions of from 78 to 38%. Male antennae responded to source concentrations of 2x1010mg (E) and (Z)-11-tetradecenal (90:10) and antennal saturation occurred at 2x104mg. Little female response was found at any age. Polyvinyl chloride lures releasing 1‚Äì2 ng/h captured males at approximately the same rate as did virgin moths. Release rates as low as 8 ng/h reduced trap capture from the 4 ng/h release rate found to be most effective under prevailing environmental conditions using Pherocon 1C traps. Results from these studies suggest C. curvalana could be a candidate for pheromone-based field mating suppression. ¬© 1991, Entomological Society of Canada. All rights reserved.</t>
  </si>
  <si>
    <t>231-238</t>
  </si>
  <si>
    <t>0008347X</t>
  </si>
  <si>
    <t>The Canadian Entomologist</t>
  </si>
  <si>
    <t>60016983;60016983</t>
  </si>
  <si>
    <t>7101973220;6602867976</t>
  </si>
  <si>
    <t>Ponder, B. M.;Seabrook, W. D.</t>
  </si>
  <si>
    <t>Fredericton</t>
  </si>
  <si>
    <t>University of New Brunswick</t>
  </si>
  <si>
    <t>Ponder B.M.</t>
  </si>
  <si>
    <t>Sensitivity of blueberry leaftier moths (Lepidoptera: Tortricidae) (Kearfott) to their own sex pheromone: Mating bioassay, electroantennogram, and trap attractancy studies</t>
  </si>
  <si>
    <t>10.4039/Ent123231-1</t>
  </si>
  <si>
    <t>2-s2.0-0026306818</t>
  </si>
  <si>
    <t>['wiley blackwell', 'two species', 'specialist parasitoids', 'specialist parasitoid', 'smith ).', 'rights reserved', 'plant species', 'microplitis croceipes', 'host finding', 'heliothis tea', 'choice test', 'caterpillars used', 'caterpillars feeding', 'braconidae ).', 'boddie ),', 'antennal contact']</t>
  </si>
  <si>
    <t>Heliothis zea | host finding | learning. | Microplitis croceipes | parasitoid | Spodoptera frugiperda</t>
  </si>
  <si>
    <t>Abstract The effect of antennal contact with host‚Äêrelated stimuli on the subsequent flight response to host‚Äêspecific volatiles was examined in the specialist parasitoid, Microplitis croceipes (Cresson) (Hymenoptera: Braconidae). In a choice test between two species of caterpillars feeding on cowpea, free‚Äêflying female M.croceipes lacking prior contact with host cues landed more often on sources of odour from its host, Heliothis tea (Boddie), than from non‚Äêhost Spodoptera frugiperda (Smith). After female parasitoids contacted host cues with their antennae, more landings on sources containing hosts were observed only when caterpillars used in the pre‚Äêflight treatment and in the odour sources fed on the same plant species. The degree to which host‚Äêexperienced wasps landed more often on hosts as compared with non‚Äêhosts varied with host‚Äêinstar and plant species. The role of learning in host finding in specialist parasitoids is discussed. Copyright ¬© 1991, Wiley Blackwell. All rights reserved</t>
  </si>
  <si>
    <t>381-389</t>
  </si>
  <si>
    <t>60013894;60013894</t>
  </si>
  <si>
    <t>7003558982;7006295060</t>
  </si>
  <si>
    <t>ZANEN, P. O.;CARD√â, R. T.</t>
  </si>
  <si>
    <t>University of Massachusetts System</t>
  </si>
  <si>
    <t>ZANEN P.</t>
  </si>
  <si>
    <t>Learning and the role of host‚Äêspecific volatiles during in‚Äêflight host‚Äêfinding in the specialist parasitoid Microplitis croceipes</t>
  </si>
  <si>
    <t>10.1111/j.1365-3032.1991.tb00576.x</t>
  </si>
  <si>
    <t>2-s2.0-0026314264</t>
  </si>
  <si>
    <t>['two antennae', 'tripos 5', 'simple addition', 'overall structure', 'oligosaccharide structures', 'molecular modelling', 'glycosidic linkage', 'glycosidic environment', 'glycan structure', 'asymmetrical conformation', 'analysed using', 'acetyllactosamine type', '5 units']</t>
  </si>
  <si>
    <t>glycan | glycoprotein | molecular modeling | three dimensional structure</t>
  </si>
  <si>
    <t>The conformations of a disialylated monofucosylated biantennary glycan of the N-acetyllactosamine type were analysed using the Tripos 5.3 force field from the Sybyl software currently used for molecular modelling. The conformation of each glycosidic linkage was calculated when included in oligosaccharide structures of up to 5 units and the influence of the glycosidic environment on the overall structure was measured. The study clearly shows that the conformation of a branched glycan cannot result from the simple addition of the different low energy conformers of each of the glycosidic linkages constituting the glycan structure. The asymmetrical conformation of the two antennae was demonstrated. The lowest energy conformations of the overall glycan structure were built and classified into 5 main models: the Y, T, bird and broken wing conformations already described and a new one called the 'back folded wing conformation'. ¬© 1991 Chapman &amp; Hall.</t>
  </si>
  <si>
    <t>390-399</t>
  </si>
  <si>
    <t>60104665;60000905;60000905;60104665;60104665</t>
  </si>
  <si>
    <t>7006083608;6602002957;55410533100;56377616100;7006843431</t>
  </si>
  <si>
    <t>Mazurier, Joel;Dauchez, Manuel;Vergoten, Gerard;Montreuil, Jean;Spik, Genevieve</t>
  </si>
  <si>
    <t>Lille;Paris</t>
  </si>
  <si>
    <t>Universit√© de Lille;Inserm</t>
  </si>
  <si>
    <t>60104665;60000905</t>
  </si>
  <si>
    <t>Mazurier J.</t>
  </si>
  <si>
    <t>Molecular modeling of a disialylated monofucosylated biantennary glycan of the N-acetyllactosamine type</t>
  </si>
  <si>
    <t>10.1007/BF00731291</t>
  </si>
  <si>
    <t>2-s2.0-0026319079</t>
  </si>
  <si>
    <t>['wave radiation', 'two morphs', 'transparent populations', 'south norway', 'shallow lakes', 'remotely related', 'probably melanin', 'pigment present', 'mountain range', 'mixed populations', 'melanic members', 'likewise transparent', 'inhabited waters', 'head shield', 'distribution patterns', 'distinct morphs', 'deeper lakes', 'closely related', 'clonal diversity', 'ambient levels']</t>
  </si>
  <si>
    <t>clonal diversity | Daphnia longispina | genetics | photoprotection | pigments | ultraviolet radiation</t>
  </si>
  <si>
    <t>In the mountain range of South Norway, transparent and melanic members of the Daphnia longispina complex occur. Melanic populations inhabit clearwater lakes and ponds, while transparent populations are found in ponds with slightly humic water. Mixed populations have not been detected. The distribution patterns of the two morphs are related to ambient levels of short-wave radiation, and the light absorptive properties of the inhabited waters. The pigment present is probably melanin, which is deposited in the dorsally directed parts of the carapace, head shield and antennae. Allozyme studies indicate that these distinct morphs are only remotely related, the alpine transparent group being closer to lowland, likewise transparent, populations. A melanic population found at Svalbard is closely related to the melanic mainland populations. Clonal diversity in ponds and shallow lakes is very low, in contrast to populations of deeper lakes. ¬© 1991 Kluwer Academic Publishers.</t>
  </si>
  <si>
    <t>229-243</t>
  </si>
  <si>
    <t>60029622;60000726</t>
  </si>
  <si>
    <t>6602188754;16196119900</t>
  </si>
  <si>
    <t>Hob√¶k, Anders;Wolf, Hans Georg</t>
  </si>
  <si>
    <t>Norway;Germany</t>
  </si>
  <si>
    <t>Bergen;Plon</t>
  </si>
  <si>
    <t>Universitetet i Bergen;Max Planck Institute for Evolutionary Biology</t>
  </si>
  <si>
    <t>Hob√¶k A.</t>
  </si>
  <si>
    <t>Ecological genetics of Norwegian Daphnia. II. Distribution of Daphnia longispina genotypes in relation to short-wave radiation and water colour</t>
  </si>
  <si>
    <t>10.1007/BF00028401</t>
  </si>
  <si>
    <t>2-s2.0-0026330432</t>
  </si>
  <si>
    <t>['wiley blackwell', 'ventricular ectopy', 'six dogs', 'six animals', 'rights reserved', 'pathological analysis', 'microwave power', 'microwave ablation', 'mean 2', 'introduced percutaneously', 'impedance rise', 'fibrovascular scar', 'electromagnetic field', 'direct contact', 'coagulum formation', 'catheter ablation', 'blood pressure', 'av junction', 'antenna catheter', 'affect tissue', 'adjacent myocardium', '7 mm', '6 weeks', '50 watts', '450 mhz', '2 applications']</t>
  </si>
  <si>
    <t>atrioventricular block | catheter ablation | hyperthermia | microwave</t>
  </si>
  <si>
    <t>Catheter ablation with either direct current defibrillator discharges or radiofrequency energy produces tissue injury via current flow from an electrode into the adjacent myocardium. In order to affect tissue at a distance, excessive power density may be produced at the electrode‚Äêtissue interface with the possibility of explosive gas formation or coagulum formation. A novel microwave catheter was developed with a helical antenna distally. This coil, although not in direct contact with the endocardium, radiates an electromagnetic field into the tissue that, in turn, causes thermal injury. The utility of this system for ablation was assessed in six dogs. The antenna catheter was introduced percutaneously and positioned so as to record the largest His electrogram. Microwave power (50 watts at 2,450 MHz) was applied for 114 ¬± 118 seconds. Complete AV block was produced in all six animals with 1.8 ¬± 1.2 applications. There was no ventricular ectopy or change in blood pressure during microwave ablation. One dog died 6 days after ablation. The remaining five dogs had persistent, complete AV block during 6 weeks of follow‚Äêup. Pathological analysis at 6 weeks revealed a large (mean 2.8 ¬± 4.7 mm) fibrovascular scar in the region of the AV junction. Percutaneous microwave ablation of the endocardium appears feasible, By radiating an electromagnetic field without direct contact, this system can produce large lesions without being limited by desiccation of tissue and impedance rise. Copyright ¬© 1991, Wiley Blackwell. All rights reserved</t>
  </si>
  <si>
    <t>2105-2113</t>
  </si>
  <si>
    <t>Pacing and Clinical Electrophysiology</t>
  </si>
  <si>
    <t>60023691;60023691;60023691;60023691;60023691;60023691</t>
  </si>
  <si>
    <t>7005859498;36875556700;7102517148;7006496861;7101648629;7005772755</t>
  </si>
  <si>
    <t>LANGBERG, JONATHAN J.;WONNELL, TRACY;CHIN, MICHAEL C.;FINKBEINER, WALTER;SCHEINMAN, MELVIN;STAUFFER, PAUL</t>
  </si>
  <si>
    <t>LANGBERG J.</t>
  </si>
  <si>
    <t>Catheter Ablation of the Atrioventricular Junction Using a Helical Microwave Antenna: A Novel Means of Coupling Energy to the Endocardium</t>
  </si>
  <si>
    <t>10.1111/j.1540-8159.1991.tb06481.x</t>
  </si>
  <si>
    <t>2-s2.0-0026342042</t>
  </si>
  <si>
    <t>['willi respect', 'unshielded environment', 'tire suppression', 'therefore insensitive', 'single channels', 'revolver system', 'required sensitivity', 'physical sciences', 'order gradiometeis', 'multichannel system', 'mechanical balancing', 'mathematical calculation', 'magnetic field', 'liquid helium', 'lead plates', 'interest ranges', 'important problems', 'imbalances less', 'film dcsquids', 'field sensor', 'external noise', 'electronic balancing', 'cross talk', 'channel device', 'another method', '8 %.', '50 pt', '4 could', '2 muld']</t>
  </si>
  <si>
    <t>Any biomagnetic instrumentation requires a vety sensitive sensor. As the strength of the magnetic field of interest ranges from about 10 IT to 50 pT, the only field sensor having the required sensitivity and small sampling volume is the superconducting quantum interference device (SQUID) e.g. thin-film DCSQUIDS. For transforming the signal from the antenna to the squid, a thin-film coupling coil is used. The squid itself is shielded and therefore insensitive to external noise. In a five-channel system second-order gradiometeis are used in an unshielded environment. The measuring system enables us to balance each channel by means of lead plates without removing it from liquid helium. The lead plates can be handled by a revolver system from outside the dewar. By an iterative balancing procedure inside an artificial uniform field, imbalances less than 10-4 could be achieved. These results are confirmed by mathematical calculation of mechanical balancing. Sensitivities down to 20 fT Hz-1/2 muld be achieved during ‚Äòquiet‚Äô hours. Another method for tire suppression of disturbances is electronic balancing. One of the most important problems in the multichannel system is the cross talk between the single channels. Willi respect to the geometry of our five-channel device the cross talk coefficient was calculated to be 3.9% and measured at 3.8%. ¬© 1991 Institute of Physical Sciences in Medicine.</t>
  </si>
  <si>
    <t>Clinical Physics and Physiological Measurement</t>
  </si>
  <si>
    <t>116290512;116290512;60029507</t>
  </si>
  <si>
    <t>57083196700;57083183100;57083106900</t>
  </si>
  <si>
    <t>Nowakf, H.;Gie√ülerf, F.;Huonkerf, R.</t>
  </si>
  <si>
    <t>Jena;Jena</t>
  </si>
  <si>
    <t>Friedrich-Schiller-Universit√§t Jena;Physikalisch-Tfechnisches Institut Jena</t>
  </si>
  <si>
    <t>60029507;116290512</t>
  </si>
  <si>
    <t>Nowakf H.</t>
  </si>
  <si>
    <t>Multichannel magnetography in unshielded environments</t>
  </si>
  <si>
    <t>10.1088/0143-0815/12/B/001</t>
  </si>
  <si>
    <t>2-s2.0-0026349484</t>
  </si>
  <si>
    <t>['¬© 1991', 'trichogen cells', 'transported anterogradely', 'third day', 'surface area', 'stages 5', 'stage 1', 'sprouts retract', 'sensory neurons', 'second day', 'running microtubules', 'probably involved', 'primary dendrites', 'ninth day', 'membrane vesicles', 'membrane material', 'large numbers', 'imago emerges', 'hair shafts', 'endocytotic vesicles', 'dense contents', 'days 16', 'day 21', 'day 10', 'cytoskeletal function', 'cuticulin layer', 'cuticle grows', 'cuticle deposition', 'cuticle begins', 'completed hairs', 'coated vesicles', 'cell bodies', 'basiconic sensilla', 'axons grow', 'antennal epidermis', 'adult development', '6 ).', '3 ).']</t>
  </si>
  <si>
    <t>Antenna | Antheraea polyphemus | membrane turnover | morphogenesis | olfactory sensilla</t>
  </si>
  <si>
    <t>During adult development of the male silkmoth Antheraea polyphemus, the anlagen of olfactory sensilla arise within the first 2 days post-apolysis in the antennal epidermis (stage 1-3). Approximately on the second day, the primary dendrites as well as the axons grow out from the sensory neurons (stage 4). The trichogen cells start to grow apical processes approximately on the third day, and these hair-forming 'sprouts' reach their definite length around the ninth day (stages 5-6). Then the secretion of cuticle begins, the cuticulin layer having formed on day 10 (stage 7a). The primary dendrites are shed, the inner dendritic segments as well as the thecogen cells retract from the prospective hair bases, and the inner tormogen cells degenerate around days 10/11 (stage 7b). The hair shafts of the basiconic sensilla are completed around days 12/13 (stage 7c), and those of the trichoid sensilla around days 14/15 (stage 7d). The trichogen sprouts retract from the hairs after having finished cuticle formation, and the outer dendritic segments grow out into the hairs: in the basiconic sensilla directly through, and in the trichoid sensilla alongside, the sprouts. The trichogen sprouts contain numerous parallel-running microtubules. Besides their cytoskeletal function, these are most probably involved in the transport of membrane vesicles. During the phase of cuticle deposition, large numbers of vesicles are transported anterogradely from the cell bodies into the sprouts, where they fuse with the apical cell membrane and release their electron-dense contents (most probably cuticle precursors) to the outside. As the cuticle grows in thickness, the surface area of the sprouts is reduced by endocytosis of coated vesicles. When finally the sprouts retract from the completed hairs, the number of endocytotic vesicles is further increased and numerous membrane cisterns seem to be transported retrogradely along the microtubules to the cell bodies. Here the membrane material will most probably be used again in the formation of the sensillum lymph cavities. Thus, the trichogen cells are characterized by an intensive membrane recycling. The sensillum lymph cavities develop between days 16-20 (stage 8), mainly via apical invaginations of the trichogen cells. The imago emerges on day 21. ¬© 1991.</t>
  </si>
  <si>
    <t>821-851</t>
  </si>
  <si>
    <t>60005460;60005460</t>
  </si>
  <si>
    <t>26643587600;11240680700</t>
  </si>
  <si>
    <t>Keil, T. A.;Steiner, C.</t>
  </si>
  <si>
    <t>Keil T.</t>
  </si>
  <si>
    <t>Morphogenesis of the antenna of the male silkmoth. Antheraea polyphemus, III. Development of olfactory sensilla and the properties of hair-forming cells</t>
  </si>
  <si>
    <t>004081669190034Q</t>
  </si>
  <si>
    <t>10.1016/0040-8166(91)90034-Q</t>
  </si>
  <si>
    <t>2-s2.0-0026354634</t>
  </si>
  <si>
    <t>['type radiometer', 'invasive thermometry', 'integration time', 'human body', 'frequency sweep', 'continuously swept', 'chosen freely', '8 ghz', '5 ghz', '3 sec']</t>
  </si>
  <si>
    <t>A new microwave radiometer system consisting of a frequency sweep-type radiometer and an ultra wideband antenna has been developed. A computer-controlled radiometer system covers the input frequency range from 0.5 GHz to 8 GHz. It can be used not only as a multispectral radiometer system whose frequencies can be chosen freely, but also as a frequency sweep-type radiometer system whose frequency is continuously swept during measurement. When an antenna is attached to a forearm, the sensitivity of the radiometer system exceeds 0.09¬∞C when the integration time is 3 sec and IF bandwidth is 500MHz. The new microwave radiometer system may be utilized for non-invasive thermometry of the human body.</t>
  </si>
  <si>
    <t>160-167</t>
  </si>
  <si>
    <t>Miyakawa, M.</t>
  </si>
  <si>
    <t>Niigata</t>
  </si>
  <si>
    <t>Niigata University</t>
  </si>
  <si>
    <t>Miyakawa M.</t>
  </si>
  <si>
    <t>Programmable sweep radiometer system as a new tool for non-invasive thermometry</t>
  </si>
  <si>
    <t>10.1080/08327823.1991.11688153</t>
  </si>
  <si>
    <t>2-s2.0-0026357527</t>
  </si>
  <si>
    <t>['typical site', 'transmitter parameters', 'transmitter frequency', 'study demonstrate', 'results reported', 'radiated fields', 'radar coverage', 'predicted field', 'model predicting', 'known locations', 'initial field', 'homogeneous atmosphere', 'gaussian beam', 'field strength', 'elevated duct', 'ducting atmosphere', 'different conditions', 'copyright 1991', 'boundary conditions', 'arabian gulf', 'antenna height']</t>
  </si>
  <si>
    <t>In this study a model predicting the electromagnetic wave propagation has been developed. The model is initialized with a known refractivity profile and an initial transmitted field. The troposphere is assumed to be inhomogeneous in height and range. The vertical refractivity profile is computed from the meteorological upper air data. Arbitrary as well as experimentally observed profiles could be used as inputs to the model. Inhomogeneity in range is invoked by injecting refractivity profiles at known locations. A transmitter with a Gaussian beam is assumed to generate the initial field based on the transmitter parameters such as vertical beam width, vertical beam elevation, transmitter frequency, antenna height, and type of polarization. A simulation for the typical site on the coast of Arabian gulf has been chosen for the study. The field strength and radar coverage for different conditions of the typical coastal site prevailing a standard and inhomogeneous surface duct demonstrates the sensitivity of the model with the inhomogeneous and homogeneous atmosphere. Radiated fields are predicted on the basis of the initial field, boundary conditions, and atmospheric conditions considering the effect of refractivity in the case of inhomogeneous surface duct and elevated duct. Results reported in this study demonstrate the trapping of the energy in ducting atmosphere above the minimum trapping frequency with the predicted field by this model. Copyright 1991 by the American Geophysical Union.</t>
  </si>
  <si>
    <t>909-919</t>
  </si>
  <si>
    <t>6602277546;7101655329;6602518123</t>
  </si>
  <si>
    <t>Abdul‚ÄêJauwad, Samir Hussain;Khan, Pervez Zahir;Halawani, Talal Omar</t>
  </si>
  <si>
    <t>Abdul‚ÄêJauwad S.</t>
  </si>
  <si>
    <t>Prediction of radar coverage under anomalous propagation condition for a typical coastal site: A case study</t>
  </si>
  <si>
    <t>10.1029/91RS00092</t>
  </si>
  <si>
    <t>2-s2.0-0026358268</t>
  </si>
  <si>
    <t>['zenith angles', 'widely distributed', 'upper atmosphere', 'tides determined', 'september 1989', 'semidiurnal tides', 'meteor trails', 'meteor echoes', 'meteor echo', 'copyright 1991', 'arrival angle', 'antenna illuminate', '50 ¬∞']</t>
  </si>
  <si>
    <t>We conducted meteor wind observations with the middle and upper atmosphere (MU) radar at Shigaraki, Japan (35¬∞N, 136¬∞E), utilizing an interferometer to determine the arrival angle of a meteor echo. We found that meteor echoes are widely distributed in zenith angles as large as 50¬∞ and that the narrow main lobe of a transmitting antenna cannot effectively detect meteor trails but that the sidelobes of the antenna illuminate most of meteor trails. Wind velocity profiles determined using meteor echoes are consistent with MU radar observations determined using turbulence echoes. The amplitudes and phases of both diurnal and semidiurnal tides were analyzed for a 96‚Äêhour continuous run in September 1989, which agreed reasonably well with the characteristics of tides determined from Kyoto meteor radar observations. Copyright 1991 by the American Geophysical Union.</t>
  </si>
  <si>
    <t>857-869</t>
  </si>
  <si>
    <t>7501466543;35433785500;7201754973;7201529400;7201862356;35425453600;55398698300</t>
  </si>
  <si>
    <t>Nakamura, T.;Tsuda, T.;Tsutsumi, M.;Kita, K.;Uehara, T.;Kato, S.;Fukao, S.</t>
  </si>
  <si>
    <t>Nakamura T.</t>
  </si>
  <si>
    <t>Meteor wind observations with the MU radar</t>
  </si>
  <si>
    <t>10.1029/91RS01164</t>
  </si>
  <si>
    <t>2-s2.0-0026358295</t>
  </si>
  <si>
    <t>['tropospheric profile', 'simple error', 'short lines', 'relative positioning', 'relative humidity', 'principal contributor', 'polar regions', 'orbital errors', 'optimal conditions', 'multipath errors', 'microclimatic influences', 'ie less', 'height errors', 'expected influence', 'error budget', 'differential troposphere', 'degraded accuracy', 'considered indicative', 'budget approximation', 'baseline length', 'antenna centering', '3cm level', '3 %)', '2 mbar', '1991 due', '10km ).']</t>
  </si>
  <si>
    <t>The sources of bias in Global Positioning System (GPS) relative positioning are reviewed and a simple error-budget approximation is presented to illustrate bias influence on relative positioning accuracy. Under optimal conditions, antenna centering and height errors, antenna phase center motion, and multipath errors and imaging generally predominate in the error budget over short lines (ie less than 10km). Thereafter, orbital errors and tropospheric refraction increasingly predominate. The differential troposphere is a principal contributor to the error budget where significant lateral gradients in meteorology or elevation differences exist. The influence of the differential troposphere appears primarily in the relative height component. Errors are typically at the 2-3cm level and are independent of baseline length for station separations less than 100km. Modeling of the differential troposphere should be undertaken only where the pressure, temperature, or humidity gradients existing between co-observing stations clearly exceed (1) the accuracy to which these parameters can be measured with typical field instrumentations (pressure, 1-2 mbar; temperature, 1-2¬∞C; and relative humidity, 2-3%) and (2) the expected influence of "surface layer noise' introduced by such microclimatic influences as differential surface heating and local shading effects. These latter effects introduce gradients near the surface that easily may exceed the measurement accuracies noted, but cannot be considered indicative of the tropospheric profile as a whole. Periods of degraded accuracy are to be expected during 1990 and 1991 due to ionospheric disturbances accompanying the peak of solar cycle 22. These effects will be most severe in the auroral and polar regions. -from Author</t>
  </si>
  <si>
    <t>133-137</t>
  </si>
  <si>
    <t>Janes, H. W.</t>
  </si>
  <si>
    <t>Janes H.</t>
  </si>
  <si>
    <t>An error budget for GPS relative positioning</t>
  </si>
  <si>
    <t>2-s2.0-0026358996</t>
  </si>
  <si>
    <t>['spectral analysis', 'rigorous generalization', 'previously considered', 'new results', 'making use', 'copyright 1991', 'broader class', 'also formulated']</t>
  </si>
  <si>
    <t>By making use of some new results in optical coherence theory we show that spectral analysis, rather than fringe visibility measurements, can be used to determine correlation properties of the field. A principle is also formulated, according to which, in many interferometric measurements a trade‚Äêoff can be made between the length of the baseline and the frequency at which measurements are made. This principle is a rigorous generalization of the so‚Äêcalled space‚Äêfrequency equivalence theorem for two antenna detection systems, and it applies to radiation from a broader class of sources than previously considered. Copyright 1991 by the American Geophysical Union.</t>
  </si>
  <si>
    <t>1239-1243</t>
  </si>
  <si>
    <t>7401733331;7402940808</t>
  </si>
  <si>
    <t>James, Daniel F.V.;Wolf, Emil</t>
  </si>
  <si>
    <t>James D.</t>
  </si>
  <si>
    <t>Determination of field correlations from spectral measurements with application to synthetic aperture imaging</t>
  </si>
  <si>
    <t>10.1029/91RS01032</t>
  </si>
  <si>
    <t>2-s2.0-0026359001</t>
  </si>
  <si>
    <t>['zenith angle', 'wind amplitude', 'van baelen', 'upper atmosphere', 'true wind', 'time domain', 'strong variations', 'slight tendencies', 'several examples', 'received power', 'perhaps also', 'necessarily correspond', 'measurements obtained', 'manner predicted', 'latter estimate', 'good representation', 'fairly isotropic', 'experimental conditions', 'doppler wind', 'doppler frequency', 'differences disappear', 'data illustrates', 'crosswind direction', 'copyright 1991', 'companion paper', 'angular distribution']</t>
  </si>
  <si>
    <t>The theory of radar interferometry developed in the companion paper [ Van Baelen and Richmond, this issue] is applied to a set of measurements obtained with the middle and upper atmosphere (MU) radar in order to demonstrate the technique and to test the theory. The variations with respect to Doppler frequency of the coherencies and phases of the signals cross‚Äêcorrelated between receiver pairs depend on the amplitude and direction of the wind in the manner predicted by the theory. The horizontal wind derived by the interferometric technique agrees quite well with the so‚Äêcalled apparent velocity obtained by cross‚Äêcorrelating signals in the time domain from different receiver pairs, and under our experimental conditions the latter estimate has been determined to be a good representation of the true wind, in spite of slight tendencies to overestimate the wind amplitude. The vertical wind derived by the interferometric technique shows significant differences with the Doppler wind obtained from a vertically pointing antenna, but these differences disappear when the Doppler wind is corrected for the off‚Äêzenith distribution of the received power. An examination of the mean angle‚Äêof‚Äêarrival of the received signal reveals that there is a tendency for the angle to approach, though not attain, perpendicularity with the three‚Äêdimensional wind vector, and perhaps also to tend to be perpendicular to isentropes in the crosswind direction. A postset beam steering analysis of several examples of data illustrates the behavior of the angular distribution of received power in time and space. When the signal‚Äêto‚Äênoise ratio is large, there is a tendency for the power to be fairly isotropic with respect to zenith angle, but highly distorted patterns can be encountered when the signal is weaker. There appears to be a tendency for the patterns to vary relatively slowly over time, but strong variations in altitude are observed in passing from one 300‚Äêm range gate to the next. The direction of most intense received power does not necessarily correspond to the direction of mean angle‚Äêof‚Äêarrival of the signal as determined by interferometry. Copyright 1991 by the American Geophysical Union.</t>
  </si>
  <si>
    <t>1315-1326</t>
  </si>
  <si>
    <t>6602177985;7103083539;35433785500;56691869300;35425453600;55398698300;9274833100</t>
  </si>
  <si>
    <t>Van Baelen, J. S.;Richmond, A. D.;Tsuda, T.;Avery, S. K.;Kato, S.;Fukao, S.;Yamamoto, M.</t>
  </si>
  <si>
    <t>Van Baelen J.S.</t>
  </si>
  <si>
    <t>Radar interferometry technique and anisotropy of the echo power distribution: First results</t>
  </si>
  <si>
    <t>10.1029/91RS01230</t>
  </si>
  <si>
    <t>2-s2.0-0026359022</t>
  </si>
  <si>
    <t>['random turbulence', 'predict qualitatively', 'parameter characterizing', 'limitations similar', 'inversely proportional', 'interferometer baseline', 'implementation scheme', 'horizontal wind', 'fourier transform', 'copyright 1991', 'beam shape', 'backscattered power', '120 ¬∞,']</t>
  </si>
  <si>
    <t>Generalizing radar interferometry to three‚Äêdimensional space, we present a model which predicts the variation with respect to frequency of the phase of the cross‚Äêspectrum obtained between two separate antennas. The slope of this variation is proportional to the cosine of the angle between the horizontal wind and the interferometer baseline, and inversely proportional to the horizontal wind amplitude. The zero‚Äêfrequency phase depends on the horizontal wind speed and direction, on the vertical wind velocity, and on the anisotropy of the backscattered power with respect to the zenith. The model also allows us to predict qualitatively the effects of specularity, beam shape, and random turbulence on the phase versus frequency variation. Assuming a spaced receiver setup with three baselines rotated by 120¬∞, we present an implementation scheme of the radar interferometry technique which yields a three‚Äêdimensional wind estimate and a parameter characterizing the anisotropy of the echo power distribution. Finally, we argue that the radar interferometry horizontal wind measurements will suffer from limitations similar to those of the so‚Äêcalled apparent velocity as both techniques are related by Fourier transform, and that the vertical wind component will be unbiaised by anisotropy in the backscattered power. Copyright 1991 by the American Geophysical Union.</t>
  </si>
  <si>
    <t>1209-1218</t>
  </si>
  <si>
    <t>6602177985;7103083539</t>
  </si>
  <si>
    <t>Van Baelen, J. S.;Richmond, A. D.</t>
  </si>
  <si>
    <t>Van Baelen J.</t>
  </si>
  <si>
    <t>Radar interferometry technique: Three‚Äêdimensional wind measurement theory</t>
  </si>
  <si>
    <t>10.1029/91RS01229</t>
  </si>
  <si>
    <t>2-s2.0-0026359029</t>
  </si>
  <si>
    <t>['techniques include', 'stochastic noise', 'produce artifacts', 'noise present', 'mutual coupling', 'multipath scattering', 'image contrast', 'fourier transform', 'error analysis', 'covariance analysis', 'copyright 1991', 'array elements', 'antenna patterns', '4 ghz']</t>
  </si>
  <si>
    <t>An error analysis is presented for the image reconstruction algorithm currently employed by the electronically steered thinned array radiometer aircraft instrument. This instrument samples components of the Fourier transform of the brightness temperature distribution at 1.4 GHz. Sources of error are identified, including systematic offsets and stochastic noise in the measurements, errors in the interference pattern antenna calibration, multipath scattering from the antenna support structure, mutual coupling between nearby array elements, and variations in the antenna patterns of the array elements. These errors are shown to produce artifacts in the image which appear as ‚Äústreaks‚Äù running along the instrument flight line. Possible hardware corrections are discussed. These include a reduction in the profile of the antenna support structure and a decoupling of adjacent and other nearby array elements using corrugated ‚Äúskirts.‚Äù Also discussed are several image enhancement techniques which detect and correct for some of the streaking. These techniques include a renormalization of the interference patterns based on the measured element patterns, a perturbation based interpretation of image contrast, and a covariance analysis of noise present in the image. Copyright 1991 by the American Geophysical Union.</t>
  </si>
  <si>
    <t>1419-1434</t>
  </si>
  <si>
    <t>Ruf, Christopher S.</t>
  </si>
  <si>
    <t>Ruf C.</t>
  </si>
  <si>
    <t>Error analysis of image reconstruction by a synthetic aperture interferometric radiometer</t>
  </si>
  <si>
    <t>10.1029/91RS02355</t>
  </si>
  <si>
    <t>2-s2.0-0026359835</t>
  </si>
  <si>
    <t>37-40</t>
  </si>
  <si>
    <t>IEEE Potentials</t>
  </si>
  <si>
    <t>7402507033;57218985569</t>
  </si>
  <si>
    <t>Long, Stuart A.;Williams, Jeffery T.</t>
  </si>
  <si>
    <t>Long S.A.</t>
  </si>
  <si>
    <t>A Progress Report</t>
  </si>
  <si>
    <t>10.1109/45.127680</t>
  </si>
  <si>
    <t>2-s2.0-0026365071</t>
  </si>
  <si>
    <t>['wiley blackwell', 'smaller prey', 'smaller predators', 'small prey', 'situ meal', 'rights reserved', 'prosome length', 'prey capture', 'prey availability', 'preferred size', 'preferred prey', 'predatory copepod', 'overwintering state', 'mixing device', 'metridia gerlachei', 'metabolic needs', 'metabolic costs', 'late summer', 'juvenile stages', 'higher proportion', 'gut fullness', 'good condition', 'feeding rates', 'feeding rate', 'feeding occurred', 'fecal pellets', 'exclusive carnivores', 'euchaeta antarctica', 'cv e', 'constant rate', 'cease feeding', 'body weight', 'austral summer', 'adult females', 'adult female', 'adequately covers', '7 melridia', '697 pellets', '63 prey', '4 liters', '24 hours', '1200 œºm']</t>
  </si>
  <si>
    <t>During the austral summer, fall and winter, feeding rates of Euchaeta antarctica were measured in the laboratory. Measurements were taken over 24 hours in the dark on a mixing device at the ambient temperature using lively prey and predators in good condition with intact first antennae. Under these conditions, I found that no feeding occurred during winter so the following characterizes summertime feeding behavior. Adult females of Euchaeta antarctica are exclusive carnivores, exhibiting highest feeding rates on prey having a prosome length of 1200 Œºm. The size of these preferred prey was 65% the length of the second basipodal segment of the maxilliped, the main appendage used in prey capture by E. antarctica. These prey, juvenile stages of Metridia gerlachei, also were the most abundant prey available in the plankton. The mean saturation ingestion rate of the adult female on their preferred prey of 18.7 Melridia/female/d is 8.8% its body weight, of which 17.3% is respired. A three‚Äêweek starvation period caused less than a 1.5 fold increase in the feeding rate. Maximum volume effectively searched by this predatory copepod was 2.4 liters/day. Fecal pellets were produced at a constant rate of 0.697 pellets/hour; this rate was not influenced by the level of gut fullness. In order to produce one fecal pellet, E. antarctica must ingest 1.63 prey of the preferred size. Assuming that the rate of egestion is equal to the rate of ingestion, prey were ingested at a rate of 1.14/h. Many of the field‚Äêcaught copepods evacuated 3‚Äê5 pellets which converts to 5‚Äê8 copepod prey ingested. This in situ meal more than adequately covers their daily respiratory costs. Smaller predators. CIV and CV E. antarctica, exhibited higher rates on smaller prey while males did not feed at all. The younger and potentially faster growing stage CIV consumed a higher proportion of their body weight per day than did the older mature predators; they were able to meet their metabolic costs on large and small prey. Older stages may not be able to obtain enough food to meet their metabolic needs during the late summer when prey availability is limited; they cease feeding and go into the overwintering state. Copyright ¬© 1991, Wiley Blackwell. All rights reserved</t>
  </si>
  <si>
    <t>433-442</t>
  </si>
  <si>
    <t>Polar Research</t>
  </si>
  <si>
    <t>YEN, JEANNETTE</t>
  </si>
  <si>
    <t>YEN J.</t>
  </si>
  <si>
    <t>Predatory feeding behavior of an Antarctic marine copepod, Euchaeta antarctica</t>
  </si>
  <si>
    <t>10.1111/j.1751-8369.1991.tb00664.x</t>
  </si>
  <si>
    <t>2-s2.0-0026365320</t>
  </si>
  <si>
    <t>['vertical separation', 'sufficiently decorrelated', 'signals received', 'obtain signals', 'mobile location', 'horizontal separation', 'greatest influence', 'dimensional model', 'correlation coefficient', 'composite separation', 'cell radius', 'always less', '5 km', '20 œª', '20 wavelengths']</t>
  </si>
  <si>
    <t>A three-dimensional model of mobile radio propagation has been used to study the crosscorrelation between signals received on two spatially separated antennas at a base station site. The factors that have the greatest influence have been identified. It has been shown that, although vertical separation can be used to obtain signals that are sufficiently decorrelated to produce significant diversity gain, horizontal separation is still generally preferable. A vertical separation of 20 wavelengths (20 Œª) results in a crosscorrelation which is always less than 0.7, irrespective of mobile location, in a cell of radius 1 km, but the same value is only obtainable from 50% of locations if the cell radius is doubled. For horizontally separated antennas, the correlation coefficient is less than 0.7 for signals received from 98% of locations in a cell of radius 1 km, and this is only reduced to 87% of locations if the radius is increased to 5 km. In some circumstances, composite separation (vertical plus horizontal) may be useful.</t>
  </si>
  <si>
    <t>557-565</t>
  </si>
  <si>
    <t>Dec</t>
  </si>
  <si>
    <t>6505966167;7402708406</t>
  </si>
  <si>
    <t>Turkmanl, M. D.;Parsons, J. D.</t>
  </si>
  <si>
    <t>Turkmanl M.D.</t>
  </si>
  <si>
    <t>Characterisation of mobile radio signals. Base station crosscorrelation</t>
  </si>
  <si>
    <t>10.1049/ip-i-2.1991.0073</t>
  </si>
  <si>
    <t>2-s2.0-0026366307</t>
  </si>
  <si>
    <t>['œ ≤.', 'œ ≤', 'vertical plane', 'vertical angle', 'uniformly distributed', 'suitable values', 'spatial angles', 'spatial angle', 'new pdf', 'major characteristics', 'horizontal plane', 'horizontal components', 'generic three', 'equal amplitude', 'effective scatterers', 'distributed phase', 'determined using', 'cyclinder around', 'cross correlation', 'brief review']</t>
  </si>
  <si>
    <t>Following a brief review of multipath propagation models, the major characteristics of mobile radio signals are determined using an adaptation of the generic three-dimensional model proposed by Aulin. The various multipath component waves, which have equal amplitude and random, uniformly-distributed phase are allowed to have spatial angles of arrival with both vertical and horizontal components. The spatial angle of arrival in the horizontal plane is assumed to be uniformly distributed in the interval (0, 2œÄ) but a new PDF is proposed for the vertical angle of arrival, Œ≤. The effective scatterers are assumed to form a cyclinder around the mobile with a radius and height that depends on the maximum value Œ≤n of the vertical angle of arrival. Suitable values for Œ≤m are estimated from published experimental results. The limitations of two-dimensional scattering models are illustrated by considering not only the power spectral density, but also the cross correlation between antennas spatially separated in the vertical plane.</t>
  </si>
  <si>
    <t>549-556</t>
  </si>
  <si>
    <t>7402708406;7003343986</t>
  </si>
  <si>
    <t>Parsons, J. D.;Turkmani, A. M.D.</t>
  </si>
  <si>
    <t>Parsons J.D.</t>
  </si>
  <si>
    <t>Characterisation of mobile radio signals. Model description</t>
  </si>
  <si>
    <t>10.1049/ip-i-2.1991.0072</t>
  </si>
  <si>
    <t>2-s2.0-0026366308</t>
  </si>
  <si>
    <t>['results show', 'reach 25', 'output power', 'general circuit', 'computer model', 'best performance', '7 œºw', '4000 junctions', '1091 ghz']</t>
  </si>
  <si>
    <t>We have developed a computer model of a Josephson tunnel junction embedded in a general circuit with frequency dependent impedance using the harmonic balance method. This model has been applied to the analysis of a two-dimensional Josephson junction array with integrated coupling structures, called a quasi-optical Josephson oscillator. The simulations are done for a junction with dipole, slotline, and bow tie antennas. The results show that the junction with a bow tie antenna gives the best performance and the output power from an array of 4000 junctions can reach 25.7 ŒºW at a frequency as high as 1091 GHz for niobium junctions deposited on a 0.207-mm thick quartz substrate. ¬© 1991 IEEE</t>
  </si>
  <si>
    <t>150-156</t>
  </si>
  <si>
    <t>IEEE Transactions on Applied Superconductivity</t>
  </si>
  <si>
    <t>60027165;60027165</t>
  </si>
  <si>
    <t>55720788700;6701768711</t>
  </si>
  <si>
    <t>Liu, Bin;Wengler, Michael J.</t>
  </si>
  <si>
    <t>Rochester</t>
  </si>
  <si>
    <t>University of Rochester</t>
  </si>
  <si>
    <t>Liu B.</t>
  </si>
  <si>
    <t>Modeling of a Quasi-Optical Josephson Oscillator</t>
  </si>
  <si>
    <t>10.1109/77.107399</t>
  </si>
  <si>
    <t>2-s2.0-0026366447</t>
  </si>
  <si>
    <t>['system bandwidth', 'results obtained', 'platform speed', 'platform motion', 'planar array', 'output signals', 'noise ratio', 'mti performance', 'large improvement', 'horizontal orientation', 'fight dynamics', 'earlier papers', 'doppler bandwidth', 'dimensional perturbations', 'compensate adaptively', 'clutter band', 'also investigated']</t>
  </si>
  <si>
    <t>Clutter returns received by an airborne radar exhibit a Doppler bandwidth which depends on the platform speed, beamwidth and wavelength. Echoes of slow targets may, therefore, be buried in the clutter band and are difficult to detect. Perturbations of the flight path due to the fight dynamics of the aircraft and wind effects may cause further degradation of the MTI performance. It has been shown in earlier papers of the author that space-time FTR filters applied to the output signals of a linear array antenna can be used to compensate adaptively for the flight path component of the platform motion so that a large improvement in signal-to-clutter-plus-noise ratio (SCNR) can be obtained. Such filters are referred to as TASTE (techniques for airborne slow target extraction) methods. In the paper these ideas are extended to the compensation of transversal velocity components by means of a planar array with horizontal orientation. The influence of the system bandwidth is also investigated. The results obtained can be generalised to compensate for three-dimensional perturbations of the flight path without using an inertial navigation device.</t>
  </si>
  <si>
    <t>551-558</t>
  </si>
  <si>
    <t>Klemm, R.</t>
  </si>
  <si>
    <t>FFM-PGAN</t>
  </si>
  <si>
    <t>Klemm R.</t>
  </si>
  <si>
    <t>Adaptive airborne MTI with two-dimensional motion compensation</t>
  </si>
  <si>
    <t>10.1049/ip-f-2.1991.0074</t>
  </si>
  <si>
    <t>2-s2.0-0026368991</t>
  </si>
  <si>
    <t>['viable alternative', 'reasonable cost', 'radio astronomy', 'put forward', 'presently achieved', 'many years', 'large antennas', 'earth orbit', 'cost challenges', 'collecting data']</t>
  </si>
  <si>
    <t>Aperture synthesis concepts have been used for many years in radio astronomy to achieve high image resolution at a reasonable cost. The time has come for earth remote sensing technology to consider some of these techniques to meet the cost challenges of large antennas in space for these and other applications. The electronically scanned thinned array radiometer is put forward as a viable alternative to improve spatial resolution by an order of magnitude over what is presently achieved by microwave imaging systems that are collecting data from earth orbit. ¬© 1991 IEEE</t>
  </si>
  <si>
    <t>1931-1935</t>
  </si>
  <si>
    <t>60014313-60006337-60009037</t>
  </si>
  <si>
    <t>Swift, Calvin T.</t>
  </si>
  <si>
    <t>Amherst MA;Pasadena;Greenbelt</t>
  </si>
  <si>
    <t>University of Massachusetts Amherst;Jet Propulsion Laboratory;NASA Goddard Space Flight Center</t>
  </si>
  <si>
    <t>60014313;60009037;60006337</t>
  </si>
  <si>
    <t>Swift C.T.</t>
  </si>
  <si>
    <t>Aperture Synthesis Concepts in Microwave Remote Sensing of the Earth</t>
  </si>
  <si>
    <t>10.1109/22.106530</t>
  </si>
  <si>
    <t>2-s2.0-0026369097</t>
  </si>
  <si>
    <t>['slight rotation', 'represent principal', 'principal polarization', 'polarization components', 'offset dual', 'measured data', 'important consequence', 'held direction', 'given far', 'fundamental tem00']</t>
  </si>
  <si>
    <t>For an offset dual-reflector antenna design of zero geometrical optics cross polarization, the diffraction-induced cross polarizations calculated from the differential phase shift between the fundamental TEM00 and higher order TEM01Gaussian beam modes, which represent principal and cross-polarization components, respectively, are in agreement with measured data. Since this residual cross polarization in the main reflector aperture is in approximate phase quadrature with the principal polarization, the far-held cross polarization is in phase with the principal polarization. Thus, both principal polarizations exhibit the same slight rotation for a given far-held direction. An important consequence is the preservation of orthogonality between two orthogonal linear polarizations from the feed. ¬© 1991 IEEE</t>
  </si>
  <si>
    <t>1753-1756</t>
  </si>
  <si>
    <t>Chu, Ta Shing</t>
  </si>
  <si>
    <t>Polarization Properties of Offset Dual-Reflector Antennas</t>
  </si>
  <si>
    <t>10.1109/8.121596</t>
  </si>
  <si>
    <t>2-s2.0-0026369924</t>
  </si>
  <si>
    <t>['wave solution', 'scan blindnesses', 'printed dipoles', 'paper describes', 'numerical calculations', 'infinite arrays', 'dielectric case', 'also discussed']</t>
  </si>
  <si>
    <t>This paper describes the analysis of infinite arrays of printed dipoles on finite-height dielectric sheets. A full-wave solution is obtained by using a combination of the Green‚Äôs function-moment method approach and mode matching techniques. Numerical calculations and experimental results validating the theory are shown for the air-dielectric case and for ‚àär‚â† 1. Scan blindnesses are identified in arrays with ‚àär ‚â† 1. Pertinent numerical considerations and issues of convergence are also discussed. ¬© 1991 IEEE</t>
  </si>
  <si>
    <t>1722-1732</t>
  </si>
  <si>
    <t>60013649;60014313;60014313</t>
  </si>
  <si>
    <t>8507385300;7004535821;7006791463</t>
  </si>
  <si>
    <t>Bayard, Jean Pierre R.;Cooley, Michael E.;Schaubert, Daniel H.</t>
  </si>
  <si>
    <t>Analysis of Infinite Arrays of Printed Dipoles on Dielectric Sheets Perpendicular to a Ground Plane</t>
  </si>
  <si>
    <t>10.1109/8.121593</t>
  </si>
  <si>
    <t>2-s2.0-0026369926</t>
  </si>
  <si>
    <t>['well described', 'reflection studies', 'reflection measurements', 'carrier dynamics', 'anisotropic dielectrics']</t>
  </si>
  <si>
    <t>Broad-band microwave reflection spectroscopy is demonstrated with picosecond transient radiation from optoelectronically pulsed antennas. The validity of the technique is verified by reflection measurements on isotropic and anisotropic dielectrics. Reflection studies on a series of doped silicon samples demonstrate that the carrier dynamics in the 15‚Äì140 GHz frequency range are well described by a simple Drude model. ¬© 1991 IEEE</t>
  </si>
  <si>
    <t>371-373</t>
  </si>
  <si>
    <t>60017366;60017366;60017366;60017366</t>
  </si>
  <si>
    <t>57190283458;7004102516;6604060955;7003917289</t>
  </si>
  <si>
    <t>Robertson, W. M.;Arjavalingam, G.;Kopcsay, G. V.;Halbout, J. M.</t>
  </si>
  <si>
    <t>Yorktown Heights</t>
  </si>
  <si>
    <t>IBM Thomas J. Watson Research Center</t>
  </si>
  <si>
    <t>Robertson W.M.</t>
  </si>
  <si>
    <t>Microwave Reflection Measurements on Doped Semiconductors with Picosecond Transient Radiation</t>
  </si>
  <si>
    <t>10.1109/75.103854</t>
  </si>
  <si>
    <t>2-s2.0-0026370033</t>
  </si>
  <si>
    <t>['rigorously included', 'patch elements', 'model uses', 'input impedance', 'galerkin solution']</t>
  </si>
  <si>
    <t>Input impedance and radar cross section (RCS) results for probe-fed single rectangular and circular microstrip patch elements obtained using an accurate and efficient numerical model are presented. The model uses a full-wave Green‚Äôs function/Galerkin solution in which the connection of a vertical probe feed to the patch is rigorously included in the analysis by use of a special basis function called the ‚Äúattachment mode,‚Äù which is derived from the corresponding cavity model solution. Comparisons with measured input impedance and monostatic radar cross section data demonstrate the efficacy of the theory. This model accurately predicts the performance of probe-fed patches printed on thick and/or high dielectric constant substrates and patch elements with more than one probe feed, cases where other less rigorous models fail. ¬© 1991 IEEE</t>
  </si>
  <si>
    <t>1691-1696</t>
  </si>
  <si>
    <t>60003892;60003892;60014313</t>
  </si>
  <si>
    <t>7005725769;57208464375;57208463822</t>
  </si>
  <si>
    <t>Aberle, James T.;Birtcher, Craig R.;Pozar, David M.</t>
  </si>
  <si>
    <t>Aberle J.T.</t>
  </si>
  <si>
    <t>Evaluation of Input Impedance and Radar Cross Section of Probe-Fed Microstrip Patch Elements Using an Accurate Feed Model</t>
  </si>
  <si>
    <t>10.1109/8.121589</t>
  </si>
  <si>
    <t>2-s2.0-0026370301</t>
  </si>
  <si>
    <t>['wave modes', 'wave admittance', 'vary widely', 'various surface', 'space wave', 'orthogonal relationship', 'numerical results', 'measured data', 'input impedance']</t>
  </si>
  <si>
    <t>The surface-wave admittance of a circular patch antenna with finite ground plane dimensions is formulated. The orthogonal relationship between the space wave and various surface-wave modes is invoked to determine the amplitude of a surface-wave mode produced by the equivalent magnetic current of the patch. The surface wave admittance, and hence the input impedance of a patch is found to vary widely with the ground plane size. Numerical results for the input impedance agree well with the measured data which confirms the validity of the formulation.</t>
  </si>
  <si>
    <t>560-564</t>
  </si>
  <si>
    <t>Bhattacharyya, A. K.</t>
  </si>
  <si>
    <t>Effects of ground plane truncation on the impedance of a patch antenna</t>
  </si>
  <si>
    <t>10.1049/ip-h-2.1991.0093</t>
  </si>
  <si>
    <t>2-s2.0-0026371428</t>
  </si>
  <si>
    <t>['transverse components', 'rapid retrieval', 'radiation patterns', 'precision specified', 'precision requires', 'far field', 'e .,']</t>
  </si>
  <si>
    <t>A spherical mode expansion with Cartesian vector coefficients is presented for the study of the radiation patterns of arbitrary wire antennas. Coefficients are obtained by using a spherical harmonic series for the free space Green‚Äôs function in conjunction with the current distribution obtained with the method of moments. Transverse components of the far field are ultimately obtained yielding a compact pattern representation suitable for rapid retrieval and display. The length of the expansion is shown to be related to the precision specified for the pattern; i.e., more precision requires more terms. A useful truncation criterion, Nt‚âà kRmax, is proposed and verified by comparing results obtained for several typical wire antennas. ¬© 1991 IEEE</t>
  </si>
  <si>
    <t>1716-1721</t>
  </si>
  <si>
    <t>60018179;60018179</t>
  </si>
  <si>
    <t>7601449620;7202539192</t>
  </si>
  <si>
    <t>Chen, Yinchao;Simpson, Ted</t>
  </si>
  <si>
    <t>Columbia</t>
  </si>
  <si>
    <t>University of South Carolina</t>
  </si>
  <si>
    <t>Chen Y.</t>
  </si>
  <si>
    <t>Radiation Pattern Analysis of Arbitrary Wire Antennas Using Spherical Mode Expansions with Vector Coefficients</t>
  </si>
  <si>
    <t>10.1109/8.121592</t>
  </si>
  <si>
    <t>2-s2.0-0026372220</t>
  </si>
  <si>
    <t>['waveguide simulator', 'rcs ).', 'new type', 'experimental data', 'design criteria', 'building radomes', 'analysis employs']</t>
  </si>
  <si>
    <t>A new type of frequency-selective surface based on the aperture coupled microstrip patch is presented. This surface has a narrow bandpass response useful for building radomes with low out-of-band radar cross section (RCS). The analysis employs the spectral domain moment method. The design criteria and a simple lumped element model are derived and presented. Experimental data from a waveguide simulator are presented which confirm the theory. ¬© 1991 IEEE</t>
  </si>
  <si>
    <t>1763-1769</t>
  </si>
  <si>
    <t>60025038;60014313</t>
  </si>
  <si>
    <t>6701438680;7006061921</t>
  </si>
  <si>
    <t>Pous, Rafael;Pozar, David M.</t>
  </si>
  <si>
    <t>Berkeley;Amherst MA</t>
  </si>
  <si>
    <t>University of California, Berkeley;University of Massachusetts Amherst</t>
  </si>
  <si>
    <t>Pous R.</t>
  </si>
  <si>
    <t>A Frequency-Selective Surface Using Aperture-Coupled Microstrip Patches</t>
  </si>
  <si>
    <t>10.1109/8.121598</t>
  </si>
  <si>
    <t>2-s2.0-0026372930</t>
  </si>
  <si>
    <t>['size compatible', 'receive module', 'receive gain', 'power output', 'phase control', 'octave 3', 'noise figure', 'module incorporates', 'mmic module', 'independent amplitude', '40 db', '38 db', '21 w', '170 mm', '146 mm', '0 db']</t>
  </si>
  <si>
    <t>A complex wideband transmit/receive module that has achieved performance levels superior to any MMIC module will be described. Peak performance within the octave 3.0 to 6.0 GHz band includes a power output of 21 W at S-band and 19 at C-band, a noise figure of 3.9 to 5.0 dB, 30 to 38 dB of receive gain, 25 to 26 dBm output IP3, 40 dB of gain control 256 steps, dual receive channels with independent amplitude and phase control an 8-bit phase shifter with less than 1 degree calibrated rms phase error. Total GaAs area is 146 mm&lt;sup&gt;2&lt;/sup&gt; with 170 mm of total gate periphery. The module incorporates a compact digital interface, requires only three supply voltages utilizes advanced packaging techniques, resulting a size compatible with a grating lobe free grid spacing. ¬© 1991 IEEE</t>
  </si>
  <si>
    <t>1955-1963</t>
  </si>
  <si>
    <t>Komiak, James J.</t>
  </si>
  <si>
    <t>Komiak J.J.</t>
  </si>
  <si>
    <t>Design and Performance of Octave S/C-Band MMIC T/R Modules for Multi-Function Phased Arrays</t>
  </si>
  <si>
    <t>10.1109/22.106533</t>
  </si>
  <si>
    <t>2-s2.0-0026374606</t>
  </si>
  <si>
    <t>['‚ äêorbit', 'verified beforehand', 'receiver design', 'paper presents', 'paper describes', 'orex vehicle', 'orbit determination', 'navigation performance', 'main purpose', 'key component', 'hope safely', 'hope ).', 'gps receiver', 'gps experiments', 'first fix', 'earth autonomously', 'approach phases', 'analytical results', '1991 institute']</t>
  </si>
  <si>
    <t>This paper describes the application of GPS to the H‚ÄêII orbiting plane (HOPE). The HOPE is a Japanese space transportation vehicle that will be launched at the end of the 1990s. It will be launched by the H‚ÄêII rocket, a Japanese next‚Äêgeneration main launcher, and will return to the earth autonomously after various orbital operations. GPS is a key component in guiding the HOPE safely during the on‚Äêorbit, rendezvous, de‚Äêorbit, and approach phases. This paper presents the analytical results of GPS receiver design and orbit determination. Specifically, it addresses expected pseudorange and delta range variations, tolerance to high dynamic motion, time to first fix (TTFF), antenna location, and navigation performance. Receiver design is to be verified beforehand by installing the GPS receiver on the orbital re‚Äêentry experimental (OREX) vehicle. The OREX vehicle will be launched in 1993 by the first H‚ÄêII rocket. The main purpose of GPS experiments in the OREX is to evaluate the functions and performance of the GPS navigation system during the on‚Äêorbit and re‚Äêentry phases. 1991 Institute of Navigation</t>
  </si>
  <si>
    <t>317-339</t>
  </si>
  <si>
    <t>Navigation</t>
  </si>
  <si>
    <t>Winter 1991</t>
  </si>
  <si>
    <t>60022990;60022990;60022990;60018735;60018735;60018735</t>
  </si>
  <si>
    <t>7004139230;7102870257;7401910381;6603613664;7005148822;36729621200</t>
  </si>
  <si>
    <t>KAWANO, ISAO;WAKABAYASHI, YASUFUMI;IZUMI, TATSUSHI;HARIGAE, MASATOSHI;IKEUCHI, MASAYUKI;MAEDA, HIROAKI</t>
  </si>
  <si>
    <t>Japan Aerospace Exploration Agency;Toshiba Corporation</t>
  </si>
  <si>
    <t>60022990;60018735</t>
  </si>
  <si>
    <t>KAWANO I.</t>
  </si>
  <si>
    <t>The Application of GPS to the H‚ÄêII Orbiting Plane</t>
  </si>
  <si>
    <t>10.1002/j.2161-4296.1991.tb01865.x</t>
  </si>
  <si>
    <t>2-s2.0-0026375807</t>
  </si>
  <si>
    <t>['yag laser', 'radiative measurements', 'optical pulse', 'measured pulse', 'frequency spectrum', 'extremely narrow', 'band antenna', '900 ps', '50 mhz', '5 ns', '15 kv', '1 ghz']</t>
  </si>
  <si>
    <t>The generation of extremely narrow, high peak power pulses using an optically activated impulse generator has been demonstrated. Radiative measurements at 1 Hz PRF have been conducted at pulse bias levels up to 15 kV, using an optical pulse from a Nd:YAG laser to trigger the device. The measured pulse from a wide-band antenna had a pulsewidth of 1.5 ns with a risetime of 900 ps. The frequency spectrum of this radiated waveform ranged from 50 MHz to 1 GHz. ¬© 1991 IEEE</t>
  </si>
  <si>
    <t>2026-2030</t>
  </si>
  <si>
    <t>60119141;;;</t>
  </si>
  <si>
    <t>7402063399;6701813812;6701634314;56838102500</t>
  </si>
  <si>
    <t>Kim, A.;Youmans, Robert J.;Zeto, R.;Weinel, Maurice</t>
  </si>
  <si>
    <t>New Brunswick</t>
  </si>
  <si>
    <t>Rutgers University‚ÄìNew Brunswick</t>
  </si>
  <si>
    <t>Kim A.</t>
  </si>
  <si>
    <t>Photoconductive Impulse Generation and Radiation</t>
  </si>
  <si>
    <t>10.1109/22.106542</t>
  </si>
  <si>
    <t>2-s2.0-0026378065</t>
  </si>
  <si>
    <t>['spectral domain', 'numerical results', 'experimental data', 'different characteristics', 'designing millimeter', 'band aperture']</t>
  </si>
  <si>
    <t>K-band aperture-coupled stacked microstrip antennas are studied and numerical results, based on the solution of integral equations solved in the spectral domain are presented. The effects of varying physical parameters of the structure are investigated with a goal of designing millimeter-wave wideband microstrip antennas. Antennas with different characteristics are then analyzed and compared with experimental data. Bandwidths in excess of 20% are obtained and applications to phased array antennas are discussed. ¬© 1991 IEEE</t>
  </si>
  <si>
    <t>1770-1776</t>
  </si>
  <si>
    <t>60014313;60014313</t>
  </si>
  <si>
    <t>6603231347;7006061921</t>
  </si>
  <si>
    <t>Croq, Frederic;Pozar, David M.</t>
  </si>
  <si>
    <t>Millimeter-Wave Design of Wide-Band Aperture-Coupled Stacked Microstrip Antennas</t>
  </si>
  <si>
    <t>10.1109/8.121599</t>
  </si>
  <si>
    <t>2-s2.0-0026382571</t>
  </si>
  <si>
    <t>['without loss', 'surface waves', 'successfully explain', 'sommerfeld integrals', 'scattering behavior', 'primary emphasis', 'pattern structure', 'microstrip dipoles', 'major role', 'magnetodielectric substrates']</t>
  </si>
  <si>
    <t>The scattering cross section of microstrip dipoles is examined. The primary emphasis will be to demonstrate the effects of surface waves on the scattering cross section, and to provide a simple physical understanding of the surface wave mechanism. The electric field integral equation (EFIE) is solved in the spatial domain using the method of moments. Special techniques used to speed up the evaluation of the Sommerfeld integrals will be explained. The radar cross section (RCS) for several microstrip dipole configurations is presented. The mechanism for generation of surface waves plays a major role in the scattering behavior of the dipoles, and a physically intuitive interpretation of this mechanism is used to successfully explain the pattern structure. For generality, magnetodielectric substrates with and without loss are considered. ¬© 1991 IEEE</t>
  </si>
  <si>
    <t>1707-1715</t>
  </si>
  <si>
    <t>6506269558;7004468161</t>
  </si>
  <si>
    <t>Antilla, George E.;Alexopoulos, Nicolaos G.</t>
  </si>
  <si>
    <t>Antilla G.E.</t>
  </si>
  <si>
    <t>Surface Wave and Related Effects on the RCS of Microstrip Dipoles Printed on Magnetodielectric Substrates</t>
  </si>
  <si>
    <t>10.1109/8.121591</t>
  </si>
  <si>
    <t>2-s2.0-0026382573</t>
  </si>
  <si>
    <t>['wall admittance', 'sphere radius', 'resonance frequency', 'radiation patterns', 'planar structure', 'input impedance', 'different parameters', 'dielectric thickness', 'computed using', 'comprehensive analysis', 'antenna characteristics', 'also presented']</t>
  </si>
  <si>
    <t>A comprehensive analysis of spherical circular microstrip patch antennas is presented. The dielectric thickness is considered to be thin. Computation of the wall admittance is also presented. The input impedance is computed using the generalised transmission line model. The values of the input impedance and the resonance frequency are found to be comparable with that of a planar structure when the sphere radius is large. The radiation patterns are computed numerically using the method of moments. The effect of different parameters on the antenna characteristics is investigated.</t>
  </si>
  <si>
    <t>542-548</t>
  </si>
  <si>
    <t>60010491;60010491</t>
  </si>
  <si>
    <t>7005716030;7004922524</t>
  </si>
  <si>
    <t>Ke, B.;Kishk, A. A.</t>
  </si>
  <si>
    <t>Ke B.</t>
  </si>
  <si>
    <t>Analysis of spherical circular microstrip antennas</t>
  </si>
  <si>
    <t>10.1049/ip-h-2.1991.0091</t>
  </si>
  <si>
    <t>2-s2.0-0026383513</t>
  </si>
  <si>
    <t>['wave ratio', 'voltage standing', 'realized gain', 'periodic array', 'new radiator', 'input impedance', 'held patterns', 'feed patches', 'experimental results', 'desirable characteristics', 'band match', '10 elements']</t>
  </si>
  <si>
    <t>The dual-feed microstrip patch antenna is pre- sented. This new radiator has broad-band match and unidirectional azimuth pattern, desirable characteristics for use in broad-band endfire arrays. Design, construction, and experimental results (realized gain, input impedance, and far-held patterns) are given for a log-periodic array of dual-feed patches. An array with only 10 elements has been demonstrated to operate at nearly constant gain over a 2:1 frequency band with voltage standing-wave ratio (VSWR) less than 2:1. ¬© 1991 IEEE</t>
  </si>
  <si>
    <t>1659-1664</t>
  </si>
  <si>
    <t>7406228773;7006767012</t>
  </si>
  <si>
    <t>Smith, Hugh K.;Mayes, Paul E.</t>
  </si>
  <si>
    <t>Smith H.K.</t>
  </si>
  <si>
    <t>Log-Periodic Array of Dual-Feed Microstrip Patch Antennas</t>
  </si>
  <si>
    <t>10.1109/8.121585</t>
  </si>
  <si>
    <t>2-s2.0-0026388692</t>
  </si>
  <si>
    <t>['scattering process', 'scattered amplitude', 'frequency dependence', 'fourier analysis', 'conducting cylinders', '140 ghz']</t>
  </si>
  <si>
    <t>The microwave scattering properties of conducting cylinders are characterized by measuring their response to picosecond duration electromagnetic pulses. The ultrafast electromagnetic transients are generated and detected with optoelecironically pulsed antennas. The time-domain response gives physical insight into the scattering process. In addition, Fourier analysis is used to obtain the frequency dependence of the scattered amplitude and phase from 15 to 140 GHz. ¬© 1991 IEEE</t>
  </si>
  <si>
    <t>379-381</t>
  </si>
  <si>
    <t>60017366;60017366;60017366</t>
  </si>
  <si>
    <t>57190283458;6604060955;7004102516</t>
  </si>
  <si>
    <t>Robertson, W. M.;Kopcsay, G. V.;Arjavalingam, G.</t>
  </si>
  <si>
    <t>Picosecond Time-Domain Electromagnetic Scattering from Conducting Cylinders</t>
  </si>
  <si>
    <t>10.1109/75.103857</t>
  </si>
  <si>
    <t>2-s2.0-0026390954</t>
  </si>
  <si>
    <t>['technique proves', 'second computer', 'robust algorithms', 'rigid platforms', 'heading data', 'gps attitude', 'four antennas', 'flight control', 'concentrated mainly', '1991 institute']</t>
  </si>
  <si>
    <t>Attitude and heading determination using GPS interferometry is a well‚Äêunderstood concept. However, efforts have been concentrated mainly in the development of robust algorithms and applications for low‚Äêdynamic, rigid platforms (e.g., shipboard). This paper presents results of what is believed by the authors to be the first real‚Äêtime flight test of a GPS attitude and heading determination system. Signals from four antennas are processed by a 24‚Äêchannel GPS receiver. Data from the receiver are sent to a microcomputer for storage and further computations. Attitude and heading data are sent to a second computer for display on a software‚Äêgenerated artificial horizon. Demonstration of this technique proves its candidacy for augmentation of aircraft state estimation for flight control and navigation, as well as for numerous other applications. 1991 Institute of Navigation</t>
  </si>
  <si>
    <t>297-316</t>
  </si>
  <si>
    <t>60011132;60011132</t>
  </si>
  <si>
    <t>35562622200;6603665213</t>
  </si>
  <si>
    <t>VAN GRAAS, FRANK;BRAASCH, MICHAEL</t>
  </si>
  <si>
    <t>Athens</t>
  </si>
  <si>
    <t>Ohio University</t>
  </si>
  <si>
    <t>VAN GRAAS F.</t>
  </si>
  <si>
    <t>GPS Interferometric Attitude and Heading Determination: Initial Flight Test Results</t>
  </si>
  <si>
    <t>10.1002/j.2161-4296.1991.tb01864.x</t>
  </si>
  <si>
    <t>2-s2.0-0026392527</t>
  </si>
  <si>
    <t>['zone radiation', 'voltage received', 'various cross', 'tem wave', 'solved numerically', 'slot aperture', 'region exterior', 'radiation pattern', 'location relative', 'line source', 'interest may', 'infinite screen', 'infinite half', 'guide aperture', 'flanged parallel', 'first principles', 'excitations considered', 'cylinder loads', 'cylinder current', 'conducting cylinder', 'arbitrary cross']</t>
  </si>
  <si>
    <t>The characteristics of a flanged parallel-plate waveguide coupled to a conducting cylinder are investigated in general. The parallel-plate guide opens, through a slot aperture in an infinite screen, into a semi-infinite half-space in which resides a perfectly conducting cylinder of arbitrary cross-section whose axis is parallel to that of the slot. The excitations considered for this structure are (a) a TEM wave in the guide and (b) a line source in the region exterior to the guide, which when sufficiently remote creates a local plane wave. Coupled integral equations for the aperture electric field (or equivalent magnetic current) and the cylinder current are derived from first principles and are solved numerically for cylinders of various cross-section, size and location relative to that of the slot aperture. From knowledge of aperture electric field and cylinder current, all other quantities of interest may be determined: voltage received in the guide, guide reflection coefficient and far-zone radiation. Data are presented that illustrate how the cylinder loads the guide, modifies its radiation pattern and serves as a shield for the aperture. From the data, one can assess the effectiveness of a conducting shield placed over, but not in contact with, the guide aperture.</t>
  </si>
  <si>
    <t>549-559</t>
  </si>
  <si>
    <t>60026610;60026610;60026610;60026610</t>
  </si>
  <si>
    <t>7201550943;7006107091;7801592535;6701429640</t>
  </si>
  <si>
    <t>Butler, C. M.;Courtney, C. C.;Mannikko, P. D.;Silvestro, J. W.</t>
  </si>
  <si>
    <t>Clemson</t>
  </si>
  <si>
    <t>Clemson University</t>
  </si>
  <si>
    <t>Butler C.</t>
  </si>
  <si>
    <t>Flanged parallel-plate waveguide coupled to a conducting cylinder</t>
  </si>
  <si>
    <t>10.1049/ip-h-2.1991.0092</t>
  </si>
  <si>
    <t>2-s2.0-0026397053</t>
  </si>
  <si>
    <t>['satellite applications', 'particular reference', 'mesh surface', 'elastic springs', 'discussed together', 'boundary constraints', 'antenna fed', 'actuator settings']</t>
  </si>
  <si>
    <t>The theory and design of a reconfigurable mesh reflector antenna is described with particular reference to satellite applications. As an example, it is shown that antenna pattern reconfiguration can be achieved for a 50-wavelength-diameter antenna using 78 actuators with performance very comparable with that prescribed for an antenna fed from an array. The predicted performance relies on an accurate mechanical model for the knitted mesh surface, which is developed here using a network of elastic springs. The effectiveness of the model is demonstrated. Other factors affecting performance, such as boundary constraints and the means to control the mesh surface, are discussed together with tolerances on actuator settings.</t>
  </si>
  <si>
    <t>485-492</t>
  </si>
  <si>
    <t>60033387;60033387</t>
  </si>
  <si>
    <t>7006192058;23062556900</t>
  </si>
  <si>
    <t>Clarricoats, P. J.B.;Zhou, H.</t>
  </si>
  <si>
    <t>University of London</t>
  </si>
  <si>
    <t>Clarricoats P.</t>
  </si>
  <si>
    <t>Design and performance of a reconfigurable mesh reflector antenna. Part 1. Antenna design</t>
  </si>
  <si>
    <t>10.1049/ip-h-2.1991.0082</t>
  </si>
  <si>
    <t>2-s2.0-0026397055</t>
  </si>
  <si>
    <t>['three aspects', 'term viability', 'radar waves', 'planar plasma', 'phased arrays', 'generally viable', 'based antennae', 'airborne antennae', '94 ghz', '60 ghz']</t>
  </si>
  <si>
    <t>This paper describes investigations into methods of generating a planar plasma for use as a reflector for radar waves. The application is a reflector for radar waves. The use of the plasma reflector could allow electronic beam steering at frequencies above what is generally viable for phased arrays. Three aspects of the planar plasma production are investigated: localization of the plasma, main plasma production, and long-term viability of the system. Possible applications include ship-based antennae at X-band, airborne antennae at 94 GHz, and space-based antennae at 60 GHz. ¬© 1991 IEEE</t>
  </si>
  <si>
    <t>1228-1234</t>
  </si>
  <si>
    <t>Manheimer, Wallace M.</t>
  </si>
  <si>
    <t>Manheimer W.M.</t>
  </si>
  <si>
    <t>Plasma Reflectors for Electronic Beam Steering in Radar Systems</t>
  </si>
  <si>
    <t>10.1109/27.125044</t>
  </si>
  <si>
    <t>2-s2.0-0026397809</t>
  </si>
  <si>
    <t>['technique described', 'reflector surfaces', 'output beam', 'optical antenna', 'method used', 'measured gaussian', 'main lobe', 'like near', 'gyrotron operating', 'gallery mode', 'field profile', 'efficiency quasi', 'design procedure', 'configuration proposed', 'beam power']</t>
  </si>
  <si>
    <t>An improved-efficiency quasi-optical antenna for the transformation of the output of a gyrotron operating in a whispering-gallery mode (WGM) has been reported by lima et al. The improved antenna incorporates a shaped reflecting surface attached to the helically-cut waveguide launcher of the configuration proposed by Vlasov et al. This second reflector allows for the manipulation of the output-beam power distribution parallel to the direction of the polarization of the beam. A measured Gaussian-like near-field profile in which 93% of the beam power is contained in the main lobe has been obtained. No details of the method used to generate the reflector surfaces of this device have appeared in the literature. It is the purpose of this paper to establish, in a rigorous theoretical manner, a dual-reflector synthesis technique based upon geometrical optics (GO) principles to obtain the shapes of the reflectors. This design procedure is analogous to a technique described by Galindo and may be extended to allow for manipulation of the power distribution across both dimensions of the output beam. ¬© 1991 IEEE</t>
  </si>
  <si>
    <t>1733-1741</t>
  </si>
  <si>
    <t>6602587441;7102337349</t>
  </si>
  <si>
    <t>Lorbeck, Jeffrey A.;Vernon, Ronald J.</t>
  </si>
  <si>
    <t>Lorbeck J.</t>
  </si>
  <si>
    <t>Singly Curved Dual-Reflector Synthesis Technique Applied to a Quasi-Optical Antenna for a Gyrotron with a Whispering-Gallery Mode Output</t>
  </si>
  <si>
    <t>10.1109/8.121594</t>
  </si>
  <si>
    <t>2-s2.0-0026397867</t>
  </si>
  <si>
    <t>['¬© 1991', 'wide range', 'system supports', 'rights reserved', 'research organisations', 'paper together', 'olympus satellite', 'mesh network', 'large number', 'ka band', 'general monitoring', 'electrical engineers', 'design rationale', 'communicate directly', 'channel allocation', '64 kbit']</t>
  </si>
  <si>
    <t>An experimental microterminal satellite data communication system known as CODE has been developed by the European Space Agency with support from universities, research organisations and industry. The system, which operates at Ka band, consists of a large number of microterminals with 80 cm diameter antennas which can communicate directly in a mesh network at 64 kbit/s. A central hub station is used for channel allocation and for general monitoring and control of the microterminals. The system supports a wide range of standard application software which can run on standard personal computers and workstations. The design rationale of the system is described in the paper together with some of the applications and demonstrations that have been transmitted over the Olympus satellite to date. ¬© 1991, The Institution of Electrical Engineers. All rights reserved.</t>
  </si>
  <si>
    <t>243-251</t>
  </si>
  <si>
    <t>60031159;60019663;60031159;60024779;60031159</t>
  </si>
  <si>
    <t>7401857021;55890825300;7005285814;7102083131;6508204219</t>
  </si>
  <si>
    <t>Hughes, C. D.;Koudelka, O.;Garrido, C.;Tomlinson, M.;Horle, J.</t>
  </si>
  <si>
    <t>Netherlands;United Kingdom;Austria</t>
  </si>
  <si>
    <t>Noordwijk aan Zee;Plymouth;Graz</t>
  </si>
  <si>
    <t>ESTEC - European Space Research and Technology Centre;University of Plymouth;Technische Universitat Graz</t>
  </si>
  <si>
    <t>60031159;60024779;60019663</t>
  </si>
  <si>
    <t>Hughes C.</t>
  </si>
  <si>
    <t>A microterminal satellite data communication system</t>
  </si>
  <si>
    <t>10.1049/ecej:19910041</t>
  </si>
  <si>
    <t>2-s2.0-0026398552</t>
  </si>
  <si>
    <t>['white noise', 'square value', 'plane waves', 'numerical results', 'correlation matrix', 'basic idea', 'also discussed']</t>
  </si>
  <si>
    <t>In the paper, a simple beamforming approach is used to estimate the direction of arrival of plane waves in white noise. The basic idea of the approach is to minimise the mean-square value of the difference between the actual array response and the desired unity response in certain directional regions while imposing directional eigenvector constraints obtained from the correlation matrix. This is illustrated with numerical results. The connection between this bearing estimation scheme and the minimum norm spatial spectral estimator is also discussed.</t>
  </si>
  <si>
    <t>537-541</t>
  </si>
  <si>
    <t>Ng, B. P.</t>
  </si>
  <si>
    <t>Singapore Polytechnic</t>
  </si>
  <si>
    <t>Ng B.</t>
  </si>
  <si>
    <t>Bearing estimation using unity response beamforming approach</t>
  </si>
  <si>
    <t>10.1049/ip-h-2.1991.0090</t>
  </si>
  <si>
    <t>2-s2.0-0026401762</t>
  </si>
  <si>
    <t>['studied using', 'solved using', 'radiation characteristics', 'proper selection', 'near field', 'moments construction', 'insulated antenna', 'input impedance', 'good agreement', 'far field', 'effective length', 'differential equations', 'data obtained', 'complete formulation', 'coating material', 'basis functions', 'available data', 'arbitrary medium', 'also studied']</t>
  </si>
  <si>
    <t>Radiation characteristics of an insulated dipole antenna immersed in an arbitrary medium are studied using a complete formulation of the problem. Electric and magnetic equivalent surface currents are used to formulate a system of integro-differential equations. These equations are solved using the method of moments construction with the proper selection of basis functions. The data obtained are found to be in good agreement with the available data in the literature. The effect of the insulator's permittivity on the near field and far field of the dipole is discussed. The use of coating material to control the effective length of the dipole is presented. The effect of the insulator's thickness on the far field is also studied. The input impedance of the insulated antenna in an arbitrary medium is obtained.</t>
  </si>
  <si>
    <t>497-503</t>
  </si>
  <si>
    <t>57198167598;7102110120</t>
  </si>
  <si>
    <t>Ghods, A. H.;Rahmat-Samii, Y.</t>
  </si>
  <si>
    <t>Ghods A.</t>
  </si>
  <si>
    <t>Electromagnetic properties of an insulated dipole antenna immersed in an arbitrary medium</t>
  </si>
  <si>
    <t>10.1049/ip-h-2.1991.0084</t>
  </si>
  <si>
    <t>2-s2.0-0026402342</t>
  </si>
  <si>
    <t>['simple examples', 'rotating beams', 'paper deals', 'lumped mass', 'inertia forces', 'dynamic analysis', 'corresponding respectively', 'corotational approximations', 'corotational approximation', 'computer implementation', 'computational efficiency', 'component synthesis', 'available using', 'also demonstrated']</t>
  </si>
  <si>
    <t>The paper deals with substructuring for dynamic analysis of flexible multibody systems. Three different techniques based on component synthesis are discussed, corresponding respectively to fully consistent mass discretization, lumped mass discretization and corotational approximation of inertia forces. To simplify the computer implementation, only the lumped mass and corotational approximations have been considered in detail and programmed. Both approaches are validated on simple examples of rotating beams for which a full elastic model is available using a fully non‚Äêlinear beam element. The computational efficiency of the corotational inertia approach is also demonstrated on the deployment of a large flexible satellite antenna. Copyright ¬© 1991 John Wiley &amp; Sons, Ltd</t>
  </si>
  <si>
    <t>1565-1593</t>
  </si>
  <si>
    <t>60032258;60000964</t>
  </si>
  <si>
    <t>7005334210;7004397630</t>
  </si>
  <si>
    <t>Cardona, Alberto;Geradin, Michel</t>
  </si>
  <si>
    <t>Argentina;Belgium</t>
  </si>
  <si>
    <t>Santa Fe;Liege</t>
  </si>
  <si>
    <t>Instituto de Desarrollo Tecnologico para la Industria Quimica;Universit√© de Li√®ge</t>
  </si>
  <si>
    <t>Cardona A.</t>
  </si>
  <si>
    <t>Modelling of superelements in mechanism analysis</t>
  </si>
  <si>
    <t>10.1002/nme.1620320805</t>
  </si>
  <si>
    <t>2-s2.0-0026404434</t>
  </si>
  <si>
    <t>['wide range', 'shaped beam', 'predicted results', 'personal computer', 'paper describes', 'measured using', 'gain beam', 'excellent agreement', 'antenna patterns', '10 ghz']</t>
  </si>
  <si>
    <t>The paper describes the performance of an electronically controlled reconfigurable mesh reflector antenna operating at a frequency of 10 GHz. The antenna, which is controlled from a personal computer, is capable of being reconfigured to achieve a wide range of antenna patterns. Patterns are measured using the QMW compact antenna range and excellent agreement is obtained between measured and predicted results. Reconfiguration between a high-gain beam and a shaped beam is demonstrated as well as the potential for beam scanning without feed movement.</t>
  </si>
  <si>
    <t>493-496</t>
  </si>
  <si>
    <t>Design and performance of a reconfigurable mesh reflector antenna. Part 2. Antenna performance</t>
  </si>
  <si>
    <t>10.1049/ip-h-2.1991.0083</t>
  </si>
  <si>
    <t>2-s2.0-0026405825</t>
  </si>
  <si>
    <t>['spacings less', 'physical length', 'parallel wires', 'paper extends', 'nec2 method', 'moments program', 'limited however', 'input impedance', 'folded dipole', 'extension factor', 'element spacing', 'comparative results', 'also used', '39 times']</t>
  </si>
  <si>
    <t>The transmission line method provides a computationally efficient technique for obtaining the input impedance of a folded dipole. The method is limited however to cases where the separation between the parallel wires of the folded dipole is less than 1/100th of a wavelength. The paper extends the use of the method to include folded dipoles with spacings less than 1/6th of a wavelength. This is achieved by using an extended equivalent length based on the inter-element spacing of the folded dipole. The physical length of the folded dipole is increased by an extension factor of 0.39 times the inter-element spacing. The factor is obtained by numerical experiments using the NEC2 method of moments program and this is also used to generate the comparative results.</t>
  </si>
  <si>
    <t>577-580</t>
  </si>
  <si>
    <t>60016218;60016218</t>
  </si>
  <si>
    <t>55263026900;7005409475</t>
  </si>
  <si>
    <t>Clark, A. R.;Fourie, A. P.C.</t>
  </si>
  <si>
    <t>Johannesburg</t>
  </si>
  <si>
    <t>University of the Witwatersrand, Johannesburg</t>
  </si>
  <si>
    <t>Clark A.R.</t>
  </si>
  <si>
    <t>Improvement to the transmission line model of the folded dipole</t>
  </si>
  <si>
    <t>10.1049/ip-h-2.1991.0096</t>
  </si>
  <si>
    <t>2-s2.0-0026406883</t>
  </si>
  <si>
    <t>['two types', 'totally random', 'statistical properties', 'sidelobe behavior', 'random arrays', 'paper provides', 'nonoverlapping bins', 'equal length', 'distributed independently', 'depressed near', 'binned arrays', 'array factors', 'array elements']</t>
  </si>
  <si>
    <t>The paper provides a comparison of the array factors and the statistical properties for two types of random arrays, namely the totally random and the binned random arrays. In totally random arrays, the array elements are distributed independently across a common aperture according to some common probability distribution function. In binned ar rays, the aperture is divided into nonoverlapping bins of equal length and array elements are distributed independently, one per bin, according to some probability distribution across each of the bins. Significant differences exist in the resulting array factors and underlying statistical properties for the two types of random arrays. These differences are delineated, with particular emphasis upon the depressed near-in sidelobe behavior that is observed for the binned arrays. Tables and plots that illustrate the differences are included, and several issues pertaining to implementation are noted. ¬© 1991 IEEE</t>
  </si>
  <si>
    <t>1757-1762</t>
  </si>
  <si>
    <t>Hendricks, Walter J.</t>
  </si>
  <si>
    <t>Hendricks W.</t>
  </si>
  <si>
    <t>The Totally Random Versus the Bin Approach for Random Arrays</t>
  </si>
  <si>
    <t>10.1109/8.121597</t>
  </si>
  <si>
    <t>2-s2.0-0026407255</t>
  </si>
  <si>
    <t>['wiley company', 'well suited', 'structure consists', 'silicon wafer', 'inc .,', '7 db', '222 ghz']</t>
  </si>
  <si>
    <t>dielectric membranes | imaging arrays | Integrated corner‚Äêcube antennas | submillimeter‚Äêwave receivers</t>
  </si>
  <si>
    <t>A high‚Äêgain monolithic millimeter‚Äêwave antenna has been designed, fabricated and tested at 222 GHz. The structure consists of a traveling‚Äêwave antenna integrated on a 1.2‚ÄêŒºm dielectric membrane and suspended in a longitudinal cavity etched in a silicon wafer. A new traveling‚Äêwave antenna design yields a wideband input impedance and a low cross‚Äêpolarization component in the E‚Äê and quasi‚ÄêH‚Äêplane patterns. A directivity of 17.7 dB and a main‚Äêbeam efficiency of 88.5% are calculated from the 222‚ÄêGHz pattern measurements. The integrated corner‚Äêreflector antenna is well suited for millimeter‚Äêand submillimeter‚Äêwave imaging applications in large f‚Äênumber systems. Copyright ¬© 1991 Wiley Periodicals, Inc., A Wiley Company</t>
  </si>
  <si>
    <t>7004646209;36985970700;57211614875</t>
  </si>
  <si>
    <t>Integrated 222‚ÄêGHz corner‚Äêreflector antennas</t>
  </si>
  <si>
    <t>10.1002/mop.4650040106</t>
  </si>
  <si>
    <t>2-s2.0-0026416430</t>
  </si>
  <si>
    <t>['wiley company', 'therefore used', 'side lobes', 'octave band', 'metallic reflector', 'inc .,', 'dielectric lens']</t>
  </si>
  <si>
    <t>antenna | dipole | mixer | Planar | quasiparticle | SIS</t>
  </si>
  <si>
    <t>We describe a planar antenna structure consisting of two half‚Äêwave dipoles, which are backed by a metallic reflector to create an image of two more elements. The array produces rather a wide main beam, and is therefore used with a dielectric lens. The far‚Äêfield pattern of the dipole liens antenna has cross‚Äêpol better than ‚àí20 dB, and side lobes below ‚àí13 dB over an octave band. The impedance at the feedpoint of the antenna is approximately 70 ‚Äê j10 Œ© at the center of the band. Copyright ¬© 1991 Wiley Periodicals, Inc., A Wiley Company</t>
  </si>
  <si>
    <t>60001512-60000990;60001512;60001512</t>
  </si>
  <si>
    <t>55934729100;7005065120;6701849147</t>
  </si>
  <si>
    <t>Skalare, A.;De Graauw, Th;van de Stadt, H.</t>
  </si>
  <si>
    <t>Netherlands;Sweden</t>
  </si>
  <si>
    <t>Utrecht;Gothenburg</t>
  </si>
  <si>
    <t>SRON Netherlands Institute for Space Research;Chalmers University of Technology</t>
  </si>
  <si>
    <t>60001512;60000990</t>
  </si>
  <si>
    <t>Skalare A.</t>
  </si>
  <si>
    <t>A planar dipole array antenna with an elliptical lens</t>
  </si>
  <si>
    <t>10.1002/mop.4650040105</t>
  </si>
  <si>
    <t>2-s2.0-0026416445</t>
  </si>
  <si>
    <t>['wiley company', 'many applications', 'inc .,', 'dipole probes', 'aperture efficiency', 'accuracies better', '93 ghz', '5 %.']</t>
  </si>
  <si>
    <t>aperture efficiency | Integrated‚Äêcircuit horn antenna | power density meter</t>
  </si>
  <si>
    <t>We have improved the aperture efficiency of silicon integrated‚Äêcircuit horn antennas by optimizing the length of the dipole probes and by coating the entire horn walls with gold. To make these measurements, we developed a new thin‚Äêfilm power‚Äêdensity meter for measuring power density with accuracies better than 5%. The measured aperture efficiency improved from 44% to 72% at 93 GHz. This is sufficient for use in many applications which now use machined waveguide horns. Copyright ¬© 1991 Wiley Periodicals, Inc., A Wiley Company</t>
  </si>
  <si>
    <t>60031581;60031581;60031581;60031581;60031581</t>
  </si>
  <si>
    <t>35262006400;7501514129;7004250981;7103349922;7102803490</t>
  </si>
  <si>
    <t>Guo, Yong;Lee, Karen;Stimson, Philip;Potter, Kent;Rutledge, David</t>
  </si>
  <si>
    <t>Guo Y.</t>
  </si>
  <si>
    <t>Aperture efficiency of integrated‚Äêcircuit horn antennas</t>
  </si>
  <si>
    <t>10.1002/mop.4650040104</t>
  </si>
  <si>
    <t>2-s2.0-0026416455</t>
  </si>
  <si>
    <t>['wiley company', 'upper atmosphere', 'uars experiment', 'uars ).', 'submillimeter wavelengths', 'stratospheric ozone', 'remote sensing', 'industrial products', 'inc .,', 'enhanced version', 'critically monitoring', 'becoming available']</t>
  </si>
  <si>
    <t>ozone | remote sensing | stratosphere | Submillimeter</t>
  </si>
  <si>
    <t>Technology is now becoming available to develop submillimeter‚Äêwavelength heterodyne radiometric experiments for remote sensing the upper atmosphere from space. Such experiments can provide many essential measurements for assessing and critically monitoring the depletion of stratospheric ozone by pollution from industrial products. A millimeter‚Äêwavelength experiment for this purpose is now ready for launch on the NASA Upper Atmosphere Research Satellite (UARS). An enhanced version of the UARS experiment, which operates at submillimeter wavelengths, is under investigation for the future NASA Earth Observing System. Copyright ¬© 1991 Wiley Periodicals, Inc., A Wiley Company</t>
  </si>
  <si>
    <t>Waters, Joe W.</t>
  </si>
  <si>
    <t>Waters J.</t>
  </si>
  <si>
    <t>Submillimeter heterodyne remote sensing of upper atmospheric gases</t>
  </si>
  <si>
    <t>10.1002/mop.4650040103</t>
  </si>
  <si>
    <t>2-s2.0-0026416456</t>
  </si>
  <si>
    <t>['wiley company', 'present measurements', 'inc .,', 'imaging element', 'find application', 'dielectric stack', '94 ghz']</t>
  </si>
  <si>
    <t>imaging array | infrared detector | microbolomeler | Twin slot</t>
  </si>
  <si>
    <t>The twin slot antenna on a dielectric stack should find application in the far‚Äêinfrared spectral region. We present measurements at 94 GHz which show that this antenna will be useful as an imaging element. Based on these results, in combination with a new detector element, a two‚Äêdimensional FIR imaging array is proposed. Copyright ¬© 1991 Wiley Periodicals, Inc., A Wiley Company</t>
  </si>
  <si>
    <t>15-19</t>
  </si>
  <si>
    <t>60013372;60013372;60013372;60013372</t>
  </si>
  <si>
    <t>6601981537;7406380705;7006258203;7006694199</t>
  </si>
  <si>
    <t>Heston, John G.;Lewis, Jason M.;Wentworth, Stuart M.;Neikirk, Dean P.</t>
  </si>
  <si>
    <t>Heston J.</t>
  </si>
  <si>
    <t>Twin slot antenna structures integrated with microbolometer detectors for 94‚ÄêGHz imaging</t>
  </si>
  <si>
    <t>10.1002/mop.4650040107</t>
  </si>
  <si>
    <t>2-s2.0-0026416458</t>
  </si>
  <si>
    <t>['various ph', 'twisted pair', 'position 3', 'ph values', 'ph sensor', 'modified fiber', 'light transmitted', 'aqueous solutions', 'antenna fiber']</t>
  </si>
  <si>
    <t>Functional Bromothymol Blue dyes containing amino groups in position 3 have been immobilized on the surface of chlorosulfonated polystyrene fibers and characterized by ESCA. Upon laser irradiation, a modified fiber has been used as an antenna fiber in a twisted pair of plastic optical fibers immersed in aqueous solutions having various pH. The light transmitted to the receiving fiber depends on pH values. This device can be used as a pH sensor. Copyright ¬© 1991 John Wiley &amp; Sons, Inc.</t>
  </si>
  <si>
    <t>925-928</t>
  </si>
  <si>
    <t>Journal of Applied Polymer Science</t>
  </si>
  <si>
    <t>60015543;60015543;60027950</t>
  </si>
  <si>
    <t>7403489399;7006432363;7203016479</t>
  </si>
  <si>
    <t>Rao, B. S.;Puschett, J. B.;Matyjaszewski, K.</t>
  </si>
  <si>
    <t>Pittsburgh;Pittsburgh</t>
  </si>
  <si>
    <t>Carnegie Mellon University;University of Pittsburgh</t>
  </si>
  <si>
    <t>60027950;60015543</t>
  </si>
  <si>
    <t>Rao B.</t>
  </si>
  <si>
    <t>Preparation of pH sensors by covalent linkage of dye molecules to the surface of polystyrene optical fibers</t>
  </si>
  <si>
    <t>10.1002/app.1991.070430510</t>
  </si>
  <si>
    <t>2-s2.0-0026417183</t>
  </si>
  <si>
    <t>['¬© 1991', 'wave regime', 'new form', 'modulational instability', 'little damping', 'involve ducting', 'eicepe ).', 'density gradients', 'coulomb collisions', 'central frequency']</t>
  </si>
  <si>
    <t>A strong electromagnetic impulse (t0.2 s) with central frequency in the whistler-wave regime is applied to a large laboratory plasma dominated by Coulomb collisions (eicepe). Local electron heating at the antenna and transport along B0 create a channel of high conductivity along which the whistler pulse penetrates with little damping. Because of its rapid temporal evolution, this new form of modulational instability does not involve ducting by density gradients which require ion time scales to develop. ¬© 1991 The American Physical Society.</t>
  </si>
  <si>
    <t>1867-1870</t>
  </si>
  <si>
    <t>Physical Review Letters</t>
  </si>
  <si>
    <t>7005745994;7004643397</t>
  </si>
  <si>
    <t>Urrutia, J. M.;Stenzel, R. L.</t>
  </si>
  <si>
    <t>Urrutia J.</t>
  </si>
  <si>
    <t>Nonlinear penetration of whistler pulses into collisional plasmas via conductivity modifications</t>
  </si>
  <si>
    <t>10.1103/PhysRevLett.67.1867</t>
  </si>
  <si>
    <t>2-s2.0-0039441251</t>
  </si>
  <si>
    <t>['yield values', 'wave interferometers', 'single antennas', 'ray spectra', 'ray energies', 'radiative transfer', 'published h', 'observed sources', 'observations reported', 'objects since', 'nrao 150', 'low x', 'interstellar j', 'four sources', 'excellent candidates', 'co lines', 'co emission', 'bl lacertae', 'absorption ).', '3c 111', '12co toward']</t>
  </si>
  <si>
    <t>We have observed the interstellar J = 1 ‚Üí 0 emission line of 12CO toward the compact extragalactic continuum sources NRAO 140, NRAO 150, 3C 111, and BL Lacertae. We detect emission lines toward all four sources at higher spatial resolution than was the case for observations reported previously. Compact sources toward which CO is detected are excellent candidates for CO emission-absorption observations using a combination of single antennas (emission) and millimeter-wave interferometers (absorption). Such observations would provide important insights into the radiative transfer of the CO lines as well as the physical conditions inside molecular clouds. The observations reported here, combined with published H I observations, yield values for the total column density in atomic and molecular gas along the lines of sight to the observed sources. This is important for the interpretation of x-ray spectra of these objects since the intervening gas causes photoelectric absorption at low x-ray energies.</t>
  </si>
  <si>
    <t>2147-2150</t>
  </si>
  <si>
    <t>60019674;60019674-60020680;60015009</t>
  </si>
  <si>
    <t>7004590631;7004154914;7004333014</t>
  </si>
  <si>
    <t>Bania, Thomas M.;Marscher, Alan P.;Barvainis, Richard</t>
  </si>
  <si>
    <t>Cambridge;Boston;Westford</t>
  </si>
  <si>
    <t>Harvard-Smithsonian Center for Astrophysics;Boston University;MIT Haystack Observatory</t>
  </si>
  <si>
    <t>60020680;60019674;60015009</t>
  </si>
  <si>
    <t>Bania T.M.</t>
  </si>
  <si>
    <t>Observations of local interstellar CO toward four compact extragalactic radio sources</t>
  </si>
  <si>
    <t>10.1086/115836</t>
  </si>
  <si>
    <t>2-s2.0-0039882720</t>
  </si>
  <si>
    <t>['¬© 1991', 'tokamak ion', 'spw modes', 'qualitatively yields', 'plasma waves', 'plasma density', 'particle simulations', 'observed dependences', 'magnetic field', 'ibw heating', 'dominate coupling', 'antenna loading']</t>
  </si>
  <si>
    <t>It is proposed that the anomalous loading observed in tokamak ion-Bernstein-wave (IBW) experiments is due to a class of sheath-plasma waves (SPW) which propagate on high-voltage rf sheaths near the antenna. Particle simulations in one and two dimensions confirm the existence and scalings of the SPW. Coupling to the SPW modes can dominate coupling to the IBW, and qualitatively yields the observed dependences of antenna loading on parallel wave number, plasma density, and magnetic field. Antennas which minimize rf sheaths should improve the effectiveness of IBW heating. ¬© 1991 The American Physical Society.</t>
  </si>
  <si>
    <t>1173-1176</t>
  </si>
  <si>
    <t>60026358;60026358;60006164;60006164</t>
  </si>
  <si>
    <t>7004139188;22966520100;6602904505;7003601576</t>
  </si>
  <si>
    <t>Myra, J. R.;Dippolito, D. A.;Forslund, D. W.;Brackbill, J. U.</t>
  </si>
  <si>
    <t>Boulder;Los Alamos</t>
  </si>
  <si>
    <t>Lodestar Research Corporation;Los Alamos National Laboratory</t>
  </si>
  <si>
    <t>60026358;60006164</t>
  </si>
  <si>
    <t>Myra J.</t>
  </si>
  <si>
    <t>Sheath-plasma waves and anomalous loading in ion-Bernstein-wave experiments</t>
  </si>
  <si>
    <t>10.1103/PhysRevLett.66.1173</t>
  </si>
  <si>
    <t>2-s2.0-0040939040</t>
  </si>
  <si>
    <t>['¬© 1991', 'wind values', 'three years', 'shifted towards', 'seasonal dependence', 'return echoes', 'randomization technique', 'radar scatterers', 'observed correlation', 'ne quadrant', 'mean r', 'local k', 'larger winds', 'investigate correlations', 'horizontal wind', 'high k', 'geomagnetic activity', 'geographic nw', 'frequency components', 'angular spread', 'analysed using', 'also found', '86 km', '67 ¬∞', '110 km']</t>
  </si>
  <si>
    <t>A spaced antenna partial reflection radar located at Mawson, Antarctica (67¬∞S, 63¬∞E, invariant latitude 70¬∞S), has been used to measure the horizontal wind field in the height range 70-110 km. Three years of data (1985-1987) from the radar have been analysed in order to investigate correlations between geomagnetic activity (determined from the local K-index) and the horizontal wind. Results are analysed using a randomization technique and show that larger winds are measured during geomagnetically active periods in both the raw (or unfiltered) wind values and in the medium-frequency (2-6 h period) and high-frequency (1-3 h period) components. The raw winds tend to be shifted towards the geographic NW to NE quadrant in the early morning hours during high K-times. The observed correlation is seen down to 86 km and shows a seasonal dependence. The mean r.m.s. velocity of the radar scatterers and the angular spread of the return echoes are also found to be correlated with geomagnetic activity. The medium- and high-frequency components of the wind are polarized in the magnetic zonal direction during all seasons of the year. ¬© 1991.</t>
  </si>
  <si>
    <t>923-947</t>
  </si>
  <si>
    <t>60019943-60009512;60009512;60009512;60019943</t>
  </si>
  <si>
    <t>25926604100;6603183347;7202620125;7201692406</t>
  </si>
  <si>
    <t>Price, G. D.;Jacka, F.;Vincent, R. A.;Burns, G. B.</t>
  </si>
  <si>
    <t>The influence of geomagnetic activity on the upper mesosphere lower thermosphere in the auroral zone. II. Horizontal winds</t>
  </si>
  <si>
    <t>002191699190005R</t>
  </si>
  <si>
    <t>10.1016/0021-9169(91)90005-R</t>
  </si>
  <si>
    <t>2-s2.0-0041524163</t>
  </si>
  <si>
    <t>['‚ àº2', 'upper limit', 'several condensations', 'nine antennas', 'inner jet', 'flux density', 'brightest knot', 'apparent velocity', 'angular resolution', '60 km', '2 mas', '1 mpc', '0 ).']</t>
  </si>
  <si>
    <t>We present an image of the "core" and inner jet of Cygnus A at an angular resolution of 2 mas obtained from Mark III VLBI observations at 6 cm wavelength with an array of nine antennas. The core is resolved, at least partly due to its being broadened by scattering in the Galactic interstellar medium. The jet has several condensations out to a distance of ‚àº25 mas from the core and has a fairly constant FWHM of ‚àº2.2 mas. The parsec-scale jet points toward the arcsec-scale jet observed with the VLA to within 4¬∞. The ratio between the flux density of the jet and that of the counterjet is &gt; 15:1. From a comparison with an earlier VLBI image of Cygnus A, we find an upper limit to the apparent velocity of the brightest knot in the jet of about 2c, where c is the speed of light (for H0 = 60 km s-1 Mpc-1 ,q0 = 0).</t>
  </si>
  <si>
    <t>1691-1695</t>
  </si>
  <si>
    <t>60020680;60020680;60009037</t>
  </si>
  <si>
    <t>7005531977;7003729814;7003671406</t>
  </si>
  <si>
    <t>Carilli, Christopher L.;Bartel, Norbert;Linfield, Roger P.</t>
  </si>
  <si>
    <t>Cambridge;Pasadena</t>
  </si>
  <si>
    <t>Harvard-Smithsonian Center for Astrophysics;Jet Propulsion Laboratory</t>
  </si>
  <si>
    <t>60020680;60009037</t>
  </si>
  <si>
    <t>Carilli C.L.</t>
  </si>
  <si>
    <t>VLBI observations of the nuclear jet in Cygnus A</t>
  </si>
  <si>
    <t>10.1086/115988</t>
  </si>
  <si>
    <t>2-s2.0-0041526580</t>
  </si>
  <si>
    <t>['third day', 'thickens markedly', 'pupal antenna', 'olfactory nerve', 'neurons align', 'neuronal axons', 'larval antenna', 'first sign', 'distal portion', 'disc everts', 'cranial hemocoel', 'bombyx mori', 'basal portion', 'antennal epidermis', 'almost completed', 'abrupt expansion', '5th instar', '13 sensilla', '12 hours', '10 days']</t>
  </si>
  <si>
    <t>The larval antenna of Bombyx mori has 13 sensilla and about 52 sensory neurons in its distal portion. The axons form two nerve cords which unite in the cranial hemocoel to supply the brain as the olfactory nerve. The antennal imaginal disc, which is a thick pseudostratified epithelium continuous with the antennal epidermis, thickens markedly during the 5th instar by rapid cell proliferation. At the prepupal stage cell proliferation ceases and the disc everts to form a large pupal antenna. Simultaneously, an extensive cell rearrangement occurs in the antennal epidermis and the disc tissue becomes much thinner because of the abrupt expansion of antennal surface area. The two larval nerve cords thin down markedly by degeneration of axons, but they do not disintegrate totally even after the onset of pupation. The epidermis of the larval antenna forms the distal portion of the pupal antenna, while the imaginal disc forms the more basal portion. Development to the adult antenna occurs almost immediately after the onset of pupation; many adult neurons appear in the simple epidermis facing toward the thick outer side of the newly formed pupal cuticle. By 12 hours after the onset of pupation, these neurons align themselves in many transverse rows which are the first sign of the adult antennal configuration. Addition of these neuronal axons to the once‚Äêthinned nerve cords causes resumed thickening of the cords during the first 24 hours and thereafter. Differentiation of adult sensilla begins in the next 24 hours and is almost completed at the third day of pupation, which requires a total of 10 days. Copyright ¬© 1991 Wiley‚ÄêLiss, Inc.</t>
  </si>
  <si>
    <t>253-271</t>
  </si>
  <si>
    <t>Journal of Morphology</t>
  </si>
  <si>
    <t>Waku, Yoshio</t>
  </si>
  <si>
    <t>Waku Y.</t>
  </si>
  <si>
    <t>Developmental changes of the antenna and its neurons in the silkworm, Bombyx mori, with special regard to larval‚Äêpupal transformation</t>
  </si>
  <si>
    <t>10.1002/jmor.1052070304</t>
  </si>
  <si>
    <t>2-s2.0-0343177107</t>
  </si>
  <si>
    <t>['¬© 1991', 'weighting factor', 'vigna sinensis', 'tobacco hornworm', 'sinensis prefer', 'sinensis instead', 'rearing larvae', 'normal level', 'normal larvae', 'may involve', 'manduca sexta', 'lycopersicon esculentum', 'larvae reared', 'instar larvae', 'food preferences', 'food discrimination', 'esculentum enhances', 'epipharyngeal sensilla', 'eating v', 'different diets', 'detectable discrimination', 'control ).', 'antennal input']</t>
  </si>
  <si>
    <t>ablations | chemosensory organs | Food preference | induction | Manduca sexta | plants</t>
  </si>
  <si>
    <t>The effects of different diets on the role of each of five chemosensory organs in food discrimination was examined by measuring food preferences of larvae of the tobacco hornworm, Manduca sexta, which have different chemosensory organs remaining after microsurgery. Food preferences of fifth-instar larvae, reared on Lycopersicon esculentum or Vigna sinensis, were determined in two-choice tests using discs of V. sinensis and wetted filter paper discs (control). Larvae reared on L. esculentum are deterred from eating V. sinensis when either the epipharyngeal sensilla or the medial or the lateral maxillary sensilla styloconica are remaining. Only the latter organs confer the normal level of rejection of this plant. In contrast, the maxillary palps provide input which results in a preference for this plant and the antennae do not mediate any detectable discrimination. Thus, responses to V. sinensis vary depending on the chemosensory organ used. Larvae reared on V. sinensis prefer this plant over control. The individual chemosensory organs of these larvae mediate food discrimination which are similar to those of larvae reared on L. esculentum, except for the antennae. Larvae with antennae remaining prefer V. sinensis over control to the same degree as normal larvae do. Thus, rearing larvae on V. sinensis instead of L. esculentum enhances the acceptability of this plant which may involve a change in the weighting factor of antennal input. ¬© 1991.</t>
  </si>
  <si>
    <t>763-769</t>
  </si>
  <si>
    <t>de Boer, Gerrit</t>
  </si>
  <si>
    <t>de Boer G.</t>
  </si>
  <si>
    <t>Effect of diet experience on the ability of different larval chemosensory organs to mediate food discrimination by the tobacco hornworm, Manduca sexta</t>
  </si>
  <si>
    <t>0022-1910(91)90111-C</t>
  </si>
  <si>
    <t>10.1016/0022-1910(91)90111-C</t>
  </si>
  <si>
    <t>2-s2.0-0343361007</t>
  </si>
  <si>
    <t>['several charts', 'reflector surface', 'random errors', 'power pattern', 'pattern degradation', 'numerical data', 'general guidelines', 'francis group', 'dimensions recommended', 'beam efficiency', 'analytically derived', 'acceptable tolerance']</t>
  </si>
  <si>
    <t>Random errors on a reflector surface will result in antenna gain loss, beam efficiency reduction, and sidelobe level degradation. In this study, an improved mathematical model is presented for handling correlated random surface errors. The average power patterns of arbitrarily distorted antennas are determined by performing a complete numerical integration. Furthermore, in the case of a parabolic reflector antenna with random surface errors that have relatively short correlation length, the effective aperture distribution parameters, Be and pe, can be defined and analytically derived. Numerical data for a parabolic reflector antenna with dimensions recommended by a recent NASA study are generated to investigate the effects of uniform and linear random surface errors on power pattern, boresight gain loss, and beam efficiency. The results properly characterize the pattern degradation and the beam efficiency reduction as a function of random surface errors. For high beam efficiency and low sidelobe specifications, the acceptable tolerance on the surface errors becomes more stringent. Several charts on the beam efficiency are presented as general guidelines to be used by the designers of large reflector antennas. ¬© 1991 Taylor &amp; Francis Group, LLC.</t>
  </si>
  <si>
    <t>1069-1087</t>
  </si>
  <si>
    <t>56161418400;7102110120</t>
  </si>
  <si>
    <t>Wu, S. C.;Rahmat-Samii, Y.</t>
  </si>
  <si>
    <t>Wu S.</t>
  </si>
  <si>
    <t>Average pattern and beam efficiency characterization of reflector antennas with random surface errors</t>
  </si>
  <si>
    <t>10.1163/156939391X00365</t>
  </si>
  <si>
    <t>2-s2.0-0343620467</t>
  </si>
  <si>
    <t>['¬© 1991', 'two types', 'two compounds', 'short hairs', 'sensory field', 'sensillar types', 'receptor cells', 'precise areas', 'pheromone components', 'olfactory hairs', 'oh ).', 'morphologically identifiable', 'hexane extracts', 'hexadecenyl acetate', 'flagellar segments', 'dodecenyl acetate', 'ald ).', 'ac ),', '5 rows']</t>
  </si>
  <si>
    <t>Lepidoptera | olfaction | pheromone | receptor neurones | sensillum</t>
  </si>
  <si>
    <t>Two types of olfactory hairs were found on the antennae of the moth Mamestra thalassina (Lepidoptera: Noctuidae) by scanning electron microscopy and electrophysiology. Long olfactory hairs are arranged in 4-5 rows over the border of the sensory field of the flagellar segments. These sensilla were sensitive to (Z)-11-hexadecenyl acetate (Z11-16:Ac) and (Z)-11-hexadecenol (Z11-16:OH). Cross adaptation experiments showed that these two compounds are detected by two separate olfactory neurones. A ventro-medial sensillar field is composed of short hairs that respond only to (Z)-11-hexadecenal (Z11-16:Ald). No olfactory neurone specifically tuned to (Z)-7-dodecenyl acetate (Z7-12:Ac), a compound that elicited electroantennogram responses, was found. Z11-16:Ac, Z11-16:OH and Z11-16:Ald were found in hexane extracts from the female pheromone gland. The olfactory neurones specifically involved in the reception of the pheromone components in M. thalassina are housed in different sensillar types. Sensillar types are constant, morphologically identifiable and localized in precise areas at the surface of the antenna. The consequences of this arrangement of receptor cells are discussed. ¬© 1991.</t>
  </si>
  <si>
    <t>Renou, Michel</t>
  </si>
  <si>
    <t>INRAE</t>
  </si>
  <si>
    <t>Renou M.</t>
  </si>
  <si>
    <t>Sex pheromone reception in the moth, Mamestra thalassina. Characterization and distribution of two types of olfactory hairs</t>
  </si>
  <si>
    <t>10.1016/0022-1910(91)90038-2</t>
  </si>
  <si>
    <t>2-s2.0-0343679873</t>
  </si>
  <si>
    <t>['vertical polarization', 'two days', 'three days', 'smaller coefficients', 'radar operated', 'mounted radar', 'microwave frequencies', 'larger coefficients', 'horizontal polarization', 'francis ltd', 'first lnternation', 'different days', 'antenna angles', '60 ¬∞.', '6 ghz', '0 ¬∞', '0 9']</t>
  </si>
  <si>
    <t>Radar backscatter measurements were made as a part of the First lnternation.il satellite land surface climatology project Field Experiment (FIFE) to estimate soil moisture for use by other investigators. The helicopter-mounted radar was flown along selected transects that coincided with soil moisture measurements. The radar operated at microwave frequencies of 5.3 and 9.6 GHz and at selected incidence angles between 0¬∞ and 60¬∞. Vertical polarization was used for two days in June of 1987 and horizontal polarization was used for three days in July and October of 1987. The scattering coefficient data from different days were grouped by frequency and antenna angles and then related to soil moisture along the flight paths using linear regression. A measure of linearity for the regression, R2, ranged between 0 9 and 0.5. The larger coefficients were for C-band measurements made at large antenna incidence angles, and the smaller coefficients were for C-band measurements made: at incidence angles near vertical. ¬© 1991 Taylor &amp; Francis Ltd.</t>
  </si>
  <si>
    <t>2425-2432</t>
  </si>
  <si>
    <t>35513627000;7003264639;57193447494</t>
  </si>
  <si>
    <t>Gogineni, S.;Ampe, J.;Budihardjo, A.</t>
  </si>
  <si>
    <t>Gogineni S.</t>
  </si>
  <si>
    <t>Radar estimates of soil moisture over the konza prairie</t>
  </si>
  <si>
    <t>10.1080/01431169108955274</t>
  </si>
  <si>
    <t>2-s2.0-0343771628</t>
  </si>
  <si>
    <t>['total blend', 'six components', 'significantly higher', 'phenyl ethanol', 'ms ).', 'methylpropanoic acid', 'methylbutanoic acid', 'mass spectrometry', 'hairpencil compounds', 'female responses', 'female antennae']</t>
  </si>
  <si>
    <t>2-methylbutanoic acid | 2-methylpropanoic acid | 2-phenylethanol | benzaldehyde | benzyl alcohol | electroantennography | hairpencils | identification | Lepidoptera | male-produced compounds | Mamestra brassicae | Noctuidae | phenol</t>
  </si>
  <si>
    <t>Extracts of male Mamestra brassicae (L.) hairpencils were analyzed by capillary gas chromatography (GC) and by GC-mass spectrometry (GC-MS). The extracts were found to consist of six components. Benzaldehyde, 2-methylpropanoic acid, 2-methylbutanoic acid, and phenol were present in the extracts as well as the previously identified benzyl alcohol and phenyl ethanol. The two major components were 2-phenylethanol and 2-methylbutanoic acid. They represented, respectively, 74% and 12.5% of the total blend in 3-day-old male extracts. Electroantennograms were recorded on male and female antennae in response to stimulation by hairpencil compounds. Male and female antennae responded to each chemical but the female responses were significantly higher than those of the males. ¬© 1991 Plenum Publishing Corporation.</t>
  </si>
  <si>
    <t>239-246</t>
  </si>
  <si>
    <t>60123163;60123163;60123163</t>
  </si>
  <si>
    <t>7801398932;24295637900;55928718700</t>
  </si>
  <si>
    <t>Jacquin, E.;Nagnan, P.;Frerot, B.</t>
  </si>
  <si>
    <t>Jacquin E.</t>
  </si>
  <si>
    <t>Identification of hairpencil secretion from male Mamestra brassicae (L.) (Lepidoptera: Noctuidae) and electroantennogram studies</t>
  </si>
  <si>
    <t>10.1007/BF00994436</t>
  </si>
  <si>
    <t>2-s2.0-0345690749</t>
  </si>
  <si>
    <t>['theoretical interpretation', 'region 680', 'persistent holes', 'hole profile', 'czechoslovak academy', 'burning wavelength', '696 nm']</t>
  </si>
  <si>
    <t>Photosystem II core antenna of blue-green algae Synechococcus isolated in gel was studied by optical hole burning spectroscopy at 4¬∑2 K. Persistent holes were burned into fluorescence spectra throughout the region 680-696 nm. The hole width extrapolated to zero burning fluence yielded a value 1¬∑0¬±0¬∑2 cm-1. A theoretical interpretation of the hole profile in fluorescence is presented. The dependence of saturated hole depth on burning wavelength is related to inhomogeneous site distribution function. ¬© 1991 Institute of Physics, Czechoslovak Academy of Sciences.</t>
  </si>
  <si>
    <t>606-613</t>
  </si>
  <si>
    <t>Czechoslovak Journal of Physics</t>
  </si>
  <si>
    <t>60016605;60016605;60016605;60016605;60016605</t>
  </si>
  <si>
    <t>7003986908;6602944690;6603612633;7004075200;7004652660</t>
  </si>
  <si>
    <t>V√°cha, M.;Adamec, F.;Ambro≈Ω, M.;Dian, J.;H√°la, J.</t>
  </si>
  <si>
    <t>Czech Republic</t>
  </si>
  <si>
    <t>Prague Praha</t>
  </si>
  <si>
    <t>Charles University</t>
  </si>
  <si>
    <t>V√°cha M.</t>
  </si>
  <si>
    <t>Spectral hole burning of photosynthetic antenna of blue-green algae</t>
  </si>
  <si>
    <t>10.1007/BF01599027</t>
  </si>
  <si>
    <t>2-s2.0-11744290453</t>
  </si>
  <si>
    <t>['solved analytically', 'physics phys', 'fringing field', 'faraday screen']</t>
  </si>
  <si>
    <t>It is proposed that the fringing field of the Faraday screen of an ion-Bernstein wave antenna can couple to a short wavelength electrostatic mode and cause significant parasitic loading. The mixed boundary value problem is solved analytically and numerically. The characteristics of the resulting parasitic loading are described and relevance to experiments is described. ¬© 1990 American Institute of Physics Phys. Fluids B 3 (1), January 1991.</t>
  </si>
  <si>
    <t>Physics of Fluids B</t>
  </si>
  <si>
    <t>60013901;60013901;60018020;60026838</t>
  </si>
  <si>
    <t>7202291663;55580883900;22976701400;55106411800</t>
  </si>
  <si>
    <t>Chiu, S. C.;Chan, V. S.;Perkins, F. W.;Puri, S.</t>
  </si>
  <si>
    <t>Germany;United States;United States</t>
  </si>
  <si>
    <t>Garching bei Munchen;Princeton;San Diego</t>
  </si>
  <si>
    <t>Max Planck Institute for Plasma Physics;Princeton Plasma Physics Laboratory;General Atomics</t>
  </si>
  <si>
    <t>60026838;60018020;60013901</t>
  </si>
  <si>
    <t>Chiu S.</t>
  </si>
  <si>
    <t>Coupling of the fringing fields of an ion-Bernstein wave antenna</t>
  </si>
  <si>
    <t>10.1063/1.859933</t>
  </si>
  <si>
    <t>2-s2.0-11744360733</t>
  </si>
  <si>
    <t>['¬© 1991', 'ventral group', 'two groups', 'one antenna', 'lateral entrance', 'glomeruli indicate', 'glomerular organization', 'globally invariant', 'first time', 'dorsal group', 'cylindroiulus punctatus', 'cut end', 'cobalt chloride', 'cellular staining', 'antennal lobe', '3 glomeruli', '16 glomeruli']</t>
  </si>
  <si>
    <t>Antennal afferent pathway | deutocerebrum | glomeruli</t>
  </si>
  <si>
    <t>The topography of the antennal afferent pathway has been studied in detail for the first time in a myriapod, Cylindroiulus punctatus, by cellular staining, following localized application of cobalt chloride to the cut end of one antenna. At the lateral entrance of the sensory antennal nerve into the deutocerebrum, 3 main groups of tracts have been distinguished. In the antennal lobe, there are two groups of glomeruli: a ventral group of 3 glomeruli and a dorsal group of 15 or 16 glomeruli. The number, position and dimensions of the glomeruli indicate that the glomerular organization is globally invariant (5 individuals). ¬© 1991.</t>
  </si>
  <si>
    <t>205-214</t>
  </si>
  <si>
    <t>60028311;60003274</t>
  </si>
  <si>
    <t>6503900116;7202727363</t>
  </si>
  <si>
    <t>Duy-Jacquemin, Monique Nguyen;Arnold, G√©rard</t>
  </si>
  <si>
    <t>Paris;Versailles</t>
  </si>
  <si>
    <t>Museum National d'Histoire Naturelle;Centre de recherche √éle-de-France-Versailles - Grignon</t>
  </si>
  <si>
    <t>Duy-Jacquemin M.N.</t>
  </si>
  <si>
    <t>Spatial organization of the antennal lobe in Cylindroiulus punctatus (Leach) (Myriapoda : Diplopoda)</t>
  </si>
  <si>
    <t>0020-7322(91)90010-7</t>
  </si>
  <si>
    <t>10.1016/0020-7322(91)90010-7</t>
  </si>
  <si>
    <t>2-s2.0-1542404954</t>
  </si>
  <si>
    <t>['types ii', 'type iii', 'type ii', 'two types', 'two compounds', 'two components', 'tetradecenyl acetates', 'tentatively ascribe', 'strong response', 'specific status', 'specialist cells', 'south island', 'sibling species', 'relative densities', 'north island', 'near hamilton', 'mostly z5', 'median ratios', 'maximum response', 'males showed', 'intraspecific variation', 'iii show', 'iii produce', 'fully examined', 'eag profiles', 'considered therefore', 'alkenyl acetates', 'ac produced', 'ac ).', '2 ng']</t>
  </si>
  <si>
    <t>(Z)-5-tetradecenyl acetate | (Z)-8-tetradecenyl acetate | blend preferences | Ctenopseustis obliquana | electrophysiology | intraspecific variation | Lepidoptera | pheromones | sibling species | Tortricinae</t>
  </si>
  <si>
    <t>The specific status of Ctenopseustis obliquana pheromone-types I, II, and III has been more fully examined. Females of types I and III produce a mixture of (Z)-8- and (Z)-5-tetradecenyl acetates (Z8-14:Ac, Z5-14: Ac). The previously reported different ratios of these two components in females of the two types (type I=80:20, III=90:10) have been reinvestigated. The median ratios of each type differed significantly, although there was some overlap in the ranges of these ratios. A field cage trial showed that males of type III are attracted to females of type I, so the observed differences may be ascribed to intraspecific variation. In contrast to females of types I or III, females of type II produce Z5-14:Ac but no Z8-14:Ac. The electroantennogram (EAG) profile of antennae of type II males shows a maximum response to Z5-14:Ac, while the EAG profiles of types I and III show a strong response to Z8-14:Ac. In wind tunnel tests using mixtures of these two compounds, type II males prefer blends consisting of all or mostly Z5-14: Ac, while type I males showed a preference to a mix of 70% Z8-14:Ac plus 30% Z5-14:Ac. We found that type I males are attracted to type I females when offered a choice between type I and type II females in a field cage test and that type II males similarly prefer type II females. Males of types I and II have specialist cells for Z8-14:Ac and Z5-14:Ac but differ with respect to relative densities of these cells and to further cell types responsive to other alkenyl acetates. Type II C. obliquana is considered therefore a sibling species of types I and III. In addition, the amount of Z5-14:Ac produced by type II females varied geographically. Females from the North Island produced significantly less (median=1.2 ng) Z5-14:Ac than females from the South Island (median=2.2 ng). Type II populations in the North Island morphologically resembled sympatric type I, rather than type II from the South Island and are designated as type II (North Island). Type II (North Island) populations have so far been found only at Rukuhia (near Hamilton) and from Kerikeri. In contrast, type II populations are sympatric with type III populations over much of the South Island. In a field cage trial, males of types II and II (North Island) were attracted to females of both II and II (North Island). We tentatively ascribe the differences between type II and type II (North Island) to intraspecific variation. ¬© 1991 Plenum Publishing Corporation.</t>
  </si>
  <si>
    <t>413-429</t>
  </si>
  <si>
    <t>60028676;60028676;60028676;60028676;60005460</t>
  </si>
  <si>
    <t>16427643200;7202176247;6506318163;7003970050;6602428117</t>
  </si>
  <si>
    <t>Clearwater, J. R.;Foster, S. P.;Muggleston, S. J.;Dugdale, J. S.;Priesner, E.</t>
  </si>
  <si>
    <t>New Zealand;Germany</t>
  </si>
  <si>
    <t>Auckland;Pocking</t>
  </si>
  <si>
    <t>ESR - Mt Albert Science Centre;Max Planck Institute for Ornithology</t>
  </si>
  <si>
    <t>60028676;60005460</t>
  </si>
  <si>
    <t>Clearwater J.</t>
  </si>
  <si>
    <t>Intraspecific variation and interspecific differences in sex pheromones of sibling species in Ctenopseustis obliquana complex</t>
  </si>
  <si>
    <t>10.1007/BF00994342</t>
  </si>
  <si>
    <t>2-s2.0-1542787174</t>
  </si>
  <si>
    <t>['¬© 1991', 'zone independently', 'wendroff scheme', 'total number', 'time domain', 'stokes equations', 'standard free', 'specified according', 'space green', 'solved using', 'resistive sheets', 'radar cross', 'pulse excitations', 'providing second', 'perfect conductors', 'outer boundary', 'order accuracy', 'mesh density', 'material properties', 'magnetic fields', 'local wavelength', 'interlaced mesh', 'impedence surfaces', 'grid points', 'gradually decreased', 'formulation accounts', 'fitted coordinates', 'first cast', 'facilitate treatment', 'external sophistication', 'exterior region', 'discrete maxwell', 'conservation form', 'computed field', 'computational mesh', 'computational domain']</t>
  </si>
  <si>
    <t>Maxwell's equations in the time domain are first cast into a conservation form. They are then solved using a finite-volume discretization procedure proven very successful in solving some hyperbolic partial differential equations in computational fluid dynamics such as Euler or Navier-Stokes equations. The Lax-Wendroff explicit scheme is used to solve the discrete Maxwell's equations and as a result, second-order accuracy is achieved in both time and space. Multizoning is used to facilitate treatment of objects with internal and/or external sophistication. Body-fitted coordinates are used to map each zone independently from the rest of the object, allowing for nonmatching grid lines at the interface. Body-fitted coordinates facilitate accurate implementation of various boundary conditions on the object. The density of the computational mesh can vary and may be specified according to the local wavelength in the material. Also in the exterior region and away from the body, the mesh density is gradually decreased to reduce the total number of the grid points and the unknown field vectors. The formulation accounts for any variations in the material properties as a function of space, time, or frequency. In addition to perfect conductors, impedence surfaces and resistive sheets are handled. At the outer boundary of the computational domain a first-order, nonreflecting outer boundary condition is used. The Lax-Wendroff scheme, while providing second-order accuracy in the time and space, does not require, for its stability, an interlaced mesh for the electric and magnetic fields or the material properties. The method can be used for both time-harmonic and pulse excitations. At the end of the time-marching, the computed field in the time domain near the object and tangential to a conveniently chosen contour is stored. This information is converted into the frequency domain using fast Fourier transforms. If far field quantities such as radar cross-section or antenna radiation pattern are desired, they may be computed from the frequency-domain information using a standard free-space Green's function. ¬© 1991.</t>
  </si>
  <si>
    <t>175-196</t>
  </si>
  <si>
    <t>Mohammadian A.</t>
  </si>
  <si>
    <t>0010-4655(91)90199-U</t>
  </si>
  <si>
    <t>10.1016/0010-4655(91)90199-U</t>
  </si>
  <si>
    <t>2-s2.0-1942454119</t>
  </si>
  <si>
    <t>['¬© 1991', 'telemetered data', 'right angles', 'radio transmitter', 'frequent monitoring', 'frequent measurement', 'four mares', 'environmental temperature', 'antennae placed']</t>
  </si>
  <si>
    <t>mare | radiotelemetry | technique | temperature</t>
  </si>
  <si>
    <t>The objective of this study was to develop a radiotelemetric system capable of frequent monitoring of mare body temperature. A radio transmitter was implanted in the flank of each of four mares. Telemetered data were received by a pair of antennae placed at right angles in a 3.3 √ó 6.6-m stall and stored on a computer hard disk. The data were recorded every 5 minutes except when mares were out of the stall for a 1- to 2- hour exercise period. No effect of environmental temperature, ranging from 5¬∞C to 30¬∞C, on mare body temperature was apparent. The radiotelemetric system used in this study was effective for frequent measurement of mare body temperature. ¬© 1991.</t>
  </si>
  <si>
    <t>855-861</t>
  </si>
  <si>
    <t>0093691X</t>
  </si>
  <si>
    <t>Theriogenology</t>
  </si>
  <si>
    <t>24319842700;7007149923;24321274100</t>
  </si>
  <si>
    <t>Cross, D. T.;Threlfall, W. R.;Kline, R. C.</t>
  </si>
  <si>
    <t>Cross D.</t>
  </si>
  <si>
    <t>Telemetric monitoring of body temperature in the horse mare</t>
  </si>
  <si>
    <t>0093-691X(91)90351-D</t>
  </si>
  <si>
    <t>10.1016/0093-691X(91)90351-D</t>
  </si>
  <si>
    <t>2-s2.0-22144486643</t>
  </si>
  <si>
    <t>['¬© 1991', 'wave antenna', 'various situations', 'phenomenological approach', 'moving superconductors', 'external forces', 'also validate']</t>
  </si>
  <si>
    <t>We carry out a systematic and phenomenological approach to investigate the electrodynamics of moving superconductors and of superconductors under the influence of external forces. In applying the approach to various situations, we predict the presence of detectable electromagnetic fields in the interior. We argue that the detection, particularly of the induced electric fields in a variety of situations, will not only test the approach that we develop in the paper but also validate the principle for a gravitational-wave antenna. ¬© 1991 The American Physical Society.</t>
  </si>
  <si>
    <t>2700-2704</t>
  </si>
  <si>
    <t>Physical Review B</t>
  </si>
  <si>
    <t>60119199;60119199;60021182;60010065</t>
  </si>
  <si>
    <t>22968745300;7003295510;24565237600;22968674700</t>
  </si>
  <si>
    <t>Peng, H.;Torr, D. G.;Hu, E. K.;Peng, B.</t>
  </si>
  <si>
    <t>Huntsville;Guangzhou;Tucson</t>
  </si>
  <si>
    <t>Center for Space Plasma and Aeronomic Research;Sun Yat-Sen University;The University of Arizona</t>
  </si>
  <si>
    <t>60119199;60021182;60010065</t>
  </si>
  <si>
    <t>Peng H.</t>
  </si>
  <si>
    <t>Electrodynamics of moving superconductors and superconductors under the influence of external forces</t>
  </si>
  <si>
    <t>10.1103/PhysRevB.43.2700</t>
  </si>
  <si>
    <t>2-s2.0-24144492231</t>
  </si>
  <si>
    <t>['¬© 1991', 'total length', 'successively increased', 'riptortus clavatus', 'operated antennae', 'normal distal', 'normal antennae', 'normal antenna', 'new distal', 'never developed', 'intersegmental membrane', 'grooved pegs', 'gradually compensate', 'distal segment', 'cuticular structures', 'adult emergence', '3rd segment', '2nd ecdysis', '1st instar']</t>
  </si>
  <si>
    <t>antennal segment | bean bug | Sensilla</t>
  </si>
  <si>
    <t>In Riptortus clavatus (Thunberg) (Heteroptera : Alydidae), growth and development of cuticular structures were compared between normal antennae and the antennae whose distal (4th) segment had been amputated during the 1st instar. The total length of the remaining 3 segments was 51% of the normal antenna. From the 2nd ecdysis onwards, the 2nd and 3rd segments grew excessively, and after adult emergence, the length of the operated antennae was 84% that of a normal antenna, although a typical 4th segment, separated from the 3rd segment by an intersegmental membrane, never developed. On the new distal (3rd) segment of operated antennae, long fine sensory hairs and grooved pegs, which characterize the normal distal (4th) segment, began to appear at the 2nd ecdysis, and successively increased in number between molts. Thus, when the distal segment was removed, the remaining segments tended to gradually compensate for the loss, both in terms of length and cuticular structures. ¬© 1991.</t>
  </si>
  <si>
    <t>41-49</t>
  </si>
  <si>
    <t>60013722;60013722</t>
  </si>
  <si>
    <t>24356092200;57194062548</t>
  </si>
  <si>
    <t xml:space="preserve">Kayoko Ikeda-Kikue, ;Hideharu Numata, </t>
  </si>
  <si>
    <t>Osaka</t>
  </si>
  <si>
    <t>Osaka City University</t>
  </si>
  <si>
    <t>Kayoko Ikeda-Kikue</t>
  </si>
  <si>
    <t>Compensatory regeneration of antennae after removal of the distal segment in Riptortus clavatus (Thunberg) (Heteroptera : Alydidae)</t>
  </si>
  <si>
    <t>0020-7322(91)90026-6</t>
  </si>
  <si>
    <t>10.1016/0020-7322(91)90026-6</t>
  </si>
  <si>
    <t>2-s2.0-27944485396</t>
  </si>
  <si>
    <t>['wave packet', 'wave damping', 'vacuum layer', 'tokamak plasma', 'sufficiently small', 'short burst', 'radial position', 'plasma density', 'packet velocity', 'packet propagation', 'packet amplitude', 'large increase', 'frequency current', 'fluids 23', 'experimental observation', '1980 )]']</t>
  </si>
  <si>
    <t>Experimental observation of wave-packet propagation in the ion cyclotron range of frequencies in a tokamak plasma is reported. Studies were carried out in the Caltech Research Tokamak [Phys. Fluids 23, 614 (1980)] in a pure hydrogen plasma and in a regime where fast-wave damping was sufficiently small to permit multiple toroidal transits of the wave packet. Waves were launched by exciting a small loop antenna with a short burst of radio-frequency current and were detected with shielded magnetic probes. Probe scans revealed a large increase in wave-packet amplitude at smaller minor radii, and the packet velocity was found to be independent of radial position. Measurement of the packet transit time yielded direct information about the wave group velocity. Packet velocity was investigated as a function of the fundamental excitation frequency, plasma density, and toroidal magnetic field. Results are compared with the predictions of a cold plasma model that includes a vacuum layer at the edge. ¬© 1991 American Institute of Physics.</t>
  </si>
  <si>
    <t>406-413</t>
  </si>
  <si>
    <t>60018020;60031581</t>
  </si>
  <si>
    <t>22961435600;12759546000</t>
  </si>
  <si>
    <t>Greene, G. J.;Gould, R. W.</t>
  </si>
  <si>
    <t>Pasadena;Princeton</t>
  </si>
  <si>
    <t>California Institute of Technology;Princeton Plasma Physics Laboratory</t>
  </si>
  <si>
    <t>60031581;60018020</t>
  </si>
  <si>
    <t>Greene G.</t>
  </si>
  <si>
    <t>Observation of wave-packet propagation in the ion cyclotron range of frequencies in a tokamak plasma</t>
  </si>
  <si>
    <t>10.1063/1.859750</t>
  </si>
  <si>
    <t>2-s2.0-33044488805</t>
  </si>
  <si>
    <t>['widely employed', 'target location', 'phase processors', 'monopulse techniques', 'monopulse processing', 'conventional implementations', 'component errors', 'amplitude processors']</t>
  </si>
  <si>
    <t>Monopulse techniques are widely employed for target location in air traffic control secondary surveillance radar systems. The sensitivity to calibration and component errors of the receiver configurations used in monopulse processing of secondary surveillance radar (SSR) replies is analyzed. The effects of video gain error in amplitude processors and large Gaussian perturbations in phase processors are introduced. Phase processors are shown to be robust to variations in antenna difference pattern null depth. A half-angle phase processor is described which yields the benefits of phase processing without the sensitivity to system errors associated with conventional implementations. ¬© 1991 IEEE.</t>
  </si>
  <si>
    <t>838-852</t>
  </si>
  <si>
    <t>McGrane, K.</t>
  </si>
  <si>
    <t>Chelmsford</t>
  </si>
  <si>
    <t>Marconi Radar and Control Systems</t>
  </si>
  <si>
    <t>McGrane K.</t>
  </si>
  <si>
    <t>Analysis and Design Optimization of Monopulse Receivers for Secondary Surveillance Radar</t>
  </si>
  <si>
    <t>10.1109/7.97328</t>
  </si>
  <si>
    <t>2-s2.0-33746511056</t>
  </si>
  <si>
    <t>['reaction center', 'possible superstructure', 'photosynthetic unit', 'hexagonal model', 'exciton transfer', 'energy heterogeneity', 'czechoslovak academy', 'antenna system']</t>
  </si>
  <si>
    <t>Coherent memory functions entering the Generalized Master Equation are presented for a hexagonal model of a photosynthetic unit. Influence of an energy heterogeneity and possible superstructure on an exciton transfer in an antenna system as well as to a reaction center is investigated. ¬© 1991 Institute of Physics, Czechoslovak Academy of Sciences.</t>
  </si>
  <si>
    <t>1265-1280</t>
  </si>
  <si>
    <t>60000474;60016605-60031745</t>
  </si>
  <si>
    <t>7201563348;16634588600</t>
  </si>
  <si>
    <t>He≈ôman, Pavel;Barv√≠k, Ivan</t>
  </si>
  <si>
    <t>Italy;Czech Republic;Czech Republic</t>
  </si>
  <si>
    <t>Trieste;Prague Praha;Hradec Kralove</t>
  </si>
  <si>
    <t>Abdus Salam International Centre for Theoretical Physics;Charles University;Univerzita Hradec Kr√°lov√©</t>
  </si>
  <si>
    <t>60031745;60016605;60000474</t>
  </si>
  <si>
    <t>He≈ôman P.</t>
  </si>
  <si>
    <t>Coherent memory functions for finite systems: Hexagonal photosynthetic unit</t>
  </si>
  <si>
    <t>10.1007/BF01613545</t>
  </si>
  <si>
    <t>2-s2.0-33749464193</t>
  </si>
  <si>
    <t>['various models', 'two contributing', 'state assignments', 'linear exciton', 'line widths', 'invokes interaction', 'including one', 'different subunits', 'decay times', 'complex heterogeneity', 'burning results', 'bacterial rc', 'antenna complex', 'absorption profiles', '825 nm', '2 k']</t>
  </si>
  <si>
    <t>Persistent nonphotochemical hole-burning results at 4.2 K are reported for an antenna complex of the photosynthetic bacterium Prosthecochloris aestuarii which consists of a trimer of subunits with each subunit containing seven bacteriochlorophyll a (BChI a) molecules. The data for the Qy (S1) region are consistent with an excitonically coupled system and indicate the existence of more than seven exciton levels, with two contributing to the lowest energy absorption band at 825 nm. State assignments are discussed in terms of various models, including one that invokes interaction between BChI a belonging to different subunits of the same trimer. Exciton level decay times are reported and discussed in terms of exciton-phonon scattering involving phonon emission. These times are compared to and discussed in terms of the ultrafast (‚â≤100 fs) decay times for the accessory pigment Qy states of the bacterial RC. The hole spectra also allow for the determination of the linear exciton-phonon coupling strength (optical reorganization energy) and the contribution of complex heterogeneity to the line widths of the absorption profiles. ¬© 1991 American Chemical Society.</t>
  </si>
  <si>
    <t>471-479</t>
  </si>
  <si>
    <t>23039018500;7202142626</t>
  </si>
  <si>
    <t>Johnson, Stephen G.;Small, Gerald J.</t>
  </si>
  <si>
    <t>Johnson S.</t>
  </si>
  <si>
    <t>Excited-state structure and energy-transfer dynamics of the bacteriochlorophyll a antenna complex from Prosthecochloris aestuarii</t>
  </si>
  <si>
    <t>10.1021/j100154a083</t>
  </si>
  <si>
    <t>2-s2.0-33751499827</t>
  </si>
  <si>
    <t>['via laser', 'two branches', 'spatial excursion', 'source term', 'selective excitation', 'resonant layer', 'pump wave', 'perpendicular wavelength', 'nonlinear pressure', 'modulation bandwidth', 'ion wave', 'frequency modulating', 'field lines', 'external waveguide', 'excited mode', 'electron linear', 'electromagnetic wave', 'demonstrated experimentally', '60 khz']</t>
  </si>
  <si>
    <t>A modulated high frequency wave is used to remotely excite low frequency oscillations in a linear, strongly magnetized plasma column. An electromagnetic wave is launched as an extraordinary mode across the plasma by an external waveguide in the upper-hybrid frequency regime f‚âàfUH‚âàf ce‚âà8 GHz, with P‚â§2 W. By frequency modulating (at f FM ‚âà 1-60 kHz, with fci ‚âÖ 30 kHz) the pump wave, the resonant layer is swept radially across the profile and perpendicularly to the field lines at f = fFM. The resulting radial oscillation of the electron linear and nonlinear pressure can be considered to act as a source term for the ion wave. A localized virtual antenna is thereby created inside the plasma. Measurements of the ion dielectric response (interferograms and perturbed distribution functions) via laser-induced fluorescence identify the two branches (forward, or ion-acoustic-like, and backward, or Bernstein, modes) of the electrostatic dispersion relation in the ion cyclotron frequency range. By changing the modulation bandwidth, and thus the spatial excursion of the oscillating resonant layer, a control on the perpendicular wavelength of the excited mode can be exerted. In particular, the possibility of selective excitation of the ion Bernstein wave is demonstrated experimentally. ¬© 1991 American Institute of Physics.</t>
  </si>
  <si>
    <t>1171-1181</t>
  </si>
  <si>
    <t>60028186;60028186;60028186;60028186-60020304;60028186</t>
  </si>
  <si>
    <t>7005195752;7005251656;7102125789;7003454886;57203065426</t>
  </si>
  <si>
    <t>Fasoli, A.;Good, T. N.;Paris, P. J.;Skiff, F.;Tran, M. Q.</t>
  </si>
  <si>
    <t>Switzerland;United States</t>
  </si>
  <si>
    <t>Lausanne;College Park</t>
  </si>
  <si>
    <t>Swiss Federal Institute of Technology Lausanne;University of Maryland, College Park</t>
  </si>
  <si>
    <t>60028186;60020304</t>
  </si>
  <si>
    <t>Fasoli A.</t>
  </si>
  <si>
    <t>Ion cyclotron wave excitation by double resonance coupling</t>
  </si>
  <si>
    <t>10.1063/1.859809</t>
  </si>
  <si>
    <t>2-s2.0-33847501897</t>
  </si>
  <si>
    <t>['thermal deexcitation', 'significantly recover', 'several days', 'room temperature', 'response curves', 'respiration doubled', 'quantum yield', 'pm decreased', 'photosystem ii', 'partially recovered', 'one week', 'nitrogen supply', 'n deficiency', 'maximum fluorescence', 'insufficient diel', 'initial fluorescence', 'indicating inability', 'high light', 'first day', 'elevated rd', 'declining pm', 'declined along', 'daily surface', 'clonal tissue', 'chlorophyll fluorescence', 'carbon balance', 'antenna pigments', 'added stress', '77 k', '2 ¬∑']</t>
  </si>
  <si>
    <t>Chlorophyll fluorescence | Growth rate | Nitrogen and photosynthesis | Photoacclimation | Photoinhibition of photosynthesis | Photosynthesis and N supply | Quantum yield | Ulva</t>
  </si>
  <si>
    <t>Clonal tissue of the marine chlorophyte macroalga, Ulva rotundata Blid., was transferred from 100 to 1700 Œºmol photons ¬∑ m-2 ¬∑ s-1 under limiting (1.5 ŒºM NH4+maximum, N/P=2) and sufficient (15 ŒºM NH4+maximum, N/P=20) nitrogen supply at 18¬∞ C and 11 h light-13 h darkness daily. Photoinhibition was assayed by light-response curves (photosynthetic O2 exchange), and chlorophyll fluorescence at 77 K and room temperature. Daily surface-area growth rate (ŒºSA) in N-sufficient plants increased sixfold over 3 d and was sustained at that level. During this period, respiration (Rd) doubled and light-saturated net photosynthesis capacity (Pm) increased by nearly 50%, indicating acclimation to high light. Quantum yield (œÜ{symbol}) decreased by 25% on the first day, but recovered completely within one week. The ratio of variable to maximum fluorescence (Fv/Fm) also decreased markedly on the first day, because of an increase in initial fluorescence (Fo) and a decrease in Fm, and partially recovered over several days. Under the added stress of N deficiency, ŒºSA accelerated fivefold over 4 d, despite chronic photoinhibition, then declined along with tissue-N. Respiration doubled, but Pm decreased by 50% over one week, indicating inability to acclimate to high light. Both œÜ{symbol} and Fv/Fm decreased markedly on the first day and did not significantly recover. Changes in Fo, Fm and xanthophyll-cycle components indicate concurrent photodamage to photosystem II (PSII) and photoprotection by thermal deexcitation in the antenna pigments. Increasing ŒºSA coincided with photoinhibition of PSII. Insufficient diel-carbon balance because of elevated Rd and declining Pm and tissue-N, rather than photochemical damage per se, was the apparent proximate cause of decelerating growth rate and subsequent tissue degeneration under N deficiency in U. rotundata. ¬© 1991 Springer-Verlag.</t>
  </si>
  <si>
    <t>235-243</t>
  </si>
  <si>
    <t>Planta</t>
  </si>
  <si>
    <t>60020096;60020096-60026803;60020096-60008724;60008724;60020096-60008724</t>
  </si>
  <si>
    <t>7005149518;16421408800;7005397651;7103383574;6603026917</t>
  </si>
  <si>
    <t>Henley, William J.;Levavasseur, Guy;Franklin, Linda A.;Osmond, C. Barry;Ramus, J.</t>
  </si>
  <si>
    <t>France;United States;United States</t>
  </si>
  <si>
    <t>Roscoff;Beaufort;Durham</t>
  </si>
  <si>
    <t>Station Biologique de Roscoff;Duke University Marine Laboratory;Duke University</t>
  </si>
  <si>
    <t>60026803;60020096;60008724</t>
  </si>
  <si>
    <t>Henley W.J.</t>
  </si>
  <si>
    <t>Photoacclimation and photoinhibition in Ulva rotundata as influenced by nitrogen availability</t>
  </si>
  <si>
    <t>10.1007/BF01102423</t>
  </si>
  <si>
    <t>2-s2.0-34249916142</t>
  </si>
  <si>
    <t>['wave icrf', 'strong dependence', 'significant change', 'rf power', 'radio frequency', 'power handling', 'plasmas composed', 'ohmic heating', 'minority species', 'magnetic fields', 'increasing density', 'icrf heating', 'highest densities', 'higher densities', 'high density', 'fusion 26', 'frequency f', 'deuterium majority', 'densities 0', '5 kev', '450 kw', '400 ev', '1986 )]', '180 mhz']</t>
  </si>
  <si>
    <t>In this paper, minority regime fast-wave ICRF (ion cyclotron range of frequency) heating experiments conducted on the Alcator C tokamak [Nucl. Fusion 26, 1665 (1986)] are described. Up to 450 kW of rf (radio frequency) power at frequency f = 180 MHz was injected into plasmas composed of deuterium majority and hydrogen minority ion species at magnetic fields of Bo ‚âÉ 12 T, densities 0.8‚â§nÃÑe‚â§5 √ó 1020 m -3, and minority concentrations 0.255 ‚â≤ Œ∑H ‚â§ 8%. Typical ion temperatures were TD (0) ‚àº 1 keV, while, depending on density, typical electron temperatures were in the range T e (0) ‚àº 1.5-2.5 keV. Central deuterium ion temperature increases of ŒîTD (0) = 400 eV were observed at nÃÑe = 1 √ó 1020 m-3, while significantly smaller ion temperature increases were observed at higher densities. At the highest densities, ion heating became insignificant due in part to a limitation on power handling by the antenna that became more severe with increasing density. Significant electron heating was not observed at any density. Heating of the minority species at low densities indicated severe losses, but at higher densities it was consistent with efficient collisional coupling of the rf power from the hydrogen minority species to the deuterium majority species. Analysis of the deuterium power balance indicated no significant change in the deuterium thermal transport properties as a function of rf power. This may be consistent with the fact that the rf power never exceeded the Ohmic heating (OH) contribution. However, a very strong dependence of the deuterium transport properties on density was observed, and appears to be the dominant process limiting the effectiveness of ICRF heating at high density. ¬© 1991 American Institute of Physics.</t>
  </si>
  <si>
    <t>1657-1670</t>
  </si>
  <si>
    <t>60022195-60024266;60022195;60022195-60029551;60022195;60022195</t>
  </si>
  <si>
    <t>57196875092;7101727595;22968084800;9271791400;7006050699</t>
  </si>
  <si>
    <t>Shepard, T. D.;Fiore, C. L.;McDermott, F. S.;Parker, R. R.;Porkolab, M.</t>
  </si>
  <si>
    <t>India;United States;United States</t>
  </si>
  <si>
    <t>Kolkata;Oak Ridge;Cambridge</t>
  </si>
  <si>
    <t>Saha Institute of Nuclear Physics;Oak Ridge National Laboratory;Massachusetts Institute of Technology</t>
  </si>
  <si>
    <t>60029551;60024266;60022195</t>
  </si>
  <si>
    <t>Shepard T.</t>
  </si>
  <si>
    <t>Fast-wave ion cyclotron resonance heating experiments on the</t>
  </si>
  <si>
    <t>10.1063/1.859686</t>
  </si>
  <si>
    <t>2-s2.0-36449000100</t>
  </si>
  <si>
    <t>['threshold value', 'threshold decreases', 'strongly modified', 'sto stabilization', 'sawtooth oscillations', 'safety factor', 'ql region', 'q refers', 'plasma physics', 'ohmically heated', 'obtained even', 'much stronger', 'localized ech', 'limiter ql', 'field side', 'elliptic antenna', 'density plasma', 'complete suppression', 'complete stabilizations', 'complete stabilization', '3 tokamak', '1 surface', '1 region']</t>
  </si>
  <si>
    <t>Sawtooth oscillations (STO) in the Ohmically heated (OH) WT-3 tokamak [Plasma Physics and Controlled Nuclear Fusion Research 1988 (IAEA, Vienna, 1989), Vol. 1, p. 563] are strongly modified or suppressed by localized electron cyclotron resonance heating (ECH) near the q = 1 surface, where q refers to the safety factor. The effect of ECH is much stronger when it is applied on the high-field side, as compared to the low-field side. Complete suppression of the STO is achieved for the duration of the ECH when it is applied on the high-field side, in a low-density plasma, provided the ECH power exceeds a threshold value. This threshold decreases with the increasing safety factor at the limiter qL and the complete stabilization of STO can be obtained even when ECH is applied on the low-field side in the high-qL region. It is noticeable that these complete stabilizations can be obtained only by the localized ECH with the elliptic antenna. The STO stabilization is attributed to a modification of the current density profile by high-energy electrons generated by ECH, which reduces the shear in the q = 1 region. ¬© 1991 American Institute of Physics.</t>
  </si>
  <si>
    <t>2200-2204</t>
  </si>
  <si>
    <t>60011001;60011001;60011001;60011001;60011001-60015658;60011001;60011001-60030933;60011001;60011001;60018020;60018020;60018020</t>
  </si>
  <si>
    <t>7405557346;7201940940;7406594651;56944285500;7103234984;7402423739;57212332129;36859000400;57222646934;7405749947;8580279200;8049181300</t>
  </si>
  <si>
    <t>Tanaka, S.;Hanada, K.;Tanaka, H.;Iida, M.;Ide, S.;Minami, T.;Nakamura, M.;Maekawa, T.;Terumichi, Y.;Yamada, M.;Manickam, J.;White, R. B.</t>
  </si>
  <si>
    <t>Japan;United States;Japan;Japan</t>
  </si>
  <si>
    <t>Osaka;Princeton;Kashiwa;Kyoto</t>
  </si>
  <si>
    <t>Osaka Institute of Technology;Princeton Plasma Physics Laboratory;Japan Atomic Energy Agency;Kyoto University</t>
  </si>
  <si>
    <t>60030933;60018020;60015658;60011001</t>
  </si>
  <si>
    <t>Tanaka S.</t>
  </si>
  <si>
    <t>Sawtooth stabilization by electron cyclotron heating at the q=1 surface in the WT-3 tokamak</t>
  </si>
  <si>
    <t>10.1063/1.859636</t>
  </si>
  <si>
    <t>2-s2.0-36449002074</t>
  </si>
  <si>
    <t>['wind tunnel', 'wind speeds', 'wind speed', 'wiley blackwell', 'two sexes', 'ten males', 'surface area', 'sexual dimorphism', 'rights reserved', 'resistive torque', 'male flagellum', 'larger rotation', 'l .)', 'female flagellum', 'average torque', '8o rotation']</t>
  </si>
  <si>
    <t>Aedes aegypti | antenna | Johnston's organ | scolopidia | sexual dimorphism. | torque</t>
  </si>
  <si>
    <t>Abstract The rotation of the flagellum of male and female Aedes aegypti (L.) was measured in a wind tunnel at wind speeds between 0 and 116cms‚Äê1. Although the surface area of the female flagellum is only 10% of the male, it rotates through double the angle of the male flagellum for the same increase in wind speed. The larger rotation of the female flagellum could result from: a reduced resistive torque in the flagellar‚Äêpedicellar suspension; a larger antennal‚Äêpositioning reflex; a smaller initial angle of attack. The resistive torque in the flagellar‚Äêpedicellar suspension was measured in both male and female Aedes aegypti. In ten adult females the average torque at 8o rotation was 2.70 ¬± 1.33 times 10‚Äê10Nm and in ten males it was 6.46 ¬± 3.46 times 10‚Äê10Nm. The significance of these results is discussed with reference to the sexual dimorphism in the sensory tasks required of Johnston's organ in the two sexes. Copyright ¬© 1991, Wiley Blackwell. All rights reserved</t>
  </si>
  <si>
    <t>435-438</t>
  </si>
  <si>
    <t>McVEAN, ALISTAIR</t>
  </si>
  <si>
    <t>Egham</t>
  </si>
  <si>
    <t>Royal Holloway, University of London</t>
  </si>
  <si>
    <t>McVEAN A.</t>
  </si>
  <si>
    <t>Some mechanical properties of the flagellar‚Äêpedicellar suspension in Aedes aegypti (L.)</t>
  </si>
  <si>
    <t>10.1111/j.1365-3032.1991.tb00582.x</t>
  </si>
  <si>
    <t>2-s2.0-39049165968</t>
  </si>
  <si>
    <t>College of Veterinary Medicine, Ohio State University</t>
  </si>
  <si>
    <t>CVM, OSU</t>
  </si>
  <si>
    <t>['¬© 1991', 'two mares', 'telemetered data', 'study demonstrated', 'right angles', 'radiotelemetry could', 'radio transmitter', 'one pair', 'myometrial emg', 'luteal phase', 'increased similarly', 'following parturition', 'flank ipsilateral', 'expected date', 'estrous cycle', 'biopotential leads', 'antennae placed', '24h prior', '10 mg']</t>
  </si>
  <si>
    <t>electromyography | mare | radiotelemetry | technique | uterus</t>
  </si>
  <si>
    <t>The objective of this study was to determine if radiotelemetry could be used to measure myometrial electromyographic (EMG) activity. A radio transmitter with one pair of biopotential leads was implanted in the flank ipsilateral to the pregnant uterine horn at least five weeks prior to the expected date of parturition in two mares. The biopotential leads were implanted in the base of the pregnant uterine horn. Telemetered data were received by a pair of antennae placed at right angles in a 3.3 by 6.6-m stall. Data were recorded on VHS format videocassette tapes continuously for the 24h prior to and following parturition. Simultaneous physiograph recordings were made as a hard copy reference. In addition, 10 mg of prostaglandin F2Œ± was administered to two mares in the luteal phase of the estrous cycle. Myometrial EMG during parturition was increased similarly to that of previously published reports that used myometrial electrodes wired directly to a physiograph. Prostaglandin F2Œ± also caused an increase in myometrial EMG activity within 8 min of administration. This study demonstrated that radiotelemetry can be used for measuring myometrial EMG activity. ¬© 1991.</t>
  </si>
  <si>
    <t>591-601</t>
  </si>
  <si>
    <t>24319842700;7007149923;57220836996;24321274100</t>
  </si>
  <si>
    <t>Cross, D. T.;Threlfall, W. R.;Rogers, R. C.;Kline, R. C.</t>
  </si>
  <si>
    <t>Cross D.T.</t>
  </si>
  <si>
    <t>Uterine electromyographic activity in horse mares as measured by radiotelemetry</t>
  </si>
  <si>
    <t>0093691X9190455M</t>
  </si>
  <si>
    <t>10.1016/0093-691X(91)90455-M</t>
  </si>
  <si>
    <t>2-s2.0-44949275832</t>
  </si>
  <si>
    <t>['¬© 1991', 'valuable applications', 'toward introducing', 'thematic maturity', 'taking advantage', 'take advantage', 'spot family', 'sar know', 'renewable resources', 'radar imagery', 'public works', 'preliminary phase', 'optical imagery', 'large field', 'includes complementation', 'important milestones', 'highly versatile', 'great interest', 'first satellite', 'etc .).', 'economical potential', 'complete tool', 'commercial facilities', 'commercial basis', 'c bus', 'b phase', 'already operated', 'advanced x', '200 km']</t>
  </si>
  <si>
    <t>During the last 10 years, CNES has taken a great interest in radar imagery. The development of VARAN airborne SAR and the implementation of a complete tool (aircraft + ground processing means) devoted to thematic and technological SAR campaigns, were important milestones of this effort. Taking advantage of this SAR know-how and of the SPOT actual experience, CNES is now moving on toward introducing a radar imaging system to be operated in parallel with the optical SPOT family around the 2000s. The studies are still in preliminary phase (B phase to be started in 1992) but the goals are: (1) to begin a microwave subfamily within the SPOT family, the first satellite being already operated on commercial basis. This is a reasonable challenge since SPOT background will be reused (s/c bus, receiving stations network, commercial facilities, etc.). Therefore, efforts can focus on specific radar aspects such as the study and the development of an advanced X-band SAR payload and the validation of valuable applications. (2) To take advantage of the active antenna concept which allows the design of a highly versatile and efficient SAR sensor with many imaging modes. The resolution may range from 2 to 50 m while the instantaneously steerable swath may range from 20 to 200 km. (3) To select applications according to their economical potential and thematic maturity. This includes complementation of optical imagery in cloud covered areas (cartography) as well as specific radar applications in the large field of renewable resources (agriculture, water, forests) and sensitive surveillance applications (catastrophe, media, public works, etc.). ¬© 1991.</t>
  </si>
  <si>
    <t>43-50</t>
  </si>
  <si>
    <t>Acta Astronautica</t>
  </si>
  <si>
    <t>60017694;60017694;60017694</t>
  </si>
  <si>
    <t>6701904918;7005168511;7003719063</t>
  </si>
  <si>
    <t>Aguttes, J. P.;Massonnet, D.;Grosjean, O.</t>
  </si>
  <si>
    <t>CNES Centre National d'Etudes Spatiales</t>
  </si>
  <si>
    <t>Aguttes J.</t>
  </si>
  <si>
    <t>A new radar system for the French program in the 2000s</t>
  </si>
  <si>
    <t>0094-5765(91)90005-P</t>
  </si>
  <si>
    <t>10.1016/0094-5765(91)90005-P</t>
  </si>
  <si>
    <t>2-s2.0-44949275916</t>
  </si>
  <si>
    <t>Navy</t>
  </si>
  <si>
    <t>['¬© 1991', 'systematically 1', 'one ssm', 'national oceanic', 'initial effort', 'first flown', 'f9 ).', 'data source', 'climate monitoring', 'beam positions', 'beam position', 'atmospheric administration', 'asymmetries exist', 'archived ssm', 'antenna temperatures']</t>
  </si>
  <si>
    <t>Passive microwave observations from the Microwave Sounding Unit (MSU) on board the National Oceanic and Atmospheric Administration (NOAA) series of spacecraft have been shown to be useful for long-term global atmospheric temperature monitoring. The Special Sensor Microwave/Temperature (SSM/T) sounder, on board the Defense Meteorological Satellite Program (DMSP) spacecraft, is equipped with twice as many atmospheric channels as the MSU. First flown in 1979, archived SSM/T data are available since 1987. As an initial effort to assess the utility of this data source for climate monitoring, antenna temperatures from the two operational SSM/T instruments were compared by channel, beam position, and latitude. Results indicate antenna temperatures from one SSM/T (F8) are systematically 1-3 K higher than from the other (F9). Also, asymmetries exist with respect to beam positions. ¬© 1991.</t>
  </si>
  <si>
    <t>Global and Planetary Change</t>
  </si>
  <si>
    <t>100384663;60020139</t>
  </si>
  <si>
    <t>Moore, Douglas A.;Drahos, Henry F.</t>
  </si>
  <si>
    <t>Silver Spring;Landover</t>
  </si>
  <si>
    <t>NOAA National Environmental Satellite, Data and Information Service;S M Systems and Research Corporation</t>
  </si>
  <si>
    <t>60020139;100384663</t>
  </si>
  <si>
    <t>0921-8181(91)90082-8</t>
  </si>
  <si>
    <t>10.1016/0921-8181(91)90082-8</t>
  </si>
  <si>
    <t>2-s2.0-44949276361</t>
  </si>
  <si>
    <t>['¬© 1991', 'technology developments', 'technological evolution', 'space operations', 'space administration', 'resources direct', 'receiving sensitivity', 'radio science', 'radio astronomy', 'planetary radar', 'paper discusses', 'optical technology', 'navigational capability', 'navigation techniques', 'navigation support', 'navigation performance', 'national aeronautics', 'mission needs', 'major areas', 'highly reliable', 'expected dividends', 'continuously underway', 'also used', 'aggressively developed', 'advanced technologies', '32 ghz']</t>
  </si>
  <si>
    <t>The Deep Space Network (DSN) is sponsored by the National Aeronautics and Space Administration (NASA) Office of Space Operations, and provides, communications and navigation support for NASA's deep space missions, lunar and high Earth orbiters. It has continuously evolving facilities whose instruments are also used for planetary radar, radio science, and radio astronomy. Over the past 30 years, the communications and navigation performance has increased many orders of magnitude. The receiving sensitivity and radio metric data accuracy are near the present-day achievable limits and are upgraded as mission needs, technology developments, and resources direct. Despite the technological evolution that is continuously underway, operations are highly reliable and versatile for the various mission requirements. Advanced technologies are being aggressively developed to improve future DSN capabilities. These advanced technologies, will be implemented into the DSN and will provide greater freedom to trade-off communications and navigational capability against mass and power on a spacecraft. The major areas that are currently being developed include Ka-Band (32 GHz) technology, beam waveguide antennas, low noise amplifiers, coding, navigation techniques, high power transmitters, and optical technology. This paper discusses the technology that is currently being developed for the DSN and its expected dividends during the mid-1990s and later. ¬© 1991.</t>
  </si>
  <si>
    <t>51-60</t>
  </si>
  <si>
    <t>7102620449;7004035475;6507927412</t>
  </si>
  <si>
    <t>Yuen, J. H.;Resch, G. M.;Stelzried, C. T.</t>
  </si>
  <si>
    <t>Yuen J.</t>
  </si>
  <si>
    <t>Telecommunications technology development for the Deep Space Network</t>
  </si>
  <si>
    <t>0094-5765(91)90006-Q</t>
  </si>
  <si>
    <t>10.1016/0094-5765(91)90006-Q</t>
  </si>
  <si>
    <t>2-s2.0-44949276418</t>
  </si>
  <si>
    <t>['¬© 1991', 'time scales', 'phase measurements', 'group ranges', 'fourier analysis', 'fading arises', 'e ionization', 'discrete echoes', 'digital ionosonde', 'antennae separated']</t>
  </si>
  <si>
    <t>A digital ionosonde has been used at Halley (75¬∞31‚Ä≤S, 26¬∞59‚Ä≤W) to examine the fading on time scales of a few seconds of 4.5 MHz signals reflected from sporadic-E ionization. Fourier analysis of the phase and amplitude of the signals is used to show that the fading arises from the interference of returns from discrete echoes. The locations of these echoes are derived from phase measurements at pairs of antennae separated in North-South and East-West directions together with information on group ranges. ¬© 1991.</t>
  </si>
  <si>
    <t>99-104</t>
  </si>
  <si>
    <t>60030514;60030514</t>
  </si>
  <si>
    <t>6701342409;7403527184</t>
  </si>
  <si>
    <t>Astin, I.;Thomas, L.</t>
  </si>
  <si>
    <t>Aberystwyth</t>
  </si>
  <si>
    <t>Aberystwyth University</t>
  </si>
  <si>
    <t>Astin I.</t>
  </si>
  <si>
    <t>The rapid fading of radio waves reflected from sporadic-E ionization</t>
  </si>
  <si>
    <t>10.1016/0021-9169(91)90024-2</t>
  </si>
  <si>
    <t>2-s2.0-44949279253</t>
  </si>
  <si>
    <t>['¬© 1991', 'range 1', 'observing frequencies', 'ground baselines', 'ground baseline', 'ground antennas', 'earth orbit', 'brightness temperatures', '6 sources', '3 ghz', '15 ghz', '10 sources']</t>
  </si>
  <si>
    <t>VLBI observations using a satellite in earth orbit and ground antennas in Japan and Australia were conducted in 1986, 1987, and 1988. Sources were detected on space-ground baselines at both observing frequencies: 2.3 and 15 GHz. The coherence on space-ground baseline for 340 s was 90% at 2.3 GHz and 76% at 15 GHz. Brightness temperatures in the range 1 - 4 √ó 1012 K were measured for 10 sources at 2.3 GHz and 6 sources at 15 GHz. ¬© 1991.</t>
  </si>
  <si>
    <t>411-414</t>
  </si>
  <si>
    <t>60009037;60022195</t>
  </si>
  <si>
    <t>7003671406;7202791054</t>
  </si>
  <si>
    <t>Linfield, R. P.;Burke, B. F.</t>
  </si>
  <si>
    <t>Massachusetts Institute of Technology;Jet Propulsion Laboratory</t>
  </si>
  <si>
    <t>60022195;60009037</t>
  </si>
  <si>
    <t>Linfield R.</t>
  </si>
  <si>
    <t>Space VLBI observations using the U.S. tracking and data relay satellite</t>
  </si>
  <si>
    <t>027311779190526P</t>
  </si>
  <si>
    <t>10.1016/0273-1177(91)90526-P</t>
  </si>
  <si>
    <t>2-s2.0-44949281140</t>
  </si>
  <si>
    <t>['¬© 1991', 'uniform electroantennogram', 'techniques classified', 'successive removal', 'separate effects', 'sensillum number', 'oryzaephilus surinamensis', 'olfactory sensilla', 'linear gradient', 'food odour', 'electrode position', 'electroantennogram recorded', 'electroantennogram amplitude', 'clubbed antenna', 'club segments', 'antennal response', '8 ),']</t>
  </si>
  <si>
    <t>clubbed antennae | electroantennogram (EAG) | Oryzaephilus surinamensis | sensillar contributions</t>
  </si>
  <si>
    <t>The antennal response of Oryzaephilus surinamensis (Coleoptera: Silvanidae) to a food odour (carob) was used to investigate the separate effects of sensillum number and electrode position on the electroantennogram recorded from a clubbed antenna. By successive removal of club segments, it was shown that the electroantennogram amplitude was proportional to the number of olfactory sensilla remaining on the antenna. Varying the recording electrode position revealed a linear gradient in the electroantennogram over the non-club segments (2-8), where no olfactory sensilla were present, but a uniform electroantennogram over the club segments (9-11) where olfactory sensilla were present. An electrical equivalent network is proposed for the antenna which explains these results, and the non-uniformity of techniques classified as electroantennograms is discussed. ¬© 1991.</t>
  </si>
  <si>
    <t>145-152</t>
  </si>
  <si>
    <t>White, Peter R.</t>
  </si>
  <si>
    <t>Oxford</t>
  </si>
  <si>
    <t>University of Oxford</t>
  </si>
  <si>
    <t>White P.</t>
  </si>
  <si>
    <t>The electroantennogram response: Effects of varying sensillum numbers and recording electrode position in a clubbed antenna</t>
  </si>
  <si>
    <t>0022-1910(91)90100-E</t>
  </si>
  <si>
    <t>10.1016/0022-1910(91)90100-E</t>
  </si>
  <si>
    <t>2-s2.0-44949285705</t>
  </si>
  <si>
    <t>['wave incidence', 'vertical polarizations', 'uniform theory', 'spicular field', 'paper agree', 'mec ).', 'geometrical optics', 'experimental results', 'equivalent currents', 'diffracted field', 'calculation formulas', 'arbitrary reflectors']</t>
  </si>
  <si>
    <t>Antenna | Electromagnetic scattering | Radar cross-section</t>
  </si>
  <si>
    <t>The calculation formulas of monostatic radar cross-section (RCS) of arbitrary reflectors with arbitrarily polarized plane-wave incidence are derived, where the spicular field is obtained by geometrical optics (GO) and the edge-diffracted field is calculated by the method of equivalent currents (MEC). Some typical calculated results are given by means of RCS spatial graphs. For both horizontal and vertical polarizations, the theoretical results obtained in this paper agree, very well with the experimental results as well as the results from uniform theory of diffraction. ¬© 1991 Science Press.</t>
  </si>
  <si>
    <t>28-35</t>
  </si>
  <si>
    <t>Journal of Electronics (China)</t>
  </si>
  <si>
    <t>60005465;60005465</t>
  </si>
  <si>
    <t>24788812000;24785600400</t>
  </si>
  <si>
    <t>Shuhui, Deng;Yingzheng, Ruan</t>
  </si>
  <si>
    <t>Shuhui D.</t>
  </si>
  <si>
    <t>Monostatic radar cross section for reflector antennas</t>
  </si>
  <si>
    <t>10.1007/BF02784410</t>
  </si>
  <si>
    <t>2-s2.0-51649156267</t>
  </si>
  <si>
    <t>['rigorous method', 'radiation characteristics', 'overall behavior', 'electromagnetic fields']</t>
  </si>
  <si>
    <t>Active transmission line equation | Dielectric grating antenna | Improved perturbation method</t>
  </si>
  <si>
    <t>An improved perturbation procedure is used for analyzing the radiation characteristics of the millimeter wave dielectric grating leaky wave antenna. The electromagnetic fields are described in terms of an active transverse transmission line network, which brings considerable physical insight into the overall behavior of the antenna. The analysis is simple and practical. Its accuracy is as high as the rigorous method. ¬© 1991 Science Press.</t>
  </si>
  <si>
    <t>60019118;60019118</t>
  </si>
  <si>
    <t>6603478057;16424126700</t>
  </si>
  <si>
    <t>Shanjia, Xu;Xinzhang, Wu</t>
  </si>
  <si>
    <t>Hefei</t>
  </si>
  <si>
    <t>University of Science and Technology of China</t>
  </si>
  <si>
    <t>Shanjia X.</t>
  </si>
  <si>
    <t>Improved perturbation analysis of millimeter-wave dielectric grating leaky wave antenna</t>
  </si>
  <si>
    <t>10.1007/BF02784408</t>
  </si>
  <si>
    <t>2-s2.0-51649156319</t>
  </si>
  <si>
    <t>['‚ àº7', 'transition temperature', 'transfer processes', 'temperature spectrum', 'temperature dependence', 'spectral forms', 'protein phonons', 'probe experiments', 'phonon frequency', 'pertinent phonons', 'nm pump', 'native photosystem', 'kelvin reflects', 'independent psi', 'increase occurs', 'different energy', 'burning experiments', 'assisted eet', 'antenna eet', 'acceptor chromophores', '38 k']</t>
  </si>
  <si>
    <t>The temperature dependence of polarized photobleaching dynamics was investigated through 680-nm pump-probe experiments in the Chl a antenna of native photosystem I particles (Chl/P700 ‚àº 200) from spinach. The anisotropic decay time is lengthened by an order of magnitude (from ‚àº7 to ‚àº62 ps) when the temperature is reduced from 290 to 38 K; most of this increase occurs between 65 and 38 K. The occurrence of this transition temperature in the tens of kelvin reflects the participation of protein phonons in antenna EET. The isotropic decay kinetics are considerably less temperature sensitive, indicating that the anisotropic and isotropic decays stem from different energy-transfer processes with contrasting temperature dependence. The 38 K photobleaching spectrum at 5 ps exhibits considerably more weighting in the lower energy Chl a spectral forms than the room-temperature spectrum, suggesting that rapid spectral equilibration occurs in the photosystem I antenna. In light of the phonon frequency and electron-phonon coupling parameters determined in independent PSI-200 spectral hole-burning experiments, the quantitative temperature dependence in the anisotropic decay times is consistent with a theory for phonon-assisted EET in which the pertinent phonons are independent modes localized about the donor and acceptor chromophores. ¬© 1991 American Chemical Society.</t>
  </si>
  <si>
    <t>4152-4158</t>
  </si>
  <si>
    <t>15079249300;57193129444</t>
  </si>
  <si>
    <t>Lyle, Paul A.;Struve, Walter S.</t>
  </si>
  <si>
    <t>Lyle P.</t>
  </si>
  <si>
    <t>Temperature dependence of antenna excitation transport in native photosystem I particles</t>
  </si>
  <si>
    <t>10.1021/j100163a047</t>
  </si>
  <si>
    <t>2-s2.0-5544294185</t>
  </si>
  <si>
    <t>12017/70/82-ENI</t>
  </si>
  <si>
    <t>['¬© 1991', 'wheat plants', 'untreated chloroplasts', 'three day', 'term exposure', 'significant decrease', 'results suggest', 'result suggests', 'reducing side', 'reaction centers', 'ps ii', 'primary leaves', 'possible changes', 'plant physiologists', 'photosystem ii', 'photochemical activity', 'photochemical activities', 'performed since', 'oxidizing side', 'oxidized phenylenediamine', 'o2 mediated', 'o2 catalysed', 'much greater', 'marginal increase', 'jspp ).', 'japanese society', 'ions induced', 'ions impairs', 'inactive centers', 'halogenated benzoquinones', 'fully developed', 'fluorescence yield', 'electron acceptors', 'difference may', 'comparative study', 'active centers', 'accept electrons', '24 h', '120 œºm']</t>
  </si>
  <si>
    <t>Cadmium stress | Chlorophyll fluorescence | Chloroplasts | Electron transport | Photosystems | Wheat (Triticum aestivum)</t>
  </si>
  <si>
    <t>The effect of treatment of wheat plants with Cd2+ ions on the photochemical activity of the primary leaves was examined. Three day-old etiolated seedlings were treated with Cd2+ ions for 24 h in dark, and after this treatment the plants were grown in the light until the primary leaves were fully developed. Cd2+ ions (30-120 ŒºM) induced a significant decrease in activities of both photosystem II and photosystem I. The extent of the decrease in PS II activity was much greater than that in the PS I activity. Analysis of changes in the fluorescence yield of chlorophyll Œ± also indicated that Cd2+ ions drastically affect the photochemistry of photosystem II. Cd2+ ions induced decrease in the rates of photoreduction of 2,6-dichlorophenol indophenol even in the presence of the exogenous electron donor, hydroxylamine, both in Tris-treated and untreated chloroplasts. This result suggests that the site of inhibition is near the site of donation of electrons by hydroxylamine. Treatment with Cd2+ ions impairs the electron transport system on the reducing side of PS II. The decrease in the fluorescence yield of Chi Œ± is less than that in the evolution of O2 mediated by oxidized phenylenediamine. This difference may be a result of inhibition on the reducing side of PS II. In addition to inhibition on the reducing side, Cd2+ ions may affect the oxidizing side of PS II. A comparative study of the rates of evolution of O2 with p-benzoquinone and dichloro-p-benzoquinone as electron acceptors was performed since the halogenated benzoquinones have been shown to accept electrons from both active and inactive centers of photosystem II while some of the benzoquinones accept electrons only from active centers. The results suggest that Cd2+ ions induced a marginal increase in the number of inactive reaction centers in PS II. Analysis of light-saturation-kinetics of the evolution of O2 catalysed by PS II indicates a reduction in the size of the antennae as well as in the concentration of the active (Œ±-type) reaction centers of PS II. Thus, the Cd2+-induced effects on the photochemistry of PS II involve changes on the reducing side of PS II as well as possible changes in the sizes of the populations of active and inactive centers. Thus, short-term exposure to Cd2+ ions during establishment of seedlings has a severely detrimental effect on photochemical activities in chloroplasts. ¬© 1991. The Japanese Society of Plant Physiologists (JSPP).</t>
  </si>
  <si>
    <t>943-951</t>
  </si>
  <si>
    <t>Plant and Cell Physiology</t>
  </si>
  <si>
    <t>60030622;60020458;60030622</t>
  </si>
  <si>
    <t>36505855900;6601963309;7101652469</t>
  </si>
  <si>
    <t>Atal, Neelima;Saradhi, P. Pardha;Mohanty, Prasanna</t>
  </si>
  <si>
    <t>New Delhi;New Delhi</t>
  </si>
  <si>
    <t>Jawaharlal Nehru University;Jamia Millia Islamia</t>
  </si>
  <si>
    <t>60030622;60020458</t>
  </si>
  <si>
    <t>Atal N.</t>
  </si>
  <si>
    <t>Inhibition of the chloroplast photochemical reactions by treatment of wheat seedlings with low concentrations of cadmium: Analysis of electron transport activities and changes in fluorescence yield</t>
  </si>
  <si>
    <t>10.1093/oxfordjournals.pcp.a078181</t>
  </si>
  <si>
    <t>2-s2.0-77957182481</t>
  </si>
  <si>
    <t>['¬© 1991', 'visual terminals', 'rights reserved', 'receiving antenna', 'previous reports', 'japan society', 'induced voltages', 'human body', 'human bodies', 'fluorescent lamps', 'electromagnetic fields', 'antenna effect', 'analytical chemistry', 'adventitious sources']</t>
  </si>
  <si>
    <t>Antenna effect | electromagnetic waves | human body</t>
  </si>
  <si>
    <t>As an extension of the previous reports on the antenna effect of the human bodies towards electromagnetic fields in space, various phenomena due to the interaction of the electromagnetic fields with the human bodies, including frequency response characteristics of the human body as a receiving antenna, and dependence of the induced voltages on individuals or on the sorts of footwears are presented. These phenomena are applied to the study of adventitious sources of electromagnetic fields in space such as visual terminals and fluorescent lamps. ¬© 1991, The Japan Society for Analytical Chemistry. All rights reserved.</t>
  </si>
  <si>
    <t>1561-1564</t>
  </si>
  <si>
    <t>Supplement</t>
  </si>
  <si>
    <t>Analytical Sciences</t>
  </si>
  <si>
    <t>60008150;60008150</t>
  </si>
  <si>
    <t>36812428300;56274447800</t>
  </si>
  <si>
    <t>Amano, Chikara;Fujiwara, Shizuo</t>
  </si>
  <si>
    <t>Kanagawa University</t>
  </si>
  <si>
    <t>Amano C.</t>
  </si>
  <si>
    <t>Antenna effect of human bodies towards electromagnetic waves in space. iii frequency response characteristics</t>
  </si>
  <si>
    <t>10.2116/analsci.7.Supple_1561</t>
  </si>
  <si>
    <t>2-s2.0-84891764580</t>
  </si>
  <si>
    <t>['¬© 1991', 'three approaches', 'rights reserved', 'radiation pattern', 'qualitative shape', 'qualitative information', 'point algorithm', '3d effect']</t>
  </si>
  <si>
    <t>Three approaches for visualizing satellite antenna radiation -A-patterns are presented. Gain-level contours drawn over a geographical map gives the clearest quantitative information. A three-dimensional (3D) surface plot displays the qualitative shape of the radiation pattern more naturally. Giving a 3D effect to level contours allows quantitative and qualitative information to be combined, but it can only be used to complement the two other plots. The hidden-point algorithm for 3D contour plots is described. ¬© 1991, IEEE. All rights reserved.</t>
  </si>
  <si>
    <t>18-20</t>
  </si>
  <si>
    <t>Chow, Edmond</t>
  </si>
  <si>
    <t>Telesat</t>
  </si>
  <si>
    <t>Chow E.</t>
  </si>
  <si>
    <t>Plotting Satellite Antenna Radiation Patterns</t>
  </si>
  <si>
    <t>10.1109/74.84526</t>
  </si>
  <si>
    <t>2-s2.0-84942392326</t>
  </si>
  <si>
    <t>['‚ äúover', 'simulated data', 'sampar system', 'recorded using', 'real data', 'open literature', 'ml technique', 'measured data', 'le .,', 'described herein', 'angle radar']</t>
  </si>
  <si>
    <t>A discussion is presented of the improvements that can be achieved in low-angle radar by using a sampled aperture radar (SAMPAR) and a new maximum likelihood (ML) algorithm. The SAMPAR system that is described herein is unique in that it has a wide-ranging multifrequency capability The ML technique is unique, as well, because its estimation is based on the use of a highly refined signal model It is shown, by using both simulated data and real data, that this combination, Le., a SAMPAR system and the modified ML algorithm, provides a multiple signal resolution that exceeds any reported in the open literature. The measured data that are used in this study were recorded using a 32-element sampled aperture antenna on an ‚Äúover-water‚Äù path. ¬© 1991 IEEE.</t>
  </si>
  <si>
    <t>797-805</t>
  </si>
  <si>
    <t>Lo, Titus;Litva, John</t>
  </si>
  <si>
    <t>Low-Angle Tracking Using Multifrequency Sampled Aperture Radar</t>
  </si>
  <si>
    <t>10.1109/7.97325</t>
  </si>
  <si>
    <t>2-s2.0-84942738167</t>
  </si>
  <si>
    <t>['¬© vsp', 'wave parameters', 'unpolarized waves', 'two techniques', 'source direction', 'simultaneous measurement', 'simulated numerically', 'short dipoles', 'real part', 'port antenna', 'partially polarized', 'method requires', 'measured simultaneously', 'linearly polarized', 'iterative method', 'involves forming', 'imaginary parts', 'imaginary part', 'greatly improves', 'determined even', 'convergence properties', 'concept allows', 'arbitrary three', 'also presented']</t>
  </si>
  <si>
    <t>Two techniques of simultaneous measurement of source direction and polarization, using three orthogonal short dipoles, are reviewed and extended to cover partially polarized waves. One technique involves forming the real part of the 3 x 3 antenna voltage coherency matrix. The other involves forming the imaginary part of the same matrix. The concept of a transfer function matrix for an arbitrary three-port antenna is then developed. This concept allows the source direction and polarization to be measured simultaneously, using an iterative method, when antennas other than short dipoles are used. The method involves transformation of the transfer function matrix among various reference frames. A novel polarization transform is then developed which greatly improves the convergence properties of the iterative method, and which permits the wave parameters to be determined even when the waves are linearly polarized. The method requires that both the real and imaginary parts of the antenna voltage coherency matrix are formed. The method is valid for partially polarized and unpolarized waves in addition to purely polarized waves. An example, which has been simulated numerically, is also presented. ¬© VSP.</t>
  </si>
  <si>
    <t>785-817</t>
  </si>
  <si>
    <t>Neal, Kerry L.</t>
  </si>
  <si>
    <t>Radiophysics, Inc.</t>
  </si>
  <si>
    <t>Neal K.</t>
  </si>
  <si>
    <t>Simultaneous measurement of polarization and source direction of plane waves using three arbitrary antennas</t>
  </si>
  <si>
    <t>10.1163/156939391X00257</t>
  </si>
  <si>
    <t>2-s2.0-84947145350</t>
  </si>
  <si>
    <t>777-780</t>
  </si>
  <si>
    <t>;60028628</t>
  </si>
  <si>
    <t>7103195054;7004701432</t>
  </si>
  <si>
    <t>Wait, James R.;Rappaport, Carey M.</t>
  </si>
  <si>
    <t>Northeastern University</t>
  </si>
  <si>
    <t>Wait J.</t>
  </si>
  <si>
    <t>Comments on "synthesis of optimum microwave antenna applicators for use in treating deep localized tumors" by C. M. Rappaport, pier 1, 1989</t>
  </si>
  <si>
    <t>10.1163/156939391X00653</t>
  </si>
  <si>
    <t>2-s2.0-84947153024</t>
  </si>
  <si>
    <t>['various near', 'simulation study', 'sample spacing', 'planar surface', 'noise level', 'measurement distance', 'francis group', 'field parameters', 'field measurements', 'faulty elements', 'diagnostic tools', 'defective elements', 'computer simulation', 'array antennas']</t>
  </si>
  <si>
    <t>Near-field measurements can be used as diagnostic tools to reconstruct aperture fields of array antennas and to locate their defective elements. In this paper, a computer simulation is performed to evaluate the effect of various near-field parameters such as the measurement distance and the sample spacing on the diagnostics of faulty elements in array antennas. The near-field of an N x N dipole array containing defective elements is simulated on a planar surface a distance d from the antenna with a given sampling spacing of S. Next, additive Gaussian noise is added to the near-field and the result is back-propagated to reconstruct the source. The measurement distance, the sample spacing, and the noise level are variables in this simulation study. ¬© 1991 Taylor &amp; Francis Group, LLC.</t>
  </si>
  <si>
    <t>1151-1162</t>
  </si>
  <si>
    <t>101218092;60015609</t>
  </si>
  <si>
    <t>7004308422;7006219534</t>
  </si>
  <si>
    <t>Wey, C. S.;Mostafavi, M.</t>
  </si>
  <si>
    <t>San Jose;San Carlos</t>
  </si>
  <si>
    <t>San Jose State University;The Antenna Specialist Co</t>
  </si>
  <si>
    <t>60015609;101218092</t>
  </si>
  <si>
    <t>Wey C.S.</t>
  </si>
  <si>
    <t>Effect of near-field parameters on the reconstruction of array antenna excitations</t>
  </si>
  <si>
    <t>10.1163/156939391X00400</t>
  </si>
  <si>
    <t>2-s2.0-84947859645</t>
  </si>
  <si>
    <t>['tuning words', 'substantial loss', 'significantly larger', 'parameter tuning', 'mismatch loss', 'low end', 'interest without', 'groundplane radii', 'francis group', 'circular groundplane', 'antenna gain']</t>
  </si>
  <si>
    <t>Double-parameter and single-parameter tuning of a digitally-tuned, electrically-short monopole antenna at the center of a circular groundplane are investigated to determine the range of groundplane radii for which the same tuning words can be utilized in maintaining a specified antenna gain over a given frequency band. It is found that the range of groundplane radii is generally not significantly larger with double-parameter tuning than with single-parameter tuning. It is concluded that it may not be possible to use the same tuning words for all groundplane radii of interest without a substantial loss in antenna gain because of mismatch loss at some frequencies, particularly at the low end of the band. ¬© 1991 Taylor &amp; Francis Group, LLC.</t>
  </si>
  <si>
    <t>1199-1215</t>
  </si>
  <si>
    <t>Tuning stability of a digitally-tuned, electrically-short monopole element on disk groundplanes of different radii</t>
  </si>
  <si>
    <t>10.1163/156939391X00798</t>
  </si>
  <si>
    <t>2-s2.0-84950733059</t>
  </si>
  <si>
    <t>['uniform case', 'three dimensions', 'still valid', 'ssg due', 'spontaneous emission', 'madeys theorem', 'fel experiment', 'energy mismatch', 'electron beam', 'collimation excursion']</t>
  </si>
  <si>
    <t>A quadrature for small signal gain (SSG) in tapered free electron laser (FEL) is given. In contrast to the uniform case, the optimum of gain is not at ŒΩ¬∞=¬∞1.303 of energy mismatch, and it depend on the taper. Using the antenna array concept, the spontaneous emission is derived and it shows that Madeys theorem is still valid. The generalization from one to three dimensions is given and degradation of SSG due to the collimation excursion of the axes of the optical, electron beam and undulator can be included as well. The comparision with Boeing's FEL experiment is carried out also. ¬© 1991 IOP Publishing Ltd.</t>
  </si>
  <si>
    <t>511-514</t>
  </si>
  <si>
    <t>0256307X</t>
  </si>
  <si>
    <t>Chinese Physics Letters</t>
  </si>
  <si>
    <t>60026626;60026626</t>
  </si>
  <si>
    <t>24072408300;57083570700</t>
  </si>
  <si>
    <t>Yijin, Shi;Ke, Lan</t>
  </si>
  <si>
    <t>China Institute of Atomic Energy</t>
  </si>
  <si>
    <t>Yijin S.</t>
  </si>
  <si>
    <t>Small signal gain in tapered free-electron lasers of oscillator configuration</t>
  </si>
  <si>
    <t>10.1088/0256-307X/8/10/005</t>
  </si>
  <si>
    <t>2-s2.0-84956252666</t>
  </si>
  <si>
    <t>['¬© 1991', 'successfully excited', 'shadow area', 'rich structure', 'preliminary evidence', 'plasma current', 'also found']</t>
  </si>
  <si>
    <t>Shear Alfven waves have been successfully excited in KT-5B small tokamak by means of the one turn longitudinal loop antenna located in the shadow area. The measured antenna loadings show their rich structure, and the loadings are also found to be sensitive to the plasma current. Preliminary evidence of surface electrostatic wave was observed. ¬© 1991 The Chinese Physical Society.</t>
  </si>
  <si>
    <t>240-243</t>
  </si>
  <si>
    <t>57209061358;6504731574</t>
  </si>
  <si>
    <t>Shiyao, Z. H.U.;Shensheng, H. A.N.</t>
  </si>
  <si>
    <t>Shiyao Z.</t>
  </si>
  <si>
    <t>Experimental observations of surface electrostatic wave on kt-5b tokamak</t>
  </si>
  <si>
    <t>10.1088/0256-307X/8/5/007</t>
  </si>
  <si>
    <t>2-s2.0-84957330688</t>
  </si>
  <si>
    <t>['√± j', '‚ äò', '¬© 1991', 'wide range', "te ',", 'sawtooth oscillations', 'phasing data', 'odajima scaling', 'mode behaviour', 'majority 2wjh', 'low density', 'intense non', 'heating schemes', 'heating scheme', 'enhanced period', 'electron temperature', 'electron densities', 'different dependences', 'confinement characteristics', 'ch heating', 'antenna currents', 'almost constant', '3 mw', '120 ms', '0 )),', '0 ))']</t>
  </si>
  <si>
    <t>Results are presented of the second harmonic heating experiments in the ion cyclotron range of frequencies (ICRF) on JT-60. Heating and confinement characteristics are investigated by using the hydrogen second harmonic (H-majority 2wjh) scheme and the hydrogen minority second harmonic (H-minority 2 œé ch) scheme (nn/nHe ¬´ 0.1) in two toroidal phasing modes of antenna currents, in phase ((0, 0)) and out of phase ((œÄ, 0)), at Pjc ^ 3 MW, √±j = (1.3-6.6) X 10 ‚Äù m‚Äò^ and Ip = 1-2.4 MA. Efficient plasma heating has been demonstrated in both heating schemes. Intense non-Maxwellian ion tails are observed at low density. Sawtooth oscillations with an enhanced period in the electron temperature are found over a wide range of electron densities. The incremental energy confinement time, Te', for (tt, 0) phasing is larger than for (0, 0) phasing, irrespective of the heating scheme. In particular, H-minority 2wjh heating with (ir, 0) phasing shows excellent plasma heating with * 100-120 ms, which is larger than that of neutral beam injection (NBI) heating by a factor of about two. Different dependences of t√à‚Äú on Ip are obtained in the two heating schemes. The (0, 0) phasing data of ' in H-majority 20^¬ª heating increase with Ip up to 1.9 MA, while the (tt, 0) phasing data in H-minority 2√º&gt;ch heating are almost constant with Ip up to 2.4 MA. The global energy confinement shows an L-mode behaviour. The energy confinement time for H-minority 2uch heating at high density agrees well with the Shimomura-Odajima scaling. ¬© 1991, IOP publishing Ltd.</t>
  </si>
  <si>
    <t>137-154</t>
  </si>
  <si>
    <t>60012288;60012288;60012288;60012288;60012288;60012288;60012288;60012288;60018735;60012288;60012288;60012288;60012288;60012288;60012288;60018735;60012288;60012288;60012288;60012288;60012288;60012288;60012288</t>
  </si>
  <si>
    <t>35352771100;7404269925;7005938557;7101740816;7004717270;6505816217;7404415709;35354673100;35377951900;7201956293;7402811420;7004487022;7401673685;8690918800;7103103440;7404051215;7003922242;55574413400;7005442284;7102600859;7003910283;8451520700;24323526100</t>
  </si>
  <si>
    <t>Fujii, T.;Kimura, H.;Saigusa, M.;Moriyama, S.;Hamamatsu, K.;Annoh, K.;Fukuda, T.;Ishida, S.;Kobayashi, N.;Koide, Y.;Kubo, H.;Kusama, Y.;Nagashima, K.;Nemoto, M.;Nishitani, T.;Ogawa, Y.;Sakasai, A.;Sato, M.;Shinozaki, S.;Sugie, T.;Terakado, M.;Tobita, K.;Yoshida, H.</t>
  </si>
  <si>
    <t>Fujii T.</t>
  </si>
  <si>
    <t>Heating and confinement characteristics of second harmonic heating in the ion cyclotron range of frequencies on the jt-60 tokamak</t>
  </si>
  <si>
    <t>10.1088/0029-5515/31/1/013</t>
  </si>
  <si>
    <t>2-s2.0-84970082444</t>
  </si>
  <si>
    <t>['truncated surface', 'spherical segments', 'scattering integral', 'revolution viewed', 'radar backscatter', 'moment calculations', 'ieee trans', 'geometrical theory', 'form high', 'axial incidence', 'antennas propag', '1965 )]']</t>
  </si>
  <si>
    <t>We consider the radar backscatter from a truncated surface of revolution viewed at axial incidence and derive a closed-form high-frequency (HF) approximation for the physical-optics (PO) scattering integral. The PO predicted edge effect is extracted from this result and used to obtain a closed-form HF representation for the edge effect predicted by the geometrical theory of diffraction. The predictions for total radar backscatter thus obtained are compared with the results of some method-of-moment calculations (for paraboloids) and also with the older theoretical results of Raybin [IEEE Trans. Antennas Propag. AP-13,754 (1965)] for spherical segments. ¬© 1991 Optical Society of America.</t>
  </si>
  <si>
    <t>Journal of the Optical Society of America A: Optics and Image Science, and Vision</t>
  </si>
  <si>
    <t>60027271;60027271</t>
  </si>
  <si>
    <t>7102051435;6701342731</t>
  </si>
  <si>
    <t>Gordon, William B.;Bilow, Henry J.</t>
  </si>
  <si>
    <t>Gordon W.</t>
  </si>
  <si>
    <t>High-frequency approximations for edge scatter from surfaces of revolution</t>
  </si>
  <si>
    <t>10.1364/JOSAA.8.000011</t>
  </si>
  <si>
    <t>2-s2.0-84975625684</t>
  </si>
  <si>
    <t>['survey monuments', 'practical reasons', 'pk method', 'physical basis', 'paper defines', 'often done', 'occupations separated', 'normally involved', 'kinematic surveying', 'geodetic monument', 'cycle slips', 'could also', 'brief history', '5 min', '1991 institute', '1 h']</t>
  </si>
  <si>
    <t>Pseudo‚Äêkinematic (PK) positioning with GPS is a survey technique employed by the National Geodetic Survey. This technique, which could also be called broken static surveying (or intermittent static surveying), must not be confused with kinematic surveying. The kinematic survey method requires continuous carrier phase tracking while moving between survey monuments and places strong restrictions on the number of satellites without cycle slips. The PK method is a static technique whereby a geodetic monument is occupied for, typically, 1 to 5 min for two or more occupations separated substantially in time (e.g., 1 h). Tracking during the transitions between monuments is categorically not required, but is often done for practical reasons. PK promises substantial productivity gains over classical static surveys and can be employed where the regular kinematic method is impractical. Furthermore, PK is safer than the regular static mode in that a constant antenna height is normally involved. These advantages are discussed. The paper defines the PK method; provides a brief history; considers alternative possible names; presents the mathematical and physical basis for the method, with emphasis on what to do about all the cycle slips between occupations separated by 1 h or more; and provides a number of examples. 1991 Institute of Navigation</t>
  </si>
  <si>
    <t>17-36</t>
  </si>
  <si>
    <t>Spring 1991</t>
  </si>
  <si>
    <t>REMONDI, BENJAMIN W.</t>
  </si>
  <si>
    <t>National Oceanic and Atmospheric Administration</t>
  </si>
  <si>
    <t>REMONDI B.</t>
  </si>
  <si>
    <t>Pseudo‚Äêkinematic GPS Results Using the Ambiguity Function Method</t>
  </si>
  <si>
    <t>10.1002/j.2161-4296.1991.tb01712.x</t>
  </si>
  <si>
    <t>2-s2.0-84981588458</t>
  </si>
  <si>
    <t>['vehicle orientation', 'user vehicle', 'statistical filter', 'spacecraft structure', 'random process', 'paper describes', 'interferometric equations', 'integrated gps', 'inertial space', 'imu ),', 'error state', 'dynamic environment', 'attitude estimation', 'antennas placed', '1991 institute']</t>
  </si>
  <si>
    <t>This paper describes the design and simulation of an integrated GPS/INS that accomplishes space vehicle navigation and attitude estimation. The simulation contains models of an inertial measurement unit (IMU), a GPS receiver processing signals from an array of antennas placed on the spacecraft structure, and an integrated navigation filter. Interferometric equations are employed to process GPS carrier accumulated‚Äêphase measurements from precise antenna locations in the user vehicle. Vehicle orientation in inertial space is then obtained by relating baseline‚Äêdifference phase measurements to orientations of antenna baselines relative to satellite line‚Äêof‚Äêsight vectors. The method of GPS‚Äêaided attitude estimation described herein is distinguished from other methods in that it does not employ search algorithms to resolve the carrier phase cycle ambiguity. Instead, the ambiguity is modeled as a random process and is included as an error state of a statistical filter. As a result, the attitude estimation time history evolves directly for any dynamic environment. 1991 Institute of Navigation</t>
  </si>
  <si>
    <t>Fall 1991</t>
  </si>
  <si>
    <t>117138090;117138090;60027271;60027271</t>
  </si>
  <si>
    <t>7005391368;7403241244;7201558476;57220456804</t>
  </si>
  <si>
    <t>SATZ, HAYWOOD S.;COX, DUNCAN B.;BEARD, RONALD L.;LANDIS, G. PAUL</t>
  </si>
  <si>
    <t>Washington, D.C.;Reading</t>
  </si>
  <si>
    <t>Naval Research Laboratory;Mayflower Communications Company, Inc.</t>
  </si>
  <si>
    <t>60027271;117138090</t>
  </si>
  <si>
    <t>SATZ H.S.</t>
  </si>
  <si>
    <t>GPS Inertial Attitude Estimation via Carrier Accumulated‚ÄêPhase Measurements</t>
  </si>
  <si>
    <t>10.1002/j.2161-4296.1991.tb01860.x</t>
  </si>
  <si>
    <t>2-s2.0-84981636761</t>
  </si>
  <si>
    <t>['static survey', 'resolved either', 'remain stationary', 'receivers may', 'physical exchange', 'original locations', 'naturally allow', 'mobile platforms', 'least one', 'known baseline', 'kinematic survey', 'kinematic gps', 'integer ambiguity', 'instant calibration', 'information needed', 'ideas count', 'fixed baseline', 'first calls', 'data collected', 'baseline stationary', 'antenna exchange', 'additional measurements', '1991 institute']</t>
  </si>
  <si>
    <t>In kinematic GPS, the initial integer ambiguity must be resolved either by a static survey over time, or by instant calibration with a known baseline or an antenna exchange. While these standard methods require maintaining a baseline stationary to an earth‚Äêfixed reference frame during the initialization, there are situations when at least one of the receivers may be constantly in motion. This paper proposes two ideas for adapting standard kinematic techniques to situations that do not naturally allow for the constraint of a fixed baseline. The first calls for extracting the information needed to resolve the integer ambiguity from the very data collected while the kinematic survey is in progress. The second idea addresses the use of the antenna exchange technique for mobile platforms where the original locations of the antennas are not likely to remain stationary during the physical exchange. Both ideas count on information from additional measurements to augment their respective measurement models. 1991 Institute of Navigation</t>
  </si>
  <si>
    <t>HWANG, PATRICK Y.C.</t>
  </si>
  <si>
    <t>Cedar Rapids</t>
  </si>
  <si>
    <t>Rockwell Int Corp</t>
  </si>
  <si>
    <t>HWANG P.</t>
  </si>
  <si>
    <t>Kinematic GPS for Differential Positioning: Resolving Integer Ambiguities on the Fly</t>
  </si>
  <si>
    <t>10.1002/j.2161-4296.1991.tb01711.x</t>
  </si>
  <si>
    <t>2-s2.0-84981642752</t>
  </si>
  <si>
    <t>['wiley blackwell', 'walker ),', 'systematic survey', 'sex attractant', 'seven compounds', 'sensilla appeared', 'second specialized', 'rights reserved', 'receptor neurones', 'pairs within', 'one specialized', 'minor component', 'male antenna', 'female pheromone', 'female blend', 'comparable number', 'argyrotaenia velutinana', 'always found', 'ac ).']</t>
  </si>
  <si>
    <t>Argyrotaenia velutinana | blend perception | electro‚Äêphysiology | insects | olfactory receptors | pheromones. | redbanded leafroller</t>
  </si>
  <si>
    <t>Abstract The sex attractant of the female redbanded leafroller moth, Argyrotaenia velutinana (Walker), is a blend of seven compounds. Specialized olfactory receptor neurones had been found for only two of the compounds, (Z)‚Äê11‚Äêtetradecenyl acetate (Z11‚Äê14:Ac) and (E)‚Äê11‚Äêtetradecenyl acetate (E11‚Äì14:Ac). These receptor neurones were always found in pairs within the long trichoid sensilla, which are the most abundant multi‚Äêpored sensilla on the male antenna. A systematic survey of all regions of the male antenna with standard extracellular recording techniques was undertaken to find receptor neurones responsive to the remaining five minor components of the female pheromone. Of the 113 long trichoid sensilla sampled, all contained two receptor neurones, one specialized for Z11‚Äì14:Ac and a second specialized for Ell ‚Äì14:Ac. A comparable number of recordings were then obtained from the less abundant classes of multi‚Äêpored sensilla. Two new receptor neurone types were found, responsive to the minor pheromone components (E)‚Äê9‚Äêdodecenyl acetate (E9‚Äê12:Ac) and (Z)‚Äê9‚Äêdodecenyl acetate (Z9‚Äê12:Ac). Scanning electron micrographs indicated that these recordings were obtained from shorter, narrower trichoid sensilla. The majority of these sensilla appeared to contain three neurones capable of spontaneous action potential production. In each sensillum, only one receptor neurone appeared to respond to stimulation with a minor component of the female blend. The remaining two neurones did not respond to the chemical stimuli evaluated. Copyright ¬© 1991, Wiley Blackwell. All rights reserved</t>
  </si>
  <si>
    <t>60000986;60000986</t>
  </si>
  <si>
    <t>7102196650;7103138825</t>
  </si>
  <si>
    <t>AKERS, R. PATRICK;O'CONNELL, ROBERT J.</t>
  </si>
  <si>
    <t>Worcester</t>
  </si>
  <si>
    <t>University of Massachusetts Medical School</t>
  </si>
  <si>
    <t>AKERS R.</t>
  </si>
  <si>
    <t>Response specificity of male olfactory receptor neurones for the major and minor components of a female pheromone blend</t>
  </si>
  <si>
    <t>10.1111/j.1365-3032.1991.tb00538.x</t>
  </si>
  <si>
    <t>2-s2.0-84983271619</t>
  </si>
  <si>
    <t>['wiley blackwell', 'sex identification', 'rights reserved', 'remained mounted', 'phaulacridium vittatum', 'moved nearby', 'mounted individual', 'mating behaviour', 'males mounted', 'males appeared', 'macropterous forms', 'laboratory conditions', 'agonistic behaviour', 'active grasshopper']</t>
  </si>
  <si>
    <t>The mating behaviour of Phaulacridium vittatum, a non‚Äêacoustic acridid of Australia, was observed under laboratory conditions. Femur‚Äêtipping by males was common. Males mounted any active grasshopper that moved nearby. However, males appeared to use the size of a mounted individual as a basis for sex identification because they remained mounted only on females or on males whose thorax or abdomen were broadened to that of a female. A male's copulatory attempts continued when his antennae, mouthparts, cerci or tarsi were amputated, and antennectomised males remained mounted longer. Males and females were compared for agonistic behaviour of brachypterous and macropterous forms. Copyright ¬© 1991, Wiley Blackwell. All rights reserved</t>
  </si>
  <si>
    <t>221-229</t>
  </si>
  <si>
    <t>Australian Journal of Entomology</t>
  </si>
  <si>
    <t>Bland, R. G.</t>
  </si>
  <si>
    <t>Mount Pleasant</t>
  </si>
  <si>
    <t>Central Michigan University</t>
  </si>
  <si>
    <t>Bland R.</t>
  </si>
  <si>
    <t>MATING BEHAVIOUR OF PHAULACRIDIUM VITTATUM SJ√ñSTEDT (ORTHOPTERA: ACRIDIDAE)</t>
  </si>
  <si>
    <t>10.1111/j.1440-6055.1991.tb00417.x</t>
  </si>
  <si>
    <t>2-s2.0-84984117817</t>
  </si>
  <si>
    <t>['thermal desorption', 'sensing element', 'quantitatively retained', 'quantitative trapping', 'quantitative determination', 'insect semiochemicals', 'insect pheromones', 'compounds eluting', 'capillary traps']</t>
  </si>
  <si>
    <t>Chemical communication | Electroantennographic detection (EAD) | Pheromones | Semiochemicals | Thick film capillary traps</t>
  </si>
  <si>
    <t>Insect pheromones and other insect semiochemicals have been concentrated in capillary traps for thermal desorption and gas chromatographic separation. Whereas highly volatile compounds are not quantitatively retained by traps short enough to enable thermal desorption in the injector, quantitative trapping is possible on longer fused silica traps. Short traps coated with a 145 Œºm film of a polysiloxane were used for the quantitative determination of the constituents of a dung beetle attractant. By means of a ‚Äúliving detector‚Äù with the antenna of an insect as sensing element the compounds eluting from a gas chromatographic column, were screened for possible semiochemical activity. Copyright ¬© 1991 Dr. Alfred Huethig Publishers</t>
  </si>
  <si>
    <t>718-723</t>
  </si>
  <si>
    <t>Journal of High Resolution Chromatography</t>
  </si>
  <si>
    <t>60001565;60001565;60001565</t>
  </si>
  <si>
    <t>35577693100;6701912264;7102643847</t>
  </si>
  <si>
    <t>Burger, Barend V.;Nell, Anika E.;Petersen, Warren G.B.</t>
  </si>
  <si>
    <t>Stellenbosch</t>
  </si>
  <si>
    <t>Stellenbosch University</t>
  </si>
  <si>
    <t>Burger B.</t>
  </si>
  <si>
    <t>Analysis of pheromones: Enrichment on thick film capillary traps and GC detection with a living detector (EAD)</t>
  </si>
  <si>
    <t>10.1002/jhrc.1240141104</t>
  </si>
  <si>
    <t>2-s2.0-84985266686</t>
  </si>
  <si>
    <t>['wiley company', 'transmission losses', 'samples containing', 'microstrip discontinuities', 'inc .,', 'experimental investigation', 'compensated symmetrical', 'article presents']</t>
  </si>
  <si>
    <t>array antennas | Microstrip discontinuities | millimeter‚Äêwave frequencies | radiation and surface‚Äêwave losses</t>
  </si>
  <si>
    <t>This article presents the results of an experimental investigation on the radiation and surface‚Äêwave losses at the microstrip discontinuities such as compensated symmetrical T junctions and bends at near‚Äêmillimeter‚Äêwave frequencies. Reflection and transmission losses of samples containing those discontinuities with fine geometrical differences have been measured. The reduction of those losses with the use of smooth T junctions and bends is demonstrated. Copyright ¬© 1991 Wiley Periodicals, Inc., A Wiley Company</t>
  </si>
  <si>
    <t>408-412</t>
  </si>
  <si>
    <t>Investigation of radiation and surface‚Äêwave losses at compensated microstrip T junctions and bends at near‚Äêmillimeter‚Äêwave frequencies</t>
  </si>
  <si>
    <t>10.1002/mop.4650041011</t>
  </si>
  <si>
    <t>2-s2.0-84985345678</t>
  </si>
  <si>
    <t>['wiley company', 'two models', 'resonant patch', 'rectangular patch', 'radiation patterns', 'radiation models', 'infinite substrate', 'inc .,', 'exact agreement', 'dielectric truncation', 'also extended']</t>
  </si>
  <si>
    <t>A comparison of radiation models for a rectangular patch antenna is made. The dominant mode electric current model and magnetic current model are each applied to the cases of a rectangular patch on an infinite substrate, and a patch on a substrate which is truncated at the edges of the patch. It is noted that exact agreement is obtained between the two models for the case of a resonant patch, for both the infinite substrate and truncated substrate cases. The effects of dielectric truncation on the radiation patterns is discussed and the electric current model is also extended to include the effects of feed‚Äêprobe radiation and radiation from higher‚Äêorder modes on the patch. Copyright ¬© 1991 Wiley Periodicals, Inc., A Wiley Company</t>
  </si>
  <si>
    <t>236-248</t>
  </si>
  <si>
    <t>International Journal of Microwave and Millimeter‚ÄêWave Computer‚ÄêAided Engineering</t>
  </si>
  <si>
    <t>60005837;60005837</t>
  </si>
  <si>
    <t>7404289310;57218985569</t>
  </si>
  <si>
    <t>Jackson, David R.;Williams, Jeffery T.</t>
  </si>
  <si>
    <t>A comparison of CAD models for radiation from rectangular microstrip patches</t>
  </si>
  <si>
    <t>10.1002/mmce.4570010209</t>
  </si>
  <si>
    <t>2-s2.0-84985383829</t>
  </si>
  <si>
    <t>['wiley company', 'three kinds', 'surface waves', 'structure resonate', 'sommerfeld integrals', 'rigorously analyze', 'radiation characteristics', 'radiating element', 'radiating dipoles', 'radiated waves', 'produce interference', 'open structures', 'one another', 'microwave range', 'little attenuation', 'leaky waves', 'inc .,', 'functions provided', 'effect produced', 'dielectric substrate', 'currents flowing', 'closely located', 'circuit parameters', 'approach provides', 'another one', 'allows one']</t>
  </si>
  <si>
    <t>Microstrips are open structures, that tend to radiate as the frequency of the signal increases within the microwave range. Radiation becomes significant in the vicinity of discontinuities, particularly when parts of the structure resonate. This situation is encountered in the design of filters, which often are arrays of radiating dipoles. When circuits are placed within metal enclosures, the radiated waves are reflected on the walls, and produce interference. The mechanism of radiation is linked to the excitation of three kinds of waves: radiated waves, leaky waves, and surface waves. The latter remain trapped within the dielectric substrate and propagate with little attenuation (i.e., optical fibers), producing spurious coupling and diffraction. An analysis technique originally developed for patch antennas provides a means to rigorously analyze the radiation from unenclosed microstrip circuits. It is based on a mixed potential integral equation formulation (MPIE), making use of Green's functions provided by Sommerfeld integrals, for which an exact evaluation technique was developed. The currents flowing on the circuits are expanded over a set of subsectional basis functions, and their intensities are determined by a method of moments. This approach provides both the circuit parameters (impedance or scattering matrices), and its radiation characteristics (antenna pattern). It allows one to determine the effect produced by a radiating element on another one, even when the two are not closely located with respect to one another. Copyright ¬© 1991 Wiley Periodicals, Inc., A Wiley Company</t>
  </si>
  <si>
    <t>225-235</t>
  </si>
  <si>
    <t>Gardiol, Fred E.</t>
  </si>
  <si>
    <t>Gardiol F.</t>
  </si>
  <si>
    <t>Radiation from microstrip circuits: An introduction</t>
  </si>
  <si>
    <t>10.1002/mmce.4570010208</t>
  </si>
  <si>
    <t>2-s2.0-84985426074</t>
  </si>
  <si>
    <t>['wide beamwidth', 'small dornier', 'radar configuration', 'phase history', 'oberpfaffenhofen operates', 'low altitudes', 'eventually results', 'data processing', 'computer simulation', 'atmospheric turbulences', '3 ].', '228 aircraft']</t>
  </si>
  <si>
    <t>The Institute for Radio Frequency Technology of the German Aerospace Research Establishment (DLR) in Oberpfaffenhofen operates an experimental synthetic aperture radar, E‚ÄêSAR. The Radar configuration was developed by DLR [1, 2] and consists of a L/C/X‚Äêband SAR System and antennas with a wide beamwidth in azimuth and elevation. The system is installed in a small Dornier DO 228 aircraft, which operates at low altitudes between 1000 m ‚Äê 3000 m above ground. Due to atmospheric turbulences, the aircraft is displaced from its nominal flight path, causing a variation of the phase history of the returned radar signal. This eventually results in a degraded image quality and therefore a highly accurate motion compensation becomes necessary. It is intended to integrate an inertial measurement unit (IMU) within the E‚ÄêSAR system to support the used motion compensation algorithm during data processing [3]. The required relative accuracy of the IMU can be determined by means of statistics i.e. an approach is demonstrated to estimate the power spectral density (PSD) of the tolerable uncompensated aircraft motion. The performance of an IMU motion compensation system has been evaluated by analysis, as well as by computer simulation. Copyright ¬© 1991 John Wiley &amp; Sons, Ltd.</t>
  </si>
  <si>
    <t>655-664</t>
  </si>
  <si>
    <t>1124318X</t>
  </si>
  <si>
    <t>European Transactions on Telecommunications</t>
  </si>
  <si>
    <t>November/December 1991</t>
  </si>
  <si>
    <t>Buckreuss, Stefan</t>
  </si>
  <si>
    <t>¬†Cologne</t>
  </si>
  <si>
    <t>Deutsches Zentrum fur Luft- Und Raumfahrt</t>
  </si>
  <si>
    <t>Buckreuss S.</t>
  </si>
  <si>
    <t>Motion errors in an airborne synthetic aperture radar system</t>
  </si>
  <si>
    <t>10.1002/ett.4460020609</t>
  </si>
  <si>
    <t>2-s2.0-84985748319</t>
  </si>
  <si>
    <t>['used profitably', 'total reflections', 'theoretical analysis', 'radio channel', 'paper goes', 'paper deals', 'long routes', 'link performance', 'hop quality', 'experimental data', 'basic components', 'antenna characteristics']</t>
  </si>
  <si>
    <t>This paper deals with the quality of a line‚Äêof‚Äêsight digital radio link using angle diversity reception. Starting from a simple multipath model based on total reflections of the electromagnetic rays propagating in the atmosphere, a relation of delay between rays is inferred, which is linear with distance and, at least for long routes, is in accordance with experimental data. The paper goes on with the description of a radio channel, both for ¬´minimum phase¬ª and ¬´non‚Äêminimum phase¬ª, and with a theoretical analysis of a hop quality. Said analysis leads to consider the antenna characteristics, both in transmission and in reception, as basic components of the link performance and allows to conclude that the angle diversity may be used profitably if antennas with sufficiently narrow lobes are adopted. Copyright ¬© 1991 John Wiley &amp; Sons, Ltd.</t>
  </si>
  <si>
    <t>737-741</t>
  </si>
  <si>
    <t>Coraiola, Alessandro</t>
  </si>
  <si>
    <t>Sirti S.p.A.</t>
  </si>
  <si>
    <t>Coraiola A.</t>
  </si>
  <si>
    <t>An algebraic approach for performance evaluation in microwave links using angle diversity</t>
  </si>
  <si>
    <t>10.1002/ett.4460020617</t>
  </si>
  <si>
    <t>2-s2.0-84985790779</t>
  </si>
  <si>
    <t>['would account', 'wiley blackwell', 'significant relationships', 'shrimp growth', 'runtdeformity syndrome', 'rights reserved', 'rds symptoms', 'oceanic institute', 'many shrimp', 'ihhn virus', 'ihhn prevalance', 'identical conditions', 'histopathological evidence', 'high prevalence', 'high prevalance', 'growth rate', 'economically significant', 'cuticle deformity', 'cuticle deformities', 'cultured population', 'cultured p', 'anterior appendages']</t>
  </si>
  <si>
    <t>Runtdeformity syndrome (RDS) is an economically significant, frequent disease problem of cultured Penaeus vannamei. RDS is characterized by variable, often greatly reduced, growth rate of up to 30% of a cultured population and many shrimp with cuticle deformities of the rostrum, anterior appendages or other parts. The cause of RDS is undetermined. Nursery trials comparing histologically IHHN‚Äêpositive and histologically IHHN‚Äênegative Penaeus vannamei cultured under identical conditions were conducted at The Oceanic Institute. The IHHN‚Äêpositive populations developed RDS symptoms including increased individual size variation, reduced population growth, and high prevalance of rostrum, antennae or cuticle deformity, while the IHHN‚Äênegative groups displayed none of these symptoms. No other diseases or parasites were identified in the IHHN‚Äêpositive populations that would account for the RDS symptoms. A single commercialele nursery was stocked with histologidly IHHN‚Äêpositive P. vannamei and a high prevalence of RDS was observed. Shrimp growth was bimodal with a subpopulation growing normally and a subpopulation growing slowly. Significant relationships between shrimp harvest size and IHHN prevalance, selected individual organ IHHN severity grades and IHHN severity index (six organs evaluated) were found. Large, apparently normal shrimp were less severely infected with virus and did not display any cuticle deformities. In sum, these data provide epidemiological and histopathological evidence for the hypothesis that infection by IHHN virus is the cause of RDS in cultured P. vannamei. Copyright ¬© 1991, Wiley Blackwell. All rights reserved</t>
  </si>
  <si>
    <t>Journal of the World Aquaculture Society</t>
  </si>
  <si>
    <t>60022812;60022812;60022812;60022812;60022812;60022812;</t>
  </si>
  <si>
    <t>57191236440;7005983404;16453381900;6506890058;7201426290;6602526245;25933948500</t>
  </si>
  <si>
    <t>Kalagayan, Hector;Godin, David;Kanna, Roberta;Hagino, Gerry;Sweeney, James;Wyban, James;Brock, James</t>
  </si>
  <si>
    <t>Waimanalo</t>
  </si>
  <si>
    <t>Oceanic Institute an affiliate of Hawaii Pacific University</t>
  </si>
  <si>
    <t>Kalagayan H.</t>
  </si>
  <si>
    <t>IHHN Virus as an Etiological Factor in Runt‚ÄêDeformity Syndrome (RDS) of Juvenile Penaeus vannamei Cultured in Hawaii</t>
  </si>
  <si>
    <t>10.1111/j.1749-7345.1991.tb00740.x</t>
  </si>
  <si>
    <t>2-s2.0-84988147779</t>
  </si>
  <si>
    <t>['œü ).', 'woodland plant', 'wiley blackwell', 'thylakoid contents', 'sun leaves', 'similar absorptances', 'silene dioica', 'shade leaves', 'shade environment', 'rights reserved', 'rd ,)', 'quantum yields', 'psi ratio', 'physiological characteristics', 'photosynthetic apparatus', 'natural shade', 'increased psii', 'important feature', 'electron transport', 'compensation point', 'co2 assimilation', 'carbon assimilation', 'b ratios', 'antenna size', 'adaptive response']</t>
  </si>
  <si>
    <t>chlorophyll fluorescence | leaf photosynthesis | light‚Äêharvesting complex | photosystems I and II | shade adaptation | Silene dioica | thylakoids</t>
  </si>
  <si>
    <t>Abstract. The physiological characteristics and photo‚Äêsystem composition of the photosynthetic apparatus of Silene dioica, a woodland plant, grown in sun and natural shade are examined. As expected, shade leaves exhibited lower chlorophyll a/b ratios, light saturated rates of CO2 assimilation (Asat), dark respiration (Rd,) and light compensation points (–ì), with both sun and shade leaves having similar absorptances and quantum yields of CO2 assimilation (œÜ). Shade leaves were able to utilize far‚Äêred light for electron transport and carbon assimilation and reach the compensation point. Sun leaves in far‚Äêred light had a rate of carbon assimilation equivalent to their dark respiration rate. Chlorophyll fluorescence kinetics from leaves at 77 K together with analyses of thylakoid contents of photosystems (PS) I and II and the light‚Äêharvesting cholorphyll a/b protein complex associated with PSII (LHCII) demonstrated that the antenna size of PSII was similar in thylakoids of sun and shade leaves, but shade leaves contained ca. 20% more PSII and ca. 12% less PSI complexes. The increased PSII/PSI ratio in shade leaves accounted for their ability to achieve the compensation point in far‚Äêred light. An important feature of photosynethic shade adaptation in S. dioica is an increase in the PSII/PSI ratio and not an increase in the antenna size of PSII. The adaptive response of sun leaves when placed in a shade environment was rapid and had a half‚Äêtime of ca. 18h. Copyright ¬© 1991, Wiley Blackwell. All rights reserved</t>
  </si>
  <si>
    <t>205-212</t>
  </si>
  <si>
    <t>Plant, Cell &amp; Environment</t>
  </si>
  <si>
    <t>60001359;60001359</t>
  </si>
  <si>
    <t>24388259500;26643542200</t>
  </si>
  <si>
    <t>McKIERNAN, M.;BAKER, N. R.</t>
  </si>
  <si>
    <t>Colchester</t>
  </si>
  <si>
    <t>University of Essex</t>
  </si>
  <si>
    <t>McKIERNAN M.</t>
  </si>
  <si>
    <t>Adaptation to shade of the light‚Äêharvesting apparatus in Silene dioica</t>
  </si>
  <si>
    <t>10.1111/j.1365-3040.1991.tb01337.x</t>
  </si>
  <si>
    <t>2-s2.0-84989005775</t>
  </si>
  <si>
    <t>['e .,', 'critical frequency', 'copyright 1991', 'constant current', 'complex form', 'antenna impedance', 'also obtained']</t>
  </si>
  <si>
    <t>Antenna impedance has been measured on board the EXOS‚ÄêD (Akebono) satellite by imposing a constant current at VLF. The impedance is obtained in a complex form, i.e., as a resistance and a capacitance. This is essential to obtain the absolute electric field intensities of tbe VLF waves. A critical frequency below which the resistive part becomes important is also obtained. Copyright 1991 by the American Geophysical Union.</t>
  </si>
  <si>
    <t>313-316</t>
  </si>
  <si>
    <t>Geophysical Research Letters</t>
  </si>
  <si>
    <t>60003414;60024784;60032632;60011001;60000809</t>
  </si>
  <si>
    <t>55477173900;7006203498;7403893404;57205485130;7402952086</t>
  </si>
  <si>
    <t>Hashimoto, Kozo;Nagano, Isamu;Okada, Toshimi;Yamamoto, Masayuki;Kimura, Iwane</t>
  </si>
  <si>
    <t>Japan;Japan;Japan;Japan;Japan</t>
  </si>
  <si>
    <t>Imizu;Kanazawa;Kyoto;Tokyo;Sagamihara</t>
  </si>
  <si>
    <t>Toyama Prefectural University;Kanazawa University;Kyoto University;Tokyo Denki University;JAXA Institute of Space and Astronautical Science</t>
  </si>
  <si>
    <t>60032632;60024784;60011001;60003414;60000809</t>
  </si>
  <si>
    <t>Hashimoto K.</t>
  </si>
  <si>
    <t>Antenna vector impedance measurement by the EXOS‚ÄêD (Akebono) very low frequency plasma wave instrument (VLF)</t>
  </si>
  <si>
    <t>10.1029/91GL00035</t>
  </si>
  <si>
    <t>2-s2.0-84989515294</t>
  </si>
  <si>
    <t>['¬© 1991', 'significant differences', 'saturation effects', 'operating well', 'index relating', 'found even', 'elf radiation', 'direct comparisons', 'accurate values']</t>
  </si>
  <si>
    <t>Direct comparisons have been made of the ionospheric ELF radiation produced by the new(1 GW ERP) and old (250 MW ERP) antennas of the Troms√∏ heater system, but no significant differences in the ELF signal strength have been detected. This initially surprising result is shown to require a value of unity for the index relating the received ELF signal strength to HF power input to the antenna. A series of experiments performed solely to derive more accurate values for this power index provided values ranging from 0.74 to 0.97, dependent on the ELF frequencies generated. It has been suggested that ELF radiation from the normal Troms√∏ heater facility should be limited by saturation effects, even when operating well below the maximum HF power density (3mW/m2 in the D‚Äêregion). No evidence for such saturation effects has been found even at power densities greater than 10mW/m2. ¬© 1991 by the Chinese Geophysical Society</t>
  </si>
  <si>
    <t>1035-1038</t>
  </si>
  <si>
    <t>60017695;60017695</t>
  </si>
  <si>
    <t>57221296920;7005877450</t>
  </si>
  <si>
    <t>Barr, R.;Stubbe, P.</t>
  </si>
  <si>
    <t>Gottingen</t>
  </si>
  <si>
    <t>Max Planck Institute for Solar System Research</t>
  </si>
  <si>
    <t>Barr R.</t>
  </si>
  <si>
    <t>ELF radiation from the Troms√∏ ‚ÄúSuper Heater‚Äù Facility</t>
  </si>
  <si>
    <t>10.1029/91GL01156</t>
  </si>
  <si>
    <t>2-s2.0-84989524040</t>
  </si>
  <si>
    <t>['waves excited', 'suprathermal ions', 'short 9', 'seriously underestimated', 'sequential observations', 'region may', 'poor response', 'past observations', 'measurable response', 'lh waves', 'ion conics', 'copyright 1991', 'antenna length']</t>
  </si>
  <si>
    <t>Recent satellite data show high amplitude lower hybrid (LH) waves excited by electromagnetic (EM) whistler mode waves throughout magnetospheric regions where small scale magnetic‚Äêfield‚Äêaligned plasma density irregularities exist. One important consequence in the auroral acceleration region is the heating of suprathermal ions by the excited LH waves. To evaluate such heating it is necessary to know the wavelength (Œª) range of the waves, information not previously available since most past observations were made with long (l ‚â• 75; l=antenna length) electric dipole antennas which have very poor response for Œª &lt; l. New observations using the short 9 m electric dipole antenna on the DE‚Äê1 spacecraft show that LH waves with Œª ‚â§ 10 m are excited by EM input waves from ground‚Äêbased VLF transmitters. Sequential observations on the short (9 m) and long (200 m) dipole antennas show that the long antenna generally has no measurable response to LH waves with Œª ‚â§ 26 m. Since most previous correlative observations of LH waves and ion conics in the low altitude auroral acceleration region have involved long electric antennas, it is suggested that the intensity of the LH waves in this region may have been seriously underestimated. Copyright 1991 by the American Geophysical Union.</t>
  </si>
  <si>
    <t>393-396</t>
  </si>
  <si>
    <t>60091252;60091252;60091252;60091252</t>
  </si>
  <si>
    <t>7402501729;7005146695;6506208644;7006406824</t>
  </si>
  <si>
    <t>Bell, T. F.;Inan, U. S.;Sonwalkar, V. S.;Helliwell, R. A.</t>
  </si>
  <si>
    <t>Stanford</t>
  </si>
  <si>
    <t>STAR Lab</t>
  </si>
  <si>
    <t>Bell T.F.</t>
  </si>
  <si>
    <t>DE‚Äê1 observations of lower hybrid waves excited by VLF whistler mode waves</t>
  </si>
  <si>
    <t>10.1029/90GL02598</t>
  </si>
  <si>
    <t>2-s2.0-84989530365</t>
  </si>
  <si>
    <t>['sursk ussr', 'sura facility', 'september 1990', 'reliable method', 'optical measurements', 'nonlinear interactions', 'night sky', 'located near', 'ionospheric irregularities', 'interaction regions', 'experience indicates', 'energetic electrons', 'electrostatic waves', 'electron acceleration', 'copyright 1991', 'clear skies', 'antenna array', '828 mhz', '630 nm', '300 mw', '0 mhz']</t>
  </si>
  <si>
    <t>The SURA facility for generation of high power radio waves, located near the village of Vasil'sursk USSR, operates between 4.5 and 9.0 MHz and has a maximum effective radiated power (ERP) of 300 MW. Nonlinear interactions between the HF radio waves and F‚Äêlayer plasma occur near the electromagnetic wave reflection point. Energetic electrons are accelerated out of the interaction regions by the electrostatic waves. Ambient oxygen atoms collisionally excited by these suprathermal electrons yield enhanced airglow. Low‚Äêlight‚Äêlevel, optical measurements were made at SURA during September 1990. Images of enhanced red‚Äêline (630 nm) emissions were recorded during radio wave transmissions at 4.786, 5.455, and 5.828 MHz. The antenna radiation pattern, ionospheric irregularities, and the magnetic field orientation affected the shape of the observed airglow structures. The airglow clouds drifted across the night sky, disappeared, and reformed at the zenith of the antenna array. This has been interpreted in terms of radio beam refraction in drifting plasma irregularities and bifurcation when the beam is split between two density cavities. Subject to clear skies, our experience indicates that the low‚Äêlight‚Äêlevel‚Äêimaging technique is a reliable method to study large scale irregularities and electron acceleration with high‚Äêpower HF transmitting facilities. Copyright 1991 by the American Geophysical Union.</t>
  </si>
  <si>
    <t>1477-1480</t>
  </si>
  <si>
    <t>60027271;60027271;60008673;60008673;60008673;60008673</t>
  </si>
  <si>
    <t>7103130662;7004550145;6701598179;57191387889;6506692805;56206728000</t>
  </si>
  <si>
    <t>Bernhardt, P. A.;Scales, W. A.;Grach, S. M.;Keroshtin, A. N.;Kotik, D. S.;Polyakov, S. V.</t>
  </si>
  <si>
    <t>United States;Russian Federation</t>
  </si>
  <si>
    <t>Washington, D.C.;Nizhny Novgorod</t>
  </si>
  <si>
    <t>Naval Research Laboratory;Lobachevsky State University of Nizhni Novgorod</t>
  </si>
  <si>
    <t>60027271;60008673</t>
  </si>
  <si>
    <t>Bernhardt P.</t>
  </si>
  <si>
    <t>Excitation of artificial airglow by high power radio waves from the ‚ÄúSURA‚Äù Ionospheric Heating Facility</t>
  </si>
  <si>
    <t>10.1029/91GL01847</t>
  </si>
  <si>
    <t>2-s2.0-84989535731</t>
  </si>
  <si>
    <t>['wave normal', 'vlf instruments', 'three components', 'small angle', 'poynting vector', 'plane constructed', 'loop antennas', 'lies nearly', 'k vector', 'geomagnetic field', 'copyright 1991']</t>
  </si>
  <si>
    <t>On board the EXOS‚ÄêD (Akebono) satellite is a five channel PFX subsystem of VLF instruments, working to determine the wave normal or k vector and Poynting vector directions by measuring two components of E and three components of B fields using wire and loop antennas. In order to confirm the characteristics or capability of determining the k vector and the Poynting vector of a coherent VLF Omega signal transmitted from Australia have been analyzed. The observed Omega signal has been found to be right‚Äêhanded polarized with Poynting vector is making a small angle with the geomagnetic field and lies nearly on the plane constructed by the geomagnetic field and k vector. The refractive index deduced from the E and B fields well agrees with that calculated by Appleton Hartree formula. Copyright 1991 by the American Geophysical Union.</t>
  </si>
  <si>
    <t>325-328</t>
  </si>
  <si>
    <t>60011001;60011001;60011001;60011001;60000809;60024784;60024784;60032632;60003414</t>
  </si>
  <si>
    <t>57205485130;57207026864;57191389605;36729173200;7402952086;7006203498;57191389431;7403893404;55477173900</t>
  </si>
  <si>
    <t>Yamamoto, Masayuki;Ito, Yoshihiko;Kishi, Yoji;Sawada, Akira;Kimura, Iwane;Nagano, Isamu;Kennai, Eiichi;Okada, Toshimi;Hashimoto, Kozo</t>
  </si>
  <si>
    <t>Yamamoto M.</t>
  </si>
  <si>
    <t>k vector measurements of VLF signals by the satellite EXOS‚ÄêD</t>
  </si>
  <si>
    <t>10.1029/91GL00031</t>
  </si>
  <si>
    <t>2-s2.0-84989564011</t>
  </si>
  <si>
    <t>['wave normal', 'vlf signal', 'signal strength', 'satellite observation', 'november 28', 'joint experiments', 'hf radiation', 'geomagnetic field', 'facility located', 'e field', 'copyright 1991', 'b field', '35 km', '3 pt', '25 pt', '2300 km', '20 ¬∞.', '1984 ).', '15 œºv']</t>
  </si>
  <si>
    <t>Joint experiments between the new Japanese satellite EXOS‚ÄêD (Akebono) and the HIPAS (High Power Active stimulation) facility located at Fairbanks, Alaska were made in 1989. The HF radiation was modulated in amplitude by 2.5 kHz signal. On November 28, 1989, EXOS‚ÄêD detected the VLF signal at an altitude of 2300 km with an E field of 15 ŒºV/m and a B field of 0.25 pT. The angle between the wave normal and the geomagnetic field was found to be less than 20¬∞. Simultaneous ground observations were made using loop antennas at a distance about 35 km from HIPAS. The 2.5 kHz signal amplitude there at the time of the satellite observation was 1.3 pT. If this wave magnetic field is assumed to be due to an ionospheric AC current of 0.65 A, the signal strength at the satellite is roughly consistent within a factor of 3, which is much better consistency than those observed by James et al. (1984). Copyright 1991 by the American Geophysical Union.</t>
  </si>
  <si>
    <t>309-312</t>
  </si>
  <si>
    <t>117458736;60027550;60027550;60032632;60027550;60024784;60003414;60027550;60011001;60011001</t>
  </si>
  <si>
    <t>7402952086;16237673600;55222248200;7403893404;55886707200;7006203498;55477173900;7003875321;57205485130;57206635866</t>
  </si>
  <si>
    <t>Kimura, I.;Wong, A.;Chouinard, B.;Okada, T.;Mccarrick, M.;Nagano, I.;Hashimoto, K.;Wuerker, R.;Yamamoto, M.;Ishida, K.</t>
  </si>
  <si>
    <t>Japan;United States;Japan;Japan;Japan;</t>
  </si>
  <si>
    <t>Imizu;Los Angeles;Kanazawa;Kyoto;Tokyo;</t>
  </si>
  <si>
    <t>Toyama Prefectural University;University of California, Los Angeles;Kanazawa University;Kyoto University;Tokyo Denki University;Institute of Space and Astronaut</t>
  </si>
  <si>
    <t>60032632;60027550;60024784;60011001;60003414;117458736</t>
  </si>
  <si>
    <t>Kimura I.</t>
  </si>
  <si>
    <t>Satellite and ground observations of HIPAS VLF modulation</t>
  </si>
  <si>
    <t>10.1029/91GL00029</t>
  </si>
  <si>
    <t>2-s2.0-84989565587</t>
  </si>
  <si>
    <t>['wiley blackwell', 'transient spectra', 'significantly different', 'rights reserved', 'possible origin', 'photosystem ii', 'photosynthetically active', 'persistent holes', 'chemically reduced', 'antenna complex', '8 ps', '2 k']</t>
  </si>
  <si>
    <t>This paper reports transient and persistent hole‚Äêburning of photosynthetically active as well as chemically reduced and heat inactivated photosystem II particles isolated from cyanobacteria. Transient spectra of active and non‚Äêactive particles are significantly different. For both, the possible origin of the bottle‚Äêneck state is discussed. Persistent holes were ascribed to the antenna complex of photosystem II. From their width the energy transfer rate was estimated to be 4.8 ps at 4.2 K. Copyright ¬© 1991, Wiley Blackwell. All rights reserved</t>
  </si>
  <si>
    <t>127-132</t>
  </si>
  <si>
    <t>Photochemistry and Photobiology</t>
  </si>
  <si>
    <t>60016605;60016605;60016605;60016605;60016605;117463861;60016605</t>
  </si>
  <si>
    <t>7003986908;6602944690;6603612633;55973890300;7004075200;56028324700;7004652660</t>
  </si>
  <si>
    <t>Vacha, M.;Adamec, F.;Ambroz, M.;Baumruk, V.;Dian, J.;Nedbal, L.;Hala, J.</t>
  </si>
  <si>
    <t>Czech Republic;</t>
  </si>
  <si>
    <t>Prague Praha;</t>
  </si>
  <si>
    <t>Charles University;Institute of Microbiology CSAV</t>
  </si>
  <si>
    <t>60016605;117463861</t>
  </si>
  <si>
    <t>Vacha M.</t>
  </si>
  <si>
    <t>HOLE‚ÄêBURNING SPECTROSCOPY OF ACTIVE AND INACTIVATEE) PHOTOSYSTEM II PARTICLES</t>
  </si>
  <si>
    <t>10.1111/j.1751-1097.1991.tb01995.x</t>
  </si>
  <si>
    <t>2-s2.0-84989696223</t>
  </si>
  <si>
    <t>['wiley blackwell', 'rights reserved', 'protoplasts isolated', 'photosynthetic properties', 'isolated leaves', 'isolated chloroplasts', 'intact plants', 'intact leaves', 'indirect effects', 'increased rate', 'fluorescence measurements', 'fluorescence emission', 'electron transport', 'directly applied', 'direct effects', 'decreased total', 'decreased coupling', 'dark respiration', 'culture medium', 'co2 fixation', 'co2 assimilation', 'assay media', 'adding 5', 'adding 1', '4 weeks']</t>
  </si>
  <si>
    <t>Beta vulgaris | cadmium | photosynthesis | sugar beet</t>
  </si>
  <si>
    <t>Sugar‚Äêbeet plants (Beta vulgaris L. cv. Monohill) were cultivated for 4 weeks in a complete nutrient solution. Indirect effects of cadmium were studied by adding 5, 10 or 20 ŒºM CdCl2 to the culture medium while direct effects were determined by adding 1, 5, 20, 50 or 2 000 ŒºM CdCl2 to the assay media. The photosynthetic properties were characterized by measurement of CO2 fixation in intact plants, fluorescence emission by intact leaves and isolated chloroplasts, photosystem (PS) I and PSII mediated electron transport of isolated chloroplasts, and CO2‚Äêdependent O2 evolution by protoplasts. When directly applied to isolated leaves, protoplasts and chloroplasts. Cd2+ impeded CO2 fixation without affecting the rates of electron transport of PSI or PSII or the rate of dark respiration. When Cd2+ was applied through the culture medium the capacity for, and the maximal quantum yield of CO2 assimilation by intact plants both decreased. This was associated with: (1) decreased total as well as effective chlorophyll content (PSII antennae size), (2) decreased coupling of electron transport in isolated chloroplasts, (3) perturbed carbon reduction cycle as indicated by fluorescence measurements. Also, protoplasts isolated from leaves of Cd2+‚Äêcultivated plants showed an increased rate of dark respiration. Copyright ¬© 1991, Wiley Blackwell. All rights reserved</t>
  </si>
  <si>
    <t>129-135</t>
  </si>
  <si>
    <t>Physiologia Plantarum</t>
  </si>
  <si>
    <t>60028378;60031040</t>
  </si>
  <si>
    <t>7003739352;6701702473</t>
  </si>
  <si>
    <t>Greger, Maria;√ñgren, Erling</t>
  </si>
  <si>
    <t>Umea;Stockholm</t>
  </si>
  <si>
    <t>Ume√• Universitet;Stockholms universitet</t>
  </si>
  <si>
    <t>60031040;60028378</t>
  </si>
  <si>
    <t>Greger M.</t>
  </si>
  <si>
    <t>Direct and indirect effects of Cd&lt;sup&gt;2+&lt;/sup&gt; on photosynthesis in sugar beet (Beta vulgaris)</t>
  </si>
  <si>
    <t>10.1111/j.1399-3054.1991.tb01291.x</t>
  </si>
  <si>
    <t>2-s2.0-84989711471</t>
  </si>
  <si>
    <t>['wiley blackwell', 'well described', 'surrounding medium', 'spectral shifts', 'solvent polarizability', 'shift relative', 'shift depends', 'rights reserved', 'proteinacous environment', 'polar media', 'main conclusion', 'lag states', 'isotropic polarizability', 'great overlap', 'exicted states', 'electronic transition', 'dispersion interactions', 'dipole moments', 'around 13', 'absorption spectra', '1bu transitions']</t>
  </si>
  <si>
    <t>Abstract‚ÄìSolvent induced absorption spectral shifts of the electronic transition from ground 1 Ag state to the excited 1Bu state in carotenoids have been studied. It is shown that the shift depends only on dispersion interactions in non‚Äêpolar solvents. In polar media there is just a small extra contribution to the red‚Äêshift, due to other forms of interactions. The spectral shifts are well described by the theory, which expresses the shift relative to the gas phase value, as a function of solvent polarizability. The main conclusion is that the dominating mechanism behind the large red‚Äêshifted absorbance of carotenoids in the proteinacous environment, in vivo, is the mutual polarizability interactions between the carotenoids and the surrounding medium. The solution‚Äêphase values of the dipole moments of the lAg to 1Bu transitions and the differences of isotropic polarizability between 1Bu and lAg states of carotenoids in non‚Äêpolar solvents are calculated and found to be around 13 D and 360 √Ö3 respectively. From the great overlap of absorption spectra between carotenoids in quinoline and carotenoids in vivo in purple bacterial antenna complexes, it can be expected that the carotenoids are surrounded by several aromatic amino acids in vivo. Comparisons have been done between the exicted states in carotenoids and in linear conjugated polyenes. Copyright ¬© 1991, Wiley Blackwell. All rights reserved</t>
  </si>
  <si>
    <t>353-360</t>
  </si>
  <si>
    <t>60031040;60031040;60001490;60001490</t>
  </si>
  <si>
    <t>7202319569;7004029175;16184785400;7006465617</t>
  </si>
  <si>
    <t>Andersson, Per Ola;Gillbro, Tomas;Ferguson, Linda;Cogdell, Richard J.</t>
  </si>
  <si>
    <t>Sweden;United Kingdom</t>
  </si>
  <si>
    <t>Umea;Glasgow</t>
  </si>
  <si>
    <t>Ume√• Universitet;University of Glasgow</t>
  </si>
  <si>
    <t>60031040;60001490</t>
  </si>
  <si>
    <t>Andersson P.O.</t>
  </si>
  <si>
    <t>ABSORPTION SPECTRAL SHIFTS OF CAROTENOIDS RELATED TO MEDIUM POLARIZABILITY</t>
  </si>
  <si>
    <t>10.1111/j.1751-1097.1991.tb02027.x</t>
  </si>
  <si>
    <t>2-s2.0-84989729939</t>
  </si>
  <si>
    <t>['wiley blackwell', 'weaker resistance', 'thylakoid membranes', 'stronger resistance', 'slow rate', 'rights reserved', 'photosystem ii', 'photoprotection mechanism', 'photobleaching relative', 'photobleaching experiment', 'peripheral complexes', 'partial photobleaching', 'including cp29', 'faster rate', 'chlorophyll photobleaching', 'bulk pigments', 'blue shift', 'absorption spectra']</t>
  </si>
  <si>
    <t>The kinetics of chlorophyll photobleaching were followed in whole thylakoid membranes as well as in photosystem I and photosystem II submembrane fractions. The onset of photobleaching was characterized by a slow rate which indicated the presence of energy traps implicated in the photoprotection of the bulk pigments. The pigments in photosystem I submembrane fractions bleached at a faster rate than those in photosystem II counterparts, the latter being more sensitive towards photoinhibition. An analysis of the pigment‚Äêprotein complexes isolated from whole thylakoid membranes during the course of a photobleaching experiment has shown that the core‚Äêantenna complexes, including CP29, are more sensitive to illumination than the peripheral complexes. The absorption spectra of the CPI and CP29 complexes presented a blue shift of the red absorption maximum after partial photobleaching, indicative of a non‚Äêhomogeneous bleaching of the holochromes in these complexes. An analysis of these data points towards the involvement of CP29 in a photoprotection mechanism at the level of photosystem II. The weaker resistance of photosystem I to photobleaching relative to photosystem II and its stronger resistance to photoinhibition is discussed in terms of an energy dissipation pathway in thylakoid membranes. Copyright ¬© 1991, Wiley Blackwell. All rights reserved</t>
  </si>
  <si>
    <t>465-472</t>
  </si>
  <si>
    <t>60021501;60021501</t>
  </si>
  <si>
    <t>57191397406;7006162153</t>
  </si>
  <si>
    <t>Miller, Nathalie;Carpentier, Robert</t>
  </si>
  <si>
    <t>Trois-Rivieres</t>
  </si>
  <si>
    <t>Universit√© du Qu√©bec √† Trois-Rivi√®res</t>
  </si>
  <si>
    <t>Miller N.</t>
  </si>
  <si>
    <t>ENERGY DISSIPATION AND PHOTOPROTECTION MECHANISMS DURING CHLOROPHYLL PHOTOBLEACHING IN THYLAKOID MEMBRANES</t>
  </si>
  <si>
    <t>10.1111/j.1751-1097.1991.tb02042.x</t>
  </si>
  <si>
    <t>2-s2.0-84989741847</t>
  </si>
  <si>
    <t>['wiley blackwell', 'rights reserved', 'red algae', 'present understanding', 'isolated phycobiliproteins', 'intact phycobilisomes', 'general principles', 'experimental results', 'energy transfer', 'controversial topics', 'chromophore coupling']</t>
  </si>
  <si>
    <t>The present understanding of how interactions between chromophore and protein as well as between chromophore and chromophore in different aggregation states influence the spectral and excited state kinetic properties of phycobiliprotein antenna pigments is discussed. Properties of isolated phycobiliproteins from both cyanobacteria and red algae as well as from cryptophytes and of intact phycobilisomes are covered. The experimental results are discussed in terms of general principles for chromophore coupling and energy transfer. Some controversial topics in this field are outlined. Copyright ¬© 1991, Wiley Blackwell. All rights reserved</t>
  </si>
  <si>
    <t>518-528</t>
  </si>
  <si>
    <t>Holzwarth, Alfred R.</t>
  </si>
  <si>
    <t>Mulheim an der Ruhr</t>
  </si>
  <si>
    <t>Max Planck Institute for Chemical Energy Conversion</t>
  </si>
  <si>
    <t>Holzwarth A.R.</t>
  </si>
  <si>
    <t>Structure‚Äêfunction relationships and energy transfer in phycobiliprotein antennae</t>
  </si>
  <si>
    <t>10.1111/j.1399-3054.1991.tb00129.x</t>
  </si>
  <si>
    <t>2-s2.0-84989762024</t>
  </si>
  <si>
    <t>['well suited', 'varied ).', 'therefore stamens', 'theca dummies', 'stamen mimics', 'spectral purity', 'specialized area', 'smaller ones', 'previous paper', 'present work', 'precise orientation', 'part using', 'oval shape', 'optical signals', 'minute changes', 'may involve', 'make contact', 'longitudinal axis', 'latter parameter', 'landing reaction', 'insect pollinators', 'innate orientation', 'guide area', 'following features', 'flower dummy', 'flower dummies', 'experimental results', 'effectively released', 'directed toward', 'corolla size', 'conclusions drawn', 'comparative studies', 'colour signals', 'colour parameters', 'bumblebees possess', 'antennal tips', 'antennae reactions', 'antennae reaction', '7 mm2']</t>
  </si>
  <si>
    <t>Innate behavioural reactions in bumblebees were observed in flower dummy experiments. In a previous paper, it was shown that the approach of flower‚Äênaive, untrained bumblebees toward flower dummies is released by colour signals, i.e. a gradient of spectral purity. The bumblebees are directed toward that part of a flower dummy which exhibits the highest spectral purity (Lunau 1990). In the present work it is shown that the bumblebees, while still in flight, make contact with this part using their antennal tips. The antennae reaction is followed by a landing reaction which is released by olfactory and optical signals. The specific optical signals of the guide area which release the landing reaction were investigated. Since in the flower dummies which were used, the guide had the highest spectral purity, most of the antennae reactions were executed at the guide. The antennae reaction allows for a precise orientation and may involve the stimulation of a specialized area of ommatidia. Minute changes in optical guide parameters could thus be detected. The following features of stamens which most effectively released the landing reaction were: a minimum of 2 theca dummies; an oval shape of theca dummies which face each other along the longitudinal axis (both these characteristics are found in genuine stamens); 4 mm distance between theca dummies (this coincides with the distance between the antennal tips of bumblebees); two equally sized theca dummies each with an area of 7 mm2 (this size of theca dummies was preferred over larger or smaller ones; the latter parameter was not changed when the corolla size was varied). Colour parameters are not involved in releasing the landing reaction. Clearly, bumblebees possess an innate releasing mechanism (IRM) that responds to optical signals of anthers which release the landing reaction. The experimental results are in accordance with conclusions drawn from the comparative studies of Osche (1979, 1983a, 1983b) that many flower guides can be interpreted as stamen mimics. Therefore stamens as well as stamen mimics represent a highly standardized signal for the insect pollinators and they are well suited for innate orientation at flowers. 1991 Blackwell Verlag GmbH</t>
  </si>
  <si>
    <t>203-214</t>
  </si>
  <si>
    <t>Ethology</t>
  </si>
  <si>
    <t>January‚ÄêDecember 1991</t>
  </si>
  <si>
    <t>Lunau, Klaus</t>
  </si>
  <si>
    <t>Lunau K.</t>
  </si>
  <si>
    <t>Innate Flower Recognition in Bumblebees (Bombus terrestris, B. lucorum; Apidae): Optical Signals from Stamens as Landing Reaction Releasers</t>
  </si>
  <si>
    <t>10.1111/j.1439-0310.1991.tb00275.x</t>
  </si>
  <si>
    <t>2-s2.0-84990803712</t>
  </si>
  <si>
    <t>['‚ äúchoice', '¬© 1991', 'standard time', 'rights reserved', 'rectum ).', 'olfactometer assay', 'nymphs found', 'methanol extracts', 'maxillary palpi', 'japanese society', 'covering suggested', 'control papers', 'control areas', 'contaminated paper', 'contact chemical', 'chamber type', 'arrestant component', 'arrest nymphs', 'applied entomology', '20 min']</t>
  </si>
  <si>
    <t>aggregation pheromone | arrestant | attractant | bioassay | Blattella germanica</t>
  </si>
  <si>
    <t>Attractant amine hydrochlorides of the German cockroach aggregation pheromone were subjected to a vertical paper assay with contiguously standing sample and control papers. In spite of the potent attractiveness apparent in an olfactometer assay, the pheromone did not arrest nymphs more than the control. This suggested the presence of an arrestant component (s) other than the attractants. The assay was developed into a ‚Äúchoice-chamber type, in which the floor of each cell was divided into sample and control areas. One test animal was confined in each cell, and after a standard time the preference was measured by the number of nymphs found in each area. Frass-contaminated paper arrested 89% of the nymphs at 20 min. Shadow and colour tone also influenced the preference, but tone of the frass-contaminated paper did not affect the result. The reduction of the activity by fine polyester gauze-covering suggested that the arrestant was a contact chemical. Assays on antenn- and/or palp ectomized male adults indicated that the arrestant was received with both antennae and maxillary palpi. Male adult bodies were dissected in parts and their methanol extracts were subjected to the assay. The arrestant was produced from the 10th abdominal tip (other than rectum). ¬© 1991, JAPANESE SOCIETY OF APPLIED ENTOMOLOGY AND ZOOLOGY. All rights reserved.</t>
  </si>
  <si>
    <t>223-235</t>
  </si>
  <si>
    <t>1347605X</t>
  </si>
  <si>
    <t>Applied Entomology and Zoology</t>
  </si>
  <si>
    <t>60011001;60011001</t>
  </si>
  <si>
    <t>7102643996;7007005566</t>
  </si>
  <si>
    <t>Sakuma, Masayuki;Fukami, Hiroshi</t>
  </si>
  <si>
    <t>Kyoto University</t>
  </si>
  <si>
    <t>Sakuma M.</t>
  </si>
  <si>
    <t>Aggregation Pheromone of the German Cockroach, Blattella germanica (L.)(Dictyoptera:Blattellidae): Choice-Chamber Assay for Arrestant Component(s)</t>
  </si>
  <si>
    <t>10.1303/aez.26.223</t>
  </si>
  <si>
    <t>2-s2.0-85007686828</t>
  </si>
  <si>
    <t>['¬© 1991', 'voltage induced', 'used near', 'theoretically analyzed', 'successfully developed', 'rights reserved', 'receiving antenna', 'practical experiment', 'passive attenuator', 'large crane', 'experiment results', 'equivalent circuit', 'electrical engineers', 'electric shock', 'design method', 'crane hook', 'crane equipped', 'attenuated characteristics']</t>
  </si>
  <si>
    <t>When a large crane is used near a medium wave radio broadcasting antenna, it operates as an effective receiving antenna and a voltage induced at a crane hook which gives a worker an electric shock. In a practical experiment, we successfully developed an attenuator which employs a passive electric circuit to install those cranes, and announced the experiment results. In this time, we theoretically analyzed this attenuator which employs a passive electric circuit and show the design method of a passive attenuator from the results of analysis. In this paper, first the equivalent circuit of the crane equipped with the passive attenuator as a receiving antenna is induced. We show that the attenuated characteristics of a passive attenuator by the model experiment accords with the theoretical attenuated characteristics which employ an equivalent circuit under the same condition. ¬© 1991, The Institute of Electrical Engineers of Japan. All rights reserved.</t>
  </si>
  <si>
    <t>679-688</t>
  </si>
  <si>
    <t>IEEJ Transactions on Industry Applications</t>
  </si>
  <si>
    <t>Kasashima, Yoshinori</t>
  </si>
  <si>
    <t>Kajima Institute of Construction Technology</t>
  </si>
  <si>
    <t>Kasashima Y.</t>
  </si>
  <si>
    <t>Design Method of Passive Attenuator for Prevention of Electric Shock in a Large Crane Near Radio Broadcasting Antenna</t>
  </si>
  <si>
    <t>10.1541/ieejias.111.679</t>
  </si>
  <si>
    <t>2-s2.0-85007810116</t>
  </si>
  <si>
    <t>['¬© 1991', 'rights reserved', 'result analyzing', 'receiving antenna', 'passive attenuator', 'negative resistor', 'high voltage', 'fourterminal amplifier', 'equivalent circuit', 'electrical engineers', 'difficult fundamentally', 'design method', 'crane hook', 'crane equipped', 'attenuated characteristics', 'already announced', 'active attenuator']</t>
  </si>
  <si>
    <t>We have already announced the design method of the passive attenuator to prevent a high voltage which induced at a crane hook of a large crane used near a medium wave radio broadcasting antenna. But it is very difficult fundamentally to microminiaturize this passive attenuator. In this time, we developed an active attenuator that possible to miniaturize where a negative resistor or a fourterminal amplifier is included. From the result analyzing this crane equipped with an active attenuator theoretically, we show the design method of the active attenuator. In this paper, first the equivalent circuit of the crane equipped with the active attenuator as a receiving antenna is induced. And we show that the attenuated characteristics of the active attenuator by the model experiment accords with the theoretical attenuated characteristics which employ an equivalent circuit under the same condition. ¬© 1991, The Institute of Electrical Engineers of Japan. All rights reserved.</t>
  </si>
  <si>
    <t>725-733</t>
  </si>
  <si>
    <t>Design Method of Active Attenuator for Prevention of Electric Shock in a Large Crane Near a Radio Broadcasting Antenna</t>
  </si>
  <si>
    <t>10.1541/ieejias.111.725</t>
  </si>
  <si>
    <t>2-s2.0-85007823548</t>
  </si>
  <si>
    <t>Antenna effect | electromagnetic wave | human body</t>
  </si>
  <si>
    <t>173-175</t>
  </si>
  <si>
    <t>Notes Antenna Effect of Human Bodies towards Electromagnetic Waves in Space. II</t>
  </si>
  <si>
    <t>10.2116/analsci.7.173</t>
  </si>
  <si>
    <t>2-s2.0-85008043277</t>
  </si>
  <si>
    <t>['¬© 1991', 'urine excretion', 'urinary bladder', 'thoracic region', 'small disc', 'situated distal', 'second antenna', 'rights reserved', 'opening slit', 'opening site', 'occur due', 'obtain information', 'median coelomosac', 'lateral sacs', 'japanese society', 'inside coxopodite', 'inner pressure', 'histological slices', 'hemolymph pressure', 'gross anatomy', 'fisheries science', 'cuticular protrusion', 'contour lines', 'components spread', 'clay model', 'antennal gland']</t>
  </si>
  <si>
    <t>A gross anatomy of the antennal gland was conducted for the prawn Penaeus japonicus. Using the histological slices of the second antenna, contour lines of the antennal gland were traced to reconstruct its clay model. The opening site of the organ was observed with a scanning electron microscope to obtain information about urine excretion. The antennal gland was composed of a coelomosac, labyrinth and urinary bladder. The coelomosac as well as the urinary bladder showed a complex of highly diverged vesicles. It had basically a median, transversal and lateral sacs. Some of these components spread to the thoracic region. The labyrinth was located in the median coelomosac. The transversal coelomosac connected the two glands behind the brain. The urinary bladder was situated distal to the labyrinth, leading to an opening slit on a small disc which was formed as a cuticular protrusion at the inside coxopodite of the second antenna. Urine excretion seemed to occur due to hemolymph pressure or inner pressure of the coelomosac. ¬© 1991, The Japanese Society of Fisheries Science. All rights reserved.</t>
  </si>
  <si>
    <t>1859-1863</t>
  </si>
  <si>
    <t>1349998X</t>
  </si>
  <si>
    <t>NIPPON SUISAN GAKKAISHI</t>
  </si>
  <si>
    <t>60028088;60028088</t>
  </si>
  <si>
    <t>55244786100;57192797700</t>
  </si>
  <si>
    <t>Nakamura, Kaworu;Nishigaki, Yukinori</t>
  </si>
  <si>
    <t>Kagoshima</t>
  </si>
  <si>
    <t>Kagoshima University</t>
  </si>
  <si>
    <t>Structure of Antennal Gland in Kuruma Prawn Penaeus japonicus</t>
  </si>
  <si>
    <t>10.2331/suisan.57.1859</t>
  </si>
  <si>
    <t>2-s2.0-85008100709</t>
  </si>
  <si>
    <t>['¬© 1991', 'structural similarity', 'stimulants reacted', 'sex pheromones', 'rights reserved', 'orientalis ).', 'male antennae', 'japanese society', 'interspecific variation', 'genera periplaneta', 'female antennae', 'experiment showed', 'chemical stimulants', 'behavioral information', 'applied entomology', 'animals reported']</t>
  </si>
  <si>
    <t>electroantennogram (EAG) | Periplaneta and Blatta cockroaches | periplanone</t>
  </si>
  <si>
    <t>Interspecific variation of electroantennogram (EAG) activity was compared among six species in the genera Periplaneta and Blatta (P. americana, P. brunnea, P. australasiae, P. japonica, P.fuliginosa and B. orientalis). Three synthetic periplanones were used as chemical stimulants. The results of this experiment showed that male antennae of P. americana as well as the other five species responded to all of the stimulants; female antennae, however, showed little response. This indicated that the stimulants reacted with the sex pheromone receptors of each of the species. Furthermore, together with behavioral information of these animals reported by others, structural similarity of the sex pheromones of P. americana and five other species was suggested. ¬© 1991, JAPANESE SOCIETY OF APPLIED ENTOMOLOGY AND ZOOLOGY. All rights reserved.</t>
  </si>
  <si>
    <t>327-333</t>
  </si>
  <si>
    <t>57192822731;7407711021</t>
  </si>
  <si>
    <t>Tsuchiya, Tohru;Takahashi, Shozo</t>
  </si>
  <si>
    <t>Tsuchiya T.</t>
  </si>
  <si>
    <t>Electroantennogram(EAG) Response to Synthetic Periplanones in Periplaneta and Blatta Cockroaches</t>
  </si>
  <si>
    <t>10.1303/aez.26.327</t>
  </si>
  <si>
    <t>2-s2.0-85008278401</t>
  </si>
  <si>
    <t>radio LAN wireless in building network (WIN) 18 GHz Ethernet compatible | six sector microwave antenna RF digital processor GaAs monolithic microwave integrated circuit module high speed data handling switching on a chip</t>
  </si>
  <si>
    <t>1928-1933</t>
  </si>
  <si>
    <t>Journal of the Japan Society for Precision Engineering</t>
  </si>
  <si>
    <t>Freeburg, Thomas A.</t>
  </si>
  <si>
    <t>Freeburg T.</t>
  </si>
  <si>
    <t>Enabling Technologies for Wireless In Building Network Communications -Four Technical Challenges, Four Solutions</t>
  </si>
  <si>
    <t>10.2493/jjspe.57.1928</t>
  </si>
  <si>
    <t>2-s2.0-85008741911</t>
  </si>
  <si>
    <t>antenna | aperture synthesis | radio telescope | radioastronomy | space VLBI | VLBI</t>
  </si>
  <si>
    <t>791-795</t>
  </si>
  <si>
    <t>Hirabayashi, Hisashi</t>
  </si>
  <si>
    <t>Hirabayashi H.</t>
  </si>
  <si>
    <t>Space VLBI-A Giantic Eye in Space</t>
  </si>
  <si>
    <t>10.2493/jjspe.57.791</t>
  </si>
  <si>
    <t>2-s2.0-85009643366</t>
  </si>
  <si>
    <t>['‚ äútrade', '‚ äù', '¬© 1991', 'structural design', 'rights reserved', 'qualitative understanding', 'parabolic antenna', 'optimum design', 'numerical example', 'mechanical engineers', 'mathematical model', 'many studies', 'make important', 'mainly studied', 'japan society', 'hard work', 'design problem', 'decision making', 'conventional methods', 'complex systems', 'artificial intelligence']</t>
  </si>
  <si>
    <t>Artificial Inteligence,Computer-Aided Design | Design Engineering | Fuzzy Language | Multicriteria Optimum Design | Qualitative Reasoning | Trade-off Ratio</t>
  </si>
  <si>
    <t>In an ordinary optimum design process, designers must express a design problem as a mathematical model with a single objective problem. However, there are an unusually high number of objectives in a structural design, so it will be hard work for designers to choose just one of them. In such cases, it will be natural and reasonable to formulate a multi-objective optimization problem. Recently, many studies have been done on the interactive multicriteria optimization problems. In conventional methods, designers have been required to make Important and difficult decisions concerning the ‚Äútrade-off ratio‚Äù, ‚Äúmarginal rates of substitution‚Äù, ‚Äúsurrogate worth trade-off‚Äù and so on. In this study, we modified qualitative reasoning, which has been mainly studied in the field of artificial intelligence, and applied it to an Interactive multicriteria optimization process. It appears from a numerical example of the optimum design of a parabolic antenna that the proposed method may be applicable and effective for optimizations of complex systems by qualitative understanding and can support the decision making. ¬© 1991, The Japan Society of Mechanical Engineers. All rights reserved.</t>
  </si>
  <si>
    <t>413-419</t>
  </si>
  <si>
    <t>Nihon Kikai Gakkai Ronbunshu, C Hen/Transactions of the Japan Society of Mechanical Engineers, Part C</t>
  </si>
  <si>
    <t>60023462;60023462</t>
  </si>
  <si>
    <t>55669805100;57195449208</t>
  </si>
  <si>
    <t>Arakawa, Masao;Yamakawa, Hiroshi</t>
  </si>
  <si>
    <t>Arakawa M.</t>
  </si>
  <si>
    <t>A Study on Interactive Multicriteria Optimization Method Using Qualitative Reasoning</t>
  </si>
  <si>
    <t>10.1299/kikaic.57.413</t>
  </si>
  <si>
    <t>2-s2.0-85011173629</t>
  </si>
  <si>
    <t>['¬© 1991', 'yet purchasing', 'tvro households', 'survey sample', 'study examines', 'stretching throughout', 'rights reserved', 'reasons given', 'purchasing dishes', 'purchase decision', 'permitted households', 'new era', 'important information', 'household tvros', 'explanatory variables', 'discriminant model', 'collected regarding', 'cable technology', '250 non']</t>
  </si>
  <si>
    <t>Backyard TV receive-only antennas (TVROs) developed as an offshoot of cable technology and permitted households to act as miniature cable systems. This technology is the forerunner to a new era of medium- and high-powered direct broadcast satellite experiments that are stretching throughout the world. This study examines the demand for household TVROs by comparing a survey sample of 125 TVRO households to 250 non-TVRO households‚Äîall located in 121 rural counties in Michigan, Indiana, and Ohio. Data were collected regarding the reasons for purchasing dishes by the TVRO households and the sources of important information in the purchase decision. These data were contrasted with reasons given for not yet purchasing a dish by non-TVRO households and their sources of information about the technology. A discriminant model further identified those explanatory variables that successfully predicted whether a household would purchase a TVRO. ¬© 1991, Pergamon Press plc. All rights reserved.</t>
  </si>
  <si>
    <t>59-69</t>
  </si>
  <si>
    <t>Telematics and Informatics</t>
  </si>
  <si>
    <t>60031707;</t>
  </si>
  <si>
    <t>7004944470;56733211500</t>
  </si>
  <si>
    <t>Litman, Barry;Thomas, Laurie</t>
  </si>
  <si>
    <t>East Lansing</t>
  </si>
  <si>
    <t>Michigan State University</t>
  </si>
  <si>
    <t>Litman B.</t>
  </si>
  <si>
    <t>Estimating the demand for backyard satellite dishes: The U.S. experience</t>
  </si>
  <si>
    <t>S0736585305800954</t>
  </si>
  <si>
    <t>10.1016/S0736-5853(05)80095-4</t>
  </si>
  <si>
    <t>2-s2.0-85013234487</t>
  </si>
  <si>
    <t>['third part', 'thesis deals', 'second part', 'resonant length', 'rectangular waveguides', 'rectangular waveguide', 'numerical difficulties', 'new way', 'microstrip antennas', 'impedance performance', 'first part', 'dielectric layers', 'current modes', 'covered slots', 'broad wall', 'also treats']</t>
  </si>
  <si>
    <t>This thesis is concerned with the prediction of the radiation and impedance performance of planar antennas placed in layered dielectric media. In particular, microstrip antennas and dielectric-covered slots in rectangular waveguides are considered. The study is focussed on a compact mathematical formulation and also treats in detail the numerical difficulties which arise. The first part of the thesis deals with the resonant length of a dielectric-covered narrow slot cut in the broad wall of a rectangular waveguide. The second part of the thesis is concerned with the numerical difficulties which arise when computing the coupling between current modes in the presence of dielectric layers. The third part of the thesis deals with a new way of feeding microstrip patch antennas in series.</t>
  </si>
  <si>
    <t>Chalmers Tekniska Hogskola, Doktorsavhandlingar</t>
  </si>
  <si>
    <t>Rexberg, Leonard</t>
  </si>
  <si>
    <t>Rexberg L.</t>
  </si>
  <si>
    <t>Radiation from planar antennas in the presence of layered dielectric media</t>
  </si>
  <si>
    <t>2-s2.0-85040892836</t>
  </si>
  <si>
    <t>North Atlantic Treaty Organization</t>
  </si>
  <si>
    <t>NATO</t>
  </si>
  <si>
    <t>['wavelength œª', 'oh masers', 'interstellar scattering', 'image size', 'galactic centre', 'four oh', 'also due', 'accurate distance', 'a2 dependence', '18 cm']</t>
  </si>
  <si>
    <t>We present short VLBI observations, using the new VLBA antennas, of four OH/IR stars within 15 arcmin of SgrA‚àó, and conclude that these OH masers are severely resolved due to interstellar scattering at the wavelength Œª of 18 cm. This leaves no doubt that the A2 dependence of the image size of SgrA‚àó is also due to interstellar scattering. We further conclude that an accurate distance to the Galactic Centre cannot be obtained from observations of OH/IR stars close to the Galactic Centre.</t>
  </si>
  <si>
    <t>7P-10P</t>
  </si>
  <si>
    <t>Monthly Notices of the Royal Astronomical Society</t>
  </si>
  <si>
    <t>60003878;60021907</t>
  </si>
  <si>
    <t>6603776865;7102763138</t>
  </si>
  <si>
    <t>Van Langevelde, H. J.;Diamond, P. J.</t>
  </si>
  <si>
    <t>United States;Netherlands</t>
  </si>
  <si>
    <t>Socorro;Leiden</t>
  </si>
  <si>
    <t>National Radio Astronomy Observatory Socorro;Sterrewacht Leiden</t>
  </si>
  <si>
    <t>60021907;60003878</t>
  </si>
  <si>
    <t>Van Langevelde H.</t>
  </si>
  <si>
    <t>Interstellar scattering of OH/IR stars at the Galactic Centre</t>
  </si>
  <si>
    <t>10.1093/mnras/249.1.7P</t>
  </si>
  <si>
    <t>2-s2.0-85077073823</t>
  </si>
  <si>
    <t>Suomen Kulttuurirahasto</t>
  </si>
  <si>
    <t>SKR</t>
  </si>
  <si>
    <t>['œ ≤', '¬© 1991', 'wave power', 'optimum conditions', 'misalignment angle', 'ion species', 'fringing fields', 'first harmonic', 'faraday shield', 'electrostatic waves', 'cyclotron frequency', 'concomitant coupling', 'angular frequency']</t>
  </si>
  <si>
    <t>The generation of fringing fields by the Faraday shield of a fast wave antenna and the concomitant coupling of the wave power to electrostatic waves is analysed for the case of weakly misaligned screen blades. The coupled electrostatic wave power is found to be proportional to sin2 Œ≤, where Œ≤ ‚â™ 1 is the misalignment angle. Under optimum conditions when the angular frequency is just below the first harmonic of the cyclotron frequency of any ion species and the plasma density near the shield is high, 10-20% of the loading of the antenna may result from ion Bernstein wave excitation with Œ≤ = 0.1. ¬© 1991.</t>
  </si>
  <si>
    <t>205-210</t>
  </si>
  <si>
    <t>Physics Letters A</t>
  </si>
  <si>
    <t>Heikkinen, J. A.</t>
  </si>
  <si>
    <t>EFDA-JET</t>
  </si>
  <si>
    <t>Heikkinen J.A.</t>
  </si>
  <si>
    <t>Electrostatic wave generation by the Faraday shield in ICRF heating</t>
  </si>
  <si>
    <t>0375-9601(91)91093-S</t>
  </si>
  <si>
    <t>10.1016/0375-9601(91)91093-S</t>
  </si>
  <si>
    <t>2-s2.0-4243787782</t>
  </si>
  <si>
    <t>['¬© 1991', 'synthesis technique', 'shaped rigid', 'rights reserved', 'radiation pattern', 'provide validation', 'prescribed angles', 'preliminary results', 'experimental results', 'electrical engineers']</t>
  </si>
  <si>
    <t>Some preliminary results are presented, demonstrating the feasibility of synthesising reflector profiles to produce deep nulls in the radiation pattern at prescribed angles while maintaining high gain levels at other prescribed angles. The synthesis technique can be applied to both shaped rigid and reconfigurable mesh reflector antennas. Experimental results for an 85 cm mesh reflector antenna at 10GHz are included to provide validation of the technique. ¬© 1991 The Institution of Electrical Engineers. All rights reserved.</t>
  </si>
  <si>
    <t>291-293</t>
  </si>
  <si>
    <t>7005771768;7006192058;18037277700</t>
  </si>
  <si>
    <t>Monk, A. D.;Clarricoats, P. J.B.;Hai, Zhou</t>
  </si>
  <si>
    <t>Monk A.</t>
  </si>
  <si>
    <t>Null synthesis for shaped reflector antennas</t>
  </si>
  <si>
    <t>10.1049/el:19910184</t>
  </si>
  <si>
    <t>2-s2.0-0025742124</t>
  </si>
  <si>
    <t>['¬© 1991', 'sufficiently practical', 'rights reserved', 'onboard equipment', 'measured characteristics', 'highpass type', 'electrical engineers', 'electrical design', 'c band']</t>
  </si>
  <si>
    <t>Antennas</t>
  </si>
  <si>
    <t>The electrical design and measured characteristics of a newly developed ring-slot type FSS (frequency selective surface) are described. This FSS is a highpass type that transmits the 30 GHz band and reflects the C band. The measured results show low insertion loss and low crosspolarisation characteristics and it is confirmed that this FSS is sufficiently practical as onboard equipment. ¬© 1991 The Institution of Electrical Engineers. All rights reserved.</t>
  </si>
  <si>
    <t>240-241</t>
  </si>
  <si>
    <t>Kondo, A.</t>
  </si>
  <si>
    <t>Kondo A.</t>
  </si>
  <si>
    <t>Design and characteristics of ring-slot type FSS</t>
  </si>
  <si>
    <t>10.1049/el:19910155</t>
  </si>
  <si>
    <t>2-s2.0-0025742329</t>
  </si>
  <si>
    <t>['¬© 1991', 'rights reserved', 'main reflector', 'main aperture', 'horn triple', 'high efficiency', 'electrical engineers', 'aperture efficiency', '79 %.', '25 db']</t>
  </si>
  <si>
    <t>Antennas | Reflector antennas</t>
  </si>
  <si>
    <t>A high efficiency and low sidelobe shaped Cassegrain twist reflector antenna with four-horn triple-mode monopulse feed is synthesised. The far-field radiation pattern of the main reflector is specified by the desired Taylor pattern with n = 6 and the design peak sidelobe level of -25 dB. A four-horn triple-mode monopulse feed is designed and fabricated. A polarisation twisting technique is applied to the shaped Cassegrain antenna for reducing the blocking of the main aperture by the subreflector. The aperture efficiency can be raised to about 79%. ¬© 1991 The Institution of Electrical Engineers. All rights reserved.</t>
  </si>
  <si>
    <t>284-285</t>
  </si>
  <si>
    <t>60072419;60072419;60079715</t>
  </si>
  <si>
    <t>7403319741;7601426325;7201374199</t>
  </si>
  <si>
    <t>Chang, D. C.;Chen, Y. C.;Yuan, M. S.</t>
  </si>
  <si>
    <t>Taipei;Longtan</t>
  </si>
  <si>
    <t>National Defense University Taiwan;Chung-shan Institute of Science and Technology Taiwan</t>
  </si>
  <si>
    <t>60079715;60072419</t>
  </si>
  <si>
    <t>Chang D.C.</t>
  </si>
  <si>
    <t>High efficiency and low sidelobe shaped cassegrain twist reflector antenna with four-horn triple-mode monopulse feed</t>
  </si>
  <si>
    <t>10.1049/el:19910180</t>
  </si>
  <si>
    <t>2-s2.0-0025840697</t>
  </si>
  <si>
    <t>['¬© 1991', 'sinusoidal distribution', 'rights reserved', 'radiation pattern', 'radiation characteristics', 'forbidden zones', 'electrical engineers', 'decaying rather', 'current along', 'chiral media']</t>
  </si>
  <si>
    <t>Antenna radiation patterns | Antennas</t>
  </si>
  <si>
    <t>By immersing conducting wire antennas in chiral media, their radiation characteristics can be tailored and enhanced. As the chirality of the media or length of the wire is increased, current along such antennas is characterised by a decaying rather than sinusoidal distribution. This produces reduced sidelobes, decreased main lobe beamwidths, and forbidden zones in the radiation pattern. ¬© 1991 The Institution of Electrical Engineers. All rights reserved.</t>
  </si>
  <si>
    <t>243-244</t>
  </si>
  <si>
    <t>60102562;60102562;60102562;60102562</t>
  </si>
  <si>
    <t>7006013598;7410102362;56883195000;6602927057</t>
  </si>
  <si>
    <t>Jaggard, D. L.;Liu, J. C.;Grot, A.;Pelet, P.</t>
  </si>
  <si>
    <t>Jaggard D.L.</t>
  </si>
  <si>
    <t>Thin wire antennas in chiral media</t>
  </si>
  <si>
    <t>10.1049/el:19910157</t>
  </si>
  <si>
    <t>2-s2.0-0025849276</t>
  </si>
  <si>
    <t>['¬© 1991', 'rights reserved', 'quadratic constraint', 'performance achievable', 'optimal weights', 'numerical results', 'linear constraints', 'formulation results', 'element failure', 'electrical engineers', 'effective algorithm']</t>
  </si>
  <si>
    <t>Algorithms | Antennas</t>
  </si>
  <si>
    <t>A simple and effective algorithm to regain sidelobe suppression lost due to element failure with narrowest possible beam- width is presented. The formulation results in a constrained optimisation problem involving a quadratic constraint and a set of linear constraints on the weights. An efficient numerical technique to obtain the optimal weights is presented. Numerical results are presented to illustrate the performance achievable. ¬© 1991 The Institution of Electrical Engineers. All rights reserved.</t>
  </si>
  <si>
    <t>271-273</t>
  </si>
  <si>
    <t>60005510;60003196</t>
  </si>
  <si>
    <t>Singapore;Singapore</t>
  </si>
  <si>
    <t>Singapore City;Singapore</t>
  </si>
  <si>
    <t>Nanyang Technological University;DSO National Laboratories</t>
  </si>
  <si>
    <t>10.1049/el:19910173</t>
  </si>
  <si>
    <t>2-s2.0-85024218904</t>
  </si>
  <si>
    <t>['weed species', 'volatiles emitted', 'upwind flight', 'moths simulated', 'laboratory assays', 'heliothis virescens', 'full array', 'desmodium tortuosum', 'de candolle', 'cotton squares', 'cloth substrate']</t>
  </si>
  <si>
    <t>Heliothis subflexa, Heliothis armigera | host phenology | Lepidoptera | Noctuidae | oviposition stimulant | Plant attractant</t>
  </si>
  <si>
    <t>Heliothis virescens (F.) females responded positively via upwind flight in laboratory assays to volatiles emitted from methyl≈Ñe chloride washes of fresh whole leaves of host plants including cotton, tobacco, and a weed species, Desmodium tortuosum (Swartz) de Candolle. Except for D. tortuosum, the response increased positively with dose; the steepest slope occurred with an extract of cotton squares (flower buds). Almost all of the moths that landed on the extract dispenser also oviposited. Moths simulated by extracts from cotton squares exhibited a full array of behaviors (upwind flight, contact with the dispenser, examination of the cloth substrate with antennae, and oviposition) expected of gravid individuals seeking sites to propagate the species. ¬© 1991 Plenum Publishing Corporation.</t>
  </si>
  <si>
    <t>60103678;60103678;60103678</t>
  </si>
  <si>
    <t>7201803935;7801421263;7202695003</t>
  </si>
  <si>
    <t>Mitchell, E. R.;Tingle, F. C.;Heath, R. R.</t>
  </si>
  <si>
    <t>Gainesville</t>
  </si>
  <si>
    <t>USDA Agricultural Research Service, Gainesville</t>
  </si>
  <si>
    <t>Mitchell E.R.</t>
  </si>
  <si>
    <t>Flight activity of Heliothis virescens (F.) females (Lepidoptera: Noctuidae) with reference to host-plant volatiles</t>
  </si>
  <si>
    <t>10.1007/BF00994331</t>
  </si>
  <si>
    <t>2-s2.0-0000394565</t>
  </si>
  <si>
    <t>['two types', 'third maxillipeds', 'specimens collected', 'paired antennules', 'maxillipeds help', 'intertidal region', 'hermit crab', 'green algae', 'filter feeding', 'deposit feeding', 'clibanarius longitarsus', 'andra pradesh', 'algal feeding']</t>
  </si>
  <si>
    <t>Clibanarius longitarsus (De Haan), a hermit crab, feeds by means of both micro- and macrofeeding. Microfeeding is of two types: filter feeding and deposit feeding. In macrofeeding, the animal depends mainly on green algae, barnacles and some worms, etc. In filter feeding, the hermit crab uses its paired antennules for trapping microorganisms drawn into the water current created by the second and third maxillipeds; the antennae do not play any role in filter feeding. In deposit feeding, the hermit crab uses its chelae as well as pereiopods for toughing and obtaining detritus food material. In macrofeeding, the organism employs sharp chelae to collect small pieces of muscle from barnacles and then transfer them to the inner mouth parts. In algal feeding, the chelae as well as maxillipeds help in collecting and moving food material towards the mouth. In this investigation functional organisation of C. longitarsus mouth parts was studied in detail with reference to the various feeding mechanisms, in specimens collected from the intertidal region of Bheemunipatnam, Andra Pradesh, India, in 1988 and 1989. ¬© 1991 Springer-Verlag.</t>
  </si>
  <si>
    <t>121-127</t>
  </si>
  <si>
    <t>Marine Biology</t>
  </si>
  <si>
    <t>60023544;60023544</t>
  </si>
  <si>
    <t>16429772600;7006119807</t>
  </si>
  <si>
    <t>Manjulatha, C.;Babu, D. E.</t>
  </si>
  <si>
    <t>Visakhapatnam</t>
  </si>
  <si>
    <t>Andhra University</t>
  </si>
  <si>
    <t>Manjulatha C.</t>
  </si>
  <si>
    <t>Functional organisation of mouth parts, and filter feeding, in Clibanarius longitarsus (Crustacea: Anomura)</t>
  </si>
  <si>
    <t>10.1007/BF01320238</t>
  </si>
  <si>
    <t>2-s2.0-0001447179</t>
  </si>
  <si>
    <t>['vivo incubation', 'tunnel assay', 'significantly impaired', 'pheromone receptor', 'pheromone analog', 'moderately inhibited', 'metabolic processes', 'male responsiveness', 'male antennae', 'intact males', 'hydrolysis product', 'heptane extracts', 'flight tunnel', 'esters analogous', 'esterase activity', 'compounds applied', 'compound applied', 'compete well', 'catabolic activity', 'called transition', 'behavioral responsiveness', 'antennal extracts', '4 hr', '2 hr']</t>
  </si>
  <si>
    <t>11-tetradecenyl acetate | Antennal catabolism | Lepidoptera | Ostrinia nubilalis | pheromone analogs | Pyralidae</t>
  </si>
  <si>
    <t>When physiologically excessive amounts of the female sex pheromone of the European corn borer (ECB) or esters analogous to the pheromone were applied to the antennae of males, their behavioral responsiveness to pheromone in a flight tunnel was significantly impaired for 2 hr. Concurrent quantitative analyses of heptane extracts of the male antennae by gasliquid chromatography showed that the compounds applied to antennae were hydrolyzed and, at 2 and 4 hr posttreatment, little or none of the compound applied or hydrolysis product was detectable in the antennal extracts. After 4 hr of in vivo incubation, male responsiveness to pheromone was restored among moths treated with the analogs but not among moths treated with pheromone. Esterase activity on the antennae was moderately inhibited in vivo by a pheromone analog that is a so-called transition-state esterase inhibitor, 1,1, 1-trifluoro-14-heptadecen-2-one. However, the analog did not inhibit male behavior when it was coevaporated with pheromone in a flight-tunnel assay. Therefore, in the presence of pheromone, the analog did not compete well for esterase or the pheromone receptor. Treating the antennae of intact males with tetrahydrofuran obliterated sex pheromone response capability in males, but the treatment did not significantly attenuate esterase and other catabolic activity of the antennae. Indications are that degradation of esters on the ECB antennae involves substrate-nonspecific esterase activity and other metabolic processes that in turn remove hydrolysis products from the antennae. Maintenance of a male's ability to respond to pheromone is linked to these processes. ¬© 1991 Plenum Publishing Corporation.</t>
  </si>
  <si>
    <t>317-334</t>
  </si>
  <si>
    <t>60000635;60000635;60000635</t>
  </si>
  <si>
    <t>7004021575;11142162200;6603170611</t>
  </si>
  <si>
    <t>Klun, J. A.;Schwarz, M.;Uebel, E. G.</t>
  </si>
  <si>
    <t>Beltsville</t>
  </si>
  <si>
    <t>USDA ARS Beltsville Agricultural Research Center</t>
  </si>
  <si>
    <t>Klun J.</t>
  </si>
  <si>
    <t>European corn borer: Pheromonal catabolism and behavioral response to sex pheromone</t>
  </si>
  <si>
    <t>10.1007/BF00994335</t>
  </si>
  <si>
    <t>2-s2.0-0003978201</t>
  </si>
  <si>
    <t>['u 43', 'type strains', 'reversible bleaching', 'reaction center', 'primary donor', 'photosynthetic units', 'photosynthetic unit', 'per cell', 'mutant strains', 'mutant cells', 'lh system', 'lacking lightharvesting', 'grown photosynthetically', 'doubling times', 'different composition', 'complex ii', 'charge recombination', 'bacteriochlorophyll content', 'b 10', 'absorption spectra', '8 h', '10 )]']</t>
  </si>
  <si>
    <t>Absorption spectra | Antenna deficiency | Growth | Light-intensity | Photophosphorylation | Reaction center bleaching | Rhodobacter capsulatus mutants | Turbidostat</t>
  </si>
  <si>
    <t>Cells of Rhodobacter capsulatus wild-type strains (37b4, B 10) and mutant strains, lacking lightharvesting (LH) complex II (B800-850) and defective in formation of LH I (B870) complex [U 43 (pTXB 87), U43 (pTXA6-10)] were grown photosynthetically at high and low light intensities in a turbidostate. The mutant strain U43 (pTXA6-10), lacking any LH system, was able to grow at high and low light intensities with doubling times of 4.6 and 9.8 h, respectively. In this mutant the concentration of photochemical reaction centers (RC) per cell and per membrane protein was several times higher than in wild type cells, but the bacteriochlorophyll content, the size of the photosynthetic unit and the rate of photophosphorylation were lower than in wild type cells. Reversible bleaching of reaction center and photophosphorylation were measured under different excitation light intensities. The charge recombination in the RC between the primary donor and QB was very slow in the mutant strains. Two membrane fractions differing in absorption spectra and light saturation behaviour of reversible bleaching and photophosphorylation were isolated from the mutant strains. The experimental data indicate that photosynthetic units of different composition and/or organization are present in the mutant cells. ¬© 1991 Springer-Verlag.</t>
  </si>
  <si>
    <t>205-209</t>
  </si>
  <si>
    <t>1432072X</t>
  </si>
  <si>
    <t>Archives of Microbiology</t>
  </si>
  <si>
    <t>60025641-60001563;60025641;;60025641;60025641</t>
  </si>
  <si>
    <t>7404608866;7006210611;6601975192;7005687711;7102742634</t>
  </si>
  <si>
    <t>Garcia, Augusto F.;M√§ntele, Werner;Gad'on, Nasser;Tadros, Monier H.;Drews, Gerhart</t>
  </si>
  <si>
    <t>Germany;Argentina</t>
  </si>
  <si>
    <t>Freiburg im Breisgau;Buenos Aires</t>
  </si>
  <si>
    <t>Universit√§t Freiburg im Breisgau;Universidad de Buenos Aires</t>
  </si>
  <si>
    <t>60025641;60001563</t>
  </si>
  <si>
    <t>Garcia A.</t>
  </si>
  <si>
    <t>Growth and photosynthetic activities of wild-type and antenna-deficient mutant strains of Rhodobacter capsulatus</t>
  </si>
  <si>
    <t>10.1007/BF00252201</t>
  </si>
  <si>
    <t>2-s2.0-0026087082</t>
  </si>
  <si>
    <t>['strip antennas', 'scattering studies', 'radiation patterns', 'picosecond optoelectronics', 'measurement technique', 'materials measurements', 'filter measurements', 'easily determined', 'broadband antennas', 'brief tutorial', 'anechoic chambers']</t>
  </si>
  <si>
    <t>A brief tutorial on the picosecond photoconductive effect is given. The use of picosecond optoelectronics for the characterization of broadband antennas is described. In particular, the transient radiation properties of equiangular-spiral and exponentially tapered coplanar-strip antennas are discussed. The transient radiation behavior and the polarization and radiation patterns of these antennas are easily determined with this measurement technique, without the need for anechoic chambers. Applications of picosecond-duration transient electromagnetic radiation to filter measurements, materials measurements, and scattering studies are discussed.</t>
  </si>
  <si>
    <t>7004102516;6602459372;7003917289;57190283458</t>
  </si>
  <si>
    <t>Arjavalingam, G.;Pastol, Y.;Halbout, J. M.;Robertson, W. M.</t>
  </si>
  <si>
    <t>Arjavalingam G.</t>
  </si>
  <si>
    <t>Optoelectronically-pulsed antennas: Characterization and applications</t>
  </si>
  <si>
    <t>10.1109/74.80650</t>
  </si>
  <si>
    <t>2-s2.0-0026106227</t>
  </si>
  <si>
    <t>['spatial spectrum', 'noise immunity', 'fourier transformation', 'beamforming devices']</t>
  </si>
  <si>
    <t>It is shown that the nonstationarity of the spatial spectrum of a received signal resulting from the change in the angle of arrival of the signal at a linear array serves to reduce the noise immunity of beamforming devices that employ a Fourier transformation.</t>
  </si>
  <si>
    <t>103-105</t>
  </si>
  <si>
    <t>Tynyankin, S. I.</t>
  </si>
  <si>
    <t>Tynyankin S.</t>
  </si>
  <si>
    <t>Effect of the angular dependence of the signal spatial spectrum on the noise immunity of beamforming devices</t>
  </si>
  <si>
    <t>2-s2.0-0026109117</t>
  </si>
  <si>
    <t>['spherical reflector', 'scanning antenna', 'phase center', 'measuring stand']</t>
  </si>
  <si>
    <t>A measuring stand, containing a spherical reflector, is used to measure the trajectories of the phase center of the exciter of a scanning antenna.</t>
  </si>
  <si>
    <t>Shalyakin, A. I.</t>
  </si>
  <si>
    <t>Shalyakin A.</t>
  </si>
  <si>
    <t>Determination of the trajectory of the phase center of the exciter in a scanning antenna</t>
  </si>
  <si>
    <t>2-s2.0-0026109213</t>
  </si>
  <si>
    <t>['wire lines', 'wire line']</t>
  </si>
  <si>
    <t>A procedure is proposed for synthesizing unbalanced two-wire lines, which establishes a relationship between a fixed current distribution and the load pulse periodically connected to the line. Expressions are obtained for designing a highly efficient exciter for a single-wire line.</t>
  </si>
  <si>
    <t>117-120</t>
  </si>
  <si>
    <t>6603558268;6603555850</t>
  </si>
  <si>
    <t>Dvurechenskiy, V. D.;Kuskov, A. S.</t>
  </si>
  <si>
    <t>Dvurechenskiy V.</t>
  </si>
  <si>
    <t>Synthesis of electrodynamic systems based on a two-wire line under load</t>
  </si>
  <si>
    <t>2-s2.0-0026109346</t>
  </si>
  <si>
    <t>['scanning angles', 'power losses', 'phase modules']</t>
  </si>
  <si>
    <t>An estimate is made of the power losses in the sector of scanning angles for a phased antenna array consisting of out-of-phase modules.</t>
  </si>
  <si>
    <t>115-116</t>
  </si>
  <si>
    <t>7005070469;6701371017</t>
  </si>
  <si>
    <t>Novikov, G. Ye;Polukhin, G. A.</t>
  </si>
  <si>
    <t>Novikov G.</t>
  </si>
  <si>
    <t>Estimate of the power losses in a phased antenna array consisting of modules with out-of-phase apertures</t>
  </si>
  <si>
    <t>2-s2.0-0026109360</t>
  </si>
  <si>
    <t>['reflector antennas', 'phase characteristics', 'numerical modeling', 'antenna exciters']</t>
  </si>
  <si>
    <t>A procedure is proposed for determining the effect of the phase characteristics of the antenna exciters on the parameters of reflector antennas. The method of the geometry of the masses of the center of the radiation is used. The results of numerical modeling are presented.</t>
  </si>
  <si>
    <t>106-110</t>
  </si>
  <si>
    <t>6602873460;7006439695</t>
  </si>
  <si>
    <t>Gryanik, M. V.;Medvedev, Ye P.</t>
  </si>
  <si>
    <t>Gryanik M.</t>
  </si>
  <si>
    <t>Use of the method of the geometry of masses to estimate the electrical characteristics of an antenna</t>
  </si>
  <si>
    <t>2-s2.0-0026109362</t>
  </si>
  <si>
    <t>['temperature superconductors', 'maglev trains', 'long way', 'less glamorous', 'generation superconductors', 'developing higher', 'developing applications', 'current generation', 'communications equipment', 'capacity materials', 'article describes']</t>
  </si>
  <si>
    <t>Materials for maglev trains and other energy applications may be a long way off, but a few organizations are developing applications for present-generation superconductors. Instead of concentrating on developing higher-capacity materials, they have been developing applications for the current generation of high-temperature superconductors. While less glamorous, these applications offer distinct advantages that can be expected to be put to use in the next few years. The article describes some of these applications, including a cryogenic liquid level sensor, bolometers, antennas, communications equipment and others.</t>
  </si>
  <si>
    <t>17-20</t>
  </si>
  <si>
    <t>Materials engineering</t>
  </si>
  <si>
    <t>Lewis, Clifford F.</t>
  </si>
  <si>
    <t>Lewis C.F.</t>
  </si>
  <si>
    <t>Cool applications for high-temp semiconductors</t>
  </si>
  <si>
    <t>2-s2.0-0026114612</t>
  </si>
  <si>
    <t>['¬© 1991', 'rights reserved', 'pattern shape', 'parasitic layers', 'investigated experimentally', 'interlayer spacings', 'impedance bandwidth', 'frequency bandwidth', 'experiments show', 'electrical engineers', 'broadband behaviour']</t>
  </si>
  <si>
    <t>The broadband behaviour of a three-layer electromagnetically coupled circular microstrip antenna is investigated experimentally. The effects of interlayer spacings and the thickness of the parasitic layers on the impedance bandwidth, 3 dB beam width and pattern shape, are studied. Experiments show that this structure can provide a frequency bandwidth as high as 20% with a low crosspolarisation level and a moderately high gain. ¬© 1991, The Institution of Electrical Engineers. All rights reserved.</t>
  </si>
  <si>
    <t>1187-1189</t>
  </si>
  <si>
    <t>60072235;60014097</t>
  </si>
  <si>
    <t>6602103294;55574185943</t>
  </si>
  <si>
    <t>Revankar, U. K.;Kumar, A.</t>
  </si>
  <si>
    <t>Bengaluru;Bengaluru</t>
  </si>
  <si>
    <t>Electronics &amp; Radar Development Establishment India;Indian Institute of Science</t>
  </si>
  <si>
    <t>Revankar U.K.</t>
  </si>
  <si>
    <t>Experimental Investigation Of Three-Layer Electromagnetically Coupled Circular Microstrip Antennas</t>
  </si>
  <si>
    <t>10.1049/el:19910740</t>
  </si>
  <si>
    <t>2-s2.0-0026169021</t>
  </si>
  <si>
    <t>['¬© 1991', 'rights reserved', 'newly developed', 'measured losses', 'electrical engineers', '30ghz band']</t>
  </si>
  <si>
    <t>Antennas | Microwave devices and components</t>
  </si>
  <si>
    <t>A frequency selective subreflector with two separate focal fed positions for a 30/20GHz offset Gregorian reflector antenna is newly developed. For a bandwidth exceeding 3 GHz in the 20 and 30GHz band, the measured losses are 0.7 and 1.5dB, respectively. ¬© 1991, The Institution of Electrical Engineers. All rights reserved.</t>
  </si>
  <si>
    <t>7403134314;7102235358;6701523484</t>
  </si>
  <si>
    <t>Ueno, K.;Kumazawa, H.;Ohtomo, I.</t>
  </si>
  <si>
    <t>Ueno K.</t>
  </si>
  <si>
    <t>Low-loss ka-band frequency selective subreflector</t>
  </si>
  <si>
    <t>10.1049/el:19910720</t>
  </si>
  <si>
    <t>2-s2.0-0026169819</t>
  </si>
  <si>
    <t>['¬© 1991', 'shaped aperture', 'rights reserved', 'rectangular slot', 'overall length', 'loading slots', 'input impedance', 'field distributions', 'electrical engineers', 'aperture shape', 'antenna using', 'also measured']</t>
  </si>
  <si>
    <t>An aperture shape that gives significantly improved coupling for an aperture coupled microstrip antenna is described. This ‚Äòdogbone‚Äô aperture consists of the usual rectangular slot, augmented with loading slots at each end. Measured data show an increase of more than three for the resonant input impedance of an antenna using the dogbone-shaped aperture, as compared with the input impedance of the same antenna with a rectangular slot of the same overall length. The field distributions of both slots are also measured, and compared. ¬© 1991, The Institution of Electrical Engineers. All rights reserved.</t>
  </si>
  <si>
    <t>1129-1131</t>
  </si>
  <si>
    <t>7006061921;6603820268</t>
  </si>
  <si>
    <t>Pozar, D. M.;Targonski, S. D.</t>
  </si>
  <si>
    <t>Pozar D.</t>
  </si>
  <si>
    <t>Improved coupling for aperture coupled microstrip antennas</t>
  </si>
  <si>
    <t>10.1049/el:19910705</t>
  </si>
  <si>
    <t>2-s2.0-0026173253</t>
  </si>
  <si>
    <t>['¬© 1991', 'various types', 'rights reserved', 'reflected field', 'proposed theory', 'plane perpendicular', 'microstrip antenna', 'electrical engineers', 'diffracted field', 'cylinder axis', 'also performed']</t>
  </si>
  <si>
    <t>Antennas | Electromagnetic field theory | Electromagnetismo Microstrip</t>
  </si>
  <si>
    <t>The aim of this Letter is to investigate the electromagnetic field surrounding an electrically large convex cylinder on which a microstrip antenna is mounted. Being capable of calculating the various types of field, i.e. directly incident field, reflected field and diffracted field on the plane perpendicular to the cylinder axis, the selfconsistent GTD formulation is employed. In accordance with such a formulation, a two-magnetic-line-current radiation model for the patch is given. Measurement is also performed in a microwave anechoic chamber for the purpose of validation of the proposed theory. ¬© 1991, The Institution of Electrical Engineers. All rights reserved.</t>
  </si>
  <si>
    <t>1161-1163</t>
  </si>
  <si>
    <t>Huang, C. F.</t>
  </si>
  <si>
    <t>Yangmei Factory Chunghwa Picture Tubes Ltd.</t>
  </si>
  <si>
    <t>Huang C.</t>
  </si>
  <si>
    <t>Simple High-Frequency Diffraction Analysis Of Microstrip Antenna On Large Cylinder</t>
  </si>
  <si>
    <t>10.1049/el:19910724</t>
  </si>
  <si>
    <t>2-s2.0-0026173479</t>
  </si>
  <si>
    <t>201-203</t>
  </si>
  <si>
    <t>Measurement Techniques</t>
  </si>
  <si>
    <t>6701453221;7103313639</t>
  </si>
  <si>
    <t>Tokatly, V. I.;Tishchenko, V. A.</t>
  </si>
  <si>
    <t>Tokatly V.</t>
  </si>
  <si>
    <t>Asymmetry of an electrical field meter with an active dipole antenna</t>
  </si>
  <si>
    <t>10.1007/BF00990834</t>
  </si>
  <si>
    <t>2-s2.0-0026189404</t>
  </si>
  <si>
    <t>197-200</t>
  </si>
  <si>
    <t>6602446855;6507344288</t>
  </si>
  <si>
    <t>Asatryan, D. G.;Tatevosyan, L. A.</t>
  </si>
  <si>
    <t>Asatryan D.</t>
  </si>
  <si>
    <t>Parameter selection and efficient data processing methods in a variable-base antenna testing range</t>
  </si>
  <si>
    <t>10.1007/BF00990833</t>
  </si>
  <si>
    <t>2-s2.0-0026189405</t>
  </si>
  <si>
    <t>['¬© 1991', 'utd formulation', 'rights reserved', 'readily used', 'ray tracing', 'parameter form', 'obtained analytically', 'mutual coupling', 'ghor ).', 'geometric parameters', 'general hyperboloid', 'first time', 'electrical engineers', 'antennas located']</t>
  </si>
  <si>
    <t>Antennas | Electromagnetic field theory</t>
  </si>
  <si>
    <t>A novel geodesic constant method has been developed for the hitherto unsolved problem of surface-ray tracing over a class of surface, namely the general hyperboloid of revolution (GHOR). All the ray-geometric parameters are obtained analytically in a one-parameter form. The ray parameters derived here for the first time can be readily used in the UTD formulation for computing the mutual coupling between the antennas located on the GHOR. ¬© 1991, The Institution of Electrical Engineers. All rights reserved.</t>
  </si>
  <si>
    <t>1501-1502</t>
  </si>
  <si>
    <t>60026851;60026851;60014097</t>
  </si>
  <si>
    <t>7101680121;35449666300;23392064600</t>
  </si>
  <si>
    <t>Jha, R. M.;Edwards, D. J.;Bhakthavathsalam, R.</t>
  </si>
  <si>
    <t>United Kingdom;India</t>
  </si>
  <si>
    <t>Oxford;Bengaluru</t>
  </si>
  <si>
    <t>University of Oxford;Indian Institute of Science</t>
  </si>
  <si>
    <t>60026851;60014097</t>
  </si>
  <si>
    <t>Jha R.</t>
  </si>
  <si>
    <t>Application of Novel Method Surface-Ray Tracing over Hyperboloidal Scatterers</t>
  </si>
  <si>
    <t>10.1049/el:19910943</t>
  </si>
  <si>
    <t>2-s2.0-0026205255</t>
  </si>
  <si>
    <t>['whistler range', 'small antenna', 'plasma inhomogeneity', 'field structure', 'dispersion characteristics', 'demonstrated theoretically', 'background plasma']</t>
  </si>
  <si>
    <t>The dispersion characteristics and the field structure of axisymmetric modes channeled by a high-density plasma inhomogeneity stretching along the external magnetic field are determined in the whistler range. The feasibility of matching a small antenna to the background plasma by means of plasma inhomogeneity is demonstrated theoretically and experimentally. ¬© 1991 Plenum Publishing Corporation.</t>
  </si>
  <si>
    <t>141-147</t>
  </si>
  <si>
    <t>Radiophysics and Quantum Electronics</t>
  </si>
  <si>
    <t>7103405138;7005995145</t>
  </si>
  <si>
    <t>Kudrin, A. V.;Markov, G. A.</t>
  </si>
  <si>
    <t>Kudrin A.</t>
  </si>
  <si>
    <t>Dispersion and matching properties of inhomogeneous plasma waveguides</t>
  </si>
  <si>
    <t>10.1007/BF01045521</t>
  </si>
  <si>
    <t>2-s2.0-0041783000</t>
  </si>
  <si>
    <t>['unique features', 'peripheral portion', 'paraxial focus', 'lobe radiation', 'feed field', 'doubling directivity']</t>
  </si>
  <si>
    <t>The unique features of radiation pattern formation in spherical mirror antennas are determined. It is shown that in antennas of this type there is a possibility of doubling directivity by placement of the feed at the paraxial focus. Equations are developed for calculation of the optimum feed placement, effective aperture radius, directional pattern width, and side lobe level. It is shown that side-lobe radiation from a spherical mirror antenna is formed by geometric optical reflection of the feed field on the peripheral portion of the mirror. ¬© 1991 Plenum Publishing Corporation.</t>
  </si>
  <si>
    <t>148-151</t>
  </si>
  <si>
    <t>6603710799;6603891908;8339198900</t>
  </si>
  <si>
    <t>Kinber, B. E.;Lobkova, L. M.;Savochkin, A. A.</t>
  </si>
  <si>
    <t>Kinber B.</t>
  </si>
  <si>
    <t>Radiation field of spherical mirror antennas</t>
  </si>
  <si>
    <t>10.1007/BF01045522</t>
  </si>
  <si>
    <t>2-s2.0-34249840811</t>
  </si>
  <si>
    <t>['single chl', 'psii preparation', 'psii membranes', 'previously shown', 'polypeptides p9', 'higher plants', 'harvesting processes', 'green algae', 'general relevance', 'febs lett', 'data support', 'chl b', 'characterized spectroscopically', 'characteristics similar', 'binding polypeptides', 'bind chl']</t>
  </si>
  <si>
    <t>Chlamydomonas (light-harvesting complexes) | Chlorophyll a/b protein (chlamydomonas) | Light-harvesting complex</t>
  </si>
  <si>
    <t>We have adapted the procedure for the isolation of PSII membranes from higher plants (D.A. Berthold et al., 1981, FEBS Lett. 134, 231-234) to the green algae Chlamydomonas reinhardtii. The chlorophyll (Chl)-binding proteins from this PSII preparation have been further separated into single Chl-binding polypeptides and characterized spectroscopically. Seven single polypeptides were shown to bind Chl a and Chl b. In particular, we demonstrate that polypeptides p9, p10 and p22, which had not been previously shown to bind Chl a and b, have characteristics similar to those of CP29, CP26 and CP24 from higher plants. We note, however, that p9 and p10 are phosphorylatable in C. reinhardtii, at variance with CP29 and CP26 from higher plants. Our data support the notion that the PSII antenna systems in C. reinhardtii and in higher plants are very similar. Therefore, studies on the organization and regulation of light-harvesting processes in C. reinhardtii may provide information of general relevance for both green algae and higher plants. ¬© 1991 Springer-Verlag.</t>
  </si>
  <si>
    <t>423-433</t>
  </si>
  <si>
    <t>60000481;60014849</t>
  </si>
  <si>
    <t>35553979700;7006770347</t>
  </si>
  <si>
    <t>Bassi, Roberto;Wollman, Francis Andr√©</t>
  </si>
  <si>
    <t>France;Italy</t>
  </si>
  <si>
    <t>Paris;Padua</t>
  </si>
  <si>
    <t>Institut de Biologie Physico-Chimique;Universit√† degli Studi di Padova</t>
  </si>
  <si>
    <t>60014849;60000481</t>
  </si>
  <si>
    <t>Bassi R.</t>
  </si>
  <si>
    <t>The chlorophyll-a/b proteins of photosystem II in Chlamydomonas reinhardtii - Isolation, characterization and immunological cross-reactivity to higher-plant polypeptides</t>
  </si>
  <si>
    <t>10.1007/BF00197742</t>
  </si>
  <si>
    <t>2-s2.0-34249918787</t>
  </si>
  <si>
    <t>PHY-8807074</t>
  </si>
  <si>
    <t>['¬© 1991', 'wave antennas', 'value observed', 'torsional mode', 'temperature range', 'largest q', '8 million', '55 mk', '50 mk', '300 k', '1 khz']</t>
  </si>
  <si>
    <t>Measurements of the amplitude-independent acoustic quality factor (reciprocal internal friction) of 99.95% pure polycrystalline molybdenum is a torsional mode at a frequency of 1 kHz in the temperature range from 50 mK to 300 K are reported. The largest Q-value observed was 12.8 million at 55 mk. Probable acoustic loss mechanisms are discussed. The results provide support for use of the material for gravity-wave antennas. ¬© 1991.</t>
  </si>
  <si>
    <t>463-464</t>
  </si>
  <si>
    <t>Physica B: Physics of Condensed Matter</t>
  </si>
  <si>
    <t>Duffy, William</t>
  </si>
  <si>
    <t>Santa Clara</t>
  </si>
  <si>
    <t>Santa Clara University</t>
  </si>
  <si>
    <t>Duffy W.</t>
  </si>
  <si>
    <t>Acoustic quality factor of polycrystalline molybdenum from 50 mK to 300 K</t>
  </si>
  <si>
    <t>092145269190277L</t>
  </si>
  <si>
    <t>10.1016/0921-4526(91)90277-L</t>
  </si>
  <si>
    <t>2-s2.0-44949282276</t>
  </si>
  <si>
    <t>['œ ≤', 'œ ±', '¬© 1991', 'trimeric c', 'residues located', 'pcc 7601', 'molecular model', 'mastigocladus laminosus', 'local dyad', 'initial structure', 'hexameric contacts', 'green light', 'functional unit', 'factor converged', 'cyclic manner', 'crystals belong', 'crystallographic triad', 'crystal structure', 'corresponding chromophores', 'constitutive phycocyanin', 'cell constants', 'calothrix sp', 'asymmetric unit', 'arranged around', '31 )-', '120 ¬∞.']</t>
  </si>
  <si>
    <t>Constitutive phycocyanin from cyanobacterium Fremyella diplosiphon (Calothrix sp. PCC 7601) grown in green light, has been isolated and crystallized. The crystals belong to the space group R3 with cell constants a = b = 180.26 A Ãä, c = 61.24 A Ãä, Œ± = Œ≤ = 90 ¬∞, Œ≥ = 120 ¬∞. The crystal structure has been determined by Patterson search techniques using the molecular model of C-phycocyanin from the cyanobacterium Agmenellum quadruplicatum. The asymmetric unit of the crystal cell consists of two (Œ±Œ≤)-monomers related by a local dyad. Three asymmetric units are arranged around a crystallographic triad and form an (Œ±Œ≤)6-hexamer, the functional unit in the native antenna rod. The initial structure has been refined in a cyclic manner by energy-restrained crystallographic refinement and modelling until the conventional crystallographic R-factor converged at 18.1% with data to a resolution of 1.66 √Ö. The molecular structure resembles closely the C-phycocyanins of Mastigocladus laminosus and A. quadruplicatum. The conformation and configuration of the Œ±-84 and Œ≤-84 chromophores is very similar to the corresponding chromophores in the trimeric C-phycocyanin of M. laminosus, whereas the Œ≤-155 chromophore differs in configuration with C(4)-Z, C(10)-Z and C(15)-Z compared to C(4)-Z, C(10)-Z, C(15)-Z, E. The stereochemistry of the Œ≤-155 chiral centres is C(2)-RC(3)-R and C(31)-S, respectively, whereas Œ±-84 and Œ≤-84 have C(2)-R C(3)-R and C(31)-R. The amino acid sequences of constitutive and inducible phycocyanin differ mainly in residues located on the surface of the Œ≤-subunits that mediate the inter-hexameric contacts. ¬© 1991.</t>
  </si>
  <si>
    <t>577-592</t>
  </si>
  <si>
    <t>Journal of Molecular Biology</t>
  </si>
  <si>
    <t>60006070;60006070;60006070</t>
  </si>
  <si>
    <t>16143315600;7403700517;9846383000</t>
  </si>
  <si>
    <t>Duerring, Markus;Schmidt, Gabriele B.;Huber, Robert</t>
  </si>
  <si>
    <t>Planegg</t>
  </si>
  <si>
    <t>Max Planck Institute for Biochemistry</t>
  </si>
  <si>
    <t>Duerring M.</t>
  </si>
  <si>
    <t>Isolation, crystallization, crystal structure analysis and refinement of constitutive C-phycocyanin from the chromatically adapting cyanobacterium Fremyella diplosiphon at 1.66 √Ö resolution</t>
  </si>
  <si>
    <t>002228369190759Y</t>
  </si>
  <si>
    <t>10.1016/0022-2836(91)90759-Y</t>
  </si>
  <si>
    <t>2-s2.0-0025967561</t>
  </si>
  <si>
    <t>['similar applications', 'often compete', 'nath regimes', 'experimental results']</t>
  </si>
  <si>
    <t>Electrooptic and acoustooptic phase gratings perform many useful operations and often compete with each other for similar applications. Using piezoelectric crystals, it is possible to generate a simultaneous acousto¬≠electro-optic (AEO) grating, which has advantages over applying either effect separately. The AEO effect using surface acoustic waves and electrooptic interdigital transducers is discussed. Coupled mode theory has been used to analyze the resulting diffraction effects, and experimental results in both the Bragg and Raman- Nath regimes are reported. The device can perform fundamental operations such as convolution, correlation, and optical matrix processing. We propose AEO components for use in spread spectrum systems, hybrid optical bistability, and adaptive phased array antenna control. ¬© 1991 Optical Society of America.</t>
  </si>
  <si>
    <t>581-696</t>
  </si>
  <si>
    <t>1559128X</t>
  </si>
  <si>
    <t>Applied Optics</t>
  </si>
  <si>
    <t>60027596;60025534;60021293</t>
  </si>
  <si>
    <t>7004480257;7403032921;6603620199</t>
  </si>
  <si>
    <t>Decusatis, Casimer;Das, P.;Litynski, D. M.</t>
  </si>
  <si>
    <t>West Point;Troy;Armonk</t>
  </si>
  <si>
    <t>United States Military Academy at West Point;Rensselaer Polytechnic Institute;International Business Machines</t>
  </si>
  <si>
    <t>Decusatis C.</t>
  </si>
  <si>
    <t>Acousto-electro-optic phase gratings for optical signal processing applications</t>
  </si>
  <si>
    <t>10.1364/AO.30.000583</t>
  </si>
  <si>
    <t>2-s2.0-84975624569</t>
  </si>
  <si>
    <t>['¬© 1991', 'simulation results', 'rights reserved', 'nonlinear model', 'great deal', 'electrical engineers']</t>
  </si>
  <si>
    <t>Antenna theory | Antennas</t>
  </si>
  <si>
    <t>A totally new concept for beamforming is introduced, which is based on using a nonlinear model. Simulation results are presented to show that the technique is effective and robust, and, therefore, has a great deal of promise. ¬© 1991 The Institution of Electrical Engineers. All rights reserved.</t>
  </si>
  <si>
    <t>350-352</t>
  </si>
  <si>
    <t>60031828;60031828;60031828</t>
  </si>
  <si>
    <t>7203076017;56229225700;7006562937</t>
  </si>
  <si>
    <t>Lo, T.;Leung, H.;Litva, J.</t>
  </si>
  <si>
    <t>Nonlinear beamforming</t>
  </si>
  <si>
    <t>10.1049/el:19910222</t>
  </si>
  <si>
    <t>2-s2.0-0026103398</t>
  </si>
  <si>
    <t>['¬© 1991', 'wave antenna', 'rights reserved', 'low spillover', 'large beamwidth', 'ideal feed', 'electrical engineers']</t>
  </si>
  <si>
    <t>A centre-fed strip loaded rectangular dielectric rod leaky-wave antenna which can produce sharp cutoff square radiation pattern with large beamwidth and low ripple amplitude is reported. It can be used as an ideal feed with low spillover for deep cylindrical paraboloids. ¬© 1991 The Institution of Electrical Engineers. All rights reserved.</t>
  </si>
  <si>
    <t>356-357</t>
  </si>
  <si>
    <t>60031544;60031544;60031544;60031544</t>
  </si>
  <si>
    <t>7101933084;57218539158;7006249330;56259735900</t>
  </si>
  <si>
    <t>Narayanan, K. K.;Mohanan, P.;Vasudevan, K.;Nair, K. G.</t>
  </si>
  <si>
    <t>Narayanan K.K.</t>
  </si>
  <si>
    <t>Leaky-wave antenna for square radiation pattern</t>
  </si>
  <si>
    <t>10.1049/el:19910225</t>
  </si>
  <si>
    <t>2-s2.0-0026105689</t>
  </si>
  <si>
    <t>['¬© 1991', 'rights reserved', 'resonant frequency', 'reflection band', 'major reduction', 'grating responses', 'electrical engineers', 'dipole fss', 'correspondingly increased']</t>
  </si>
  <si>
    <t>Antenna arrays | Antennas</t>
  </si>
  <si>
    <t>Convoluting the conductors of dipole FSS while retaining the unit cell dimensions produces a major reduction in the resonant frequency and in the sensitivity of the reflection band to angle of incidence. The separation of this band from the onset of grating responses is correspondingly increased. ¬© 1991 The Institution of Electrical Engineers. All rights reserved.</t>
  </si>
  <si>
    <t>322-323</t>
  </si>
  <si>
    <t>60010818;60010818</t>
  </si>
  <si>
    <t>57194910587;7006397700</t>
  </si>
  <si>
    <t>Parker, D. A.;El Sheikh, A. N.A.</t>
  </si>
  <si>
    <t>Parker D.A.</t>
  </si>
  <si>
    <t>Convoluted dipole array elements</t>
  </si>
  <si>
    <t>10.1049/el:19910203</t>
  </si>
  <si>
    <t>2-s2.0-0026106813</t>
  </si>
  <si>
    <t>['¬© 1991', 'rights reserved', 'obtain bounds', 'noise ratio', 'electrical engineers', 'cylindrical near', 'closed expression']</t>
  </si>
  <si>
    <t>Antennas | Errors | Measurement</t>
  </si>
  <si>
    <t>A closed expression for the autocorrelation of the far field noise due to random near field noise in a cylindrical near to far field transformation is derived. This expression is employed to obtain bounds for the computed radiation pattern for a given near field signal to noise ratio. ¬© 1991 The Institution of Electrical Engineers. All rights reserved.</t>
  </si>
  <si>
    <t>338-340</t>
  </si>
  <si>
    <t>60007592;60007592</t>
  </si>
  <si>
    <t>56883021900;7003898162</t>
  </si>
  <si>
    <t>Romeu, J.;Jofre, L.</t>
  </si>
  <si>
    <t>Barcelona</t>
  </si>
  <si>
    <t>Universitat Polit√®cnica de Catalunya</t>
  </si>
  <si>
    <t>Romeu J.</t>
  </si>
  <si>
    <t>Effect of random errors in antenna cylindrical near-field measurements</t>
  </si>
  <si>
    <t>10.1049/el:19910214</t>
  </si>
  <si>
    <t>2-s2.0-0026107323</t>
  </si>
  <si>
    <t>['¬© 1991', 'supersynthesis radiometer', 'spatial resolution', 'rights reserved', 'remote sensing', 'integration time', 'evaluated numerically', 'electrical engineers']</t>
  </si>
  <si>
    <t>Radiometers | Remote sensing</t>
  </si>
  <si>
    <t>Supersynthesis radiometer (SSR) is proposed for the remote sensing of the earth. High azimuth resolution can be realised by the SSR system without a large aperture antenna of the radiometer. Spatial resolution and integration time are analysed and evaluated numerically for a low orbit satellite model. ¬© 1991, The Institution of Electrical Engineers. All rights reserved.</t>
  </si>
  <si>
    <t>389-390</t>
  </si>
  <si>
    <t>Komiyama, K.</t>
  </si>
  <si>
    <t>Komiyama K.</t>
  </si>
  <si>
    <t>High resolution imaging by supersynthesis radiometers (SSR) for the passive microwave remote sensing of the earth</t>
  </si>
  <si>
    <t>10.1049/el:19910245</t>
  </si>
  <si>
    <t>2-s2.0-0026107690</t>
  </si>
  <si>
    <t>['¬© 1991', 'vehicle movements', 'unshadowed signals', 'rights reserved', 'good results', 'experimental results', 'empirical distributions', 'electrical engineers']</t>
  </si>
  <si>
    <t>Modelling | Satellite systems</t>
  </si>
  <si>
    <t>A new MARECS propagation model which takes into account simultaneous variations in shadowed and unshadowed signals is described. It is based on experimental results which show that signal variations due to antenna pattern irregularities and vehicle movements are combined with shadowing. This model has been fitted to empirical distributions with good results. ¬© 1991 The Institution of Electrical Engineers. All rights reserved.</t>
  </si>
  <si>
    <t>298-300</t>
  </si>
  <si>
    <t>60009455;60009455</t>
  </si>
  <si>
    <t>6603937660;6506880113</t>
  </si>
  <si>
    <t>Benarroch, A.;Mercader, L.</t>
  </si>
  <si>
    <t>Escuela T√©cnica Superior de Ingenieros de Telecomunicaci√≥n, Universidad Polit√©cnica de Madrid</t>
  </si>
  <si>
    <t>Benarroch A.</t>
  </si>
  <si>
    <t>Lmss propagation model based on a european experiment using marecs satellite</t>
  </si>
  <si>
    <t>10.1049/el:19910188</t>
  </si>
  <si>
    <t>2-s2.0-0026108080</t>
  </si>
  <si>
    <t>['polarization switching', 'optically controlled', 'new two', 'microwave signals', 'experimentally demonstrate', 'coherent detection', 'birefringent mode', 'array antenna', '85 ghz', '2œä phase']</t>
  </si>
  <si>
    <t>We propose and experimentally demonstrate a new two-dimensional optical architecture based on polarization switching by N spatial light modulators that provides 2N time delays to a phased-array antenna of p √ó p radiating elements. Moreover the 0 to 2œÄ phase of the microwave signals is optically controlled by a liquid-crystal spatial light modulator that operates in the birefringent mode. The microwave signal originates from the coherent detection of a dual-frequency laser beam obtained with an acousto-optic frequency shifter. Preliminary experimental results obtained at a microwave frequency f = 1.85 GHz are presented. ¬© 1991 Optical Society of America.</t>
  </si>
  <si>
    <t>255-257</t>
  </si>
  <si>
    <t>Optics Letters</t>
  </si>
  <si>
    <t>60019269;60019269;60019269;60019269</t>
  </si>
  <si>
    <t>7007017942;57189881466;35777430900;7101659682</t>
  </si>
  <si>
    <t>Dolfi, D.;Michel-Gabriel, F.;Bann, S.;Huignard, J. P.</t>
  </si>
  <si>
    <t>Puteaux</t>
  </si>
  <si>
    <t>Thales Group</t>
  </si>
  <si>
    <t>Dolfi D.</t>
  </si>
  <si>
    <t>Two-dimensional optical architecture for time-delay beam forming in a phased-array antenna</t>
  </si>
  <si>
    <t>10.1364/OL.16.000255</t>
  </si>
  <si>
    <t>2-s2.0-84975576127</t>
  </si>
  <si>
    <t>['¬© 1991', 'rights reserved', 'pre sented', 'limiting solution', 'high interference', 'electrical engineers', 'efficient approach', 'controlled mean', 'approach presented']</t>
  </si>
  <si>
    <t>Antenna arrays | Antenna radiation patterns | Antennas</t>
  </si>
  <si>
    <t>A more general and efficient approach for designing array patterns with a controlled mean-square sidelobe level is pre sented. It is shown that the approach presented by Ng can be considered as a limiting solution to the quadratic constrained optimisation problem presented in this Letter. Numerical results showed that under high interference-to-white noise ratio conditions, the new approach performs better, on average, than the Chebyshev synthesis technique. ¬© 1991, The Institution of Electrical Engineers. All rights reserved.</t>
  </si>
  <si>
    <t>435-437</t>
  </si>
  <si>
    <t>Alternative approach to designing array pattern with controlled mean-square sidelobe level</t>
  </si>
  <si>
    <t>10.1049/el:19910275</t>
  </si>
  <si>
    <t>2-s2.0-0026103206</t>
  </si>
  <si>
    <t>['¬© 1991', 'rights reserved', 'pointing errors', 'output snir', 'new zero', 'method involves', 'electrical engineers', 'correction method', 'array polynomial', 'adaptation using']</t>
  </si>
  <si>
    <t>Adaptive systems and control | Antennas</t>
  </si>
  <si>
    <t>A new zero-correction method for improving the output SNIR of a directional constrained adaptive array in the presence of pointing errors is presented. The method involves the relocation of the zeros of the array polynomial after adaptation using a constrained optimisation procedure. Examples are given to illustrate the effectiveness of the technique. ¬© 1991, The Institution of Electrical Engineers. All rights reserved.</t>
  </si>
  <si>
    <t>443-445</t>
  </si>
  <si>
    <t>Lo, K. W.</t>
  </si>
  <si>
    <t>Kowloon</t>
  </si>
  <si>
    <t>Hong Kong Polytechnic University</t>
  </si>
  <si>
    <t>Lo K.</t>
  </si>
  <si>
    <t>Improving performance of adaptive array in presence of pointing errors using new zero-correction method</t>
  </si>
  <si>
    <t>10.1049/el:19910280</t>
  </si>
  <si>
    <t>2-s2.0-0026103905</t>
  </si>
  <si>
    <t>['¬© 1991', 'tapered excitation', 'rights reserved', 'good agreement', 'experimental results', 'electrical engineers']</t>
  </si>
  <si>
    <t>The analysis and realisation of printed antenna arrays with low sidelobes using a tapered excitation are described. The array is divided into several independent subarrays, fed at their centres by a low-loss corporate feed network. To achieve the correct radiation pattern, each subarray must exhibit a dissymetrical source excitation; equations are derived to calculate the transformation ratios along the linear series subarrays. Theoretical and experimental results are in good agreement. ¬© 1991, The Institution of Electrical Engineers. All rights reserved.</t>
  </si>
  <si>
    <t>425-426</t>
  </si>
  <si>
    <t>60030553;60030553;60030553</t>
  </si>
  <si>
    <t>26536508100;7003723658;7202044329</t>
  </si>
  <si>
    <t>Motta Cruz, E.;Himdi, M.;Daniel, J. P.</t>
  </si>
  <si>
    <t>Motta Cruz E.</t>
  </si>
  <si>
    <t>Broadside printed antenna arrays built with dissymmetrical subarrays</t>
  </si>
  <si>
    <t>10.1049/el:19910269</t>
  </si>
  <si>
    <t>2-s2.0-0026106763</t>
  </si>
  <si>
    <t>['¬© 1991', 'rights reserved', 'experimental results', 'electrical engineers']</t>
  </si>
  <si>
    <t>Antennas | Phased array antennas</t>
  </si>
  <si>
    <t>A breadboard of a signal distribution optical network for a spacebome phased array antenna has been realised to test the achievable performance using state of the art optical components. Experimental results are given. ¬© 1991, The Institution of Electrical Engineers. All rights reserved.</t>
  </si>
  <si>
    <t>100348662;100348662;100348662</t>
  </si>
  <si>
    <t>6506737837;57215921308;6505556934</t>
  </si>
  <si>
    <t>Pansini, E.;Testa, F.;Norbiato, R.</t>
  </si>
  <si>
    <t>Pomezia</t>
  </si>
  <si>
    <t>FACE Research Cent</t>
  </si>
  <si>
    <t>Pansini E.</t>
  </si>
  <si>
    <t>Experimental evaluation of optical signal distribution for phased array antenna</t>
  </si>
  <si>
    <t>10.1049/el:19910257</t>
  </si>
  <si>
    <t>2-s2.0-0026107184</t>
  </si>
  <si>
    <t>['¬© 1991', 'theoretical results', 'simple method', 'sandwich slotline', 'rights reserved', 'good agreement', 'electrical engineers']</t>
  </si>
  <si>
    <t>Microstrip | Microwave devices and components</t>
  </si>
  <si>
    <t>A simple method to determine the behaviour of sandwich slotline against the width of a near- and limited-parallel metallic strip is presented. Experimental and theoretical results are in good agreement for two typical examples. ¬© 1991, The Institution of Electrical Engineers. All rights reserved.</t>
  </si>
  <si>
    <t>455-457</t>
  </si>
  <si>
    <t>60030553;60030553</t>
  </si>
  <si>
    <t>7003723658;7202044329</t>
  </si>
  <si>
    <t>Himdi, M.;Daniel, J. P.</t>
  </si>
  <si>
    <t>Himdi M.</t>
  </si>
  <si>
    <t>Characteristics of sandwich-slotlines in front of a parallel metallic strip</t>
  </si>
  <si>
    <t>10.1049/el:19910287</t>
  </si>
  <si>
    <t>2-s2.0-0026108214</t>
  </si>
  <si>
    <t>['visible region', 'symmetric structure', 'qy transition', 'qy level', 'probably due', 'marine algae', 'less sensitive', 'function efficiently', 'fucoxanthin isolated', 'fluorescence spectrum', 'first time', 'energy difference', 'emission spectra', 'emission originates', 'emission maximum', 'emission bands', 'distorted structure', 'clearly indicate', 'brown alga', 'almost identical', 'allenic carotenoid', 'acceptor molecule', 'absorption maximum', 'absorption bands', '750 nm', '505 nm', '3900 cm', '2ag ).', '1bu state', '0 bands', '), thus']</t>
  </si>
  <si>
    <t>carotenoid | energy transfer | fluorescence | fucoxanthin | photosynthesis | pigment system</t>
  </si>
  <si>
    <t>The fluorescence spectrum of an allenic carotenoid, all-trans-fucoxanthin isolated from a brown alga, has been reported for the first time. This carotenoid is known to function efficiently as a primary photosynthetic antenna pigment in marine algae. The emission bands were located around 630, 685 and 750 nm in CS2 at 20¬∞C, absorption bands being located at 448, 476 and 505 nm. The energy difference between the 0-0 bands of absorption and emission spectra was about 3900 cm-1 and location of the emission maximum was less sensitive to the polarizability of solvents than that of the absorption maximum. These clearly indicate that the emission originates from the optically forbidden singlet state (2Ag). This is in contrast to other carotenoids whose emission is assigned to 1Bu state, probably due to the symmetric structure of the conjugated double bond responsible for the absorption in the visible region. A rapid internal conversion from 1Bu to 2Ag state might be facilitated by distorted structure of the conjugated double bond of fucoxanthin. The energy level responsible for the emission is almost identical to the Qy level of the acceptor molecule (Chl a), thus we propose an energy transfer pathway from the optically forbidden 2Ag state of the carotenoid to the Qy transition of Chl a in algal pigment systems. ¬© 1991 Kluwer Academic Publishers.</t>
  </si>
  <si>
    <t>221-226</t>
  </si>
  <si>
    <t>60011001;60033235;60028586</t>
  </si>
  <si>
    <t>7401529775;7005765210;7006461138</t>
  </si>
  <si>
    <t>Katoh, Tetzuya;Nagashima, Umpei;Mimuro, Mamoru</t>
  </si>
  <si>
    <t>Okazaki;Okazaki;Kyoto</t>
  </si>
  <si>
    <t>National Institutes of Natural Sciences - Institute for Molecular Science;National Institutes of Natural Sciences - National Institute for Basic Biology;Kyoto University</t>
  </si>
  <si>
    <t>60033235;60028586;60011001</t>
  </si>
  <si>
    <t>Katoh T.</t>
  </si>
  <si>
    <t>Fluorescence properties of the allenic carotenoid fucoxanthin: Implication for energy transfer in photosynthetic pigment systems</t>
  </si>
  <si>
    <t>10.1007/BF00035843</t>
  </si>
  <si>
    <t>2-s2.0-0001603755</t>
  </si>
  <si>
    <t>['year round', 'would need', 'various users', 'update period', 'time needed', 'see ".', 'results obtained', 'replace albis', 'reduced visibility', 'reduced resolution', 'radar beam', 'questions relating', 'presented describing', 'present radars', 'planned strategies', 'one minute', 'observed fully', 'monte lema', 'losses caused', 'longer ranges', 'higher one', 'ground echoes', 'good qualitative', 'general improve', 'flat country', 'fixed correction', 'extremely dense', 'estimating rain', 'errors caused', 'entire volume', 'eliminating clutter', 'doppler radar', 'costly network', 'contradicting requirements', 'alpine country', 'allow measurements', 'accuracy obtained', 'acceptable way']</t>
  </si>
  <si>
    <t>Over the years much research has been directed towards exploring the potential of radar as an instrument for estimating rain. It is shown that with the present reflectivity measuring radar, good qualitative and in certain conditions even quantitative information may be obtained in an Alpine country. In other words, we would need an extremely dense and costly network of gauges to obtain a spatial resolution easily attainable with radar. But radar only estimates the precipitation it can "see". Even the most ingenious procedure using sophisticated equipment will not allow measurements in areas not observed fully or at all, e.g., behind mountains. But likewise in flat country we will find - at longer ranges - increased errors due to losses caused by the earth's curvature and errors caused by the reduced resolution of the radar beam. Therefore, choosing a good radar site is important: A higher one will in general improve the visibility, but increase at the same time the amount of clutter by ground echoes. Doppler radar will help in this respect. To what extent will be shown by the results obtained with the new radars planned to replace Albis and La D√¥le north of the Alps and the third, new radar site in the south, probably on Monte Lema in the Tessin, during the years 1993 till 1996. Results are presented describing the accuracy obtained with present radars when just applying all year round a fixed correction for reduced visibility at longer ranges. Planned strategies are discussed for eliminating clutter, for making quantitative measurements, and for reducing the time needed to investigate the entire volume by using an electronically scanned antenna. By decreasing the update period for the full volume information down to the order of one minute, contradicting requirements of various users, such as hydrologists and air traffic controllers, could be fulfilled. However, questions relating to price and reliability will have to be answered in an acceptable way. ¬© 1991 Springer-Verlag.</t>
  </si>
  <si>
    <t>61-72</t>
  </si>
  <si>
    <t>Meteorology and Atmospheric Physics</t>
  </si>
  <si>
    <t>60029114;60029114</t>
  </si>
  <si>
    <t>7004504932;6505624599</t>
  </si>
  <si>
    <t>Joss, J.;Pittini, A.</t>
  </si>
  <si>
    <t>Zurich</t>
  </si>
  <si>
    <t>Federal Office of Meteorology and Climatology MeteoSwiss</t>
  </si>
  <si>
    <t>Joss J.</t>
  </si>
  <si>
    <t>Real-time estimation of the vertical profile of radar reflectivity to improve the measurement of precipitation in an Alpine region</t>
  </si>
  <si>
    <t>10.1007/BF01025828</t>
  </si>
  <si>
    <t>2-s2.0-0002981304</t>
  </si>
  <si>
    <t>['swimming legs', 'several genera', 'general pattern', 'first antenna', 'family clausocalanidae', 'body segments']</t>
  </si>
  <si>
    <t>The post-naupliar developmental stages of the Calanoid copepod Drepanopus forcipatus Giesbrecht are described. They are compared with copepodids of other members of the family Clausocalanidae. The sequence of appearance and development of segmentation and setation indicate considerable conformity and point to a uniform familial pattern. Attention is drawn to a general pattern of addition of body segments and of segments in the first antenna and swimming legs. Comparison of integumental pore patterns of several genera, confirms the provisional pore signature of the family. Remarks are made on the identity and distribution of species of Drepanopus. ¬© 1991 Biologische Anstalt Helgoland.</t>
  </si>
  <si>
    <t>199-224</t>
  </si>
  <si>
    <t>Helgol√§nder Meeresuntersuchungen</t>
  </si>
  <si>
    <t>Hulsemann, K.</t>
  </si>
  <si>
    <t>Bremerhaven</t>
  </si>
  <si>
    <t>Alfred-Wegener-Institut Helmholtz-Zentrum f√ºr Polar- und Meeresforschung</t>
  </si>
  <si>
    <t>Hulsemann K.</t>
  </si>
  <si>
    <t>The copepodid stages of Drepanopus forcipatus giesbrecht, with notes on the genus and a comparison with other members of the family Clausocalanidae (Copepoda Calanoida)</t>
  </si>
  <si>
    <t>10.1007/BF02365642</t>
  </si>
  <si>
    <t>2-s2.0-0005668899</t>
  </si>
  <si>
    <t>['rome group', 'preliminary measurement', 'induced signal', 'fet amplifier', 'detector noise', 'detailed analysis', 'absolute calibration']</t>
  </si>
  <si>
    <t>We present a detailed analysis of the effect of the gravitational field generated by a small rotating quadrupole on a graviational wave antenna and we report on the preliminary measurement of this effect on the Explorer 2270 kg cryogenic gravitational wave antenna of the Rome group. The induced signal had an amplitude twenty times larger than the detector noise when the antenna was equipped with an FET amplifier and was easily detected without requiring integration in time. We remark that with this method we were able to make an absolute calibration of a gravitational wave antenna. ¬© 1991 Springer-Verlag.</t>
  </si>
  <si>
    <t>Zeitschrift f√ºr Physik C Particles and Fields</t>
  </si>
  <si>
    <t>60021660;60027509-60021660;60019778;60021660-60032350;60021660-60021199;60021660-60032350;60019778;60027509-60021660;60021660-60032350;60021660;60021660-60032350;60021660-60010146;60021660-60032350;60027509-60021660;60019778;60021660-60032350;60021660-60032350;60021660-60032350;60019778;60021660-60032350;60021660-60032350;60021660</t>
  </si>
  <si>
    <t>8728100700;7004985710;57216089684;22973891700;7004641893;7003676102;6701785659;7005568912;6701787698;35227140200;25649375000;7003816910;6508390183;7003738313;7007166392;7004243218;57210386376;7003386560;12545492100;7003636273;7103269533;6603743635</t>
  </si>
  <si>
    <t>Astone, P.;Bassan, M.;Bates, S.;Bizzarri, R.;Bonifazi, P.;Cardarelli, R.;Cavallari, G.;Coccia, E.;Degasperis, A.;De Pedis, D.;Frasca, S.;Majorana, E.;Merucci, L.;Modena, I.;Muratori, G.;Pallottino, G. V.;Patrignani, C.;Pizzella, G.;Price, M.;Rapagnani, P.;Ricci, F.;Visco, M.</t>
  </si>
  <si>
    <t>Italy;Italy;Italy;Italy;Switzerland;Italy</t>
  </si>
  <si>
    <t>Rome;Rome;Rome;Rome;Geneva;Catania</t>
  </si>
  <si>
    <t>Sapienza Universit√† di Roma;Universit√† degli Studi di Roma "Tor Vergata";Istituto Nazionale di Fisica Nucleare - INFN;Consiglio Nazionale delle Ricerche;European Organization for Nuclear Research;Universit√† degli Studi di Catania</t>
  </si>
  <si>
    <t>60032350;60027509;60021660;60021199;60019778;60010146</t>
  </si>
  <si>
    <t>Astone P.</t>
  </si>
  <si>
    <t>Evaluation and preliminary measurement of the interaction of a dynamical gravitational near field with a cryogenic gravitational wave antenna</t>
  </si>
  <si>
    <t>10.1007/BF01558552</t>
  </si>
  <si>
    <t>2-s2.0-0007770211</t>
  </si>
  <si>
    <t>['¬© 1991', 'using solar', 'styrene solubilized', 'styrene photooxidation', 'styrene occurs', 'sodium styrene', 'sodium 2', 'singlet oxygen', 'simulated radiation', 'rights reserved', 'photosensitized oxidation', 'photochemical reactions', 'nsa ).', 'nm wavelength', 'free atmosphere', 'direct irradiation', 'aqueous solution']</t>
  </si>
  <si>
    <t>Photochemical reactions of styrene solubilized in an aqueous solution of poly(sodium styrene-sulfonate-co-2-vinylnaphthalene) (PSSS-VN) were studied using monochromatic light at 280-and 313-nm wavelength and using solar-simulated radiation. In an oxygen-free atmosphere, photohydration of styrene was observed, and in the presence of oxygen, photosensitized oxidation of styrene occurs. The comparison of the photochemical processes occurring in an aqueous polymeric solution with those observed during direct irradiation of styrene in water as well as with those in photosensitized oxidation in low molecular weight model systems supports the mechanism of styrene oxidation involving participation of singlet oxygen. Styrene photooxidation was found to be much more efficient when styrene was solubilized in an aqueous solution of PSSS-VN than when styrene was dissolved in water. PSSS-VN displays considerably higher photosensi tizing ability than the low molecular weight model compound, sodium 2-naphthalenesulfonate (NSA). ¬© 1991, American Chemical Society. All rights reserved.</t>
  </si>
  <si>
    <t>474-478</t>
  </si>
  <si>
    <t>Macromolecules</t>
  </si>
  <si>
    <t>60016849;60021361</t>
  </si>
  <si>
    <t>7004369519;7102379256</t>
  </si>
  <si>
    <t>Nowakowska, Maria;Guillet, James E.</t>
  </si>
  <si>
    <t>Studies of the Antenna Effect in Polymer Systems. 18. Photochemical Reactions of Styrene Solubilized in an Aqueous Solution of Poly(sodium styrenesulfonate-co-2-vinylnaphthalene)</t>
  </si>
  <si>
    <t>10.1021/ma00002a021</t>
  </si>
  <si>
    <t>2-s2.0-0025894465</t>
  </si>
  <si>
    <t>Neotropical Ornithological Society</t>
  </si>
  <si>
    <t>NOS</t>
  </si>
  <si>
    <t>['small amouts', 'slightly higher', 'rights reserved', 'reaction center', 'purple bacteria', 'photosystem ii', 'photosynthetic apparatus', 'nmr spectra', 'molar ratio', 'heliobacterium chlorum', 'essential components', 'epimerization may', 'detailed interpretation', 'correlated spectroscopy', 'bchl g', 'basically different', 'also presented', 'acetone extracts', '798 ratio', '798 may']</t>
  </si>
  <si>
    <t>(H. chlorum) | (Hb. mobilis) | Bacteriochlorophyll g | Bacteriochlorophyll g epimer | HPLC | Pigment composition</t>
  </si>
  <si>
    <t>Normal-phase HPLC analysis of acetone extracts of cells, membranes and antenna-reaction center complexes of Heliobacterium chlorum and Heliobacillus mobilis showed the presence of bacteriochlorophyll (BChl) g‚Ä≤, the 132-epimer of BChl g. The molar ratio of BChl g:BChl g‚Ä≤ in these preparations was approx. 18 in cells and membranes of both species. This value, when combined with a molar ratio of BChl g to the primary electron donor, P-798, of 35-40, yields a BChl g‚Ä≤:P-798 ratio of 2, suggesting that P-798 may be a dimer of BChl g‚Ä≤. The amount of BChl g‚Ä≤ in the antenna-reaction center complex of H. chlorum was slightly higher, suggesting that some epimerization may have occurred during the isolation of the complex. In contrast, bacteriopheophytins (BPhe) g and g‚Ä≤ were present in too small amouts to be essential components of the photosynthetic apparatus. This confirms the idea that the reaction center of heliobacteria is basically different from those of purple bacteria and Photosystem II. A detailed interpretation, based on Correlated Spectroscopy and Double Resonance experiments is given of the 1H-NMR spectra of BChl g and BChl g‚Ä≤, confirming the structure and identity of both pigments. Absorption and circular dichroism spectra of BChl g and BChl g‚Ä≤ are also presented. ¬© 1991 Elsevier Science Publishers B.V. All rights reserved.</t>
  </si>
  <si>
    <t>BBA - Bioenergetics</t>
  </si>
  <si>
    <t>60180342;60003878;60070193;60003878;60027553;60180342</t>
  </si>
  <si>
    <t>7405533010;6603444401;7006584940;7004456032;55974981900;8609482600</t>
  </si>
  <si>
    <t>Kobayashi, Masami;van de Meent, Erik Jan;Erkelens, Cornelis;Amesz, Jan;Ikegami, Isamu;Watanabe, Tadashi</t>
  </si>
  <si>
    <t>Japan;Netherlands;Japan;Netherlands</t>
  </si>
  <si>
    <t>Tokyo;Leiden;Tokyo;Leiden</t>
  </si>
  <si>
    <t>Institute of Industrial Science;Gorlaeus Laboratory;Teikyo University;Sterrewacht Leiden</t>
  </si>
  <si>
    <t>60180342;60070193;60027553;60003878</t>
  </si>
  <si>
    <t>Kobayashi M.</t>
  </si>
  <si>
    <t>Bacteriochlorophyll g epimer as a possible reaction center component of heliobacteria</t>
  </si>
  <si>
    <t>S0005272805800878</t>
  </si>
  <si>
    <t>10.1016/S0005-2728(05)80087-8</t>
  </si>
  <si>
    <t>2-s2.0-0025964380</t>
  </si>
  <si>
    <t>['yet polylactosamine', 'transferase v', 'transferase provides', 'transferase followed', 'transfected counterpart', 'significantly different', 'results suggest', 'rat2 fibroblasts', 'rat2 cells', 'provided udpglcnac', 'provided ransferase', 'polyoma virus', 'polylactosamine content', 'oand n', 'metastatic mday', 'mdayd2 cells', 'malignant transformation', 'malignant t24h', 'malignant rat2', 'linked oligosaccharides', 'linked components', 'inthis report', 'insensitive fractions', 'increased udp', 'glycosyltransferase activities', 'glycosylation mutant', 'glycopeptidase f', 'following transformation', 'fold decrease', 'fc 2', 'complete loss', 'branched asn', 'bovine galactosyltransferase', 'acetyllactosamine antenna', 'acetylglucosaminyltransferase v', '6glcnac branching', '1 02', ')) activity']</t>
  </si>
  <si>
    <t>Malignant transformation of rodent cell lines by polyoma virus and by activated ras genes is associated with increased UDP-GlcNAc:ManŒ±-R Œ≤-1,6-N-acetylglucosaminyltransferase V (GlcNAc-transferase V) activity and its product -GlcNAcŒ≤1-6ManŒ±1-6ManŒ≤1-branched Asn-linked oligosaccharides. Inthis report, we have compared Œ≤1-6GlcNAc branching of core O and N-linked oligosaccharides in three experimental models of malignancy, namely (a) rat2 fibroblasts and their malignant T24H-ras-transfected counterpart; ( b) benign SP1 mammary carcinoma cells and two metastatic sublines of SP1; and (c) the metastatic MDAY-D2 lymphoma cell line and its poorly metastatic glycosylation mutant KBL-1. In addition to the previously reported increase in GlcNAc-transferase V activity, UDP-GlcNAc:GalŒ≤1-3GalNAcŒ±-R (GlcNAc to GalNAc) Œ≤-1,6-N-acetylglucosaminyltransferase (core 2 GlcNAc-transferase, FC 2.4.1.1 02) activity was found to be elevated by 70% in the malignant rat2 and SP1 cell lines while several other glycosyltransferase activities were not significantly different. The action of core 2 GlcNAc-transferase followed by Œ≤1-4Gal-transferase provides an N-acetyllactosamine antenna that can be extended with polylactosamine(i.e. repeating GalŒ≤1-4GlcNAcŒ≤1-3) provided UDPGlcNAc:GalŒ≤-R Œ≤1-3GlcNAc-transferase (GlcNAc-transferase (i)) activity is present. Polylactosamine content in microsomal membrane glycoproteins was quantitated by labeling the GlcNAc termini resulting from the action of Escherichia freundii endo-Œ≤-galactosidase with bovine galactosyltransferase/UDP-[3H] Gal. Glycopeptidase F-sensitive and -insensitive fractions were measured to assess the N- and O-linked components. In the SP1 tumor model, the metastatic sublines showed increased core 2 GlcNAc-transferase and GlcNAc-transferase V activities but no change in GlcNAc-transferase (i) activity, yet polylactosamine was increased in both O- and N-linked oligosaccharides. In rat2 cells, down-regulation of GlcNAc-transferase (i) following transformation was associated with decreased polylactosamine even though core 2 GlcNAc-transferase and GlcNAc-transferase V were elevated in the cells. Finally, a 3-fold decrease in GlcNAc-transferase V in KBL-1, the glycosylation mutant of MDAYD2 cells, resulted in complete loss of polylactosamine in N-linked but no change in O-linked polylactosamine content. These results suggest that, provided ransferase (i) is not limiting, the Œ≤1-6-branching enzymes core 2 GlcNAc-transferase and GlcNAc-transferase V regulate the levels of polylactosamine in Oand N-linked oligosaccharides, respectively. In addition, malignant transformation in the rat2 and SP 1 tumor models is associated with increased Œ≤1-6GlcNAc branching of O-linked as well as N-linked oligosaccharides.</t>
  </si>
  <si>
    <t>1772-1782</t>
  </si>
  <si>
    <t>Journal of Biological Chemistry</t>
  </si>
  <si>
    <t>60027016;60027016;60027016;60027016;60027016;60027016</t>
  </si>
  <si>
    <t>57205367767;57196694411;6505811796;7801331558;7102966220;7202979823</t>
  </si>
  <si>
    <t>Yousefi, S.;Higgins, E.;Daoling, Z.;Pollex-Kruger, A.;Hindsgaul, O.;Dennis, J. W.</t>
  </si>
  <si>
    <t>Toronto</t>
  </si>
  <si>
    <t>The Lunenfeld-Tanenbaum Research Institute of University of Toronto</t>
  </si>
  <si>
    <t>Yousefi S.</t>
  </si>
  <si>
    <t>Increased UDP-GlcNAc:GalŒ≤1-3GalNAc-R (GlcNAc to GalNAc) Œ≤-1,6-N-acetylglucosaminyltransferase activity in metastatic murine tumor cell lines. Control of polylactosamine synthesis</t>
  </si>
  <si>
    <t>2-s2.0-0026086828</t>
  </si>
  <si>
    <t>['study demonstrates', 'structures reported', 'structure elucidations', 'sector fab', 'recombinant glycoproteins', 'published structures', 'pas produced', 'pa ).', 'pa ),', 'novel structure', 'neither antennae', 'minor constituents', 'minor component', 'linked oligosaccharides', 'linked glycoproteins', 'latter glycoprotein', 'glcnac antennae', 'field two', 'complex structures', 'acetyllactosamine moieties', '448 sites', '184 site']</t>
  </si>
  <si>
    <t>Fast atom bombardment mass spectrometry | N-glycans | Novel structures | Sialylated GalNAc | Tissue plasminogen activator</t>
  </si>
  <si>
    <t>We have employed fast atom bombardment mass spectrometry (FAB-MS) to screen the N-linked oligosaccharides of Bowes melanoma tissue plasminogen activator (mt-PA), and recombinant t-PAs produced by Chinese hamster ovary cells (rt-PA) and by a gene-enriched melanoma cell line (rmt-PA). These studies have confirmed the published structures for rt-PA, but are not in agreement with some of the structures reported for mt-PA. In the latter glycoprotein we have identified a novel structure as the major oligosaccharide attached to Asn-184 and Asn-448. This is a biantennary oligosaccharide consisting of a fucosylated trimannosyl core to which are attached two GalNAc(1‚Üí4)GlcNAc antennae, one of which carries a sialic acid linked at the 6-position of the GalNAc. Minor constituents are sialylated on both or neither antennae. The sialylated GalNAc moiety is unique in N-linked glycoproteins. The majority of complex structures in rmt-PA contain N-acetyllactosamine moieties at both the Asn-184 and Asn-448 sites with the novel oligosaccharide occurring as a minor component at the Asn-184 site. This study demonstrates the power of mass spectrometric strategies based on high-field two-sector FAB-MS for structure elucidations of natural and recombinant glycoproteins. ¬© 1991 Oxford University Press.</t>
  </si>
  <si>
    <t>173-185</t>
  </si>
  <si>
    <t>Glycobiology</t>
  </si>
  <si>
    <t>60015150;60015150;60015150;60015150;60015150-100359531;60015150-60000365;60015150-60000365;60015150</t>
  </si>
  <si>
    <t>56250967900;7401534652;7005321077;7004414838;7402696679;7102806362;6507208297;7103412653</t>
  </si>
  <si>
    <t>Chan, Anna L.;Morris, Howard R.;Panico, Maria;Etienne, A. Tony;Rogers, Mark E.;Gaffney, Patrick;Creighton-kempsford, Lesley;Dell, Anne</t>
  </si>
  <si>
    <t>United Kingdom;United Kingdom;United Kingdom</t>
  </si>
  <si>
    <t>London;Hertfordshire;Ascot</t>
  </si>
  <si>
    <t>Imperial College London;National Institute for Biological Standards and Control;M-Scan Ltd</t>
  </si>
  <si>
    <t>60015150;60000365;100359531</t>
  </si>
  <si>
    <t>Chan A.</t>
  </si>
  <si>
    <t>A novel sialylated N-acetylgalactosamine-containing oligosaccharide is the major complex-type structure present in bowes melanoma tissue plasminogen activator</t>
  </si>
  <si>
    <t>10.1093/glycob/1.2.173</t>
  </si>
  <si>
    <t>2-s2.0-0026090578</t>
  </si>
  <si>
    <t>['symmetric low', 'phase characteristics', 'numerical method', 'new configurations', 'new circuits', 'mmic ).', 'low loss', 'highpass 3', 'find application', 'ehf band', 'diode losses', 'computer simulations', 'component parasitics', 'based upon', 'also described']</t>
  </si>
  <si>
    <t>Four different circuit configurations are proposed to design 0¬∞ - 360¬∞ wide range, low loss, loss balanced phase shifters. Each configuration utilizes 3 pin diodes. As a consequence of this work, it is straightforward to construct 180¬∞ phase shifting cells for multibit phase array antenna systems using 3 pin diodes. Operation of the new circuits is based upon the phase shifting properties of symmetric low/highpass 3-element LC ladders. Assuming the utilization of lossless pin diodes and ideal reactive elements, explicit design equations are presented. A numerical method, which includes the diode losses as well as component parasitics, is also described to design practical phase shifters with minimum balanced loss at a given operating frequency. Examples are included to exhibit the use of explicit design formulas and computer simulations are performed to analyze the loss and phase characteristics of the new circuits. It is expected that new configurations will find application in the commercial and especially military large array antenna systems over the EHF band to be implemented as Microwave Monolithic Integrated Circuits (MMIC).</t>
  </si>
  <si>
    <t>96-104</t>
  </si>
  <si>
    <t>AEU. Archiv fur Elektronik und Ubertragungstechnik</t>
  </si>
  <si>
    <t>Yarman, Binboga Siddik</t>
  </si>
  <si>
    <t>Turkey</t>
  </si>
  <si>
    <t>Istanbul</t>
  </si>
  <si>
    <t>Anadolu Science and Technology Inst</t>
  </si>
  <si>
    <t>Yarman B.</t>
  </si>
  <si>
    <t>Novel circuit configurations to design loss balanced 0¬∞ - 360¬∞ digital phase shifters</t>
  </si>
  <si>
    <t>2-s2.0-0026118856</t>
  </si>
  <si>
    <t>['several formulas', 'rf systems', 'resistive losses', 'receiving system', 'noise temperature', 'noise contributed', 'noise amplifier', 'common figure', 'combined sources', 'antenna gain']</t>
  </si>
  <si>
    <t>Several formulas and assumptions are presented that simplify the analysis of noise temperature in RF systems. In most RF systems, external noise enters through the antenna and adds to internal noise generated by the low-noise amplifier (LNA) and resistive losses from filters and couplers. The noise contributed by the antenna is generated by the sky, earth, and antenna resistive loss. A common figure of merit for a receiving system is G/T, where G is the antenna gain and T is the noise temperature of the combined sources.</t>
  </si>
  <si>
    <t>Microwaves &amp; RF</t>
  </si>
  <si>
    <t>Bokulic, Robert S.</t>
  </si>
  <si>
    <t>Bokulic R.</t>
  </si>
  <si>
    <t>Use basic concepts to determine antenna noise temperature</t>
  </si>
  <si>
    <t>2-s2.0-0026120235</t>
  </si>
  <si>
    <t>['zone plate', 'similar diffraction', 'reflection configurations', 'reduced loss', 'recent results', 'performance characteristics', 'millimeter wavelengths', 'lower efficiency', 'limited beamwidth', 'included along', 'focal length', 'focal characteristics', 'field pattern', 'axis performance']</t>
  </si>
  <si>
    <t>The performance characteristics of Fresnel zone plates are described with emphasis on applications at millimeter wavelengths. Recent results are included along with a summary from numerous earlier investigations. Parameters described include design information, efficiency, bandwidth, focal characteristics, off-axis performance, axial intensity dependence, aberrations, and far-field pattern. Both transmission and reflection configurations are discussed, mostly for cases where the focal length and diameter are comparable. This type of zone plate has advantages (compared to a lens or paraboloid) of reduced loss, weight, volume, and cost, as well as simple planar construction, with similar diffraction-limited beamwidth and major sidelobe performance, but lower efficiency. ¬© 1991 Plenum Publishing Corporation.</t>
  </si>
  <si>
    <t>195-220</t>
  </si>
  <si>
    <t>International Journal of Infrared and Millimeter Waves</t>
  </si>
  <si>
    <t>57215760313;7003519202</t>
  </si>
  <si>
    <t>Garrett, James E.;Wiltse, James C.</t>
  </si>
  <si>
    <t>Garrett J.E.</t>
  </si>
  <si>
    <t>Fresnel zone plate antennas at millimeter wavelengths</t>
  </si>
  <si>
    <t>10.1007/BF01010296</t>
  </si>
  <si>
    <t>2-s2.0-0026120258</t>
  </si>
  <si>
    <t>['used puff', 'support lecture', 'stripline circuits', 'publicly distributed', 'patch antennas', 'named puff', 'modelling techniques', 'laboratory courses', 'generate artwork', 'frequency domain', 'educational applications', 'directional couplers', 'circuit fabrication', 'capture interface', 'build filters']</t>
  </si>
  <si>
    <t>A computer-aided design program has been created to support lecture and laboratory courses in microwave circuit theory. The program, named Puff, can analyze linear microstrip and stripline circuits in the frequency domain, and can generate artwork for circuit fabrication. It is designed for use on IBM compatible personal computers and has a simple-to-use interactive schematic-capture interface. Students have used Puff to build filters, directional couplers, amplifiers, oscillators, and patch antennas. It has been publicly distributed to universities and individuals since 1987, and now has over 6000 users worldwide. The modelling techniques, capabilities, and educational applications of the program are discussed.</t>
  </si>
  <si>
    <t>13-20</t>
  </si>
  <si>
    <t>Electrosoft</t>
  </si>
  <si>
    <t>60031581;60031581</t>
  </si>
  <si>
    <t>7004317995;7102803490</t>
  </si>
  <si>
    <t>Wedge, Scott W.;Rutledge, David B.</t>
  </si>
  <si>
    <t>Wedge S.</t>
  </si>
  <si>
    <t>Computer-aided design for microwave education</t>
  </si>
  <si>
    <t>2-s2.0-0026121087</t>
  </si>
  <si>
    <t>['pole terms', 'leffler expansion', 'known also', 'image functions', 'focus size', 'current distribution']</t>
  </si>
  <si>
    <t>Biomedical application | Image method | Microwave antenna | Near field | Patch antenna | Stratified medium</t>
  </si>
  <si>
    <t>The exact image theory is applied to obtain the exact field distribution of an annular microstrip radiator over a two layered biological medium. First, the image functions for the three layer structure (substrate-skin-fat) are derived by expanding the Fourier domain reflection coefficient into a sum of pole terms, known also as the Mittag-Leffler expansion. Secondly, the current distribution on the strip is solved by using the Galerkin's method with continuous trigonometrical basis functions. In order to reduce the focus of the antenna, the dependence of the focus size on the radius of the antenna is calculated. ¬© 1991 Springer-Verlag.</t>
  </si>
  <si>
    <t>163-170</t>
  </si>
  <si>
    <t>Annales Des T√©l√©communications</t>
  </si>
  <si>
    <t>Alanen, Esko</t>
  </si>
  <si>
    <t>Alanen E.</t>
  </si>
  <si>
    <t>Analysis of the probe-fed annular microstrip antenna for hyperthermic applicators</t>
  </si>
  <si>
    <t>10.1007/BF03000720</t>
  </si>
  <si>
    <t>2-s2.0-0026124353</t>
  </si>
  <si>
    <t>['various types', 'three versions', 'spectral methods', 'gaussian interference']</t>
  </si>
  <si>
    <t>Three versions of the optimization of space-time signal processing on a background of various types of Gaussian interference are developed for mobile antennas subjected to both angular and linear spatial displacements. Optimum processing algorithms oriented towards time and spectral methods of realization are synthesized.</t>
  </si>
  <si>
    <t>112-114</t>
  </si>
  <si>
    <t>Gorban, I. I.</t>
  </si>
  <si>
    <t>Gorban I.</t>
  </si>
  <si>
    <t>Optimum space-time signal processing when the antenna is moving</t>
  </si>
  <si>
    <t>2-s2.0-0026125385</t>
  </si>
  <si>
    <t>['radiation pattern', 'phase distribution', 'desired form', 'analytical method']</t>
  </si>
  <si>
    <t>An analytical method for finding the phase distribution for a linear antenna array with a symmetrical amplitude distribution is proposed that enables a radiation pattern of desired form to be synthesized.</t>
  </si>
  <si>
    <t>132-136</t>
  </si>
  <si>
    <t>16437068800;6504406352</t>
  </si>
  <si>
    <t>Ponomarev, L. I.;Shimenkov, Yu A.</t>
  </si>
  <si>
    <t>Ponomarev L.</t>
  </si>
  <si>
    <t>Approximate analytical solution of the phase-synthesis problem for a linear antenna array</t>
  </si>
  <si>
    <t>2-s2.0-0026125530</t>
  </si>
  <si>
    <t>['transfer admittances', 'susceptance components', 'slotted antennas', 'sided transverse', 'minor axis', 'longitudinal slots', 'hyperbolic cavities', 'focal length', 'elliptical cylinder', 'elliptical cowl', 'coupling coefficient', 'body formed', 'analytical expressions']</t>
  </si>
  <si>
    <t>Analytical expressions are derived for determining the transfer admittances of one-sided transverse and longitudinal slots in a body formed by the intersection of an elliptical cylinder and hyperbolic cavities. Results of calculations of the conductance and susceptance components of the transfer admittances of transverse and longitudinal slots as a function of the position of such slots in this body, the dimensions of the minor axis, and the focal length of the elliptical cowl as well as the coupling coefficient of the slotted antennas.</t>
  </si>
  <si>
    <t>122-126</t>
  </si>
  <si>
    <t>7102485268;7004442376;6603273479</t>
  </si>
  <si>
    <t>Kravtsov, V. A.;Kravtsova, G. V.;Ulasik, O. L.</t>
  </si>
  <si>
    <t>Kravtsov V.</t>
  </si>
  <si>
    <t>Mutual effect of slotted antennas on a body of complex configuration</t>
  </si>
  <si>
    <t>2-s2.0-0026125531</t>
  </si>
  <si>
    <t>['phase synthesis', 'iteration method', 'arbitrary geometry', 'also described']</t>
  </si>
  <si>
    <t>An iteration method for the phase synthesis of planar antenna arrays of arbitrary geometry to achieve a given complex radiation pattern (DP) is described. A modification of this method is also described for application to a row-and-column-steered antenna array. Results of a phase synthesis of an element-steered and row-and-column-steered antenna array to achieve a given pencil radiation pattern with the nulls in selected angular direction are given.</t>
  </si>
  <si>
    <t>127-131</t>
  </si>
  <si>
    <t>Kondrat'yev, A. S.</t>
  </si>
  <si>
    <t>Kondrat'yev A.</t>
  </si>
  <si>
    <t>Phase synthesis of planar antenna arrays</t>
  </si>
  <si>
    <t>2-s2.0-0026125715</t>
  </si>
  <si>
    <t>['radio holograms', 'radio hologram', 'radar targets', 'image complexity']</t>
  </si>
  <si>
    <t>The assesment of the quality of restoration of a complex radio image from a discrete, sparse, radio hologram is made. Relations are derived for determining the number of necessary independant samples of the radio holograms as a function of image complexity and contrast. An analysis of such problems for a complex image consisting of a set of ‚Ä≥luminous points‚Ä≥ characteristics of radar targets in the centimeter wavelength band is given.</t>
  </si>
  <si>
    <t>76-78</t>
  </si>
  <si>
    <t>Bezguzikov, V. P.</t>
  </si>
  <si>
    <t>Bezguzikov V.</t>
  </si>
  <si>
    <t>Estimate of the quality of an image restored from a random sparse radio hologram</t>
  </si>
  <si>
    <t>2-s2.0-0026125894</t>
  </si>
  <si>
    <t>['team projects', 'taking shape', 'tackling many', 'salad bowl', 'replace today', 'potential products', 'outside organizations', 'numerous obstacles', 'national institute', 'miracle devices', 'industrial labs', 'house programs', "dishes '?", 'board radar']</t>
  </si>
  <si>
    <t>Fancy a cheap, on-board radar for your car to help avoid collisions? How about a low-cost TV satellite antenna about the size of a salad bowl to replace today's obtrusive, expensive 'dishes'? Electronics engineers envision those and many more potential products as the result of new monolithic microwave integrated circuit (MMIC) technology now taking shape in government and industrial labs. But before these miracle devices can be successfully developed commercially, there are numerous obstacles - largely measurement related - to overcome. Researchers at the National Institute of Standards and Technology are tackling many of these problems through existing in-house programs and through team projects with outside organizations.</t>
  </si>
  <si>
    <t>30-33</t>
  </si>
  <si>
    <t>NIST Special Publication</t>
  </si>
  <si>
    <t>109337918;109337918</t>
  </si>
  <si>
    <t>6508000863;7007090105</t>
  </si>
  <si>
    <t>McGehan, Fred;Henkel, John</t>
  </si>
  <si>
    <t>Thailand</t>
  </si>
  <si>
    <t>NIST</t>
  </si>
  <si>
    <t>McGehan F.</t>
  </si>
  <si>
    <t>Microwaves on a chip</t>
  </si>
  <si>
    <t>2-s2.0-0026126029</t>
  </si>
  <si>
    <t>['vector eigenfunctions', 'tem solutions', 'internal section']</t>
  </si>
  <si>
    <t>Vector eigenfunctions are used to analyze the TEM solutions for the internal section of a twin-coupled line whose boundary surfaces are described by arbitrary curvilinear orthogonal coordinates.</t>
  </si>
  <si>
    <t>137-140</t>
  </si>
  <si>
    <t>7003328397;7005549126</t>
  </si>
  <si>
    <t>Yaroshenko, A. M.;Miroshnichenko, A. Ya</t>
  </si>
  <si>
    <t>Yaroshenko A.</t>
  </si>
  <si>
    <t>Impedance of TEM-mode transmission lines</t>
  </si>
  <si>
    <t>2-s2.0-0026126037</t>
  </si>
  <si>
    <t>['zone antennas', 'spacecraft measurement', 'reflector distortion', 'polarization isolation', 'pointing requirements', 'planar near', 'paper describes', 'orbit measurements', 'measurement program', 'including alignment', 'field chamber', 'discussion focuses', 'construction techniques', 'also described']</t>
  </si>
  <si>
    <t>This paper describes the antenna system design, implementation, and measurement program for the INTELSAT VI spacecraft, which is the largest commercial communications satellite currently in orbit. Following a description of the complete antenna farm, detailed design tradeoffs and construction techniques for the hemi/zone antennas are presented. The discussion focuses on the interaction of the stringent spatial isolation, cross-polarization isolation, and pointing requirements. The extensive INTELSAT VI antenna measurement program is also described, including alignment, feed array measurement in a near-field chamber over temperature, reflector distortion over temperature, far-field range testing, system-level and spacecraft measurement in a planar near-field chamber, and in-orbit measurements.</t>
  </si>
  <si>
    <t>149-189</t>
  </si>
  <si>
    <t>COMSAT Technical Review</t>
  </si>
  <si>
    <t>100583023;100583023;100583023;100583023</t>
  </si>
  <si>
    <t>6602749753;7202107016;7102853518;7007059212</t>
  </si>
  <si>
    <t>Persinger, R. R.;Lane, S. O.;Caulfield, M. F.;Zaghloul, A. I.</t>
  </si>
  <si>
    <t>COMSAT</t>
  </si>
  <si>
    <t>Persinger R.</t>
  </si>
  <si>
    <t>INTELSAT VI antenna system</t>
  </si>
  <si>
    <t>2-s2.0-0026126151</t>
  </si>
  <si>
    <t>['repeater subsystems', 'performance data', 'key elements', 'communications subsystems', 'briefly described']</t>
  </si>
  <si>
    <t>An overview and description of the complex communications payload of the new-generation INTELSAT VI series satellites are presented. Performance data are given for the key elements of the communications subsystems. The design of the antennas and repeater subsystems are discussed in detail, and testing of the payload is briefly described.</t>
  </si>
  <si>
    <t>101-148</t>
  </si>
  <si>
    <t>60004541;60004541;60004541;60004541;60004541</t>
  </si>
  <si>
    <t>7004239223;6506707151;6504204000;6602749753;7004465295</t>
  </si>
  <si>
    <t>Horvai, G. N.;Argyle, L. A.;Ellena, T. L.;Persinger, R. R.;Mahle, C. E.</t>
  </si>
  <si>
    <t>INTELSAT</t>
  </si>
  <si>
    <t>Horvai G.</t>
  </si>
  <si>
    <t>INTELSAT VI communications subsystem design</t>
  </si>
  <si>
    <t>2-s2.0-0026126296</t>
  </si>
  <si>
    <t>['thermal subsystems', 'multiple mechanisms', 'life mass', 'individual subsystems', 'including antennas', 'deployable appendages', 'communications payload', 'attitude control', '905 kg', '570 kg', '500 kg']</t>
  </si>
  <si>
    <t>The spin-stabilized INTELSAT VI spacecraft bus is described, including overall design requirements and individual subsystems. The satellite weighs approximately 4,500 kg at launch, has a beginning-of-life mass of 2,570 kg, and an end-of-life dry mass of 1,905 kg. It is composed of spun and despun sections connected by a bearing and power transfer assembly. The despun section structure supports the communications payload (repeater and antennas) and provides the command and telemetry and thermal control functions. The spun section includes the attitude control, power, propulsion, and thermal subsystems. Deployable appendages, including antennas and a telescoping solar panel, are implemented by multiple mechanisms.</t>
  </si>
  <si>
    <t>60005304;60005304;60005304;60005304;60005304</t>
  </si>
  <si>
    <t>6506099548;7005764112;6506415466;6504706070;6507118721</t>
  </si>
  <si>
    <t>Dest, L. R.;Bouchez, J. P.;Serafini, V. R.;Schavietello, M.;Volkert, K. J.</t>
  </si>
  <si>
    <t>Dest L.</t>
  </si>
  <si>
    <t>INTELSAT VI spacecraft bus design</t>
  </si>
  <si>
    <t>2-s2.0-0026126398</t>
  </si>
  <si>
    <t>295-299</t>
  </si>
  <si>
    <t>Pronin, V. A.</t>
  </si>
  <si>
    <t>Pronin V.</t>
  </si>
  <si>
    <t>Selection of the frequency range and uniformity boundaries of a magnetic field produced in a spiral waveguide</t>
  </si>
  <si>
    <t>10.1007/BF00978807</t>
  </si>
  <si>
    <t>2-s2.0-0026207620</t>
  </si>
  <si>
    <t>['wavelength fashion', 'reaction center', 'light energy', 'green bacteria', 'experiments seem', 'energy transfer', 'chloroflexus aurantiacus']</t>
  </si>
  <si>
    <t>Bacterium chlorophyll | chlorosomes | energy transfer kinetics</t>
  </si>
  <si>
    <t>The energy transfer from the main light harvesting complex of green bacteria into the reaction center has been examined by us. The chlorosomes, which are the highly organized antenna system of green bacteria, can perform an extremely efficient capture of light energy which is converted in the reaction center and results in essential electron transfer products. We have carried out some investigations of the energy transfer kinetics in Chloroflexus aurantiacus in a two-wavelength fashion. The experiments seem to confirm previously obtained results. ¬© 1991 Indian Academy of Sciences.</t>
  </si>
  <si>
    <t>413-416</t>
  </si>
  <si>
    <t>Proceedings of the Indian Academy of Sciences - Chemical Sciences</t>
  </si>
  <si>
    <t>60031040;60019160;60031040</t>
  </si>
  <si>
    <t>6701787120;7406531143;7004029175</t>
  </si>
  <si>
    <t>P√•lsson, Lars olof;Miller, Mette;Gillbro, Tomas</t>
  </si>
  <si>
    <t>Sweden;Denmark</t>
  </si>
  <si>
    <t>Umea;Odense</t>
  </si>
  <si>
    <t>Ume√• Universitet;Syddansk Universitet</t>
  </si>
  <si>
    <t>60031040;60019160</t>
  </si>
  <si>
    <t>P√•lsson L.o.</t>
  </si>
  <si>
    <t>Energy transfer kinetics in the green bacterium Chloroflexus aurantiacus</t>
  </si>
  <si>
    <t>10.1007/BF02842100</t>
  </si>
  <si>
    <t>2-s2.0-51649154469</t>
  </si>
  <si>
    <t>['viable method', 'tm010 mode', 'small target', 'single layer', 'sealed environment', 'polycrystaline films', 'commercial application', 'based compounds', 'based compound', '90 k', '1989 )]']</t>
  </si>
  <si>
    <t>We present the design and construction of a beam steering laser-assisted deposition system (LAD) for high quality epitaxial YBaCuO superconducting thin film production suitable for commercial application. Deposition of single layer or multilayer YBaCuO superconducting thin film on large and complex surfaced substrate is now feasible. Expitaxial and polycrystaline films with onsets at 90 K having 6 K transition widths have been produced. Dome-shaped magnetic shield enclosures, microwave cavity resonant in the TM010 mode, and short dipole antennas have been fabricated. The advantages of the laser ablation deposition method [J. T. Cheung and D. T. Chueng, J. Vac. Sci. Technol. 21, 182 (1982) J are its simplicity and cleanliness. Laser ablation deposition is a viable method to produce high quality thin film of the Tl-based compound [S. H. Liou and K. D. Aylesworth, Appl. Phys. Lett. 54, 760 (1989)] by using a small target in a sealed environment which is important in handling toxic material of a Tl-based compounds. ¬© 1991 American Vacuum Society</t>
  </si>
  <si>
    <t>Journal of Vacuum Science and Technology A: Vacuum, Surfaces and Films</t>
  </si>
  <si>
    <t>116214810;60003467</t>
  </si>
  <si>
    <t>57213330087;56160287900</t>
  </si>
  <si>
    <t>Pham, Thien;Chen, K. Wendell</t>
  </si>
  <si>
    <t>Arlington;</t>
  </si>
  <si>
    <t>The University of Texas at Arlington;Interscience Technology</t>
  </si>
  <si>
    <t>60003467;116214810</t>
  </si>
  <si>
    <t>Pham T.</t>
  </si>
  <si>
    <t>Beam steering laser assisted deposition system for high-T&lt;inf&gt;c&lt;/inf&gt; superconducting thin film devices</t>
  </si>
  <si>
    <t>10.1116/1.577533</t>
  </si>
  <si>
    <t>2-s2.0-84953682187</t>
  </si>
  <si>
    <t>['¬© 1991', 'together forms', 'rights reserved', 'principal planes', 'output power', 'novel cpw', 'multilayer probe', 'insertion loss', 'electrical engineers', 'device couples', 'design frequency', '36 ¬∞', '17 db', '13 db']</t>
  </si>
  <si>
    <t>Antennas | Striplines and stripline components | Waveguides</t>
  </si>
  <si>
    <t>A novel CPW-to-stripline post coupler is demonstrated. This device couples the output power from a coax-to-CPW inphase seven-way radial power divider to a balanced stripline line stretcher and together forms a multilayer probe- type feed network. The feed network excites a seven patch hexagonal circularly polarised (CP) subarray. The measured return loss and insertion loss of the coupler arc better than 17 dB and 0 25 dB at the design frequency of 2 875 GHz. The measured on-axis axial ratio for the left hand circular polarisation (LHCP) is 1 5 dB and the 3dB beam widths are 36¬∞ in the principal planes of the subarray. The gain of the subarray is 13 dB. The input return loss of the subarray is better than l0dB. ¬© 1991, The Institution of Electrical Engineers. All rights reserved.</t>
  </si>
  <si>
    <t>533-535</t>
  </si>
  <si>
    <t>60026717;60026717;60026717</t>
  </si>
  <si>
    <t>7202166511;24522606100;6506487516</t>
  </si>
  <si>
    <t>Simons, R. N.;Lee, R. Q.;Lindamood, G. R.</t>
  </si>
  <si>
    <t>Cleveland</t>
  </si>
  <si>
    <t>NASA Glenn Research Center</t>
  </si>
  <si>
    <t>Simons R.</t>
  </si>
  <si>
    <t>New coplanar waveguide/stripline feed network for seven patch hexagonal CP subarray</t>
  </si>
  <si>
    <t>10.1049/el:19910336</t>
  </si>
  <si>
    <t>2-s2.0-0026117869</t>
  </si>
  <si>
    <t>['¬© 1991', 'rights reserved', 'radiating edge', 'nonradiating edge', 'mutual coupling', 'experimentally investigated', 'electrical engineers']</t>
  </si>
  <si>
    <t>The mutual coupling between two electromagnetically coupled rectangular patch antennas was experimentally investigated. Results are given for both radiating edge (E- plane) coupling and nonradiating edge (H-plane) coupling and for wideband as well as high gain regions.R. Q. LEE. ¬© 1991, The Institution of Electrical Engineers. All rights reserved.</t>
  </si>
  <si>
    <t>532-533</t>
  </si>
  <si>
    <t>60026717;60021624;60021624</t>
  </si>
  <si>
    <t>24522606100;6602793643;7501501369</t>
  </si>
  <si>
    <t>Lee, R. Q.;Talty, T.;Lee, K. F.</t>
  </si>
  <si>
    <t>Cleveland;Toledo</t>
  </si>
  <si>
    <t>NASA Glenn Research Center;The University of Toledo</t>
  </si>
  <si>
    <t>60026717;60021624</t>
  </si>
  <si>
    <t>Lee R.</t>
  </si>
  <si>
    <t>Mutual coupling between electromagnetically coupled rectangular patch antennas</t>
  </si>
  <si>
    <t>10.1049/el:19910335</t>
  </si>
  <si>
    <t>2-s2.0-0026118951</t>
  </si>
  <si>
    <t>['¬© 1991', 'typical results', 'stationery office', 'rights reserved', 'fed array', 'crown published']</t>
  </si>
  <si>
    <t>Microwave devices and components | Phase shifters</t>
  </si>
  <si>
    <t>Electronic beam steering using a space-fed array of antenna coupled phase shifters is reported. The principle of phase shifter operation is described, and typical results are presented. ¬© 1991, Crown. Published with the permission of the Controller of Her Majesty&amp;s Stationery Office. ¬© 1991, Crown Published with the permission of the Controller of Her Majesty's Stationery Office. All rights reserved.</t>
  </si>
  <si>
    <t>491-492</t>
  </si>
  <si>
    <t>60026242;60026242;100548955;100548955</t>
  </si>
  <si>
    <t>6506016800;6602683121;57212659253;7405936696</t>
  </si>
  <si>
    <t>Backhouse, P. M.;Apsley, N.;Rogers, C.;Jones, S.</t>
  </si>
  <si>
    <t>Salisbury;Stockport</t>
  </si>
  <si>
    <t>Defence Science and Technology Laboratory;Philips Microwave</t>
  </si>
  <si>
    <t>60026242;100548955</t>
  </si>
  <si>
    <t>Backhouse P.M.</t>
  </si>
  <si>
    <t>Antenna-coupled microwave phase shifters using gAaS varactors</t>
  </si>
  <si>
    <t>10.1049/el:19910309</t>
  </si>
  <si>
    <t>2-s2.0-0026119303</t>
  </si>
  <si>
    <t>['¬© 1991', 'tomato lhci', 'similar positions', 'sequence motifs', 'lhci polypeptides', 'high similarity', 'gene cloning', 'encode proteins', 'conserved regions', 'chromosome 6', 'chromosome 3', '250 residues']</t>
  </si>
  <si>
    <t>Chlorophyll a/b-(CAB) protein | Gene, cab11 | Gene, cab12 | Lycopersicon | Photosystem I light-harvesting complex</t>
  </si>
  <si>
    <t>Tryptic peptide sequences from the 22 kDa polypeptide of tomato LHCI were used to construct a probe for gene cloning. The two genes cloned, cab11 and cab12, encode proteins of 251 and 250 residues that are 88% identical in overall amino acid sequence and 93% identical in the deduced mature protein. Each gene is present in a single copy per haploid genome; cab11 on chromosome 3 and cab12 on chromosome 6, and each has 2 introns located in similar positions to introns in other members of the Chl a/b-binding (CAB) protein gene family. Comparison of the amino acid sequences of LHCI, LHCII, CP29 and CP24 polypeptides confirms that all CABs share two regions of very high similarity which include the first and third transmembrane helices and the stroma-exposed sequences preceding them. However, near the N-terminus and between the conserved regions, the LHCI polypeptides have sequence motifs which appear to be PSI-specific. ¬© 1991.</t>
  </si>
  <si>
    <t>229-234</t>
  </si>
  <si>
    <t>60025778;60010365;60010365;60025778;60025778;60010365</t>
  </si>
  <si>
    <t>7201902183;7401738353;36066918700;7402677681;7005046349;7401825069</t>
  </si>
  <si>
    <t>Schwartz, Egbert;Shen, Dingren;Aebersold, Ruedi;McGrath, J. Mitchell;Pichersky, Eran;Green, Beverley R.</t>
  </si>
  <si>
    <t>Ann Arbor;Vancouver</t>
  </si>
  <si>
    <t>University of Michigan, Ann Arbor;The University of British Columbia</t>
  </si>
  <si>
    <t>60025778;60010365</t>
  </si>
  <si>
    <t>Schwartz E.</t>
  </si>
  <si>
    <t>Nucleotide sequence and chromosomal location of Cab11 and Cab12, the genes for the fourth polypeptide of the photosystem I light-harvesting antenna (LHCI)</t>
  </si>
  <si>
    <t>001457939180299I</t>
  </si>
  <si>
    <t>10.1016/0014-5793(91)80299-I</t>
  </si>
  <si>
    <t>2-s2.0-0026092415</t>
  </si>
  <si>
    <t>RIKEN</t>
  </si>
  <si>
    <t>['¬© 1991', 'uncharacterized subunits', 'two formerly', 'tightly bound', 'protease treatment', 'latter protein', 'internal sequence', 'core complex', '9 kda', '14 kda']</t>
  </si>
  <si>
    <t>Photosystem I | Protein sequence | Spinach</t>
  </si>
  <si>
    <t>Two formerly-uncharacterized subunits of 9 kDa and 14 kDa were found in spinach PSI complex. The 9 kDa subunit was released upon removal of antenna chlorophyll complex, whereas the 14 kDa subunit was tightly bound to the core complex. We determined the N-terminal amino acid sequence of the 9 kDa, and an internal sequence of the 14 kDa subunit after protease treatment, since the N-terminus of the latter protein was blocked. These partial sequences suggested that both subunits are new PSI components. ¬© 1991.</t>
  </si>
  <si>
    <t>332-334</t>
  </si>
  <si>
    <t>60021116;60021116</t>
  </si>
  <si>
    <t>16740039200;7406182359</t>
  </si>
  <si>
    <t>Ikeuchi, Masahiko;Inoue, Yorinao</t>
  </si>
  <si>
    <t>Wako</t>
  </si>
  <si>
    <t>RIKEN (The Institute of Physical and Chemical Research)</t>
  </si>
  <si>
    <t>Ikeuchi M.</t>
  </si>
  <si>
    <t>Two new components of 9 and 14 kDa from spinach photosystem I complex</t>
  </si>
  <si>
    <t>001457939180324V</t>
  </si>
  <si>
    <t>10.1016/0014-5793(91)80324-V</t>
  </si>
  <si>
    <t>2-s2.0-0026092418</t>
  </si>
  <si>
    <t>DMB 87-18078</t>
  </si>
  <si>
    <t>['within 10', 'wavelengths studied', 'two photosystems', 'turnover flashes', 'structural organization', 'strong absorption', 'single size', 'single cell', 'shorter wavelengths', 'saturation characteristics', 'rights reserved', 'reaction center', 'rc stoichiometries', 'ratio vary', 'ps size', 'ps ii', 'ps ),', 'poissonian curves', 'photon capture', 'optical means', 'o2 evolution', 'irradiance levels', 'greater decrease', 'first time', 'energy harvesting', 'either photosystem', 'e .,', 'dependent properties', 'cross sections', 'chl b', 'cells grown', 'best studied', 'area available', 'also measured', 'absorbed photons', '723 nm']</t>
  </si>
  <si>
    <t>(Chlorella) | Antenna | Chlorophyll | Optical cross section | Photosynthetic unit | Photosystem | Reaction center</t>
  </si>
  <si>
    <t>The number of antenna chlorophyll molecules transferring the energy of absorbed photons to the reaction center of either photosystem (PS) II or PS I (i.e., the 'size' of the PS), the numbers of RCII and I, and the Chl b/a ratio vary with growth irradiance level to optimize the efficiency of energy harvesting and utilization. The effects of photoadaptation on structural organization are best studied by methods measuring size-dependent properties in vivo. The effective optical cross-section, œÉ, or area available for photon capture, determined from the light-saturation characteristics of PS-specific signals following single-turnover flashes, provides this information. In these experiments, œÉ of PS II was calculated from the light-saturation of O2 evolution, and that of PS I from the amplitude of a post-illumination respiratory oscillation. Cells grown under different irradiance levels were probed at wavelengths where both Chl a + b or only Chl a absorb. RC stoichiometries, Chl b/a ratios, and the in vivo absorption œÉ per chlorophyll were also measured. At all wavelengths studied, cross sections of both PS II and PS I were fit to a single size; deviation from Poissonian curves in regions of strong absorption were the result of absorption of actinic radiation within a single cell and not of heterogeneity of PS size. The yield of O2 evolution following flashes at 723 nm was within 10% of that at shorter wavelengths. Photoadaptation to high light resulted in a greater decrease in the number of RCI than of RCII and in a decreased Chl b/a ratio in PS II. For all irradiance levels, the sum of the number of RC's times the number of chlorophylls per PS for PS II and PS I equals (¬±15%) the total extractable Chl/cell; therefore, to our knowledge for the first time, and by optical means, all chlorophyll can be assigned to the two photosystems. ¬© 1991 Elsevier Science Publishers B.V. All rights reserved.</t>
  </si>
  <si>
    <t>195-207</t>
  </si>
  <si>
    <t>60026827;60026827</t>
  </si>
  <si>
    <t>7003281473;7005034241</t>
  </si>
  <si>
    <t>Greenbaum, Nancy L.;Mauzerall, David</t>
  </si>
  <si>
    <t>Rockefeller University</t>
  </si>
  <si>
    <t>Greenbaum N.L.</t>
  </si>
  <si>
    <t>Effect of irradiance level on distribution of chlorophylls between PS II and PS I as determined from optical cross-sections</t>
  </si>
  <si>
    <t>S0005272805801021</t>
  </si>
  <si>
    <t>10.1016/S0005-2728(05)80102-1</t>
  </si>
  <si>
    <t>2-s2.0-0025973559</t>
  </si>
  <si>
    <t>['¬© 1991', 'two c', 'strain ok', 'rights reserved', 'resonance raman', 'references therein', 'preparations gave', 'neighbouring chlorin', 'mixed six', 'mg ion', 'fivefold ligation', 'direct interaction', 'dimensional structure', 'cycle reveals', 'coordinated state', 'containing chlorosomes', 'chloroflexus aurantiacus', 'chlorin macro', 'bound c', 'bchl c', 'bacteriochlorophyll c', 'axial ligand', 'antenna complexes', '1990 ),', '1750 cm']</t>
  </si>
  <si>
    <t>Bacteriochlorophyll c | Chloroflexus aurantiacus | Chlorosome</t>
  </si>
  <si>
    <t>Protein-free and protein-containing chlorosomes from Chloroflexus aurantiacus, strain Ok-70 were studied by resonance Raman (RR) spectroscopy. Both preparations gave the same spectra of the bacteriochlorophyll c (BChl c) chromophores in the range of 1200-1750 cm'1. This strongly corroborates previous evidence [Griebenow et al., Z. Naturforsch. 45c, 823‚Äì828 (1990), and references therein] that the three-dimensional structure of the antenna complexes is not determined by direct interaction with protein but rather is due to BChl c self-organization. The analysis of the coordination-sensitive marker bands of the chlorin macro-cycle reveals a mixed six- and fivefold ligation of the Mg ion. Based on two C=0 stretching vibrations originating from a free and a Mg-bound C-9 keto group, it is concluded that only in the six-coordinated state the keto group serves as an axial ligand to the Mg ion of a neighbouring chlorin. The second permanently bound axial ligand is attributed to the C-2a hydroxyl group. ¬© 1991, Verlag der Zeitschrift f√ºr Naturforschung. All rights reserved.</t>
  </si>
  <si>
    <t>228-232</t>
  </si>
  <si>
    <t>Zeitschrift fur Naturforschung - Section C Journal of Biosciences</t>
  </si>
  <si>
    <t>60072285;60072285;60072285;60072285</t>
  </si>
  <si>
    <t>55973983500;36796558900;35501122300;7006711511</t>
  </si>
  <si>
    <t>Hildebrandt, Peter;Griebenow, Kai;Holzwarth, Alfred R.;Schaffner, Kurt</t>
  </si>
  <si>
    <t>Hildebrandt P.</t>
  </si>
  <si>
    <t>Resonance Raman Spectroscopic Evidence for the Identity of the Bacteriochlorophyll c Organization in Protein-Free and Protein-Containing Chlorosomes from Chloroflexus aurantiacus*</t>
  </si>
  <si>
    <t>10.1515/znc-1991-3-412</t>
  </si>
  <si>
    <t>2-s2.0-0000052790</t>
  </si>
  <si>
    <t>GM36236</t>
  </si>
  <si>
    <t>['¬© 1991', 'yields via', 'step one', 'respective octa', 'flask room', 'benzyloxy porphyrins']</t>
  </si>
  <si>
    <t>2,6-di- and 2,4,6-tri-benzyloxybenzaldehydes are converted to the respective octa- and dodeca-benzyloxy porphyrins in 9-52% yields via the two-step one-flask room-temperature porphyrin synthesis. ¬© 1991.</t>
  </si>
  <si>
    <t>1703-1706</t>
  </si>
  <si>
    <t>Tetrahedron Letters</t>
  </si>
  <si>
    <t>60027950;60027950;60027950;60027950</t>
  </si>
  <si>
    <t>7404298607;11141544300;11139599300;7201528924</t>
  </si>
  <si>
    <t>Wagner, Richard W.;Ruffing, James;Breakwell, Bradly V.;Lindsey, Jonathan S.</t>
  </si>
  <si>
    <t>Pittsburgh</t>
  </si>
  <si>
    <t>Carnegie Mellon University</t>
  </si>
  <si>
    <t>Wagner R.</t>
  </si>
  <si>
    <t>Synthesis of facially-encumbered porphyrins. An approach to light-harvesting antenna complexes</t>
  </si>
  <si>
    <t>S0040403900743085</t>
  </si>
  <si>
    <t>10.1016/S0040-4039(00)74308-5</t>
  </si>
  <si>
    <t>2-s2.0-0025965413</t>
  </si>
  <si>
    <t>['systematic design', 'secondary information', 'rotating machinery', 'practical use', 'monitoring viz', 'mass balancing', 'include cases', 'diagnostic system', 'categorized according', 'bearing diagnostics', 'basic principles']</t>
  </si>
  <si>
    <t>Some basic principles for vibration based diagnostics are developed. These concern themselves with monitoring viz. identification. The availability of signal generation models vs use of primary/secondary information will dictate the practical use of the technology. The possibility of a systematic design of the diagnostic system is shown by interrelation between the various phases involved. Specific case histories are discussed and categorized according to the basic principles developed. These include cases of tool wear monitoring, bearing diagnostics, Nearest Neighbour classification, determination of dynamic bearing parameters and mass balancing of rotating machinery.</t>
  </si>
  <si>
    <t>136-143</t>
  </si>
  <si>
    <t>Condition monitoring and diagnostic technology</t>
  </si>
  <si>
    <t>Braun, S.</t>
  </si>
  <si>
    <t>Braun S.</t>
  </si>
  <si>
    <t>Vibration based diagnostics</t>
  </si>
  <si>
    <t>2-s2.0-0026136726</t>
  </si>
  <si>
    <t>['transmission properties', 'technique combines', 'presented demonstrating', 'numerical implementation', 'material filling', 'finite element', 'dimensional slot', 'arbitrary shape', 'aperture fields', 'also provide']</t>
  </si>
  <si>
    <t>A hybrid numerical technique for a characterization of the scattering and transmission properties of a three-dimensional slot in a thick conducting plane is presented. The technique combines the finite element and boundary integral methods to formulate a system for the solution of the aperture fields and by virtue of the finite element method, it is applicable to inhomogeneously filled slots of arbitrary shape. The numerical implementation is described for the edge-based expansion functions associated with rectangular brick elements, and examples are presented demonstrating the validity, versatility, and capability of the technique. These also provide some understanding of the slot's scattering and transmission properties as a function of its geometry and material filling.</t>
  </si>
  <si>
    <t>543-550</t>
  </si>
  <si>
    <t>Jin J.</t>
  </si>
  <si>
    <t>Electromagnetic scattering by and transmission through a three-dimensional slot in a thick conducting plane</t>
  </si>
  <si>
    <t>10.1109/8.81469</t>
  </si>
  <si>
    <t>2-s2.0-0026137965</t>
  </si>
  <si>
    <t>['theoretical results', 'measurement range', 'flat environment', 'experimental data', '900 mhz', '2 km', '1700 mhz']</t>
  </si>
  <si>
    <t>900 and 1700 MHz signal attenuation experiments were conducted in an open, near-flat environment in order to examine the validity of the plane earth radiowave propagation model. Specifically, experimental data was compared with theoretically calculated values in terms of breakpoints, maxima, and minima. The measurement range was limited to below 2 km and low base station antenna heights were considered. Antennas were mounted at 6 m and 9 m at 900 MHz and 4 m, 6 m, and 9 m at 1700 MHz. In general, it was found that the experimental results demonstrated good agreement with the theoretical results at both frequencies. These observations will have impacts on the microcellular system design in the two frequency bands and a discussion on some of the implications is provided.</t>
  </si>
  <si>
    <t>84-92</t>
  </si>
  <si>
    <t>British Telecom technology journal</t>
  </si>
  <si>
    <t>57214299062;57197968923</t>
  </si>
  <si>
    <t>Chia, S. T.S.;Snow, P.</t>
  </si>
  <si>
    <t>Chia S.T.S.</t>
  </si>
  <si>
    <t>Low base station antenna radiowave propagation measurements at 900 MHz and 1700 MHz on flat, open terrain</t>
  </si>
  <si>
    <t>2-s2.0-0026140232</t>
  </si>
  <si>
    <t>['uniform illumination', 'circular apertures', 'also given']</t>
  </si>
  <si>
    <t>A derivation for the maximum off-boresight of a constant-width, variable-length rectangular aperture is presented. Also given are derivations for circular apertures, one with uniform illumination, and the other with an optimum tapered illumination.</t>
  </si>
  <si>
    <t>Howell, James M.</t>
  </si>
  <si>
    <t>Howell J.</t>
  </si>
  <si>
    <t>Antenna designer's notebook--Maximum off-boresight gain, revisited</t>
  </si>
  <si>
    <t>10.1109/74.88190</t>
  </si>
  <si>
    <t>2-s2.0-0026141412</t>
  </si>
  <si>
    <t>['varying nature', 'varying equations', 'time maneuver', 'spacecraft consisting', 'rigid platform', 'predetermined lines', 'mission consists', 'inertial space', 'elastic vibration', 'decentralized control']</t>
  </si>
  <si>
    <t>This paper is concerned with the decentralized control of spacecraft consisting of a rigid platform and retargetable flexible antennas. The mission consists of a minimum-time maneuver of the antennas to coincide with predetermined lines of sight, while stabilizing the platform in an inertial space and suppressing the elastic vibration of the antennas. The system is modeled by a set of linearized, time-varying equations of motion. A discrete-time approach permits consideration of the time-varying nature of the system in designing the digital control law. A new decentralized control technique called Substructure-Decentralized Control is presented and compared to a direct output feedback control scheme. Results from numerical examples involving a spacecraft with a single flexible antenna are presented.</t>
  </si>
  <si>
    <t>249-269</t>
  </si>
  <si>
    <t>Journal of the Astronautical Sciences</t>
  </si>
  <si>
    <t>7006625401;7004373066</t>
  </si>
  <si>
    <t>France, Martin E.B.;Meirovitch, Leonard</t>
  </si>
  <si>
    <t>France M.</t>
  </si>
  <si>
    <t>Discrete-time decentralized control of spacecraft with retargetable flexible antennas</t>
  </si>
  <si>
    <t>2-s2.0-0026141526</t>
  </si>
  <si>
    <t>['figures utilized', 'emission sources', 'comparative study']</t>
  </si>
  <si>
    <t>A comparative study is carried out on a group of figures for the arrangement of signal receiving points that are used to determine the coordinates of acoustic-emission sources. Coefficients are proposed that characterize the figures and the methods of calculating them; results are presented for the figures in the study. In the case of figures utilized for the inspection of objects having a large surface area, the dependence of the number of figures on the number of signal receiving points is given.</t>
  </si>
  <si>
    <t>533-537</t>
  </si>
  <si>
    <t>The Soviet journal of nondestructive testing</t>
  </si>
  <si>
    <t>60026327;60026327</t>
  </si>
  <si>
    <t>7203084073;6603748718</t>
  </si>
  <si>
    <t>Anisimov, V. K.;Kasatkin, E. A.</t>
  </si>
  <si>
    <t>Russian Scientific Research Institute of Aviation Materials</t>
  </si>
  <si>
    <t>Anisimov V.</t>
  </si>
  <si>
    <t>Comparative evaluation of receiving antennas for determining the coordinates of acoustic-emission sources</t>
  </si>
  <si>
    <t>2-s2.0-0026142588</t>
  </si>
  <si>
    <t>['rectangular slot', 'plane screen', 'model calculations', 'equivalence principles']</t>
  </si>
  <si>
    <t>A procedure is developed for calculating the intensity of the electro-magnetic field transmitted through a rectangular slot in a plane screen in the resonant frequency region. The equivalence principles and the method of moments are used to carry out model calculations for an electrically thin superconducting screen for different slot geometries.</t>
  </si>
  <si>
    <t>6507977434;6504268844</t>
  </si>
  <si>
    <t>Starkhov, G. V.;Apollonskiy, S. M.</t>
  </si>
  <si>
    <t>Starkhov G.</t>
  </si>
  <si>
    <t>Calculation of the penetration of an electromagnetic field through a rectangular slot in a plane screen in the resonant frequency region</t>
  </si>
  <si>
    <t>2-s2.0-0026143591</t>
  </si>
  <si>
    <t>['unique ability', 'terrain following', 'terrain clearance', 'terrain avoidance', 'target tracking', 'slotted flat', 'plate arrays', 'perform air', 'often simultaneously', 'ground mapping', 'doppler monopulse', 'aircraft must', 'air pulse']</t>
  </si>
  <si>
    <t>Modern military aircraft must perform a variety of missions, often simultaneously, and the antennas for these aircraft must be versatile. For this reason, slotted flat-plate arrays, with their unique ability to divide available apperture space among several antenna requirements, have become increasingly popular. With recent design innovations, a single multimode antenna can now perform air-to-air pulse-Doppler monopulse, ground mapping, terrain following, terrain clearance, terrain avoidance, weapons transponder tracking, and ground-target tracking.</t>
  </si>
  <si>
    <t>100872795;100872795;100872795</t>
  </si>
  <si>
    <t>55432550900;7101947860;7003366905</t>
  </si>
  <si>
    <t>Cross, John;Collier, Don;Goldstone, Len</t>
  </si>
  <si>
    <t>Norwalk</t>
  </si>
  <si>
    <t>Norden Systems, Inc</t>
  </si>
  <si>
    <t>Cross J.</t>
  </si>
  <si>
    <t>Single slotted array achieves multimode performance</t>
  </si>
  <si>
    <t>2-s2.0-0026143729</t>
  </si>
  <si>
    <t>['open ends', 'antenna arrays']</t>
  </si>
  <si>
    <t>A procedure is proposed for solving inverse problems of the design of antenna arrays from the open ends of waveguides. The results of calculations are analyzed for these antennas.</t>
  </si>
  <si>
    <t>121-123</t>
  </si>
  <si>
    <t>6506791400;6507214069</t>
  </si>
  <si>
    <t>Ryapolov, V. V.;Fidorenko, V. M.</t>
  </si>
  <si>
    <t>Ryapolov V.</t>
  </si>
  <si>
    <t>Synthesis of antenna arrays from the open ends of waveguides</t>
  </si>
  <si>
    <t>2-s2.0-0026143773</t>
  </si>
  <si>
    <t>['widely used', 'various types', 'type repeaters', 'theoretical analysis', 'standard solutions', 'passive repeaters', 'passive refraction', 'many publications', 'devices finding', 'described one', 'common use']</t>
  </si>
  <si>
    <t>Many publications have been devoted to a theoretical analysis of various types of passive repeaters for radio relay links (RRL), although the devices finding most common use in practice are obstacle or reflector-type repeaters. All designers encounter situations when standard solutions are not acceptable. In such cases, existing repeater designs that have not been widely used in the past become attractive. In this paper we described one such design: a passive refraction-type repeater constructed from commercially-manufactured reflector antennas interconnected by circular waveguide sections.</t>
  </si>
  <si>
    <t>25-28</t>
  </si>
  <si>
    <t>7103246547;6505969678;6507589065;6701715041</t>
  </si>
  <si>
    <t>Gavrilov, A. D.;Litinskiy, O. A.;Nepomnyashchiy, I. L.;Yampol'skiy, V. G.</t>
  </si>
  <si>
    <t>Gavrilov A.</t>
  </si>
  <si>
    <t>Use of reflector antennas for passive signal retransmission</t>
  </si>
  <si>
    <t>2-s2.0-0026143874</t>
  </si>
  <si>
    <t>['standard antenna', 'separate reception', 'contravariant components', 'block diagram']</t>
  </si>
  <si>
    <t>It is shown that by using the contravariant components of an analyzed signal obtained from the traditional covariant components it is possible to formulate an optimum orthogonalization routine for separate reception of two nonorthogonally polarized signals. The resulting analytic expressions are realized as a block diagram of radio devices based on standard antenna-feeder circuit elements.</t>
  </si>
  <si>
    <t>101-103</t>
  </si>
  <si>
    <t>6507943684;6701741465</t>
  </si>
  <si>
    <t>Bannova, Ye V.;Frantsuzov, A. D.</t>
  </si>
  <si>
    <t>Bannova Y.</t>
  </si>
  <si>
    <t>Method of orthogonilizing spatial nonorthogonally polarized radio signals</t>
  </si>
  <si>
    <t>2-s2.0-0026143914</t>
  </si>
  <si>
    <t>['values obtained', 'symmetrical elements', 'phase shifts', 'output voltage', 'noise level', 'minimum sensitivity', 'attainable suppression']</t>
  </si>
  <si>
    <t>It is shown that the variation in the noise level at the antenna array output may be used as a measure of the attainable suppression of noise, before adaptation, in the course of variations in the phase shifts by the amount of one discrete element in a pair of symmetrical elements with minimum sensitivity of the output voltage to the variations in the phase shifts indicated. The values obtained are compared with the results of modeling</t>
  </si>
  <si>
    <t>107-109</t>
  </si>
  <si>
    <t>6602516364;12243765400</t>
  </si>
  <si>
    <t>Nezlin, D. V.;Dzhigan, V. I.</t>
  </si>
  <si>
    <t>Nezlin D.</t>
  </si>
  <si>
    <t>Practical suppression of noise in the case of discrete phase adaptation of an antenna array with the help of successive coordinate gradient descent</t>
  </si>
  <si>
    <t>2-s2.0-0026143968</t>
  </si>
  <si>
    <t>['widely used', 'rectilinear conductors', 'periodically connected', 'lumped loads', 'feeder techniques', 'enable us', 'electromagnetic properties', 'dense arrays', 'array conductors', 'analytical form', 'also vary']</t>
  </si>
  <si>
    <t>Dense arrays of rectilinear conductors having reflection, polarizations, slow-wave, and frequency-selectivity properties depending on the ratio of the dimensions of the arrays are widely used in antenna-feeder techniques. If lumped loads are periodically connected to the array conductors, the properties of the arrays will also vary as a function of the values of such loads. Averaged boundary conditions and impedance boundary conditions that enable us to describe the properties of such arrays in analytical form are used to analyze the electromagnetic properties of such arrays.</t>
  </si>
  <si>
    <t>28-31</t>
  </si>
  <si>
    <t>Dvurechenskiy, V. D.</t>
  </si>
  <si>
    <t>Boundary conditions for dense arrays of periodically loaded rectilinear conductors</t>
  </si>
  <si>
    <t>2-s2.0-0026144050</t>
  </si>
  <si>
    <t>['western part', 'study includes', 'species occurs', 'new species', 'egg morphology', 'branchipus cortesi', 'also discussed', 'abdominal segments']</t>
  </si>
  <si>
    <t>Anostraca | biogeography | Branchipus | ecology | Spain | taxonomy</t>
  </si>
  <si>
    <t>Branchipus cortesi, n. sp. (Anostraca, Branchipodidae) is characterized by the broadly enlarged distal segments of male antenna 2, and a combination of morphological features concerning thoracic limbs, abdominal segments and egg morphology. The species occurs in temporary fresh water bodies in flatlands with temperate Mediterranean climate; it is distributed in the south-western part of Spain. Our study includes a morphological analysis using optical and scanning electronic microscopes. Questions about ecology and distribution of the new species are also discussed. ¬© 1991 Kluwer Academic Publishers.</t>
  </si>
  <si>
    <t>60001576;60001576</t>
  </si>
  <si>
    <t>35204844800;7004718892</t>
  </si>
  <si>
    <t>Alonso, M.;Jaume, D.</t>
  </si>
  <si>
    <t>Universitat de Barcelona</t>
  </si>
  <si>
    <t>Alonso M.</t>
  </si>
  <si>
    <t>Branchipus cortesi n. sp.: a new anostracan from western Spain (Crustacea, Branchiopoda)</t>
  </si>
  <si>
    <t>10.1007/BF00026004</t>
  </si>
  <si>
    <t>2-s2.0-0026302731</t>
  </si>
  <si>
    <t>338-345</t>
  </si>
  <si>
    <t>7006198109;55354871700;36949468200</t>
  </si>
  <si>
    <t>Gershman, A. B.;Turchin, V. I.;Ugrinovskii, R. A.</t>
  </si>
  <si>
    <t>Gershman A.</t>
  </si>
  <si>
    <t>A statistical analysis of the performance of nonlinear methods of determining the angular coordinates of sources in antenna arrays with unknown global geometry</t>
  </si>
  <si>
    <t>10.1007/BF01080768</t>
  </si>
  <si>
    <t>2-s2.0-34249834090</t>
  </si>
  <si>
    <t>['wave antenna', 'theoretical analysis', 'planar antenna', 'numerical calculation', 'measured performances', 'experimental study', 'aperture area']</t>
  </si>
  <si>
    <t>Admittance surface | Conductor modulating | Periodic structure | Planar antenna</t>
  </si>
  <si>
    <t>A novel planar leaky-wave antenna of conductor modulating periodic structure for millimeter wave application is proposed. Using the theory of two-dimensional periodic admittance surface, theoretical analysis, numerical calculation and experimental study are carried out for this kind of antenna. A planar antenna of conductor modulating periodic structure is realized in 8mm wave band. It has an aperture area of 90√ó90mm2. The measured performances of the antenna are good. ¬© 1991 Science Press.</t>
  </si>
  <si>
    <t>147-153</t>
  </si>
  <si>
    <t>60025761;60025761;60025761</t>
  </si>
  <si>
    <t>24788983000;16032223000;36884534100</t>
  </si>
  <si>
    <t>Shengmin, Liu;Tianlin, Dong;Ming, Yu</t>
  </si>
  <si>
    <t>Wuhan</t>
  </si>
  <si>
    <t>Huazhong University of Science and Technology</t>
  </si>
  <si>
    <t>Shengmin L.</t>
  </si>
  <si>
    <t>A planar antenna of conductor modulating periodic structure</t>
  </si>
  <si>
    <t>10.1007/BF02778774</t>
  </si>
  <si>
    <t>2-s2.0-51649155048</t>
  </si>
  <si>
    <t>['¬© 1991', 'octupole improves', 'mirror distance', 'microwave launcher', 'little effect', 'field configuration', 'experimental results']</t>
  </si>
  <si>
    <t>Experimental results are shown for the yield of high charge state ions depending on the field configuration and the type of microwave launcher. The presence of an octupole improves the yield by a factor of 8. A tandem mirror configuration improves the yield by a factor of 7. A multifilar helical antenna on the magnetic axis improves the yield by a factor of 2. Extension of the mirror distance, with the mirror ratio kept unchanged, has little effect on the yield. ¬© 1991.</t>
  </si>
  <si>
    <t>296-299</t>
  </si>
  <si>
    <t>0168583X</t>
  </si>
  <si>
    <t>Nuclear Inst. and Methods in Physics Research, B</t>
  </si>
  <si>
    <t>Ishii, Shigeyuki</t>
  </si>
  <si>
    <t>Riken</t>
  </si>
  <si>
    <t>Ishii S.</t>
  </si>
  <si>
    <t>Improvement of an ECR multicharged ion source</t>
  </si>
  <si>
    <t>0168583X9196180S</t>
  </si>
  <si>
    <t>10.1016/0168-583X(91)96180-S</t>
  </si>
  <si>
    <t>2-s2.0-5244316467</t>
  </si>
  <si>
    <t>['¬© 1991', 'tm01 mode', 'radiation characteristics', 'green function', 'fourier domain', 'fields radiated', 'electrical engineers', 'directivity function', 'cylindrical arrays', 'crosspolarisation level', 'arrays excited']</t>
  </si>
  <si>
    <t>A model for analysis of the radiation characteristics of cylindrical arrays of microstrip rectangular patches is presented. The model is based on the Green function for the multilayered structure calculated in the Fourier domain. The fields radiated by the array are calculated through an asymptotic expression obtained by the application of the stationary phase method. Radiation characteristics such as the directivity function, the ripple and the crosspolarisation level are discussed for arrays excited in the TM01 mode. ¬© 1991, The Institution of Electrical Engineers.</t>
  </si>
  <si>
    <t>778-780</t>
  </si>
  <si>
    <t>60012729;60070415;60021657;60021657</t>
  </si>
  <si>
    <t>57194926889;6601979386;57194927779;7102326854</t>
  </si>
  <si>
    <t>da Silva, A. M.;Lumini, F.;da Lacava, S. J.C.;Richards, F. P.</t>
  </si>
  <si>
    <t>Brazil;Brazil;Brazil</t>
  </si>
  <si>
    <t>Sao Jose dos Campos;Sao Jose dos Campos;Sao Jose dos Campos</t>
  </si>
  <si>
    <t>Embraer - Empresa Brasileira de Aeron√°utica SA;Instituto Tecnologico de Aeronautica;Instituto Nacional de Pesquisas Espaciais</t>
  </si>
  <si>
    <t>60070415;60021657;60012729</t>
  </si>
  <si>
    <t>da Silva A.</t>
  </si>
  <si>
    <t>Analysis of cylindrical arrays of microstrip rectangular patches</t>
  </si>
  <si>
    <t>10.1049/el:19910485</t>
  </si>
  <si>
    <t>2-s2.0-0026140326</t>
  </si>
  <si>
    <t>['unexpected diversity', 'stem lineage', 'short diaphragms', 'short antennae', 'possible reason', 'plecoptera ).', 'optic lobes', 'numerous taxa', 'muscles indicate', 'lateral arteries', 'inner organs', 'homologous within', 'higher taxa', 'haemolymph sinus', 'haemolymph flow', 'dorsal vessel', 'condition may', 'comparative investigation', 'circumoesophageal connectives', 'certain plecoptera', 'cephalic capsule', 'apparently leads', 'apomorphic state', 'aorta dorsal', 'anterior end', 'antennal vessels', 'antenna segment', 'antenna bases', 'ancestral state', 'anatomical arrangement', 'act either', '54 species']</t>
  </si>
  <si>
    <t>A comparative investigation of the antennal circulatory organs in representatives of the Onychophora, all subtaxa of the Myriapoda and numerous taxa of the Hexapoda (comprising a total of 54 species) revealed an unexpected diversity in structure and function. In the Onychophora, antennal vessels exist which are connected to the enlarged anterior end of the aorta dorsal to the brain. In the Chilopoda, Diplopoda and Symphyla, antennal vessels exist which originate from the dorsal vessel caudal to the brain. They extend under the optic lobes, lateral to the circumoesophageal connectives, into the antennae. In the Hexapoda, the investigations include representatives of all higher taxa, apart from the Paraneoptera and the Holometabola. Generally, antennal vessels exist. In the Diplura, they originate from the anterior end of the aorta in front of the brain. In all other insects the antennal vessels are separate from the dorsal vessel. Their proximal ends form ampullary enlargements which are attached to the frontal cuticle near the antenna bases. They communicate via valved ostia with the haemolymph sinus in front of the brain. In the Archaeognatha, Zygentoma, Odonata, certain Plecoptera and the Notoptera, no muscles are connected to these organs. In all other groups the ampullae are pulsatile as a result of associated muscles ("antennal hearts"). These muscles diverge widely in their attachments and act either as compressors (Dermaptera) or dilators of the ampullae (Embioptera, Blattopteroidea, Orthopteroidea, and some Plecoptera). In the Collembola and Ephemeroptera, special antennal circulatory organs are lacking. In some forms the anatomical arrangement of the inner organs, in conjunction with short diaphragms at the antenna bases, apparently leads to a channelling of haemolymph flow. This condition may be explained by the very short antennae of these insects and is considered as a convergent and apomorphic state in these taxa. The antennal vessels are supposed to be homologous within the Tracheata and to represent the lateral arteries of the antenna segment. An origin from the dorsal vessel is considered an ancestral state, which was lost in the stem lineage of the Ectognatha. Specific space constraints within the cephalic capsule are discussed as the possible reason for this loss. The evolution of pulsatile antennal circulatory organs in the Neoptera is the result of the association of muscles with the proximal ampullary ends of the antennal vessels. The attachments and innervation of these muscles indicate a derivation from precerebral pharyngeal dilators. ¬© 1991 Springer-Verlag.</t>
  </si>
  <si>
    <t>145-164</t>
  </si>
  <si>
    <t>1432234X</t>
  </si>
  <si>
    <t>0720213X</t>
  </si>
  <si>
    <t>Zoomorphology</t>
  </si>
  <si>
    <t>Pass, G√ºnther</t>
  </si>
  <si>
    <t>Austria</t>
  </si>
  <si>
    <t>Vienna</t>
  </si>
  <si>
    <t>University of Vienna Institute of Zoology</t>
  </si>
  <si>
    <t>Pass G.</t>
  </si>
  <si>
    <t>Antennal circulatory organs in Onychophora, Myriapoda and Hexapoda: Functional morphology and evolutionary implications</t>
  </si>
  <si>
    <t>10.1007/BF01632871</t>
  </si>
  <si>
    <t>2-s2.0-0000654167</t>
  </si>
  <si>
    <t>['three species', 'similar structure', 'similar composition', 'results indicate', 'pigment arrangement', 'low temperature', 'long axis', 'intact cells', 'energy transfer', 'e pools', 'containing bacteriochlorophyll', 'circular dichroism', 'chlorosomal bchl', 'chlorobium vibrioforme', 'chlorobium phaeovibrioides', 'bound bchl', 'bchl e', 'bchl c', '6 k', '10 %.']</t>
  </si>
  <si>
    <t>bacteriochlorophyll | Chlorobiaceae | chlorosome structure | dichroism | energy transfer | fluorescence</t>
  </si>
  <si>
    <t>Energy transfer and pigment arrangement in intact cells of the green sulfur bacteria Prosthecochloris aestuarii, Chlorobium vibrioforme and chlorobium phaeovibrioides, containing bacteriochlorophyll (BChl) c, d or e as main light harvesting pigment, respectively, were studied by means of absorption, fluorescence, circular dichroism and linear dichroism spectroscopy at low temperature. The results indicate a very similar composition of the antenna in the three species and a very similar structure of main light harvesting components, the chlorosome and the membrane-bound BChl a protein. In all three species the Qy transition dipoles of BChl c, d or e are oriented approximately parallel to the long axis of the chlorosome. Absorption and fluorescence excitation spectra demonstrate the presence of at least two BChl c-e pools in the chlorosomes of all three species, long-wavelength absorbing BChls being closest to the membrane. In C. phaeovibrioides, energy from BChl e is transferred with an efficiency of 25% to the chlorosomal BChl a at 6 K, whereas the efficiency of transfer from BChl e to the BChl a protein is 10%. These numbers are compatible with the hypothesis that the chlorosomal BChl a is an intermediary in the energy transfer from the chlorosome to the membrane. ¬© 1991 Kluwer Academic Publishers.</t>
  </si>
  <si>
    <t>77-87</t>
  </si>
  <si>
    <t>60003878;60003878;60025525;60003878</t>
  </si>
  <si>
    <t>7003966808;16432081600;7005785996;7004456032</t>
  </si>
  <si>
    <t>Otte, Stephan C.M.;van der Heiden, Jos C.;Pfennig, Norbert;Amesz, Jan</t>
  </si>
  <si>
    <t>Germany;Netherlands</t>
  </si>
  <si>
    <t>Konstanz;Leiden</t>
  </si>
  <si>
    <t>Universit√§t Konstanz;Sterrewacht Leiden</t>
  </si>
  <si>
    <t>60025525;60003878</t>
  </si>
  <si>
    <t>Otte S.</t>
  </si>
  <si>
    <t>A comparative study of the optical characteristics of intact cells of photosynthetic green sulfur bacteria containing bacteriochlorophyll c, d or e</t>
  </si>
  <si>
    <t>10.1007/BF00033717</t>
  </si>
  <si>
    <t>2-s2.0-0001803186</t>
  </si>
  <si>
    <t>U10CA021661</t>
  </si>
  <si>
    <t>['¬© 1991', 'specific recommendations', 'safety procedures', 'rtog ).', 'quality assurance', 'pretreatment planning', 'interstitial techniques', 'interstitial hyperthermia', 'implant considerations', 'hyperthermia administration', 'future modifications', 'ferromagnetic seeds', 'document specifies', 'document begins', 'current recommendations', 'brief description']</t>
  </si>
  <si>
    <t>Interstitial hyperthermia | Quality assurance | Thermometry</t>
  </si>
  <si>
    <t>This document specifies the current recommendations for quality assurance for hyperthermia administration with interstitial techniques as specified by the Radiation Therapy Oncology Group (RTOG). The document begins by providing a brief description of the physical principles behind the use of the three most commonly used methods of interstitial hyperthermia: radiofrequency (RF-LCF), microwave antennas, and ferromagnetic seeds. Emphasis is placed on features that effect quality assurance. Specific recommendations are provided for: a) Pretreatment planning and equipment performance checks, b) Implant considerations and documentation, c) Thermometry, and d) Safety procedures. Specific details regarding quality assurance issues that are common to all local and regional hyperthermia methods are outlined in previous documents sponsored by the RTOG. It is anticipated that technological advances may lead to future modifications of this document. ¬© 1991.</t>
  </si>
  <si>
    <t>1117-1124</t>
  </si>
  <si>
    <t>;;;;;;;;;;;;;</t>
  </si>
  <si>
    <t>35400466600;7005772755;36046300600;6701501053;57197374123;7005699642;35476121800;7007032007;7005939118;35475361200;57216377521;7003599942;7005395085;7005752467</t>
  </si>
  <si>
    <t>Emami, B.;Stauffer, P.;Dewhirst, M. W.;Prionas, S.;Ryan, T.;Corry, P.;Herman, T.;Kapp, D. S.;Myerson, R. J.;Samulski, T.;Sapareto, S.;Sapozink, M.;Shrivastava, P.;Waterman, F.</t>
  </si>
  <si>
    <t>Emami B.</t>
  </si>
  <si>
    <t>RTOG quality assurance guidelines for interstitial hyperthermia</t>
  </si>
  <si>
    <t>036030169190213N</t>
  </si>
  <si>
    <t>10.1016/0360-3016(91)90213-N</t>
  </si>
  <si>
    <t>2-s2.0-0025753093</t>
  </si>
  <si>
    <t>['vertical space', 'simple appearance', 'mutual coupling', 'main reason', 'lid antenna', 'field tests', 'experimental results', 'diversity scheme', 'diversity antenna', 'correlation coefficients', 'calculation estimations', 'approximately 0', '5 wavelength', '20 ¬∞']</t>
  </si>
  <si>
    <t>A vertical space-diversity antenna has been developed in order to achieve a diversity scheme while maintaining the simple appearance of a trunk-lid antenna. It is shown that small correlation coefficients can be achieved by a separation of approximately 0.5 wavelength. Differences in the upper and lower antenna radiation patterns are clarified as being caused by mutual coupling of these antennas, and an incoming wave spread of more than 20¬∞ is the main reason for reduction of the correlation coefficients. Field tests in the Tokyo metropolitan area have indicated that adequate correlation coefficients and received signal level can be achieved. Moreover, calculation estimations are confirmed by these experimental results.</t>
  </si>
  <si>
    <t>420-425</t>
  </si>
  <si>
    <t>7004434439;8355553700</t>
  </si>
  <si>
    <t>Ebine, Yoshio;Yamada, Yoshihide</t>
  </si>
  <si>
    <t>A vehicular-mounted vertical space diversity antenna for a land mobile radio</t>
  </si>
  <si>
    <t>10.1109/25.289423</t>
  </si>
  <si>
    <t>2-s2.0-0026151482</t>
  </si>
  <si>
    <t>['unshadowed periods', 'state gilbert', 'southern highways', 'signal shadowing', 'shift keying', 'satellite link', 'rice factor', 'probability density', 'physical phenomena', 'nonfade periods', 'noise ratio', 'multipath fading', 'mobile antennas', 'marecs satellite', 'important parameter', 'fading amplitude', 'elliott model', 'digital two', 'differential phase', 'different environments', 'db signal', 'data transmission', 'cruising van', 'communication channel', 'around 0', 'analytical purposes', 'analog model', '43 ¬∞.', '1 db']</t>
  </si>
  <si>
    <t>The communication channel between the MARECS satellite at 26¬∞ W and a cruising van was measured and recorded in European areas exhibiting satellite elevations from 13 to 43¬∞. Different environments and mobile antennas were tested. Results of an extensive statistical evaluation include spectra of the fading amplitude, probability density, and distribution of the received signal power as well as the percentage of time for fade and nonfade periods. Based on the physical phenomena of multipath fading and signal shadowing, an analog model of the land mobile satellite channel which can readily be used for software and hardware fading simulation is developed. The most important parameter of this model is the time-share of shadowing, A, ranging from less than 1% on southern highways to 89% in the city of Stockholm. The Rice factor, c, which characterizes the channel during unshadowed periods, can vary from 3.9 to 18.1 dB. For analytical purposes, the land mobile satellite channel can be represented by a digital two-state Gilbert-Elliott model. For DPSK (differential phase-shift keying) modulation with a 10-dB signal-to-noise ratio in the satellite link, the mean bit error probability in the unshadowed channel state is typically in the range of 10-4-10-2, while it is around 0.3 in the shadowed channel state. With regard to data transmission, block error probability density, error gap distribution, and block error probability are discussed.</t>
  </si>
  <si>
    <t>375-386</t>
  </si>
  <si>
    <t>60007798;60007798;60007798;60007798;60007798</t>
  </si>
  <si>
    <t>56212006200;6601996081;6602659589;7801413221;6603238554</t>
  </si>
  <si>
    <t>Lutz, Erich;Cygan, Daniel;Dippold, Michael;Dolainsky, Frank;Papke, Wolfgang</t>
  </si>
  <si>
    <t>Lutz E.</t>
  </si>
  <si>
    <t>The land mobile satellite communication channel--Recording, statistics, and channel model</t>
  </si>
  <si>
    <t>10.1109/25.289418</t>
  </si>
  <si>
    <t>2-s2.0-0026151483</t>
  </si>
  <si>
    <t>['various classes', 'symmetry properties', 'phase responses', 'magnitude responses', 'digital polynomials', 'defined symmetries', 'complex polynomials']</t>
  </si>
  <si>
    <t>The symmetry properties of 2-D complex polynomials are analyzed in this paper. The characteristics of a polynomial possessing different standard symmetries in their magnitude and phase responses are studied. The nature of constraints that are imposed by the defined symmetries on analog and digital polynomials is discussed. The various classes of complex polynomials possessing the different (quadrantal, diagonal, rotational, and octagonal) symmetries and antisymmetries in their magnitude responses and/or phase responses are tabulated. ¬© 1991 Kluwer Academic Publishers.</t>
  </si>
  <si>
    <t>161-187</t>
  </si>
  <si>
    <t>Multidimensional Systems and Signal Processing</t>
  </si>
  <si>
    <t>60027881;60029255;60029378</t>
  </si>
  <si>
    <t>56632895400;35601059900;55412719400</t>
  </si>
  <si>
    <t>Rajaravivarma, V.;Rajan, P. K.;Reddy, H. C.</t>
  </si>
  <si>
    <t>Long Beach;Cookeville;Morehead</t>
  </si>
  <si>
    <t>California State University Long Beach;Tennessee Technological University;Morehead State University</t>
  </si>
  <si>
    <t>60029378;60029255;60027881</t>
  </si>
  <si>
    <t>Rajaravivarma V.</t>
  </si>
  <si>
    <t>Symmetry study on 2-D complex analog and digital filter functions</t>
  </si>
  <si>
    <t>10.1007/BF01938222</t>
  </si>
  <si>
    <t>2-s2.0-0026152494</t>
  </si>
  <si>
    <t>['typical example', 'test requirements', 'test range', 'rf instrumentation', 'pertinent equations', 'military systems', 'frequency range']</t>
  </si>
  <si>
    <t>Many engineers today face the task of setting up an antenna measurement facility. Test requirements for military systems have become more stringent, and many commercial products now use military antenna technology that requires advanced testing. An antenna test facility consists of the test range, the RF instrumentation, a data acquisition system, and the antenna positioner system. You must also consider the sizes of the antennae under test, frequency range, polarization, gain, and side lobe levels. In addition to these issues, you must decide whether you will be performing production testing or design and development, or some combination of the two. Pertinent equations are presented, along with the solution of a typical example</t>
  </si>
  <si>
    <t>26-28, 30</t>
  </si>
  <si>
    <t>SUPPL</t>
  </si>
  <si>
    <t>Test &amp; measurement world</t>
  </si>
  <si>
    <t>100331444;100331444</t>
  </si>
  <si>
    <t>7102447835;6602421469</t>
  </si>
  <si>
    <t>Hartman, Rick;Berlekamp, Jack</t>
  </si>
  <si>
    <t>Horsham</t>
  </si>
  <si>
    <t>Flam &amp; Russell Inc</t>
  </si>
  <si>
    <t>Hartman R.</t>
  </si>
  <si>
    <t>Setting up an antenna test facility</t>
  </si>
  <si>
    <t>2-s2.0-0026152747</t>
  </si>
  <si>
    <t>['wave illumination', 'used even', 'transverse magnetic', 'strong scatterers', 'scanning subsystem', 'require plane', 'pseudoinversion transformation', 'order approximations', 'moment method', 'investigation one', 'investigation domain', 'integral equation', 'inexpensive reconstruction', 'imaging system', 'face ill', 'experimental setup', 'e .,', 'cross sections', 'conditioning problems', 'computer resources', 'area containing']</t>
  </si>
  <si>
    <t>A microwave imaging system is based on a multiview numerical solution to the integral equation of 2-D transverse magnetic (TM) scattering is proposed. This solution is achieved by the moment method, and a pseudoinversion transformation is used to face ill-conditioning problems. An experimental setup is described that uses a scanning subsystem for measuring the values of the scattered electric field inside an observation domain located outside the investigation one (i.e., the area containing the cross sections of cylindrical dielectric scatters). Rotations of the investigation domain with respect to the scanning subsystem and the transmitting antenna allow a multiview imaging process. The imaging system does not require plane-wave illumination and does not use any first-order approximations; hence, it may be used even in the case of strong scatterers. The offline and once-and-for-all computation of the pseudoinverse matrix allows an inexpensive reconstruction in terms of computer resources. Some tests of the system were carried out, and the results are reported.</t>
  </si>
  <si>
    <t>845-851</t>
  </si>
  <si>
    <t>60025153;60025153;60025153</t>
  </si>
  <si>
    <t>7102084534;6701681576;7004880389</t>
  </si>
  <si>
    <t>Caorsi, Salvatore;Gragnani, Gian L.;Pastorino, Matteo</t>
  </si>
  <si>
    <t>Genoa</t>
  </si>
  <si>
    <t>Universit√† degli Studi di Genova</t>
  </si>
  <si>
    <t>Caorsi S.</t>
  </si>
  <si>
    <t>A multiview microwave imaging system for two-dimensional penetrable objects</t>
  </si>
  <si>
    <t>10.1109/22.79112</t>
  </si>
  <si>
    <t>2-s2.0-0026153856</t>
  </si>
  <si>
    <t>['œ °', '¬© 1991', 'vn behaves', 'sodium styrenesulfonate', 'scattering results', 'rights reserved', 'random coil', 'preliminary light', 'photocatalytic activity', 'molecular weight', 'given mass', 'copolymer solubilized', 'average number', 'aqueous solution', 'also presented']</t>
  </si>
  <si>
    <t>The effect of molecular weight on the solubilization and photocatalytic activity of a series of copolymers of poly(sodium styrenesulfonate-co-2-vinylnaphthalene) (PSSS-VN) in aqueous solution has been investigated. Preliminary light-scattering results, which suggest that PSSS-VN behaves as a random coil in aqueous solution, are also presented. The average number of molecules of perylene (P) and 9,10-dimethylanthracene (DMA) solubilized per macromolecular coil was observed to be proportional to the molecular weight of PSSS-VN. With the exception of the copolymer of highest molecular weight, a given mass of each copolymer solubilized the same amount of probe. On the basis of the rate of singlet oxygen addition to Œ° and DMA, the photocatalytic activity of PSSS-VN was found to be independent of its molecular weight. ¬© 1991, American Chemical Society. All rights reserved.</t>
  </si>
  <si>
    <t>2903-2906</t>
  </si>
  <si>
    <t>60016849;60021361;60016849;60016849</t>
  </si>
  <si>
    <t>15121540400;7004369519;7006765069;7102379256</t>
  </si>
  <si>
    <t>White, B.;Nowakowska, M.;Vancso, G. J.;Guillet, J. E.</t>
  </si>
  <si>
    <t>White B.</t>
  </si>
  <si>
    <t>Studies of the Antenna Effect in Polymer Molecules. 20. Effect of Molecular Weight on the Solubilization and Photocatalytic Activity of Poly(sodium styrenesulfonate-co-2-vinylnaphthalene)</t>
  </si>
  <si>
    <t>10.1021/ma00010a041</t>
  </si>
  <si>
    <t>2-s2.0-0026153934</t>
  </si>
  <si>
    <t>['tmol mode', 'radiation characteristics', 'interesting results']</t>
  </si>
  <si>
    <t>Brewster Angle Effect | Improved Perturbation Method | Periodic Dielectric Rod Antenna | Radial Transmission Line Network</t>
  </si>
  <si>
    <t>The radiation characteristics of the omni-directional periodic leaky wave antenna operating in TMol mode is investigated by the improved perturbation method with a particular attention directed to the Brewster angle effect on the performance of the antenna, and some interesting results are given. ¬© 1991 Plenum Publishing Corporation.</t>
  </si>
  <si>
    <t>487-503</t>
  </si>
  <si>
    <t>6603478057;7403600719</t>
  </si>
  <si>
    <t>Shanjia, Xu;Zhewang, Ma</t>
  </si>
  <si>
    <t>Brewster angle effect on the performance of omni-directional circular dielectric grating antenna-improved perturbation analysis</t>
  </si>
  <si>
    <t>10.1007/BF01010882</t>
  </si>
  <si>
    <t>2-s2.0-0026154311</t>
  </si>
  <si>
    <t>['technology projections', 'special issue', 'panel discussion', 'art reviews', 'additional references']</t>
  </si>
  <si>
    <t>Advances in millimeter-wave subsystems formed the topic of a panel discussion at the 1990 International Microwave Symposium, in Dallas, Texas. Highlights from the state-of-the-art reviews and technology projections by the presenters are included. The panelists were from Europe, Japan, and the US. Additional references are listed, including papers written by panelists for this special issue.</t>
  </si>
  <si>
    <t>755-758</t>
  </si>
  <si>
    <t>Horton, J. B.</t>
  </si>
  <si>
    <t>Horton J.</t>
  </si>
  <si>
    <t>A review of the panel discussion on advances in millimeter-wave subsystems--1990</t>
  </si>
  <si>
    <t>2-s2.0-0026154337</t>
  </si>
  <si>
    <t>['theoretically analyzed', 'system --', 'sar patterns', 'relative phase', 'predicting optimization', 'manually moving', 'lung regions', 'horn apa', 'electrically varying', 'electric field', 'effective heating', 'e field', 'deeply within', 'computerized tomography', 'author discusses', 'apa systems', 'apa system', 'amplitude control', 'amplitude changes', '200 mhz']</t>
  </si>
  <si>
    <t>The author discusses a type of annular phased array (APA) system--the H-horn APA. The phase and amplitude control of power deposition patterns for this system have been theoretically analyzed at a frequency of 200 MHz. The formulas for calculating the electric field (E field) and specific absorption rate (SAR) for this APA system have been derived and can be applied to other types of APA systems. Models on computerized tomography (CT) scans from liver and lung regions have been used for predicting optimization of the E-field and SAR patterns in the case of the relative phase and amplitude changes. It is shown that the phase and amplitude control of SAR patterns results in a more selective and effective heating of tumors situated eccentrically and deeply within the body. The numerical results indicate that it is possible to shift the absorbed power patterns by electrically varying the phase and/or the amplitude of the sources and manually moving the positions of the horns.</t>
  </si>
  <si>
    <t>852-856</t>
  </si>
  <si>
    <t>Deng, Tianquan</t>
  </si>
  <si>
    <t>Deng T.</t>
  </si>
  <si>
    <t>Optimization of SAR distributions in liver and lung regions irradiated by the H-horn annular phased array hyperthermia system</t>
  </si>
  <si>
    <t>10.1109/22.79113</t>
  </si>
  <si>
    <t>2-s2.0-0026155575</t>
  </si>
  <si>
    <t>['¬© 1991', 'radiation patterns', 'makes use', 'image method', 'classical model', 'antenna theory']</t>
  </si>
  <si>
    <t>We present a classical model for the radiation patterns of atomic dipoles confined in a cavity which makes use of the image method and antenna theory. ¬© 1991.</t>
  </si>
  <si>
    <t>415-419</t>
  </si>
  <si>
    <t>Optics Communications</t>
  </si>
  <si>
    <t>60029010;60029010;60032350</t>
  </si>
  <si>
    <t>7202654722;35413032700;22970799200</t>
  </si>
  <si>
    <t>Dowling, Jonathan P.;Scully, Marlan O.;DeMartini, Francesco</t>
  </si>
  <si>
    <t>Italy;Germany</t>
  </si>
  <si>
    <t>Rome;Garching bei Munchen</t>
  </si>
  <si>
    <t>Sapienza Universit√† di Roma;Max Planck Institute of Quantum Optics</t>
  </si>
  <si>
    <t>60032350;60029010</t>
  </si>
  <si>
    <t>Dowling J.</t>
  </si>
  <si>
    <t>Radiation pattern of a classical dipole in a cavity</t>
  </si>
  <si>
    <t>003040189190351D</t>
  </si>
  <si>
    <t>10.1016/0030-4018(91)90351-D</t>
  </si>
  <si>
    <t>2-s2.0-0026155638</t>
  </si>
  <si>
    <t>['variable resolution', 'technical university', 'special emphasis', 'sample images', 'quality assurance', 'january 1986', 'imaging geometry', 'image generation', 'high resolution', 'flexible radar', 'electromagnetics institute', 'digital technology', 'design goals', 'december 1989', 'band sar', 'authors describe']</t>
  </si>
  <si>
    <t>In January 1986, the design of a high-resolution airborne C-band synthetic aperture radar (SAR) started at the Electromagnetics Institute of the Technical University of Denmark. The initial system test flights took place in November and December 1989. The authors describe the design of the system, its implementation, and its performance. They show how digital technology has been utilized to realize a very flexible radar with variable resolution, swath-width, and imaging geometry. The motion-compensation algorithms implemented to obtain the high resolution and the special features built into the system to ensure proper internal calibration are outlined. The data processing system, developed for image generation and quality assurance, is sketched, with special emphasis on the flexibility of the system. Sample images and a preliminary performance evaluation are presented, demonstrating that the design goals have been met. The ongoing system upgrades and the planned scientific utilization of the C-band SAR are described.</t>
  </si>
  <si>
    <t>417-426</t>
  </si>
  <si>
    <t>60011373;60011373;60011373;60011373</t>
  </si>
  <si>
    <t>56817077100;7202966536;7003928581;7005625668</t>
  </si>
  <si>
    <t>Madsen, Soren Norvang;Christensen, Erik Lintz;Skou, Niels;Dall, Jorgen</t>
  </si>
  <si>
    <t>Madsen S.</t>
  </si>
  <si>
    <t>The Danish SAR system: Design and initial tests</t>
  </si>
  <si>
    <t>10.1109/36.79432</t>
  </si>
  <si>
    <t>2-s2.0-0026155729</t>
  </si>
  <si>
    <t>['radiation patterns', 'mobile telephone', 'measured results', 'combination provides']</t>
  </si>
  <si>
    <t>A flat energy density antenna is proposed for mobile telephone. The notch array designed as a crossed slot antenna for receiving the magnetic field components is replaced by the disk of the ring patch antenna. Since the electric field components are received by the ring patch antenna, this combination provides an energy density reception antenna. A prototype of the flat energy density antenna has been built and tested; and the measured results of the input impedance characteristics and the radiation patterns are presented. Indoor field measurements with this antenna also verified the energy density reception.</t>
  </si>
  <si>
    <t>483-486</t>
  </si>
  <si>
    <t>60018279;60018279;60018279;60018279</t>
  </si>
  <si>
    <t>7402657600;7005516950;7005523612;7201747933</t>
  </si>
  <si>
    <t>Arai, Hiroyuki;Iwashita, Hideki;Toki, Nasahiro;Goto, Naohisa</t>
  </si>
  <si>
    <t>A flat energy density antenna system for mobile telephone</t>
  </si>
  <si>
    <t>10.1109/25.289430</t>
  </si>
  <si>
    <t>2-s2.0-0026155808</t>
  </si>
  <si>
    <t>['track beamwidth', 'spatial resolution', 'inherent height', 'increasing frequency', 'ghz frequency', 'general case', 'errors decrease', 'diameter antenna', '800 km', '5 cm']</t>
  </si>
  <si>
    <t>An analysis of the inherent height and spatial resolution of an off-nadir radar altimeter is presented. For the general case, mean-square height uncertainty is shown to be proportional to the cross-track beamwidth divided by the along-track beamwidth. Thus, the cross-track beamwidth should be minimized and the along-track beamwidth maximized, subject to resolution and other constraints. A pure multibeam system with a 50-km beam offset, an altitude of 800 km, a 13.5-GHz frequency, and a 4.5-m-diameter antenna is found to yield a height random error of less than 5 cm. For the same conditions, errors decrease with increasing frequency; however, rain attenuation becomes a factor.</t>
  </si>
  <si>
    <t>465-469</t>
  </si>
  <si>
    <t>100312033;100312033;100312033</t>
  </si>
  <si>
    <t>7404985519;7406465664;6603789028</t>
  </si>
  <si>
    <t>Miller, Lee S.;Brown, Gary S.;Choy, Lawrence W.</t>
  </si>
  <si>
    <t>Miller L.</t>
  </si>
  <si>
    <t>Multibeam radar altimetry: Spaceborne feasibility</t>
  </si>
  <si>
    <t>10.1109/36.79438</t>
  </si>
  <si>
    <t>2-s2.0-0026156107</t>
  </si>
  <si>
    <t>['traveling waves', 'track direction', 'theoretical analysis', 'spectrum obtained', 'receive antennas', 'nonlinearities associated', 'may reduce', 'broader range', 'azimuth wavelengths', 'antenna spacing', 'antenna signals', 'antenna case', 'angular dependence', 'amount proportional', 'also modified']</t>
  </si>
  <si>
    <t>Data from synthetic aperture radar (SAR) systems can be used to estimate ocean wave directional spectra, but the method is limited by nonlinearities associated with the velocity bunching mechanism and the azimuth falloff effect, which reduces the range of azimuth wavelengths that can be observed. A theoretical analysis which suggests that the use of two or more receive antennas, spaced in the along-track direction, may reduce these limitations is presented. Specifically, the band of usable azimuth wavenumbers is shifted by an amount proportional to the antenna spacing, so that a broader range of wavenumbers can be covered by combining the spectrum obtained from the two-antenna signals with the conventional image spectrum. The angular dependence of the velocity modulation mechanism is also modified to include purely range-traveling waves in the two-antenna case.</t>
  </si>
  <si>
    <t>463-465</t>
  </si>
  <si>
    <t>60023201;60023201</t>
  </si>
  <si>
    <t>7005706117;7404251286</t>
  </si>
  <si>
    <t>Lyzenga, D. R.;Bennett, J. R.</t>
  </si>
  <si>
    <t>Altarum Institute</t>
  </si>
  <si>
    <t>Lyzenga D.</t>
  </si>
  <si>
    <t>Estimation of ocean wave spectra using two-antenna SAR systems</t>
  </si>
  <si>
    <t>10.1109/36.79437</t>
  </si>
  <si>
    <t>2-s2.0-0026156374</t>
  </si>
  <si>
    <t>['work demonstrates', 'theoretical far', 'terahertz frequencies', 'space field', 'single element', 'plane patterns', 'pattern measurements', 'modes representation', 'measured far', 'measured e', 'horn antennas', 'field patterns', 'efficiency integrated', 'easily scalable', 'diagnostic applications', 'associated directivity', 'antenna suspended', 'agree well']</t>
  </si>
  <si>
    <t>This short paper presents the pattern measurements at 802GHz of a single element in a 256-element integrated horn imaging array. The integrated-horn antenna consists of a dipole-antenna suspended on a 1Œºm dielectric membrane inside a pyramidal cavity etched in Silicon. The theoretical far-field patterns, calculated using reciprocity and Floquet-modes representation of the free-space field, agree well with the measured far-field patterns at 802GBz. The associated directivity for a 1.40 Œª horn aperture, calculated from the measured E and H-plane patterns is 12.3dB¬±0.2dB. This work demonstrates that high-efficiency integrated-horn antennas are easily scalable to terahertz frequencies and could be used for radio-astronomical and plasma-diagnostic applications. ¬© 1991 Plenum Publishing Corporation.</t>
  </si>
  <si>
    <t>481-486</t>
  </si>
  <si>
    <t>60025778;60025778;60006337;60006337</t>
  </si>
  <si>
    <t>6602531547;7006384021;8641255600;7102677087</t>
  </si>
  <si>
    <t>Ali-Ahmad, Walid Y.;Rebeiz, Gabriel M.;Dav√©, Hemant;Chin, Gordon</t>
  </si>
  <si>
    <t>Ali-Ahmad W.</t>
  </si>
  <si>
    <t>802GHz integrated horn antennas imaging array</t>
  </si>
  <si>
    <t>10.1007/BF01010881</t>
  </si>
  <si>
    <t>2-s2.0-0026157546</t>
  </si>
  <si>
    <t>['results obtained', 'radio waves', 'periodic surfaces']</t>
  </si>
  <si>
    <t>An experiment is described for investigating the reflection of radio waves from periodic surfaces. The results obtained are compared with a calculation.</t>
  </si>
  <si>
    <t>96-97</t>
  </si>
  <si>
    <t>Ramazanov, B. A.</t>
  </si>
  <si>
    <t>Ramazanov B.</t>
  </si>
  <si>
    <t>Experimental investigations of the scattering of electromagnetic waves by periodically rough surfaces</t>
  </si>
  <si>
    <t>2-s2.0-0026158979</t>
  </si>
  <si>
    <t>['structural dimensions', 'radiation patterns', 'parabolic antennas']</t>
  </si>
  <si>
    <t>An algorithm is proposed for determining the structural dimensions of corrections of the radiation patterns of parabolic antennas. The results of an experiment are presented.</t>
  </si>
  <si>
    <t>85-89</t>
  </si>
  <si>
    <t>6602873460;7005095502</t>
  </si>
  <si>
    <t>Gryanik, M. V.;Nesterenko, I. K.</t>
  </si>
  <si>
    <t>Correctors of the radiation patterns of parabolic antennas</t>
  </si>
  <si>
    <t>2-s2.0-0026159178</t>
  </si>
  <si>
    <t>['unique features', 'input impedances', 'hilbert transformation', 'calculated data']</t>
  </si>
  <si>
    <t>The methods and results of a calculation of the input impedances of straight and L-shaped dipole antennas, mounted on a long circular conducting cylinder, are presented. The unique features of the use of a Hilbert transformation to calculate the input impedances are examined. The calculated data and the results of an experiment are compared.</t>
  </si>
  <si>
    <t>92-95</t>
  </si>
  <si>
    <t>7801675923;57205175129;7006612153</t>
  </si>
  <si>
    <t>Varyvdin, V. S.;Romanenko, Ye D.;Kozhevnikov, Ye A.</t>
  </si>
  <si>
    <t>Varyvdin V.</t>
  </si>
  <si>
    <t>Calculation of input impedances of bent dipole antennas, located near the surface of a conducting cylinder</t>
  </si>
  <si>
    <t>2-s2.0-0026159495</t>
  </si>
  <si>
    <t>['symmetrical feeders', 'side radiation', 'regulation stage', 'phase distribution', 'noncentered dipoles', 'many reasons', 'input impedance', 'finite size', 'feed circuits', 'feed channels', 'directional pattern', 'article estimates', 'antenna system', 'antenna aperture', 'also reduces']</t>
  </si>
  <si>
    <t>A 'parasitic' synchronous phase wave arises in addition to the antiphase operating wave in the feed channels of finite phase antennas arrays (PAA) consisting of symmetrical dipoles excited by symmetrical feeders. This causes an increase in side radiation, reduces the grain (G) and also reduces the efficiency of the antenna system. Moreover, the amplitude-phase distribution (APD) of currents at the antenna aperture are distorted, and this leads to distortion of its directional pattern (DP) and other characteristics. A parasitic synchronous phase wave arises for many reasons. Some of these causes can be eliminated during the adjustment and regulation stage of the channels, while others are intractable. The primary intractable causes include the asymmetry of the input impedance of the dipoles in directional pattern scanning, and the asymmetry of the dipole design relative to the feed circuits which exists in phased antenna arrays of finite size and which manifests itself most significantly in noncentered dipoles. This article estimates the magnitude of the synchronous phase wave caused by intractable factors based on a sample rectangular phased antenna array consisting of 44 (4 √ó 11) plane wire radiators.</t>
  </si>
  <si>
    <t>14-16</t>
  </si>
  <si>
    <t>6507773682;56646970300;6602096691</t>
  </si>
  <si>
    <t>Bazilevskaya, M. K.;Nikolaev, V. A.;Strizhkov, V. A.</t>
  </si>
  <si>
    <t>Bazilevskaya M.</t>
  </si>
  <si>
    <t>Estimate of the number of tandem nodes in a distributed computer network</t>
  </si>
  <si>
    <t>2-s2.0-0026159825</t>
  </si>
  <si>
    <t>['rough approximation', 'rigorous calculations', 'radiation characteristics', 'normally calculated', 'methods offer', 'lens dimensions', 'geometrical optics', 'frequent use', 'exciting waveguide', 'approximate methods']</t>
  </si>
  <si>
    <t>In practice, frequent use is made of metal-plastic lens antennas whose emission characteristics are normally calculated by approximate methods, based on the concepts of geometrical optics and those of Kirchoff and Huygens. However, when the lens dimensions are several wavelength units, these methods offer a rough approximation and more rigorous calculations are needed. The purpose of this paper is to calculate the radiation characteristics and the parameters of matching to the exciting waveguide of a two-dimensional antenna structure.</t>
  </si>
  <si>
    <t>123-124</t>
  </si>
  <si>
    <t>6701657961;35583161300</t>
  </si>
  <si>
    <t>P'yankov, V. P.;Chumachenko, V. P.</t>
  </si>
  <si>
    <t>P'yankov V.</t>
  </si>
  <si>
    <t>Radiation characteristics of an H-plane horn with a metal-plastic lens</t>
  </si>
  <si>
    <t>2-s2.0-0026159857</t>
  </si>
  <si>
    <t>['experimental measurement', 'basic characteristic']</t>
  </si>
  <si>
    <t>The design of a reflector piezoceramic phase shifter for a millimeter-band phased antenna array is considered. The results of an experimental measurement of its basic characteristic are given.</t>
  </si>
  <si>
    <t>102-104</t>
  </si>
  <si>
    <t>Millimeter-band piezoceramic phase shifter</t>
  </si>
  <si>
    <t>2-s2.0-0026159858</t>
  </si>
  <si>
    <t>['¬© 1991', 'wall materials', 'source performance', 'power efficiently', 'plasma processing', 'plasma generator', 'particle accelerators', 'matching unit', 'internal antenna', 'filament materials', '50 kw']</t>
  </si>
  <si>
    <t>The development of an rf induction source for D+ and D- ions is described. The plasma generator is a magnetic multipole source of dimensions 55 √ó 31 √ó 20 cm3. The rf system consists of a 50 kW, 2 MHz oscillator with a matching unit to couple the power efficiently to an internal antenna. The use of rf-driven plasmas offers the potential of higher proton yields and allows the investigation of the influence of wall materials on the source performance as opposed to filament-driven dc plasmas which coat the wall with the filament materials. The source and its derivatives have applications in fusion, particle accelerators and plasma processing. ¬© 1991.</t>
  </si>
  <si>
    <t>1141-1143</t>
  </si>
  <si>
    <t>PART 2</t>
  </si>
  <si>
    <t>56-57</t>
  </si>
  <si>
    <t>60008662;60008662;60008662;60008662;60008662;60008662</t>
  </si>
  <si>
    <t>57197629350;35351968800;57190112842;57216073108;7005559246;57221186483</t>
  </si>
  <si>
    <t>McAdams, R.;Holmes, A. J.T.;Lea, L. M.;Thornton, M.;Inman, M.;Smith, J.</t>
  </si>
  <si>
    <t>Oxfordshire</t>
  </si>
  <si>
    <t>Euratom Ukaea Fusion Association</t>
  </si>
  <si>
    <t>McAdams R.</t>
  </si>
  <si>
    <t>An rf plasma source for D&lt;sup&gt;+&lt;/sup&gt; and D&lt;sup&gt;-&lt;/sup&gt; ions</t>
  </si>
  <si>
    <t>0168-583X(91)95116-U</t>
  </si>
  <si>
    <t>10.1016/0168-583X(91)95116-U</t>
  </si>
  <si>
    <t>2-s2.0-44949272319</t>
  </si>
  <si>
    <t>['whole sky', 'wave antenna', 'single source', 'shifted signals', 'second method', 'monochromatic doppler', 'gravitational radiation', 'geograv gravitational', 'galactic centre', 'frequency band', '46 months']</t>
  </si>
  <si>
    <t>Astronomical observations | Experimental tests of general relativity and observations of gravitational radiation</t>
  </si>
  <si>
    <t>The data of 46 months of the GEOGRAV gravitational-wave antenna are analysed to search for monochromatic Doppler-shifted signals from rotating neutron stars, in the frequency band (856.2√∑859.2) Hz. Two different methods were used. With the first, the gravitational radiation from the whole sky is investigated and a limit of h‚â§1¬∑10-21 is found. With the second method only the radiation from a single source is searched. The Galactic Centre and the Large Magellanic Cloud are considered as sources and the limit of h‚â§6¬∑10-22 is found. ¬© 1991 Societ√† Italiana di Fisica.</t>
  </si>
  <si>
    <t>235-250</t>
  </si>
  <si>
    <t>Il Nuovo Cimento C</t>
  </si>
  <si>
    <t>60032350;60032350</t>
  </si>
  <si>
    <t>55154676300;24787907400</t>
  </si>
  <si>
    <t>Frasca, S.;La Posta, C.</t>
  </si>
  <si>
    <t>Frasca S.</t>
  </si>
  <si>
    <t>Search for monochromatic sources with the GEOGRAV gravitational-wave antenna</t>
  </si>
  <si>
    <t>10.1007/BF02509358</t>
  </si>
  <si>
    <t>2-s2.0-51249176646</t>
  </si>
  <si>
    <t>['x -.', 'triplet formation', 'state p', 'room temperature', 'reduced state', 'redox state', 'reaction centers', 'reaction center', 'quantum yield', 'oxidized state', 'membrane fragments', 'low temperature', 'laser flash', 'kinetic analysis', 'heliobacterium chlorum', 'electrochromic bandshifts', 'approximately 1', 'antenna triplet', '55 ns', '5 k', '300 k', '2 lower', '17 ns', '0 yielded']</t>
  </si>
  <si>
    <t>(H. chlorum) | A 0 | bacteriochlorophyll | BChl | Charge separation | Intersystem crossing | N-methylphenazonium methosulphate | P-798 | PMS | primary electron acceptor | primary electron donor | Radical pair recombination | secondary electron acceptor | Triplet formation | X</t>
  </si>
  <si>
    <t>Triplet formation was observed upon excitation with a laser flash of membrane fragments of Heliobacterium chlorum by means of kinetic analysis of the absorbance difference spectra. At low redox potential charge recombination between the photooxidized primary donor P-798+ and the reduced primary acceptor A-0 yielded the triplet of P-798, both at room temperature and at 5 K. The exponential time constant for this recombination was found to be 17 ns at 300 K and 55 ns at 5 K. The yield of triplet formation from the state P-798+A-0 was 20-25% and 25-35%, respectively. At low temperature the quantum yield for the formation of the primary radical pair was a factor of 2 lower in reaction centers in which the (first) secondary electron acceptor X was in the reduced state, than in reaction centers where X was in the oxidized state before illumination. Absorbance difference spectra were measured for the formation of the triplet of P-798, for P-798+A-0 and for P-798+X- formation. Electrochromic bandshifts of bacteriochlorophyll (BChl) g were only observed in the spectra of P-798+X-. In addition to the reaction center triplet an antenna triplet was observed at low temperature, located on the long wavelength absorbing BChl g-808. The quantum yield of formation of this triplet was approximately 1-2%, independent of the redox state of the reaction center. ¬© 1991 Elsevier Science Publishers B.V.</t>
  </si>
  <si>
    <t>346-352</t>
  </si>
  <si>
    <t>60003878;60003878;60003878</t>
  </si>
  <si>
    <t>6701846565;7003777767;7004456032</t>
  </si>
  <si>
    <t>Kleinherenbrink, Frank A.M.;Aartsma, Thijs J.;Amesz, Jan</t>
  </si>
  <si>
    <t>Sterrewacht Leiden</t>
  </si>
  <si>
    <t>Kleinherenbrink F.</t>
  </si>
  <si>
    <t>Charge separation and formation of bacteriochlorophyll triplets in Heliobacterium chlorum</t>
  </si>
  <si>
    <t>S000527280580146X</t>
  </si>
  <si>
    <t>10.1016/S0005-2728(05)80146-X</t>
  </si>
  <si>
    <t>2-s2.0-0025752939</t>
  </si>
  <si>
    <t>['type cytochromes', 'three bacteriochlorophyll', 'separate cytochromes', 'residual amount', 'reaction centers', 'rc complexes', 'protein complexes', 'potential cytochrome', 'photosynthetic membranes', 'midpoint potential', 'lhi complexes', 'largely lost', 'heme c', 'h subunit', 'either one', 'completely lost', '297 mv', '25 mv']</t>
  </si>
  <si>
    <t>(Ectothiorhodospira mobilis | Antenna complex | Cytochrome subunit | Detergent solubilization | E‚Ä≤ 0 | halophila | kDa | kilodalton | LHI or LHII | light harvesting complexes I or II | midpoint potential at (pH 7.0) | n-octyl Œ≤-d-glucopyranoside | octylglucoside | Rc(s) | Reaction center | reaction center(s) | SDS-PAA | SDS-PAGE | shaposhnikovii) | sodium dodecyl sulfate polyacrylamide | sodium dodecyl sulfate polyacrylamide gel electrophoresis | Tris | tris(hydroxymethyl)-aminomethane</t>
  </si>
  <si>
    <t>Pigment-protein complexes have been isolated from three bacteriochlorophyll-a-containing Ectothiorhodospira species: E. mobilis, E. shaposhnikovii and E. halophila, using detergent solubilisation of photosynthetic membranes and sucrose-density gradient centrifugation. This isolation procedure yields pure LHII complexes and reaction centers with either one or both antenna complexes attached (i.e., RC/LHI and RC/LHI/LHII complexes). The RC/LHI/LHII complexes consist of three reaction center polypeptides, H (35 kDa), M (34 kDa), and L (26.5 kDa), plus two LHI and two LHII antenna polypeptides. In photosynthetic membranes of the three Ectothiorhodospira species two major types of heme c are present, of low (25 mV) and high (297 mV) midpoint potential, respectively. These heme groups belong to separate cytochromes. During solubilisation and purification, no loss of the H subunit from the reaction centers is observed. However, the reaction centers do lose their c-type cytochromes. The high-potential cytochrome c is completely lost during solubilisation of RC complexes from photosynthetic membranes, while the low-potential cytochrome is largely lost during isolation of RC/LHI complexes. The residual amount of this low-potential cytochrome, associated with the RC/LHI complexes, varies with the salt concentration used during the isolation, but remains below 0.2 mol heme c per mol reaction center. This is less than 20% of the amount originally present in photosynthetic membranes. ¬© 1991 Elsevier Science Publishers B.V.</t>
  </si>
  <si>
    <t>6507777239;7006111539</t>
  </si>
  <si>
    <t>Leguijt, Tina;Hellingwerf, Klaas J.</t>
  </si>
  <si>
    <t>Leguijt T.</t>
  </si>
  <si>
    <t>Characterization of reaction center/antenna complexes from bacteriochlorophyll a containing Ectothiorhodospiraceae</t>
  </si>
  <si>
    <t>S0005272805801471</t>
  </si>
  <si>
    <t>10.1016/S0005-2728(05)80147-1</t>
  </si>
  <si>
    <t>2-s2.0-0025752940</t>
  </si>
  <si>
    <t>['¬© 1991', 'rights reserved', 'optimised using', 'electrical engineers', 'coherent environment', 'alternating projection']</t>
  </si>
  <si>
    <t>Antennas | Mathematical techniques</t>
  </si>
  <si>
    <t>In a coherent environment the problem of direction finding using arbitrary antenna array geometries always seems to be a multivariate optimisation problem. An estimator derived using suboptimal eigen techniques and optimised using the method of alternating projection (AP) is shown to be superior to the maximum likelihood method. ¬© 1991, The Institution of Electrical Engineers. All rights reserved.</t>
  </si>
  <si>
    <t>1326-1327</t>
  </si>
  <si>
    <t>Electronics Research Lab</t>
  </si>
  <si>
    <t>Direction Finding in Multipath Environment Using Method of Alternating Projection</t>
  </si>
  <si>
    <t>10.1049/el:19910834</t>
  </si>
  <si>
    <t>2-s2.0-0026187091</t>
  </si>
  <si>
    <t>['¬© 1991', 'rights reserved', 'optimum dimension', 'must possess', 'lpda ).', 'electrical engineers', 'diameter ratio', 'anomalous behaviour']</t>
  </si>
  <si>
    <t>Antennas | Dipole antennas | Numerical methods</t>
  </si>
  <si>
    <t>A point matching method is developed for the evaluation of the performance of the log-periodic dipole antenna (LPDA). Based on this method, the anomalous behaviour of the LPDA is studied and found to be improved at an optimum spacing factor and by selecting a small dipole length to diameter ratio; that is, an LPDA, operating over a given frequency band, must possess an optimum dimension that gives a pattern with eliminated anomalous backlobe peaks. ¬© 1991, The Institution of Electrical Engineers. All rights reserved.</t>
  </si>
  <si>
    <t>1315-1317</t>
  </si>
  <si>
    <t>60013183;60013183;60013183</t>
  </si>
  <si>
    <t>57203737489;7003581616;6503889547</t>
  </si>
  <si>
    <t>Hassan, M. A.;Al Jabri, A.;Al-Hakbani, K.</t>
  </si>
  <si>
    <t>Point-Matching Method for Reduction of Anomalous Radiation of Log-Periodic Dipole Array</t>
  </si>
  <si>
    <t>10.1049/el:19910827</t>
  </si>
  <si>
    <t>2-s2.0-0026187743</t>
  </si>
  <si>
    <t>['¬© 1991', 'stable performance', 'rights reserved', 'problems associated', 'modified form', 'electrical engineers']</t>
  </si>
  <si>
    <t>Antennas | Loop antennas</t>
  </si>
  <si>
    <t>Directional loop antennas have been used for some time for HF reception purposes. However, for stable performance they rely on a good ground connection. A modified form of such an antenna is described which has a balanced feed arrangement and thus does not suffer from the problems associated with the requirement for a solid ground connection. ¬© 1991, The Institution of Electrical Engineers. All rights reserved.</t>
  </si>
  <si>
    <t>1320-1321</t>
  </si>
  <si>
    <t>60022148;60022148</t>
  </si>
  <si>
    <t>35087329300;6504531770</t>
  </si>
  <si>
    <t>Brennan, P. V.;Valverde, Y.</t>
  </si>
  <si>
    <t>Balanced Directional Loop Receiving Antenna</t>
  </si>
  <si>
    <t>10.1049/el:19910830</t>
  </si>
  <si>
    <t>2-s2.0-0026188496</t>
  </si>
  <si>
    <t>['¬© 1991', 'still possible', 'rights reserved', 'pair arrays', 'output signals', 'electrical engineers', 'amplitude errors']</t>
  </si>
  <si>
    <t>Antenna phased arrays | Antennas</t>
  </si>
  <si>
    <t>The sensitivity of the output signals of symmetric-pair arrays to phase and amplitude errors is investigated. It is shown that it is still possible to obtain unambiguous binary information from each pair in the presence of quite considerable errors. ¬© 1991, The Institution of Electrical Engineers. All rights reserved.</t>
  </si>
  <si>
    <t>1557-1559</t>
  </si>
  <si>
    <t>Titze, W.</t>
  </si>
  <si>
    <t>Titze W.</t>
  </si>
  <si>
    <t>Effects of amplitude and phase errors on performance of symmetric-pair arrays</t>
  </si>
  <si>
    <t>10.1049/el:19910976</t>
  </si>
  <si>
    <t>2-s2.0-0026203373</t>
  </si>
  <si>
    <t>['¬© 1991', 'wave antenna', 'rights reserved', 'performance characteristics', 'numerical results', 'novel type', 'new leaky', 'groove guide', 'electrical engineers']</t>
  </si>
  <si>
    <t>A novel type of leaky-wave antenna for millimetre waves based on the V-groove guide is described. A complete transverse equivalent network is presented for analysis and design of this new leaky-wave antenna. Numerical results for the performance characteristics of the antenna are given. ¬© 1991, The Institution of Electrical Engineers. All rights reserved.</t>
  </si>
  <si>
    <t>1573-1574</t>
  </si>
  <si>
    <t>Shen, Z. X.</t>
  </si>
  <si>
    <t>Nanjing University of Aeronautics and Astronautics</t>
  </si>
  <si>
    <t>Shen Z.</t>
  </si>
  <si>
    <t>Novel leaky-wave antenna for millimetre waves based on v-groove guide</t>
  </si>
  <si>
    <t>10.1049/el:19910985</t>
  </si>
  <si>
    <t>2-s2.0-0026204209</t>
  </si>
  <si>
    <t>['¬© 1991', 'split beam', 'small radius', 'rights reserved', 'resistive load', 'plane ),', 'horizontal plane', 'gain shows', 'frequency response', 'electrical engineers', 'circular polarisation', 'antenna length', '68 ¬∞)', '400 ci', '10 db', '004 wavelengths']</t>
  </si>
  <si>
    <t>A bilar helical antenna (BHA) with a small radius (004 wavelengths) and large pitch angle (68¬∞) is analysed using numerical techniques. To reduce the antenna length, the BHA is terminated with a resistive load. A six turn BHA with a resistive load of 400 CI can generate a split beam of circular polarisation, whose direction moves to the horizontal plane (X-Y plane), as the frequency is increased. The frequency response for the gain shows that the BHA has a medium gain ranging from 7 to 10 dB. ¬© 1991, The Institution of Electrical Engineers. All rights reserved.</t>
  </si>
  <si>
    <t>1568-1569</t>
  </si>
  <si>
    <t>60030526;60030526;60030526</t>
  </si>
  <si>
    <t>55633340100;7003298527;57220533028</t>
  </si>
  <si>
    <t>Nakano, H.;Mimaki, H.;Yamauchi, J.</t>
  </si>
  <si>
    <t>Loaded bifilar helical antenna with small radius and large pitch angle</t>
  </si>
  <si>
    <t>10.1049/el:19910982</t>
  </si>
  <si>
    <t>2-s2.0-0026205733</t>
  </si>
  <si>
    <t>['¬© 1991', 'rights reserved', 'monopole antenna', 'electronic system', 'electrical engineers', 'diode sampler', '8 ps', '170 ghz']</t>
  </si>
  <si>
    <t>Detector circuits | Pulse generation</t>
  </si>
  <si>
    <t>An all-electronic system for generating, propagating and detecting picosecond electromagnetic pulses using monolithic integrated circuits is described. with a 1.8 ps (10%-90%) nonlinear transmission line step generator driving a monopole antenna for transmission and a similar antenna driving a diode sampler for reception, the system has shown spectral coverage from 90 to 170 GHz. ¬© 1991, The Institution of Electrical Engineers. All rights reserved.</t>
  </si>
  <si>
    <t>1412-1413</t>
  </si>
  <si>
    <t>60074650;60074650;60074650;60074650</t>
  </si>
  <si>
    <t>7004109084;57194716678;7005884256;17339957900</t>
  </si>
  <si>
    <t>Van Der Weide, D. W.;Bostak, J. S.;Auld, B. A.;Bloom, D. M.</t>
  </si>
  <si>
    <t>Ginzton Laboratory</t>
  </si>
  <si>
    <t>Van Der Weide D.</t>
  </si>
  <si>
    <t>All-Electronic Free-Space Picosecond Pulse Generation and Detection</t>
  </si>
  <si>
    <t>10.1049/el:19910886</t>
  </si>
  <si>
    <t>2-s2.0-0026206718</t>
  </si>
  <si>
    <t>['¬© 1991', 'wave dipole', 'thin dielectric', 'rights reserved', 'radiation pattern', 'experimental data', 'electrical engineers', 'derived using', 'calculated results', 'analytical expression']</t>
  </si>
  <si>
    <t>Antenna radiation patterns | Antennas | Dielectric devices</t>
  </si>
  <si>
    <t>An analytical expression to depict the radiation pattern of a thin dielectric-disc antenna excited by a half-wave dipole is derived using the Monteath field compensation theorem. Calculated results are compared with experimental data and with numerically computed values available elsewhere. ¬© 1991, The Institution of Electrical Engineers. All rights reserved.</t>
  </si>
  <si>
    <t>1277-1278</t>
  </si>
  <si>
    <t>60017606;60017606;60017606</t>
  </si>
  <si>
    <t>6602081783;6602843301;7003941001</t>
  </si>
  <si>
    <t>Helmken, H.;Ponce De Leon, L. A.;Neelakanta, P. S.</t>
  </si>
  <si>
    <t>Boca Raton</t>
  </si>
  <si>
    <t>Florida Atlantic University</t>
  </si>
  <si>
    <t>Helmken H.</t>
  </si>
  <si>
    <t>Radiation Characteristics of Dipole-Excited Dielectric-Disc Antenna: Application of Field Compensation Theorem</t>
  </si>
  <si>
    <t>10.1049/el:19910800</t>
  </si>
  <si>
    <t>2-s2.0-0026415999</t>
  </si>
  <si>
    <t>['well suited', 'uniplanar equivalent', 'rights reserved', 'measured vswr', 'insertion loss', 'electrical engineers', 'better characteristics']</t>
  </si>
  <si>
    <t>Microwave devices</t>
  </si>
  <si>
    <t>A new uniplanar CPW-slot double junction balun has been proposed. Being realised as a uniplanar equivalent of the microstrip-slot double junction transition, this balun is well suited for MMICs, and has better characteristics than other uniplanar baluns published up to now. The measured VSWR is less than 1.6 and insertion loss is about 0.7dB for bandwidth ratio 1:6.¬© 1991, The Institution of Electrical Engineers. All rights reserved.</t>
  </si>
  <si>
    <t>813-815</t>
  </si>
  <si>
    <t>112656099;112656099</t>
  </si>
  <si>
    <t>57194906826;21934283200</t>
  </si>
  <si>
    <t>Trifunovlc, V.;Jokanovlc, B.</t>
  </si>
  <si>
    <t>Trifunovlc V.</t>
  </si>
  <si>
    <t>New Uniplanar Balun</t>
  </si>
  <si>
    <t>10.1049/el:19910511</t>
  </si>
  <si>
    <t>2-s2.0-0026420410</t>
  </si>
  <si>
    <t>['wavenumber domains', 'spectrum estimation', 'rights reserved', 'electrical engineers', 'data collected']</t>
  </si>
  <si>
    <t>Radar | Scattering</t>
  </si>
  <si>
    <t>Thomson's multiple window method of spectrum estimation is applied to the problem of diffuse multipath characterisation in a low angle tracking radar environment The method gives optimum power spectrum estimates in both the frequency and wavenumber domains. The results presented herein are based on data collected by means of a 32-element sampled aperture antenna system operating at 10-2 GHz.¬© 1991, The Institution of Electrical Engineers. All rights reserved.</t>
  </si>
  <si>
    <t>798-799</t>
  </si>
  <si>
    <t>57190390552;7101764513</t>
  </si>
  <si>
    <t>Drosopoulos, A.;Haykin, S.</t>
  </si>
  <si>
    <t>Drosopoulos A.</t>
  </si>
  <si>
    <t>Experimental Characterisation Of Diffuse Multipath At 10 2Ghz Using Method Of Multiple Windows</t>
  </si>
  <si>
    <t>10.1049/el:19910500</t>
  </si>
  <si>
    <t>2-s2.0-0026420437</t>
  </si>
  <si>
    <t>['¬© 1991', 'rights reserved', 'resonance frequency', 'microstrip feedline', 'input impedance', 'feeding junction', 'experimental analysis', 'electrical engineers', 'directly usable']</t>
  </si>
  <si>
    <t>Antennas | Computer-aided design</t>
  </si>
  <si>
    <t>An experimental analysis is developed for the corner-fed printed square patch antenna, taking into account the width of the feeding junction and the proximity of the microstrip feedline. New accurate design relations for resonance frequency and input impedance are deduced, directly usable for the computer aided design of printed antenna arrays. ¬© 1991, The Institution of Electrical Engineers. All rights reserved.</t>
  </si>
  <si>
    <t>1410-1412</t>
  </si>
  <si>
    <t>26536508100;7202044329</t>
  </si>
  <si>
    <t>Motta Cruz, E.;Daniel, J. P.</t>
  </si>
  <si>
    <t>Experimental Analysis of Corner-Fed Printed Square Patch Antennas</t>
  </si>
  <si>
    <t>10.1049/el:19910885</t>
  </si>
  <si>
    <t>2-s2.0-84943459504</t>
  </si>
  <si>
    <t>['¬© 1991', 'uniform medium', 'statistical theory', 'spherical volume', 'spherical antenna', 'refractive index', 'radiation emitted', 'radiation due', 'magnetic permeability', 'derive theorems', 'convenient decomposition', 'complex dielectric']</t>
  </si>
  <si>
    <t>We derive theorems for the radiation emitted by a spherical antenna in a uniform medium with complex dielectric and magnetic permeability. Subsequently we consider the radiation due to a plane wave antenna limited to a spherical volume. The corresponding electric field is related to an integral kernel appearing in the statistical theory of the refractive index. For this kernel we derive a convenient decomposition into vector spherical waves. ¬© 1991.</t>
  </si>
  <si>
    <t>561-576</t>
  </si>
  <si>
    <t>Physica A: Statistical Mechanics and its Applications</t>
  </si>
  <si>
    <t>60016653;60016653</t>
  </si>
  <si>
    <t>57210053365;7005563992</t>
  </si>
  <si>
    <t>Ersfeld, B.;Felderhof, B. U.</t>
  </si>
  <si>
    <t>Aachen</t>
  </si>
  <si>
    <t>Rheinisch-Westf√§lische Technische Hochschule Aachen</t>
  </si>
  <si>
    <t>Ersfeld B.</t>
  </si>
  <si>
    <t>Spherical antenna theorems in electrodynamics</t>
  </si>
  <si>
    <t>037843719190380U</t>
  </si>
  <si>
    <t>10.1016/0378-4371(91)90380-U</t>
  </si>
  <si>
    <t>2-s2.0-11544351076</t>
  </si>
  <si>
    <t>['¬© 1991', 'upon association', 'subunit form', 'similar structure', 'rights reserved', 'rhodospirillum rubrum', 'rhodobacter sphaeroides', 'rhodobacter capsulatus', 'results showing', 'recon ),', 'r .,', 'polarized fluorescence', 'oscillator strength', 'optical properties', 'miller j', 'main low', 'local decrease', 'interacting bacteriochlorophyll', 'fluorescence polarization', 'energy component', 'different structure', 'detergent n', 'core antennas', 'complex formed', 'cd measurements', 'blue side', 'biochemistry 26', 'best explained', 'b820 subunit', 'antiparallel configuration', 'absorption band', '33 ¬∞.', '., sprinkle', '., callahan']</t>
  </si>
  <si>
    <t>Measurements of polarized fluorescence and CD were made on light-harvesting complex 1 and a subunit form of this complex from Rhodospirillum rubrum, Rhodobacter sphaeroides, and Rhodobacter capsulatus. The subunit form of LH1, characterized by a near-infrared absorbance band at approximately 820 nm, was obtained by titration of carotenoid-depleted LH1 complexes with the detergent n-octyl Œ≤-D-glucopyranoside as reported by Miller et al. (1987) [Miller J. F., Hinchigeri, S. B., Parkes-Loach, P. S., Callahan, P. M., Sprinkle, J. R., &amp; Loach, P. A. (1987) Biochemistry 26, 5055‚Äì5062]. Fluorescence polarization and CD measurements at 77 K suggest that this subunit form must consist of an interacting bacteriochlorophyll a dimer in all three bacterial species. A small, local decrease in the polarization of the fluorescence is observed upon excitation at the blue side of the absorption band of the B820 subunit. This decrease is ascribed to the presence of a high-energy exciton component, perpendicular to the main low-energy exciton component. From the extent of the depolarization, we estimate the oscillator strength of the high-energy component to be at most 3% of the main absorption band. The optical properties of B820 are best explained by a Bchl a dimer that has a parallel or antiparallel configuration with an angle between the Qy transition dipoles not larger than 33¬∞. The importance of this structure is emphasized by the results showing that core antennas from three different purple bacteria have a similar structure. Upon association of the B820 subunit by removing the detergent, a B873(reassoc) complex is formed with optical properties nearly identical with the LH1 antenna complex. The fluorescence polarization gives no indications for a different structure of B820(recon), a complex formed by reconstituting the bacteriochlorophyll a with only the Œ≤-polypeptide from light-harvesting complex 1 from Rhodospirillum rubrum. ¬© 1991, American Chemical Society. All rights reserved.</t>
  </si>
  <si>
    <t>5734-5742</t>
  </si>
  <si>
    <t>Biochemistry</t>
  </si>
  <si>
    <t>60008734;60007363;60008734;60007363;60007363;60007363;60008734</t>
  </si>
  <si>
    <t>7004878962;56301320600;7003691142;6602856309;7006583322;7003761706;56711386900</t>
  </si>
  <si>
    <t>Visschers, R. W.;Chang, M. C.;van Mourik, F.;Parkes-Loach, P. S.;Heller, B. A.;Loach, P. A.;van Grondelle, R.</t>
  </si>
  <si>
    <t>Netherlands;United States</t>
  </si>
  <si>
    <t>Amsterdam;Evanston</t>
  </si>
  <si>
    <t>Vrije Universiteit Amsterdam;Northwestern University</t>
  </si>
  <si>
    <t>60008734;60007363</t>
  </si>
  <si>
    <t>Visschers R.W.</t>
  </si>
  <si>
    <t>Fluorescence Polarization and Low-Temperature Absorption Spectroscopy of a Subunit Form of Light-Harvesting Complex I from Purple Photosynthetic Bacteria</t>
  </si>
  <si>
    <t>10.1021/bi00237a015</t>
  </si>
  <si>
    <t>2-s2.0-0025743428</t>
  </si>
  <si>
    <t>['vitro transcription', 'type ii', 'type 1', 'tryptic peptides', 'translation gave', 'sequence analysis', 'psii cabs', 'psii ),', 'psi cabs', 'porphyrin rings', 'polar groups', 'photosystem ii', 'mg atoms', 'membrane helices', 'mature protein', 'five introns', 'cp29 polypeptide', 'could ligate', 'core chlorophyll', 'copy gene', 'conserved regions', 'conserved asp', 'closely related', 'cab9 polypeptide', 'cab protein', 'cab polypeptides', 'cab family', 'asn residues', 'arg residues', 'approximately 26', 'antenna complex', 'absolutely conserved', '28 kda', '26 kda']</t>
  </si>
  <si>
    <t>CAB gene family | Cab9 | Chlorophyll a/b antenna polypeptide | CP29</t>
  </si>
  <si>
    <t>CP29, the core chlorophyll a/b (CAB) antenna complex of Photosystem II (PSII), has two nuclearencoded polypeptides of approximately 26 and 28 kDa in tomato (Lycopersicon esculentum). Cab9, the gene for the Type 1 (26 kDa) CP29 polypeptide was cloned by immunoscreening a tomato leaf cDNA library. Its identity was confirmed by sequencing tryptic peptides from the mature protein. Cab9 is a single-copy gene with five introns, the highest number found in a CAB protein. In vitro transcription-translation gave a 31 kDa precursor which was cleaved to about 26 kDa after import into isolated tomato chloroplasts. The Cab9 polypeptide has the two highly conserved regions common to all CAB polypeptides, which define the members of this extended gene family. Outside of the conserved regions, it is only slightly more closely related to other PSII CABs than to PSI CABs. Sequence analysis of tryptic peptides from the Type II (28 kDa) CP29 polypeptide showed that it is also a member of the CAB family and is very similar or identical to the CP29 polypeptide previously isolated from spinach. All members of the CAB family have absolutely conserved His, Gln and Asn residues which could ligate the Mg atoms of the chlorophylls, and a number of conserved Asp, Glu, Lys and Arg residues which could form H-bonds to the polar groups on the porphyrin rings. The two conserved regions comprise the first and third predicted trans-membrane helices and the stroma-exposed segments preceding them. ¬© 1991 Springer-Verlag.</t>
  </si>
  <si>
    <t>MGG Molecular &amp; General Genetics</t>
  </si>
  <si>
    <t>60025778;60010365;60004923;60025778;60010365;60010365</t>
  </si>
  <si>
    <t>7005046349;57209110457;57216466797;57198693302;36066918700;7401825069</t>
  </si>
  <si>
    <t>Pichersky, Eran;Subramaniam, Rajagopal;Whites, Michael J.;Reid, James;Aebersold, Ruedi;Green, Beverley R.</t>
  </si>
  <si>
    <t>United States;Canada;United States</t>
  </si>
  <si>
    <t>Ann Arbor;Vancouver;Raleigh</t>
  </si>
  <si>
    <t>University of Michigan, Ann Arbor;The University of British Columbia;NC State University</t>
  </si>
  <si>
    <t>60025778;60010365;60004923</t>
  </si>
  <si>
    <t>Pichersky E.</t>
  </si>
  <si>
    <t>Chlorophyll a/b binding (CAB) polypeptides of CP29, the internal chlorophyll a/b complex of PSII: characterization of the tomato gene encoding the 26 kDa (type 1) polypeptide, and evidence for a second CP29 polypeptide</t>
  </si>
  <si>
    <t>10.1007/BF00259681</t>
  </si>
  <si>
    <t>2-s2.0-0025756934</t>
  </si>
  <si>
    <t>['¬© 1991', 'wt cells', 'wild type', 'two mutants', 'thylakoid membranes', 'shifted relative', 'rights reserved', 'mutants lacking', 'mutants indicates', 'molecular mass', 'less mutants', 'less complexes', 'directed mutagenesis', 'detergent shell', 'core complex', 'blue shift', 'biochemical extraction', 'antenna size', 'absorbance spectrum']</t>
  </si>
  <si>
    <t>Two mutants of Synechocystis PCC 6803 lacking the psbC gene product CP43 were constructed by site-directed mutagenesis. Analysis of cells and thylakoid membranes of these mutants indicates that PS II reaction centers accumulate to a concentration of about 10% of that of WT cells. PS II core complexes isolated from mutants lacking the CP43 subunit show light-driven electron transfer from the secondary electron donor Z to the primary quinone electron acceptor QA with a quantum yield similar to that of wild type, indicating that CP43 is not required for binding or function of QA. The use of mutants for the removal of CP43 thus avoids the loss of QA function associated with biochemical extraction of CP43 from intact core complexes. Both absorbance and fluorescence emission maxima of the mutant complexes show a blue shift in comparison to the WT PS II core complex, indicating that the absorbance spectrum of CP43 is red-shifted relative to that of the remainder of the core complex. The antenna size of these CP43-less complexes is about 70% of that of WT, indicating that approximately 15 chlorophyll molecules are bound by CP43. The molecular mass of the PS II complex, including the detergent shell, shifts from 310 ¬± 15 kDa in WT to 285 ¬± 15 kDa in the CP43-less mutants. ¬© 1991, American Chemical Society. All rights reserved.</t>
  </si>
  <si>
    <t>5387-5395</t>
  </si>
  <si>
    <t>60000401;60010910;60010910</t>
  </si>
  <si>
    <t>7003290055;7102851188;57202560728</t>
  </si>
  <si>
    <t>R√∂gner, Matthias;Chisholm, Dexter A.;Diner, Bruce A.</t>
  </si>
  <si>
    <t>Wilmington;Munster</t>
  </si>
  <si>
    <t>DuPont;Westf√§lische Wilhelms-Universit√§t M√ºnster</t>
  </si>
  <si>
    <t>60010910;60000401</t>
  </si>
  <si>
    <t>R√∂gner M.</t>
  </si>
  <si>
    <t>Site-Directed Mutagenesis of the psbC Gene of Photosystem II: Isolation and Functional Characterization of CP43-less Photosystem II Core Complexes</t>
  </si>
  <si>
    <t>10.1021/bi00236a009</t>
  </si>
  <si>
    <t>2-s2.0-0025834694</t>
  </si>
  <si>
    <t>['rf signal', 'array antenna', 'active phased']</t>
  </si>
  <si>
    <t>Analysis of an active phased-array antenna under pulsed-RF conditions using vector network measurement is considered. The passing of a pulsed-RF signal through a vector network analyzer receiver is discussed.</t>
  </si>
  <si>
    <t>Visser, Huib J.</t>
  </si>
  <si>
    <t>Electronics Lab</t>
  </si>
  <si>
    <t>Visser H.</t>
  </si>
  <si>
    <t>Method provides fast measurement of pulsed signals</t>
  </si>
  <si>
    <t>2-s2.0-0026168918</t>
  </si>
  <si>
    <t>['simulation tool', 'simulation parameters', 'see table', 'radar analysis', 'doppler radar', 'airborne pulsed']</t>
  </si>
  <si>
    <t>Simulation parameters of a monostatic airborne pulsed-doppler radar are presented. Realistic antenna characterization for accurate performance prediction is discussed. A simulation was performed on an airborne pulsed-Doppler radar system (see table) using the Radar Analysis/Simulation Tool (RAST) and Phased-Array Analysis System (PAAS) programs.</t>
  </si>
  <si>
    <t>Hancock, Robert J.</t>
  </si>
  <si>
    <t>CAE Soft Corporation</t>
  </si>
  <si>
    <t>Hancock R.J.</t>
  </si>
  <si>
    <t>Simulation tool speeds doppler radar analysis</t>
  </si>
  <si>
    <t>2-s2.0-0026168919</t>
  </si>
  <si>
    <t>['successfully operated', 'successfully obtained', 'successfully developed', 'strathclyde university', 'power experiments', 'output window', 'optical components', 'optical antenna', 'frequency range', 'final version', 'externally coupled', 'cut radiator', 'current mk', 'combined maser', '200 ghz', '2 ghz']</t>
  </si>
  <si>
    <t>gyrotron | Quasi-optical mode converter</t>
  </si>
  <si>
    <t>A series of electron cyclotron masers (ECMs) has been designed and successfully operated in the frequency range of 6 to 200 GHz over the past 10 years at Strathclyde University. The current Mk. VI ECM operated between 35-200 GHz, the TE0 10 mode (35.2 GHz) being the lowest order cavity mode excited. Investigation of this ECM and quasi-optical converter combination was made to establish to what extent a Gaussian beam could be produced from the TE0 10 gyrotron cavity mode. An antenna of the Vlasov (step-cut radiator) configuration was chosen and successfully developed in a series of low-power experiments up to the W-band frequency regime. The low-power experiments demonstrated that such an antenna system could be constructed and operated in the Ka-band frequency region without resorting to high precision quasi-optical components. The final version of the quasi-optical antenna was externally coupled to the output window of the maser and a plane polarized pencil beam was successfully obtained from the combined maser/Vlasov antenna mode converter. A theoretical model involving a single TE0n0 input mode was chosen to analyse the output beam characteristics from the Vlasov antenna system. Comparison was made between the single mode theoretical model and the experimental results obtained from the maser. ¬© 1991 Plenum Publishing Corporation.</t>
  </si>
  <si>
    <t>629-648</t>
  </si>
  <si>
    <t>60024724;60024724;60024724</t>
  </si>
  <si>
    <t>6507514570;6701698691;7102700277</t>
  </si>
  <si>
    <t>Winning, P. R.;Spark, S. N.;Phelps, A. D.R.</t>
  </si>
  <si>
    <t>Glasgow</t>
  </si>
  <si>
    <t>University of Strathclyde</t>
  </si>
  <si>
    <t>Winning P.</t>
  </si>
  <si>
    <t>Quansi-optical mode converter for K&lt;inf&gt;a&lt;/inf&gt;-band application on a gyrotron</t>
  </si>
  <si>
    <t>10.1007/BF01010381</t>
  </si>
  <si>
    <t>2-s2.0-0026169653</t>
  </si>
  <si>
    <t>['typical instrument', 'tapered absorber', 'severely affected', 'secondary mirror', 'scattering cones', 'research note', 'reflection coefficient', 'recent experiment', 'proved effective', 'multiple reflections', 'may still', 'important paths', 'greatly reduced', 'graphical analysis', 'given mechanism', 'fact reduce', 'broad bandwidth', 'astronomical community', 'although ripple', 'acceptable level']</t>
  </si>
  <si>
    <t>Baseline ripple | Cassegrain antennas | Chromatism | Reflection coefficient | VSWR</t>
  </si>
  <si>
    <t>Multiple reflections in large radiotelescopes used for astronomical spectroscopy cause characteristic modulations of the observed spectrum ("baseline ripple"). For a given mechanism, the magnitude of the effect depends primarily on the reflection coefficient, which for the most important paths is proportional to Œª. Although ripple is thus generally negligible at mm-wavelengths, there are some instances where it may still be significant, and a recent experiment at the 15 m James Clerk Maxwell Telescope was severely affected. We describe a technique which has proved effective in reducing the ripple to an acceptable level. The purpose of this research note is to draw this technique to the attention of the astronomical community. We calculate the reflection coefficient for a typical instrument and show that it can be greatly reduced over a very broad bandwidth by means of a tapered absorber in the centre of the secondary mirror. The graphical analysis of the tapered absorber also demonstrates that the scattering cones and circular absorbers widely used in radioastronomy do not in fact reduce the reflection coefficient significantly. ¬© 1991 Plenum Publishing Corporation.</t>
  </si>
  <si>
    <t>589-599</t>
  </si>
  <si>
    <t>60101780;60101780</t>
  </si>
  <si>
    <t>7005970572;57203048048</t>
  </si>
  <si>
    <t>Padman, Rachael;Hills, Richard E.</t>
  </si>
  <si>
    <t>Mullard Radio Astronomy Observatory</t>
  </si>
  <si>
    <t>VSWR reduction for large millimeter-wave cassegrain radiotelescopes</t>
  </si>
  <si>
    <t>10.1007/BF01010378</t>
  </si>
  <si>
    <t>2-s2.0-0026169716</t>
  </si>
  <si>
    <t>['tomographic imaging', 'signal beam', 'paper describes', 'new application', 'laser beam', 'internal structure', 'heterodyne technique', 'ground glass', 'dimensional imaging', 'diffuse nature', 'completely obstructed', 'biomedical interest', 'achieve scanning', '400 œºm']</t>
  </si>
  <si>
    <t>42.60.Kg | 87.60 Gp</t>
  </si>
  <si>
    <t>This paper describes a new application of optical heterodyne detection using a laser beam for two-dimensional imaging of the internal structure of strongly scattering media in which the structure is completely obstructed from normal visual observation. The directional resolution capability for image formation due to the excellent antenna properties of the heterodyne technique is verified experimentally using a ground glass to cause strong scattering of the signal beam. Successful image detection of a test target placed in a highly scattering absorptive medium, with spatial resolution better than 400 Œºm in the case of our experiments, demonstrates that this Coherent Detection Imaging (CDI) method can overcome the diffuse nature of images in media such as those of biomedical interest and others to achieve scanning and tomographic imaging. ¬© 1991 Springer-Verlag.</t>
  </si>
  <si>
    <t>391-394</t>
  </si>
  <si>
    <t>Applied Physics B Photophysics and Laser Chemistry</t>
  </si>
  <si>
    <t>60082727;60008435;60082727;60082727-60008435</t>
  </si>
  <si>
    <t>7005476927;35416423800;7103391017;57201758494</t>
  </si>
  <si>
    <t>Toida, M.;Kondo, M.;Ichimura, T.;Inaba, H.</t>
  </si>
  <si>
    <t>Tsukuba;Sendai</t>
  </si>
  <si>
    <t>Research Development Corporation of Japan;Tohoku University</t>
  </si>
  <si>
    <t>60082727;60008435</t>
  </si>
  <si>
    <t>Toida M.</t>
  </si>
  <si>
    <t>Two-dimensional coherent detection imaging in multiple scattering media based on the directional resolution capability of the optical heterodyne method</t>
  </si>
  <si>
    <t>10.1007/BF00325156</t>
  </si>
  <si>
    <t>2-s2.0-0026170675</t>
  </si>
  <si>
    <t>['wave sources', 'tunable fabry', 'spectroscopic applications', 'schematic representation', 'perot interferometer', 'perot filters', 'optical fabry', 'narrowband quasi', 'heterodyne detected', 'fets integrated', 'experimental arrangement']</t>
  </si>
  <si>
    <t>The generation of continuous wave 60-GHz millimeter wave radiation from FETs integrated with planar antennas using optical mixing is demonstrated. The radiation was propagated through narrowband quasi-optical Fabry-Perot filters and heterodyne detected in a second FET antenna structure. A schematic representation of the experimental arrangement is given. The response of a tunable Fabry-Perot interferometer is measured. In addition to spectroscopic applications, this transmitter/receiver system demonstrates the feasibility of having optically fed arrays of millimeter-wave sources.</t>
  </si>
  <si>
    <t>60027550;60027550;60027550;60027550</t>
  </si>
  <si>
    <t>7006054958;7404952877;7006863370;7006388096</t>
  </si>
  <si>
    <t>Plant, D. V.;Scott, D. C.;Ni, D. C.;Fetterman, H. R.</t>
  </si>
  <si>
    <t>Plant D.V.</t>
  </si>
  <si>
    <t>Generation of millimeter-wave radiation by optical mixing in FET's integrated with printed circuit antennas</t>
  </si>
  <si>
    <t>10.1109/75.91089</t>
  </si>
  <si>
    <t>2-s2.0-0026170896</t>
  </si>
  <si>
    <t>['wiley company', 'results could', 'layered dielectric', 'inc .,']</t>
  </si>
  <si>
    <t>circular cylinder | dispersion | layered substrate | Microstrip | slot line</t>
  </si>
  <si>
    <t>The results of a highly effective numerical analysis of fundamental and higher‚Äêorder modes on open circular cylindrical microstrip and slot lines filled with layered dielectric are presented. The results could be used to optimize the bandwidth and mode‚Äêpurity characteristics of the lines. Copyright ¬© 1991 Wiley Periodicals, Inc., A Wiley Company</t>
  </si>
  <si>
    <t>274-277</t>
  </si>
  <si>
    <t>56962710300;6603533504</t>
  </si>
  <si>
    <t>Nosich, Alexander I.;Svezhentsev, Alexander Ye</t>
  </si>
  <si>
    <t>Nosich A.I.</t>
  </si>
  <si>
    <t>Accurate computation of mode characteristics for open‚Äêlayered circular cylindrical microstrip and slot lines</t>
  </si>
  <si>
    <t>10.1002/mop.4650040710</t>
  </si>
  <si>
    <t>2-s2.0-0026171249</t>
  </si>
  <si>
    <t>Luonnontieteiden ja Tekniikan Tutkimuksen Toimikunta</t>
  </si>
  <si>
    <t>['weather systems', 'related issues', 'radar clutter', 'physical phenomena', 'physical basis', 'important features', 'historical perspective', 'extraction procedure', 'experimental evaluation', 'clutter signals']</t>
  </si>
  <si>
    <t>The results of an experimental study aimed at the classification of radar clutter encountered on ground-based coherent scanning radar systems used for air traffic control are presented. The clutter signals of interest are primarily those due to birds and to clouds and weather systems. A historical perspective on the radar clutter classification problem is given, and related issues are discussed. The important features of radar as a sensor in an air traffic control environment are described, and physical phenomena in radar clutter and targets, which provide the physical basis for the discrimination between the different radar clutter classes, are discussed. The feature of selection/extraction procedure, which is based on the multisegment Burg algorithm, is described. The experimental evaluation of a parametric Bayes classifier and a neural network classifier is reported.</t>
  </si>
  <si>
    <t>742-772</t>
  </si>
  <si>
    <t>60031828;60031828;60031828;60031828;60031828</t>
  </si>
  <si>
    <t>7101764513;6603421823;36907620800;56811811100;7401907707</t>
  </si>
  <si>
    <t>Haykin, Simon;Stehwien, Wolfgang;Deng, Cong;Weber, Peter;Mann, Richard</t>
  </si>
  <si>
    <t>Classification of radar clutter in an air traffic control environment</t>
  </si>
  <si>
    <t>10.1109/5.90155</t>
  </si>
  <si>
    <t>2-s2.0-0026171989</t>
  </si>
  <si>
    <t>['width broadening', 'totally eliminated', 'steered broad', 'rejecting interference', 'quadratic constraint', 'paper presents', 'order case', 'optimised version', 'new set', 'much reduced', 'may make', 'linear processing', 'line implementation', 'flat response', 'exactly pre', 'constraints required', 'constraints ensure', 'better performance', 'beam pattern', 'band processors']</t>
  </si>
  <si>
    <t>The paper presents a new set of constraints for controlling the beam pattern spatial derivatives of a broad-band element space antenna array processor. The constraints ensure that the beam pattern of the processor is independent of the choice of phase centre location. The results are applicable to arbitrary array configuration and arbitrary frequency response including a flat response. It is shown that in general, for the first-order case, the set of constraints is linear but, for the second-order case, the set of constraints is linear as well as quadratic. The paper then considers the flat response case in detail and presents a method for realising the quadratic constraint with two linear constraints. It is shown that, using these two linear constraints, the dependency of the beam pattern on the choice of the phase centre location cannot be totally eliminated but the effect has been very much reduced. As a byproduct, the new set of linear constraints also reduce the number of constraints required to achieve beam broadening for the exactly pre-steered broad-band processors. The paper also presents a method for optimising the beam pattern with respect to the phase centre location. Numerical results showed that the optimised version has a better performance in terms of maintaining the beam-width broadening and a capability of rejecting interference. However, the optimisation involves non-linear processing. This may make it unsuitable for on-line implementation.</t>
  </si>
  <si>
    <t>87-101</t>
  </si>
  <si>
    <t>Journal of Electrical and Electronics Engineering, Australia</t>
  </si>
  <si>
    <t>60005510;60005510;60005510</t>
  </si>
  <si>
    <t>7102842938;24341657200;7005144794</t>
  </si>
  <si>
    <t>Er, M. H.;Ng, B. P.;Cantoni, A.</t>
  </si>
  <si>
    <t>New set of constraints for derivative-constrained broad-band beam-formers</t>
  </si>
  <si>
    <t>2-s2.0-0026173717</t>
  </si>
  <si>
    <t>['radiation pattern', 'largest sidelobes', 'circular apertures', 'aperture modules', 'amplitude distribution']</t>
  </si>
  <si>
    <t>The dependence of the area utilization coefficient and the level of the largest sidelobes of the radiation pattern of an antenna array consisting of large-aperture modules with circular apertures on the form of the amplitude distribution over the apertures of the modules is analyzed.</t>
  </si>
  <si>
    <t>98-100</t>
  </si>
  <si>
    <t>6505932269;6701371017</t>
  </si>
  <si>
    <t>Ganin, S. A.;Polukhin, G. A.</t>
  </si>
  <si>
    <t>Ganin S.</t>
  </si>
  <si>
    <t>Antenna array consisting of large-aperture modules with circular apertures</t>
  </si>
  <si>
    <t>2-s2.0-0026175339</t>
  </si>
  <si>
    <t>['systolic calculator', 'synthesized based']</t>
  </si>
  <si>
    <t>A systolic calculator is synthesized based on a vectorized adaptation algorithm for a centrally-symmetric antenna array for realizing direct spatial processing with Toeplitz and block-Toeplitz sampling correlation matrices.</t>
  </si>
  <si>
    <t>81-83</t>
  </si>
  <si>
    <t>6602851818;57195693574</t>
  </si>
  <si>
    <t>Glushankov, Ye I.;Kolesnikov, A. N.</t>
  </si>
  <si>
    <t>Glushankov Y.</t>
  </si>
  <si>
    <t>Synthesis of a systolic calculator for realizing a spatial signal processing algorithm</t>
  </si>
  <si>
    <t>2-s2.0-0026175586</t>
  </si>
  <si>
    <t>['television screen', 'surface terrain', 'radio waves', 'picture quality', 'echoes may', 'echoes ),', 'echo level', 'echo images', 'direct reception', 'common forms']</t>
  </si>
  <si>
    <t>One of the most common forms of distortion in television are echo images (echoes), i.e., secondary, horizontally shifted program images on the television screen. Echoes may be caused by a number of effects: reflection of radio waves by structures and surface terrain, a mismatch in the antenna-feeder and cable distribution systems, direct reception by the receiver input circuitry (bypassing the antenna), etc. In dealing with such distortion as well as standardizing echo signals it is above all necessary to know the dependence of the picture quality on the echo level: the so-called impairment characteristic, which is the subject of this paper.</t>
  </si>
  <si>
    <t>Lokshin, M. G.</t>
  </si>
  <si>
    <t>Lokshin M.</t>
  </si>
  <si>
    <t>Standardization of echo signals in television</t>
  </si>
  <si>
    <t>2-s2.0-0026175665</t>
  </si>
  <si>
    <t>['several points', 'physical parameters', 'physical conditions', 'discrete sources']</t>
  </si>
  <si>
    <t>The extensive H166Œ± line, several points in each region, and 1.4 GHz continuum observations from nineteen HII regions were carried out with the 30-m antenna of the Instituto Argentino de Radioastronom√≠a. Physical parameters of the low-density ionized gas associated to the sources, were obtained from these observations. From these results, and those of the northern and southern H166Œ± surveys (Hart and Pedlar, 1976b; Lockman, 1976; Cersosimo et al., 1989), we can assume that the physical conditions of the low-density ionized gas, seen both in direction to and away from discrete sources, are similar. ¬© 1991 Kluwer Academic Publishers.</t>
  </si>
  <si>
    <t>105-111</t>
  </si>
  <si>
    <t>1572946X</t>
  </si>
  <si>
    <t>0004640X</t>
  </si>
  <si>
    <t>Astrophysics and Space Science</t>
  </si>
  <si>
    <t>Azc√°rate, I. N.</t>
  </si>
  <si>
    <t>Argentina</t>
  </si>
  <si>
    <t>Berazategui</t>
  </si>
  <si>
    <t>Instituto Argentino de Radioastronomia</t>
  </si>
  <si>
    <t>Azc√°rate I.N.</t>
  </si>
  <si>
    <t>H166Œ± line emission in southern HII regions</t>
  </si>
  <si>
    <t>10.1007/BF00644232</t>
  </si>
  <si>
    <t>2-s2.0-26444495522</t>
  </si>
  <si>
    <t>600-603</t>
  </si>
  <si>
    <t>7006198109;7102384283</t>
  </si>
  <si>
    <t>Gershman, A. B.;Ermolaev, V. T.</t>
  </si>
  <si>
    <t>Synthesis of the weight distribution of an adaptive antenna array with wide dips in the directional pattern</t>
  </si>
  <si>
    <t>10.1007/BF01039589</t>
  </si>
  <si>
    <t>2-s2.0-34249840958</t>
  </si>
  <si>
    <t>['double phase', 'conjugate mirror', 'antenna theorem', 'angular field']</t>
  </si>
  <si>
    <t>The use of a double phase-conjugate mirror to increase the angular field of view of an optical heterodyne receiver is investigated. Fields of view and overall efficiencies far larger than those predicted by the antenna theorem for conventional heterodyne systems are obtained. ¬© 1991 Optical Society of America.</t>
  </si>
  <si>
    <t>832-834</t>
  </si>
  <si>
    <t>60024592;60024592</t>
  </si>
  <si>
    <t>7202282091;7005600951</t>
  </si>
  <si>
    <t>Adams, Laura E.;Bondurant, Roy S.</t>
  </si>
  <si>
    <t>Lexington</t>
  </si>
  <si>
    <t>Lincoln Laboratory</t>
  </si>
  <si>
    <t>Adams L.</t>
  </si>
  <si>
    <t>Wide-field-of-view heterodyne receiver using a photorefractive double phase-conjugate mirror</t>
  </si>
  <si>
    <t>10.1364/OL.16.000832</t>
  </si>
  <si>
    <t>2-s2.0-84975564196</t>
  </si>
  <si>
    <t>['¬© 1991', 'two coils', 'rights reserved', 'numerically demonstrated', 'electrical engineers', 'decoupling element', 'band operation', 'antenna consists', '900 mhz', '67 cm']</t>
  </si>
  <si>
    <t>Antennas | Mathematical techniques | Numerical methods</t>
  </si>
  <si>
    <t>Double-band operation (85 and 900 MHz) of a collinear monopole antenna is numerically demonstrated. The antenna consists of three linear wires connected with two coils, and has a height of 67 cm. One coil acts as a phase compensation element to increase the gain and the other as a decoupling element for use in the mobile telephone band. ¬© 1991, The Institution of Electrical Engineers. All rights reserved.</t>
  </si>
  <si>
    <t>1103-1104</t>
  </si>
  <si>
    <t>55633340100;57198177790;57220533028</t>
  </si>
  <si>
    <t>Nakano, H.;Chiba, N.;Yamauchi, J.</t>
  </si>
  <si>
    <t>Numerical Analysis Of Collinear Monopole Antennas With Coils</t>
  </si>
  <si>
    <t>10.1049/el:19910685</t>
  </si>
  <si>
    <t>2-s2.0-0026418141</t>
  </si>
  <si>
    <t>['¬© 1991', 'rights reserved', 'radiation pattern', 'radiation direction', 'helical antenna', 'feeding method', 'endfire radiation', 'electrical engineers', 'difference except', 'antenna polarisation']</t>
  </si>
  <si>
    <t>Antennas | Radiation and radiation effects</t>
  </si>
  <si>
    <t>The relations between radiation pattern and feeding method in quadrifilar helical antennas is discussed. As a result, it is found that by changing the phase of each wire the helical antenna can achieve two radiation modes; both backfire and endfire radiation. These patterns do not have a difference except in radiation direction. Antenna polarisation of quadrifilar helical antenna depends only on the helical winding direction. ¬© 1991, The Institution of Electrical Engineers. All rights reserved.</t>
  </si>
  <si>
    <t>1108-1109</t>
  </si>
  <si>
    <t>7202967224;35564404500</t>
  </si>
  <si>
    <t>Terada, N.;Kagoshima, K.</t>
  </si>
  <si>
    <t>Terada N.</t>
  </si>
  <si>
    <t>Backfire/Endfire Radiation Performance Of Quadrifilar Helical Antennas</t>
  </si>
  <si>
    <t>10.1049/el:19910688</t>
  </si>
  <si>
    <t>2-s2.0-0026418154</t>
  </si>
  <si>
    <t>['velocity gas', 'velocity components', 'strong emission', 'redshifted high', 'one position', 'lines indicate', 'lines cannot', 'ir source', 'ir position', 'co outflow', 'b335 centered', 'antenna temperatures', '3 ).', '3 ),', '2 ).', '106 cm', '10 k']</t>
  </si>
  <si>
    <t>Interstellar: molecules | Nebulae: individual (B335) | Nebulae: internal motions | Nebulae: structure</t>
  </si>
  <si>
    <t>We have observed a 60 arcsecond square region in B335 centered on its far-IR source in the emission of HCO+(3-2), HCO+(4-3), and H13CO+(3-2). The HCO+(3-2) emission is confined to this region and is centered on the IR source. At the IR position there is a region about 14‚Ä≥ or less in diameter with strong emission of HCO+(4-3). Ratios of the lines indicate a gas density greater than 106 cm-3 at one position on the IR source. Also at the same position, the antenna temperatures and ratios of the lines indicate a gas kinetic temperature significantly higher than 10 K. The dense gas traced by the lines cannot be responsible for the collimation of the CO outflow. The HCO+(3-2) lines have redshifted high-velocity components, which have velocity extents similar to that of the CO wing components. The density of the HCO+(3-2) high-velocity gas is at least 104 cm-3, comparable to that of the quiescent dense gas in B335.</t>
  </si>
  <si>
    <t>177-185</t>
  </si>
  <si>
    <t>0004637X</t>
  </si>
  <si>
    <t>Astrophysical Journal</t>
  </si>
  <si>
    <t>60016297-60008724;60016849-60009839;126461468-60029701</t>
  </si>
  <si>
    <t>7404173711;57215810325;7404169517</t>
  </si>
  <si>
    <t>Hasegawa, Tatsuhiko I.;Rogers, C.;Hayashi, Saeko Suzuki</t>
  </si>
  <si>
    <t>Japan;Canada;Canada;Canada;United States;</t>
  </si>
  <si>
    <t>Mitaka;Toronto;Halifax;Ottawa ON,;Durham;</t>
  </si>
  <si>
    <t>National Institutes of Natural Sciences - National Astronomical Observatory of Japan;University of Toronto;Saint Mary's University;National Research Council Canada;Duke University;Joint Astronomy Centre</t>
  </si>
  <si>
    <t>60029701;60016849;60016297;60009839;60008724;126461468</t>
  </si>
  <si>
    <t>Hasegawa T.I.</t>
  </si>
  <si>
    <t>Observations of HCO&lt;sup&gt;+&lt;/sup&gt; in B335</t>
  </si>
  <si>
    <t>10.1086/170107</t>
  </si>
  <si>
    <t>2-s2.0-0039979979</t>
  </si>
  <si>
    <t>['¬© 1991', 'three lobes', 'superstrate thickness', 'studied experimentally', 'rights reserved', 'results indicate', 'resonance frequency', 'radiation pattern', 'electrical engineers']</t>
  </si>
  <si>
    <t>Antennas | Dielectrics dielectric devices | Microstrip</t>
  </si>
  <si>
    <t>The effects of a protecting dielectric superstrate on the radiation pattern of an X-band rectangular microstrip patch antenna have been studied experimentally. Results indicate that although, at higher substrate thicknesses, the resonance frequency does not shift further, the radiation pattern drastically changes into two or three lobes, depending on superstrate thickness. ¬© 1991, The Institution of Electrical Engineers. All rights reserved.</t>
  </si>
  <si>
    <t>1218-1219</t>
  </si>
  <si>
    <t>60031475;60031475</t>
  </si>
  <si>
    <t>6506152046;7003630464</t>
  </si>
  <si>
    <t>Afzalzadeh, R.;Karekar, R. N.</t>
  </si>
  <si>
    <t>Pune</t>
  </si>
  <si>
    <t>Savitribai Phule Pune University</t>
  </si>
  <si>
    <t>Afzalzadeh R.</t>
  </si>
  <si>
    <t>Effect of Dielectric Protecting Superstrate On Radiation Pattern of Microstrip Patch Antenna</t>
  </si>
  <si>
    <t>10.1049/el:19910759</t>
  </si>
  <si>
    <t>2-s2.0-0026172928</t>
  </si>
  <si>
    <t>['¬© 1991', 'rights reserved', 'planar arrays', 'mcclellan transformation', 'electrical engineers', 'contoured beams', 'based technique']</t>
  </si>
  <si>
    <t>A transformation-based technique for the synthesis of planar arrays with contoured beams in terms of two decoupled simpler subproblems is described. The method makes use of the McClellan transformation and linear array synthesis methods. ¬© 1991, The Institution of Electrical Engineers. All rights reserved.</t>
  </si>
  <si>
    <t>1502-1504</t>
  </si>
  <si>
    <t>57203176700;7003519884</t>
  </si>
  <si>
    <t>Mcnamara, D. A.;Botha, E.</t>
  </si>
  <si>
    <t>Mcnamara D.</t>
  </si>
  <si>
    <t>Transformation-Based Synthesis Technique for Planar Arrays with Contoured Beams</t>
  </si>
  <si>
    <t>10.1049/el:19910944</t>
  </si>
  <si>
    <t>2-s2.0-0026202878</t>
  </si>
  <si>
    <t>['¬© 1991', 'variational method', 'rights reserved', 'electrical engineers', 'dielectric superstate', 'closely agree']</t>
  </si>
  <si>
    <t>Antennas | Dielectrics and dielectric devices | Microstrip</t>
  </si>
  <si>
    <t>Edge effects using the variational method are calculated and included in the resonance frequency calculations of a rectangular patch antenna covered with a dielectric superstate. These are compared with the reported experimental results and those based on available theoretical expressions. The calculations are found to more closely agree with reported experimental values. ¬© 1991, The Institution of Electrical Engineers. All rights reserved.</t>
  </si>
  <si>
    <t>1509-1511</t>
  </si>
  <si>
    <t>57216226486;7003630464</t>
  </si>
  <si>
    <t>Iyer, S. M.Vaitheeswaran;Karekar, R. N.</t>
  </si>
  <si>
    <t>Iyer S.M.V.</t>
  </si>
  <si>
    <t>Edge Effects for Resonance Frequency of Covered Rectangular Microstrip Patch Antenna</t>
  </si>
  <si>
    <t>10.1049/el:19910948</t>
  </si>
  <si>
    <t>2-s2.0-0026204608</t>
  </si>
  <si>
    <t>['¬© 1991', 'shaped inclusions', 'rights reserved', 'relevant results', 'permittivity characteristics', 'electrical engineers', 'dipole orientation']</t>
  </si>
  <si>
    <t>Dielectrics</t>
  </si>
  <si>
    <t>Closed form expressions to depict the permittivity characteristics of a two-phase, orderly textured dielectric mixture having shaped inclusions are derived by using the Langevin statistical theory of dipole orientation in an applied electric field. Relevant results are compared with those of ‚Äòaverage field approximation‚Äô theory pertaining to such mixtures. ¬© 1991, The Institution of Electrical Engineers. All rights reserved.</t>
  </si>
  <si>
    <t>1534-1535</t>
  </si>
  <si>
    <t>7005184218;7003941001;6603724947</t>
  </si>
  <si>
    <t>Subramaniam, K.;Neelakanta, P. S.;Ungvichian, V.</t>
  </si>
  <si>
    <t>Subramaniam K.</t>
  </si>
  <si>
    <t>Permittivity of Orderly Textured Mixture Dielectrics</t>
  </si>
  <si>
    <t>10.1049/el:19910963</t>
  </si>
  <si>
    <t>2-s2.0-0026204885</t>
  </si>
  <si>
    <t>['œ ≤-', '¬© 1991', 'three phases', 'simple method', 'rhodocyclus gelatinosus', 'reaction centers', 'pellet composed', 'method provided', 'chromatophore extract', 'b875 antenna', '., rivas']</t>
  </si>
  <si>
    <t>A simple method for dissociating photoreceptor units from Rhodocyclus gelatinosus is described. Incubation of a chromatophore extract (Agalidis, I., Rivas, E. and Reiss-Husson, F. (1990) Photosynth. Res. 23, 249-255) at 4¬∞C with decyltetraoxyethylene and octyl-Œ≤-D-thioglucopyranoside, followed by temperature-induced phase separation at 20¬∞C, led to the formation of three phases: a pellet composed of pure B875 antenna; an oily layer containing cytochrome c and other proteins; a detergent-poor supernatant containing crude reaction centers. This method provided a first step towards further purification of reaction centers and B875 antenna, respectively. ¬© 1991.</t>
  </si>
  <si>
    <t>1107-1112</t>
  </si>
  <si>
    <t>0006291X</t>
  </si>
  <si>
    <t>Biochemical and Biophysical Research Communications</t>
  </si>
  <si>
    <t>60008134;60008134</t>
  </si>
  <si>
    <t>6602818994;56616617400</t>
  </si>
  <si>
    <t>Agalidis, Ileana;Reiss-Husson, Fran√ßoise</t>
  </si>
  <si>
    <t>Agalidis I.</t>
  </si>
  <si>
    <t>Resolution of Rhodocyclus gelatinosus photoreceptor unit components by temperature-induced phase separation in the presence of decyltetraoxyethylene</t>
  </si>
  <si>
    <t>0006291X9190653O</t>
  </si>
  <si>
    <t>10.1016/0006-291X(91)90653-O</t>
  </si>
  <si>
    <t>2-s2.0-0025787077</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</si>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</sst>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2"/>
      <sheetName val="1993"/>
      <sheetName val="1994"/>
      <sheetName val="1995"/>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BB33-2F18-1A43-8F4B-0FC4A74758CA}">
  <dimension ref="A1:AW1003"/>
  <sheetViews>
    <sheetView tabSelected="1" topLeftCell="AI1" workbookViewId="0">
      <selection activeCell="AP13" sqref="AP13"/>
    </sheetView>
  </sheetViews>
  <sheetFormatPr baseColWidth="10" defaultRowHeight="16" x14ac:dyDescent="0.2"/>
  <sheetData>
    <row r="1" spans="1:49" s="12" customFormat="1" x14ac:dyDescent="0.2">
      <c r="A1" s="15"/>
      <c r="B1" s="15" t="s">
        <v>11185</v>
      </c>
      <c r="C1" s="15" t="s">
        <v>11184</v>
      </c>
      <c r="D1" s="15" t="s">
        <v>11183</v>
      </c>
      <c r="E1" s="15" t="s">
        <v>11182</v>
      </c>
      <c r="F1" s="15" t="s">
        <v>11181</v>
      </c>
      <c r="G1" s="15" t="s">
        <v>11180</v>
      </c>
      <c r="H1" s="15" t="s">
        <v>11179</v>
      </c>
      <c r="I1" s="15" t="s">
        <v>11178</v>
      </c>
      <c r="J1" s="15" t="s">
        <v>11177</v>
      </c>
      <c r="K1" s="15" t="s">
        <v>11176</v>
      </c>
      <c r="L1" s="15" t="s">
        <v>11175</v>
      </c>
      <c r="M1" s="15" t="s">
        <v>11174</v>
      </c>
      <c r="N1" s="15" t="s">
        <v>11173</v>
      </c>
      <c r="O1" s="15" t="s">
        <v>11172</v>
      </c>
      <c r="P1" s="15" t="s">
        <v>11171</v>
      </c>
      <c r="Q1" s="15" t="s">
        <v>11170</v>
      </c>
      <c r="R1" s="20" t="s">
        <v>11169</v>
      </c>
      <c r="S1" s="15" t="s">
        <v>11168</v>
      </c>
      <c r="T1" s="15" t="s">
        <v>11168</v>
      </c>
      <c r="U1" s="15" t="s">
        <v>11167</v>
      </c>
      <c r="V1" s="20" t="s">
        <v>11166</v>
      </c>
      <c r="W1" s="15" t="s">
        <v>11165</v>
      </c>
      <c r="X1" s="14" t="s">
        <v>11164</v>
      </c>
      <c r="Y1" s="19" t="s">
        <v>11163</v>
      </c>
      <c r="Z1" s="18" t="s">
        <v>11148</v>
      </c>
      <c r="AA1" s="15" t="s">
        <v>11162</v>
      </c>
      <c r="AB1" s="15" t="s">
        <v>11161</v>
      </c>
      <c r="AC1" s="15" t="s">
        <v>11160</v>
      </c>
      <c r="AD1" s="15" t="s">
        <v>11159</v>
      </c>
      <c r="AE1" s="15" t="s">
        <v>11158</v>
      </c>
      <c r="AF1" s="15" t="s">
        <v>11157</v>
      </c>
      <c r="AG1" s="15" t="s">
        <v>11156</v>
      </c>
      <c r="AH1" s="15" t="s">
        <v>11155</v>
      </c>
      <c r="AI1" s="15" t="s">
        <v>11154</v>
      </c>
      <c r="AJ1" s="15" t="s">
        <v>11153</v>
      </c>
      <c r="AK1" s="14" t="s">
        <v>11152</v>
      </c>
      <c r="AL1" s="15" t="s">
        <v>11151</v>
      </c>
      <c r="AM1" s="17" t="s">
        <v>11150</v>
      </c>
      <c r="AN1" s="16" t="s">
        <v>11149</v>
      </c>
      <c r="AO1" s="16" t="s">
        <v>11148</v>
      </c>
      <c r="AP1" s="15" t="s">
        <v>11147</v>
      </c>
      <c r="AQ1" s="15" t="s">
        <v>11146</v>
      </c>
      <c r="AR1" s="15" t="s">
        <v>11145</v>
      </c>
      <c r="AS1" s="15" t="s">
        <v>11144</v>
      </c>
      <c r="AT1" s="14" t="s">
        <v>11143</v>
      </c>
      <c r="AU1" s="13" t="s">
        <v>11142</v>
      </c>
      <c r="AV1" s="13" t="s">
        <v>11141</v>
      </c>
      <c r="AW1" s="13" t="s">
        <v>11140</v>
      </c>
    </row>
    <row r="2" spans="1:49" x14ac:dyDescent="0.2">
      <c r="A2">
        <v>0</v>
      </c>
      <c r="B2" t="s">
        <v>11139</v>
      </c>
      <c r="C2" t="s">
        <v>11138</v>
      </c>
      <c r="D2" t="s">
        <v>11137</v>
      </c>
      <c r="E2">
        <v>2059201</v>
      </c>
      <c r="F2" t="s">
        <v>11136</v>
      </c>
      <c r="G2" t="s">
        <v>16</v>
      </c>
      <c r="H2" t="s">
        <v>15</v>
      </c>
      <c r="I2" t="s">
        <v>11135</v>
      </c>
      <c r="J2">
        <v>60008134</v>
      </c>
      <c r="K2" t="s">
        <v>1102</v>
      </c>
      <c r="L2" t="s">
        <v>1101</v>
      </c>
      <c r="M2" t="s">
        <v>213</v>
      </c>
      <c r="N2">
        <v>2</v>
      </c>
      <c r="O2" t="s">
        <v>11134</v>
      </c>
      <c r="P2" t="s">
        <v>11133</v>
      </c>
      <c r="Q2" t="s">
        <v>11132</v>
      </c>
      <c r="R2" s="7">
        <v>33417</v>
      </c>
      <c r="S2" s="8">
        <f t="shared" ref="S2:S48" si="0">YEAR(R2)</f>
        <v>1991</v>
      </c>
      <c r="T2" s="8">
        <v>1991</v>
      </c>
      <c r="U2" s="8">
        <f t="shared" ref="U2:U48" si="1">2022-T2</f>
        <v>31</v>
      </c>
      <c r="V2" s="7">
        <v>33417</v>
      </c>
      <c r="W2" t="s">
        <v>11131</v>
      </c>
      <c r="X2" s="2">
        <v>0.998</v>
      </c>
      <c r="Y2" s="6">
        <f t="shared" ref="Y2:Y65" si="2">(X2-$Z$4)/($Z$3-$Z$4)</f>
        <v>2.664104001494888E-2</v>
      </c>
      <c r="AA2" t="s">
        <v>11130</v>
      </c>
      <c r="AB2">
        <v>16845</v>
      </c>
      <c r="AC2">
        <v>10902104</v>
      </c>
      <c r="AD2" t="s">
        <v>5</v>
      </c>
      <c r="AE2">
        <v>177</v>
      </c>
      <c r="AF2">
        <v>3</v>
      </c>
      <c r="AH2" t="s">
        <v>11129</v>
      </c>
      <c r="AI2" t="s">
        <v>11128</v>
      </c>
      <c r="AK2" t="s">
        <v>11127</v>
      </c>
      <c r="AL2">
        <v>9</v>
      </c>
      <c r="AM2" s="5">
        <f t="shared" ref="AM2:AM48" si="3">AL2/U2</f>
        <v>0.29032258064516131</v>
      </c>
      <c r="AN2" s="4">
        <f t="shared" ref="AN2:AN65" si="4">(AM2-$AO$4)/($AO$3-$AO$4)</f>
        <v>4.3971613880372783E-4</v>
      </c>
      <c r="AO2" s="3"/>
      <c r="AP2">
        <v>0</v>
      </c>
      <c r="AR2" t="s">
        <v>0</v>
      </c>
      <c r="AT2" s="2" t="s">
        <v>33</v>
      </c>
      <c r="AU2" s="1">
        <f t="shared" ref="AU2:AU48" si="5">(Y2*0.7+AN2*0.3)*100</f>
        <v>1.8780642852105334</v>
      </c>
      <c r="AV2" s="1">
        <f t="shared" ref="AV2:AV48" si="6">(Y2*0.5+AN2*0.5)*100</f>
        <v>1.3540378076876305</v>
      </c>
      <c r="AW2" s="1">
        <f t="shared" ref="AW2:AW48" si="7">(Y2*0.3+AN2*0.7)*100</f>
        <v>0.83001133016472728</v>
      </c>
    </row>
    <row r="3" spans="1:49" x14ac:dyDescent="0.2">
      <c r="A3">
        <v>1</v>
      </c>
      <c r="B3" t="s">
        <v>11126</v>
      </c>
      <c r="C3" t="s">
        <v>11125</v>
      </c>
      <c r="F3" t="s">
        <v>11124</v>
      </c>
      <c r="G3" t="s">
        <v>16</v>
      </c>
      <c r="H3" t="s">
        <v>15</v>
      </c>
      <c r="I3" t="s">
        <v>11123</v>
      </c>
      <c r="J3">
        <v>60017606</v>
      </c>
      <c r="K3" t="s">
        <v>10812</v>
      </c>
      <c r="L3" t="s">
        <v>10811</v>
      </c>
      <c r="M3" t="s">
        <v>57</v>
      </c>
      <c r="N3">
        <v>3</v>
      </c>
      <c r="O3" t="s">
        <v>11122</v>
      </c>
      <c r="P3" t="s">
        <v>11121</v>
      </c>
      <c r="Q3" t="s">
        <v>10808</v>
      </c>
      <c r="R3" s="7">
        <v>33409</v>
      </c>
      <c r="S3" s="8">
        <f t="shared" si="0"/>
        <v>1991</v>
      </c>
      <c r="T3" s="8">
        <v>1991</v>
      </c>
      <c r="U3" s="8">
        <f t="shared" si="1"/>
        <v>31</v>
      </c>
      <c r="V3" s="7">
        <v>33409</v>
      </c>
      <c r="W3" t="s">
        <v>535</v>
      </c>
      <c r="X3" s="2">
        <v>0.375</v>
      </c>
      <c r="Y3" s="6">
        <f t="shared" si="2"/>
        <v>1.0010410827260351E-2</v>
      </c>
      <c r="Z3">
        <v>37.460999999999999</v>
      </c>
      <c r="AA3">
        <v>135194</v>
      </c>
      <c r="AB3">
        <v>24918</v>
      </c>
      <c r="AD3" t="s">
        <v>5</v>
      </c>
      <c r="AE3">
        <v>27</v>
      </c>
      <c r="AF3">
        <v>17</v>
      </c>
      <c r="AH3" t="s">
        <v>11120</v>
      </c>
      <c r="AI3" t="s">
        <v>11119</v>
      </c>
      <c r="AJ3" t="s">
        <v>11118</v>
      </c>
      <c r="AK3" t="s">
        <v>11117</v>
      </c>
      <c r="AL3">
        <v>1</v>
      </c>
      <c r="AM3" s="5">
        <f t="shared" si="3"/>
        <v>3.2258064516129031E-2</v>
      </c>
      <c r="AN3" s="4">
        <f t="shared" si="4"/>
        <v>4.8857348755969758E-5</v>
      </c>
      <c r="AO3" s="3">
        <v>660.25</v>
      </c>
      <c r="AP3">
        <v>0</v>
      </c>
      <c r="AR3" t="s">
        <v>0</v>
      </c>
      <c r="AT3" s="2">
        <v>1.3140000000000001</v>
      </c>
      <c r="AU3" s="1">
        <f t="shared" si="5"/>
        <v>0.70219447837090365</v>
      </c>
      <c r="AV3" s="1">
        <f t="shared" si="6"/>
        <v>0.50296340880081603</v>
      </c>
      <c r="AW3" s="1">
        <f t="shared" si="7"/>
        <v>0.3037323392307284</v>
      </c>
    </row>
    <row r="4" spans="1:49" x14ac:dyDescent="0.2">
      <c r="A4">
        <v>2</v>
      </c>
      <c r="B4" t="s">
        <v>11116</v>
      </c>
      <c r="C4" t="s">
        <v>11115</v>
      </c>
      <c r="F4" t="s">
        <v>11114</v>
      </c>
      <c r="G4" t="s">
        <v>16</v>
      </c>
      <c r="H4" t="s">
        <v>15</v>
      </c>
      <c r="I4" t="s">
        <v>11113</v>
      </c>
      <c r="J4">
        <v>60031475</v>
      </c>
      <c r="K4" t="s">
        <v>11093</v>
      </c>
      <c r="L4" t="s">
        <v>11092</v>
      </c>
      <c r="M4" t="s">
        <v>1207</v>
      </c>
      <c r="N4">
        <v>2</v>
      </c>
      <c r="O4" t="s">
        <v>11112</v>
      </c>
      <c r="P4" t="s">
        <v>11111</v>
      </c>
      <c r="Q4" t="s">
        <v>11089</v>
      </c>
      <c r="R4" s="7">
        <v>33409</v>
      </c>
      <c r="S4" s="8">
        <f t="shared" si="0"/>
        <v>1991</v>
      </c>
      <c r="T4" s="8">
        <v>1991</v>
      </c>
      <c r="U4" s="8">
        <f t="shared" si="1"/>
        <v>31</v>
      </c>
      <c r="V4" s="7">
        <v>33409</v>
      </c>
      <c r="W4" t="s">
        <v>535</v>
      </c>
      <c r="X4" s="2">
        <v>0.375</v>
      </c>
      <c r="Y4" s="6">
        <f t="shared" si="2"/>
        <v>1.0010410827260351E-2</v>
      </c>
      <c r="Z4">
        <v>0</v>
      </c>
      <c r="AA4">
        <v>135194</v>
      </c>
      <c r="AB4">
        <v>24918</v>
      </c>
      <c r="AD4" t="s">
        <v>5</v>
      </c>
      <c r="AE4">
        <v>27</v>
      </c>
      <c r="AF4">
        <v>17</v>
      </c>
      <c r="AH4" t="s">
        <v>11110</v>
      </c>
      <c r="AI4" t="s">
        <v>11109</v>
      </c>
      <c r="AJ4" t="s">
        <v>11108</v>
      </c>
      <c r="AK4" t="s">
        <v>11107</v>
      </c>
      <c r="AL4">
        <v>9</v>
      </c>
      <c r="AM4" s="5">
        <f t="shared" si="3"/>
        <v>0.29032258064516131</v>
      </c>
      <c r="AN4" s="4">
        <f t="shared" si="4"/>
        <v>4.3971613880372783E-4</v>
      </c>
      <c r="AO4" s="3">
        <v>0</v>
      </c>
      <c r="AP4">
        <v>0</v>
      </c>
      <c r="AR4" t="s">
        <v>0</v>
      </c>
      <c r="AT4" s="2">
        <v>1.3140000000000001</v>
      </c>
      <c r="AU4" s="1">
        <f t="shared" si="5"/>
        <v>0.7139202420723364</v>
      </c>
      <c r="AV4" s="1">
        <f t="shared" si="6"/>
        <v>0.52250634830320397</v>
      </c>
      <c r="AW4" s="1">
        <f t="shared" si="7"/>
        <v>0.33109245453407149</v>
      </c>
    </row>
    <row r="5" spans="1:49" x14ac:dyDescent="0.2">
      <c r="A5">
        <v>3</v>
      </c>
      <c r="B5" t="s">
        <v>11106</v>
      </c>
      <c r="C5" t="s">
        <v>11105</v>
      </c>
      <c r="F5" t="s">
        <v>11104</v>
      </c>
      <c r="G5" t="s">
        <v>16</v>
      </c>
      <c r="H5" t="s">
        <v>15</v>
      </c>
      <c r="I5" t="s">
        <v>11103</v>
      </c>
      <c r="J5">
        <v>60021902</v>
      </c>
      <c r="K5" t="s">
        <v>4522</v>
      </c>
      <c r="L5" t="s">
        <v>4521</v>
      </c>
      <c r="M5" t="s">
        <v>4520</v>
      </c>
      <c r="N5">
        <v>2</v>
      </c>
      <c r="O5" t="s">
        <v>11102</v>
      </c>
      <c r="P5" t="s">
        <v>11101</v>
      </c>
      <c r="Q5" t="s">
        <v>4517</v>
      </c>
      <c r="R5" s="7">
        <v>33409</v>
      </c>
      <c r="S5" s="8">
        <f t="shared" si="0"/>
        <v>1991</v>
      </c>
      <c r="T5" s="8">
        <v>1991</v>
      </c>
      <c r="U5" s="8">
        <f t="shared" si="1"/>
        <v>31</v>
      </c>
      <c r="V5" s="7">
        <v>33409</v>
      </c>
      <c r="W5" t="s">
        <v>535</v>
      </c>
      <c r="X5" s="2">
        <v>0.375</v>
      </c>
      <c r="Y5" s="6">
        <f t="shared" si="2"/>
        <v>1.0010410827260351E-2</v>
      </c>
      <c r="AA5">
        <v>135194</v>
      </c>
      <c r="AB5">
        <v>24918</v>
      </c>
      <c r="AD5" t="s">
        <v>5</v>
      </c>
      <c r="AE5">
        <v>27</v>
      </c>
      <c r="AF5">
        <v>17</v>
      </c>
      <c r="AH5" t="s">
        <v>11100</v>
      </c>
      <c r="AI5" t="s">
        <v>11099</v>
      </c>
      <c r="AJ5" t="s">
        <v>9492</v>
      </c>
      <c r="AK5" t="s">
        <v>11098</v>
      </c>
      <c r="AL5">
        <v>4</v>
      </c>
      <c r="AM5" s="5">
        <f t="shared" si="3"/>
        <v>0.12903225806451613</v>
      </c>
      <c r="AN5" s="4">
        <f t="shared" si="4"/>
        <v>1.9542939502387903E-4</v>
      </c>
      <c r="AO5" s="3"/>
      <c r="AP5">
        <v>0</v>
      </c>
      <c r="AR5" t="s">
        <v>0</v>
      </c>
      <c r="AT5" s="2">
        <v>1.3140000000000001</v>
      </c>
      <c r="AU5" s="1">
        <f t="shared" si="5"/>
        <v>0.7065916397589409</v>
      </c>
      <c r="AV5" s="1">
        <f t="shared" si="6"/>
        <v>0.51029201111421152</v>
      </c>
      <c r="AW5" s="1">
        <f t="shared" si="7"/>
        <v>0.31399238246948202</v>
      </c>
    </row>
    <row r="6" spans="1:49" x14ac:dyDescent="0.2">
      <c r="A6">
        <v>4</v>
      </c>
      <c r="B6" t="s">
        <v>11097</v>
      </c>
      <c r="C6" t="s">
        <v>11096</v>
      </c>
      <c r="F6" t="s">
        <v>11095</v>
      </c>
      <c r="G6" t="s">
        <v>16</v>
      </c>
      <c r="H6" t="s">
        <v>15</v>
      </c>
      <c r="I6" t="s">
        <v>11094</v>
      </c>
      <c r="J6">
        <v>60031475</v>
      </c>
      <c r="K6" t="s">
        <v>11093</v>
      </c>
      <c r="L6" t="s">
        <v>11092</v>
      </c>
      <c r="M6" t="s">
        <v>1207</v>
      </c>
      <c r="N6">
        <v>2</v>
      </c>
      <c r="O6" t="s">
        <v>11091</v>
      </c>
      <c r="P6" t="s">
        <v>11090</v>
      </c>
      <c r="Q6" t="s">
        <v>11089</v>
      </c>
      <c r="R6" s="7">
        <v>33409</v>
      </c>
      <c r="S6" s="8">
        <f t="shared" si="0"/>
        <v>1991</v>
      </c>
      <c r="T6" s="8">
        <v>1991</v>
      </c>
      <c r="U6" s="8">
        <f t="shared" si="1"/>
        <v>31</v>
      </c>
      <c r="V6" s="7">
        <v>33409</v>
      </c>
      <c r="W6" t="s">
        <v>535</v>
      </c>
      <c r="X6" s="2">
        <v>0.375</v>
      </c>
      <c r="Y6" s="6">
        <f t="shared" si="2"/>
        <v>1.0010410827260351E-2</v>
      </c>
      <c r="AA6">
        <v>135194</v>
      </c>
      <c r="AB6">
        <v>24918</v>
      </c>
      <c r="AD6" t="s">
        <v>5</v>
      </c>
      <c r="AE6">
        <v>27</v>
      </c>
      <c r="AF6">
        <v>13</v>
      </c>
      <c r="AH6" t="s">
        <v>11088</v>
      </c>
      <c r="AI6" t="s">
        <v>11087</v>
      </c>
      <c r="AJ6" t="s">
        <v>11086</v>
      </c>
      <c r="AK6" t="s">
        <v>11085</v>
      </c>
      <c r="AL6">
        <v>12</v>
      </c>
      <c r="AM6" s="5">
        <f t="shared" si="3"/>
        <v>0.38709677419354838</v>
      </c>
      <c r="AN6" s="4">
        <f t="shared" si="4"/>
        <v>5.8628818507163707E-4</v>
      </c>
      <c r="AO6" s="3"/>
      <c r="AP6">
        <v>0</v>
      </c>
      <c r="AR6" t="s">
        <v>0</v>
      </c>
      <c r="AT6" s="2">
        <v>1.3140000000000001</v>
      </c>
      <c r="AU6" s="1">
        <f t="shared" si="5"/>
        <v>0.71831740346037365</v>
      </c>
      <c r="AV6" s="1">
        <f t="shared" si="6"/>
        <v>0.52983495061659946</v>
      </c>
      <c r="AW6" s="1">
        <f t="shared" si="7"/>
        <v>0.34135249777282511</v>
      </c>
    </row>
    <row r="7" spans="1:49" x14ac:dyDescent="0.2">
      <c r="A7">
        <v>5</v>
      </c>
      <c r="B7" t="s">
        <v>11084</v>
      </c>
      <c r="C7" t="s">
        <v>11083</v>
      </c>
      <c r="F7" t="s">
        <v>11082</v>
      </c>
      <c r="G7" t="s">
        <v>16</v>
      </c>
      <c r="H7" t="s">
        <v>15</v>
      </c>
      <c r="I7" t="s">
        <v>11081</v>
      </c>
      <c r="J7" t="s">
        <v>11080</v>
      </c>
      <c r="K7" t="s">
        <v>11079</v>
      </c>
      <c r="L7" t="s">
        <v>11078</v>
      </c>
      <c r="M7" t="s">
        <v>11077</v>
      </c>
      <c r="N7">
        <v>3</v>
      </c>
      <c r="O7" t="s">
        <v>11076</v>
      </c>
      <c r="P7" t="s">
        <v>11075</v>
      </c>
      <c r="Q7" t="s">
        <v>11074</v>
      </c>
      <c r="R7" s="7">
        <v>33399</v>
      </c>
      <c r="S7" s="8">
        <f t="shared" si="0"/>
        <v>1991</v>
      </c>
      <c r="T7" s="8">
        <v>1991</v>
      </c>
      <c r="U7" s="8">
        <f t="shared" si="1"/>
        <v>31</v>
      </c>
      <c r="V7" s="7">
        <v>33399</v>
      </c>
      <c r="W7" t="s">
        <v>11073</v>
      </c>
      <c r="X7" s="2">
        <v>2.3759999999999999</v>
      </c>
      <c r="Y7" s="6">
        <f t="shared" si="2"/>
        <v>6.3425963001521576E-2</v>
      </c>
      <c r="AA7" t="s">
        <v>11072</v>
      </c>
      <c r="AB7">
        <v>26765</v>
      </c>
      <c r="AC7">
        <v>15384357</v>
      </c>
      <c r="AD7" t="s">
        <v>5</v>
      </c>
      <c r="AE7">
        <v>374</v>
      </c>
      <c r="AF7">
        <v>1</v>
      </c>
      <c r="AH7" t="s">
        <v>11071</v>
      </c>
      <c r="AI7" t="s">
        <v>11070</v>
      </c>
      <c r="AJ7" t="s">
        <v>11069</v>
      </c>
      <c r="AK7" t="s">
        <v>11068</v>
      </c>
      <c r="AL7">
        <v>7</v>
      </c>
      <c r="AM7" s="5">
        <f t="shared" si="3"/>
        <v>0.22580645161290322</v>
      </c>
      <c r="AN7" s="4">
        <f t="shared" si="4"/>
        <v>3.420014412917883E-4</v>
      </c>
      <c r="AO7" s="3"/>
      <c r="AP7">
        <v>0</v>
      </c>
      <c r="AR7" t="s">
        <v>0</v>
      </c>
      <c r="AT7" s="2">
        <v>5.8739999999999997</v>
      </c>
      <c r="AU7" s="1">
        <f t="shared" si="5"/>
        <v>4.4500774533452638</v>
      </c>
      <c r="AV7" s="1">
        <f t="shared" si="6"/>
        <v>3.1883982221406684</v>
      </c>
      <c r="AW7" s="1">
        <f t="shared" si="7"/>
        <v>1.9267189909360727</v>
      </c>
    </row>
    <row r="8" spans="1:49" x14ac:dyDescent="0.2">
      <c r="A8">
        <v>6</v>
      </c>
      <c r="B8" t="s">
        <v>11067</v>
      </c>
      <c r="C8" t="s">
        <v>11066</v>
      </c>
      <c r="F8" t="s">
        <v>11065</v>
      </c>
      <c r="G8" t="s">
        <v>16</v>
      </c>
      <c r="H8" t="s">
        <v>15</v>
      </c>
      <c r="I8" t="s">
        <v>11064</v>
      </c>
      <c r="J8">
        <v>60025555</v>
      </c>
      <c r="K8" t="s">
        <v>2786</v>
      </c>
      <c r="L8" t="s">
        <v>327</v>
      </c>
      <c r="M8" t="s">
        <v>326</v>
      </c>
      <c r="N8">
        <v>2</v>
      </c>
      <c r="O8" t="s">
        <v>11063</v>
      </c>
      <c r="P8" t="s">
        <v>11062</v>
      </c>
      <c r="Q8" t="s">
        <v>2783</v>
      </c>
      <c r="R8" s="7">
        <v>33395</v>
      </c>
      <c r="S8" s="8">
        <f t="shared" si="0"/>
        <v>1991</v>
      </c>
      <c r="T8" s="8">
        <v>1991</v>
      </c>
      <c r="U8" s="8">
        <f t="shared" si="1"/>
        <v>31</v>
      </c>
      <c r="V8" s="7">
        <v>33395</v>
      </c>
      <c r="W8" t="s">
        <v>535</v>
      </c>
      <c r="X8" s="2">
        <v>0.375</v>
      </c>
      <c r="Y8" s="6">
        <f t="shared" si="2"/>
        <v>1.0010410827260351E-2</v>
      </c>
      <c r="AA8">
        <v>135194</v>
      </c>
      <c r="AB8">
        <v>24918</v>
      </c>
      <c r="AD8" t="s">
        <v>5</v>
      </c>
      <c r="AE8">
        <v>27</v>
      </c>
      <c r="AF8">
        <v>12</v>
      </c>
      <c r="AH8" t="s">
        <v>11061</v>
      </c>
      <c r="AI8" t="s">
        <v>11060</v>
      </c>
      <c r="AJ8" t="s">
        <v>11059</v>
      </c>
      <c r="AK8" t="s">
        <v>11058</v>
      </c>
      <c r="AL8">
        <v>6</v>
      </c>
      <c r="AM8" s="5">
        <f t="shared" si="3"/>
        <v>0.19354838709677419</v>
      </c>
      <c r="AN8" s="4">
        <f t="shared" si="4"/>
        <v>2.9314409253581854E-4</v>
      </c>
      <c r="AO8" s="3"/>
      <c r="AP8">
        <v>0</v>
      </c>
      <c r="AR8" t="s">
        <v>0</v>
      </c>
      <c r="AT8" s="2">
        <v>1.3140000000000001</v>
      </c>
      <c r="AU8" s="1">
        <f t="shared" si="5"/>
        <v>0.70952308068429915</v>
      </c>
      <c r="AV8" s="1">
        <f t="shared" si="6"/>
        <v>0.51517774598980848</v>
      </c>
      <c r="AW8" s="1">
        <f t="shared" si="7"/>
        <v>0.32083241129531781</v>
      </c>
    </row>
    <row r="9" spans="1:49" x14ac:dyDescent="0.2">
      <c r="A9">
        <v>7</v>
      </c>
      <c r="B9" t="s">
        <v>11057</v>
      </c>
      <c r="C9" t="s">
        <v>11056</v>
      </c>
      <c r="F9" t="s">
        <v>11055</v>
      </c>
      <c r="G9" t="s">
        <v>16</v>
      </c>
      <c r="H9" t="s">
        <v>15</v>
      </c>
      <c r="I9" t="s">
        <v>5067</v>
      </c>
      <c r="J9">
        <v>60030526</v>
      </c>
      <c r="K9" t="s">
        <v>3003</v>
      </c>
      <c r="L9" t="s">
        <v>327</v>
      </c>
      <c r="M9" t="s">
        <v>326</v>
      </c>
      <c r="N9">
        <v>3</v>
      </c>
      <c r="O9" t="s">
        <v>11054</v>
      </c>
      <c r="P9" t="s">
        <v>11053</v>
      </c>
      <c r="Q9" t="s">
        <v>10786</v>
      </c>
      <c r="R9" s="7">
        <v>33395</v>
      </c>
      <c r="S9" s="8">
        <f t="shared" si="0"/>
        <v>1991</v>
      </c>
      <c r="T9" s="8">
        <v>1991</v>
      </c>
      <c r="U9" s="8">
        <f t="shared" si="1"/>
        <v>31</v>
      </c>
      <c r="V9" s="7">
        <v>33395</v>
      </c>
      <c r="W9" t="s">
        <v>535</v>
      </c>
      <c r="X9" s="2">
        <v>0.375</v>
      </c>
      <c r="Y9" s="6">
        <f t="shared" si="2"/>
        <v>1.0010410827260351E-2</v>
      </c>
      <c r="AA9">
        <v>135194</v>
      </c>
      <c r="AB9">
        <v>24918</v>
      </c>
      <c r="AD9" t="s">
        <v>5</v>
      </c>
      <c r="AE9">
        <v>27</v>
      </c>
      <c r="AF9">
        <v>12</v>
      </c>
      <c r="AH9" t="s">
        <v>11052</v>
      </c>
      <c r="AI9" t="s">
        <v>11051</v>
      </c>
      <c r="AJ9" t="s">
        <v>11050</v>
      </c>
      <c r="AK9" t="s">
        <v>11049</v>
      </c>
      <c r="AL9">
        <v>2</v>
      </c>
      <c r="AM9" s="5">
        <f t="shared" si="3"/>
        <v>6.4516129032258063E-2</v>
      </c>
      <c r="AN9" s="4">
        <f t="shared" si="4"/>
        <v>9.7714697511939517E-5</v>
      </c>
      <c r="AO9" s="3"/>
      <c r="AP9">
        <v>0</v>
      </c>
      <c r="AR9" t="s">
        <v>0</v>
      </c>
      <c r="AT9" s="2">
        <v>1.3140000000000001</v>
      </c>
      <c r="AU9" s="1">
        <f t="shared" si="5"/>
        <v>0.70366019883358277</v>
      </c>
      <c r="AV9" s="1">
        <f t="shared" si="6"/>
        <v>0.50540627623861456</v>
      </c>
      <c r="AW9" s="1">
        <f t="shared" si="7"/>
        <v>0.30715235364364629</v>
      </c>
    </row>
    <row r="10" spans="1:49" x14ac:dyDescent="0.2">
      <c r="A10">
        <v>8</v>
      </c>
      <c r="B10" t="s">
        <v>11048</v>
      </c>
      <c r="C10" t="s">
        <v>11047</v>
      </c>
      <c r="F10" t="s">
        <v>11046</v>
      </c>
      <c r="G10" t="s">
        <v>16</v>
      </c>
      <c r="H10" t="s">
        <v>15</v>
      </c>
      <c r="I10" t="s">
        <v>11045</v>
      </c>
      <c r="J10">
        <v>60024592</v>
      </c>
      <c r="K10" t="s">
        <v>11044</v>
      </c>
      <c r="L10" t="s">
        <v>11043</v>
      </c>
      <c r="M10" t="s">
        <v>57</v>
      </c>
      <c r="N10">
        <v>2</v>
      </c>
      <c r="O10" t="s">
        <v>11042</v>
      </c>
      <c r="P10" t="s">
        <v>11041</v>
      </c>
      <c r="Q10" t="s">
        <v>11040</v>
      </c>
      <c r="R10" s="7">
        <v>33390</v>
      </c>
      <c r="S10" s="8">
        <f t="shared" si="0"/>
        <v>1991</v>
      </c>
      <c r="T10" s="8">
        <v>1991</v>
      </c>
      <c r="U10" s="8">
        <f t="shared" si="1"/>
        <v>31</v>
      </c>
      <c r="V10" s="7">
        <v>33390</v>
      </c>
      <c r="W10" t="s">
        <v>9833</v>
      </c>
      <c r="X10" s="2">
        <v>1.524</v>
      </c>
      <c r="Y10" s="6">
        <f t="shared" si="2"/>
        <v>4.0682309601986065E-2</v>
      </c>
      <c r="AA10">
        <v>1469592</v>
      </c>
      <c r="AB10">
        <v>12863</v>
      </c>
      <c r="AC10">
        <v>15394794</v>
      </c>
      <c r="AD10" t="s">
        <v>5</v>
      </c>
      <c r="AE10">
        <v>16</v>
      </c>
      <c r="AF10">
        <v>11</v>
      </c>
      <c r="AH10" t="s">
        <v>11039</v>
      </c>
      <c r="AI10" t="s">
        <v>11038</v>
      </c>
      <c r="AK10" t="s">
        <v>11037</v>
      </c>
      <c r="AL10">
        <v>18</v>
      </c>
      <c r="AM10" s="5">
        <f t="shared" si="3"/>
        <v>0.58064516129032262</v>
      </c>
      <c r="AN10" s="4">
        <f t="shared" si="4"/>
        <v>8.7943227760745566E-4</v>
      </c>
      <c r="AO10" s="3"/>
      <c r="AP10">
        <v>0</v>
      </c>
      <c r="AR10" t="s">
        <v>0</v>
      </c>
      <c r="AT10" s="2">
        <v>3.7759999999999998</v>
      </c>
      <c r="AU10" s="1">
        <f t="shared" si="5"/>
        <v>2.8741446404672479</v>
      </c>
      <c r="AV10" s="1">
        <f t="shared" si="6"/>
        <v>2.0780870939796761</v>
      </c>
      <c r="AW10" s="1">
        <f t="shared" si="7"/>
        <v>1.282029547492104</v>
      </c>
    </row>
    <row r="11" spans="1:49" x14ac:dyDescent="0.2">
      <c r="A11">
        <v>9</v>
      </c>
      <c r="B11" t="s">
        <v>11036</v>
      </c>
      <c r="C11" t="s">
        <v>11035</v>
      </c>
      <c r="F11" t="s">
        <v>11034</v>
      </c>
      <c r="G11" t="s">
        <v>16</v>
      </c>
      <c r="H11" t="s">
        <v>15</v>
      </c>
      <c r="I11" t="s">
        <v>10402</v>
      </c>
      <c r="N11">
        <v>2</v>
      </c>
      <c r="O11" t="s">
        <v>11033</v>
      </c>
      <c r="P11" t="s">
        <v>11032</v>
      </c>
      <c r="Q11" t="s">
        <v>592</v>
      </c>
      <c r="R11" s="7">
        <v>33390</v>
      </c>
      <c r="S11" s="8">
        <f t="shared" si="0"/>
        <v>1991</v>
      </c>
      <c r="T11" s="8">
        <v>1991</v>
      </c>
      <c r="U11" s="8">
        <f t="shared" si="1"/>
        <v>31</v>
      </c>
      <c r="V11" s="7">
        <v>33390</v>
      </c>
      <c r="W11" t="s">
        <v>9693</v>
      </c>
      <c r="X11" s="2">
        <v>0.318</v>
      </c>
      <c r="Y11" s="6">
        <f t="shared" si="2"/>
        <v>8.4888283815167786E-3</v>
      </c>
      <c r="AA11">
        <v>338443</v>
      </c>
      <c r="AB11">
        <v>27160</v>
      </c>
      <c r="AC11">
        <v>15739120</v>
      </c>
      <c r="AD11" t="s">
        <v>5</v>
      </c>
      <c r="AE11">
        <v>34</v>
      </c>
      <c r="AF11">
        <v>6</v>
      </c>
      <c r="AH11" t="s">
        <v>11031</v>
      </c>
      <c r="AL11">
        <v>4</v>
      </c>
      <c r="AM11" s="5">
        <f t="shared" si="3"/>
        <v>0.12903225806451613</v>
      </c>
      <c r="AN11" s="4">
        <f t="shared" si="4"/>
        <v>1.9542939502387903E-4</v>
      </c>
      <c r="AO11" s="3"/>
      <c r="AP11">
        <v>0</v>
      </c>
      <c r="AR11" t="s">
        <v>0</v>
      </c>
      <c r="AT11" s="2">
        <v>0.77</v>
      </c>
      <c r="AU11" s="1">
        <f t="shared" si="5"/>
        <v>0.60008086855689091</v>
      </c>
      <c r="AV11" s="1">
        <f t="shared" si="6"/>
        <v>0.43421288882703285</v>
      </c>
      <c r="AW11" s="1">
        <f t="shared" si="7"/>
        <v>0.2683449090971749</v>
      </c>
    </row>
    <row r="12" spans="1:49" x14ac:dyDescent="0.2">
      <c r="A12">
        <v>10</v>
      </c>
      <c r="B12" t="s">
        <v>11030</v>
      </c>
      <c r="C12" t="s">
        <v>11029</v>
      </c>
      <c r="F12" t="s">
        <v>11028</v>
      </c>
      <c r="G12" t="s">
        <v>16</v>
      </c>
      <c r="H12" t="s">
        <v>15</v>
      </c>
      <c r="I12" t="s">
        <v>11027</v>
      </c>
      <c r="J12">
        <v>60032022</v>
      </c>
      <c r="K12" t="s">
        <v>11026</v>
      </c>
      <c r="L12" t="s">
        <v>11025</v>
      </c>
      <c r="M12" t="s">
        <v>11024</v>
      </c>
      <c r="N12">
        <v>1</v>
      </c>
      <c r="O12" t="s">
        <v>11023</v>
      </c>
      <c r="P12">
        <v>6602552043</v>
      </c>
      <c r="Q12">
        <v>60032022</v>
      </c>
      <c r="R12" s="7">
        <v>33390</v>
      </c>
      <c r="S12" s="8">
        <f t="shared" si="0"/>
        <v>1991</v>
      </c>
      <c r="T12" s="8">
        <v>1991</v>
      </c>
      <c r="U12" s="8">
        <f t="shared" si="1"/>
        <v>31</v>
      </c>
      <c r="V12" s="7">
        <v>33390</v>
      </c>
      <c r="W12" t="s">
        <v>11022</v>
      </c>
      <c r="X12" s="2">
        <v>0.39800000000000002</v>
      </c>
      <c r="Y12" s="6">
        <f t="shared" si="2"/>
        <v>1.0624382691332319E-2</v>
      </c>
      <c r="AA12" t="s">
        <v>11021</v>
      </c>
      <c r="AB12">
        <v>26771</v>
      </c>
      <c r="AC12" t="s">
        <v>11020</v>
      </c>
      <c r="AD12" t="s">
        <v>5</v>
      </c>
      <c r="AE12">
        <v>180</v>
      </c>
      <c r="AF12">
        <v>1</v>
      </c>
      <c r="AH12" t="s">
        <v>11019</v>
      </c>
      <c r="AI12" t="s">
        <v>11018</v>
      </c>
      <c r="AK12" t="s">
        <v>11017</v>
      </c>
      <c r="AL12">
        <v>3</v>
      </c>
      <c r="AM12" s="5">
        <f t="shared" si="3"/>
        <v>9.6774193548387094E-2</v>
      </c>
      <c r="AN12" s="4">
        <f t="shared" si="4"/>
        <v>1.4657204626790927E-4</v>
      </c>
      <c r="AO12" s="3"/>
      <c r="AP12">
        <v>0</v>
      </c>
      <c r="AR12" t="s">
        <v>0</v>
      </c>
      <c r="AT12" s="2">
        <v>1.83</v>
      </c>
      <c r="AU12" s="1">
        <f t="shared" si="5"/>
        <v>0.74810394978129957</v>
      </c>
      <c r="AV12" s="1">
        <f t="shared" si="6"/>
        <v>0.53854773688001145</v>
      </c>
      <c r="AW12" s="1">
        <f t="shared" si="7"/>
        <v>0.32899152397872322</v>
      </c>
    </row>
    <row r="13" spans="1:49" x14ac:dyDescent="0.2">
      <c r="A13">
        <v>11</v>
      </c>
      <c r="B13" t="s">
        <v>11016</v>
      </c>
      <c r="F13" t="s">
        <v>11015</v>
      </c>
      <c r="G13" t="s">
        <v>16</v>
      </c>
      <c r="H13" t="s">
        <v>15</v>
      </c>
      <c r="I13" t="s">
        <v>11014</v>
      </c>
      <c r="N13">
        <v>1</v>
      </c>
      <c r="O13" t="s">
        <v>11013</v>
      </c>
      <c r="P13">
        <v>7003995326</v>
      </c>
      <c r="R13" s="7">
        <v>33390</v>
      </c>
      <c r="S13" s="8">
        <f t="shared" si="0"/>
        <v>1991</v>
      </c>
      <c r="T13" s="8">
        <v>1991</v>
      </c>
      <c r="U13" s="8">
        <f t="shared" si="1"/>
        <v>31</v>
      </c>
      <c r="V13" s="7">
        <v>33390</v>
      </c>
      <c r="W13" t="s">
        <v>1704</v>
      </c>
      <c r="X13" s="2">
        <v>0.14099999999999999</v>
      </c>
      <c r="Y13" s="6">
        <f t="shared" si="2"/>
        <v>3.7639144710498915E-3</v>
      </c>
      <c r="AA13">
        <v>402508</v>
      </c>
      <c r="AB13">
        <v>20868</v>
      </c>
      <c r="AD13" t="s">
        <v>5</v>
      </c>
      <c r="AE13">
        <v>46</v>
      </c>
      <c r="AF13">
        <v>6</v>
      </c>
      <c r="AH13" s="9">
        <v>44474</v>
      </c>
      <c r="AI13" t="s">
        <v>11012</v>
      </c>
      <c r="AK13" t="s">
        <v>11011</v>
      </c>
      <c r="AL13">
        <v>0</v>
      </c>
      <c r="AM13" s="5">
        <f t="shared" si="3"/>
        <v>0</v>
      </c>
      <c r="AN13" s="4">
        <f t="shared" si="4"/>
        <v>0</v>
      </c>
      <c r="AO13" s="3"/>
      <c r="AP13">
        <v>0</v>
      </c>
      <c r="AR13" t="s">
        <v>0</v>
      </c>
      <c r="AT13" s="2" t="s">
        <v>33</v>
      </c>
      <c r="AU13" s="1">
        <f t="shared" si="5"/>
        <v>0.26347401297349238</v>
      </c>
      <c r="AV13" s="1">
        <f t="shared" si="6"/>
        <v>0.18819572355249459</v>
      </c>
      <c r="AW13" s="1">
        <f t="shared" si="7"/>
        <v>0.11291743413149673</v>
      </c>
    </row>
    <row r="14" spans="1:49" x14ac:dyDescent="0.2">
      <c r="A14">
        <v>12</v>
      </c>
      <c r="B14" t="s">
        <v>11010</v>
      </c>
      <c r="F14" t="s">
        <v>11009</v>
      </c>
      <c r="G14" t="s">
        <v>16</v>
      </c>
      <c r="H14" t="s">
        <v>15</v>
      </c>
      <c r="I14" t="s">
        <v>11008</v>
      </c>
      <c r="N14">
        <v>2</v>
      </c>
      <c r="O14" t="s">
        <v>11007</v>
      </c>
      <c r="P14" t="s">
        <v>11006</v>
      </c>
      <c r="Q14" t="s">
        <v>592</v>
      </c>
      <c r="R14" s="7">
        <v>33390</v>
      </c>
      <c r="S14" s="8">
        <f t="shared" si="0"/>
        <v>1991</v>
      </c>
      <c r="T14" s="8">
        <v>1991</v>
      </c>
      <c r="U14" s="8">
        <f t="shared" si="1"/>
        <v>31</v>
      </c>
      <c r="V14" s="7">
        <v>33390</v>
      </c>
      <c r="W14" t="s">
        <v>1704</v>
      </c>
      <c r="X14" s="2">
        <v>0.14099999999999999</v>
      </c>
      <c r="Y14" s="6">
        <f t="shared" si="2"/>
        <v>3.7639144710498915E-3</v>
      </c>
      <c r="AA14">
        <v>402508</v>
      </c>
      <c r="AB14">
        <v>20868</v>
      </c>
      <c r="AD14" t="s">
        <v>5</v>
      </c>
      <c r="AE14">
        <v>46</v>
      </c>
      <c r="AF14">
        <v>6</v>
      </c>
      <c r="AH14" t="s">
        <v>11005</v>
      </c>
      <c r="AI14" t="s">
        <v>11004</v>
      </c>
      <c r="AK14" t="s">
        <v>11003</v>
      </c>
      <c r="AL14">
        <v>0</v>
      </c>
      <c r="AM14" s="5">
        <f t="shared" si="3"/>
        <v>0</v>
      </c>
      <c r="AN14" s="4">
        <f t="shared" si="4"/>
        <v>0</v>
      </c>
      <c r="AO14" s="3"/>
      <c r="AP14">
        <v>0</v>
      </c>
      <c r="AR14" t="s">
        <v>0</v>
      </c>
      <c r="AT14" s="2" t="s">
        <v>33</v>
      </c>
      <c r="AU14" s="1">
        <f t="shared" si="5"/>
        <v>0.26347401297349238</v>
      </c>
      <c r="AV14" s="1">
        <f t="shared" si="6"/>
        <v>0.18819572355249459</v>
      </c>
      <c r="AW14" s="1">
        <f t="shared" si="7"/>
        <v>0.11291743413149673</v>
      </c>
    </row>
    <row r="15" spans="1:49" x14ac:dyDescent="0.2">
      <c r="A15">
        <v>13</v>
      </c>
      <c r="B15" t="s">
        <v>11002</v>
      </c>
      <c r="F15" t="s">
        <v>11001</v>
      </c>
      <c r="G15" t="s">
        <v>16</v>
      </c>
      <c r="H15" t="s">
        <v>15</v>
      </c>
      <c r="I15" t="s">
        <v>11000</v>
      </c>
      <c r="N15">
        <v>2</v>
      </c>
      <c r="O15" t="s">
        <v>10999</v>
      </c>
      <c r="P15" t="s">
        <v>10998</v>
      </c>
      <c r="Q15" t="s">
        <v>592</v>
      </c>
      <c r="R15" s="7">
        <v>33390</v>
      </c>
      <c r="S15" s="8">
        <f t="shared" si="0"/>
        <v>1991</v>
      </c>
      <c r="T15" s="8">
        <v>1991</v>
      </c>
      <c r="U15" s="8">
        <f t="shared" si="1"/>
        <v>31</v>
      </c>
      <c r="V15" s="7">
        <v>33390</v>
      </c>
      <c r="W15" t="s">
        <v>1704</v>
      </c>
      <c r="X15" s="2">
        <v>0.14099999999999999</v>
      </c>
      <c r="Y15" s="6">
        <f t="shared" si="2"/>
        <v>3.7639144710498915E-3</v>
      </c>
      <c r="AA15">
        <v>402508</v>
      </c>
      <c r="AB15">
        <v>20868</v>
      </c>
      <c r="AD15" t="s">
        <v>5</v>
      </c>
      <c r="AE15">
        <v>46</v>
      </c>
      <c r="AF15">
        <v>6</v>
      </c>
      <c r="AH15" t="s">
        <v>10997</v>
      </c>
      <c r="AI15" t="s">
        <v>10996</v>
      </c>
      <c r="AK15" t="s">
        <v>10995</v>
      </c>
      <c r="AL15">
        <v>0</v>
      </c>
      <c r="AM15" s="5">
        <f t="shared" si="3"/>
        <v>0</v>
      </c>
      <c r="AN15" s="4">
        <f t="shared" si="4"/>
        <v>0</v>
      </c>
      <c r="AO15" s="3"/>
      <c r="AP15">
        <v>0</v>
      </c>
      <c r="AR15" t="s">
        <v>0</v>
      </c>
      <c r="AT15" s="2" t="s">
        <v>33</v>
      </c>
      <c r="AU15" s="1">
        <f t="shared" si="5"/>
        <v>0.26347401297349238</v>
      </c>
      <c r="AV15" s="1">
        <f t="shared" si="6"/>
        <v>0.18819572355249459</v>
      </c>
      <c r="AW15" s="1">
        <f t="shared" si="7"/>
        <v>0.11291743413149673</v>
      </c>
    </row>
    <row r="16" spans="1:49" x14ac:dyDescent="0.2">
      <c r="A16">
        <v>14</v>
      </c>
      <c r="B16" t="s">
        <v>10994</v>
      </c>
      <c r="F16" t="s">
        <v>10993</v>
      </c>
      <c r="G16" t="s">
        <v>16</v>
      </c>
      <c r="H16" t="s">
        <v>15</v>
      </c>
      <c r="I16" t="s">
        <v>1410</v>
      </c>
      <c r="J16">
        <v>60005510</v>
      </c>
      <c r="K16" t="s">
        <v>1409</v>
      </c>
      <c r="L16" t="s">
        <v>1408</v>
      </c>
      <c r="M16" t="s">
        <v>1407</v>
      </c>
      <c r="N16">
        <v>3</v>
      </c>
      <c r="O16" t="s">
        <v>10992</v>
      </c>
      <c r="P16" t="s">
        <v>10991</v>
      </c>
      <c r="Q16" t="s">
        <v>10990</v>
      </c>
      <c r="R16" s="7">
        <v>33390</v>
      </c>
      <c r="S16" s="8">
        <f t="shared" si="0"/>
        <v>1991</v>
      </c>
      <c r="T16" s="8">
        <v>1991</v>
      </c>
      <c r="U16" s="8">
        <f t="shared" si="1"/>
        <v>31</v>
      </c>
      <c r="V16" s="7">
        <v>33390</v>
      </c>
      <c r="W16" t="s">
        <v>10989</v>
      </c>
      <c r="X16" s="2">
        <v>0.14099999999999999</v>
      </c>
      <c r="Y16" s="6">
        <f t="shared" si="2"/>
        <v>3.7639144710498915E-3</v>
      </c>
      <c r="AA16">
        <v>7252986</v>
      </c>
      <c r="AB16">
        <v>18037</v>
      </c>
      <c r="AD16" t="s">
        <v>5</v>
      </c>
      <c r="AE16">
        <v>11</v>
      </c>
      <c r="AF16">
        <v>2</v>
      </c>
      <c r="AH16" t="s">
        <v>10988</v>
      </c>
      <c r="AI16" t="s">
        <v>10987</v>
      </c>
      <c r="AK16" t="s">
        <v>10986</v>
      </c>
      <c r="AL16">
        <v>6</v>
      </c>
      <c r="AM16" s="5">
        <f t="shared" si="3"/>
        <v>0.19354838709677419</v>
      </c>
      <c r="AN16" s="4">
        <f t="shared" si="4"/>
        <v>2.9314409253581854E-4</v>
      </c>
      <c r="AO16" s="3"/>
      <c r="AP16">
        <v>0</v>
      </c>
      <c r="AR16" t="s">
        <v>0</v>
      </c>
      <c r="AT16" s="2" t="s">
        <v>33</v>
      </c>
      <c r="AU16" s="1">
        <f t="shared" si="5"/>
        <v>0.27226833574956694</v>
      </c>
      <c r="AV16" s="1">
        <f t="shared" si="6"/>
        <v>0.20285292817928549</v>
      </c>
      <c r="AW16" s="1">
        <f t="shared" si="7"/>
        <v>0.13343752060900402</v>
      </c>
    </row>
    <row r="17" spans="1:49" x14ac:dyDescent="0.2">
      <c r="A17">
        <v>15</v>
      </c>
      <c r="B17" t="s">
        <v>10985</v>
      </c>
      <c r="C17" t="s">
        <v>10984</v>
      </c>
      <c r="F17" t="s">
        <v>10983</v>
      </c>
      <c r="G17" t="s">
        <v>16</v>
      </c>
      <c r="H17" t="s">
        <v>15</v>
      </c>
      <c r="I17" t="s">
        <v>7569</v>
      </c>
      <c r="J17">
        <v>60031828</v>
      </c>
      <c r="K17" t="s">
        <v>1545</v>
      </c>
      <c r="L17" t="s">
        <v>1544</v>
      </c>
      <c r="M17" t="s">
        <v>1543</v>
      </c>
      <c r="N17">
        <v>5</v>
      </c>
      <c r="O17" t="s">
        <v>10982</v>
      </c>
      <c r="P17" t="s">
        <v>10981</v>
      </c>
      <c r="Q17" t="s">
        <v>10980</v>
      </c>
      <c r="R17" s="7">
        <v>33390</v>
      </c>
      <c r="S17" s="8">
        <f t="shared" si="0"/>
        <v>1991</v>
      </c>
      <c r="T17" s="8">
        <v>1991</v>
      </c>
      <c r="U17" s="8">
        <f t="shared" si="1"/>
        <v>31</v>
      </c>
      <c r="V17" s="7">
        <v>33390</v>
      </c>
      <c r="W17" t="s">
        <v>3276</v>
      </c>
      <c r="X17" s="2">
        <v>2.383</v>
      </c>
      <c r="Y17" s="6">
        <f t="shared" si="2"/>
        <v>6.3612824003630442E-2</v>
      </c>
      <c r="AA17">
        <v>189219</v>
      </c>
      <c r="AB17">
        <v>17915</v>
      </c>
      <c r="AD17" t="s">
        <v>5</v>
      </c>
      <c r="AE17">
        <v>79</v>
      </c>
      <c r="AF17">
        <v>6</v>
      </c>
      <c r="AH17" t="s">
        <v>10979</v>
      </c>
      <c r="AI17" t="s">
        <v>10978</v>
      </c>
      <c r="AK17" t="s">
        <v>10977</v>
      </c>
      <c r="AL17">
        <v>44</v>
      </c>
      <c r="AM17" s="5">
        <f t="shared" si="3"/>
        <v>1.4193548387096775</v>
      </c>
      <c r="AN17" s="4">
        <f t="shared" si="4"/>
        <v>2.1497233452626692E-3</v>
      </c>
      <c r="AO17" s="3"/>
      <c r="AP17">
        <v>0</v>
      </c>
      <c r="AR17" t="s">
        <v>0</v>
      </c>
      <c r="AS17" t="s">
        <v>10976</v>
      </c>
      <c r="AT17" s="2">
        <v>10.961</v>
      </c>
      <c r="AU17" s="1">
        <f t="shared" si="5"/>
        <v>4.5173893806120109</v>
      </c>
      <c r="AV17" s="1">
        <f t="shared" si="6"/>
        <v>3.2881273674446558</v>
      </c>
      <c r="AW17" s="1">
        <f t="shared" si="7"/>
        <v>2.0588653542773003</v>
      </c>
    </row>
    <row r="18" spans="1:49" x14ac:dyDescent="0.2">
      <c r="A18">
        <v>16</v>
      </c>
      <c r="B18" t="s">
        <v>10975</v>
      </c>
      <c r="C18" t="s">
        <v>10974</v>
      </c>
      <c r="F18" t="s">
        <v>10973</v>
      </c>
      <c r="G18" t="s">
        <v>16</v>
      </c>
      <c r="H18" t="s">
        <v>15</v>
      </c>
      <c r="I18" t="s">
        <v>10972</v>
      </c>
      <c r="J18">
        <v>60011313</v>
      </c>
      <c r="K18" t="s">
        <v>4808</v>
      </c>
      <c r="L18" t="s">
        <v>4807</v>
      </c>
      <c r="M18" t="s">
        <v>4806</v>
      </c>
      <c r="N18">
        <v>2</v>
      </c>
      <c r="O18" t="s">
        <v>10971</v>
      </c>
      <c r="P18" t="s">
        <v>10970</v>
      </c>
      <c r="Q18" t="s">
        <v>4803</v>
      </c>
      <c r="R18" s="7">
        <v>33390</v>
      </c>
      <c r="S18" s="8">
        <f t="shared" si="0"/>
        <v>1991</v>
      </c>
      <c r="T18" s="8">
        <v>1991</v>
      </c>
      <c r="U18" s="8">
        <f t="shared" si="1"/>
        <v>31</v>
      </c>
      <c r="V18" s="7">
        <v>33390</v>
      </c>
      <c r="W18" t="s">
        <v>561</v>
      </c>
      <c r="X18" s="2">
        <v>0.30399999999999999</v>
      </c>
      <c r="Y18" s="6">
        <f t="shared" si="2"/>
        <v>8.115106377299057E-3</v>
      </c>
      <c r="AA18">
        <v>8952477</v>
      </c>
      <c r="AB18">
        <v>12250</v>
      </c>
      <c r="AC18">
        <v>10982760</v>
      </c>
      <c r="AD18" t="s">
        <v>5</v>
      </c>
      <c r="AE18">
        <v>4</v>
      </c>
      <c r="AF18">
        <v>7</v>
      </c>
      <c r="AH18" t="s">
        <v>10969</v>
      </c>
      <c r="AI18" t="s">
        <v>10968</v>
      </c>
      <c r="AJ18" t="s">
        <v>10967</v>
      </c>
      <c r="AK18" t="s">
        <v>10966</v>
      </c>
      <c r="AL18">
        <v>7</v>
      </c>
      <c r="AM18" s="5">
        <f t="shared" si="3"/>
        <v>0.22580645161290322</v>
      </c>
      <c r="AN18" s="4">
        <f t="shared" si="4"/>
        <v>3.420014412917883E-4</v>
      </c>
      <c r="AO18" s="3"/>
      <c r="AP18">
        <v>0</v>
      </c>
      <c r="AR18" t="s">
        <v>0</v>
      </c>
      <c r="AT18" s="2" t="s">
        <v>33</v>
      </c>
      <c r="AU18" s="1">
        <f t="shared" si="5"/>
        <v>0.57831748964968765</v>
      </c>
      <c r="AV18" s="1">
        <f t="shared" si="6"/>
        <v>0.42285539092954222</v>
      </c>
      <c r="AW18" s="1">
        <f t="shared" si="7"/>
        <v>0.26739329220939689</v>
      </c>
    </row>
    <row r="19" spans="1:49" x14ac:dyDescent="0.2">
      <c r="A19">
        <v>17</v>
      </c>
      <c r="B19" t="s">
        <v>10965</v>
      </c>
      <c r="C19" t="s">
        <v>10964</v>
      </c>
      <c r="F19" t="s">
        <v>10963</v>
      </c>
      <c r="G19" t="s">
        <v>16</v>
      </c>
      <c r="H19" t="s">
        <v>15</v>
      </c>
      <c r="I19" t="s">
        <v>10962</v>
      </c>
      <c r="J19">
        <v>60027550</v>
      </c>
      <c r="K19" t="s">
        <v>1338</v>
      </c>
      <c r="L19" t="s">
        <v>1337</v>
      </c>
      <c r="M19" t="s">
        <v>57</v>
      </c>
      <c r="N19">
        <v>4</v>
      </c>
      <c r="O19" t="s">
        <v>10961</v>
      </c>
      <c r="P19" t="s">
        <v>10960</v>
      </c>
      <c r="Q19" t="s">
        <v>10959</v>
      </c>
      <c r="R19" s="7">
        <v>33390</v>
      </c>
      <c r="S19" s="8">
        <f t="shared" si="0"/>
        <v>1991</v>
      </c>
      <c r="T19" s="8">
        <v>1991</v>
      </c>
      <c r="U19" s="8">
        <f t="shared" si="1"/>
        <v>31</v>
      </c>
      <c r="V19" s="7">
        <v>33390</v>
      </c>
      <c r="W19" t="s">
        <v>4440</v>
      </c>
      <c r="X19" s="2">
        <v>0.94</v>
      </c>
      <c r="Y19" s="6">
        <f t="shared" si="2"/>
        <v>2.5092763140332611E-2</v>
      </c>
      <c r="AA19">
        <v>10518207</v>
      </c>
      <c r="AB19">
        <v>63372</v>
      </c>
      <c r="AD19" t="s">
        <v>5</v>
      </c>
      <c r="AE19">
        <v>1</v>
      </c>
      <c r="AF19">
        <v>6</v>
      </c>
      <c r="AH19" t="s">
        <v>1552</v>
      </c>
      <c r="AI19" t="s">
        <v>10958</v>
      </c>
      <c r="AK19" t="s">
        <v>10957</v>
      </c>
      <c r="AL19">
        <v>8</v>
      </c>
      <c r="AM19" s="5">
        <f t="shared" si="3"/>
        <v>0.25806451612903225</v>
      </c>
      <c r="AN19" s="4">
        <f t="shared" si="4"/>
        <v>3.9085879004775807E-4</v>
      </c>
      <c r="AO19" s="3"/>
      <c r="AP19">
        <v>0</v>
      </c>
      <c r="AR19" t="s">
        <v>0</v>
      </c>
      <c r="AT19" s="2" t="s">
        <v>33</v>
      </c>
      <c r="AU19" s="1">
        <f t="shared" si="5"/>
        <v>1.7682191835247152</v>
      </c>
      <c r="AV19" s="1">
        <f t="shared" si="6"/>
        <v>1.2741810965190183</v>
      </c>
      <c r="AW19" s="1">
        <f t="shared" si="7"/>
        <v>0.78014300951332138</v>
      </c>
    </row>
    <row r="20" spans="1:49" x14ac:dyDescent="0.2">
      <c r="A20">
        <v>18</v>
      </c>
      <c r="B20" t="s">
        <v>10956</v>
      </c>
      <c r="C20" t="s">
        <v>10955</v>
      </c>
      <c r="F20" t="s">
        <v>10954</v>
      </c>
      <c r="G20" t="s">
        <v>16</v>
      </c>
      <c r="H20" t="s">
        <v>15</v>
      </c>
      <c r="I20" t="s">
        <v>10953</v>
      </c>
      <c r="J20" t="s">
        <v>10952</v>
      </c>
      <c r="K20" t="s">
        <v>10951</v>
      </c>
      <c r="L20" t="s">
        <v>10950</v>
      </c>
      <c r="M20" t="s">
        <v>821</v>
      </c>
      <c r="N20">
        <v>4</v>
      </c>
      <c r="O20" t="s">
        <v>10949</v>
      </c>
      <c r="P20" t="s">
        <v>10948</v>
      </c>
      <c r="Q20" t="s">
        <v>10947</v>
      </c>
      <c r="R20" s="7">
        <v>33390</v>
      </c>
      <c r="S20" s="8">
        <f t="shared" si="0"/>
        <v>1991</v>
      </c>
      <c r="T20" s="8">
        <v>1991</v>
      </c>
      <c r="U20" s="8">
        <f t="shared" si="1"/>
        <v>31</v>
      </c>
      <c r="V20" s="7">
        <v>33390</v>
      </c>
      <c r="W20" t="s">
        <v>10946</v>
      </c>
      <c r="X20" s="2" t="s">
        <v>33</v>
      </c>
      <c r="Y20" s="6" t="e">
        <f t="shared" si="2"/>
        <v>#VALUE!</v>
      </c>
      <c r="AA20">
        <v>7217269</v>
      </c>
      <c r="AB20">
        <v>39311</v>
      </c>
      <c r="AC20">
        <v>14320649</v>
      </c>
      <c r="AD20" t="s">
        <v>5</v>
      </c>
      <c r="AE20">
        <v>52</v>
      </c>
      <c r="AF20">
        <v>6</v>
      </c>
      <c r="AH20" t="s">
        <v>10945</v>
      </c>
      <c r="AI20" t="s">
        <v>10944</v>
      </c>
      <c r="AJ20" t="s">
        <v>10943</v>
      </c>
      <c r="AK20" t="s">
        <v>10942</v>
      </c>
      <c r="AL20">
        <v>71</v>
      </c>
      <c r="AM20" s="5">
        <f t="shared" si="3"/>
        <v>2.2903225806451615</v>
      </c>
      <c r="AN20" s="4">
        <f t="shared" si="4"/>
        <v>3.468871761673853E-3</v>
      </c>
      <c r="AO20" s="3"/>
      <c r="AP20">
        <v>0</v>
      </c>
      <c r="AR20" t="s">
        <v>0</v>
      </c>
      <c r="AT20" s="2" t="s">
        <v>33</v>
      </c>
      <c r="AU20" s="1" t="e">
        <f t="shared" si="5"/>
        <v>#VALUE!</v>
      </c>
      <c r="AV20" s="1" t="e">
        <f t="shared" si="6"/>
        <v>#VALUE!</v>
      </c>
      <c r="AW20" s="1" t="e">
        <f t="shared" si="7"/>
        <v>#VALUE!</v>
      </c>
    </row>
    <row r="21" spans="1:49" x14ac:dyDescent="0.2">
      <c r="A21">
        <v>19</v>
      </c>
      <c r="B21" t="s">
        <v>10941</v>
      </c>
      <c r="C21" t="s">
        <v>10940</v>
      </c>
      <c r="F21" t="s">
        <v>10939</v>
      </c>
      <c r="G21" t="s">
        <v>16</v>
      </c>
      <c r="H21" t="s">
        <v>15</v>
      </c>
      <c r="I21" t="s">
        <v>353</v>
      </c>
      <c r="J21">
        <v>60101780</v>
      </c>
      <c r="K21" t="s">
        <v>10938</v>
      </c>
      <c r="L21" t="s">
        <v>789</v>
      </c>
      <c r="M21" t="s">
        <v>117</v>
      </c>
      <c r="N21">
        <v>2</v>
      </c>
      <c r="O21" t="s">
        <v>10937</v>
      </c>
      <c r="P21" t="s">
        <v>10936</v>
      </c>
      <c r="Q21" t="s">
        <v>10935</v>
      </c>
      <c r="R21" s="7">
        <v>33390</v>
      </c>
      <c r="S21" s="8">
        <f t="shared" si="0"/>
        <v>1991</v>
      </c>
      <c r="T21" s="8">
        <v>1991</v>
      </c>
      <c r="U21" s="8">
        <f t="shared" si="1"/>
        <v>31</v>
      </c>
      <c r="V21" s="7">
        <v>33390</v>
      </c>
      <c r="W21" t="s">
        <v>10023</v>
      </c>
      <c r="X21" s="2">
        <v>0.61499999999999999</v>
      </c>
      <c r="Y21" s="6">
        <f t="shared" si="2"/>
        <v>1.6417073756706976E-2</v>
      </c>
      <c r="AA21">
        <v>1959271</v>
      </c>
      <c r="AB21">
        <v>12141</v>
      </c>
      <c r="AC21">
        <v>15729559</v>
      </c>
      <c r="AD21" t="s">
        <v>5</v>
      </c>
      <c r="AE21">
        <v>12</v>
      </c>
      <c r="AF21">
        <v>6</v>
      </c>
      <c r="AH21" t="s">
        <v>10934</v>
      </c>
      <c r="AI21" t="s">
        <v>10933</v>
      </c>
      <c r="AJ21" t="s">
        <v>10932</v>
      </c>
      <c r="AK21" t="s">
        <v>10931</v>
      </c>
      <c r="AL21">
        <v>5</v>
      </c>
      <c r="AM21" s="5">
        <f t="shared" si="3"/>
        <v>0.16129032258064516</v>
      </c>
      <c r="AN21" s="4">
        <f t="shared" si="4"/>
        <v>2.4428674377984877E-4</v>
      </c>
      <c r="AO21" s="3"/>
      <c r="AP21">
        <v>0</v>
      </c>
      <c r="AR21" t="s">
        <v>0</v>
      </c>
      <c r="AT21" s="2" t="s">
        <v>33</v>
      </c>
      <c r="AU21" s="1">
        <f t="shared" si="5"/>
        <v>1.1565237652828837</v>
      </c>
      <c r="AV21" s="1">
        <f t="shared" si="6"/>
        <v>0.8330680250243413</v>
      </c>
      <c r="AW21" s="1">
        <f t="shared" si="7"/>
        <v>0.50961228476579856</v>
      </c>
    </row>
    <row r="22" spans="1:49" x14ac:dyDescent="0.2">
      <c r="A22">
        <v>20</v>
      </c>
      <c r="B22" t="s">
        <v>10930</v>
      </c>
      <c r="C22" t="s">
        <v>10929</v>
      </c>
      <c r="F22" t="s">
        <v>10928</v>
      </c>
      <c r="G22" t="s">
        <v>16</v>
      </c>
      <c r="H22" t="s">
        <v>15</v>
      </c>
      <c r="I22" t="s">
        <v>10927</v>
      </c>
      <c r="J22">
        <v>60024724</v>
      </c>
      <c r="K22" t="s">
        <v>10926</v>
      </c>
      <c r="L22" t="s">
        <v>10925</v>
      </c>
      <c r="M22" t="s">
        <v>117</v>
      </c>
      <c r="N22">
        <v>3</v>
      </c>
      <c r="O22" t="s">
        <v>10924</v>
      </c>
      <c r="P22" t="s">
        <v>10923</v>
      </c>
      <c r="Q22" t="s">
        <v>10922</v>
      </c>
      <c r="R22" s="7">
        <v>33390</v>
      </c>
      <c r="S22" s="8">
        <f t="shared" si="0"/>
        <v>1991</v>
      </c>
      <c r="T22" s="8">
        <v>1991</v>
      </c>
      <c r="U22" s="8">
        <f t="shared" si="1"/>
        <v>31</v>
      </c>
      <c r="V22" s="7">
        <v>33390</v>
      </c>
      <c r="W22" t="s">
        <v>10023</v>
      </c>
      <c r="X22" s="2">
        <v>0.61499999999999999</v>
      </c>
      <c r="Y22" s="6">
        <f t="shared" si="2"/>
        <v>1.6417073756706976E-2</v>
      </c>
      <c r="AA22">
        <v>1959271</v>
      </c>
      <c r="AB22">
        <v>12141</v>
      </c>
      <c r="AC22">
        <v>15729559</v>
      </c>
      <c r="AD22" t="s">
        <v>5</v>
      </c>
      <c r="AE22">
        <v>12</v>
      </c>
      <c r="AF22">
        <v>6</v>
      </c>
      <c r="AH22" t="s">
        <v>10921</v>
      </c>
      <c r="AI22" t="s">
        <v>10920</v>
      </c>
      <c r="AJ22" t="s">
        <v>10919</v>
      </c>
      <c r="AK22" t="s">
        <v>10918</v>
      </c>
      <c r="AL22">
        <v>1</v>
      </c>
      <c r="AM22" s="5">
        <f t="shared" si="3"/>
        <v>3.2258064516129031E-2</v>
      </c>
      <c r="AN22" s="4">
        <f t="shared" si="4"/>
        <v>4.8857348755969758E-5</v>
      </c>
      <c r="AO22" s="3"/>
      <c r="AP22">
        <v>0</v>
      </c>
      <c r="AR22" t="s">
        <v>0</v>
      </c>
      <c r="AT22" s="2" t="s">
        <v>33</v>
      </c>
      <c r="AU22" s="1">
        <f t="shared" si="5"/>
        <v>1.1506608834321672</v>
      </c>
      <c r="AV22" s="1">
        <f t="shared" si="6"/>
        <v>0.82329655527314738</v>
      </c>
      <c r="AW22" s="1">
        <f t="shared" si="7"/>
        <v>0.4959322271141271</v>
      </c>
    </row>
    <row r="23" spans="1:49" x14ac:dyDescent="0.2">
      <c r="A23">
        <v>21</v>
      </c>
      <c r="B23" t="s">
        <v>10917</v>
      </c>
      <c r="F23" t="s">
        <v>10916</v>
      </c>
      <c r="G23" t="s">
        <v>16</v>
      </c>
      <c r="H23" t="s">
        <v>15</v>
      </c>
      <c r="I23" t="s">
        <v>10915</v>
      </c>
      <c r="J23">
        <v>100405868</v>
      </c>
      <c r="K23" t="s">
        <v>10914</v>
      </c>
      <c r="M23" t="s">
        <v>57</v>
      </c>
      <c r="N23">
        <v>1</v>
      </c>
      <c r="O23" t="s">
        <v>10913</v>
      </c>
      <c r="P23">
        <v>57225320764</v>
      </c>
      <c r="Q23">
        <v>100405868</v>
      </c>
      <c r="R23" s="7">
        <v>33390</v>
      </c>
      <c r="S23" s="8">
        <f t="shared" si="0"/>
        <v>1991</v>
      </c>
      <c r="T23" s="8">
        <v>1991</v>
      </c>
      <c r="U23" s="8">
        <f t="shared" si="1"/>
        <v>31</v>
      </c>
      <c r="V23" s="7">
        <v>33390</v>
      </c>
      <c r="W23" t="s">
        <v>10015</v>
      </c>
      <c r="X23" s="2">
        <v>0.10100000000000001</v>
      </c>
      <c r="Y23" s="6">
        <f t="shared" si="2"/>
        <v>2.6961373161421215E-3</v>
      </c>
      <c r="AA23">
        <v>7452993</v>
      </c>
      <c r="AB23">
        <v>18563</v>
      </c>
      <c r="AD23" t="s">
        <v>5</v>
      </c>
      <c r="AE23">
        <v>30</v>
      </c>
      <c r="AF23">
        <v>6</v>
      </c>
      <c r="AI23" t="s">
        <v>10912</v>
      </c>
      <c r="AK23" t="s">
        <v>10911</v>
      </c>
      <c r="AL23">
        <v>0</v>
      </c>
      <c r="AM23" s="5">
        <f t="shared" si="3"/>
        <v>0</v>
      </c>
      <c r="AN23" s="4">
        <f t="shared" si="4"/>
        <v>0</v>
      </c>
      <c r="AO23" s="3"/>
      <c r="AP23">
        <v>0</v>
      </c>
      <c r="AR23" t="s">
        <v>0</v>
      </c>
      <c r="AT23" s="2" t="s">
        <v>33</v>
      </c>
      <c r="AU23" s="1">
        <f t="shared" si="5"/>
        <v>0.18872961212994849</v>
      </c>
      <c r="AV23" s="1">
        <f t="shared" si="6"/>
        <v>0.13480686580710607</v>
      </c>
      <c r="AW23" s="1">
        <f t="shared" si="7"/>
        <v>8.0884119484263647E-2</v>
      </c>
    </row>
    <row r="24" spans="1:49" x14ac:dyDescent="0.2">
      <c r="A24">
        <v>22</v>
      </c>
      <c r="B24" t="s">
        <v>10910</v>
      </c>
      <c r="F24" t="s">
        <v>10909</v>
      </c>
      <c r="G24" t="s">
        <v>16</v>
      </c>
      <c r="H24" t="s">
        <v>15</v>
      </c>
      <c r="I24" t="s">
        <v>10908</v>
      </c>
      <c r="J24">
        <v>101263197</v>
      </c>
      <c r="K24" t="s">
        <v>10907</v>
      </c>
      <c r="M24" t="s">
        <v>272</v>
      </c>
      <c r="N24">
        <v>1</v>
      </c>
      <c r="O24" t="s">
        <v>10906</v>
      </c>
      <c r="P24">
        <v>7102644711</v>
      </c>
      <c r="Q24">
        <v>101263197</v>
      </c>
      <c r="R24" s="7">
        <v>33390</v>
      </c>
      <c r="S24" s="8">
        <f t="shared" si="0"/>
        <v>1991</v>
      </c>
      <c r="T24" s="8">
        <v>1991</v>
      </c>
      <c r="U24" s="8">
        <f t="shared" si="1"/>
        <v>31</v>
      </c>
      <c r="V24" s="7">
        <v>33390</v>
      </c>
      <c r="W24" t="s">
        <v>10015</v>
      </c>
      <c r="X24" s="2">
        <v>0.10100000000000001</v>
      </c>
      <c r="Y24" s="6">
        <f t="shared" si="2"/>
        <v>2.6961373161421215E-3</v>
      </c>
      <c r="AA24">
        <v>7452993</v>
      </c>
      <c r="AB24">
        <v>18563</v>
      </c>
      <c r="AD24" t="s">
        <v>5</v>
      </c>
      <c r="AE24">
        <v>30</v>
      </c>
      <c r="AF24">
        <v>6</v>
      </c>
      <c r="AI24" t="s">
        <v>10905</v>
      </c>
      <c r="AK24" t="s">
        <v>10904</v>
      </c>
      <c r="AL24">
        <v>0</v>
      </c>
      <c r="AM24" s="5">
        <f t="shared" si="3"/>
        <v>0</v>
      </c>
      <c r="AN24" s="4">
        <f t="shared" si="4"/>
        <v>0</v>
      </c>
      <c r="AO24" s="3"/>
      <c r="AP24">
        <v>0</v>
      </c>
      <c r="AR24" t="s">
        <v>0</v>
      </c>
      <c r="AT24" s="2" t="s">
        <v>33</v>
      </c>
      <c r="AU24" s="1">
        <f t="shared" si="5"/>
        <v>0.18872961212994849</v>
      </c>
      <c r="AV24" s="1">
        <f t="shared" si="6"/>
        <v>0.13480686580710607</v>
      </c>
      <c r="AW24" s="1">
        <f t="shared" si="7"/>
        <v>8.0884119484263647E-2</v>
      </c>
    </row>
    <row r="25" spans="1:49" x14ac:dyDescent="0.2">
      <c r="A25">
        <v>23</v>
      </c>
      <c r="B25" t="s">
        <v>10903</v>
      </c>
      <c r="C25" t="s">
        <v>10902</v>
      </c>
      <c r="E25">
        <v>1903653</v>
      </c>
      <c r="F25" t="s">
        <v>10901</v>
      </c>
      <c r="G25" t="s">
        <v>16</v>
      </c>
      <c r="H25" t="s">
        <v>15</v>
      </c>
      <c r="I25" t="s">
        <v>10900</v>
      </c>
      <c r="J25" t="s">
        <v>10899</v>
      </c>
      <c r="K25" t="s">
        <v>10898</v>
      </c>
      <c r="L25" t="s">
        <v>10897</v>
      </c>
      <c r="M25" t="s">
        <v>4429</v>
      </c>
      <c r="N25">
        <v>3</v>
      </c>
      <c r="O25" t="s">
        <v>10896</v>
      </c>
      <c r="P25" t="s">
        <v>10895</v>
      </c>
      <c r="Q25" t="s">
        <v>10894</v>
      </c>
      <c r="R25" s="7">
        <v>33390</v>
      </c>
      <c r="S25" s="8">
        <f t="shared" si="0"/>
        <v>1991</v>
      </c>
      <c r="T25" s="8">
        <v>1991</v>
      </c>
      <c r="U25" s="8">
        <f t="shared" si="1"/>
        <v>31</v>
      </c>
      <c r="V25" s="7">
        <v>33390</v>
      </c>
      <c r="W25" t="s">
        <v>10864</v>
      </c>
      <c r="X25" s="2">
        <v>1.43</v>
      </c>
      <c r="Y25" s="6">
        <f t="shared" si="2"/>
        <v>3.8173033287952803E-2</v>
      </c>
      <c r="AA25">
        <v>62960</v>
      </c>
      <c r="AB25">
        <v>16867</v>
      </c>
      <c r="AC25">
        <v>15204995</v>
      </c>
      <c r="AD25" t="s">
        <v>5</v>
      </c>
      <c r="AE25">
        <v>30</v>
      </c>
      <c r="AF25">
        <v>22</v>
      </c>
      <c r="AH25" t="s">
        <v>10893</v>
      </c>
      <c r="AI25" t="s">
        <v>10892</v>
      </c>
      <c r="AK25" t="s">
        <v>10891</v>
      </c>
      <c r="AL25">
        <v>59</v>
      </c>
      <c r="AM25" s="5">
        <f t="shared" si="3"/>
        <v>1.903225806451613</v>
      </c>
      <c r="AN25" s="4">
        <f t="shared" si="4"/>
        <v>2.8825835766022158E-3</v>
      </c>
      <c r="AO25" s="3"/>
      <c r="AP25">
        <v>0</v>
      </c>
      <c r="AR25" t="s">
        <v>0</v>
      </c>
      <c r="AT25" s="2">
        <v>3.1619999999999999</v>
      </c>
      <c r="AU25" s="1">
        <f t="shared" si="5"/>
        <v>2.7585898374547626</v>
      </c>
      <c r="AV25" s="1">
        <f t="shared" si="6"/>
        <v>2.052780843227751</v>
      </c>
      <c r="AW25" s="1">
        <f t="shared" si="7"/>
        <v>1.3469718490007392</v>
      </c>
    </row>
    <row r="26" spans="1:49" x14ac:dyDescent="0.2">
      <c r="A26">
        <v>24</v>
      </c>
      <c r="B26" t="s">
        <v>10890</v>
      </c>
      <c r="C26" t="s">
        <v>10889</v>
      </c>
      <c r="E26">
        <v>2062308</v>
      </c>
      <c r="F26" t="s">
        <v>10888</v>
      </c>
      <c r="G26" t="s">
        <v>16</v>
      </c>
      <c r="H26" t="s">
        <v>15</v>
      </c>
      <c r="I26" t="s">
        <v>10887</v>
      </c>
      <c r="J26" t="s">
        <v>10886</v>
      </c>
      <c r="K26" t="s">
        <v>10885</v>
      </c>
      <c r="L26" t="s">
        <v>10884</v>
      </c>
      <c r="M26" t="s">
        <v>10883</v>
      </c>
      <c r="N26">
        <v>6</v>
      </c>
      <c r="O26" t="s">
        <v>10882</v>
      </c>
      <c r="P26" t="s">
        <v>10881</v>
      </c>
      <c r="Q26" t="s">
        <v>10880</v>
      </c>
      <c r="R26" s="7">
        <v>33390</v>
      </c>
      <c r="S26" s="8">
        <f t="shared" si="0"/>
        <v>1991</v>
      </c>
      <c r="T26" s="8">
        <v>1991</v>
      </c>
      <c r="U26" s="8">
        <f t="shared" si="1"/>
        <v>31</v>
      </c>
      <c r="V26" s="7">
        <v>33390</v>
      </c>
      <c r="W26" t="s">
        <v>10879</v>
      </c>
      <c r="X26" s="2" t="s">
        <v>33</v>
      </c>
      <c r="Y26" s="6" t="e">
        <f t="shared" si="2"/>
        <v>#VALUE!</v>
      </c>
      <c r="AA26">
        <v>268925</v>
      </c>
      <c r="AB26">
        <v>32876</v>
      </c>
      <c r="AC26">
        <v>16174623</v>
      </c>
      <c r="AD26" t="s">
        <v>5</v>
      </c>
      <c r="AE26">
        <v>227</v>
      </c>
      <c r="AF26">
        <v>2</v>
      </c>
      <c r="AH26" t="s">
        <v>1760</v>
      </c>
      <c r="AI26" t="s">
        <v>10878</v>
      </c>
      <c r="AJ26" t="s">
        <v>10877</v>
      </c>
      <c r="AK26" t="s">
        <v>10876</v>
      </c>
      <c r="AL26">
        <v>38</v>
      </c>
      <c r="AM26" s="5">
        <f t="shared" si="3"/>
        <v>1.2258064516129032</v>
      </c>
      <c r="AN26" s="4">
        <f t="shared" si="4"/>
        <v>1.8565792527268509E-3</v>
      </c>
      <c r="AO26" s="3"/>
      <c r="AP26">
        <v>0</v>
      </c>
      <c r="AR26" t="s">
        <v>0</v>
      </c>
      <c r="AT26" s="2" t="s">
        <v>33</v>
      </c>
      <c r="AU26" s="1" t="e">
        <f t="shared" si="5"/>
        <v>#VALUE!</v>
      </c>
      <c r="AV26" s="1" t="e">
        <f t="shared" si="6"/>
        <v>#VALUE!</v>
      </c>
      <c r="AW26" s="1" t="e">
        <f t="shared" si="7"/>
        <v>#VALUE!</v>
      </c>
    </row>
    <row r="27" spans="1:49" x14ac:dyDescent="0.2">
      <c r="A27">
        <v>25</v>
      </c>
      <c r="B27" t="s">
        <v>10875</v>
      </c>
      <c r="C27" t="s">
        <v>10874</v>
      </c>
      <c r="E27">
        <v>1904275</v>
      </c>
      <c r="F27" t="s">
        <v>10873</v>
      </c>
      <c r="G27" t="s">
        <v>16</v>
      </c>
      <c r="H27" t="s">
        <v>15</v>
      </c>
      <c r="I27" t="s">
        <v>10872</v>
      </c>
      <c r="J27" t="s">
        <v>10871</v>
      </c>
      <c r="K27" t="s">
        <v>10870</v>
      </c>
      <c r="L27" t="s">
        <v>10869</v>
      </c>
      <c r="M27" t="s">
        <v>10868</v>
      </c>
      <c r="N27">
        <v>7</v>
      </c>
      <c r="O27" t="s">
        <v>10867</v>
      </c>
      <c r="P27" t="s">
        <v>10866</v>
      </c>
      <c r="Q27" t="s">
        <v>10865</v>
      </c>
      <c r="R27" s="7">
        <v>33390</v>
      </c>
      <c r="S27" s="8">
        <f t="shared" si="0"/>
        <v>1991</v>
      </c>
      <c r="T27" s="8">
        <v>1991</v>
      </c>
      <c r="U27" s="8">
        <f t="shared" si="1"/>
        <v>31</v>
      </c>
      <c r="V27" s="7">
        <v>33390</v>
      </c>
      <c r="W27" t="s">
        <v>10864</v>
      </c>
      <c r="X27" s="2">
        <v>1.43</v>
      </c>
      <c r="Y27" s="6">
        <f t="shared" si="2"/>
        <v>3.8173033287952803E-2</v>
      </c>
      <c r="AA27">
        <v>62960</v>
      </c>
      <c r="AB27">
        <v>16867</v>
      </c>
      <c r="AC27">
        <v>15204995</v>
      </c>
      <c r="AD27" t="s">
        <v>5</v>
      </c>
      <c r="AE27">
        <v>30</v>
      </c>
      <c r="AF27">
        <v>23</v>
      </c>
      <c r="AH27" t="s">
        <v>10863</v>
      </c>
      <c r="AI27" t="s">
        <v>10862</v>
      </c>
      <c r="AK27" t="s">
        <v>10861</v>
      </c>
      <c r="AL27">
        <v>101</v>
      </c>
      <c r="AM27" s="5">
        <f t="shared" si="3"/>
        <v>3.2580645161290325</v>
      </c>
      <c r="AN27" s="4">
        <f t="shared" si="4"/>
        <v>4.9345922243529457E-3</v>
      </c>
      <c r="AO27" s="3"/>
      <c r="AP27">
        <v>0</v>
      </c>
      <c r="AR27" t="s">
        <v>0</v>
      </c>
      <c r="AT27" s="2">
        <v>3.1619999999999999</v>
      </c>
      <c r="AU27" s="1">
        <f t="shared" si="5"/>
        <v>2.8201500968872844</v>
      </c>
      <c r="AV27" s="1">
        <f t="shared" si="6"/>
        <v>2.1553812756152877</v>
      </c>
      <c r="AW27" s="1">
        <f t="shared" si="7"/>
        <v>1.4906124543432901</v>
      </c>
    </row>
    <row r="28" spans="1:49" x14ac:dyDescent="0.2">
      <c r="A28">
        <v>26</v>
      </c>
      <c r="B28" t="s">
        <v>10860</v>
      </c>
      <c r="C28" t="s">
        <v>10859</v>
      </c>
      <c r="D28" t="s">
        <v>10858</v>
      </c>
      <c r="F28" t="s">
        <v>10857</v>
      </c>
      <c r="G28" t="s">
        <v>16</v>
      </c>
      <c r="H28" t="s">
        <v>15</v>
      </c>
      <c r="I28" t="s">
        <v>10856</v>
      </c>
      <c r="J28">
        <v>60016653</v>
      </c>
      <c r="K28" t="s">
        <v>10855</v>
      </c>
      <c r="L28" t="s">
        <v>10854</v>
      </c>
      <c r="M28" t="s">
        <v>25</v>
      </c>
      <c r="N28">
        <v>2</v>
      </c>
      <c r="O28" t="s">
        <v>10853</v>
      </c>
      <c r="P28" t="s">
        <v>10852</v>
      </c>
      <c r="Q28" t="s">
        <v>10851</v>
      </c>
      <c r="R28" s="7">
        <v>33373</v>
      </c>
      <c r="S28" s="8">
        <f t="shared" si="0"/>
        <v>1991</v>
      </c>
      <c r="T28" s="8">
        <v>1991</v>
      </c>
      <c r="U28" s="8">
        <f t="shared" si="1"/>
        <v>31</v>
      </c>
      <c r="V28" s="7">
        <v>33373</v>
      </c>
      <c r="W28" t="s">
        <v>10850</v>
      </c>
      <c r="X28" s="2">
        <v>0.64</v>
      </c>
      <c r="Y28" s="6">
        <f t="shared" si="2"/>
        <v>1.7084434478524334E-2</v>
      </c>
      <c r="AA28">
        <v>3784371</v>
      </c>
      <c r="AB28">
        <v>29115</v>
      </c>
      <c r="AD28" t="s">
        <v>5</v>
      </c>
      <c r="AE28">
        <v>173</v>
      </c>
      <c r="AF28">
        <v>3</v>
      </c>
      <c r="AH28" t="s">
        <v>10849</v>
      </c>
      <c r="AI28" t="s">
        <v>10848</v>
      </c>
      <c r="AK28" t="s">
        <v>10847</v>
      </c>
      <c r="AL28">
        <v>5</v>
      </c>
      <c r="AM28" s="5">
        <f t="shared" si="3"/>
        <v>0.16129032258064516</v>
      </c>
      <c r="AN28" s="4">
        <f t="shared" si="4"/>
        <v>2.4428674377984877E-4</v>
      </c>
      <c r="AO28" s="3"/>
      <c r="AP28">
        <v>0</v>
      </c>
      <c r="AR28" t="s">
        <v>0</v>
      </c>
      <c r="AT28" s="2" t="s">
        <v>33</v>
      </c>
      <c r="AU28" s="1">
        <f t="shared" si="5"/>
        <v>1.2032390158100987</v>
      </c>
      <c r="AV28" s="1">
        <f t="shared" si="6"/>
        <v>0.86643606111520921</v>
      </c>
      <c r="AW28" s="1">
        <f t="shared" si="7"/>
        <v>0.52963310642031936</v>
      </c>
    </row>
    <row r="29" spans="1:49" x14ac:dyDescent="0.2">
      <c r="A29">
        <v>27</v>
      </c>
      <c r="B29" t="s">
        <v>10846</v>
      </c>
      <c r="C29" t="s">
        <v>10845</v>
      </c>
      <c r="F29" t="s">
        <v>10844</v>
      </c>
      <c r="G29" t="s">
        <v>16</v>
      </c>
      <c r="H29" t="s">
        <v>15</v>
      </c>
      <c r="I29" t="s">
        <v>9867</v>
      </c>
      <c r="J29">
        <v>60030553</v>
      </c>
      <c r="K29" t="s">
        <v>3158</v>
      </c>
      <c r="L29" t="s">
        <v>3157</v>
      </c>
      <c r="M29" t="s">
        <v>213</v>
      </c>
      <c r="N29">
        <v>2</v>
      </c>
      <c r="O29" t="s">
        <v>10843</v>
      </c>
      <c r="P29" t="s">
        <v>10842</v>
      </c>
      <c r="Q29" t="s">
        <v>9887</v>
      </c>
      <c r="R29" s="7">
        <v>33367</v>
      </c>
      <c r="S29" s="8">
        <f t="shared" si="0"/>
        <v>1991</v>
      </c>
      <c r="T29" s="8">
        <v>1991</v>
      </c>
      <c r="U29" s="8">
        <f t="shared" si="1"/>
        <v>31</v>
      </c>
      <c r="V29" s="7">
        <v>33367</v>
      </c>
      <c r="W29" t="s">
        <v>535</v>
      </c>
      <c r="X29" s="2">
        <v>0.375</v>
      </c>
      <c r="Y29" s="6">
        <f t="shared" si="2"/>
        <v>1.0010410827260351E-2</v>
      </c>
      <c r="AA29">
        <v>135194</v>
      </c>
      <c r="AB29">
        <v>24918</v>
      </c>
      <c r="AD29" t="s">
        <v>5</v>
      </c>
      <c r="AE29">
        <v>27</v>
      </c>
      <c r="AF29">
        <v>16</v>
      </c>
      <c r="AH29" t="s">
        <v>10841</v>
      </c>
      <c r="AI29" t="s">
        <v>10840</v>
      </c>
      <c r="AJ29" t="s">
        <v>10839</v>
      </c>
      <c r="AK29" t="s">
        <v>10838</v>
      </c>
      <c r="AL29">
        <v>4</v>
      </c>
      <c r="AM29" s="5">
        <f t="shared" si="3"/>
        <v>0.12903225806451613</v>
      </c>
      <c r="AN29" s="4">
        <f t="shared" si="4"/>
        <v>1.9542939502387903E-4</v>
      </c>
      <c r="AO29" s="3"/>
      <c r="AP29">
        <v>0</v>
      </c>
      <c r="AR29" t="s">
        <v>0</v>
      </c>
      <c r="AT29" s="2">
        <v>1.3140000000000001</v>
      </c>
      <c r="AU29" s="1">
        <f t="shared" si="5"/>
        <v>0.7065916397589409</v>
      </c>
      <c r="AV29" s="1">
        <f t="shared" si="6"/>
        <v>0.51029201111421152</v>
      </c>
      <c r="AW29" s="1">
        <f t="shared" si="7"/>
        <v>0.31399238246948202</v>
      </c>
    </row>
    <row r="30" spans="1:49" x14ac:dyDescent="0.2">
      <c r="A30">
        <v>28</v>
      </c>
      <c r="B30" t="s">
        <v>10837</v>
      </c>
      <c r="C30" t="s">
        <v>10836</v>
      </c>
      <c r="F30" t="s">
        <v>10835</v>
      </c>
      <c r="G30" t="s">
        <v>16</v>
      </c>
      <c r="H30" t="s">
        <v>15</v>
      </c>
      <c r="I30" t="s">
        <v>10834</v>
      </c>
      <c r="J30">
        <v>60031828</v>
      </c>
      <c r="K30" t="s">
        <v>1545</v>
      </c>
      <c r="L30" t="s">
        <v>1544</v>
      </c>
      <c r="M30" t="s">
        <v>1543</v>
      </c>
      <c r="N30">
        <v>2</v>
      </c>
      <c r="O30" t="s">
        <v>10833</v>
      </c>
      <c r="P30" t="s">
        <v>10832</v>
      </c>
      <c r="Q30" t="s">
        <v>4012</v>
      </c>
      <c r="R30" s="7">
        <v>33367</v>
      </c>
      <c r="S30" s="8">
        <f t="shared" si="0"/>
        <v>1991</v>
      </c>
      <c r="T30" s="8">
        <v>1991</v>
      </c>
      <c r="U30" s="8">
        <f t="shared" si="1"/>
        <v>31</v>
      </c>
      <c r="V30" s="7">
        <v>33367</v>
      </c>
      <c r="W30" t="s">
        <v>535</v>
      </c>
      <c r="X30" s="2">
        <v>0.375</v>
      </c>
      <c r="Y30" s="6">
        <f t="shared" si="2"/>
        <v>1.0010410827260351E-2</v>
      </c>
      <c r="AA30">
        <v>135194</v>
      </c>
      <c r="AB30">
        <v>24918</v>
      </c>
      <c r="AD30" t="s">
        <v>5</v>
      </c>
      <c r="AE30">
        <v>27</v>
      </c>
      <c r="AF30">
        <v>10</v>
      </c>
      <c r="AH30" t="s">
        <v>10831</v>
      </c>
      <c r="AI30" t="s">
        <v>10830</v>
      </c>
      <c r="AJ30" t="s">
        <v>10829</v>
      </c>
      <c r="AK30" t="s">
        <v>10828</v>
      </c>
      <c r="AL30">
        <v>2</v>
      </c>
      <c r="AM30" s="5">
        <f t="shared" si="3"/>
        <v>6.4516129032258063E-2</v>
      </c>
      <c r="AN30" s="4">
        <f t="shared" si="4"/>
        <v>9.7714697511939517E-5</v>
      </c>
      <c r="AO30" s="3"/>
      <c r="AP30">
        <v>0</v>
      </c>
      <c r="AR30" t="s">
        <v>0</v>
      </c>
      <c r="AT30" s="2">
        <v>1.3140000000000001</v>
      </c>
      <c r="AU30" s="1">
        <f t="shared" si="5"/>
        <v>0.70366019883358277</v>
      </c>
      <c r="AV30" s="1">
        <f t="shared" si="6"/>
        <v>0.50540627623861456</v>
      </c>
      <c r="AW30" s="1">
        <f t="shared" si="7"/>
        <v>0.30715235364364629</v>
      </c>
    </row>
    <row r="31" spans="1:49" x14ac:dyDescent="0.2">
      <c r="A31">
        <v>29</v>
      </c>
      <c r="B31" t="s">
        <v>10827</v>
      </c>
      <c r="C31" t="s">
        <v>10826</v>
      </c>
      <c r="F31" t="s">
        <v>10825</v>
      </c>
      <c r="G31" t="s">
        <v>16</v>
      </c>
      <c r="H31" t="s">
        <v>15</v>
      </c>
      <c r="I31" t="s">
        <v>10824</v>
      </c>
      <c r="J31">
        <v>112656099</v>
      </c>
      <c r="K31" t="s">
        <v>801</v>
      </c>
      <c r="L31" t="s">
        <v>403</v>
      </c>
      <c r="M31" t="s">
        <v>402</v>
      </c>
      <c r="N31">
        <v>2</v>
      </c>
      <c r="O31" t="s">
        <v>10823</v>
      </c>
      <c r="P31" t="s">
        <v>10822</v>
      </c>
      <c r="Q31" t="s">
        <v>10821</v>
      </c>
      <c r="R31" s="7">
        <v>33367</v>
      </c>
      <c r="S31" s="8">
        <f t="shared" si="0"/>
        <v>1991</v>
      </c>
      <c r="T31" s="8">
        <v>1991</v>
      </c>
      <c r="U31" s="8">
        <f t="shared" si="1"/>
        <v>31</v>
      </c>
      <c r="V31" s="7">
        <v>33367</v>
      </c>
      <c r="W31" t="s">
        <v>535</v>
      </c>
      <c r="X31" s="2">
        <v>0.375</v>
      </c>
      <c r="Y31" s="6">
        <f t="shared" si="2"/>
        <v>1.0010410827260351E-2</v>
      </c>
      <c r="AA31">
        <v>135194</v>
      </c>
      <c r="AB31">
        <v>24918</v>
      </c>
      <c r="AD31" t="s">
        <v>5</v>
      </c>
      <c r="AE31">
        <v>27</v>
      </c>
      <c r="AF31">
        <v>10</v>
      </c>
      <c r="AH31" t="s">
        <v>10820</v>
      </c>
      <c r="AI31" t="s">
        <v>10819</v>
      </c>
      <c r="AJ31" t="s">
        <v>10818</v>
      </c>
      <c r="AK31" t="s">
        <v>10817</v>
      </c>
      <c r="AL31">
        <v>18</v>
      </c>
      <c r="AM31" s="5">
        <f t="shared" si="3"/>
        <v>0.58064516129032262</v>
      </c>
      <c r="AN31" s="4">
        <f t="shared" si="4"/>
        <v>8.7943227760745566E-4</v>
      </c>
      <c r="AO31" s="3"/>
      <c r="AP31">
        <v>0</v>
      </c>
      <c r="AR31" t="s">
        <v>0</v>
      </c>
      <c r="AT31" s="2">
        <v>1.3140000000000001</v>
      </c>
      <c r="AU31" s="1">
        <f t="shared" si="5"/>
        <v>0.72711172623644826</v>
      </c>
      <c r="AV31" s="1">
        <f t="shared" si="6"/>
        <v>0.54449215524339034</v>
      </c>
      <c r="AW31" s="1">
        <f t="shared" si="7"/>
        <v>0.36187258425033242</v>
      </c>
    </row>
    <row r="32" spans="1:49" x14ac:dyDescent="0.2">
      <c r="A32">
        <v>30</v>
      </c>
      <c r="B32" t="s">
        <v>10816</v>
      </c>
      <c r="C32" t="s">
        <v>10815</v>
      </c>
      <c r="F32" t="s">
        <v>10814</v>
      </c>
      <c r="G32" t="s">
        <v>16</v>
      </c>
      <c r="H32" t="s">
        <v>15</v>
      </c>
      <c r="I32" t="s">
        <v>10813</v>
      </c>
      <c r="J32">
        <v>60017606</v>
      </c>
      <c r="K32" t="s">
        <v>10812</v>
      </c>
      <c r="L32" t="s">
        <v>10811</v>
      </c>
      <c r="M32" t="s">
        <v>57</v>
      </c>
      <c r="N32">
        <v>3</v>
      </c>
      <c r="O32" t="s">
        <v>10810</v>
      </c>
      <c r="P32" t="s">
        <v>10809</v>
      </c>
      <c r="Q32" t="s">
        <v>10808</v>
      </c>
      <c r="R32" s="7">
        <v>33367</v>
      </c>
      <c r="S32" s="8">
        <f t="shared" si="0"/>
        <v>1991</v>
      </c>
      <c r="T32" s="8">
        <v>1991</v>
      </c>
      <c r="U32" s="8">
        <f t="shared" si="1"/>
        <v>31</v>
      </c>
      <c r="V32" s="7">
        <v>33367</v>
      </c>
      <c r="W32" t="s">
        <v>535</v>
      </c>
      <c r="X32" s="2">
        <v>0.375</v>
      </c>
      <c r="Y32" s="6">
        <f t="shared" si="2"/>
        <v>1.0010410827260351E-2</v>
      </c>
      <c r="AA32">
        <v>135194</v>
      </c>
      <c r="AB32">
        <v>24918</v>
      </c>
      <c r="AD32" t="s">
        <v>5</v>
      </c>
      <c r="AE32">
        <v>27</v>
      </c>
      <c r="AF32">
        <v>14</v>
      </c>
      <c r="AH32" t="s">
        <v>10807</v>
      </c>
      <c r="AI32" t="s">
        <v>10806</v>
      </c>
      <c r="AJ32" t="s">
        <v>10805</v>
      </c>
      <c r="AK32" t="s">
        <v>10804</v>
      </c>
      <c r="AL32">
        <v>0</v>
      </c>
      <c r="AM32" s="5">
        <f t="shared" si="3"/>
        <v>0</v>
      </c>
      <c r="AN32" s="4">
        <f t="shared" si="4"/>
        <v>0</v>
      </c>
      <c r="AO32" s="3"/>
      <c r="AP32">
        <v>0</v>
      </c>
      <c r="AR32" t="s">
        <v>0</v>
      </c>
      <c r="AT32" s="2">
        <v>1.3140000000000001</v>
      </c>
      <c r="AU32" s="1">
        <f t="shared" si="5"/>
        <v>0.70072875790822453</v>
      </c>
      <c r="AV32" s="1">
        <f t="shared" si="6"/>
        <v>0.5005205413630176</v>
      </c>
      <c r="AW32" s="1">
        <f t="shared" si="7"/>
        <v>0.30031232481781051</v>
      </c>
    </row>
    <row r="33" spans="1:49" x14ac:dyDescent="0.2">
      <c r="A33">
        <v>31</v>
      </c>
      <c r="B33" t="s">
        <v>10803</v>
      </c>
      <c r="C33" t="s">
        <v>10802</v>
      </c>
      <c r="F33" t="s">
        <v>10801</v>
      </c>
      <c r="G33" t="s">
        <v>16</v>
      </c>
      <c r="H33" t="s">
        <v>15</v>
      </c>
      <c r="I33" t="s">
        <v>10800</v>
      </c>
      <c r="J33">
        <v>60074650</v>
      </c>
      <c r="K33" t="s">
        <v>10799</v>
      </c>
      <c r="L33" t="s">
        <v>9203</v>
      </c>
      <c r="M33" t="s">
        <v>57</v>
      </c>
      <c r="N33">
        <v>4</v>
      </c>
      <c r="O33" t="s">
        <v>10798</v>
      </c>
      <c r="P33" t="s">
        <v>10797</v>
      </c>
      <c r="Q33" t="s">
        <v>10796</v>
      </c>
      <c r="R33" s="7">
        <v>33367</v>
      </c>
      <c r="S33" s="8">
        <f t="shared" si="0"/>
        <v>1991</v>
      </c>
      <c r="T33" s="8">
        <v>1991</v>
      </c>
      <c r="U33" s="8">
        <f t="shared" si="1"/>
        <v>31</v>
      </c>
      <c r="V33" s="7">
        <v>33367</v>
      </c>
      <c r="W33" t="s">
        <v>535</v>
      </c>
      <c r="X33" s="2">
        <v>0.375</v>
      </c>
      <c r="Y33" s="6">
        <f t="shared" si="2"/>
        <v>1.0010410827260351E-2</v>
      </c>
      <c r="AA33">
        <v>135194</v>
      </c>
      <c r="AB33">
        <v>24918</v>
      </c>
      <c r="AD33" t="s">
        <v>5</v>
      </c>
      <c r="AE33">
        <v>27</v>
      </c>
      <c r="AF33">
        <v>16</v>
      </c>
      <c r="AH33" t="s">
        <v>10795</v>
      </c>
      <c r="AI33" t="s">
        <v>10794</v>
      </c>
      <c r="AJ33" t="s">
        <v>10793</v>
      </c>
      <c r="AK33" t="s">
        <v>10792</v>
      </c>
      <c r="AL33">
        <v>16</v>
      </c>
      <c r="AM33" s="5">
        <f t="shared" si="3"/>
        <v>0.5161290322580645</v>
      </c>
      <c r="AN33" s="4">
        <f t="shared" si="4"/>
        <v>7.8171758009551613E-4</v>
      </c>
      <c r="AO33" s="3"/>
      <c r="AP33">
        <v>0</v>
      </c>
      <c r="AR33" t="s">
        <v>0</v>
      </c>
      <c r="AT33" s="2">
        <v>1.3140000000000001</v>
      </c>
      <c r="AU33" s="1">
        <f t="shared" si="5"/>
        <v>0.72418028531109013</v>
      </c>
      <c r="AV33" s="1">
        <f t="shared" si="6"/>
        <v>0.53960642036779338</v>
      </c>
      <c r="AW33" s="1">
        <f t="shared" si="7"/>
        <v>0.35503255542449663</v>
      </c>
    </row>
    <row r="34" spans="1:49" x14ac:dyDescent="0.2">
      <c r="A34">
        <v>32</v>
      </c>
      <c r="B34" t="s">
        <v>10791</v>
      </c>
      <c r="C34" t="s">
        <v>10790</v>
      </c>
      <c r="F34" t="s">
        <v>10789</v>
      </c>
      <c r="G34" t="s">
        <v>16</v>
      </c>
      <c r="H34" t="s">
        <v>15</v>
      </c>
      <c r="I34" t="s">
        <v>5067</v>
      </c>
      <c r="J34">
        <v>60030526</v>
      </c>
      <c r="K34" t="s">
        <v>3003</v>
      </c>
      <c r="L34" t="s">
        <v>327</v>
      </c>
      <c r="M34" t="s">
        <v>326</v>
      </c>
      <c r="N34">
        <v>3</v>
      </c>
      <c r="O34" t="s">
        <v>10788</v>
      </c>
      <c r="P34" t="s">
        <v>10787</v>
      </c>
      <c r="Q34" t="s">
        <v>10786</v>
      </c>
      <c r="R34" s="7">
        <v>33367</v>
      </c>
      <c r="S34" s="8">
        <f t="shared" si="0"/>
        <v>1991</v>
      </c>
      <c r="T34" s="8">
        <v>1991</v>
      </c>
      <c r="U34" s="8">
        <f t="shared" si="1"/>
        <v>31</v>
      </c>
      <c r="V34" s="7">
        <v>33367</v>
      </c>
      <c r="W34" t="s">
        <v>535</v>
      </c>
      <c r="X34" s="2">
        <v>0.375</v>
      </c>
      <c r="Y34" s="6">
        <f t="shared" si="2"/>
        <v>1.0010410827260351E-2</v>
      </c>
      <c r="AA34">
        <v>135194</v>
      </c>
      <c r="AB34">
        <v>24918</v>
      </c>
      <c r="AD34" t="s">
        <v>5</v>
      </c>
      <c r="AE34">
        <v>27</v>
      </c>
      <c r="AF34">
        <v>17</v>
      </c>
      <c r="AH34" t="s">
        <v>10785</v>
      </c>
      <c r="AI34" t="s">
        <v>10784</v>
      </c>
      <c r="AJ34" t="s">
        <v>9469</v>
      </c>
      <c r="AK34" t="s">
        <v>10783</v>
      </c>
      <c r="AL34">
        <v>8</v>
      </c>
      <c r="AM34" s="5">
        <f t="shared" si="3"/>
        <v>0.25806451612903225</v>
      </c>
      <c r="AN34" s="4">
        <f t="shared" si="4"/>
        <v>3.9085879004775807E-4</v>
      </c>
      <c r="AO34" s="3"/>
      <c r="AP34">
        <v>0</v>
      </c>
      <c r="AR34" t="s">
        <v>0</v>
      </c>
      <c r="AT34" s="2">
        <v>1.3140000000000001</v>
      </c>
      <c r="AU34" s="1">
        <f t="shared" si="5"/>
        <v>0.71245452160965728</v>
      </c>
      <c r="AV34" s="1">
        <f t="shared" si="6"/>
        <v>0.52006348086540544</v>
      </c>
      <c r="AW34" s="1">
        <f t="shared" si="7"/>
        <v>0.3276724401211536</v>
      </c>
    </row>
    <row r="35" spans="1:49" x14ac:dyDescent="0.2">
      <c r="A35">
        <v>33</v>
      </c>
      <c r="B35" t="s">
        <v>10782</v>
      </c>
      <c r="C35" t="s">
        <v>10781</v>
      </c>
      <c r="F35" t="s">
        <v>10780</v>
      </c>
      <c r="G35" t="s">
        <v>16</v>
      </c>
      <c r="H35" t="s">
        <v>15</v>
      </c>
      <c r="I35" t="s">
        <v>10779</v>
      </c>
      <c r="J35">
        <v>60021666</v>
      </c>
      <c r="K35" t="s">
        <v>10778</v>
      </c>
      <c r="L35" t="s">
        <v>6387</v>
      </c>
      <c r="M35" t="s">
        <v>1468</v>
      </c>
      <c r="N35">
        <v>1</v>
      </c>
      <c r="O35" t="s">
        <v>10777</v>
      </c>
      <c r="P35">
        <v>7403324500</v>
      </c>
      <c r="Q35">
        <v>60021666</v>
      </c>
      <c r="R35" s="7">
        <v>33367</v>
      </c>
      <c r="S35" s="8">
        <f t="shared" si="0"/>
        <v>1991</v>
      </c>
      <c r="T35" s="8">
        <v>1991</v>
      </c>
      <c r="U35" s="8">
        <f t="shared" si="1"/>
        <v>31</v>
      </c>
      <c r="V35" s="7">
        <v>33367</v>
      </c>
      <c r="W35" t="s">
        <v>535</v>
      </c>
      <c r="X35" s="2">
        <v>0.375</v>
      </c>
      <c r="Y35" s="6">
        <f t="shared" si="2"/>
        <v>1.0010410827260351E-2</v>
      </c>
      <c r="AA35">
        <v>135194</v>
      </c>
      <c r="AB35">
        <v>24918</v>
      </c>
      <c r="AD35" t="s">
        <v>5</v>
      </c>
      <c r="AE35">
        <v>27</v>
      </c>
      <c r="AF35">
        <v>17</v>
      </c>
      <c r="AH35" t="s">
        <v>10776</v>
      </c>
      <c r="AI35" t="s">
        <v>10775</v>
      </c>
      <c r="AJ35" t="s">
        <v>4355</v>
      </c>
      <c r="AK35" t="s">
        <v>10774</v>
      </c>
      <c r="AL35">
        <v>0</v>
      </c>
      <c r="AM35" s="5">
        <f t="shared" si="3"/>
        <v>0</v>
      </c>
      <c r="AN35" s="4">
        <f t="shared" si="4"/>
        <v>0</v>
      </c>
      <c r="AO35" s="3"/>
      <c r="AP35">
        <v>0</v>
      </c>
      <c r="AR35" t="s">
        <v>0</v>
      </c>
      <c r="AT35" s="2">
        <v>1.3140000000000001</v>
      </c>
      <c r="AU35" s="1">
        <f t="shared" si="5"/>
        <v>0.70072875790822453</v>
      </c>
      <c r="AV35" s="1">
        <f t="shared" si="6"/>
        <v>0.5005205413630176</v>
      </c>
      <c r="AW35" s="1">
        <f t="shared" si="7"/>
        <v>0.30031232481781051</v>
      </c>
    </row>
    <row r="36" spans="1:49" x14ac:dyDescent="0.2">
      <c r="A36">
        <v>34</v>
      </c>
      <c r="B36" t="s">
        <v>10773</v>
      </c>
      <c r="C36" t="s">
        <v>10772</v>
      </c>
      <c r="F36" t="s">
        <v>10771</v>
      </c>
      <c r="G36" t="s">
        <v>16</v>
      </c>
      <c r="H36" t="s">
        <v>15</v>
      </c>
      <c r="I36" t="s">
        <v>10770</v>
      </c>
      <c r="J36">
        <v>60022148</v>
      </c>
      <c r="K36" t="s">
        <v>4154</v>
      </c>
      <c r="L36" t="s">
        <v>118</v>
      </c>
      <c r="M36" t="s">
        <v>117</v>
      </c>
      <c r="N36">
        <v>1</v>
      </c>
      <c r="O36" t="s">
        <v>10769</v>
      </c>
      <c r="P36">
        <v>6603087395</v>
      </c>
      <c r="Q36">
        <v>60022148</v>
      </c>
      <c r="R36" s="7">
        <v>33367</v>
      </c>
      <c r="S36" s="8">
        <f t="shared" si="0"/>
        <v>1991</v>
      </c>
      <c r="T36" s="8">
        <v>1991</v>
      </c>
      <c r="U36" s="8">
        <f t="shared" si="1"/>
        <v>31</v>
      </c>
      <c r="V36" s="7">
        <v>33367</v>
      </c>
      <c r="W36" t="s">
        <v>535</v>
      </c>
      <c r="X36" s="2">
        <v>0.375</v>
      </c>
      <c r="Y36" s="6">
        <f t="shared" si="2"/>
        <v>1.0010410827260351E-2</v>
      </c>
      <c r="AA36">
        <v>135194</v>
      </c>
      <c r="AB36">
        <v>24918</v>
      </c>
      <c r="AD36" t="s">
        <v>5</v>
      </c>
      <c r="AE36">
        <v>27</v>
      </c>
      <c r="AF36">
        <v>17</v>
      </c>
      <c r="AH36" t="s">
        <v>10768</v>
      </c>
      <c r="AI36" t="s">
        <v>10767</v>
      </c>
      <c r="AJ36" t="s">
        <v>10766</v>
      </c>
      <c r="AK36" t="s">
        <v>10765</v>
      </c>
      <c r="AL36">
        <v>0</v>
      </c>
      <c r="AM36" s="5">
        <f t="shared" si="3"/>
        <v>0</v>
      </c>
      <c r="AN36" s="4">
        <f t="shared" si="4"/>
        <v>0</v>
      </c>
      <c r="AO36" s="3"/>
      <c r="AP36">
        <v>0</v>
      </c>
      <c r="AR36" t="s">
        <v>0</v>
      </c>
      <c r="AT36" s="2">
        <v>1.3140000000000001</v>
      </c>
      <c r="AU36" s="1">
        <f t="shared" si="5"/>
        <v>0.70072875790822453</v>
      </c>
      <c r="AV36" s="1">
        <f t="shared" si="6"/>
        <v>0.5005205413630176</v>
      </c>
      <c r="AW36" s="1">
        <f t="shared" si="7"/>
        <v>0.30031232481781051</v>
      </c>
    </row>
    <row r="37" spans="1:49" x14ac:dyDescent="0.2">
      <c r="A37">
        <v>35</v>
      </c>
      <c r="B37" t="s">
        <v>10764</v>
      </c>
      <c r="C37" t="s">
        <v>10763</v>
      </c>
      <c r="F37" t="s">
        <v>10762</v>
      </c>
      <c r="G37" t="s">
        <v>16</v>
      </c>
      <c r="H37" t="s">
        <v>15</v>
      </c>
      <c r="I37" t="s">
        <v>4155</v>
      </c>
      <c r="J37">
        <v>60022148</v>
      </c>
      <c r="K37" t="s">
        <v>4154</v>
      </c>
      <c r="L37" t="s">
        <v>118</v>
      </c>
      <c r="M37" t="s">
        <v>117</v>
      </c>
      <c r="N37">
        <v>2</v>
      </c>
      <c r="O37" t="s">
        <v>10761</v>
      </c>
      <c r="P37" t="s">
        <v>10760</v>
      </c>
      <c r="Q37" t="s">
        <v>10759</v>
      </c>
      <c r="R37" s="7">
        <v>33367</v>
      </c>
      <c r="S37" s="8">
        <f t="shared" si="0"/>
        <v>1991</v>
      </c>
      <c r="T37" s="8">
        <v>1991</v>
      </c>
      <c r="U37" s="8">
        <f t="shared" si="1"/>
        <v>31</v>
      </c>
      <c r="V37" s="7">
        <v>33367</v>
      </c>
      <c r="W37" t="s">
        <v>535</v>
      </c>
      <c r="X37" s="2">
        <v>0.375</v>
      </c>
      <c r="Y37" s="6">
        <f t="shared" si="2"/>
        <v>1.0010410827260351E-2</v>
      </c>
      <c r="AA37">
        <v>135194</v>
      </c>
      <c r="AB37">
        <v>24918</v>
      </c>
      <c r="AD37" t="s">
        <v>5</v>
      </c>
      <c r="AE37">
        <v>27</v>
      </c>
      <c r="AF37">
        <v>15</v>
      </c>
      <c r="AH37" t="s">
        <v>10758</v>
      </c>
      <c r="AI37" t="s">
        <v>10757</v>
      </c>
      <c r="AJ37" t="s">
        <v>10756</v>
      </c>
      <c r="AK37" t="s">
        <v>10755</v>
      </c>
      <c r="AL37">
        <v>3</v>
      </c>
      <c r="AM37" s="5">
        <f t="shared" si="3"/>
        <v>9.6774193548387094E-2</v>
      </c>
      <c r="AN37" s="4">
        <f t="shared" si="4"/>
        <v>1.4657204626790927E-4</v>
      </c>
      <c r="AO37" s="3"/>
      <c r="AP37">
        <v>0</v>
      </c>
      <c r="AR37" t="s">
        <v>0</v>
      </c>
      <c r="AT37" s="2">
        <v>1.3140000000000001</v>
      </c>
      <c r="AU37" s="1">
        <f t="shared" si="5"/>
        <v>0.70512591929626189</v>
      </c>
      <c r="AV37" s="1">
        <f t="shared" si="6"/>
        <v>0.50784914367641298</v>
      </c>
      <c r="AW37" s="1">
        <f t="shared" si="7"/>
        <v>0.31057236805656413</v>
      </c>
    </row>
    <row r="38" spans="1:49" x14ac:dyDescent="0.2">
      <c r="A38">
        <v>36</v>
      </c>
      <c r="B38" t="s">
        <v>10754</v>
      </c>
      <c r="C38" t="s">
        <v>10753</v>
      </c>
      <c r="F38" t="s">
        <v>10752</v>
      </c>
      <c r="G38" t="s">
        <v>16</v>
      </c>
      <c r="H38" t="s">
        <v>15</v>
      </c>
      <c r="I38" t="s">
        <v>5116</v>
      </c>
      <c r="J38">
        <v>60013183</v>
      </c>
      <c r="K38" t="s">
        <v>5115</v>
      </c>
      <c r="L38" t="s">
        <v>5114</v>
      </c>
      <c r="M38" t="s">
        <v>5113</v>
      </c>
      <c r="N38">
        <v>3</v>
      </c>
      <c r="O38" t="s">
        <v>10751</v>
      </c>
      <c r="P38" t="s">
        <v>10750</v>
      </c>
      <c r="Q38" t="s">
        <v>10749</v>
      </c>
      <c r="R38" s="7">
        <v>33367</v>
      </c>
      <c r="S38" s="8">
        <f t="shared" si="0"/>
        <v>1991</v>
      </c>
      <c r="T38" s="8">
        <v>1991</v>
      </c>
      <c r="U38" s="8">
        <f t="shared" si="1"/>
        <v>31</v>
      </c>
      <c r="V38" s="7">
        <v>33367</v>
      </c>
      <c r="W38" t="s">
        <v>535</v>
      </c>
      <c r="X38" s="2">
        <v>0.375</v>
      </c>
      <c r="Y38" s="6">
        <f t="shared" si="2"/>
        <v>1.0010410827260351E-2</v>
      </c>
      <c r="AA38">
        <v>135194</v>
      </c>
      <c r="AB38">
        <v>24918</v>
      </c>
      <c r="AD38" t="s">
        <v>5</v>
      </c>
      <c r="AE38">
        <v>27</v>
      </c>
      <c r="AF38">
        <v>15</v>
      </c>
      <c r="AH38" t="s">
        <v>10748</v>
      </c>
      <c r="AI38" t="s">
        <v>10747</v>
      </c>
      <c r="AJ38" t="s">
        <v>10746</v>
      </c>
      <c r="AK38" t="s">
        <v>10745</v>
      </c>
      <c r="AL38">
        <v>5</v>
      </c>
      <c r="AM38" s="5">
        <f t="shared" si="3"/>
        <v>0.16129032258064516</v>
      </c>
      <c r="AN38" s="4">
        <f t="shared" si="4"/>
        <v>2.4428674377984877E-4</v>
      </c>
      <c r="AO38" s="3"/>
      <c r="AP38">
        <v>0</v>
      </c>
      <c r="AR38" t="s">
        <v>0</v>
      </c>
      <c r="AT38" s="2">
        <v>1.3140000000000001</v>
      </c>
      <c r="AU38" s="1">
        <f t="shared" si="5"/>
        <v>0.70805736022162002</v>
      </c>
      <c r="AV38" s="1">
        <f t="shared" si="6"/>
        <v>0.51273487855200994</v>
      </c>
      <c r="AW38" s="1">
        <f t="shared" si="7"/>
        <v>0.31741239688239992</v>
      </c>
    </row>
    <row r="39" spans="1:49" x14ac:dyDescent="0.2">
      <c r="A39">
        <v>37</v>
      </c>
      <c r="B39" t="s">
        <v>10744</v>
      </c>
      <c r="C39" t="s">
        <v>10743</v>
      </c>
      <c r="F39" t="s">
        <v>10742</v>
      </c>
      <c r="G39" t="s">
        <v>16</v>
      </c>
      <c r="H39" t="s">
        <v>15</v>
      </c>
      <c r="I39" t="s">
        <v>1396</v>
      </c>
      <c r="J39">
        <v>100326470</v>
      </c>
      <c r="K39" t="s">
        <v>10741</v>
      </c>
      <c r="L39" t="s">
        <v>7799</v>
      </c>
      <c r="M39" t="s">
        <v>426</v>
      </c>
      <c r="N39">
        <v>1</v>
      </c>
      <c r="O39" t="s">
        <v>1393</v>
      </c>
      <c r="P39">
        <v>6601976492</v>
      </c>
      <c r="Q39">
        <v>100326470</v>
      </c>
      <c r="R39" s="7">
        <v>33367</v>
      </c>
      <c r="S39" s="8">
        <f t="shared" si="0"/>
        <v>1991</v>
      </c>
      <c r="T39" s="8">
        <v>1991</v>
      </c>
      <c r="U39" s="8">
        <f t="shared" si="1"/>
        <v>31</v>
      </c>
      <c r="V39" s="7">
        <v>33367</v>
      </c>
      <c r="W39" t="s">
        <v>535</v>
      </c>
      <c r="X39" s="2">
        <v>0.375</v>
      </c>
      <c r="Y39" s="6">
        <f t="shared" si="2"/>
        <v>1.0010410827260351E-2</v>
      </c>
      <c r="AA39">
        <v>135194</v>
      </c>
      <c r="AB39">
        <v>24918</v>
      </c>
      <c r="AD39" t="s">
        <v>5</v>
      </c>
      <c r="AE39">
        <v>27</v>
      </c>
      <c r="AF39">
        <v>15</v>
      </c>
      <c r="AH39" t="s">
        <v>10740</v>
      </c>
      <c r="AI39" t="s">
        <v>10739</v>
      </c>
      <c r="AJ39" t="s">
        <v>10738</v>
      </c>
      <c r="AK39" t="s">
        <v>10737</v>
      </c>
      <c r="AL39">
        <v>2</v>
      </c>
      <c r="AM39" s="5">
        <f t="shared" si="3"/>
        <v>6.4516129032258063E-2</v>
      </c>
      <c r="AN39" s="4">
        <f t="shared" si="4"/>
        <v>9.7714697511939517E-5</v>
      </c>
      <c r="AO39" s="3"/>
      <c r="AP39">
        <v>0</v>
      </c>
      <c r="AR39" t="s">
        <v>0</v>
      </c>
      <c r="AT39" s="2">
        <v>1.3140000000000001</v>
      </c>
      <c r="AU39" s="1">
        <f t="shared" si="5"/>
        <v>0.70366019883358277</v>
      </c>
      <c r="AV39" s="1">
        <f t="shared" si="6"/>
        <v>0.50540627623861456</v>
      </c>
      <c r="AW39" s="1">
        <f t="shared" si="7"/>
        <v>0.30715235364364629</v>
      </c>
    </row>
    <row r="40" spans="1:49" x14ac:dyDescent="0.2">
      <c r="A40">
        <v>38</v>
      </c>
      <c r="B40" t="s">
        <v>10736</v>
      </c>
      <c r="C40" t="s">
        <v>10735</v>
      </c>
      <c r="D40" t="s">
        <v>10734</v>
      </c>
      <c r="F40" t="s">
        <v>10733</v>
      </c>
      <c r="G40" t="s">
        <v>16</v>
      </c>
      <c r="H40" t="s">
        <v>15</v>
      </c>
      <c r="I40" t="s">
        <v>10732</v>
      </c>
      <c r="J40">
        <v>60002483</v>
      </c>
      <c r="K40" t="s">
        <v>1091</v>
      </c>
      <c r="L40" t="s">
        <v>273</v>
      </c>
      <c r="M40" t="s">
        <v>272</v>
      </c>
      <c r="N40">
        <v>2</v>
      </c>
      <c r="O40" t="s">
        <v>10731</v>
      </c>
      <c r="P40" t="s">
        <v>10730</v>
      </c>
      <c r="Q40" t="s">
        <v>1088</v>
      </c>
      <c r="R40" s="7">
        <v>33364</v>
      </c>
      <c r="S40" s="8">
        <f t="shared" si="0"/>
        <v>1991</v>
      </c>
      <c r="T40" s="8">
        <v>1991</v>
      </c>
      <c r="U40" s="8">
        <f t="shared" si="1"/>
        <v>31</v>
      </c>
      <c r="V40" s="7">
        <v>33364</v>
      </c>
      <c r="W40" t="s">
        <v>9961</v>
      </c>
      <c r="X40" s="2">
        <v>1.59</v>
      </c>
      <c r="Y40" s="6">
        <f t="shared" si="2"/>
        <v>4.2444141907583888E-2</v>
      </c>
      <c r="AA40">
        <v>52728</v>
      </c>
      <c r="AB40">
        <v>16791</v>
      </c>
      <c r="AD40" t="s">
        <v>5</v>
      </c>
      <c r="AE40">
        <v>1057</v>
      </c>
      <c r="AF40">
        <v>3</v>
      </c>
      <c r="AH40" t="s">
        <v>9279</v>
      </c>
      <c r="AI40" t="s">
        <v>10729</v>
      </c>
      <c r="AJ40" t="s">
        <v>10728</v>
      </c>
      <c r="AK40" t="s">
        <v>10727</v>
      </c>
      <c r="AL40">
        <v>11</v>
      </c>
      <c r="AM40" s="5">
        <f t="shared" si="3"/>
        <v>0.35483870967741937</v>
      </c>
      <c r="AN40" s="4">
        <f t="shared" si="4"/>
        <v>5.3743083631566731E-4</v>
      </c>
      <c r="AO40" s="3"/>
      <c r="AP40">
        <v>0</v>
      </c>
      <c r="AR40" t="s">
        <v>0</v>
      </c>
      <c r="AT40" s="2" t="s">
        <v>33</v>
      </c>
      <c r="AU40" s="1">
        <f t="shared" si="5"/>
        <v>2.9872128586203419</v>
      </c>
      <c r="AV40" s="1">
        <f t="shared" si="6"/>
        <v>2.1490786371949779</v>
      </c>
      <c r="AW40" s="1">
        <f t="shared" si="7"/>
        <v>1.3109444157696131</v>
      </c>
    </row>
    <row r="41" spans="1:49" x14ac:dyDescent="0.2">
      <c r="A41">
        <v>39</v>
      </c>
      <c r="B41" t="s">
        <v>10726</v>
      </c>
      <c r="C41" t="s">
        <v>10725</v>
      </c>
      <c r="D41" t="s">
        <v>10724</v>
      </c>
      <c r="F41" t="s">
        <v>10723</v>
      </c>
      <c r="G41" t="s">
        <v>16</v>
      </c>
      <c r="H41" t="s">
        <v>15</v>
      </c>
      <c r="I41" t="s">
        <v>10722</v>
      </c>
      <c r="J41">
        <v>60003878</v>
      </c>
      <c r="K41" t="s">
        <v>10721</v>
      </c>
      <c r="L41" t="s">
        <v>904</v>
      </c>
      <c r="M41" t="s">
        <v>272</v>
      </c>
      <c r="N41">
        <v>3</v>
      </c>
      <c r="O41" t="s">
        <v>10720</v>
      </c>
      <c r="P41" t="s">
        <v>10719</v>
      </c>
      <c r="Q41" t="s">
        <v>10718</v>
      </c>
      <c r="R41" s="7">
        <v>33364</v>
      </c>
      <c r="S41" s="8">
        <f t="shared" si="0"/>
        <v>1991</v>
      </c>
      <c r="T41" s="8">
        <v>1991</v>
      </c>
      <c r="U41" s="8">
        <f t="shared" si="1"/>
        <v>31</v>
      </c>
      <c r="V41" s="7">
        <v>33364</v>
      </c>
      <c r="W41" t="s">
        <v>9961</v>
      </c>
      <c r="X41" s="2">
        <v>1.59</v>
      </c>
      <c r="Y41" s="6">
        <f t="shared" si="2"/>
        <v>4.2444141907583888E-2</v>
      </c>
      <c r="AA41">
        <v>52728</v>
      </c>
      <c r="AB41">
        <v>16791</v>
      </c>
      <c r="AD41" t="s">
        <v>5</v>
      </c>
      <c r="AE41">
        <v>1057</v>
      </c>
      <c r="AF41">
        <v>3</v>
      </c>
      <c r="AH41" t="s">
        <v>10717</v>
      </c>
      <c r="AI41" t="s">
        <v>10716</v>
      </c>
      <c r="AJ41" t="s">
        <v>10715</v>
      </c>
      <c r="AK41" t="s">
        <v>10714</v>
      </c>
      <c r="AL41">
        <v>29</v>
      </c>
      <c r="AM41" s="5">
        <f t="shared" si="3"/>
        <v>0.93548387096774188</v>
      </c>
      <c r="AN41" s="4">
        <f t="shared" si="4"/>
        <v>1.4168631139231229E-3</v>
      </c>
      <c r="AO41" s="3"/>
      <c r="AP41">
        <v>0</v>
      </c>
      <c r="AQ41" t="s">
        <v>897</v>
      </c>
      <c r="AR41" t="s">
        <v>0</v>
      </c>
      <c r="AS41" t="s">
        <v>896</v>
      </c>
      <c r="AT41" s="2" t="s">
        <v>33</v>
      </c>
      <c r="AU41" s="1">
        <f t="shared" si="5"/>
        <v>3.0135958269485656</v>
      </c>
      <c r="AV41" s="1">
        <f t="shared" si="6"/>
        <v>2.1930502510753507</v>
      </c>
      <c r="AW41" s="1">
        <f t="shared" si="7"/>
        <v>1.372504675202135</v>
      </c>
    </row>
    <row r="42" spans="1:49" x14ac:dyDescent="0.2">
      <c r="A42">
        <v>40</v>
      </c>
      <c r="B42" t="s">
        <v>10713</v>
      </c>
      <c r="C42" t="s">
        <v>10712</v>
      </c>
      <c r="F42" t="s">
        <v>10711</v>
      </c>
      <c r="G42" t="s">
        <v>16</v>
      </c>
      <c r="H42" t="s">
        <v>15</v>
      </c>
      <c r="I42" t="s">
        <v>10710</v>
      </c>
      <c r="J42">
        <v>60032350</v>
      </c>
      <c r="K42" t="s">
        <v>5559</v>
      </c>
      <c r="L42" t="s">
        <v>1286</v>
      </c>
      <c r="M42" t="s">
        <v>341</v>
      </c>
      <c r="N42">
        <v>2</v>
      </c>
      <c r="O42" t="s">
        <v>10709</v>
      </c>
      <c r="P42" t="s">
        <v>10708</v>
      </c>
      <c r="Q42" t="s">
        <v>10707</v>
      </c>
      <c r="R42" s="7">
        <v>33359</v>
      </c>
      <c r="S42" s="8">
        <f t="shared" si="0"/>
        <v>1991</v>
      </c>
      <c r="T42" s="8">
        <v>1991</v>
      </c>
      <c r="U42" s="8">
        <f t="shared" si="1"/>
        <v>31</v>
      </c>
      <c r="V42" s="7">
        <v>33359</v>
      </c>
      <c r="W42" t="s">
        <v>10706</v>
      </c>
      <c r="X42" s="2" t="s">
        <v>33</v>
      </c>
      <c r="Y42" s="6" t="e">
        <f t="shared" si="2"/>
        <v>#VALUE!</v>
      </c>
      <c r="AA42">
        <v>3905551</v>
      </c>
      <c r="AB42">
        <v>15400155600</v>
      </c>
      <c r="AD42" t="s">
        <v>5</v>
      </c>
      <c r="AE42">
        <v>14</v>
      </c>
      <c r="AF42">
        <v>3</v>
      </c>
      <c r="AH42" t="s">
        <v>10705</v>
      </c>
      <c r="AI42" t="s">
        <v>10704</v>
      </c>
      <c r="AJ42" t="s">
        <v>10703</v>
      </c>
      <c r="AK42" t="s">
        <v>10702</v>
      </c>
      <c r="AL42">
        <v>5</v>
      </c>
      <c r="AM42" s="5">
        <f t="shared" si="3"/>
        <v>0.16129032258064516</v>
      </c>
      <c r="AN42" s="4">
        <f t="shared" si="4"/>
        <v>2.4428674377984877E-4</v>
      </c>
      <c r="AO42" s="3"/>
      <c r="AP42">
        <v>0</v>
      </c>
      <c r="AR42" t="s">
        <v>0</v>
      </c>
      <c r="AT42" s="2" t="s">
        <v>33</v>
      </c>
      <c r="AU42" s="1" t="e">
        <f t="shared" si="5"/>
        <v>#VALUE!</v>
      </c>
      <c r="AV42" s="1" t="e">
        <f t="shared" si="6"/>
        <v>#VALUE!</v>
      </c>
      <c r="AW42" s="1" t="e">
        <f t="shared" si="7"/>
        <v>#VALUE!</v>
      </c>
    </row>
    <row r="43" spans="1:49" x14ac:dyDescent="0.2">
      <c r="A43">
        <v>41</v>
      </c>
      <c r="B43" t="s">
        <v>10701</v>
      </c>
      <c r="C43" t="s">
        <v>10700</v>
      </c>
      <c r="D43" t="s">
        <v>10699</v>
      </c>
      <c r="F43" t="s">
        <v>10698</v>
      </c>
      <c r="G43" t="s">
        <v>16</v>
      </c>
      <c r="H43" t="s">
        <v>15</v>
      </c>
      <c r="I43" t="s">
        <v>10697</v>
      </c>
      <c r="J43">
        <v>60008662</v>
      </c>
      <c r="K43" t="s">
        <v>10696</v>
      </c>
      <c r="L43" t="s">
        <v>10695</v>
      </c>
      <c r="M43" t="s">
        <v>117</v>
      </c>
      <c r="N43">
        <v>6</v>
      </c>
      <c r="O43" t="s">
        <v>10694</v>
      </c>
      <c r="P43" t="s">
        <v>10693</v>
      </c>
      <c r="Q43" t="s">
        <v>10692</v>
      </c>
      <c r="R43" s="7">
        <v>33359</v>
      </c>
      <c r="S43" s="8">
        <f t="shared" si="0"/>
        <v>1991</v>
      </c>
      <c r="T43" s="8">
        <v>1991</v>
      </c>
      <c r="U43" s="8">
        <f t="shared" si="1"/>
        <v>31</v>
      </c>
      <c r="V43" s="7">
        <v>33359</v>
      </c>
      <c r="W43" t="s">
        <v>10423</v>
      </c>
      <c r="X43" s="2" t="s">
        <v>33</v>
      </c>
      <c r="Y43" s="6" t="e">
        <f t="shared" si="2"/>
        <v>#VALUE!</v>
      </c>
      <c r="AA43" t="s">
        <v>10422</v>
      </c>
      <c r="AB43">
        <v>29068</v>
      </c>
      <c r="AD43" t="s">
        <v>5</v>
      </c>
      <c r="AE43" t="s">
        <v>10691</v>
      </c>
      <c r="AF43" t="s">
        <v>10690</v>
      </c>
      <c r="AH43" t="s">
        <v>10689</v>
      </c>
      <c r="AI43" t="s">
        <v>10688</v>
      </c>
      <c r="AK43" t="s">
        <v>10687</v>
      </c>
      <c r="AL43">
        <v>0</v>
      </c>
      <c r="AM43" s="5">
        <f t="shared" si="3"/>
        <v>0</v>
      </c>
      <c r="AN43" s="4">
        <f t="shared" si="4"/>
        <v>0</v>
      </c>
      <c r="AO43" s="3"/>
      <c r="AP43">
        <v>0</v>
      </c>
      <c r="AR43" t="s">
        <v>0</v>
      </c>
      <c r="AT43" s="2" t="s">
        <v>33</v>
      </c>
      <c r="AU43" s="1" t="e">
        <f t="shared" si="5"/>
        <v>#VALUE!</v>
      </c>
      <c r="AV43" s="1" t="e">
        <f t="shared" si="6"/>
        <v>#VALUE!</v>
      </c>
      <c r="AW43" s="1" t="e">
        <f t="shared" si="7"/>
        <v>#VALUE!</v>
      </c>
    </row>
    <row r="44" spans="1:49" x14ac:dyDescent="0.2">
      <c r="A44">
        <v>42</v>
      </c>
      <c r="B44" t="s">
        <v>10686</v>
      </c>
      <c r="F44" t="s">
        <v>10685</v>
      </c>
      <c r="G44" t="s">
        <v>16</v>
      </c>
      <c r="H44" t="s">
        <v>15</v>
      </c>
      <c r="I44" t="s">
        <v>9585</v>
      </c>
      <c r="N44">
        <v>1</v>
      </c>
      <c r="O44" t="s">
        <v>9584</v>
      </c>
      <c r="P44">
        <v>6602209291</v>
      </c>
      <c r="R44" s="7">
        <v>33359</v>
      </c>
      <c r="S44" s="8">
        <f t="shared" si="0"/>
        <v>1991</v>
      </c>
      <c r="T44" s="8">
        <v>1991</v>
      </c>
      <c r="U44" s="8">
        <f t="shared" si="1"/>
        <v>31</v>
      </c>
      <c r="V44" s="7">
        <v>33359</v>
      </c>
      <c r="W44" t="s">
        <v>1704</v>
      </c>
      <c r="X44" s="2">
        <v>0.14099999999999999</v>
      </c>
      <c r="Y44" s="6">
        <f t="shared" si="2"/>
        <v>3.7639144710498915E-3</v>
      </c>
      <c r="AA44">
        <v>402508</v>
      </c>
      <c r="AB44">
        <v>20868</v>
      </c>
      <c r="AD44" t="s">
        <v>5</v>
      </c>
      <c r="AE44">
        <v>46</v>
      </c>
      <c r="AF44">
        <v>5</v>
      </c>
      <c r="AH44" t="s">
        <v>10684</v>
      </c>
      <c r="AI44" t="s">
        <v>10683</v>
      </c>
      <c r="AK44" t="s">
        <v>10682</v>
      </c>
      <c r="AL44">
        <v>1</v>
      </c>
      <c r="AM44" s="5">
        <f t="shared" si="3"/>
        <v>3.2258064516129031E-2</v>
      </c>
      <c r="AN44" s="4">
        <f t="shared" si="4"/>
        <v>4.8857348755969758E-5</v>
      </c>
      <c r="AO44" s="3"/>
      <c r="AP44">
        <v>0</v>
      </c>
      <c r="AR44" t="s">
        <v>0</v>
      </c>
      <c r="AT44" s="2" t="s">
        <v>33</v>
      </c>
      <c r="AU44" s="1">
        <f t="shared" si="5"/>
        <v>0.26493973343617144</v>
      </c>
      <c r="AV44" s="1">
        <f t="shared" si="6"/>
        <v>0.19063859099029307</v>
      </c>
      <c r="AW44" s="1">
        <f t="shared" si="7"/>
        <v>0.11633744854441462</v>
      </c>
    </row>
    <row r="45" spans="1:49" x14ac:dyDescent="0.2">
      <c r="A45">
        <v>43</v>
      </c>
      <c r="B45" t="s">
        <v>10681</v>
      </c>
      <c r="F45" t="s">
        <v>10680</v>
      </c>
      <c r="G45" t="s">
        <v>16</v>
      </c>
      <c r="H45" t="s">
        <v>15</v>
      </c>
      <c r="I45" t="s">
        <v>10679</v>
      </c>
      <c r="N45">
        <v>2</v>
      </c>
      <c r="O45" t="s">
        <v>10678</v>
      </c>
      <c r="P45" t="s">
        <v>10677</v>
      </c>
      <c r="Q45" t="s">
        <v>592</v>
      </c>
      <c r="R45" s="7">
        <v>33359</v>
      </c>
      <c r="S45" s="8">
        <f t="shared" si="0"/>
        <v>1991</v>
      </c>
      <c r="T45" s="8">
        <v>1991</v>
      </c>
      <c r="U45" s="8">
        <f t="shared" si="1"/>
        <v>31</v>
      </c>
      <c r="V45" s="7">
        <v>33359</v>
      </c>
      <c r="W45" t="s">
        <v>1704</v>
      </c>
      <c r="X45" s="2">
        <v>0.14099999999999999</v>
      </c>
      <c r="Y45" s="6">
        <f t="shared" si="2"/>
        <v>3.7639144710498915E-3</v>
      </c>
      <c r="AA45">
        <v>402508</v>
      </c>
      <c r="AB45">
        <v>20868</v>
      </c>
      <c r="AD45" t="s">
        <v>5</v>
      </c>
      <c r="AE45">
        <v>46</v>
      </c>
      <c r="AF45">
        <v>5</v>
      </c>
      <c r="AH45" t="s">
        <v>10676</v>
      </c>
      <c r="AI45" t="s">
        <v>10675</v>
      </c>
      <c r="AK45" t="s">
        <v>10674</v>
      </c>
      <c r="AL45">
        <v>0</v>
      </c>
      <c r="AM45" s="5">
        <f t="shared" si="3"/>
        <v>0</v>
      </c>
      <c r="AN45" s="4">
        <f t="shared" si="4"/>
        <v>0</v>
      </c>
      <c r="AO45" s="3"/>
      <c r="AP45">
        <v>0</v>
      </c>
      <c r="AR45" t="s">
        <v>0</v>
      </c>
      <c r="AT45" s="2" t="s">
        <v>33</v>
      </c>
      <c r="AU45" s="1">
        <f t="shared" si="5"/>
        <v>0.26347401297349238</v>
      </c>
      <c r="AV45" s="1">
        <f t="shared" si="6"/>
        <v>0.18819572355249459</v>
      </c>
      <c r="AW45" s="1">
        <f t="shared" si="7"/>
        <v>0.11291743413149673</v>
      </c>
    </row>
    <row r="46" spans="1:49" x14ac:dyDescent="0.2">
      <c r="A46">
        <v>44</v>
      </c>
      <c r="B46" t="s">
        <v>10673</v>
      </c>
      <c r="F46" t="s">
        <v>10672</v>
      </c>
      <c r="G46" t="s">
        <v>16</v>
      </c>
      <c r="H46" t="s">
        <v>15</v>
      </c>
      <c r="I46" t="s">
        <v>10671</v>
      </c>
      <c r="N46">
        <v>3</v>
      </c>
      <c r="O46" t="s">
        <v>10670</v>
      </c>
      <c r="P46" t="s">
        <v>10669</v>
      </c>
      <c r="Q46" t="s">
        <v>757</v>
      </c>
      <c r="R46" s="7">
        <v>33359</v>
      </c>
      <c r="S46" s="8">
        <f t="shared" si="0"/>
        <v>1991</v>
      </c>
      <c r="T46" s="8">
        <v>1991</v>
      </c>
      <c r="U46" s="8">
        <f t="shared" si="1"/>
        <v>31</v>
      </c>
      <c r="V46" s="7">
        <v>33359</v>
      </c>
      <c r="W46" t="s">
        <v>1704</v>
      </c>
      <c r="X46" s="2">
        <v>0.14099999999999999</v>
      </c>
      <c r="Y46" s="6">
        <f t="shared" si="2"/>
        <v>3.7639144710498915E-3</v>
      </c>
      <c r="AA46">
        <v>402508</v>
      </c>
      <c r="AB46">
        <v>20868</v>
      </c>
      <c r="AD46" t="s">
        <v>5</v>
      </c>
      <c r="AE46">
        <v>46</v>
      </c>
      <c r="AF46">
        <v>5</v>
      </c>
      <c r="AH46" t="s">
        <v>10668</v>
      </c>
      <c r="AI46" t="s">
        <v>10667</v>
      </c>
      <c r="AK46" t="s">
        <v>10666</v>
      </c>
      <c r="AL46">
        <v>0</v>
      </c>
      <c r="AM46" s="5">
        <f t="shared" si="3"/>
        <v>0</v>
      </c>
      <c r="AN46" s="4">
        <f t="shared" si="4"/>
        <v>0</v>
      </c>
      <c r="AO46" s="3"/>
      <c r="AP46">
        <v>0</v>
      </c>
      <c r="AR46" t="s">
        <v>0</v>
      </c>
      <c r="AT46" s="2" t="s">
        <v>33</v>
      </c>
      <c r="AU46" s="1">
        <f t="shared" si="5"/>
        <v>0.26347401297349238</v>
      </c>
      <c r="AV46" s="1">
        <f t="shared" si="6"/>
        <v>0.18819572355249459</v>
      </c>
      <c r="AW46" s="1">
        <f t="shared" si="7"/>
        <v>0.11291743413149673</v>
      </c>
    </row>
    <row r="47" spans="1:49" x14ac:dyDescent="0.2">
      <c r="A47">
        <v>45</v>
      </c>
      <c r="B47" t="s">
        <v>10665</v>
      </c>
      <c r="F47" t="s">
        <v>10664</v>
      </c>
      <c r="G47" t="s">
        <v>16</v>
      </c>
      <c r="H47" t="s">
        <v>15</v>
      </c>
      <c r="I47" t="s">
        <v>10663</v>
      </c>
      <c r="N47">
        <v>3</v>
      </c>
      <c r="O47" t="s">
        <v>10662</v>
      </c>
      <c r="P47" t="s">
        <v>10661</v>
      </c>
      <c r="Q47" t="s">
        <v>757</v>
      </c>
      <c r="R47" s="7">
        <v>33359</v>
      </c>
      <c r="S47" s="8">
        <f t="shared" si="0"/>
        <v>1991</v>
      </c>
      <c r="T47" s="8">
        <v>1991</v>
      </c>
      <c r="U47" s="8">
        <f t="shared" si="1"/>
        <v>31</v>
      </c>
      <c r="V47" s="7">
        <v>33359</v>
      </c>
      <c r="W47" t="s">
        <v>1704</v>
      </c>
      <c r="X47" s="2">
        <v>0.14099999999999999</v>
      </c>
      <c r="Y47" s="6">
        <f t="shared" si="2"/>
        <v>3.7639144710498915E-3</v>
      </c>
      <c r="AA47">
        <v>402508</v>
      </c>
      <c r="AB47">
        <v>20868</v>
      </c>
      <c r="AD47" t="s">
        <v>5</v>
      </c>
      <c r="AE47">
        <v>46</v>
      </c>
      <c r="AF47">
        <v>5</v>
      </c>
      <c r="AH47" t="s">
        <v>10660</v>
      </c>
      <c r="AI47" t="s">
        <v>10659</v>
      </c>
      <c r="AK47" t="s">
        <v>10658</v>
      </c>
      <c r="AL47">
        <v>0</v>
      </c>
      <c r="AM47" s="5">
        <f t="shared" si="3"/>
        <v>0</v>
      </c>
      <c r="AN47" s="4">
        <f t="shared" si="4"/>
        <v>0</v>
      </c>
      <c r="AO47" s="3"/>
      <c r="AP47">
        <v>0</v>
      </c>
      <c r="AR47" t="s">
        <v>0</v>
      </c>
      <c r="AT47" s="2" t="s">
        <v>33</v>
      </c>
      <c r="AU47" s="1">
        <f t="shared" si="5"/>
        <v>0.26347401297349238</v>
      </c>
      <c r="AV47" s="1">
        <f t="shared" si="6"/>
        <v>0.18819572355249459</v>
      </c>
      <c r="AW47" s="1">
        <f t="shared" si="7"/>
        <v>0.11291743413149673</v>
      </c>
    </row>
    <row r="48" spans="1:49" x14ac:dyDescent="0.2">
      <c r="A48">
        <v>46</v>
      </c>
      <c r="B48" t="s">
        <v>10657</v>
      </c>
      <c r="F48" t="s">
        <v>10656</v>
      </c>
      <c r="G48" t="s">
        <v>16</v>
      </c>
      <c r="H48" t="s">
        <v>15</v>
      </c>
      <c r="I48" t="s">
        <v>9609</v>
      </c>
      <c r="N48">
        <v>2</v>
      </c>
      <c r="O48" t="s">
        <v>10655</v>
      </c>
      <c r="P48" t="s">
        <v>10654</v>
      </c>
      <c r="Q48" t="s">
        <v>592</v>
      </c>
      <c r="R48" s="7">
        <v>33359</v>
      </c>
      <c r="S48" s="8">
        <f t="shared" si="0"/>
        <v>1991</v>
      </c>
      <c r="T48" s="8">
        <v>1991</v>
      </c>
      <c r="U48" s="8">
        <f t="shared" si="1"/>
        <v>31</v>
      </c>
      <c r="V48" s="7">
        <v>33359</v>
      </c>
      <c r="W48" t="s">
        <v>1704</v>
      </c>
      <c r="X48" s="2">
        <v>0.14099999999999999</v>
      </c>
      <c r="Y48" s="6">
        <f t="shared" si="2"/>
        <v>3.7639144710498915E-3</v>
      </c>
      <c r="AA48">
        <v>402508</v>
      </c>
      <c r="AB48">
        <v>20868</v>
      </c>
      <c r="AD48" t="s">
        <v>5</v>
      </c>
      <c r="AE48">
        <v>46</v>
      </c>
      <c r="AF48">
        <v>5</v>
      </c>
      <c r="AH48" t="s">
        <v>10653</v>
      </c>
      <c r="AI48" t="s">
        <v>10652</v>
      </c>
      <c r="AK48" t="s">
        <v>10651</v>
      </c>
      <c r="AL48">
        <v>0</v>
      </c>
      <c r="AM48" s="5">
        <f t="shared" si="3"/>
        <v>0</v>
      </c>
      <c r="AN48" s="4">
        <f t="shared" si="4"/>
        <v>0</v>
      </c>
      <c r="AO48" s="3"/>
      <c r="AP48">
        <v>0</v>
      </c>
      <c r="AR48" t="s">
        <v>0</v>
      </c>
      <c r="AT48" s="2" t="s">
        <v>33</v>
      </c>
      <c r="AU48" s="1">
        <f t="shared" si="5"/>
        <v>0.26347401297349238</v>
      </c>
      <c r="AV48" s="1">
        <f t="shared" si="6"/>
        <v>0.18819572355249459</v>
      </c>
      <c r="AW48" s="1">
        <f t="shared" si="7"/>
        <v>0.11291743413149673</v>
      </c>
    </row>
    <row r="49" spans="1:49" x14ac:dyDescent="0.2">
      <c r="A49">
        <v>47</v>
      </c>
      <c r="B49" t="s">
        <v>10650</v>
      </c>
      <c r="F49" t="s">
        <v>10649</v>
      </c>
      <c r="G49" t="s">
        <v>16</v>
      </c>
      <c r="H49" t="s">
        <v>15</v>
      </c>
      <c r="I49" t="s">
        <v>10648</v>
      </c>
      <c r="N49">
        <v>1</v>
      </c>
      <c r="O49" t="s">
        <v>10647</v>
      </c>
      <c r="P49">
        <v>6506533925</v>
      </c>
      <c r="R49" s="7">
        <v>33359</v>
      </c>
      <c r="S49" s="8">
        <f t="shared" ref="S49:S112" si="8">YEAR(R49)</f>
        <v>1991</v>
      </c>
      <c r="T49" s="8">
        <v>1991</v>
      </c>
      <c r="U49" s="8">
        <f t="shared" ref="U49:U112" si="9">2022-T49</f>
        <v>31</v>
      </c>
      <c r="V49" s="7">
        <v>33359</v>
      </c>
      <c r="W49" t="s">
        <v>1704</v>
      </c>
      <c r="X49" s="2">
        <v>0.14099999999999999</v>
      </c>
      <c r="Y49" s="6">
        <f t="shared" si="2"/>
        <v>3.7639144710498915E-3</v>
      </c>
      <c r="AA49">
        <v>402508</v>
      </c>
      <c r="AB49">
        <v>20868</v>
      </c>
      <c r="AD49" t="s">
        <v>5</v>
      </c>
      <c r="AE49">
        <v>46</v>
      </c>
      <c r="AF49">
        <v>5</v>
      </c>
      <c r="AH49" t="s">
        <v>10646</v>
      </c>
      <c r="AI49" t="s">
        <v>10645</v>
      </c>
      <c r="AK49" t="s">
        <v>10644</v>
      </c>
      <c r="AL49">
        <v>0</v>
      </c>
      <c r="AM49" s="5">
        <f t="shared" ref="AM49:AM112" si="10">AL49/U49</f>
        <v>0</v>
      </c>
      <c r="AN49" s="4">
        <f t="shared" si="4"/>
        <v>0</v>
      </c>
      <c r="AO49" s="3"/>
      <c r="AP49">
        <v>0</v>
      </c>
      <c r="AR49" t="s">
        <v>0</v>
      </c>
      <c r="AT49" s="2" t="s">
        <v>33</v>
      </c>
      <c r="AU49" s="1">
        <f t="shared" ref="AU49:AU112" si="11">(Y49*0.7+AN49*0.3)*100</f>
        <v>0.26347401297349238</v>
      </c>
      <c r="AV49" s="1">
        <f t="shared" ref="AV49:AV112" si="12">(Y49*0.5+AN49*0.5)*100</f>
        <v>0.18819572355249459</v>
      </c>
      <c r="AW49" s="1">
        <f t="shared" ref="AW49:AW112" si="13">(Y49*0.3+AN49*0.7)*100</f>
        <v>0.11291743413149673</v>
      </c>
    </row>
    <row r="50" spans="1:49" x14ac:dyDescent="0.2">
      <c r="A50">
        <v>48</v>
      </c>
      <c r="B50" t="s">
        <v>10643</v>
      </c>
      <c r="C50" t="s">
        <v>10642</v>
      </c>
      <c r="F50" t="s">
        <v>10641</v>
      </c>
      <c r="G50" t="s">
        <v>16</v>
      </c>
      <c r="H50" t="s">
        <v>15</v>
      </c>
      <c r="I50" t="s">
        <v>10640</v>
      </c>
      <c r="J50" t="s">
        <v>5356</v>
      </c>
      <c r="K50" t="s">
        <v>5355</v>
      </c>
      <c r="L50" t="s">
        <v>5354</v>
      </c>
      <c r="M50" t="s">
        <v>133</v>
      </c>
      <c r="N50">
        <v>4</v>
      </c>
      <c r="O50" t="s">
        <v>10639</v>
      </c>
      <c r="P50" t="s">
        <v>10638</v>
      </c>
      <c r="Q50" t="s">
        <v>10637</v>
      </c>
      <c r="R50" s="7">
        <v>33359</v>
      </c>
      <c r="S50" s="8">
        <f t="shared" si="8"/>
        <v>1991</v>
      </c>
      <c r="T50" s="8">
        <v>1991</v>
      </c>
      <c r="U50" s="8">
        <f t="shared" si="9"/>
        <v>31</v>
      </c>
      <c r="V50" s="7">
        <v>33359</v>
      </c>
      <c r="W50" t="s">
        <v>10023</v>
      </c>
      <c r="X50" s="2">
        <v>0.61499999999999999</v>
      </c>
      <c r="Y50" s="6">
        <f t="shared" si="2"/>
        <v>1.6417073756706976E-2</v>
      </c>
      <c r="AA50">
        <v>1959271</v>
      </c>
      <c r="AB50">
        <v>12141</v>
      </c>
      <c r="AC50">
        <v>15729559</v>
      </c>
      <c r="AD50" t="s">
        <v>5</v>
      </c>
      <c r="AE50">
        <v>12</v>
      </c>
      <c r="AF50">
        <v>5</v>
      </c>
      <c r="AH50" t="s">
        <v>10636</v>
      </c>
      <c r="AI50" t="s">
        <v>10635</v>
      </c>
      <c r="AK50" t="s">
        <v>10634</v>
      </c>
      <c r="AL50">
        <v>14</v>
      </c>
      <c r="AM50" s="5">
        <f t="shared" si="10"/>
        <v>0.45161290322580644</v>
      </c>
      <c r="AN50" s="4">
        <f t="shared" si="4"/>
        <v>6.840028825835766E-4</v>
      </c>
      <c r="AO50" s="3"/>
      <c r="AP50">
        <v>0</v>
      </c>
      <c r="AR50" t="s">
        <v>0</v>
      </c>
      <c r="AT50" s="2" t="s">
        <v>33</v>
      </c>
      <c r="AU50" s="1">
        <f t="shared" si="11"/>
        <v>1.1697152494469956</v>
      </c>
      <c r="AV50" s="1">
        <f t="shared" si="12"/>
        <v>0.85505383196452756</v>
      </c>
      <c r="AW50" s="1">
        <f t="shared" si="13"/>
        <v>0.54039241448205955</v>
      </c>
    </row>
    <row r="51" spans="1:49" x14ac:dyDescent="0.2">
      <c r="A51">
        <v>49</v>
      </c>
      <c r="B51" t="s">
        <v>10633</v>
      </c>
      <c r="C51" t="s">
        <v>10632</v>
      </c>
      <c r="F51" t="s">
        <v>10631</v>
      </c>
      <c r="G51" t="s">
        <v>16</v>
      </c>
      <c r="H51" t="s">
        <v>15</v>
      </c>
      <c r="I51" t="s">
        <v>10630</v>
      </c>
      <c r="J51">
        <v>60023201</v>
      </c>
      <c r="K51" t="s">
        <v>10629</v>
      </c>
      <c r="L51" t="s">
        <v>2394</v>
      </c>
      <c r="M51" t="s">
        <v>57</v>
      </c>
      <c r="N51">
        <v>2</v>
      </c>
      <c r="O51" t="s">
        <v>10628</v>
      </c>
      <c r="P51" t="s">
        <v>10627</v>
      </c>
      <c r="Q51" t="s">
        <v>10626</v>
      </c>
      <c r="R51" s="7">
        <v>33359</v>
      </c>
      <c r="S51" s="8">
        <f t="shared" si="8"/>
        <v>1991</v>
      </c>
      <c r="T51" s="8">
        <v>1991</v>
      </c>
      <c r="U51" s="8">
        <f t="shared" si="9"/>
        <v>31</v>
      </c>
      <c r="V51" s="7">
        <v>33359</v>
      </c>
      <c r="W51" t="s">
        <v>743</v>
      </c>
      <c r="X51" s="2">
        <v>2.141</v>
      </c>
      <c r="Y51" s="6">
        <f t="shared" si="2"/>
        <v>5.7152772216438434E-2</v>
      </c>
      <c r="AA51">
        <v>1962892</v>
      </c>
      <c r="AB51">
        <v>17360</v>
      </c>
      <c r="AD51" t="s">
        <v>5</v>
      </c>
      <c r="AE51">
        <v>29</v>
      </c>
      <c r="AF51">
        <v>3</v>
      </c>
      <c r="AH51" t="s">
        <v>10625</v>
      </c>
      <c r="AI51" t="s">
        <v>10624</v>
      </c>
      <c r="AK51" t="s">
        <v>10623</v>
      </c>
      <c r="AL51">
        <v>7</v>
      </c>
      <c r="AM51" s="5">
        <f t="shared" si="10"/>
        <v>0.22580645161290322</v>
      </c>
      <c r="AN51" s="4">
        <f t="shared" si="4"/>
        <v>3.420014412917883E-4</v>
      </c>
      <c r="AO51" s="3"/>
      <c r="AP51">
        <v>0</v>
      </c>
      <c r="AR51" t="s">
        <v>0</v>
      </c>
      <c r="AT51" s="2" t="s">
        <v>33</v>
      </c>
      <c r="AU51" s="1">
        <f t="shared" si="11"/>
        <v>4.0109540983894441</v>
      </c>
      <c r="AV51" s="1">
        <f t="shared" si="12"/>
        <v>2.8747386828865111</v>
      </c>
      <c r="AW51" s="1">
        <f t="shared" si="13"/>
        <v>1.7385232673835782</v>
      </c>
    </row>
    <row r="52" spans="1:49" x14ac:dyDescent="0.2">
      <c r="A52">
        <v>50</v>
      </c>
      <c r="B52" t="s">
        <v>10622</v>
      </c>
      <c r="C52" t="s">
        <v>10621</v>
      </c>
      <c r="F52" t="s">
        <v>10620</v>
      </c>
      <c r="G52" t="s">
        <v>16</v>
      </c>
      <c r="H52" t="s">
        <v>15</v>
      </c>
      <c r="I52" t="s">
        <v>10619</v>
      </c>
      <c r="J52">
        <v>100312033</v>
      </c>
      <c r="K52" t="s">
        <v>8280</v>
      </c>
      <c r="L52" t="s">
        <v>8280</v>
      </c>
      <c r="M52" t="s">
        <v>57</v>
      </c>
      <c r="N52">
        <v>3</v>
      </c>
      <c r="O52" t="s">
        <v>10618</v>
      </c>
      <c r="P52" t="s">
        <v>10617</v>
      </c>
      <c r="Q52" t="s">
        <v>10616</v>
      </c>
      <c r="R52" s="7">
        <v>33359</v>
      </c>
      <c r="S52" s="8">
        <f t="shared" si="8"/>
        <v>1991</v>
      </c>
      <c r="T52" s="8">
        <v>1991</v>
      </c>
      <c r="U52" s="8">
        <f t="shared" si="9"/>
        <v>31</v>
      </c>
      <c r="V52" s="7">
        <v>33359</v>
      </c>
      <c r="W52" t="s">
        <v>743</v>
      </c>
      <c r="X52" s="2">
        <v>2.141</v>
      </c>
      <c r="Y52" s="6">
        <f t="shared" si="2"/>
        <v>5.7152772216438434E-2</v>
      </c>
      <c r="AA52">
        <v>1962892</v>
      </c>
      <c r="AB52">
        <v>17360</v>
      </c>
      <c r="AD52" t="s">
        <v>5</v>
      </c>
      <c r="AE52">
        <v>29</v>
      </c>
      <c r="AF52">
        <v>3</v>
      </c>
      <c r="AH52" t="s">
        <v>10615</v>
      </c>
      <c r="AI52" t="s">
        <v>10614</v>
      </c>
      <c r="AK52" t="s">
        <v>10613</v>
      </c>
      <c r="AL52">
        <v>5</v>
      </c>
      <c r="AM52" s="5">
        <f t="shared" si="10"/>
        <v>0.16129032258064516</v>
      </c>
      <c r="AN52" s="4">
        <f t="shared" si="4"/>
        <v>2.4428674377984877E-4</v>
      </c>
      <c r="AO52" s="3"/>
      <c r="AP52">
        <v>0</v>
      </c>
      <c r="AR52" t="s">
        <v>0</v>
      </c>
      <c r="AT52" s="2" t="s">
        <v>33</v>
      </c>
      <c r="AU52" s="1">
        <f t="shared" si="11"/>
        <v>4.0080226574640854</v>
      </c>
      <c r="AV52" s="1">
        <f t="shared" si="12"/>
        <v>2.8698529480109141</v>
      </c>
      <c r="AW52" s="1">
        <f t="shared" si="13"/>
        <v>1.7316832385577425</v>
      </c>
    </row>
    <row r="53" spans="1:49" x14ac:dyDescent="0.2">
      <c r="A53">
        <v>51</v>
      </c>
      <c r="B53" t="s">
        <v>10612</v>
      </c>
      <c r="C53" t="s">
        <v>10611</v>
      </c>
      <c r="F53" t="s">
        <v>10610</v>
      </c>
      <c r="G53" t="s">
        <v>16</v>
      </c>
      <c r="H53" t="s">
        <v>15</v>
      </c>
      <c r="I53" t="s">
        <v>5647</v>
      </c>
      <c r="J53">
        <v>60018279</v>
      </c>
      <c r="K53" t="s">
        <v>5646</v>
      </c>
      <c r="L53" t="s">
        <v>5645</v>
      </c>
      <c r="M53" t="s">
        <v>326</v>
      </c>
      <c r="N53">
        <v>4</v>
      </c>
      <c r="O53" t="s">
        <v>10609</v>
      </c>
      <c r="P53" t="s">
        <v>10608</v>
      </c>
      <c r="Q53" t="s">
        <v>10607</v>
      </c>
      <c r="R53" s="7">
        <v>33359</v>
      </c>
      <c r="S53" s="8">
        <f t="shared" si="8"/>
        <v>1991</v>
      </c>
      <c r="T53" s="8">
        <v>1991</v>
      </c>
      <c r="U53" s="8">
        <f t="shared" si="9"/>
        <v>31</v>
      </c>
      <c r="V53" s="7">
        <v>33359</v>
      </c>
      <c r="W53" t="s">
        <v>2537</v>
      </c>
      <c r="X53" s="2">
        <v>1.365</v>
      </c>
      <c r="Y53" s="6">
        <f t="shared" si="2"/>
        <v>3.6437895411227675E-2</v>
      </c>
      <c r="AA53">
        <v>189545</v>
      </c>
      <c r="AB53">
        <v>17393</v>
      </c>
      <c r="AD53" t="s">
        <v>5</v>
      </c>
      <c r="AE53">
        <v>40</v>
      </c>
      <c r="AF53">
        <v>2</v>
      </c>
      <c r="AH53" t="s">
        <v>10606</v>
      </c>
      <c r="AI53" t="s">
        <v>10605</v>
      </c>
      <c r="AK53" t="s">
        <v>10604</v>
      </c>
      <c r="AL53">
        <v>4</v>
      </c>
      <c r="AM53" s="5">
        <f t="shared" si="10"/>
        <v>0.12903225806451613</v>
      </c>
      <c r="AN53" s="4">
        <f t="shared" si="4"/>
        <v>1.9542939502387903E-4</v>
      </c>
      <c r="AO53" s="3"/>
      <c r="AP53">
        <v>0</v>
      </c>
      <c r="AR53" t="s">
        <v>0</v>
      </c>
      <c r="AT53" s="2" t="s">
        <v>33</v>
      </c>
      <c r="AU53" s="1">
        <f t="shared" si="11"/>
        <v>2.5565155606366532</v>
      </c>
      <c r="AV53" s="1">
        <f t="shared" si="12"/>
        <v>1.8316662403125776</v>
      </c>
      <c r="AW53" s="1">
        <f t="shared" si="13"/>
        <v>1.1068169199885018</v>
      </c>
    </row>
    <row r="54" spans="1:49" x14ac:dyDescent="0.2">
      <c r="A54">
        <v>52</v>
      </c>
      <c r="B54" t="s">
        <v>10603</v>
      </c>
      <c r="C54" t="s">
        <v>10602</v>
      </c>
      <c r="F54" t="s">
        <v>10601</v>
      </c>
      <c r="G54" t="s">
        <v>16</v>
      </c>
      <c r="H54" t="s">
        <v>15</v>
      </c>
      <c r="I54" t="s">
        <v>10600</v>
      </c>
      <c r="J54">
        <v>60011373</v>
      </c>
      <c r="K54" t="s">
        <v>6867</v>
      </c>
      <c r="L54" t="s">
        <v>6866</v>
      </c>
      <c r="M54" t="s">
        <v>6865</v>
      </c>
      <c r="N54">
        <v>4</v>
      </c>
      <c r="O54" t="s">
        <v>10599</v>
      </c>
      <c r="P54" t="s">
        <v>10598</v>
      </c>
      <c r="Q54" t="s">
        <v>10597</v>
      </c>
      <c r="R54" s="7">
        <v>33359</v>
      </c>
      <c r="S54" s="8">
        <f t="shared" si="8"/>
        <v>1991</v>
      </c>
      <c r="T54" s="8">
        <v>1991</v>
      </c>
      <c r="U54" s="8">
        <f t="shared" si="9"/>
        <v>31</v>
      </c>
      <c r="V54" s="7">
        <v>33359</v>
      </c>
      <c r="W54" t="s">
        <v>743</v>
      </c>
      <c r="X54" s="2">
        <v>2.141</v>
      </c>
      <c r="Y54" s="6">
        <f t="shared" si="2"/>
        <v>5.7152772216438434E-2</v>
      </c>
      <c r="AA54">
        <v>1962892</v>
      </c>
      <c r="AB54">
        <v>17360</v>
      </c>
      <c r="AD54" t="s">
        <v>5</v>
      </c>
      <c r="AE54">
        <v>29</v>
      </c>
      <c r="AF54">
        <v>3</v>
      </c>
      <c r="AH54" t="s">
        <v>10596</v>
      </c>
      <c r="AI54" t="s">
        <v>10595</v>
      </c>
      <c r="AK54" t="s">
        <v>10594</v>
      </c>
      <c r="AL54">
        <v>33</v>
      </c>
      <c r="AM54" s="5">
        <f t="shared" si="10"/>
        <v>1.064516129032258</v>
      </c>
      <c r="AN54" s="4">
        <f t="shared" si="4"/>
        <v>1.6122925089470019E-3</v>
      </c>
      <c r="AO54" s="3"/>
      <c r="AP54">
        <v>0</v>
      </c>
      <c r="AR54" t="s">
        <v>0</v>
      </c>
      <c r="AT54" s="2" t="s">
        <v>33</v>
      </c>
      <c r="AU54" s="1">
        <f t="shared" si="11"/>
        <v>4.0490628304190999</v>
      </c>
      <c r="AV54" s="1">
        <f t="shared" si="12"/>
        <v>2.9382532362692717</v>
      </c>
      <c r="AW54" s="1">
        <f t="shared" si="13"/>
        <v>1.8274436421194431</v>
      </c>
    </row>
    <row r="55" spans="1:49" x14ac:dyDescent="0.2">
      <c r="A55">
        <v>53</v>
      </c>
      <c r="B55" t="s">
        <v>10593</v>
      </c>
      <c r="C55" t="s">
        <v>10592</v>
      </c>
      <c r="D55" t="s">
        <v>10591</v>
      </c>
      <c r="F55" t="s">
        <v>10590</v>
      </c>
      <c r="G55" t="s">
        <v>16</v>
      </c>
      <c r="H55" t="s">
        <v>15</v>
      </c>
      <c r="I55" t="s">
        <v>10589</v>
      </c>
      <c r="J55" t="s">
        <v>10588</v>
      </c>
      <c r="K55" t="s">
        <v>10587</v>
      </c>
      <c r="L55" t="s">
        <v>10586</v>
      </c>
      <c r="M55" t="s">
        <v>10585</v>
      </c>
      <c r="N55">
        <v>3</v>
      </c>
      <c r="O55" t="s">
        <v>10584</v>
      </c>
      <c r="P55" t="s">
        <v>10583</v>
      </c>
      <c r="Q55" t="s">
        <v>10582</v>
      </c>
      <c r="R55" s="7">
        <v>33359</v>
      </c>
      <c r="S55" s="8">
        <f t="shared" si="8"/>
        <v>1991</v>
      </c>
      <c r="T55" s="8">
        <v>1991</v>
      </c>
      <c r="U55" s="8">
        <f t="shared" si="9"/>
        <v>31</v>
      </c>
      <c r="V55" s="7">
        <v>33359</v>
      </c>
      <c r="W55" t="s">
        <v>10581</v>
      </c>
      <c r="X55" s="2">
        <v>0.625</v>
      </c>
      <c r="Y55" s="6">
        <f t="shared" si="2"/>
        <v>1.6684018045433919E-2</v>
      </c>
      <c r="AA55">
        <v>304018</v>
      </c>
      <c r="AB55">
        <v>12352</v>
      </c>
      <c r="AD55" t="s">
        <v>5</v>
      </c>
      <c r="AE55">
        <v>82</v>
      </c>
      <c r="AF55" s="9">
        <v>44352</v>
      </c>
      <c r="AH55" t="s">
        <v>10580</v>
      </c>
      <c r="AI55" t="s">
        <v>10579</v>
      </c>
      <c r="AK55" t="s">
        <v>10578</v>
      </c>
      <c r="AL55">
        <v>52</v>
      </c>
      <c r="AM55" s="5">
        <f t="shared" si="10"/>
        <v>1.6774193548387097</v>
      </c>
      <c r="AN55" s="4">
        <f t="shared" si="4"/>
        <v>2.5405821353104274E-3</v>
      </c>
      <c r="AO55" s="3"/>
      <c r="AP55">
        <v>0</v>
      </c>
      <c r="AQ55" t="s">
        <v>5868</v>
      </c>
      <c r="AR55" t="s">
        <v>0</v>
      </c>
      <c r="AS55" t="s">
        <v>5866</v>
      </c>
      <c r="AT55" s="2">
        <v>2.31</v>
      </c>
      <c r="AU55" s="1">
        <f t="shared" si="11"/>
        <v>1.2440987272396871</v>
      </c>
      <c r="AV55" s="1">
        <f t="shared" si="12"/>
        <v>0.96123000903721723</v>
      </c>
      <c r="AW55" s="1">
        <f t="shared" si="13"/>
        <v>0.6783612908347475</v>
      </c>
    </row>
    <row r="56" spans="1:49" x14ac:dyDescent="0.2">
      <c r="A56">
        <v>54</v>
      </c>
      <c r="B56" t="s">
        <v>10577</v>
      </c>
      <c r="C56" t="s">
        <v>10576</v>
      </c>
      <c r="F56" t="s">
        <v>10575</v>
      </c>
      <c r="G56" t="s">
        <v>16</v>
      </c>
      <c r="H56" t="s">
        <v>15</v>
      </c>
      <c r="I56" t="s">
        <v>10574</v>
      </c>
      <c r="J56">
        <v>60005465</v>
      </c>
      <c r="K56" t="s">
        <v>1642</v>
      </c>
      <c r="L56" t="s">
        <v>1641</v>
      </c>
      <c r="M56" t="s">
        <v>1468</v>
      </c>
      <c r="N56">
        <v>1</v>
      </c>
      <c r="O56" t="s">
        <v>10573</v>
      </c>
      <c r="P56">
        <v>7102221734</v>
      </c>
      <c r="Q56">
        <v>60005465</v>
      </c>
      <c r="R56" s="7">
        <v>33359</v>
      </c>
      <c r="S56" s="8">
        <f t="shared" si="8"/>
        <v>1991</v>
      </c>
      <c r="T56" s="8">
        <v>1991</v>
      </c>
      <c r="U56" s="8">
        <f t="shared" si="9"/>
        <v>31</v>
      </c>
      <c r="V56" s="7">
        <v>33359</v>
      </c>
      <c r="W56" t="s">
        <v>731</v>
      </c>
      <c r="X56" s="2">
        <v>1.3720000000000001</v>
      </c>
      <c r="Y56" s="6">
        <f t="shared" si="2"/>
        <v>3.662475641333654E-2</v>
      </c>
      <c r="AA56">
        <v>189480</v>
      </c>
      <c r="AB56">
        <v>17366</v>
      </c>
      <c r="AD56" t="s">
        <v>5</v>
      </c>
      <c r="AE56">
        <v>39</v>
      </c>
      <c r="AF56">
        <v>5</v>
      </c>
      <c r="AH56" t="s">
        <v>10572</v>
      </c>
      <c r="AI56" t="s">
        <v>10571</v>
      </c>
      <c r="AK56" t="s">
        <v>10570</v>
      </c>
      <c r="AL56">
        <v>11</v>
      </c>
      <c r="AM56" s="5">
        <f t="shared" si="10"/>
        <v>0.35483870967741937</v>
      </c>
      <c r="AN56" s="4">
        <f t="shared" si="4"/>
        <v>5.3743083631566731E-4</v>
      </c>
      <c r="AO56" s="3"/>
      <c r="AP56">
        <v>0</v>
      </c>
      <c r="AR56" t="s">
        <v>0</v>
      </c>
      <c r="AT56" s="2" t="s">
        <v>33</v>
      </c>
      <c r="AU56" s="1">
        <f t="shared" si="11"/>
        <v>2.5798558740230275</v>
      </c>
      <c r="AV56" s="1">
        <f t="shared" si="12"/>
        <v>1.8581093624826104</v>
      </c>
      <c r="AW56" s="1">
        <f t="shared" si="13"/>
        <v>1.1363628509421928</v>
      </c>
    </row>
    <row r="57" spans="1:49" x14ac:dyDescent="0.2">
      <c r="A57">
        <v>55</v>
      </c>
      <c r="B57" t="s">
        <v>10569</v>
      </c>
      <c r="F57" t="s">
        <v>10568</v>
      </c>
      <c r="G57" t="s">
        <v>16</v>
      </c>
      <c r="H57" t="s">
        <v>15</v>
      </c>
      <c r="I57" t="s">
        <v>10567</v>
      </c>
      <c r="J57">
        <v>60025209</v>
      </c>
      <c r="K57" t="s">
        <v>4002</v>
      </c>
      <c r="L57" t="s">
        <v>1337</v>
      </c>
      <c r="M57" t="s">
        <v>57</v>
      </c>
      <c r="N57">
        <v>1</v>
      </c>
      <c r="O57" t="s">
        <v>10566</v>
      </c>
      <c r="P57">
        <v>7402836652</v>
      </c>
      <c r="Q57">
        <v>60025209</v>
      </c>
      <c r="R57" s="7">
        <v>33359</v>
      </c>
      <c r="S57" s="8">
        <f t="shared" si="8"/>
        <v>1991</v>
      </c>
      <c r="T57" s="8">
        <v>1991</v>
      </c>
      <c r="U57" s="8">
        <f t="shared" si="9"/>
        <v>31</v>
      </c>
      <c r="V57" s="7">
        <v>33359</v>
      </c>
      <c r="W57" t="s">
        <v>731</v>
      </c>
      <c r="X57" s="2">
        <v>1.3720000000000001</v>
      </c>
      <c r="Y57" s="6">
        <f t="shared" si="2"/>
        <v>3.662475641333654E-2</v>
      </c>
      <c r="AA57">
        <v>189480</v>
      </c>
      <c r="AB57">
        <v>17366</v>
      </c>
      <c r="AD57" t="s">
        <v>5</v>
      </c>
      <c r="AE57">
        <v>39</v>
      </c>
      <c r="AF57">
        <v>5</v>
      </c>
      <c r="AH57" t="s">
        <v>10565</v>
      </c>
      <c r="AI57" t="s">
        <v>10564</v>
      </c>
      <c r="AK57" t="s">
        <v>10563</v>
      </c>
      <c r="AL57">
        <v>2</v>
      </c>
      <c r="AM57" s="5">
        <f t="shared" si="10"/>
        <v>6.4516129032258063E-2</v>
      </c>
      <c r="AN57" s="4">
        <f t="shared" si="4"/>
        <v>9.7714697511939517E-5</v>
      </c>
      <c r="AO57" s="3"/>
      <c r="AP57">
        <v>0</v>
      </c>
      <c r="AR57" t="s">
        <v>0</v>
      </c>
      <c r="AT57" s="2" t="s">
        <v>33</v>
      </c>
      <c r="AU57" s="1">
        <f t="shared" si="11"/>
        <v>2.5666643898589157</v>
      </c>
      <c r="AV57" s="1">
        <f t="shared" si="12"/>
        <v>1.8361235555424242</v>
      </c>
      <c r="AW57" s="1">
        <f t="shared" si="13"/>
        <v>1.1055827212259319</v>
      </c>
    </row>
    <row r="58" spans="1:49" x14ac:dyDescent="0.2">
      <c r="A58">
        <v>56</v>
      </c>
      <c r="B58" t="s">
        <v>10562</v>
      </c>
      <c r="C58" t="s">
        <v>10561</v>
      </c>
      <c r="F58" t="s">
        <v>10560</v>
      </c>
      <c r="G58" t="s">
        <v>16</v>
      </c>
      <c r="H58" t="s">
        <v>15</v>
      </c>
      <c r="I58" t="s">
        <v>8890</v>
      </c>
      <c r="J58">
        <v>60019118</v>
      </c>
      <c r="K58" t="s">
        <v>8889</v>
      </c>
      <c r="L58" t="s">
        <v>8888</v>
      </c>
      <c r="M58" t="s">
        <v>1468</v>
      </c>
      <c r="N58">
        <v>2</v>
      </c>
      <c r="O58" t="s">
        <v>10559</v>
      </c>
      <c r="P58" t="s">
        <v>10558</v>
      </c>
      <c r="Q58" t="s">
        <v>8885</v>
      </c>
      <c r="R58" s="7">
        <v>33359</v>
      </c>
      <c r="S58" s="8">
        <f t="shared" si="8"/>
        <v>1991</v>
      </c>
      <c r="T58" s="8">
        <v>1991</v>
      </c>
      <c r="U58" s="8">
        <f t="shared" si="9"/>
        <v>31</v>
      </c>
      <c r="V58" s="7">
        <v>33359</v>
      </c>
      <c r="W58" t="s">
        <v>10023</v>
      </c>
      <c r="X58" s="2">
        <v>0.61499999999999999</v>
      </c>
      <c r="Y58" s="6">
        <f t="shared" si="2"/>
        <v>1.6417073756706976E-2</v>
      </c>
      <c r="AA58">
        <v>1959271</v>
      </c>
      <c r="AB58">
        <v>12141</v>
      </c>
      <c r="AC58">
        <v>15729559</v>
      </c>
      <c r="AD58" t="s">
        <v>5</v>
      </c>
      <c r="AE58">
        <v>12</v>
      </c>
      <c r="AF58">
        <v>5</v>
      </c>
      <c r="AH58" t="s">
        <v>10557</v>
      </c>
      <c r="AI58" t="s">
        <v>10556</v>
      </c>
      <c r="AJ58" t="s">
        <v>10555</v>
      </c>
      <c r="AK58" t="s">
        <v>10554</v>
      </c>
      <c r="AL58">
        <v>0</v>
      </c>
      <c r="AM58" s="5">
        <f t="shared" si="10"/>
        <v>0</v>
      </c>
      <c r="AN58" s="4">
        <f t="shared" si="4"/>
        <v>0</v>
      </c>
      <c r="AO58" s="3"/>
      <c r="AP58">
        <v>0</v>
      </c>
      <c r="AR58" t="s">
        <v>0</v>
      </c>
      <c r="AT58" s="2" t="s">
        <v>33</v>
      </c>
      <c r="AU58" s="1">
        <f t="shared" si="11"/>
        <v>1.1491951629694881</v>
      </c>
      <c r="AV58" s="1">
        <f t="shared" si="12"/>
        <v>0.82085368783534873</v>
      </c>
      <c r="AW58" s="1">
        <f t="shared" si="13"/>
        <v>0.49251221270120926</v>
      </c>
    </row>
    <row r="59" spans="1:49" x14ac:dyDescent="0.2">
      <c r="A59">
        <v>57</v>
      </c>
      <c r="B59" t="s">
        <v>10553</v>
      </c>
      <c r="C59" t="s">
        <v>10552</v>
      </c>
      <c r="F59" t="s">
        <v>10551</v>
      </c>
      <c r="G59" t="s">
        <v>16</v>
      </c>
      <c r="H59" t="s">
        <v>15</v>
      </c>
      <c r="I59" t="s">
        <v>10550</v>
      </c>
      <c r="J59" t="s">
        <v>44</v>
      </c>
      <c r="K59" t="s">
        <v>43</v>
      </c>
      <c r="L59" t="s">
        <v>42</v>
      </c>
      <c r="M59" t="s">
        <v>41</v>
      </c>
      <c r="N59">
        <v>4</v>
      </c>
      <c r="O59" t="s">
        <v>10549</v>
      </c>
      <c r="P59" t="s">
        <v>10548</v>
      </c>
      <c r="Q59" t="s">
        <v>10547</v>
      </c>
      <c r="R59" s="7">
        <v>33359</v>
      </c>
      <c r="S59" s="8">
        <f t="shared" si="8"/>
        <v>1991</v>
      </c>
      <c r="T59" s="8">
        <v>1991</v>
      </c>
      <c r="U59" s="8">
        <f t="shared" si="9"/>
        <v>31</v>
      </c>
      <c r="V59" s="7">
        <v>33359</v>
      </c>
      <c r="W59" t="s">
        <v>9949</v>
      </c>
      <c r="X59" s="2">
        <v>1.994</v>
      </c>
      <c r="Y59" s="6">
        <f t="shared" si="2"/>
        <v>5.322869117215237E-2</v>
      </c>
      <c r="AA59">
        <v>249297</v>
      </c>
      <c r="AB59">
        <v>21100779404</v>
      </c>
      <c r="AC59">
        <v>15205835</v>
      </c>
      <c r="AD59" t="s">
        <v>5</v>
      </c>
      <c r="AE59">
        <v>24</v>
      </c>
      <c r="AF59">
        <v>10</v>
      </c>
      <c r="AH59" t="s">
        <v>10546</v>
      </c>
      <c r="AI59" t="s">
        <v>10545</v>
      </c>
      <c r="AK59" t="s">
        <v>10544</v>
      </c>
      <c r="AL59">
        <v>6</v>
      </c>
      <c r="AM59" s="5">
        <f t="shared" si="10"/>
        <v>0.19354838709677419</v>
      </c>
      <c r="AN59" s="4">
        <f t="shared" si="4"/>
        <v>2.9314409253581854E-4</v>
      </c>
      <c r="AO59" s="3"/>
      <c r="AP59">
        <v>0</v>
      </c>
      <c r="AR59" t="s">
        <v>0</v>
      </c>
      <c r="AT59" s="2">
        <v>5.9850000000000003</v>
      </c>
      <c r="AU59" s="1">
        <f t="shared" si="11"/>
        <v>3.7348027048267403</v>
      </c>
      <c r="AV59" s="1">
        <f t="shared" si="12"/>
        <v>2.6760917632344094</v>
      </c>
      <c r="AW59" s="1">
        <f t="shared" si="13"/>
        <v>1.6173808216420786</v>
      </c>
    </row>
    <row r="60" spans="1:49" x14ac:dyDescent="0.2">
      <c r="A60">
        <v>58</v>
      </c>
      <c r="B60" t="s">
        <v>10543</v>
      </c>
      <c r="C60" t="s">
        <v>10542</v>
      </c>
      <c r="F60" t="s">
        <v>10541</v>
      </c>
      <c r="G60" t="s">
        <v>16</v>
      </c>
      <c r="H60" t="s">
        <v>15</v>
      </c>
      <c r="I60" t="s">
        <v>10540</v>
      </c>
      <c r="J60">
        <v>60025153</v>
      </c>
      <c r="K60" t="s">
        <v>10539</v>
      </c>
      <c r="L60" t="s">
        <v>10538</v>
      </c>
      <c r="M60" t="s">
        <v>341</v>
      </c>
      <c r="N60">
        <v>3</v>
      </c>
      <c r="O60" t="s">
        <v>10537</v>
      </c>
      <c r="P60" t="s">
        <v>10536</v>
      </c>
      <c r="Q60" t="s">
        <v>10535</v>
      </c>
      <c r="R60" s="7">
        <v>33359</v>
      </c>
      <c r="S60" s="8">
        <f t="shared" si="8"/>
        <v>1991</v>
      </c>
      <c r="T60" s="8">
        <v>1991</v>
      </c>
      <c r="U60" s="8">
        <f t="shared" si="9"/>
        <v>31</v>
      </c>
      <c r="V60" s="7">
        <v>33359</v>
      </c>
      <c r="W60" t="s">
        <v>731</v>
      </c>
      <c r="X60" s="2">
        <v>1.3720000000000001</v>
      </c>
      <c r="Y60" s="6">
        <f t="shared" si="2"/>
        <v>3.662475641333654E-2</v>
      </c>
      <c r="AA60">
        <v>189480</v>
      </c>
      <c r="AB60">
        <v>17366</v>
      </c>
      <c r="AD60" t="s">
        <v>5</v>
      </c>
      <c r="AE60">
        <v>39</v>
      </c>
      <c r="AF60">
        <v>5</v>
      </c>
      <c r="AH60" t="s">
        <v>10534</v>
      </c>
      <c r="AI60" t="s">
        <v>10533</v>
      </c>
      <c r="AK60" t="s">
        <v>10532</v>
      </c>
      <c r="AL60">
        <v>52</v>
      </c>
      <c r="AM60" s="5">
        <f t="shared" si="10"/>
        <v>1.6774193548387097</v>
      </c>
      <c r="AN60" s="4">
        <f t="shared" si="4"/>
        <v>2.5405821353104274E-3</v>
      </c>
      <c r="AO60" s="3"/>
      <c r="AP60">
        <v>0</v>
      </c>
      <c r="AR60" t="s">
        <v>0</v>
      </c>
      <c r="AT60" s="2" t="s">
        <v>33</v>
      </c>
      <c r="AU60" s="1">
        <f t="shared" si="11"/>
        <v>2.6399504129928704</v>
      </c>
      <c r="AV60" s="1">
        <f t="shared" si="12"/>
        <v>1.9582669274323485</v>
      </c>
      <c r="AW60" s="1">
        <f t="shared" si="13"/>
        <v>1.2765834418718263</v>
      </c>
    </row>
    <row r="61" spans="1:49" x14ac:dyDescent="0.2">
      <c r="A61">
        <v>59</v>
      </c>
      <c r="B61" t="s">
        <v>10531</v>
      </c>
      <c r="F61" t="s">
        <v>10530</v>
      </c>
      <c r="G61" t="s">
        <v>16</v>
      </c>
      <c r="H61" t="s">
        <v>15</v>
      </c>
      <c r="I61" t="s">
        <v>10529</v>
      </c>
      <c r="J61">
        <v>100331444</v>
      </c>
      <c r="K61" t="s">
        <v>10528</v>
      </c>
      <c r="L61" t="s">
        <v>10527</v>
      </c>
      <c r="M61" t="s">
        <v>57</v>
      </c>
      <c r="N61">
        <v>2</v>
      </c>
      <c r="O61" t="s">
        <v>10526</v>
      </c>
      <c r="P61" t="s">
        <v>10525</v>
      </c>
      <c r="Q61" t="s">
        <v>10524</v>
      </c>
      <c r="R61" s="7">
        <v>33359</v>
      </c>
      <c r="S61" s="8">
        <f t="shared" si="8"/>
        <v>1991</v>
      </c>
      <c r="T61" s="8">
        <v>1991</v>
      </c>
      <c r="U61" s="8">
        <f t="shared" si="9"/>
        <v>31</v>
      </c>
      <c r="V61" s="7">
        <v>33359</v>
      </c>
      <c r="W61" t="s">
        <v>10523</v>
      </c>
      <c r="X61" s="2" t="s">
        <v>33</v>
      </c>
      <c r="Y61" s="6" t="e">
        <f t="shared" si="2"/>
        <v>#VALUE!</v>
      </c>
      <c r="AA61">
        <v>7441657</v>
      </c>
      <c r="AB61">
        <v>19326</v>
      </c>
      <c r="AD61" t="s">
        <v>5</v>
      </c>
      <c r="AE61">
        <v>11</v>
      </c>
      <c r="AF61" t="s">
        <v>10522</v>
      </c>
      <c r="AH61" t="s">
        <v>10521</v>
      </c>
      <c r="AI61" t="s">
        <v>10520</v>
      </c>
      <c r="AK61" t="s">
        <v>10519</v>
      </c>
      <c r="AL61">
        <v>0</v>
      </c>
      <c r="AM61" s="5">
        <f t="shared" si="10"/>
        <v>0</v>
      </c>
      <c r="AN61" s="4">
        <f t="shared" si="4"/>
        <v>0</v>
      </c>
      <c r="AO61" s="3"/>
      <c r="AP61">
        <v>0</v>
      </c>
      <c r="AR61" t="s">
        <v>0</v>
      </c>
      <c r="AT61" s="2" t="s">
        <v>33</v>
      </c>
      <c r="AU61" s="1" t="e">
        <f t="shared" si="11"/>
        <v>#VALUE!</v>
      </c>
      <c r="AV61" s="1" t="e">
        <f t="shared" si="12"/>
        <v>#VALUE!</v>
      </c>
      <c r="AW61" s="1" t="e">
        <f t="shared" si="13"/>
        <v>#VALUE!</v>
      </c>
    </row>
    <row r="62" spans="1:49" x14ac:dyDescent="0.2">
      <c r="A62">
        <v>60</v>
      </c>
      <c r="B62" t="s">
        <v>10518</v>
      </c>
      <c r="C62" t="s">
        <v>10517</v>
      </c>
      <c r="F62" t="s">
        <v>10516</v>
      </c>
      <c r="G62" t="s">
        <v>16</v>
      </c>
      <c r="H62" t="s">
        <v>15</v>
      </c>
      <c r="I62" t="s">
        <v>10515</v>
      </c>
      <c r="J62" t="s">
        <v>10514</v>
      </c>
      <c r="K62" t="s">
        <v>10513</v>
      </c>
      <c r="L62" t="s">
        <v>10512</v>
      </c>
      <c r="M62" t="s">
        <v>1147</v>
      </c>
      <c r="N62">
        <v>3</v>
      </c>
      <c r="O62" t="s">
        <v>10511</v>
      </c>
      <c r="P62" t="s">
        <v>10510</v>
      </c>
      <c r="Q62" t="s">
        <v>10509</v>
      </c>
      <c r="R62" s="7">
        <v>33359</v>
      </c>
      <c r="S62" s="8">
        <f t="shared" si="8"/>
        <v>1991</v>
      </c>
      <c r="T62" s="8">
        <v>1991</v>
      </c>
      <c r="U62" s="8">
        <f t="shared" si="9"/>
        <v>31</v>
      </c>
      <c r="V62" s="7">
        <v>33359</v>
      </c>
      <c r="W62" t="s">
        <v>10508</v>
      </c>
      <c r="X62" s="2">
        <v>0.33700000000000002</v>
      </c>
      <c r="Y62" s="6">
        <f t="shared" si="2"/>
        <v>8.9960225300979701E-3</v>
      </c>
      <c r="AA62">
        <v>9236082</v>
      </c>
      <c r="AB62">
        <v>12409</v>
      </c>
      <c r="AC62">
        <v>15730824</v>
      </c>
      <c r="AD62" t="s">
        <v>5</v>
      </c>
      <c r="AE62">
        <v>2</v>
      </c>
      <c r="AF62">
        <v>2</v>
      </c>
      <c r="AH62" t="s">
        <v>10507</v>
      </c>
      <c r="AI62" t="s">
        <v>10506</v>
      </c>
      <c r="AK62" t="s">
        <v>10505</v>
      </c>
      <c r="AL62">
        <v>11</v>
      </c>
      <c r="AM62" s="5">
        <f t="shared" si="10"/>
        <v>0.35483870967741937</v>
      </c>
      <c r="AN62" s="4">
        <f t="shared" si="4"/>
        <v>5.3743083631566731E-4</v>
      </c>
      <c r="AO62" s="3"/>
      <c r="AP62">
        <v>0</v>
      </c>
      <c r="AR62" t="s">
        <v>0</v>
      </c>
      <c r="AT62" s="2" t="s">
        <v>33</v>
      </c>
      <c r="AU62" s="1">
        <f t="shared" si="11"/>
        <v>0.64584450219632794</v>
      </c>
      <c r="AV62" s="1">
        <f t="shared" si="12"/>
        <v>0.47667266832068189</v>
      </c>
      <c r="AW62" s="1">
        <f t="shared" si="13"/>
        <v>0.30750083444503579</v>
      </c>
    </row>
    <row r="63" spans="1:49" x14ac:dyDescent="0.2">
      <c r="A63">
        <v>61</v>
      </c>
      <c r="B63" t="s">
        <v>10504</v>
      </c>
      <c r="C63" t="s">
        <v>10503</v>
      </c>
      <c r="F63" t="s">
        <v>10502</v>
      </c>
      <c r="G63" t="s">
        <v>16</v>
      </c>
      <c r="H63" t="s">
        <v>15</v>
      </c>
      <c r="I63" t="s">
        <v>10501</v>
      </c>
      <c r="J63">
        <v>60007798</v>
      </c>
      <c r="K63" t="s">
        <v>9130</v>
      </c>
      <c r="L63" t="s">
        <v>9129</v>
      </c>
      <c r="M63" t="s">
        <v>25</v>
      </c>
      <c r="N63">
        <v>5</v>
      </c>
      <c r="O63" t="s">
        <v>10500</v>
      </c>
      <c r="P63" t="s">
        <v>10499</v>
      </c>
      <c r="Q63" t="s">
        <v>10498</v>
      </c>
      <c r="R63" s="7">
        <v>33359</v>
      </c>
      <c r="S63" s="8">
        <f t="shared" si="8"/>
        <v>1991</v>
      </c>
      <c r="T63" s="8">
        <v>1991</v>
      </c>
      <c r="U63" s="8">
        <f t="shared" si="9"/>
        <v>31</v>
      </c>
      <c r="V63" s="7">
        <v>33359</v>
      </c>
      <c r="W63" t="s">
        <v>2537</v>
      </c>
      <c r="X63" s="2">
        <v>1.365</v>
      </c>
      <c r="Y63" s="6">
        <f t="shared" si="2"/>
        <v>3.6437895411227675E-2</v>
      </c>
      <c r="AA63">
        <v>189545</v>
      </c>
      <c r="AB63">
        <v>17393</v>
      </c>
      <c r="AD63" t="s">
        <v>5</v>
      </c>
      <c r="AE63">
        <v>40</v>
      </c>
      <c r="AF63">
        <v>2</v>
      </c>
      <c r="AH63" t="s">
        <v>10497</v>
      </c>
      <c r="AI63" t="s">
        <v>10496</v>
      </c>
      <c r="AK63" t="s">
        <v>10495</v>
      </c>
      <c r="AL63">
        <v>582</v>
      </c>
      <c r="AM63" s="5">
        <f t="shared" si="10"/>
        <v>18.774193548387096</v>
      </c>
      <c r="AN63" s="4">
        <f t="shared" si="4"/>
        <v>2.8434976975974399E-2</v>
      </c>
      <c r="AO63" s="3"/>
      <c r="AP63">
        <v>0</v>
      </c>
      <c r="AR63" t="s">
        <v>0</v>
      </c>
      <c r="AT63" s="2" t="s">
        <v>33</v>
      </c>
      <c r="AU63" s="1">
        <f t="shared" si="11"/>
        <v>3.4037019880651691</v>
      </c>
      <c r="AV63" s="1">
        <f t="shared" si="12"/>
        <v>3.2436436193601037</v>
      </c>
      <c r="AW63" s="1">
        <f t="shared" si="13"/>
        <v>3.0835852506550379</v>
      </c>
    </row>
    <row r="64" spans="1:49" x14ac:dyDescent="0.2">
      <c r="A64">
        <v>62</v>
      </c>
      <c r="B64" t="s">
        <v>10494</v>
      </c>
      <c r="C64" t="s">
        <v>10493</v>
      </c>
      <c r="F64" t="s">
        <v>10492</v>
      </c>
      <c r="G64" t="s">
        <v>16</v>
      </c>
      <c r="H64" t="s">
        <v>15</v>
      </c>
      <c r="I64" t="s">
        <v>7061</v>
      </c>
      <c r="J64">
        <v>60025555</v>
      </c>
      <c r="K64" t="s">
        <v>2786</v>
      </c>
      <c r="L64" t="s">
        <v>327</v>
      </c>
      <c r="M64" t="s">
        <v>326</v>
      </c>
      <c r="N64">
        <v>2</v>
      </c>
      <c r="O64" t="s">
        <v>10491</v>
      </c>
      <c r="P64" t="s">
        <v>10490</v>
      </c>
      <c r="Q64" t="s">
        <v>2783</v>
      </c>
      <c r="R64" s="7">
        <v>33359</v>
      </c>
      <c r="S64" s="8">
        <f t="shared" si="8"/>
        <v>1991</v>
      </c>
      <c r="T64" s="8">
        <v>1991</v>
      </c>
      <c r="U64" s="8">
        <f t="shared" si="9"/>
        <v>31</v>
      </c>
      <c r="V64" s="7">
        <v>33359</v>
      </c>
      <c r="W64" t="s">
        <v>2537</v>
      </c>
      <c r="X64" s="2">
        <v>1.365</v>
      </c>
      <c r="Y64" s="6">
        <f t="shared" si="2"/>
        <v>3.6437895411227675E-2</v>
      </c>
      <c r="AA64">
        <v>189545</v>
      </c>
      <c r="AB64">
        <v>17393</v>
      </c>
      <c r="AD64" t="s">
        <v>5</v>
      </c>
      <c r="AE64">
        <v>40</v>
      </c>
      <c r="AF64">
        <v>2</v>
      </c>
      <c r="AH64" t="s">
        <v>10489</v>
      </c>
      <c r="AI64" t="s">
        <v>10488</v>
      </c>
      <c r="AK64" t="s">
        <v>10487</v>
      </c>
      <c r="AL64">
        <v>27</v>
      </c>
      <c r="AM64" s="5">
        <f t="shared" si="10"/>
        <v>0.87096774193548387</v>
      </c>
      <c r="AN64" s="4">
        <f t="shared" si="4"/>
        <v>1.3191484164111836E-3</v>
      </c>
      <c r="AO64" s="3"/>
      <c r="AP64">
        <v>0</v>
      </c>
      <c r="AR64" t="s">
        <v>0</v>
      </c>
      <c r="AT64" s="2" t="s">
        <v>33</v>
      </c>
      <c r="AU64" s="1">
        <f t="shared" si="11"/>
        <v>2.5902271312782723</v>
      </c>
      <c r="AV64" s="1">
        <f t="shared" si="12"/>
        <v>1.8878521913819428</v>
      </c>
      <c r="AW64" s="1">
        <f t="shared" si="13"/>
        <v>1.1854772514856129</v>
      </c>
    </row>
    <row r="65" spans="1:49" x14ac:dyDescent="0.2">
      <c r="A65">
        <v>63</v>
      </c>
      <c r="B65" t="s">
        <v>10486</v>
      </c>
      <c r="C65" t="s">
        <v>10485</v>
      </c>
      <c r="D65" t="s">
        <v>10484</v>
      </c>
      <c r="E65">
        <v>2022514</v>
      </c>
      <c r="F65" t="s">
        <v>10483</v>
      </c>
      <c r="G65" t="s">
        <v>16</v>
      </c>
      <c r="H65" t="s">
        <v>15</v>
      </c>
      <c r="I65" t="s">
        <v>10482</v>
      </c>
      <c r="N65">
        <v>14</v>
      </c>
      <c r="O65" t="s">
        <v>10481</v>
      </c>
      <c r="P65" t="s">
        <v>10480</v>
      </c>
      <c r="Q65" t="s">
        <v>10479</v>
      </c>
      <c r="R65" s="7">
        <v>33359</v>
      </c>
      <c r="S65" s="8">
        <f t="shared" si="8"/>
        <v>1991</v>
      </c>
      <c r="T65" s="8">
        <v>1991</v>
      </c>
      <c r="U65" s="8">
        <f t="shared" si="9"/>
        <v>31</v>
      </c>
      <c r="V65" s="7">
        <v>33359</v>
      </c>
      <c r="W65" t="s">
        <v>1134</v>
      </c>
      <c r="X65" s="2" t="s">
        <v>33</v>
      </c>
      <c r="Y65" s="6" t="e">
        <f t="shared" si="2"/>
        <v>#VALUE!</v>
      </c>
      <c r="AA65">
        <v>3603016</v>
      </c>
      <c r="AB65">
        <v>17191</v>
      </c>
      <c r="AD65" t="s">
        <v>5</v>
      </c>
      <c r="AE65">
        <v>20</v>
      </c>
      <c r="AF65">
        <v>5</v>
      </c>
      <c r="AH65" t="s">
        <v>10478</v>
      </c>
      <c r="AI65" t="s">
        <v>10477</v>
      </c>
      <c r="AJ65" t="s">
        <v>10476</v>
      </c>
      <c r="AK65" t="s">
        <v>10475</v>
      </c>
      <c r="AL65">
        <v>31</v>
      </c>
      <c r="AM65" s="5">
        <f t="shared" si="10"/>
        <v>1</v>
      </c>
      <c r="AN65" s="4">
        <f t="shared" si="4"/>
        <v>1.5145778114350624E-3</v>
      </c>
      <c r="AO65" s="3"/>
      <c r="AP65">
        <v>0</v>
      </c>
      <c r="AQ65" t="s">
        <v>1129</v>
      </c>
      <c r="AR65" t="s">
        <v>10474</v>
      </c>
      <c r="AS65" t="s">
        <v>1127</v>
      </c>
      <c r="AT65" s="2" t="s">
        <v>33</v>
      </c>
      <c r="AU65" s="1" t="e">
        <f t="shared" si="11"/>
        <v>#VALUE!</v>
      </c>
      <c r="AV65" s="1" t="e">
        <f t="shared" si="12"/>
        <v>#VALUE!</v>
      </c>
      <c r="AW65" s="1" t="e">
        <f t="shared" si="13"/>
        <v>#VALUE!</v>
      </c>
    </row>
    <row r="66" spans="1:49" x14ac:dyDescent="0.2">
      <c r="A66">
        <v>64</v>
      </c>
      <c r="B66" t="s">
        <v>10473</v>
      </c>
      <c r="C66" t="s">
        <v>10472</v>
      </c>
      <c r="F66" t="s">
        <v>10471</v>
      </c>
      <c r="G66" t="s">
        <v>16</v>
      </c>
      <c r="H66" t="s">
        <v>15</v>
      </c>
      <c r="I66" t="s">
        <v>10470</v>
      </c>
      <c r="J66" t="s">
        <v>10469</v>
      </c>
      <c r="K66" t="s">
        <v>10468</v>
      </c>
      <c r="L66" t="s">
        <v>10467</v>
      </c>
      <c r="M66" t="s">
        <v>10466</v>
      </c>
      <c r="N66">
        <v>4</v>
      </c>
      <c r="O66" t="s">
        <v>10465</v>
      </c>
      <c r="P66" t="s">
        <v>10464</v>
      </c>
      <c r="Q66" t="s">
        <v>10463</v>
      </c>
      <c r="R66" s="7">
        <v>33359</v>
      </c>
      <c r="S66" s="8">
        <f t="shared" si="8"/>
        <v>1991</v>
      </c>
      <c r="T66" s="8">
        <v>1991</v>
      </c>
      <c r="U66" s="8">
        <f t="shared" si="9"/>
        <v>31</v>
      </c>
      <c r="V66" s="7">
        <v>33359</v>
      </c>
      <c r="W66" t="s">
        <v>337</v>
      </c>
      <c r="X66" s="2">
        <v>1.1579999999999999</v>
      </c>
      <c r="Y66" s="6">
        <f t="shared" ref="Y66:Y129" si="14">(X66-$Z$4)/($Z$3-$Z$4)</f>
        <v>3.0912148634579962E-2</v>
      </c>
      <c r="AA66">
        <v>1668595</v>
      </c>
      <c r="AB66">
        <v>14223</v>
      </c>
      <c r="AC66">
        <v>15735079</v>
      </c>
      <c r="AD66" t="s">
        <v>5</v>
      </c>
      <c r="AE66">
        <v>28</v>
      </c>
      <c r="AF66">
        <v>2</v>
      </c>
      <c r="AH66" t="s">
        <v>10462</v>
      </c>
      <c r="AI66" t="s">
        <v>10461</v>
      </c>
      <c r="AJ66" t="s">
        <v>10460</v>
      </c>
      <c r="AK66" t="s">
        <v>10459</v>
      </c>
      <c r="AL66">
        <v>71</v>
      </c>
      <c r="AM66" s="5">
        <f t="shared" si="10"/>
        <v>2.2903225806451615</v>
      </c>
      <c r="AN66" s="4">
        <f t="shared" ref="AN66:AN129" si="15">(AM66-$AO$4)/($AO$3-$AO$4)</f>
        <v>3.468871761673853E-3</v>
      </c>
      <c r="AO66" s="3"/>
      <c r="AP66">
        <v>0</v>
      </c>
      <c r="AR66" t="s">
        <v>0</v>
      </c>
      <c r="AT66" s="2">
        <v>3.573</v>
      </c>
      <c r="AU66" s="1">
        <f t="shared" si="11"/>
        <v>2.2679165572708126</v>
      </c>
      <c r="AV66" s="1">
        <f t="shared" si="12"/>
        <v>1.7190510198126907</v>
      </c>
      <c r="AW66" s="1">
        <f t="shared" si="13"/>
        <v>1.1701854823545685</v>
      </c>
    </row>
    <row r="67" spans="1:49" x14ac:dyDescent="0.2">
      <c r="A67">
        <v>65</v>
      </c>
      <c r="B67" t="s">
        <v>10458</v>
      </c>
      <c r="C67" t="s">
        <v>10457</v>
      </c>
      <c r="F67" t="s">
        <v>10456</v>
      </c>
      <c r="G67" t="s">
        <v>16</v>
      </c>
      <c r="H67" t="s">
        <v>15</v>
      </c>
      <c r="I67" t="s">
        <v>10455</v>
      </c>
      <c r="J67">
        <v>60069038</v>
      </c>
      <c r="K67" t="s">
        <v>10454</v>
      </c>
      <c r="L67" t="s">
        <v>10453</v>
      </c>
      <c r="M67" t="s">
        <v>10452</v>
      </c>
      <c r="N67">
        <v>1</v>
      </c>
      <c r="O67" t="s">
        <v>10451</v>
      </c>
      <c r="P67">
        <v>6701671159</v>
      </c>
      <c r="Q67">
        <v>60069038</v>
      </c>
      <c r="R67" s="7">
        <v>33359</v>
      </c>
      <c r="S67" s="8">
        <f t="shared" si="8"/>
        <v>1991</v>
      </c>
      <c r="T67" s="8">
        <v>1991</v>
      </c>
      <c r="U67" s="8">
        <f t="shared" si="9"/>
        <v>31</v>
      </c>
      <c r="V67" s="7">
        <v>33359</v>
      </c>
      <c r="W67" t="s">
        <v>10450</v>
      </c>
      <c r="X67" s="2">
        <v>0.51700000000000002</v>
      </c>
      <c r="Y67" s="6">
        <f t="shared" si="14"/>
        <v>1.3801019727182938E-2</v>
      </c>
      <c r="AA67" t="s">
        <v>10449</v>
      </c>
      <c r="AB67">
        <v>14981</v>
      </c>
      <c r="AC67" t="s">
        <v>10448</v>
      </c>
      <c r="AD67" t="s">
        <v>5</v>
      </c>
      <c r="AE67">
        <v>110</v>
      </c>
      <c r="AF67">
        <v>3</v>
      </c>
      <c r="AH67" t="s">
        <v>10447</v>
      </c>
      <c r="AI67" t="s">
        <v>10446</v>
      </c>
      <c r="AK67" t="s">
        <v>10445</v>
      </c>
      <c r="AL67">
        <v>41</v>
      </c>
      <c r="AM67" s="5">
        <f t="shared" si="10"/>
        <v>1.3225806451612903</v>
      </c>
      <c r="AN67" s="4">
        <f t="shared" si="15"/>
        <v>2.0031512989947598E-3</v>
      </c>
      <c r="AO67" s="3"/>
      <c r="AP67">
        <v>0</v>
      </c>
      <c r="AR67" t="s">
        <v>0</v>
      </c>
      <c r="AT67" s="2">
        <v>1.3260000000000001</v>
      </c>
      <c r="AU67" s="1">
        <f t="shared" si="11"/>
        <v>1.0261659198726485</v>
      </c>
      <c r="AV67" s="1">
        <f t="shared" si="12"/>
        <v>0.7902085513088849</v>
      </c>
      <c r="AW67" s="1">
        <f t="shared" si="13"/>
        <v>0.55425118274512131</v>
      </c>
    </row>
    <row r="68" spans="1:49" x14ac:dyDescent="0.2">
      <c r="A68">
        <v>66</v>
      </c>
      <c r="B68" t="s">
        <v>10444</v>
      </c>
      <c r="C68" t="s">
        <v>10443</v>
      </c>
      <c r="F68" t="s">
        <v>10442</v>
      </c>
      <c r="G68" t="s">
        <v>16</v>
      </c>
      <c r="H68" t="s">
        <v>15</v>
      </c>
      <c r="I68" t="s">
        <v>10441</v>
      </c>
      <c r="J68" t="s">
        <v>10440</v>
      </c>
      <c r="K68" t="s">
        <v>10439</v>
      </c>
      <c r="L68" t="s">
        <v>10438</v>
      </c>
      <c r="M68" t="s">
        <v>10437</v>
      </c>
      <c r="N68">
        <v>4</v>
      </c>
      <c r="O68" t="s">
        <v>10436</v>
      </c>
      <c r="P68" t="s">
        <v>10435</v>
      </c>
      <c r="Q68" t="s">
        <v>10434</v>
      </c>
      <c r="R68" s="7">
        <v>33353</v>
      </c>
      <c r="S68" s="8">
        <f t="shared" si="8"/>
        <v>1991</v>
      </c>
      <c r="T68" s="8">
        <v>1991</v>
      </c>
      <c r="U68" s="8">
        <f t="shared" si="9"/>
        <v>31</v>
      </c>
      <c r="V68" s="7">
        <v>33353</v>
      </c>
      <c r="W68" t="s">
        <v>535</v>
      </c>
      <c r="X68" s="2">
        <v>0.375</v>
      </c>
      <c r="Y68" s="6">
        <f t="shared" si="14"/>
        <v>1.0010410827260351E-2</v>
      </c>
      <c r="AA68">
        <v>135194</v>
      </c>
      <c r="AB68">
        <v>24918</v>
      </c>
      <c r="AD68" t="s">
        <v>5</v>
      </c>
      <c r="AE68">
        <v>27</v>
      </c>
      <c r="AF68">
        <v>9</v>
      </c>
      <c r="AH68" t="s">
        <v>10433</v>
      </c>
      <c r="AI68" t="s">
        <v>10432</v>
      </c>
      <c r="AJ68" t="s">
        <v>545</v>
      </c>
      <c r="AK68" t="s">
        <v>10431</v>
      </c>
      <c r="AL68">
        <v>15</v>
      </c>
      <c r="AM68" s="5">
        <f t="shared" si="10"/>
        <v>0.4838709677419355</v>
      </c>
      <c r="AN68" s="4">
        <f t="shared" si="15"/>
        <v>7.3286023133954637E-4</v>
      </c>
      <c r="AO68" s="3"/>
      <c r="AP68">
        <v>0</v>
      </c>
      <c r="AR68" t="s">
        <v>0</v>
      </c>
      <c r="AT68" s="2">
        <v>1.3140000000000001</v>
      </c>
      <c r="AU68" s="1">
        <f t="shared" si="11"/>
        <v>0.7227145648484109</v>
      </c>
      <c r="AV68" s="1">
        <f t="shared" si="12"/>
        <v>0.53716355292999485</v>
      </c>
      <c r="AW68" s="1">
        <f t="shared" si="13"/>
        <v>0.35161254101157874</v>
      </c>
    </row>
    <row r="69" spans="1:49" x14ac:dyDescent="0.2">
      <c r="A69">
        <v>67</v>
      </c>
      <c r="B69" t="s">
        <v>10430</v>
      </c>
      <c r="C69" t="s">
        <v>10429</v>
      </c>
      <c r="D69" t="s">
        <v>10428</v>
      </c>
      <c r="F69" t="s">
        <v>10427</v>
      </c>
      <c r="G69" t="s">
        <v>16</v>
      </c>
      <c r="H69" t="s">
        <v>15</v>
      </c>
      <c r="I69" t="s">
        <v>10426</v>
      </c>
      <c r="J69">
        <v>60016648</v>
      </c>
      <c r="K69" t="s">
        <v>10425</v>
      </c>
      <c r="L69" t="s">
        <v>10234</v>
      </c>
      <c r="M69" t="s">
        <v>326</v>
      </c>
      <c r="N69">
        <v>1</v>
      </c>
      <c r="O69" t="s">
        <v>10424</v>
      </c>
      <c r="P69">
        <v>24487412000</v>
      </c>
      <c r="Q69">
        <v>60016648</v>
      </c>
      <c r="R69" s="7">
        <v>33330</v>
      </c>
      <c r="S69" s="8">
        <f t="shared" si="8"/>
        <v>1991</v>
      </c>
      <c r="T69" s="8">
        <v>1991</v>
      </c>
      <c r="U69" s="8">
        <f t="shared" si="9"/>
        <v>31</v>
      </c>
      <c r="V69" s="7">
        <v>33330</v>
      </c>
      <c r="W69" t="s">
        <v>10423</v>
      </c>
      <c r="X69" s="2" t="s">
        <v>33</v>
      </c>
      <c r="Y69" s="6" t="e">
        <f t="shared" si="14"/>
        <v>#VALUE!</v>
      </c>
      <c r="AA69" t="s">
        <v>10422</v>
      </c>
      <c r="AB69">
        <v>29068</v>
      </c>
      <c r="AD69" t="s">
        <v>5</v>
      </c>
      <c r="AE69">
        <v>55</v>
      </c>
      <c r="AF69" s="9">
        <v>44287</v>
      </c>
      <c r="AH69" t="s">
        <v>10421</v>
      </c>
      <c r="AI69" t="s">
        <v>10420</v>
      </c>
      <c r="AK69" t="s">
        <v>10419</v>
      </c>
      <c r="AL69">
        <v>9</v>
      </c>
      <c r="AM69" s="5">
        <f t="shared" si="10"/>
        <v>0.29032258064516131</v>
      </c>
      <c r="AN69" s="4">
        <f t="shared" si="15"/>
        <v>4.3971613880372783E-4</v>
      </c>
      <c r="AO69" s="3"/>
      <c r="AP69">
        <v>0</v>
      </c>
      <c r="AR69" t="s">
        <v>0</v>
      </c>
      <c r="AT69" s="2" t="s">
        <v>33</v>
      </c>
      <c r="AU69" s="1" t="e">
        <f t="shared" si="11"/>
        <v>#VALUE!</v>
      </c>
      <c r="AV69" s="1" t="e">
        <f t="shared" si="12"/>
        <v>#VALUE!</v>
      </c>
      <c r="AW69" s="1" t="e">
        <f t="shared" si="13"/>
        <v>#VALUE!</v>
      </c>
    </row>
    <row r="70" spans="1:49" x14ac:dyDescent="0.2">
      <c r="A70">
        <v>68</v>
      </c>
      <c r="B70" t="s">
        <v>10418</v>
      </c>
      <c r="C70" t="s">
        <v>10417</v>
      </c>
      <c r="F70" t="s">
        <v>10416</v>
      </c>
      <c r="G70" t="s">
        <v>16</v>
      </c>
      <c r="H70" t="s">
        <v>15</v>
      </c>
      <c r="I70" t="s">
        <v>10415</v>
      </c>
      <c r="J70">
        <v>60025761</v>
      </c>
      <c r="K70" t="s">
        <v>10414</v>
      </c>
      <c r="L70" t="s">
        <v>10413</v>
      </c>
      <c r="M70" t="s">
        <v>1468</v>
      </c>
      <c r="N70">
        <v>3</v>
      </c>
      <c r="O70" t="s">
        <v>10412</v>
      </c>
      <c r="P70" t="s">
        <v>10411</v>
      </c>
      <c r="Q70" t="s">
        <v>10410</v>
      </c>
      <c r="R70" s="7">
        <v>33329</v>
      </c>
      <c r="S70" s="8">
        <f t="shared" si="8"/>
        <v>1991</v>
      </c>
      <c r="T70" s="8">
        <v>1991</v>
      </c>
      <c r="U70" s="8">
        <f t="shared" si="9"/>
        <v>31</v>
      </c>
      <c r="V70" s="7">
        <v>33329</v>
      </c>
      <c r="W70" t="s">
        <v>8874</v>
      </c>
      <c r="X70" s="2">
        <v>0.11700000000000001</v>
      </c>
      <c r="Y70" s="6">
        <f t="shared" si="14"/>
        <v>3.1232481781052297E-3</v>
      </c>
      <c r="AA70">
        <v>2179822</v>
      </c>
      <c r="AB70">
        <v>5300152612</v>
      </c>
      <c r="AC70">
        <v>19930615</v>
      </c>
      <c r="AD70" t="s">
        <v>5</v>
      </c>
      <c r="AE70">
        <v>8</v>
      </c>
      <c r="AF70">
        <v>2</v>
      </c>
      <c r="AH70" t="s">
        <v>10409</v>
      </c>
      <c r="AI70" t="s">
        <v>10408</v>
      </c>
      <c r="AJ70" t="s">
        <v>10407</v>
      </c>
      <c r="AK70" t="s">
        <v>10406</v>
      </c>
      <c r="AL70">
        <v>0</v>
      </c>
      <c r="AM70" s="5">
        <f t="shared" si="10"/>
        <v>0</v>
      </c>
      <c r="AN70" s="4">
        <f t="shared" si="15"/>
        <v>0</v>
      </c>
      <c r="AO70" s="3"/>
      <c r="AP70">
        <v>0</v>
      </c>
      <c r="AR70" t="s">
        <v>0</v>
      </c>
      <c r="AT70" s="2" t="s">
        <v>33</v>
      </c>
      <c r="AU70" s="1">
        <f t="shared" si="11"/>
        <v>0.21862737246736608</v>
      </c>
      <c r="AV70" s="1">
        <f t="shared" si="12"/>
        <v>0.15616240890526148</v>
      </c>
      <c r="AW70" s="1">
        <f t="shared" si="13"/>
        <v>9.3697445343156896E-2</v>
      </c>
    </row>
    <row r="71" spans="1:49" x14ac:dyDescent="0.2">
      <c r="A71">
        <v>69</v>
      </c>
      <c r="B71" t="s">
        <v>10405</v>
      </c>
      <c r="C71" t="s">
        <v>10404</v>
      </c>
      <c r="F71" t="s">
        <v>10403</v>
      </c>
      <c r="G71" t="s">
        <v>16</v>
      </c>
      <c r="H71" t="s">
        <v>15</v>
      </c>
      <c r="I71" t="s">
        <v>10402</v>
      </c>
      <c r="N71">
        <v>3</v>
      </c>
      <c r="O71" t="s">
        <v>10401</v>
      </c>
      <c r="P71" t="s">
        <v>10400</v>
      </c>
      <c r="Q71" t="s">
        <v>757</v>
      </c>
      <c r="R71" s="7">
        <v>33329</v>
      </c>
      <c r="S71" s="8">
        <f t="shared" si="8"/>
        <v>1991</v>
      </c>
      <c r="T71" s="8">
        <v>1991</v>
      </c>
      <c r="U71" s="8">
        <f t="shared" si="9"/>
        <v>31</v>
      </c>
      <c r="V71" s="7">
        <v>33329</v>
      </c>
      <c r="W71" t="s">
        <v>9693</v>
      </c>
      <c r="X71" s="2">
        <v>0.318</v>
      </c>
      <c r="Y71" s="6">
        <f t="shared" si="14"/>
        <v>8.4888283815167786E-3</v>
      </c>
      <c r="AA71">
        <v>338443</v>
      </c>
      <c r="AB71">
        <v>27160</v>
      </c>
      <c r="AC71">
        <v>15739120</v>
      </c>
      <c r="AD71" t="s">
        <v>5</v>
      </c>
      <c r="AE71">
        <v>34</v>
      </c>
      <c r="AF71">
        <v>4</v>
      </c>
      <c r="AH71" t="s">
        <v>10399</v>
      </c>
      <c r="AL71">
        <v>0</v>
      </c>
      <c r="AM71" s="5">
        <f t="shared" si="10"/>
        <v>0</v>
      </c>
      <c r="AN71" s="4">
        <f t="shared" si="15"/>
        <v>0</v>
      </c>
      <c r="AO71" s="3"/>
      <c r="AP71">
        <v>0</v>
      </c>
      <c r="AR71" t="s">
        <v>0</v>
      </c>
      <c r="AT71" s="2">
        <v>0.77</v>
      </c>
      <c r="AU71" s="1">
        <f t="shared" si="11"/>
        <v>0.59421798670617454</v>
      </c>
      <c r="AV71" s="1">
        <f t="shared" si="12"/>
        <v>0.42444141907583893</v>
      </c>
      <c r="AW71" s="1">
        <f t="shared" si="13"/>
        <v>0.25466485144550338</v>
      </c>
    </row>
    <row r="72" spans="1:49" x14ac:dyDescent="0.2">
      <c r="A72">
        <v>70</v>
      </c>
      <c r="B72" t="s">
        <v>10398</v>
      </c>
      <c r="C72" t="s">
        <v>10397</v>
      </c>
      <c r="F72" t="s">
        <v>10396</v>
      </c>
      <c r="G72" t="s">
        <v>16</v>
      </c>
      <c r="H72" t="s">
        <v>15</v>
      </c>
      <c r="I72" t="s">
        <v>10395</v>
      </c>
      <c r="J72">
        <v>60001576</v>
      </c>
      <c r="K72" t="s">
        <v>10394</v>
      </c>
      <c r="L72" t="s">
        <v>9803</v>
      </c>
      <c r="M72" t="s">
        <v>1904</v>
      </c>
      <c r="N72">
        <v>2</v>
      </c>
      <c r="O72" t="s">
        <v>10393</v>
      </c>
      <c r="P72" t="s">
        <v>10392</v>
      </c>
      <c r="Q72" t="s">
        <v>10391</v>
      </c>
      <c r="R72" s="7">
        <v>33329</v>
      </c>
      <c r="S72" s="8">
        <f t="shared" si="8"/>
        <v>1991</v>
      </c>
      <c r="T72" s="8">
        <v>1991</v>
      </c>
      <c r="U72" s="8">
        <f t="shared" si="9"/>
        <v>31</v>
      </c>
      <c r="V72" s="7">
        <v>33329</v>
      </c>
      <c r="W72" t="s">
        <v>398</v>
      </c>
      <c r="X72" s="2">
        <v>0.84299999999999997</v>
      </c>
      <c r="Y72" s="6">
        <f t="shared" si="14"/>
        <v>2.250340353968127E-2</v>
      </c>
      <c r="AA72">
        <v>188158</v>
      </c>
      <c r="AB72">
        <v>15168</v>
      </c>
      <c r="AC72">
        <v>15735117</v>
      </c>
      <c r="AD72" t="s">
        <v>5</v>
      </c>
      <c r="AE72">
        <v>212</v>
      </c>
      <c r="AF72">
        <v>1</v>
      </c>
      <c r="AH72" t="s">
        <v>846</v>
      </c>
      <c r="AI72" t="s">
        <v>10390</v>
      </c>
      <c r="AJ72" t="s">
        <v>10389</v>
      </c>
      <c r="AK72" t="s">
        <v>10388</v>
      </c>
      <c r="AL72">
        <v>16</v>
      </c>
      <c r="AM72" s="5">
        <f t="shared" si="10"/>
        <v>0.5161290322580645</v>
      </c>
      <c r="AN72" s="4">
        <f t="shared" si="15"/>
        <v>7.8171758009551613E-4</v>
      </c>
      <c r="AO72" s="3"/>
      <c r="AP72">
        <v>0</v>
      </c>
      <c r="AR72" t="s">
        <v>0</v>
      </c>
      <c r="AT72" s="2">
        <v>2.694</v>
      </c>
      <c r="AU72" s="1">
        <f t="shared" si="11"/>
        <v>1.5986897751805544</v>
      </c>
      <c r="AV72" s="1">
        <f t="shared" si="12"/>
        <v>1.1642560559888393</v>
      </c>
      <c r="AW72" s="1">
        <f t="shared" si="13"/>
        <v>0.72982233679712427</v>
      </c>
    </row>
    <row r="73" spans="1:49" x14ac:dyDescent="0.2">
      <c r="A73">
        <v>71</v>
      </c>
      <c r="B73" t="s">
        <v>10387</v>
      </c>
      <c r="F73" t="s">
        <v>10386</v>
      </c>
      <c r="G73" t="s">
        <v>16</v>
      </c>
      <c r="H73" t="s">
        <v>15</v>
      </c>
      <c r="I73" t="s">
        <v>9593</v>
      </c>
      <c r="N73">
        <v>1</v>
      </c>
      <c r="O73" t="s">
        <v>10385</v>
      </c>
      <c r="P73">
        <v>6603558268</v>
      </c>
      <c r="R73" s="7">
        <v>33329</v>
      </c>
      <c r="S73" s="8">
        <f t="shared" si="8"/>
        <v>1991</v>
      </c>
      <c r="T73" s="8">
        <v>1991</v>
      </c>
      <c r="U73" s="8">
        <f t="shared" si="9"/>
        <v>31</v>
      </c>
      <c r="V73" s="7">
        <v>33329</v>
      </c>
      <c r="W73" t="s">
        <v>1704</v>
      </c>
      <c r="X73" s="2">
        <v>0.14099999999999999</v>
      </c>
      <c r="Y73" s="6">
        <f t="shared" si="14"/>
        <v>3.7639144710498915E-3</v>
      </c>
      <c r="AA73">
        <v>402508</v>
      </c>
      <c r="AB73">
        <v>20868</v>
      </c>
      <c r="AD73" t="s">
        <v>5</v>
      </c>
      <c r="AE73">
        <v>46</v>
      </c>
      <c r="AF73">
        <v>4</v>
      </c>
      <c r="AH73" t="s">
        <v>10384</v>
      </c>
      <c r="AI73" t="s">
        <v>10383</v>
      </c>
      <c r="AK73" t="s">
        <v>10382</v>
      </c>
      <c r="AL73">
        <v>0</v>
      </c>
      <c r="AM73" s="5">
        <f t="shared" si="10"/>
        <v>0</v>
      </c>
      <c r="AN73" s="4">
        <f t="shared" si="15"/>
        <v>0</v>
      </c>
      <c r="AO73" s="3"/>
      <c r="AP73">
        <v>0</v>
      </c>
      <c r="AR73" t="s">
        <v>0</v>
      </c>
      <c r="AT73" s="2" t="s">
        <v>33</v>
      </c>
      <c r="AU73" s="1">
        <f t="shared" si="11"/>
        <v>0.26347401297349238</v>
      </c>
      <c r="AV73" s="1">
        <f t="shared" si="12"/>
        <v>0.18819572355249459</v>
      </c>
      <c r="AW73" s="1">
        <f t="shared" si="13"/>
        <v>0.11291743413149673</v>
      </c>
    </row>
    <row r="74" spans="1:49" x14ac:dyDescent="0.2">
      <c r="A74">
        <v>72</v>
      </c>
      <c r="B74" t="s">
        <v>10381</v>
      </c>
      <c r="F74" t="s">
        <v>10380</v>
      </c>
      <c r="G74" t="s">
        <v>16</v>
      </c>
      <c r="H74" t="s">
        <v>15</v>
      </c>
      <c r="I74" t="s">
        <v>10379</v>
      </c>
      <c r="N74">
        <v>2</v>
      </c>
      <c r="O74" t="s">
        <v>10378</v>
      </c>
      <c r="P74" t="s">
        <v>10377</v>
      </c>
      <c r="Q74" t="s">
        <v>592</v>
      </c>
      <c r="R74" s="7">
        <v>33329</v>
      </c>
      <c r="S74" s="8">
        <f t="shared" si="8"/>
        <v>1991</v>
      </c>
      <c r="T74" s="8">
        <v>1991</v>
      </c>
      <c r="U74" s="8">
        <f t="shared" si="9"/>
        <v>31</v>
      </c>
      <c r="V74" s="7">
        <v>33329</v>
      </c>
      <c r="W74" t="s">
        <v>1704</v>
      </c>
      <c r="X74" s="2">
        <v>0.14099999999999999</v>
      </c>
      <c r="Y74" s="6">
        <f t="shared" si="14"/>
        <v>3.7639144710498915E-3</v>
      </c>
      <c r="AA74">
        <v>402508</v>
      </c>
      <c r="AB74">
        <v>20868</v>
      </c>
      <c r="AD74" t="s">
        <v>5</v>
      </c>
      <c r="AE74">
        <v>46</v>
      </c>
      <c r="AF74">
        <v>4</v>
      </c>
      <c r="AH74" t="s">
        <v>10376</v>
      </c>
      <c r="AI74" t="s">
        <v>10375</v>
      </c>
      <c r="AK74" t="s">
        <v>10374</v>
      </c>
      <c r="AL74">
        <v>0</v>
      </c>
      <c r="AM74" s="5">
        <f t="shared" si="10"/>
        <v>0</v>
      </c>
      <c r="AN74" s="4">
        <f t="shared" si="15"/>
        <v>0</v>
      </c>
      <c r="AO74" s="3"/>
      <c r="AP74">
        <v>0</v>
      </c>
      <c r="AR74" t="s">
        <v>0</v>
      </c>
      <c r="AT74" s="2" t="s">
        <v>33</v>
      </c>
      <c r="AU74" s="1">
        <f t="shared" si="11"/>
        <v>0.26347401297349238</v>
      </c>
      <c r="AV74" s="1">
        <f t="shared" si="12"/>
        <v>0.18819572355249459</v>
      </c>
      <c r="AW74" s="1">
        <f t="shared" si="13"/>
        <v>0.11291743413149673</v>
      </c>
    </row>
    <row r="75" spans="1:49" x14ac:dyDescent="0.2">
      <c r="A75">
        <v>73</v>
      </c>
      <c r="B75" t="s">
        <v>10373</v>
      </c>
      <c r="F75" t="s">
        <v>10372</v>
      </c>
      <c r="G75" t="s">
        <v>16</v>
      </c>
      <c r="H75" t="s">
        <v>15</v>
      </c>
      <c r="I75" t="s">
        <v>10371</v>
      </c>
      <c r="N75">
        <v>2</v>
      </c>
      <c r="O75" t="s">
        <v>10370</v>
      </c>
      <c r="P75" t="s">
        <v>10369</v>
      </c>
      <c r="Q75" t="s">
        <v>592</v>
      </c>
      <c r="R75" s="7">
        <v>33329</v>
      </c>
      <c r="S75" s="8">
        <f t="shared" si="8"/>
        <v>1991</v>
      </c>
      <c r="T75" s="8">
        <v>1991</v>
      </c>
      <c r="U75" s="8">
        <f t="shared" si="9"/>
        <v>31</v>
      </c>
      <c r="V75" s="7">
        <v>33329</v>
      </c>
      <c r="W75" t="s">
        <v>1704</v>
      </c>
      <c r="X75" s="2">
        <v>0.14099999999999999</v>
      </c>
      <c r="Y75" s="6">
        <f t="shared" si="14"/>
        <v>3.7639144710498915E-3</v>
      </c>
      <c r="AA75">
        <v>402508</v>
      </c>
      <c r="AB75">
        <v>20868</v>
      </c>
      <c r="AD75" t="s">
        <v>5</v>
      </c>
      <c r="AE75">
        <v>46</v>
      </c>
      <c r="AF75">
        <v>4</v>
      </c>
      <c r="AH75" t="s">
        <v>10368</v>
      </c>
      <c r="AI75" t="s">
        <v>10367</v>
      </c>
      <c r="AK75" t="s">
        <v>10366</v>
      </c>
      <c r="AL75">
        <v>0</v>
      </c>
      <c r="AM75" s="5">
        <f t="shared" si="10"/>
        <v>0</v>
      </c>
      <c r="AN75" s="4">
        <f t="shared" si="15"/>
        <v>0</v>
      </c>
      <c r="AO75" s="3"/>
      <c r="AP75">
        <v>0</v>
      </c>
      <c r="AR75" t="s">
        <v>0</v>
      </c>
      <c r="AT75" s="2" t="s">
        <v>33</v>
      </c>
      <c r="AU75" s="1">
        <f t="shared" si="11"/>
        <v>0.26347401297349238</v>
      </c>
      <c r="AV75" s="1">
        <f t="shared" si="12"/>
        <v>0.18819572355249459</v>
      </c>
      <c r="AW75" s="1">
        <f t="shared" si="13"/>
        <v>0.11291743413149673</v>
      </c>
    </row>
    <row r="76" spans="1:49" x14ac:dyDescent="0.2">
      <c r="A76">
        <v>74</v>
      </c>
      <c r="B76" t="s">
        <v>10365</v>
      </c>
      <c r="F76" t="s">
        <v>10364</v>
      </c>
      <c r="G76" t="s">
        <v>16</v>
      </c>
      <c r="H76" t="s">
        <v>15</v>
      </c>
      <c r="I76" t="s">
        <v>10363</v>
      </c>
      <c r="N76">
        <v>4</v>
      </c>
      <c r="O76" t="s">
        <v>10362</v>
      </c>
      <c r="P76" t="s">
        <v>10361</v>
      </c>
      <c r="Q76" t="s">
        <v>1517</v>
      </c>
      <c r="R76" s="7">
        <v>33329</v>
      </c>
      <c r="S76" s="8">
        <f t="shared" si="8"/>
        <v>1991</v>
      </c>
      <c r="T76" s="8">
        <v>1991</v>
      </c>
      <c r="U76" s="8">
        <f t="shared" si="9"/>
        <v>31</v>
      </c>
      <c r="V76" s="7">
        <v>33329</v>
      </c>
      <c r="W76" t="s">
        <v>1704</v>
      </c>
      <c r="X76" s="2">
        <v>0.14099999999999999</v>
      </c>
      <c r="Y76" s="6">
        <f t="shared" si="14"/>
        <v>3.7639144710498915E-3</v>
      </c>
      <c r="AA76">
        <v>402508</v>
      </c>
      <c r="AB76">
        <v>20868</v>
      </c>
      <c r="AD76" t="s">
        <v>5</v>
      </c>
      <c r="AE76">
        <v>46</v>
      </c>
      <c r="AF76">
        <v>4</v>
      </c>
      <c r="AH76" t="s">
        <v>10360</v>
      </c>
      <c r="AI76" t="s">
        <v>10359</v>
      </c>
      <c r="AK76" t="s">
        <v>10358</v>
      </c>
      <c r="AL76">
        <v>0</v>
      </c>
      <c r="AM76" s="5">
        <f t="shared" si="10"/>
        <v>0</v>
      </c>
      <c r="AN76" s="4">
        <f t="shared" si="15"/>
        <v>0</v>
      </c>
      <c r="AO76" s="3"/>
      <c r="AP76">
        <v>0</v>
      </c>
      <c r="AR76" t="s">
        <v>0</v>
      </c>
      <c r="AT76" s="2" t="s">
        <v>33</v>
      </c>
      <c r="AU76" s="1">
        <f t="shared" si="11"/>
        <v>0.26347401297349238</v>
      </c>
      <c r="AV76" s="1">
        <f t="shared" si="12"/>
        <v>0.18819572355249459</v>
      </c>
      <c r="AW76" s="1">
        <f t="shared" si="13"/>
        <v>0.11291743413149673</v>
      </c>
    </row>
    <row r="77" spans="1:49" x14ac:dyDescent="0.2">
      <c r="A77">
        <v>75</v>
      </c>
      <c r="B77" t="s">
        <v>10357</v>
      </c>
      <c r="F77" t="s">
        <v>10356</v>
      </c>
      <c r="G77" t="s">
        <v>16</v>
      </c>
      <c r="H77" t="s">
        <v>15</v>
      </c>
      <c r="I77" t="s">
        <v>10355</v>
      </c>
      <c r="N77">
        <v>2</v>
      </c>
      <c r="O77" t="s">
        <v>10354</v>
      </c>
      <c r="P77" t="s">
        <v>10353</v>
      </c>
      <c r="Q77" t="s">
        <v>592</v>
      </c>
      <c r="R77" s="7">
        <v>33329</v>
      </c>
      <c r="S77" s="8">
        <f t="shared" si="8"/>
        <v>1991</v>
      </c>
      <c r="T77" s="8">
        <v>1991</v>
      </c>
      <c r="U77" s="8">
        <f t="shared" si="9"/>
        <v>31</v>
      </c>
      <c r="V77" s="7">
        <v>33329</v>
      </c>
      <c r="W77" t="s">
        <v>1704</v>
      </c>
      <c r="X77" s="2">
        <v>0.14099999999999999</v>
      </c>
      <c r="Y77" s="6">
        <f t="shared" si="14"/>
        <v>3.7639144710498915E-3</v>
      </c>
      <c r="AA77">
        <v>402508</v>
      </c>
      <c r="AB77">
        <v>20868</v>
      </c>
      <c r="AD77" t="s">
        <v>5</v>
      </c>
      <c r="AE77">
        <v>46</v>
      </c>
      <c r="AF77">
        <v>4</v>
      </c>
      <c r="AH77" t="s">
        <v>10352</v>
      </c>
      <c r="AI77" t="s">
        <v>10351</v>
      </c>
      <c r="AK77" t="s">
        <v>10350</v>
      </c>
      <c r="AL77">
        <v>0</v>
      </c>
      <c r="AM77" s="5">
        <f t="shared" si="10"/>
        <v>0</v>
      </c>
      <c r="AN77" s="4">
        <f t="shared" si="15"/>
        <v>0</v>
      </c>
      <c r="AO77" s="3"/>
      <c r="AP77">
        <v>0</v>
      </c>
      <c r="AR77" t="s">
        <v>0</v>
      </c>
      <c r="AT77" s="2" t="s">
        <v>33</v>
      </c>
      <c r="AU77" s="1">
        <f t="shared" si="11"/>
        <v>0.26347401297349238</v>
      </c>
      <c r="AV77" s="1">
        <f t="shared" si="12"/>
        <v>0.18819572355249459</v>
      </c>
      <c r="AW77" s="1">
        <f t="shared" si="13"/>
        <v>0.11291743413149673</v>
      </c>
    </row>
    <row r="78" spans="1:49" x14ac:dyDescent="0.2">
      <c r="A78">
        <v>76</v>
      </c>
      <c r="B78" t="s">
        <v>10349</v>
      </c>
      <c r="F78" t="s">
        <v>10348</v>
      </c>
      <c r="G78" t="s">
        <v>16</v>
      </c>
      <c r="H78" t="s">
        <v>15</v>
      </c>
      <c r="I78" t="s">
        <v>10347</v>
      </c>
      <c r="J78">
        <v>100872795</v>
      </c>
      <c r="K78" t="s">
        <v>10346</v>
      </c>
      <c r="L78" t="s">
        <v>10345</v>
      </c>
      <c r="M78" t="s">
        <v>57</v>
      </c>
      <c r="N78">
        <v>3</v>
      </c>
      <c r="O78" t="s">
        <v>10344</v>
      </c>
      <c r="P78" t="s">
        <v>10343</v>
      </c>
      <c r="Q78" t="s">
        <v>10342</v>
      </c>
      <c r="R78" s="7">
        <v>33329</v>
      </c>
      <c r="S78" s="8">
        <f t="shared" si="8"/>
        <v>1991</v>
      </c>
      <c r="T78" s="8">
        <v>1991</v>
      </c>
      <c r="U78" s="8">
        <f t="shared" si="9"/>
        <v>31</v>
      </c>
      <c r="V78" s="7">
        <v>33329</v>
      </c>
      <c r="W78" t="s">
        <v>10015</v>
      </c>
      <c r="X78" s="2">
        <v>0.10100000000000001</v>
      </c>
      <c r="Y78" s="6">
        <f t="shared" si="14"/>
        <v>2.6961373161421215E-3</v>
      </c>
      <c r="AA78">
        <v>7452993</v>
      </c>
      <c r="AB78">
        <v>18563</v>
      </c>
      <c r="AD78" t="s">
        <v>5</v>
      </c>
      <c r="AE78">
        <v>30</v>
      </c>
      <c r="AF78">
        <v>4</v>
      </c>
      <c r="AI78" t="s">
        <v>10341</v>
      </c>
      <c r="AK78" t="s">
        <v>10340</v>
      </c>
      <c r="AL78">
        <v>2</v>
      </c>
      <c r="AM78" s="5">
        <f t="shared" si="10"/>
        <v>6.4516129032258063E-2</v>
      </c>
      <c r="AN78" s="4">
        <f t="shared" si="15"/>
        <v>9.7714697511939517E-5</v>
      </c>
      <c r="AO78" s="3"/>
      <c r="AP78">
        <v>0</v>
      </c>
      <c r="AR78" t="s">
        <v>0</v>
      </c>
      <c r="AT78" s="2" t="s">
        <v>33</v>
      </c>
      <c r="AU78" s="1">
        <f t="shared" si="11"/>
        <v>0.19166105305530667</v>
      </c>
      <c r="AV78" s="1">
        <f t="shared" si="12"/>
        <v>0.13969260068270303</v>
      </c>
      <c r="AW78" s="1">
        <f t="shared" si="13"/>
        <v>8.7724148310099406E-2</v>
      </c>
    </row>
    <row r="79" spans="1:49" x14ac:dyDescent="0.2">
      <c r="A79">
        <v>77</v>
      </c>
      <c r="B79" t="s">
        <v>10339</v>
      </c>
      <c r="F79" t="s">
        <v>10338</v>
      </c>
      <c r="G79" t="s">
        <v>16</v>
      </c>
      <c r="H79" t="s">
        <v>15</v>
      </c>
      <c r="I79" t="s">
        <v>10337</v>
      </c>
      <c r="N79">
        <v>2</v>
      </c>
      <c r="O79" t="s">
        <v>10336</v>
      </c>
      <c r="P79" t="s">
        <v>10335</v>
      </c>
      <c r="Q79" t="s">
        <v>592</v>
      </c>
      <c r="R79" s="7">
        <v>33329</v>
      </c>
      <c r="S79" s="8">
        <f t="shared" si="8"/>
        <v>1991</v>
      </c>
      <c r="T79" s="8">
        <v>1991</v>
      </c>
      <c r="U79" s="8">
        <f t="shared" si="9"/>
        <v>31</v>
      </c>
      <c r="V79" s="7">
        <v>33329</v>
      </c>
      <c r="W79" t="s">
        <v>1704</v>
      </c>
      <c r="X79" s="2">
        <v>0.14099999999999999</v>
      </c>
      <c r="Y79" s="6">
        <f t="shared" si="14"/>
        <v>3.7639144710498915E-3</v>
      </c>
      <c r="AA79">
        <v>402508</v>
      </c>
      <c r="AB79">
        <v>20868</v>
      </c>
      <c r="AD79" t="s">
        <v>5</v>
      </c>
      <c r="AE79">
        <v>46</v>
      </c>
      <c r="AF79">
        <v>4</v>
      </c>
      <c r="AH79" t="s">
        <v>2514</v>
      </c>
      <c r="AI79" t="s">
        <v>10334</v>
      </c>
      <c r="AK79" t="s">
        <v>10333</v>
      </c>
      <c r="AL79">
        <v>0</v>
      </c>
      <c r="AM79" s="5">
        <f t="shared" si="10"/>
        <v>0</v>
      </c>
      <c r="AN79" s="4">
        <f t="shared" si="15"/>
        <v>0</v>
      </c>
      <c r="AO79" s="3"/>
      <c r="AP79">
        <v>0</v>
      </c>
      <c r="AR79" t="s">
        <v>0</v>
      </c>
      <c r="AT79" s="2" t="s">
        <v>33</v>
      </c>
      <c r="AU79" s="1">
        <f t="shared" si="11"/>
        <v>0.26347401297349238</v>
      </c>
      <c r="AV79" s="1">
        <f t="shared" si="12"/>
        <v>0.18819572355249459</v>
      </c>
      <c r="AW79" s="1">
        <f t="shared" si="13"/>
        <v>0.11291743413149673</v>
      </c>
    </row>
    <row r="80" spans="1:49" x14ac:dyDescent="0.2">
      <c r="A80">
        <v>78</v>
      </c>
      <c r="B80" t="s">
        <v>10332</v>
      </c>
      <c r="F80" t="s">
        <v>10331</v>
      </c>
      <c r="G80" t="s">
        <v>16</v>
      </c>
      <c r="H80" t="s">
        <v>15</v>
      </c>
      <c r="I80" t="s">
        <v>10330</v>
      </c>
      <c r="J80">
        <v>60026327</v>
      </c>
      <c r="K80" t="s">
        <v>10329</v>
      </c>
      <c r="L80" t="s">
        <v>932</v>
      </c>
      <c r="M80" t="s">
        <v>800</v>
      </c>
      <c r="N80">
        <v>2</v>
      </c>
      <c r="O80" t="s">
        <v>10328</v>
      </c>
      <c r="P80" t="s">
        <v>10327</v>
      </c>
      <c r="Q80" t="s">
        <v>10326</v>
      </c>
      <c r="R80" s="7">
        <v>33329</v>
      </c>
      <c r="S80" s="8">
        <f t="shared" si="8"/>
        <v>1991</v>
      </c>
      <c r="T80" s="8">
        <v>1991</v>
      </c>
      <c r="U80" s="8">
        <f t="shared" si="9"/>
        <v>31</v>
      </c>
      <c r="V80" s="7">
        <v>33329</v>
      </c>
      <c r="W80" t="s">
        <v>10325</v>
      </c>
      <c r="X80" s="2" t="s">
        <v>33</v>
      </c>
      <c r="Y80" s="6" t="e">
        <f t="shared" si="14"/>
        <v>#VALUE!</v>
      </c>
      <c r="AA80">
        <v>385492</v>
      </c>
      <c r="AB80">
        <v>40903</v>
      </c>
      <c r="AD80" t="s">
        <v>5</v>
      </c>
      <c r="AE80">
        <v>26</v>
      </c>
      <c r="AF80">
        <v>8</v>
      </c>
      <c r="AH80" t="s">
        <v>10324</v>
      </c>
      <c r="AI80" t="s">
        <v>10323</v>
      </c>
      <c r="AK80" t="s">
        <v>10322</v>
      </c>
      <c r="AL80">
        <v>0</v>
      </c>
      <c r="AM80" s="5">
        <f t="shared" si="10"/>
        <v>0</v>
      </c>
      <c r="AN80" s="4">
        <f t="shared" si="15"/>
        <v>0</v>
      </c>
      <c r="AO80" s="3"/>
      <c r="AP80">
        <v>0</v>
      </c>
      <c r="AR80" t="s">
        <v>0</v>
      </c>
      <c r="AT80" s="2" t="s">
        <v>33</v>
      </c>
      <c r="AU80" s="1" t="e">
        <f t="shared" si="11"/>
        <v>#VALUE!</v>
      </c>
      <c r="AV80" s="1" t="e">
        <f t="shared" si="12"/>
        <v>#VALUE!</v>
      </c>
      <c r="AW80" s="1" t="e">
        <f t="shared" si="13"/>
        <v>#VALUE!</v>
      </c>
    </row>
    <row r="81" spans="1:49" x14ac:dyDescent="0.2">
      <c r="A81">
        <v>79</v>
      </c>
      <c r="B81" t="s">
        <v>10321</v>
      </c>
      <c r="F81" t="s">
        <v>10320</v>
      </c>
      <c r="G81" t="s">
        <v>16</v>
      </c>
      <c r="H81" t="s">
        <v>15</v>
      </c>
      <c r="I81" t="s">
        <v>10319</v>
      </c>
      <c r="J81">
        <v>60022225</v>
      </c>
      <c r="K81" t="s">
        <v>6665</v>
      </c>
      <c r="L81" t="s">
        <v>5785</v>
      </c>
      <c r="M81" t="s">
        <v>57</v>
      </c>
      <c r="N81">
        <v>2</v>
      </c>
      <c r="O81" t="s">
        <v>10318</v>
      </c>
      <c r="P81" t="s">
        <v>10317</v>
      </c>
      <c r="Q81" t="s">
        <v>6662</v>
      </c>
      <c r="R81" s="7">
        <v>33329</v>
      </c>
      <c r="S81" s="8">
        <f t="shared" si="8"/>
        <v>1991</v>
      </c>
      <c r="T81" s="8">
        <v>1991</v>
      </c>
      <c r="U81" s="8">
        <f t="shared" si="9"/>
        <v>31</v>
      </c>
      <c r="V81" s="7">
        <v>33329</v>
      </c>
      <c r="W81" t="s">
        <v>10316</v>
      </c>
      <c r="X81" s="2">
        <v>0.69799999999999995</v>
      </c>
      <c r="Y81" s="6">
        <f t="shared" si="14"/>
        <v>1.86327113531406E-2</v>
      </c>
      <c r="AA81">
        <v>219142</v>
      </c>
      <c r="AB81">
        <v>29585</v>
      </c>
      <c r="AD81" t="s">
        <v>5</v>
      </c>
      <c r="AE81">
        <v>39</v>
      </c>
      <c r="AF81">
        <v>2</v>
      </c>
      <c r="AH81" t="s">
        <v>10315</v>
      </c>
      <c r="AI81" t="s">
        <v>10314</v>
      </c>
      <c r="AK81" t="s">
        <v>10313</v>
      </c>
      <c r="AL81">
        <v>5</v>
      </c>
      <c r="AM81" s="5">
        <f t="shared" si="10"/>
        <v>0.16129032258064516</v>
      </c>
      <c r="AN81" s="4">
        <f t="shared" si="15"/>
        <v>2.4428674377984877E-4</v>
      </c>
      <c r="AO81" s="3"/>
      <c r="AP81">
        <v>0</v>
      </c>
      <c r="AR81" t="s">
        <v>0</v>
      </c>
      <c r="AT81" s="2">
        <v>1.5309999999999999</v>
      </c>
      <c r="AU81" s="1">
        <f t="shared" si="11"/>
        <v>1.3116183970332376</v>
      </c>
      <c r="AV81" s="1">
        <f t="shared" si="12"/>
        <v>0.94384990484602249</v>
      </c>
      <c r="AW81" s="1">
        <f t="shared" si="13"/>
        <v>0.57608141265880741</v>
      </c>
    </row>
    <row r="82" spans="1:49" x14ac:dyDescent="0.2">
      <c r="A82">
        <v>80</v>
      </c>
      <c r="B82" t="s">
        <v>10312</v>
      </c>
      <c r="C82" t="s">
        <v>10311</v>
      </c>
      <c r="F82" t="s">
        <v>10310</v>
      </c>
      <c r="G82" t="s">
        <v>16</v>
      </c>
      <c r="H82" t="s">
        <v>15</v>
      </c>
      <c r="I82" t="s">
        <v>10309</v>
      </c>
      <c r="J82">
        <v>60005304</v>
      </c>
      <c r="K82" t="s">
        <v>4384</v>
      </c>
      <c r="L82" t="s">
        <v>4383</v>
      </c>
      <c r="M82" t="s">
        <v>57</v>
      </c>
      <c r="N82">
        <v>1</v>
      </c>
      <c r="O82" t="s">
        <v>10308</v>
      </c>
      <c r="P82">
        <v>56234765300</v>
      </c>
      <c r="Q82">
        <v>60005304</v>
      </c>
      <c r="R82" s="7">
        <v>33329</v>
      </c>
      <c r="S82" s="8">
        <f t="shared" si="8"/>
        <v>1991</v>
      </c>
      <c r="T82" s="8">
        <v>1991</v>
      </c>
      <c r="U82" s="8">
        <f t="shared" si="9"/>
        <v>31</v>
      </c>
      <c r="V82" s="7">
        <v>33329</v>
      </c>
      <c r="W82" t="s">
        <v>324</v>
      </c>
      <c r="X82" s="2">
        <v>0.88100000000000001</v>
      </c>
      <c r="Y82" s="6">
        <f t="shared" si="14"/>
        <v>2.3517791836843653E-2</v>
      </c>
      <c r="AA82">
        <v>10459243</v>
      </c>
      <c r="AB82">
        <v>17248</v>
      </c>
      <c r="AD82" t="s">
        <v>5</v>
      </c>
      <c r="AE82">
        <v>33</v>
      </c>
      <c r="AF82">
        <v>2</v>
      </c>
      <c r="AH82">
        <v>49</v>
      </c>
      <c r="AI82" t="s">
        <v>10307</v>
      </c>
      <c r="AK82" t="s">
        <v>10306</v>
      </c>
      <c r="AL82">
        <v>0</v>
      </c>
      <c r="AM82" s="5">
        <f t="shared" si="10"/>
        <v>0</v>
      </c>
      <c r="AN82" s="4">
        <f t="shared" si="15"/>
        <v>0</v>
      </c>
      <c r="AO82" s="3"/>
      <c r="AP82">
        <v>0</v>
      </c>
      <c r="AR82" t="s">
        <v>0</v>
      </c>
      <c r="AT82" s="2" t="s">
        <v>33</v>
      </c>
      <c r="AU82" s="1">
        <f t="shared" si="11"/>
        <v>1.6462454285790555</v>
      </c>
      <c r="AV82" s="1">
        <f t="shared" si="12"/>
        <v>1.1758895918421826</v>
      </c>
      <c r="AW82" s="1">
        <f t="shared" si="13"/>
        <v>0.70553375510530958</v>
      </c>
    </row>
    <row r="83" spans="1:49" x14ac:dyDescent="0.2">
      <c r="A83">
        <v>81</v>
      </c>
      <c r="B83" t="s">
        <v>10305</v>
      </c>
      <c r="F83" t="s">
        <v>10304</v>
      </c>
      <c r="G83" t="s">
        <v>16</v>
      </c>
      <c r="H83" t="s">
        <v>15</v>
      </c>
      <c r="I83" t="s">
        <v>10303</v>
      </c>
      <c r="N83">
        <v>2</v>
      </c>
      <c r="O83" t="s">
        <v>10302</v>
      </c>
      <c r="P83" t="s">
        <v>10301</v>
      </c>
      <c r="Q83" t="s">
        <v>592</v>
      </c>
      <c r="R83" s="7">
        <v>33329</v>
      </c>
      <c r="S83" s="8">
        <f t="shared" si="8"/>
        <v>1991</v>
      </c>
      <c r="T83" s="8">
        <v>1991</v>
      </c>
      <c r="U83" s="8">
        <f t="shared" si="9"/>
        <v>31</v>
      </c>
      <c r="V83" s="7">
        <v>33329</v>
      </c>
      <c r="W83" t="s">
        <v>10300</v>
      </c>
      <c r="X83" s="2" t="s">
        <v>33</v>
      </c>
      <c r="Y83" s="6" t="e">
        <f t="shared" si="14"/>
        <v>#VALUE!</v>
      </c>
      <c r="AA83">
        <v>2650193</v>
      </c>
      <c r="AB83">
        <v>35207</v>
      </c>
      <c r="AD83" t="s">
        <v>5</v>
      </c>
      <c r="AE83">
        <v>9</v>
      </c>
      <c r="AF83">
        <v>2</v>
      </c>
      <c r="AH83" t="s">
        <v>10299</v>
      </c>
      <c r="AI83" t="s">
        <v>10298</v>
      </c>
      <c r="AK83" t="s">
        <v>10297</v>
      </c>
      <c r="AL83">
        <v>5</v>
      </c>
      <c r="AM83" s="5">
        <f t="shared" si="10"/>
        <v>0.16129032258064516</v>
      </c>
      <c r="AN83" s="4">
        <f t="shared" si="15"/>
        <v>2.4428674377984877E-4</v>
      </c>
      <c r="AO83" s="3"/>
      <c r="AP83">
        <v>0</v>
      </c>
      <c r="AR83" t="s">
        <v>0</v>
      </c>
      <c r="AT83" s="2" t="s">
        <v>33</v>
      </c>
      <c r="AU83" s="1" t="e">
        <f t="shared" si="11"/>
        <v>#VALUE!</v>
      </c>
      <c r="AV83" s="1" t="e">
        <f t="shared" si="12"/>
        <v>#VALUE!</v>
      </c>
      <c r="AW83" s="1" t="e">
        <f t="shared" si="13"/>
        <v>#VALUE!</v>
      </c>
    </row>
    <row r="84" spans="1:49" x14ac:dyDescent="0.2">
      <c r="A84">
        <v>82</v>
      </c>
      <c r="B84" t="s">
        <v>10296</v>
      </c>
      <c r="C84" t="s">
        <v>10295</v>
      </c>
      <c r="F84" t="s">
        <v>10294</v>
      </c>
      <c r="G84" t="s">
        <v>16</v>
      </c>
      <c r="H84" t="s">
        <v>15</v>
      </c>
      <c r="I84" t="s">
        <v>10293</v>
      </c>
      <c r="J84">
        <v>60025778</v>
      </c>
      <c r="K84" t="s">
        <v>2395</v>
      </c>
      <c r="L84" t="s">
        <v>2394</v>
      </c>
      <c r="M84" t="s">
        <v>57</v>
      </c>
      <c r="N84">
        <v>2</v>
      </c>
      <c r="O84" t="s">
        <v>7700</v>
      </c>
      <c r="P84" t="s">
        <v>7699</v>
      </c>
      <c r="Q84" t="s">
        <v>3553</v>
      </c>
      <c r="R84" s="7">
        <v>33329</v>
      </c>
      <c r="S84" s="8">
        <f t="shared" si="8"/>
        <v>1991</v>
      </c>
      <c r="T84" s="8">
        <v>1991</v>
      </c>
      <c r="U84" s="8">
        <f t="shared" si="9"/>
        <v>31</v>
      </c>
      <c r="V84" s="7">
        <v>33329</v>
      </c>
      <c r="W84" t="s">
        <v>1807</v>
      </c>
      <c r="X84" s="2">
        <v>1.6519999999999999</v>
      </c>
      <c r="Y84" s="6">
        <f t="shared" si="14"/>
        <v>4.409919649769093E-2</v>
      </c>
      <c r="AA84" t="s">
        <v>1806</v>
      </c>
      <c r="AB84">
        <v>17337</v>
      </c>
      <c r="AD84" t="s">
        <v>5</v>
      </c>
      <c r="AE84">
        <v>39</v>
      </c>
      <c r="AF84">
        <v>4</v>
      </c>
      <c r="AH84" t="s">
        <v>10292</v>
      </c>
      <c r="AI84" t="s">
        <v>10291</v>
      </c>
      <c r="AK84" t="s">
        <v>10290</v>
      </c>
      <c r="AL84">
        <v>80</v>
      </c>
      <c r="AM84" s="5">
        <f t="shared" si="10"/>
        <v>2.5806451612903225</v>
      </c>
      <c r="AN84" s="4">
        <f t="shared" si="15"/>
        <v>3.9085879004775803E-3</v>
      </c>
      <c r="AO84" s="3"/>
      <c r="AP84">
        <v>0</v>
      </c>
      <c r="AR84" t="s">
        <v>0</v>
      </c>
      <c r="AT84" s="2" t="s">
        <v>33</v>
      </c>
      <c r="AU84" s="1">
        <f t="shared" si="11"/>
        <v>3.2042013918526924</v>
      </c>
      <c r="AV84" s="1">
        <f t="shared" si="12"/>
        <v>2.4003892199084254</v>
      </c>
      <c r="AW84" s="1">
        <f t="shared" si="13"/>
        <v>1.5965770479641583</v>
      </c>
    </row>
    <row r="85" spans="1:49" x14ac:dyDescent="0.2">
      <c r="A85">
        <v>83</v>
      </c>
      <c r="B85" t="s">
        <v>10289</v>
      </c>
      <c r="F85" t="s">
        <v>10288</v>
      </c>
      <c r="G85" t="s">
        <v>16</v>
      </c>
      <c r="H85" t="s">
        <v>15</v>
      </c>
      <c r="I85" t="s">
        <v>10287</v>
      </c>
      <c r="J85">
        <v>60022403</v>
      </c>
      <c r="K85" t="s">
        <v>5322</v>
      </c>
      <c r="L85" t="s">
        <v>5321</v>
      </c>
      <c r="M85" t="s">
        <v>4223</v>
      </c>
      <c r="N85">
        <v>1</v>
      </c>
      <c r="O85" t="s">
        <v>10286</v>
      </c>
      <c r="P85">
        <v>7201804629</v>
      </c>
      <c r="Q85">
        <v>60022403</v>
      </c>
      <c r="R85" s="7">
        <v>33329</v>
      </c>
      <c r="S85" s="8">
        <f t="shared" si="8"/>
        <v>1991</v>
      </c>
      <c r="T85" s="8">
        <v>1991</v>
      </c>
      <c r="U85" s="8">
        <f t="shared" si="9"/>
        <v>31</v>
      </c>
      <c r="V85" s="7">
        <v>33329</v>
      </c>
      <c r="W85" t="s">
        <v>10285</v>
      </c>
      <c r="X85" s="2" t="s">
        <v>33</v>
      </c>
      <c r="Y85" s="6" t="e">
        <f t="shared" si="14"/>
        <v>#VALUE!</v>
      </c>
      <c r="AA85">
        <v>9577661</v>
      </c>
      <c r="AB85">
        <v>57443</v>
      </c>
      <c r="AD85" t="s">
        <v>5</v>
      </c>
      <c r="AE85">
        <v>1</v>
      </c>
      <c r="AF85">
        <v>4</v>
      </c>
      <c r="AH85" t="s">
        <v>10284</v>
      </c>
      <c r="AI85" t="s">
        <v>10283</v>
      </c>
      <c r="AK85" t="s">
        <v>10282</v>
      </c>
      <c r="AL85">
        <v>3</v>
      </c>
      <c r="AM85" s="5">
        <f t="shared" si="10"/>
        <v>9.6774193548387094E-2</v>
      </c>
      <c r="AN85" s="4">
        <f t="shared" si="15"/>
        <v>1.4657204626790927E-4</v>
      </c>
      <c r="AO85" s="3"/>
      <c r="AP85">
        <v>0</v>
      </c>
      <c r="AR85" t="s">
        <v>0</v>
      </c>
      <c r="AT85" s="2" t="s">
        <v>33</v>
      </c>
      <c r="AU85" s="1" t="e">
        <f t="shared" si="11"/>
        <v>#VALUE!</v>
      </c>
      <c r="AV85" s="1" t="e">
        <f t="shared" si="12"/>
        <v>#VALUE!</v>
      </c>
      <c r="AW85" s="1" t="e">
        <f t="shared" si="13"/>
        <v>#VALUE!</v>
      </c>
    </row>
    <row r="86" spans="1:49" x14ac:dyDescent="0.2">
      <c r="A86">
        <v>84</v>
      </c>
      <c r="B86" t="s">
        <v>10281</v>
      </c>
      <c r="C86" t="s">
        <v>10280</v>
      </c>
      <c r="D86" t="s">
        <v>10279</v>
      </c>
      <c r="F86" t="s">
        <v>10278</v>
      </c>
      <c r="G86" t="s">
        <v>16</v>
      </c>
      <c r="H86" t="s">
        <v>15</v>
      </c>
      <c r="I86" t="s">
        <v>10277</v>
      </c>
      <c r="J86">
        <v>60027950</v>
      </c>
      <c r="K86" t="s">
        <v>10276</v>
      </c>
      <c r="L86" t="s">
        <v>10275</v>
      </c>
      <c r="M86" t="s">
        <v>57</v>
      </c>
      <c r="N86">
        <v>4</v>
      </c>
      <c r="O86" t="s">
        <v>10274</v>
      </c>
      <c r="P86" t="s">
        <v>10273</v>
      </c>
      <c r="Q86" t="s">
        <v>10272</v>
      </c>
      <c r="R86" s="7">
        <v>33329</v>
      </c>
      <c r="S86" s="8">
        <f t="shared" si="8"/>
        <v>1991</v>
      </c>
      <c r="T86" s="8">
        <v>1991</v>
      </c>
      <c r="U86" s="8">
        <f t="shared" si="9"/>
        <v>31</v>
      </c>
      <c r="V86" s="7">
        <v>33329</v>
      </c>
      <c r="W86" t="s">
        <v>10271</v>
      </c>
      <c r="X86" s="2">
        <v>0.54100000000000004</v>
      </c>
      <c r="Y86" s="6">
        <f t="shared" si="14"/>
        <v>1.4441686020127601E-2</v>
      </c>
      <c r="AA86">
        <v>404039</v>
      </c>
      <c r="AB86">
        <v>26514</v>
      </c>
      <c r="AD86" t="s">
        <v>5</v>
      </c>
      <c r="AE86">
        <v>32</v>
      </c>
      <c r="AF86">
        <v>14</v>
      </c>
      <c r="AH86" t="s">
        <v>10270</v>
      </c>
      <c r="AI86" t="s">
        <v>10269</v>
      </c>
      <c r="AK86" t="s">
        <v>10268</v>
      </c>
      <c r="AL86">
        <v>26</v>
      </c>
      <c r="AM86" s="5">
        <f t="shared" si="10"/>
        <v>0.83870967741935487</v>
      </c>
      <c r="AN86" s="4">
        <f t="shared" si="15"/>
        <v>1.2702910676552137E-3</v>
      </c>
      <c r="AO86" s="3"/>
      <c r="AP86">
        <v>0</v>
      </c>
      <c r="AQ86" t="s">
        <v>126</v>
      </c>
      <c r="AR86" t="s">
        <v>10267</v>
      </c>
      <c r="AS86" t="s">
        <v>124</v>
      </c>
      <c r="AT86" s="2">
        <v>2.415</v>
      </c>
      <c r="AU86" s="1">
        <f t="shared" si="11"/>
        <v>1.0490267534385884</v>
      </c>
      <c r="AV86" s="1">
        <f t="shared" si="12"/>
        <v>0.78559885438914068</v>
      </c>
      <c r="AW86" s="1">
        <f t="shared" si="13"/>
        <v>0.52217095533969293</v>
      </c>
    </row>
    <row r="87" spans="1:49" x14ac:dyDescent="0.2">
      <c r="A87">
        <v>85</v>
      </c>
      <c r="B87" t="s">
        <v>10266</v>
      </c>
      <c r="C87" t="s">
        <v>10265</v>
      </c>
      <c r="F87" t="s">
        <v>10264</v>
      </c>
      <c r="G87" t="s">
        <v>16</v>
      </c>
      <c r="H87" t="s">
        <v>15</v>
      </c>
      <c r="I87" t="s">
        <v>10263</v>
      </c>
      <c r="J87">
        <v>60072285</v>
      </c>
      <c r="K87" t="s">
        <v>9308</v>
      </c>
      <c r="L87" t="s">
        <v>9307</v>
      </c>
      <c r="M87" t="s">
        <v>25</v>
      </c>
      <c r="N87">
        <v>4</v>
      </c>
      <c r="O87" t="s">
        <v>10262</v>
      </c>
      <c r="P87" t="s">
        <v>10261</v>
      </c>
      <c r="Q87" t="s">
        <v>10260</v>
      </c>
      <c r="R87" s="7">
        <v>33329</v>
      </c>
      <c r="S87" s="8">
        <f t="shared" si="8"/>
        <v>1991</v>
      </c>
      <c r="T87" s="8">
        <v>1991</v>
      </c>
      <c r="U87" s="8">
        <f t="shared" si="9"/>
        <v>31</v>
      </c>
      <c r="V87" s="7">
        <v>33329</v>
      </c>
      <c r="W87" t="s">
        <v>10259</v>
      </c>
      <c r="X87" s="2">
        <v>0.30099999999999999</v>
      </c>
      <c r="Y87" s="6">
        <f t="shared" si="14"/>
        <v>8.0350230906809754E-3</v>
      </c>
      <c r="AA87">
        <v>9395075</v>
      </c>
      <c r="AB87">
        <v>14954</v>
      </c>
      <c r="AC87">
        <v>18657125</v>
      </c>
      <c r="AD87" t="s">
        <v>5</v>
      </c>
      <c r="AE87">
        <v>46</v>
      </c>
      <c r="AF87" s="9">
        <v>44289</v>
      </c>
      <c r="AH87" t="s">
        <v>10258</v>
      </c>
      <c r="AI87" t="s">
        <v>10257</v>
      </c>
      <c r="AJ87" t="s">
        <v>10256</v>
      </c>
      <c r="AK87" t="s">
        <v>10255</v>
      </c>
      <c r="AL87">
        <v>26</v>
      </c>
      <c r="AM87" s="5">
        <f t="shared" si="10"/>
        <v>0.83870967741935487</v>
      </c>
      <c r="AN87" s="4">
        <f t="shared" si="15"/>
        <v>1.2702910676552137E-3</v>
      </c>
      <c r="AO87" s="3"/>
      <c r="AP87">
        <v>1</v>
      </c>
      <c r="AR87" t="s">
        <v>0</v>
      </c>
      <c r="AT87" s="2" t="s">
        <v>33</v>
      </c>
      <c r="AU87" s="1">
        <f t="shared" si="11"/>
        <v>0.60056034837732464</v>
      </c>
      <c r="AV87" s="1">
        <f t="shared" si="12"/>
        <v>0.46526570791680949</v>
      </c>
      <c r="AW87" s="1">
        <f t="shared" si="13"/>
        <v>0.32997106745629423</v>
      </c>
    </row>
    <row r="88" spans="1:49" x14ac:dyDescent="0.2">
      <c r="A88">
        <v>86</v>
      </c>
      <c r="B88" t="s">
        <v>10254</v>
      </c>
      <c r="C88" t="s">
        <v>10253</v>
      </c>
      <c r="D88" t="s">
        <v>10252</v>
      </c>
      <c r="F88" t="s">
        <v>10251</v>
      </c>
      <c r="G88" t="s">
        <v>16</v>
      </c>
      <c r="H88" t="s">
        <v>15</v>
      </c>
      <c r="I88" t="s">
        <v>10250</v>
      </c>
      <c r="J88">
        <v>60026827</v>
      </c>
      <c r="K88" t="s">
        <v>10249</v>
      </c>
      <c r="L88" t="s">
        <v>4281</v>
      </c>
      <c r="M88" t="s">
        <v>57</v>
      </c>
      <c r="N88">
        <v>2</v>
      </c>
      <c r="O88" t="s">
        <v>10248</v>
      </c>
      <c r="P88" t="s">
        <v>10247</v>
      </c>
      <c r="Q88" t="s">
        <v>10246</v>
      </c>
      <c r="R88" s="7">
        <v>33326</v>
      </c>
      <c r="S88" s="8">
        <f t="shared" si="8"/>
        <v>1991</v>
      </c>
      <c r="T88" s="8">
        <v>1991</v>
      </c>
      <c r="U88" s="8">
        <f t="shared" si="9"/>
        <v>31</v>
      </c>
      <c r="V88" s="7">
        <v>33326</v>
      </c>
      <c r="W88" t="s">
        <v>9961</v>
      </c>
      <c r="X88" s="2">
        <v>1.59</v>
      </c>
      <c r="Y88" s="6">
        <f t="shared" si="14"/>
        <v>4.2444141907583888E-2</v>
      </c>
      <c r="AA88">
        <v>52728</v>
      </c>
      <c r="AB88">
        <v>16791</v>
      </c>
      <c r="AD88" t="s">
        <v>5</v>
      </c>
      <c r="AE88">
        <v>1057</v>
      </c>
      <c r="AF88">
        <v>2</v>
      </c>
      <c r="AH88" t="s">
        <v>10245</v>
      </c>
      <c r="AI88" t="s">
        <v>10244</v>
      </c>
      <c r="AJ88" t="s">
        <v>10243</v>
      </c>
      <c r="AK88" t="s">
        <v>10242</v>
      </c>
      <c r="AL88">
        <v>18</v>
      </c>
      <c r="AM88" s="5">
        <f t="shared" si="10"/>
        <v>0.58064516129032262</v>
      </c>
      <c r="AN88" s="4">
        <f t="shared" si="15"/>
        <v>8.7943227760745566E-4</v>
      </c>
      <c r="AO88" s="3"/>
      <c r="AP88">
        <v>0</v>
      </c>
      <c r="AQ88" t="s">
        <v>508</v>
      </c>
      <c r="AR88" t="s">
        <v>10241</v>
      </c>
      <c r="AS88" t="s">
        <v>507</v>
      </c>
      <c r="AT88" s="2" t="s">
        <v>33</v>
      </c>
      <c r="AU88" s="1">
        <f t="shared" si="11"/>
        <v>2.9974729018590955</v>
      </c>
      <c r="AV88" s="1">
        <f t="shared" si="12"/>
        <v>2.1661787092595675</v>
      </c>
      <c r="AW88" s="1">
        <f t="shared" si="13"/>
        <v>1.3348845166600385</v>
      </c>
    </row>
    <row r="89" spans="1:49" x14ac:dyDescent="0.2">
      <c r="A89">
        <v>87</v>
      </c>
      <c r="B89" t="s">
        <v>10240</v>
      </c>
      <c r="C89" t="s">
        <v>10239</v>
      </c>
      <c r="D89" t="s">
        <v>10238</v>
      </c>
      <c r="E89">
        <v>2013332</v>
      </c>
      <c r="F89" t="s">
        <v>10237</v>
      </c>
      <c r="G89" t="s">
        <v>16</v>
      </c>
      <c r="H89" t="s">
        <v>15</v>
      </c>
      <c r="I89" t="s">
        <v>10236</v>
      </c>
      <c r="J89">
        <v>60021116</v>
      </c>
      <c r="K89" t="s">
        <v>10235</v>
      </c>
      <c r="L89" t="s">
        <v>10234</v>
      </c>
      <c r="M89" t="s">
        <v>326</v>
      </c>
      <c r="N89">
        <v>2</v>
      </c>
      <c r="O89" t="s">
        <v>10233</v>
      </c>
      <c r="P89" t="s">
        <v>10232</v>
      </c>
      <c r="Q89" t="s">
        <v>10231</v>
      </c>
      <c r="R89" s="7">
        <v>33322</v>
      </c>
      <c r="S89" s="8">
        <f t="shared" si="8"/>
        <v>1991</v>
      </c>
      <c r="T89" s="8">
        <v>1991</v>
      </c>
      <c r="U89" s="8">
        <f t="shared" si="9"/>
        <v>31</v>
      </c>
      <c r="V89" s="7">
        <v>33322</v>
      </c>
      <c r="W89" t="s">
        <v>1794</v>
      </c>
      <c r="X89" s="2">
        <v>1.593</v>
      </c>
      <c r="Y89" s="6">
        <f t="shared" si="14"/>
        <v>4.2524225194201973E-2</v>
      </c>
      <c r="AA89">
        <v>145793</v>
      </c>
      <c r="AB89">
        <v>17481</v>
      </c>
      <c r="AD89" t="s">
        <v>5</v>
      </c>
      <c r="AE89">
        <v>280</v>
      </c>
      <c r="AF89">
        <v>2</v>
      </c>
      <c r="AH89" t="s">
        <v>10230</v>
      </c>
      <c r="AI89" t="s">
        <v>10229</v>
      </c>
      <c r="AJ89" t="s">
        <v>10228</v>
      </c>
      <c r="AK89" t="s">
        <v>10227</v>
      </c>
      <c r="AL89">
        <v>15</v>
      </c>
      <c r="AM89" s="5">
        <f t="shared" si="10"/>
        <v>0.4838709677419355</v>
      </c>
      <c r="AN89" s="4">
        <f t="shared" si="15"/>
        <v>7.3286023133954637E-4</v>
      </c>
      <c r="AO89" s="3"/>
      <c r="AP89">
        <v>0</v>
      </c>
      <c r="AR89">
        <v>1302064</v>
      </c>
      <c r="AS89" t="s">
        <v>10226</v>
      </c>
      <c r="AT89" s="2">
        <v>4.1239999999999997</v>
      </c>
      <c r="AU89" s="1">
        <f t="shared" si="11"/>
        <v>2.9986815705343242</v>
      </c>
      <c r="AV89" s="1">
        <f t="shared" si="12"/>
        <v>2.1628542712770757</v>
      </c>
      <c r="AW89" s="1">
        <f t="shared" si="13"/>
        <v>1.3270269720198273</v>
      </c>
    </row>
    <row r="90" spans="1:49" x14ac:dyDescent="0.2">
      <c r="A90">
        <v>88</v>
      </c>
      <c r="B90" t="s">
        <v>10225</v>
      </c>
      <c r="C90" t="s">
        <v>10224</v>
      </c>
      <c r="D90" t="s">
        <v>10223</v>
      </c>
      <c r="E90">
        <v>2013317</v>
      </c>
      <c r="F90" t="s">
        <v>10222</v>
      </c>
      <c r="G90" t="s">
        <v>16</v>
      </c>
      <c r="H90" t="s">
        <v>15</v>
      </c>
      <c r="I90" t="s">
        <v>10221</v>
      </c>
      <c r="J90" t="s">
        <v>10220</v>
      </c>
      <c r="K90" t="s">
        <v>10219</v>
      </c>
      <c r="L90" t="s">
        <v>10218</v>
      </c>
      <c r="M90" t="s">
        <v>4074</v>
      </c>
      <c r="N90">
        <v>6</v>
      </c>
      <c r="O90" t="s">
        <v>10217</v>
      </c>
      <c r="P90" t="s">
        <v>10216</v>
      </c>
      <c r="Q90" t="s">
        <v>10215</v>
      </c>
      <c r="R90" s="7">
        <v>33322</v>
      </c>
      <c r="S90" s="8">
        <f t="shared" si="8"/>
        <v>1991</v>
      </c>
      <c r="T90" s="8">
        <v>1991</v>
      </c>
      <c r="U90" s="8">
        <f t="shared" si="9"/>
        <v>31</v>
      </c>
      <c r="V90" s="7">
        <v>33322</v>
      </c>
      <c r="W90" t="s">
        <v>1794</v>
      </c>
      <c r="X90" s="2">
        <v>1.593</v>
      </c>
      <c r="Y90" s="6">
        <f t="shared" si="14"/>
        <v>4.2524225194201973E-2</v>
      </c>
      <c r="AA90">
        <v>145793</v>
      </c>
      <c r="AB90">
        <v>17481</v>
      </c>
      <c r="AD90" t="s">
        <v>5</v>
      </c>
      <c r="AE90">
        <v>280</v>
      </c>
      <c r="AF90">
        <v>2</v>
      </c>
      <c r="AH90" t="s">
        <v>10214</v>
      </c>
      <c r="AI90" t="s">
        <v>10213</v>
      </c>
      <c r="AJ90" t="s">
        <v>10212</v>
      </c>
      <c r="AK90" t="s">
        <v>10211</v>
      </c>
      <c r="AL90">
        <v>46</v>
      </c>
      <c r="AM90" s="5">
        <f t="shared" si="10"/>
        <v>1.4838709677419355</v>
      </c>
      <c r="AN90" s="4">
        <f t="shared" si="15"/>
        <v>2.247438042774609E-3</v>
      </c>
      <c r="AO90" s="3"/>
      <c r="AP90">
        <v>0</v>
      </c>
      <c r="AR90" t="s">
        <v>0</v>
      </c>
      <c r="AT90" s="2">
        <v>4.1239999999999997</v>
      </c>
      <c r="AU90" s="1">
        <f t="shared" si="11"/>
        <v>3.0441189048773762</v>
      </c>
      <c r="AV90" s="1">
        <f t="shared" si="12"/>
        <v>2.2385831618488292</v>
      </c>
      <c r="AW90" s="1">
        <f t="shared" si="13"/>
        <v>1.4330474188202817</v>
      </c>
    </row>
    <row r="91" spans="1:49" x14ac:dyDescent="0.2">
      <c r="A91">
        <v>89</v>
      </c>
      <c r="B91" t="s">
        <v>10210</v>
      </c>
      <c r="C91" t="s">
        <v>10209</v>
      </c>
      <c r="F91" t="s">
        <v>10208</v>
      </c>
      <c r="G91" t="s">
        <v>16</v>
      </c>
      <c r="H91" t="s">
        <v>15</v>
      </c>
      <c r="I91" t="s">
        <v>10207</v>
      </c>
      <c r="J91" t="s">
        <v>10206</v>
      </c>
      <c r="K91" t="s">
        <v>10205</v>
      </c>
      <c r="L91" t="s">
        <v>10204</v>
      </c>
      <c r="M91" t="s">
        <v>102</v>
      </c>
      <c r="N91">
        <v>4</v>
      </c>
      <c r="O91" t="s">
        <v>10203</v>
      </c>
      <c r="P91" t="s">
        <v>10202</v>
      </c>
      <c r="Q91" t="s">
        <v>10201</v>
      </c>
      <c r="R91" s="7">
        <v>33311</v>
      </c>
      <c r="S91" s="8">
        <f t="shared" si="8"/>
        <v>1991</v>
      </c>
      <c r="T91" s="8">
        <v>1991</v>
      </c>
      <c r="U91" s="8">
        <f t="shared" si="9"/>
        <v>31</v>
      </c>
      <c r="V91" s="7">
        <v>33311</v>
      </c>
      <c r="W91" t="s">
        <v>535</v>
      </c>
      <c r="X91" s="2">
        <v>0.375</v>
      </c>
      <c r="Y91" s="6">
        <f t="shared" si="14"/>
        <v>1.0010410827260351E-2</v>
      </c>
      <c r="AA91">
        <v>135194</v>
      </c>
      <c r="AB91">
        <v>24918</v>
      </c>
      <c r="AD91" t="s">
        <v>5</v>
      </c>
      <c r="AE91">
        <v>27</v>
      </c>
      <c r="AF91">
        <v>6</v>
      </c>
      <c r="AH91" t="s">
        <v>10200</v>
      </c>
      <c r="AI91" t="s">
        <v>10199</v>
      </c>
      <c r="AJ91" t="s">
        <v>10198</v>
      </c>
      <c r="AK91" t="s">
        <v>10197</v>
      </c>
      <c r="AL91">
        <v>0</v>
      </c>
      <c r="AM91" s="5">
        <f t="shared" si="10"/>
        <v>0</v>
      </c>
      <c r="AN91" s="4">
        <f t="shared" si="15"/>
        <v>0</v>
      </c>
      <c r="AO91" s="3"/>
      <c r="AP91">
        <v>0</v>
      </c>
      <c r="AR91" t="s">
        <v>0</v>
      </c>
      <c r="AT91" s="2">
        <v>1.3140000000000001</v>
      </c>
      <c r="AU91" s="1">
        <f t="shared" si="11"/>
        <v>0.70072875790822453</v>
      </c>
      <c r="AV91" s="1">
        <f t="shared" si="12"/>
        <v>0.5005205413630176</v>
      </c>
      <c r="AW91" s="1">
        <f t="shared" si="13"/>
        <v>0.30031232481781051</v>
      </c>
    </row>
    <row r="92" spans="1:49" x14ac:dyDescent="0.2">
      <c r="A92">
        <v>90</v>
      </c>
      <c r="B92" t="s">
        <v>10196</v>
      </c>
      <c r="C92" t="s">
        <v>10195</v>
      </c>
      <c r="F92" t="s">
        <v>10194</v>
      </c>
      <c r="G92" t="s">
        <v>16</v>
      </c>
      <c r="H92" t="s">
        <v>15</v>
      </c>
      <c r="I92" t="s">
        <v>10193</v>
      </c>
      <c r="J92" t="s">
        <v>10192</v>
      </c>
      <c r="K92" t="s">
        <v>10191</v>
      </c>
      <c r="L92" t="s">
        <v>10190</v>
      </c>
      <c r="M92" t="s">
        <v>133</v>
      </c>
      <c r="N92">
        <v>3</v>
      </c>
      <c r="O92" t="s">
        <v>10189</v>
      </c>
      <c r="P92" t="s">
        <v>10188</v>
      </c>
      <c r="Q92" t="s">
        <v>10187</v>
      </c>
      <c r="R92" s="7">
        <v>33311</v>
      </c>
      <c r="S92" s="8">
        <f t="shared" si="8"/>
        <v>1991</v>
      </c>
      <c r="T92" s="8">
        <v>1991</v>
      </c>
      <c r="U92" s="8">
        <f t="shared" si="9"/>
        <v>31</v>
      </c>
      <c r="V92" s="7">
        <v>33311</v>
      </c>
      <c r="W92" t="s">
        <v>535</v>
      </c>
      <c r="X92" s="2">
        <v>0.375</v>
      </c>
      <c r="Y92" s="6">
        <f t="shared" si="14"/>
        <v>1.0010410827260351E-2</v>
      </c>
      <c r="AA92">
        <v>135194</v>
      </c>
      <c r="AB92">
        <v>24918</v>
      </c>
      <c r="AD92" t="s">
        <v>5</v>
      </c>
      <c r="AE92">
        <v>27</v>
      </c>
      <c r="AF92">
        <v>6</v>
      </c>
      <c r="AH92" t="s">
        <v>10186</v>
      </c>
      <c r="AI92" t="s">
        <v>10185</v>
      </c>
      <c r="AJ92" t="s">
        <v>9469</v>
      </c>
      <c r="AK92" t="s">
        <v>10184</v>
      </c>
      <c r="AL92">
        <v>6</v>
      </c>
      <c r="AM92" s="5">
        <f t="shared" si="10"/>
        <v>0.19354838709677419</v>
      </c>
      <c r="AN92" s="4">
        <f t="shared" si="15"/>
        <v>2.9314409253581854E-4</v>
      </c>
      <c r="AO92" s="3"/>
      <c r="AP92">
        <v>0</v>
      </c>
      <c r="AR92" t="s">
        <v>0</v>
      </c>
      <c r="AT92" s="2">
        <v>1.3140000000000001</v>
      </c>
      <c r="AU92" s="1">
        <f t="shared" si="11"/>
        <v>0.70952308068429915</v>
      </c>
      <c r="AV92" s="1">
        <f t="shared" si="12"/>
        <v>0.51517774598980848</v>
      </c>
      <c r="AW92" s="1">
        <f t="shared" si="13"/>
        <v>0.32083241129531781</v>
      </c>
    </row>
    <row r="93" spans="1:49" x14ac:dyDescent="0.2">
      <c r="A93">
        <v>91</v>
      </c>
      <c r="B93" t="s">
        <v>10183</v>
      </c>
      <c r="C93" t="s">
        <v>10182</v>
      </c>
      <c r="F93" t="s">
        <v>10181</v>
      </c>
      <c r="G93" t="s">
        <v>16</v>
      </c>
      <c r="H93" t="s">
        <v>15</v>
      </c>
      <c r="I93" t="s">
        <v>10180</v>
      </c>
      <c r="J93">
        <v>60026717</v>
      </c>
      <c r="K93" t="s">
        <v>10179</v>
      </c>
      <c r="L93" t="s">
        <v>10178</v>
      </c>
      <c r="M93" t="s">
        <v>57</v>
      </c>
      <c r="N93">
        <v>3</v>
      </c>
      <c r="O93" t="s">
        <v>10177</v>
      </c>
      <c r="P93" t="s">
        <v>10176</v>
      </c>
      <c r="Q93" t="s">
        <v>10175</v>
      </c>
      <c r="R93" s="7">
        <v>33311</v>
      </c>
      <c r="S93" s="8">
        <f t="shared" si="8"/>
        <v>1991</v>
      </c>
      <c r="T93" s="8">
        <v>1991</v>
      </c>
      <c r="U93" s="8">
        <f t="shared" si="9"/>
        <v>31</v>
      </c>
      <c r="V93" s="7">
        <v>33311</v>
      </c>
      <c r="W93" t="s">
        <v>535</v>
      </c>
      <c r="X93" s="2">
        <v>0.375</v>
      </c>
      <c r="Y93" s="6">
        <f t="shared" si="14"/>
        <v>1.0010410827260351E-2</v>
      </c>
      <c r="AA93">
        <v>135194</v>
      </c>
      <c r="AB93">
        <v>24918</v>
      </c>
      <c r="AD93" t="s">
        <v>5</v>
      </c>
      <c r="AE93">
        <v>27</v>
      </c>
      <c r="AF93">
        <v>6</v>
      </c>
      <c r="AH93" t="s">
        <v>10174</v>
      </c>
      <c r="AI93" t="s">
        <v>10173</v>
      </c>
      <c r="AJ93" t="s">
        <v>10172</v>
      </c>
      <c r="AK93" t="s">
        <v>10171</v>
      </c>
      <c r="AL93">
        <v>6</v>
      </c>
      <c r="AM93" s="5">
        <f t="shared" si="10"/>
        <v>0.19354838709677419</v>
      </c>
      <c r="AN93" s="4">
        <f t="shared" si="15"/>
        <v>2.9314409253581854E-4</v>
      </c>
      <c r="AO93" s="3"/>
      <c r="AP93">
        <v>0</v>
      </c>
      <c r="AR93" t="s">
        <v>0</v>
      </c>
      <c r="AT93" s="2">
        <v>1.3140000000000001</v>
      </c>
      <c r="AU93" s="1">
        <f t="shared" si="11"/>
        <v>0.70952308068429915</v>
      </c>
      <c r="AV93" s="1">
        <f t="shared" si="12"/>
        <v>0.51517774598980848</v>
      </c>
      <c r="AW93" s="1">
        <f t="shared" si="13"/>
        <v>0.32083241129531781</v>
      </c>
    </row>
    <row r="94" spans="1:49" x14ac:dyDescent="0.2">
      <c r="A94">
        <v>92</v>
      </c>
      <c r="B94" t="s">
        <v>10170</v>
      </c>
      <c r="C94" t="s">
        <v>10169</v>
      </c>
      <c r="F94" t="s">
        <v>10168</v>
      </c>
      <c r="G94" t="s">
        <v>16</v>
      </c>
      <c r="H94" t="s">
        <v>15</v>
      </c>
      <c r="I94" t="s">
        <v>10167</v>
      </c>
      <c r="J94" t="s">
        <v>10166</v>
      </c>
      <c r="K94" t="s">
        <v>10165</v>
      </c>
      <c r="L94" t="s">
        <v>10164</v>
      </c>
      <c r="M94" t="s">
        <v>133</v>
      </c>
      <c r="N94">
        <v>2</v>
      </c>
      <c r="O94" t="s">
        <v>10163</v>
      </c>
      <c r="P94" t="s">
        <v>10162</v>
      </c>
      <c r="Q94" t="s">
        <v>10161</v>
      </c>
      <c r="R94" s="7">
        <v>33298</v>
      </c>
      <c r="S94" s="8">
        <f t="shared" si="8"/>
        <v>1991</v>
      </c>
      <c r="T94" s="8">
        <v>1991</v>
      </c>
      <c r="U94" s="8">
        <f t="shared" si="9"/>
        <v>31</v>
      </c>
      <c r="V94" s="7">
        <v>33298</v>
      </c>
      <c r="W94" t="s">
        <v>10160</v>
      </c>
      <c r="X94" s="2">
        <v>0.58299999999999996</v>
      </c>
      <c r="Y94" s="6">
        <f t="shared" si="14"/>
        <v>1.5562852032780758E-2</v>
      </c>
      <c r="AA94">
        <v>7342101</v>
      </c>
      <c r="AB94">
        <v>28596</v>
      </c>
      <c r="AC94">
        <v>15208559</v>
      </c>
      <c r="AD94" t="s">
        <v>5</v>
      </c>
      <c r="AE94">
        <v>9</v>
      </c>
      <c r="AF94">
        <v>2</v>
      </c>
      <c r="AH94" t="s">
        <v>9505</v>
      </c>
      <c r="AI94" t="s">
        <v>10159</v>
      </c>
      <c r="AK94" t="s">
        <v>10158</v>
      </c>
      <c r="AL94">
        <v>2</v>
      </c>
      <c r="AM94" s="5">
        <f t="shared" si="10"/>
        <v>6.4516129032258063E-2</v>
      </c>
      <c r="AN94" s="4">
        <f t="shared" si="15"/>
        <v>9.7714697511939517E-5</v>
      </c>
      <c r="AO94" s="3"/>
      <c r="AP94">
        <v>0</v>
      </c>
      <c r="AR94" t="s">
        <v>0</v>
      </c>
      <c r="AT94" s="2" t="s">
        <v>33</v>
      </c>
      <c r="AU94" s="1">
        <f t="shared" si="11"/>
        <v>1.092331083220011</v>
      </c>
      <c r="AV94" s="1">
        <f t="shared" si="12"/>
        <v>0.78302833651463488</v>
      </c>
      <c r="AW94" s="1">
        <f t="shared" si="13"/>
        <v>0.4737255898092585</v>
      </c>
    </row>
    <row r="95" spans="1:49" x14ac:dyDescent="0.2">
      <c r="A95">
        <v>93</v>
      </c>
      <c r="B95" t="s">
        <v>10157</v>
      </c>
      <c r="C95" t="s">
        <v>10156</v>
      </c>
      <c r="F95" t="s">
        <v>10155</v>
      </c>
      <c r="G95" t="s">
        <v>16</v>
      </c>
      <c r="H95" t="s">
        <v>15</v>
      </c>
      <c r="I95" t="s">
        <v>10154</v>
      </c>
      <c r="J95" t="s">
        <v>10153</v>
      </c>
      <c r="K95" t="s">
        <v>10152</v>
      </c>
      <c r="L95" t="s">
        <v>10151</v>
      </c>
      <c r="M95" t="s">
        <v>10150</v>
      </c>
      <c r="N95">
        <v>3</v>
      </c>
      <c r="O95" t="s">
        <v>10149</v>
      </c>
      <c r="P95" t="s">
        <v>10148</v>
      </c>
      <c r="Q95" t="s">
        <v>10147</v>
      </c>
      <c r="R95" s="7">
        <v>33298</v>
      </c>
      <c r="S95" s="8">
        <f t="shared" si="8"/>
        <v>1991</v>
      </c>
      <c r="T95" s="8">
        <v>1991</v>
      </c>
      <c r="U95" s="8">
        <f t="shared" si="9"/>
        <v>31</v>
      </c>
      <c r="V95" s="7">
        <v>33298</v>
      </c>
      <c r="W95" t="s">
        <v>10146</v>
      </c>
      <c r="X95" s="2" t="s">
        <v>33</v>
      </c>
      <c r="Y95" s="6" t="e">
        <f t="shared" si="14"/>
        <v>#VALUE!</v>
      </c>
      <c r="AA95">
        <v>2534134</v>
      </c>
      <c r="AB95">
        <v>24171</v>
      </c>
      <c r="AC95">
        <v>9737103</v>
      </c>
      <c r="AD95" t="s">
        <v>5</v>
      </c>
      <c r="AE95">
        <v>103</v>
      </c>
      <c r="AF95">
        <v>3</v>
      </c>
      <c r="AH95" t="s">
        <v>10145</v>
      </c>
      <c r="AI95" t="s">
        <v>10144</v>
      </c>
      <c r="AJ95" t="s">
        <v>10143</v>
      </c>
      <c r="AK95" t="s">
        <v>10142</v>
      </c>
      <c r="AL95">
        <v>0</v>
      </c>
      <c r="AM95" s="5">
        <f t="shared" si="10"/>
        <v>0</v>
      </c>
      <c r="AN95" s="4">
        <f t="shared" si="15"/>
        <v>0</v>
      </c>
      <c r="AO95" s="3"/>
      <c r="AP95">
        <v>0</v>
      </c>
      <c r="AR95" t="s">
        <v>0</v>
      </c>
      <c r="AT95" s="2" t="s">
        <v>33</v>
      </c>
      <c r="AU95" s="1" t="e">
        <f t="shared" si="11"/>
        <v>#VALUE!</v>
      </c>
      <c r="AV95" s="1" t="e">
        <f t="shared" si="12"/>
        <v>#VALUE!</v>
      </c>
      <c r="AW95" s="1" t="e">
        <f t="shared" si="13"/>
        <v>#VALUE!</v>
      </c>
    </row>
    <row r="96" spans="1:49" x14ac:dyDescent="0.2">
      <c r="A96">
        <v>94</v>
      </c>
      <c r="B96" t="s">
        <v>10141</v>
      </c>
      <c r="C96" t="s">
        <v>10140</v>
      </c>
      <c r="F96" t="s">
        <v>10139</v>
      </c>
      <c r="G96" t="s">
        <v>16</v>
      </c>
      <c r="H96" t="s">
        <v>15</v>
      </c>
      <c r="I96" t="s">
        <v>10138</v>
      </c>
      <c r="N96">
        <v>1</v>
      </c>
      <c r="O96" t="s">
        <v>10137</v>
      </c>
      <c r="P96">
        <v>7006601659</v>
      </c>
      <c r="R96" s="7">
        <v>33298</v>
      </c>
      <c r="S96" s="8">
        <f t="shared" si="8"/>
        <v>1991</v>
      </c>
      <c r="T96" s="8">
        <v>1991</v>
      </c>
      <c r="U96" s="8">
        <f t="shared" si="9"/>
        <v>31</v>
      </c>
      <c r="V96" s="7">
        <v>33298</v>
      </c>
      <c r="W96" t="s">
        <v>9661</v>
      </c>
      <c r="X96" s="2">
        <v>0.14899999999999999</v>
      </c>
      <c r="Y96" s="6">
        <f t="shared" si="14"/>
        <v>3.977469902031446E-3</v>
      </c>
      <c r="AA96">
        <v>5431972</v>
      </c>
      <c r="AB96">
        <v>15425</v>
      </c>
      <c r="AC96">
        <v>15738906</v>
      </c>
      <c r="AD96" t="s">
        <v>5</v>
      </c>
      <c r="AE96">
        <v>34</v>
      </c>
      <c r="AF96">
        <v>3</v>
      </c>
      <c r="AH96" t="s">
        <v>10136</v>
      </c>
      <c r="AL96">
        <v>0</v>
      </c>
      <c r="AM96" s="5">
        <f t="shared" si="10"/>
        <v>0</v>
      </c>
      <c r="AN96" s="4">
        <f t="shared" si="15"/>
        <v>0</v>
      </c>
      <c r="AO96" s="3"/>
      <c r="AP96">
        <v>0</v>
      </c>
      <c r="AR96" t="s">
        <v>0</v>
      </c>
      <c r="AT96" s="2" t="s">
        <v>33</v>
      </c>
      <c r="AU96" s="1">
        <f t="shared" si="11"/>
        <v>0.2784228931422012</v>
      </c>
      <c r="AV96" s="1">
        <f t="shared" si="12"/>
        <v>0.19887349510157229</v>
      </c>
      <c r="AW96" s="1">
        <f t="shared" si="13"/>
        <v>0.11932409706094337</v>
      </c>
    </row>
    <row r="97" spans="1:49" x14ac:dyDescent="0.2">
      <c r="A97">
        <v>95</v>
      </c>
      <c r="B97" t="s">
        <v>10135</v>
      </c>
      <c r="F97" t="s">
        <v>10134</v>
      </c>
      <c r="G97" t="s">
        <v>16</v>
      </c>
      <c r="H97" t="s">
        <v>15</v>
      </c>
      <c r="I97" t="s">
        <v>10133</v>
      </c>
      <c r="J97">
        <v>60005304</v>
      </c>
      <c r="K97" t="s">
        <v>4384</v>
      </c>
      <c r="L97" t="s">
        <v>4383</v>
      </c>
      <c r="M97" t="s">
        <v>57</v>
      </c>
      <c r="N97">
        <v>5</v>
      </c>
      <c r="O97" t="s">
        <v>10132</v>
      </c>
      <c r="P97" t="s">
        <v>10131</v>
      </c>
      <c r="Q97" t="s">
        <v>10130</v>
      </c>
      <c r="R97" s="7">
        <v>33298</v>
      </c>
      <c r="S97" s="8">
        <f t="shared" si="8"/>
        <v>1991</v>
      </c>
      <c r="T97" s="8">
        <v>1991</v>
      </c>
      <c r="U97" s="8">
        <f t="shared" si="9"/>
        <v>31</v>
      </c>
      <c r="V97" s="7">
        <v>33298</v>
      </c>
      <c r="W97" t="s">
        <v>10110</v>
      </c>
      <c r="X97" s="2" t="s">
        <v>33</v>
      </c>
      <c r="Y97" s="6" t="e">
        <f t="shared" si="14"/>
        <v>#VALUE!</v>
      </c>
      <c r="AA97">
        <v>959669</v>
      </c>
      <c r="AB97">
        <v>94658</v>
      </c>
      <c r="AD97" t="s">
        <v>5</v>
      </c>
      <c r="AE97">
        <v>21</v>
      </c>
      <c r="AF97">
        <v>1</v>
      </c>
      <c r="AH97" s="10">
        <v>20210</v>
      </c>
      <c r="AI97" t="s">
        <v>10129</v>
      </c>
      <c r="AK97" t="s">
        <v>10128</v>
      </c>
      <c r="AL97">
        <v>0</v>
      </c>
      <c r="AM97" s="5">
        <f t="shared" si="10"/>
        <v>0</v>
      </c>
      <c r="AN97" s="4">
        <f t="shared" si="15"/>
        <v>0</v>
      </c>
      <c r="AO97" s="3"/>
      <c r="AP97">
        <v>0</v>
      </c>
      <c r="AR97" t="s">
        <v>0</v>
      </c>
      <c r="AT97" s="2" t="s">
        <v>33</v>
      </c>
      <c r="AU97" s="1" t="e">
        <f t="shared" si="11"/>
        <v>#VALUE!</v>
      </c>
      <c r="AV97" s="1" t="e">
        <f t="shared" si="12"/>
        <v>#VALUE!</v>
      </c>
      <c r="AW97" s="1" t="e">
        <f t="shared" si="13"/>
        <v>#VALUE!</v>
      </c>
    </row>
    <row r="98" spans="1:49" x14ac:dyDescent="0.2">
      <c r="A98">
        <v>96</v>
      </c>
      <c r="B98" t="s">
        <v>10127</v>
      </c>
      <c r="F98" t="s">
        <v>10126</v>
      </c>
      <c r="G98" t="s">
        <v>16</v>
      </c>
      <c r="H98" t="s">
        <v>15</v>
      </c>
      <c r="I98" t="s">
        <v>10125</v>
      </c>
      <c r="J98">
        <v>60004541</v>
      </c>
      <c r="K98" t="s">
        <v>10124</v>
      </c>
      <c r="L98" t="s">
        <v>2493</v>
      </c>
      <c r="M98" t="s">
        <v>57</v>
      </c>
      <c r="N98">
        <v>5</v>
      </c>
      <c r="O98" t="s">
        <v>10123</v>
      </c>
      <c r="P98" t="s">
        <v>10122</v>
      </c>
      <c r="Q98" t="s">
        <v>10121</v>
      </c>
      <c r="R98" s="7">
        <v>33298</v>
      </c>
      <c r="S98" s="8">
        <f t="shared" si="8"/>
        <v>1991</v>
      </c>
      <c r="T98" s="8">
        <v>1991</v>
      </c>
      <c r="U98" s="8">
        <f t="shared" si="9"/>
        <v>31</v>
      </c>
      <c r="V98" s="7">
        <v>33298</v>
      </c>
      <c r="W98" t="s">
        <v>10110</v>
      </c>
      <c r="X98" s="2" t="s">
        <v>33</v>
      </c>
      <c r="Y98" s="6" t="e">
        <f t="shared" si="14"/>
        <v>#VALUE!</v>
      </c>
      <c r="AA98">
        <v>959669</v>
      </c>
      <c r="AB98">
        <v>94658</v>
      </c>
      <c r="AD98" t="s">
        <v>5</v>
      </c>
      <c r="AE98">
        <v>21</v>
      </c>
      <c r="AF98">
        <v>1</v>
      </c>
      <c r="AH98" t="s">
        <v>10120</v>
      </c>
      <c r="AI98" t="s">
        <v>10119</v>
      </c>
      <c r="AK98" t="s">
        <v>10118</v>
      </c>
      <c r="AL98">
        <v>0</v>
      </c>
      <c r="AM98" s="5">
        <f t="shared" si="10"/>
        <v>0</v>
      </c>
      <c r="AN98" s="4">
        <f t="shared" si="15"/>
        <v>0</v>
      </c>
      <c r="AO98" s="3"/>
      <c r="AP98">
        <v>0</v>
      </c>
      <c r="AR98" t="s">
        <v>0</v>
      </c>
      <c r="AT98" s="2" t="s">
        <v>33</v>
      </c>
      <c r="AU98" s="1" t="e">
        <f t="shared" si="11"/>
        <v>#VALUE!</v>
      </c>
      <c r="AV98" s="1" t="e">
        <f t="shared" si="12"/>
        <v>#VALUE!</v>
      </c>
      <c r="AW98" s="1" t="e">
        <f t="shared" si="13"/>
        <v>#VALUE!</v>
      </c>
    </row>
    <row r="99" spans="1:49" x14ac:dyDescent="0.2">
      <c r="A99">
        <v>97</v>
      </c>
      <c r="B99" t="s">
        <v>10117</v>
      </c>
      <c r="F99" t="s">
        <v>10116</v>
      </c>
      <c r="G99" t="s">
        <v>16</v>
      </c>
      <c r="H99" t="s">
        <v>15</v>
      </c>
      <c r="I99" t="s">
        <v>10115</v>
      </c>
      <c r="J99">
        <v>100583023</v>
      </c>
      <c r="K99" t="s">
        <v>10114</v>
      </c>
      <c r="L99" t="s">
        <v>4025</v>
      </c>
      <c r="M99" t="s">
        <v>57</v>
      </c>
      <c r="N99">
        <v>4</v>
      </c>
      <c r="O99" t="s">
        <v>10113</v>
      </c>
      <c r="P99" t="s">
        <v>10112</v>
      </c>
      <c r="Q99" t="s">
        <v>10111</v>
      </c>
      <c r="R99" s="7">
        <v>33298</v>
      </c>
      <c r="S99" s="8">
        <f t="shared" si="8"/>
        <v>1991</v>
      </c>
      <c r="T99" s="8">
        <v>1991</v>
      </c>
      <c r="U99" s="8">
        <f t="shared" si="9"/>
        <v>31</v>
      </c>
      <c r="V99" s="7">
        <v>33298</v>
      </c>
      <c r="W99" t="s">
        <v>10110</v>
      </c>
      <c r="X99" s="2" t="s">
        <v>33</v>
      </c>
      <c r="Y99" s="6" t="e">
        <f t="shared" si="14"/>
        <v>#VALUE!</v>
      </c>
      <c r="AA99">
        <v>959669</v>
      </c>
      <c r="AB99">
        <v>94658</v>
      </c>
      <c r="AD99" t="s">
        <v>5</v>
      </c>
      <c r="AE99">
        <v>21</v>
      </c>
      <c r="AF99">
        <v>1</v>
      </c>
      <c r="AH99" t="s">
        <v>10109</v>
      </c>
      <c r="AI99" t="s">
        <v>10108</v>
      </c>
      <c r="AK99" t="s">
        <v>10107</v>
      </c>
      <c r="AL99">
        <v>0</v>
      </c>
      <c r="AM99" s="5">
        <f t="shared" si="10"/>
        <v>0</v>
      </c>
      <c r="AN99" s="4">
        <f t="shared" si="15"/>
        <v>0</v>
      </c>
      <c r="AO99" s="3"/>
      <c r="AP99">
        <v>0</v>
      </c>
      <c r="AR99" t="s">
        <v>0</v>
      </c>
      <c r="AT99" s="2" t="s">
        <v>33</v>
      </c>
      <c r="AU99" s="1" t="e">
        <f t="shared" si="11"/>
        <v>#VALUE!</v>
      </c>
      <c r="AV99" s="1" t="e">
        <f t="shared" si="12"/>
        <v>#VALUE!</v>
      </c>
      <c r="AW99" s="1" t="e">
        <f t="shared" si="13"/>
        <v>#VALUE!</v>
      </c>
    </row>
    <row r="100" spans="1:49" x14ac:dyDescent="0.2">
      <c r="A100">
        <v>98</v>
      </c>
      <c r="B100" t="s">
        <v>10106</v>
      </c>
      <c r="F100" t="s">
        <v>10105</v>
      </c>
      <c r="G100" t="s">
        <v>16</v>
      </c>
      <c r="H100" t="s">
        <v>15</v>
      </c>
      <c r="I100" t="s">
        <v>10104</v>
      </c>
      <c r="N100">
        <v>2</v>
      </c>
      <c r="O100" t="s">
        <v>10103</v>
      </c>
      <c r="P100" t="s">
        <v>10102</v>
      </c>
      <c r="Q100" t="s">
        <v>592</v>
      </c>
      <c r="R100" s="7">
        <v>33298</v>
      </c>
      <c r="S100" s="8">
        <f t="shared" si="8"/>
        <v>1991</v>
      </c>
      <c r="T100" s="8">
        <v>1991</v>
      </c>
      <c r="U100" s="8">
        <f t="shared" si="9"/>
        <v>31</v>
      </c>
      <c r="V100" s="7">
        <v>33298</v>
      </c>
      <c r="W100" t="s">
        <v>1704</v>
      </c>
      <c r="X100" s="2">
        <v>0.14099999999999999</v>
      </c>
      <c r="Y100" s="6">
        <f t="shared" si="14"/>
        <v>3.7639144710498915E-3</v>
      </c>
      <c r="AA100">
        <v>402508</v>
      </c>
      <c r="AB100">
        <v>20868</v>
      </c>
      <c r="AD100" t="s">
        <v>5</v>
      </c>
      <c r="AE100">
        <v>46</v>
      </c>
      <c r="AF100">
        <v>3</v>
      </c>
      <c r="AH100" t="s">
        <v>10101</v>
      </c>
      <c r="AI100" t="s">
        <v>10100</v>
      </c>
      <c r="AK100" t="s">
        <v>10099</v>
      </c>
      <c r="AL100">
        <v>0</v>
      </c>
      <c r="AM100" s="5">
        <f t="shared" si="10"/>
        <v>0</v>
      </c>
      <c r="AN100" s="4">
        <f t="shared" si="15"/>
        <v>0</v>
      </c>
      <c r="AO100" s="3"/>
      <c r="AP100">
        <v>0</v>
      </c>
      <c r="AR100" t="s">
        <v>0</v>
      </c>
      <c r="AT100" s="2" t="s">
        <v>33</v>
      </c>
      <c r="AU100" s="1">
        <f t="shared" si="11"/>
        <v>0.26347401297349238</v>
      </c>
      <c r="AV100" s="1">
        <f t="shared" si="12"/>
        <v>0.18819572355249459</v>
      </c>
      <c r="AW100" s="1">
        <f t="shared" si="13"/>
        <v>0.11291743413149673</v>
      </c>
    </row>
    <row r="101" spans="1:49" x14ac:dyDescent="0.2">
      <c r="A101">
        <v>99</v>
      </c>
      <c r="B101" t="s">
        <v>10098</v>
      </c>
      <c r="F101" t="s">
        <v>10097</v>
      </c>
      <c r="G101" t="s">
        <v>16</v>
      </c>
      <c r="H101" t="s">
        <v>15</v>
      </c>
      <c r="I101" t="s">
        <v>10096</v>
      </c>
      <c r="J101">
        <v>109337918</v>
      </c>
      <c r="K101" t="s">
        <v>10095</v>
      </c>
      <c r="M101" t="s">
        <v>10094</v>
      </c>
      <c r="N101">
        <v>2</v>
      </c>
      <c r="O101" t="s">
        <v>10093</v>
      </c>
      <c r="P101" t="s">
        <v>10092</v>
      </c>
      <c r="Q101" t="s">
        <v>10091</v>
      </c>
      <c r="R101" s="7">
        <v>33298</v>
      </c>
      <c r="S101" s="8">
        <f t="shared" si="8"/>
        <v>1991</v>
      </c>
      <c r="T101" s="8">
        <v>1991</v>
      </c>
      <c r="U101" s="8">
        <f t="shared" si="9"/>
        <v>31</v>
      </c>
      <c r="V101" s="7">
        <v>33298</v>
      </c>
      <c r="W101" t="s">
        <v>10090</v>
      </c>
      <c r="X101" s="2" t="s">
        <v>33</v>
      </c>
      <c r="Y101" s="6" t="e">
        <f t="shared" si="14"/>
        <v>#VALUE!</v>
      </c>
      <c r="AB101">
        <v>15446</v>
      </c>
      <c r="AD101" t="s">
        <v>5</v>
      </c>
      <c r="AF101">
        <v>809</v>
      </c>
      <c r="AH101" t="s">
        <v>10089</v>
      </c>
      <c r="AI101" t="s">
        <v>10088</v>
      </c>
      <c r="AK101" t="s">
        <v>10087</v>
      </c>
      <c r="AL101">
        <v>0</v>
      </c>
      <c r="AM101" s="5">
        <f t="shared" si="10"/>
        <v>0</v>
      </c>
      <c r="AN101" s="4">
        <f t="shared" si="15"/>
        <v>0</v>
      </c>
      <c r="AO101" s="3"/>
      <c r="AP101">
        <v>0</v>
      </c>
      <c r="AR101" t="s">
        <v>0</v>
      </c>
      <c r="AT101" s="2" t="s">
        <v>33</v>
      </c>
      <c r="AU101" s="1" t="e">
        <f t="shared" si="11"/>
        <v>#VALUE!</v>
      </c>
      <c r="AV101" s="1" t="e">
        <f t="shared" si="12"/>
        <v>#VALUE!</v>
      </c>
      <c r="AW101" s="1" t="e">
        <f t="shared" si="13"/>
        <v>#VALUE!</v>
      </c>
    </row>
    <row r="102" spans="1:49" x14ac:dyDescent="0.2">
      <c r="A102">
        <v>100</v>
      </c>
      <c r="B102" t="s">
        <v>10086</v>
      </c>
      <c r="F102" t="s">
        <v>10085</v>
      </c>
      <c r="G102" t="s">
        <v>16</v>
      </c>
      <c r="H102" t="s">
        <v>15</v>
      </c>
      <c r="I102" t="s">
        <v>10084</v>
      </c>
      <c r="N102">
        <v>1</v>
      </c>
      <c r="O102" t="s">
        <v>10083</v>
      </c>
      <c r="P102">
        <v>6507738664</v>
      </c>
      <c r="R102" s="7">
        <v>33298</v>
      </c>
      <c r="S102" s="8">
        <f t="shared" si="8"/>
        <v>1991</v>
      </c>
      <c r="T102" s="8">
        <v>1991</v>
      </c>
      <c r="U102" s="8">
        <f t="shared" si="9"/>
        <v>31</v>
      </c>
      <c r="V102" s="7">
        <v>33298</v>
      </c>
      <c r="W102" t="s">
        <v>1704</v>
      </c>
      <c r="X102" s="2">
        <v>0.14099999999999999</v>
      </c>
      <c r="Y102" s="6">
        <f t="shared" si="14"/>
        <v>3.7639144710498915E-3</v>
      </c>
      <c r="AA102">
        <v>402508</v>
      </c>
      <c r="AB102">
        <v>20868</v>
      </c>
      <c r="AD102" t="s">
        <v>5</v>
      </c>
      <c r="AE102">
        <v>46</v>
      </c>
      <c r="AF102">
        <v>3</v>
      </c>
      <c r="AH102" t="s">
        <v>10082</v>
      </c>
      <c r="AI102" t="s">
        <v>10081</v>
      </c>
      <c r="AK102" t="s">
        <v>10080</v>
      </c>
      <c r="AL102">
        <v>0</v>
      </c>
      <c r="AM102" s="5">
        <f t="shared" si="10"/>
        <v>0</v>
      </c>
      <c r="AN102" s="4">
        <f t="shared" si="15"/>
        <v>0</v>
      </c>
      <c r="AO102" s="3"/>
      <c r="AP102">
        <v>0</v>
      </c>
      <c r="AR102" t="s">
        <v>0</v>
      </c>
      <c r="AT102" s="2" t="s">
        <v>33</v>
      </c>
      <c r="AU102" s="1">
        <f t="shared" si="11"/>
        <v>0.26347401297349238</v>
      </c>
      <c r="AV102" s="1">
        <f t="shared" si="12"/>
        <v>0.18819572355249459</v>
      </c>
      <c r="AW102" s="1">
        <f t="shared" si="13"/>
        <v>0.11291743413149673</v>
      </c>
    </row>
    <row r="103" spans="1:49" x14ac:dyDescent="0.2">
      <c r="A103">
        <v>101</v>
      </c>
      <c r="B103" t="s">
        <v>10079</v>
      </c>
      <c r="F103" t="s">
        <v>10078</v>
      </c>
      <c r="G103" t="s">
        <v>16</v>
      </c>
      <c r="H103" t="s">
        <v>15</v>
      </c>
      <c r="I103" t="s">
        <v>10077</v>
      </c>
      <c r="N103">
        <v>1</v>
      </c>
      <c r="O103" t="s">
        <v>10076</v>
      </c>
      <c r="P103">
        <v>7003764513</v>
      </c>
      <c r="R103" s="7">
        <v>33298</v>
      </c>
      <c r="S103" s="8">
        <f t="shared" si="8"/>
        <v>1991</v>
      </c>
      <c r="T103" s="8">
        <v>1991</v>
      </c>
      <c r="U103" s="8">
        <f t="shared" si="9"/>
        <v>31</v>
      </c>
      <c r="V103" s="7">
        <v>33298</v>
      </c>
      <c r="W103" t="s">
        <v>1704</v>
      </c>
      <c r="X103" s="2">
        <v>0.14099999999999999</v>
      </c>
      <c r="Y103" s="6">
        <f t="shared" si="14"/>
        <v>3.7639144710498915E-3</v>
      </c>
      <c r="AA103">
        <v>402508</v>
      </c>
      <c r="AB103">
        <v>20868</v>
      </c>
      <c r="AD103" t="s">
        <v>5</v>
      </c>
      <c r="AE103">
        <v>46</v>
      </c>
      <c r="AF103">
        <v>3</v>
      </c>
      <c r="AH103" t="s">
        <v>10075</v>
      </c>
      <c r="AI103" t="s">
        <v>10074</v>
      </c>
      <c r="AK103" t="s">
        <v>10073</v>
      </c>
      <c r="AL103">
        <v>0</v>
      </c>
      <c r="AM103" s="5">
        <f t="shared" si="10"/>
        <v>0</v>
      </c>
      <c r="AN103" s="4">
        <f t="shared" si="15"/>
        <v>0</v>
      </c>
      <c r="AO103" s="3"/>
      <c r="AP103">
        <v>0</v>
      </c>
      <c r="AR103" t="s">
        <v>0</v>
      </c>
      <c r="AT103" s="2" t="s">
        <v>33</v>
      </c>
      <c r="AU103" s="1">
        <f t="shared" si="11"/>
        <v>0.26347401297349238</v>
      </c>
      <c r="AV103" s="1">
        <f t="shared" si="12"/>
        <v>0.18819572355249459</v>
      </c>
      <c r="AW103" s="1">
        <f t="shared" si="13"/>
        <v>0.11291743413149673</v>
      </c>
    </row>
    <row r="104" spans="1:49" x14ac:dyDescent="0.2">
      <c r="A104">
        <v>102</v>
      </c>
      <c r="B104" t="s">
        <v>10072</v>
      </c>
      <c r="F104" t="s">
        <v>10071</v>
      </c>
      <c r="G104" t="s">
        <v>16</v>
      </c>
      <c r="H104" t="s">
        <v>15</v>
      </c>
      <c r="I104" t="s">
        <v>10070</v>
      </c>
      <c r="N104">
        <v>3</v>
      </c>
      <c r="O104" t="s">
        <v>10069</v>
      </c>
      <c r="P104" t="s">
        <v>10068</v>
      </c>
      <c r="Q104" t="s">
        <v>757</v>
      </c>
      <c r="R104" s="7">
        <v>33298</v>
      </c>
      <c r="S104" s="8">
        <f t="shared" si="8"/>
        <v>1991</v>
      </c>
      <c r="T104" s="8">
        <v>1991</v>
      </c>
      <c r="U104" s="8">
        <f t="shared" si="9"/>
        <v>31</v>
      </c>
      <c r="V104" s="7">
        <v>33298</v>
      </c>
      <c r="W104" t="s">
        <v>1704</v>
      </c>
      <c r="X104" s="2">
        <v>0.14099999999999999</v>
      </c>
      <c r="Y104" s="6">
        <f t="shared" si="14"/>
        <v>3.7639144710498915E-3</v>
      </c>
      <c r="AA104">
        <v>402508</v>
      </c>
      <c r="AB104">
        <v>20868</v>
      </c>
      <c r="AD104" t="s">
        <v>5</v>
      </c>
      <c r="AE104">
        <v>46</v>
      </c>
      <c r="AF104">
        <v>3</v>
      </c>
      <c r="AH104" t="s">
        <v>10067</v>
      </c>
      <c r="AI104" t="s">
        <v>10066</v>
      </c>
      <c r="AK104" t="s">
        <v>10065</v>
      </c>
      <c r="AL104">
        <v>0</v>
      </c>
      <c r="AM104" s="5">
        <f t="shared" si="10"/>
        <v>0</v>
      </c>
      <c r="AN104" s="4">
        <f t="shared" si="15"/>
        <v>0</v>
      </c>
      <c r="AO104" s="3"/>
      <c r="AP104">
        <v>0</v>
      </c>
      <c r="AR104" t="s">
        <v>0</v>
      </c>
      <c r="AT104" s="2" t="s">
        <v>33</v>
      </c>
      <c r="AU104" s="1">
        <f t="shared" si="11"/>
        <v>0.26347401297349238</v>
      </c>
      <c r="AV104" s="1">
        <f t="shared" si="12"/>
        <v>0.18819572355249459</v>
      </c>
      <c r="AW104" s="1">
        <f t="shared" si="13"/>
        <v>0.11291743413149673</v>
      </c>
    </row>
    <row r="105" spans="1:49" x14ac:dyDescent="0.2">
      <c r="A105">
        <v>103</v>
      </c>
      <c r="B105" t="s">
        <v>10064</v>
      </c>
      <c r="F105" t="s">
        <v>10063</v>
      </c>
      <c r="G105" t="s">
        <v>16</v>
      </c>
      <c r="H105" t="s">
        <v>15</v>
      </c>
      <c r="I105" t="s">
        <v>10062</v>
      </c>
      <c r="N105">
        <v>2</v>
      </c>
      <c r="O105" t="s">
        <v>10061</v>
      </c>
      <c r="P105" t="s">
        <v>10060</v>
      </c>
      <c r="Q105" t="s">
        <v>592</v>
      </c>
      <c r="R105" s="7">
        <v>33298</v>
      </c>
      <c r="S105" s="8">
        <f t="shared" si="8"/>
        <v>1991</v>
      </c>
      <c r="T105" s="8">
        <v>1991</v>
      </c>
      <c r="U105" s="8">
        <f t="shared" si="9"/>
        <v>31</v>
      </c>
      <c r="V105" s="7">
        <v>33298</v>
      </c>
      <c r="W105" t="s">
        <v>1704</v>
      </c>
      <c r="X105" s="2">
        <v>0.14099999999999999</v>
      </c>
      <c r="Y105" s="6">
        <f t="shared" si="14"/>
        <v>3.7639144710498915E-3</v>
      </c>
      <c r="AA105">
        <v>402508</v>
      </c>
      <c r="AB105">
        <v>20868</v>
      </c>
      <c r="AD105" t="s">
        <v>5</v>
      </c>
      <c r="AE105">
        <v>46</v>
      </c>
      <c r="AF105">
        <v>3</v>
      </c>
      <c r="AH105" t="s">
        <v>10059</v>
      </c>
      <c r="AI105" t="s">
        <v>10058</v>
      </c>
      <c r="AK105" t="s">
        <v>10057</v>
      </c>
      <c r="AL105">
        <v>0</v>
      </c>
      <c r="AM105" s="5">
        <f t="shared" si="10"/>
        <v>0</v>
      </c>
      <c r="AN105" s="4">
        <f t="shared" si="15"/>
        <v>0</v>
      </c>
      <c r="AO105" s="3"/>
      <c r="AP105">
        <v>0</v>
      </c>
      <c r="AR105" t="s">
        <v>0</v>
      </c>
      <c r="AT105" s="2" t="s">
        <v>33</v>
      </c>
      <c r="AU105" s="1">
        <f t="shared" si="11"/>
        <v>0.26347401297349238</v>
      </c>
      <c r="AV105" s="1">
        <f t="shared" si="12"/>
        <v>0.18819572355249459</v>
      </c>
      <c r="AW105" s="1">
        <f t="shared" si="13"/>
        <v>0.11291743413149673</v>
      </c>
    </row>
    <row r="106" spans="1:49" x14ac:dyDescent="0.2">
      <c r="A106">
        <v>104</v>
      </c>
      <c r="B106" t="s">
        <v>10056</v>
      </c>
      <c r="F106" t="s">
        <v>10055</v>
      </c>
      <c r="G106" t="s">
        <v>16</v>
      </c>
      <c r="H106" t="s">
        <v>15</v>
      </c>
      <c r="I106" t="s">
        <v>10054</v>
      </c>
      <c r="N106">
        <v>1</v>
      </c>
      <c r="O106" t="s">
        <v>10053</v>
      </c>
      <c r="P106">
        <v>7004513461</v>
      </c>
      <c r="R106" s="7">
        <v>33298</v>
      </c>
      <c r="S106" s="8">
        <f t="shared" si="8"/>
        <v>1991</v>
      </c>
      <c r="T106" s="8">
        <v>1991</v>
      </c>
      <c r="U106" s="8">
        <f t="shared" si="9"/>
        <v>31</v>
      </c>
      <c r="V106" s="7">
        <v>33298</v>
      </c>
      <c r="W106" t="s">
        <v>1704</v>
      </c>
      <c r="X106" s="2">
        <v>0.14099999999999999</v>
      </c>
      <c r="Y106" s="6">
        <f t="shared" si="14"/>
        <v>3.7639144710498915E-3</v>
      </c>
      <c r="AA106">
        <v>402508</v>
      </c>
      <c r="AB106">
        <v>20868</v>
      </c>
      <c r="AD106" t="s">
        <v>5</v>
      </c>
      <c r="AE106">
        <v>46</v>
      </c>
      <c r="AF106">
        <v>3</v>
      </c>
      <c r="AH106" t="s">
        <v>10052</v>
      </c>
      <c r="AI106" t="s">
        <v>10051</v>
      </c>
      <c r="AK106" t="s">
        <v>10050</v>
      </c>
      <c r="AL106">
        <v>1</v>
      </c>
      <c r="AM106" s="5">
        <f t="shared" si="10"/>
        <v>3.2258064516129031E-2</v>
      </c>
      <c r="AN106" s="4">
        <f t="shared" si="15"/>
        <v>4.8857348755969758E-5</v>
      </c>
      <c r="AO106" s="3"/>
      <c r="AP106">
        <v>0</v>
      </c>
      <c r="AR106" t="s">
        <v>0</v>
      </c>
      <c r="AT106" s="2" t="s">
        <v>33</v>
      </c>
      <c r="AU106" s="1">
        <f t="shared" si="11"/>
        <v>0.26493973343617144</v>
      </c>
      <c r="AV106" s="1">
        <f t="shared" si="12"/>
        <v>0.19063859099029307</v>
      </c>
      <c r="AW106" s="1">
        <f t="shared" si="13"/>
        <v>0.11633744854441462</v>
      </c>
    </row>
    <row r="107" spans="1:49" x14ac:dyDescent="0.2">
      <c r="A107">
        <v>105</v>
      </c>
      <c r="B107" t="s">
        <v>10049</v>
      </c>
      <c r="C107" t="s">
        <v>10048</v>
      </c>
      <c r="F107" t="s">
        <v>10047</v>
      </c>
      <c r="G107" t="s">
        <v>16</v>
      </c>
      <c r="H107" t="s">
        <v>15</v>
      </c>
      <c r="I107" t="s">
        <v>10046</v>
      </c>
      <c r="J107">
        <v>60103653</v>
      </c>
      <c r="K107" t="s">
        <v>2700</v>
      </c>
      <c r="L107" t="s">
        <v>2699</v>
      </c>
      <c r="M107" t="s">
        <v>173</v>
      </c>
      <c r="N107">
        <v>1</v>
      </c>
      <c r="O107" t="s">
        <v>10045</v>
      </c>
      <c r="P107">
        <v>7004143659</v>
      </c>
      <c r="Q107">
        <v>60103653</v>
      </c>
      <c r="R107" s="7">
        <v>33298</v>
      </c>
      <c r="S107" s="8">
        <f t="shared" si="8"/>
        <v>1991</v>
      </c>
      <c r="T107" s="8">
        <v>1991</v>
      </c>
      <c r="U107" s="8">
        <f t="shared" si="9"/>
        <v>31</v>
      </c>
      <c r="V107" s="7">
        <v>33298</v>
      </c>
      <c r="W107" t="s">
        <v>10044</v>
      </c>
      <c r="X107" s="2">
        <v>0.33800000000000002</v>
      </c>
      <c r="Y107" s="6">
        <f t="shared" si="14"/>
        <v>9.0227169589706634E-3</v>
      </c>
      <c r="AA107">
        <v>34347</v>
      </c>
      <c r="AB107">
        <v>17722</v>
      </c>
      <c r="AC107">
        <v>19589395</v>
      </c>
      <c r="AD107" t="s">
        <v>5</v>
      </c>
      <c r="AE107">
        <v>46</v>
      </c>
      <c r="AF107" s="9">
        <v>44289</v>
      </c>
      <c r="AH107" t="s">
        <v>10043</v>
      </c>
      <c r="AI107" t="s">
        <v>10042</v>
      </c>
      <c r="AJ107" t="s">
        <v>10041</v>
      </c>
      <c r="AK107" t="s">
        <v>10040</v>
      </c>
      <c r="AL107">
        <v>0</v>
      </c>
      <c r="AM107" s="5">
        <f t="shared" si="10"/>
        <v>0</v>
      </c>
      <c r="AN107" s="4">
        <f t="shared" si="15"/>
        <v>0</v>
      </c>
      <c r="AO107" s="3"/>
      <c r="AP107">
        <v>0</v>
      </c>
      <c r="AR107" t="s">
        <v>0</v>
      </c>
      <c r="AT107" s="2" t="s">
        <v>33</v>
      </c>
      <c r="AU107" s="1">
        <f t="shared" si="11"/>
        <v>0.63159018712794635</v>
      </c>
      <c r="AV107" s="1">
        <f t="shared" si="12"/>
        <v>0.45113584794853318</v>
      </c>
      <c r="AW107" s="1">
        <f t="shared" si="13"/>
        <v>0.27068150876911989</v>
      </c>
    </row>
    <row r="108" spans="1:49" x14ac:dyDescent="0.2">
      <c r="A108">
        <v>106</v>
      </c>
      <c r="B108" t="s">
        <v>10039</v>
      </c>
      <c r="F108" t="s">
        <v>10038</v>
      </c>
      <c r="G108" t="s">
        <v>16</v>
      </c>
      <c r="H108" t="s">
        <v>15</v>
      </c>
      <c r="I108" t="s">
        <v>10037</v>
      </c>
      <c r="J108">
        <v>60031581</v>
      </c>
      <c r="K108" t="s">
        <v>3379</v>
      </c>
      <c r="L108" t="s">
        <v>374</v>
      </c>
      <c r="M108" t="s">
        <v>57</v>
      </c>
      <c r="N108">
        <v>2</v>
      </c>
      <c r="O108" t="s">
        <v>10036</v>
      </c>
      <c r="P108" t="s">
        <v>10035</v>
      </c>
      <c r="Q108" t="s">
        <v>10034</v>
      </c>
      <c r="R108" s="7">
        <v>33298</v>
      </c>
      <c r="S108" s="8">
        <f t="shared" si="8"/>
        <v>1991</v>
      </c>
      <c r="T108" s="8">
        <v>1991</v>
      </c>
      <c r="U108" s="8">
        <f t="shared" si="9"/>
        <v>31</v>
      </c>
      <c r="V108" s="7">
        <v>33298</v>
      </c>
      <c r="W108" t="s">
        <v>10033</v>
      </c>
      <c r="X108" s="2" t="s">
        <v>33</v>
      </c>
      <c r="Y108" s="6" t="e">
        <f t="shared" si="14"/>
        <v>#VALUE!</v>
      </c>
      <c r="AA108">
        <v>2699841</v>
      </c>
      <c r="AB108">
        <v>89928</v>
      </c>
      <c r="AD108" t="s">
        <v>5</v>
      </c>
      <c r="AE108">
        <v>2</v>
      </c>
      <c r="AF108">
        <v>1</v>
      </c>
      <c r="AH108" t="s">
        <v>10032</v>
      </c>
      <c r="AI108" t="s">
        <v>10031</v>
      </c>
      <c r="AK108" t="s">
        <v>10030</v>
      </c>
      <c r="AL108">
        <v>1</v>
      </c>
      <c r="AM108" s="5">
        <f t="shared" si="10"/>
        <v>3.2258064516129031E-2</v>
      </c>
      <c r="AN108" s="4">
        <f t="shared" si="15"/>
        <v>4.8857348755969758E-5</v>
      </c>
      <c r="AO108" s="3"/>
      <c r="AP108">
        <v>0</v>
      </c>
      <c r="AR108" t="s">
        <v>0</v>
      </c>
      <c r="AT108" s="2" t="s">
        <v>33</v>
      </c>
      <c r="AU108" s="1" t="e">
        <f t="shared" si="11"/>
        <v>#VALUE!</v>
      </c>
      <c r="AV108" s="1" t="e">
        <f t="shared" si="12"/>
        <v>#VALUE!</v>
      </c>
      <c r="AW108" s="1" t="e">
        <f t="shared" si="13"/>
        <v>#VALUE!</v>
      </c>
    </row>
    <row r="109" spans="1:49" x14ac:dyDescent="0.2">
      <c r="A109">
        <v>107</v>
      </c>
      <c r="B109" t="s">
        <v>10029</v>
      </c>
      <c r="C109" t="s">
        <v>10028</v>
      </c>
      <c r="F109" t="s">
        <v>10027</v>
      </c>
      <c r="G109" t="s">
        <v>16</v>
      </c>
      <c r="H109" t="s">
        <v>15</v>
      </c>
      <c r="I109" t="s">
        <v>10026</v>
      </c>
      <c r="J109">
        <v>60015099</v>
      </c>
      <c r="K109" t="s">
        <v>3058</v>
      </c>
      <c r="L109" t="s">
        <v>1195</v>
      </c>
      <c r="M109" t="s">
        <v>57</v>
      </c>
      <c r="N109">
        <v>2</v>
      </c>
      <c r="O109" t="s">
        <v>10025</v>
      </c>
      <c r="P109" t="s">
        <v>10024</v>
      </c>
      <c r="Q109" t="s">
        <v>3055</v>
      </c>
      <c r="R109" s="7">
        <v>33298</v>
      </c>
      <c r="S109" s="8">
        <f t="shared" si="8"/>
        <v>1991</v>
      </c>
      <c r="T109" s="8">
        <v>1991</v>
      </c>
      <c r="U109" s="8">
        <f t="shared" si="9"/>
        <v>31</v>
      </c>
      <c r="V109" s="7">
        <v>33298</v>
      </c>
      <c r="W109" t="s">
        <v>10023</v>
      </c>
      <c r="X109" s="2">
        <v>0.61499999999999999</v>
      </c>
      <c r="Y109" s="6">
        <f t="shared" si="14"/>
        <v>1.6417073756706976E-2</v>
      </c>
      <c r="AA109">
        <v>1959271</v>
      </c>
      <c r="AB109">
        <v>12141</v>
      </c>
      <c r="AC109">
        <v>15729559</v>
      </c>
      <c r="AD109" t="s">
        <v>5</v>
      </c>
      <c r="AE109">
        <v>12</v>
      </c>
      <c r="AF109">
        <v>3</v>
      </c>
      <c r="AH109" t="s">
        <v>10022</v>
      </c>
      <c r="AI109" t="s">
        <v>10021</v>
      </c>
      <c r="AK109" t="s">
        <v>10020</v>
      </c>
      <c r="AL109">
        <v>54</v>
      </c>
      <c r="AM109" s="5">
        <f t="shared" si="10"/>
        <v>1.7419354838709677</v>
      </c>
      <c r="AN109" s="4">
        <f t="shared" si="15"/>
        <v>2.6382968328223671E-3</v>
      </c>
      <c r="AO109" s="3"/>
      <c r="AP109">
        <v>0</v>
      </c>
      <c r="AR109" t="s">
        <v>0</v>
      </c>
      <c r="AT109" s="2" t="s">
        <v>33</v>
      </c>
      <c r="AU109" s="1">
        <f t="shared" si="11"/>
        <v>1.2283440679541591</v>
      </c>
      <c r="AV109" s="1">
        <f t="shared" si="12"/>
        <v>0.95276852947646717</v>
      </c>
      <c r="AW109" s="1">
        <f t="shared" si="13"/>
        <v>0.67719299099877495</v>
      </c>
    </row>
    <row r="110" spans="1:49" x14ac:dyDescent="0.2">
      <c r="A110">
        <v>108</v>
      </c>
      <c r="B110" t="s">
        <v>10019</v>
      </c>
      <c r="F110" t="s">
        <v>10018</v>
      </c>
      <c r="G110" t="s">
        <v>16</v>
      </c>
      <c r="H110" t="s">
        <v>15</v>
      </c>
      <c r="I110" t="s">
        <v>10017</v>
      </c>
      <c r="J110">
        <v>60005248</v>
      </c>
      <c r="K110" t="s">
        <v>2097</v>
      </c>
      <c r="L110" t="s">
        <v>2096</v>
      </c>
      <c r="M110" t="s">
        <v>57</v>
      </c>
      <c r="N110">
        <v>1</v>
      </c>
      <c r="O110" t="s">
        <v>10016</v>
      </c>
      <c r="P110">
        <v>6701502800</v>
      </c>
      <c r="Q110">
        <v>60005248</v>
      </c>
      <c r="R110" s="7">
        <v>33298</v>
      </c>
      <c r="S110" s="8">
        <f t="shared" si="8"/>
        <v>1991</v>
      </c>
      <c r="T110" s="8">
        <v>1991</v>
      </c>
      <c r="U110" s="8">
        <f t="shared" si="9"/>
        <v>31</v>
      </c>
      <c r="V110" s="7">
        <v>33298</v>
      </c>
      <c r="W110" t="s">
        <v>10015</v>
      </c>
      <c r="X110" s="2">
        <v>0.10100000000000001</v>
      </c>
      <c r="Y110" s="6">
        <f t="shared" si="14"/>
        <v>2.6961373161421215E-3</v>
      </c>
      <c r="AA110">
        <v>7452993</v>
      </c>
      <c r="AB110">
        <v>18563</v>
      </c>
      <c r="AD110" t="s">
        <v>5</v>
      </c>
      <c r="AE110">
        <v>30</v>
      </c>
      <c r="AF110">
        <v>3</v>
      </c>
      <c r="AI110" t="s">
        <v>10014</v>
      </c>
      <c r="AK110" t="s">
        <v>10013</v>
      </c>
      <c r="AL110">
        <v>7</v>
      </c>
      <c r="AM110" s="5">
        <f t="shared" si="10"/>
        <v>0.22580645161290322</v>
      </c>
      <c r="AN110" s="4">
        <f t="shared" si="15"/>
        <v>3.420014412917883E-4</v>
      </c>
      <c r="AO110" s="3"/>
      <c r="AP110">
        <v>0</v>
      </c>
      <c r="AR110" t="s">
        <v>0</v>
      </c>
      <c r="AT110" s="2" t="s">
        <v>33</v>
      </c>
      <c r="AU110" s="1">
        <f t="shared" si="11"/>
        <v>0.19898965536870211</v>
      </c>
      <c r="AV110" s="1">
        <f t="shared" si="12"/>
        <v>0.15190693787169551</v>
      </c>
      <c r="AW110" s="1">
        <f t="shared" si="13"/>
        <v>0.10482422037468883</v>
      </c>
    </row>
    <row r="111" spans="1:49" x14ac:dyDescent="0.2">
      <c r="A111">
        <v>109</v>
      </c>
      <c r="B111" t="s">
        <v>10012</v>
      </c>
      <c r="F111" t="s">
        <v>10011</v>
      </c>
      <c r="G111" t="s">
        <v>16</v>
      </c>
      <c r="H111" t="s">
        <v>15</v>
      </c>
      <c r="I111" t="s">
        <v>10010</v>
      </c>
      <c r="J111">
        <v>100644325</v>
      </c>
      <c r="K111" t="s">
        <v>10009</v>
      </c>
      <c r="L111" t="s">
        <v>10008</v>
      </c>
      <c r="M111" t="s">
        <v>10007</v>
      </c>
      <c r="N111">
        <v>1</v>
      </c>
      <c r="O111" t="s">
        <v>10006</v>
      </c>
      <c r="P111">
        <v>7004111952</v>
      </c>
      <c r="Q111">
        <v>100644325</v>
      </c>
      <c r="R111" s="7">
        <v>33298</v>
      </c>
      <c r="S111" s="8">
        <f t="shared" si="8"/>
        <v>1991</v>
      </c>
      <c r="T111" s="8">
        <v>1991</v>
      </c>
      <c r="U111" s="8">
        <f t="shared" si="9"/>
        <v>31</v>
      </c>
      <c r="V111" s="7">
        <v>33298</v>
      </c>
      <c r="W111" t="s">
        <v>10005</v>
      </c>
      <c r="X111" s="2">
        <v>0.54700000000000004</v>
      </c>
      <c r="Y111" s="6">
        <f t="shared" si="14"/>
        <v>1.4601852593363766E-2</v>
      </c>
      <c r="AA111">
        <v>11096</v>
      </c>
      <c r="AB111">
        <v>31211</v>
      </c>
      <c r="AD111" t="s">
        <v>5</v>
      </c>
      <c r="AE111">
        <v>45</v>
      </c>
      <c r="AF111">
        <v>2</v>
      </c>
      <c r="AH111" t="s">
        <v>10004</v>
      </c>
      <c r="AI111" t="s">
        <v>10003</v>
      </c>
      <c r="AK111" t="s">
        <v>10002</v>
      </c>
      <c r="AL111">
        <v>11</v>
      </c>
      <c r="AM111" s="5">
        <f t="shared" si="10"/>
        <v>0.35483870967741937</v>
      </c>
      <c r="AN111" s="4">
        <f t="shared" si="15"/>
        <v>5.3743083631566731E-4</v>
      </c>
      <c r="AO111" s="3"/>
      <c r="AP111">
        <v>0</v>
      </c>
      <c r="AR111" t="s">
        <v>0</v>
      </c>
      <c r="AT111" s="2" t="s">
        <v>33</v>
      </c>
      <c r="AU111" s="1">
        <f t="shared" si="11"/>
        <v>1.0382526066249336</v>
      </c>
      <c r="AV111" s="1">
        <f t="shared" si="12"/>
        <v>0.75696417148397166</v>
      </c>
      <c r="AW111" s="1">
        <f t="shared" si="13"/>
        <v>0.47567573634300969</v>
      </c>
    </row>
    <row r="112" spans="1:49" x14ac:dyDescent="0.2">
      <c r="A112">
        <v>110</v>
      </c>
      <c r="B112" t="s">
        <v>10001</v>
      </c>
      <c r="C112" t="s">
        <v>10000</v>
      </c>
      <c r="E112">
        <v>1823160</v>
      </c>
      <c r="F112" t="s">
        <v>9999</v>
      </c>
      <c r="G112" t="s">
        <v>16</v>
      </c>
      <c r="H112" t="s">
        <v>15</v>
      </c>
      <c r="I112" t="s">
        <v>9998</v>
      </c>
      <c r="J112" t="s">
        <v>9997</v>
      </c>
      <c r="K112" t="s">
        <v>9996</v>
      </c>
      <c r="L112" t="s">
        <v>9995</v>
      </c>
      <c r="M112" t="s">
        <v>9994</v>
      </c>
      <c r="N112">
        <v>8</v>
      </c>
      <c r="O112" t="s">
        <v>9993</v>
      </c>
      <c r="P112" t="s">
        <v>9992</v>
      </c>
      <c r="Q112" t="s">
        <v>9991</v>
      </c>
      <c r="R112" s="7">
        <v>33298</v>
      </c>
      <c r="S112" s="8">
        <f t="shared" si="8"/>
        <v>1991</v>
      </c>
      <c r="T112" s="8">
        <v>1991</v>
      </c>
      <c r="U112" s="8">
        <f t="shared" si="9"/>
        <v>31</v>
      </c>
      <c r="V112" s="7">
        <v>33298</v>
      </c>
      <c r="W112" t="s">
        <v>9990</v>
      </c>
      <c r="X112" s="2">
        <v>1.7569999999999999</v>
      </c>
      <c r="Y112" s="6">
        <f t="shared" si="14"/>
        <v>4.6902111529323831E-2</v>
      </c>
      <c r="AA112">
        <v>9596658</v>
      </c>
      <c r="AB112">
        <v>17511</v>
      </c>
      <c r="AD112" t="s">
        <v>5</v>
      </c>
      <c r="AE112">
        <v>1</v>
      </c>
      <c r="AF112">
        <v>2</v>
      </c>
      <c r="AH112" t="s">
        <v>9989</v>
      </c>
      <c r="AI112" t="s">
        <v>9988</v>
      </c>
      <c r="AJ112" t="s">
        <v>9987</v>
      </c>
      <c r="AK112" t="s">
        <v>9986</v>
      </c>
      <c r="AL112">
        <v>69</v>
      </c>
      <c r="AM112" s="5">
        <f t="shared" si="10"/>
        <v>2.225806451612903</v>
      </c>
      <c r="AN112" s="4">
        <f t="shared" si="15"/>
        <v>3.3711570641619128E-3</v>
      </c>
      <c r="AO112" s="3"/>
      <c r="AP112">
        <v>0</v>
      </c>
      <c r="AR112" t="s">
        <v>0</v>
      </c>
      <c r="AT112" s="2">
        <v>4.3129999999999997</v>
      </c>
      <c r="AU112" s="1">
        <f t="shared" si="11"/>
        <v>3.3842825189775252</v>
      </c>
      <c r="AV112" s="1">
        <f t="shared" si="12"/>
        <v>2.513663429674287</v>
      </c>
      <c r="AW112" s="1">
        <f t="shared" si="13"/>
        <v>1.6430443403710489</v>
      </c>
    </row>
    <row r="113" spans="1:49" x14ac:dyDescent="0.2">
      <c r="A113">
        <v>111</v>
      </c>
      <c r="B113" t="s">
        <v>9985</v>
      </c>
      <c r="E113">
        <v>1824844</v>
      </c>
      <c r="F113" t="s">
        <v>9984</v>
      </c>
      <c r="G113" t="s">
        <v>16</v>
      </c>
      <c r="H113" t="s">
        <v>15</v>
      </c>
      <c r="I113" t="s">
        <v>9983</v>
      </c>
      <c r="J113">
        <v>60027016</v>
      </c>
      <c r="K113" t="s">
        <v>9982</v>
      </c>
      <c r="L113" t="s">
        <v>9981</v>
      </c>
      <c r="M113" t="s">
        <v>1543</v>
      </c>
      <c r="N113">
        <v>6</v>
      </c>
      <c r="O113" t="s">
        <v>9980</v>
      </c>
      <c r="P113" t="s">
        <v>9979</v>
      </c>
      <c r="Q113" t="s">
        <v>9978</v>
      </c>
      <c r="R113" s="7">
        <v>33298</v>
      </c>
      <c r="S113" s="8">
        <f t="shared" ref="S113:S176" si="16">YEAR(R113)</f>
        <v>1991</v>
      </c>
      <c r="T113" s="8">
        <v>1991</v>
      </c>
      <c r="U113" s="8">
        <f t="shared" ref="U113:U176" si="17">2022-T113</f>
        <v>31</v>
      </c>
      <c r="V113" s="7">
        <v>1991</v>
      </c>
      <c r="W113" t="s">
        <v>9977</v>
      </c>
      <c r="X113" s="2">
        <v>2.3610000000000002</v>
      </c>
      <c r="Y113" s="6">
        <f t="shared" si="14"/>
        <v>6.3025546568431179E-2</v>
      </c>
      <c r="AA113">
        <v>219258</v>
      </c>
      <c r="AB113">
        <v>17592</v>
      </c>
      <c r="AD113" t="s">
        <v>5</v>
      </c>
      <c r="AE113">
        <v>266</v>
      </c>
      <c r="AF113">
        <v>3</v>
      </c>
      <c r="AH113" t="s">
        <v>9976</v>
      </c>
      <c r="AI113" t="s">
        <v>9975</v>
      </c>
      <c r="AK113" t="s">
        <v>9974</v>
      </c>
      <c r="AL113">
        <v>195</v>
      </c>
      <c r="AM113" s="5">
        <f t="shared" ref="AM113:AM176" si="18">AL113/U113</f>
        <v>6.290322580645161</v>
      </c>
      <c r="AN113" s="4">
        <f t="shared" si="15"/>
        <v>9.5271830074141022E-3</v>
      </c>
      <c r="AO113" s="3"/>
      <c r="AP113">
        <v>0</v>
      </c>
      <c r="AR113" t="s">
        <v>0</v>
      </c>
      <c r="AT113" s="2">
        <v>5.157</v>
      </c>
      <c r="AU113" s="1">
        <f t="shared" ref="AU113:AU176" si="19">(Y113*0.7+AN113*0.3)*100</f>
        <v>4.6976037500126049</v>
      </c>
      <c r="AV113" s="1">
        <f t="shared" ref="AV113:AV176" si="20">(Y113*0.5+AN113*0.5)*100</f>
        <v>3.6276364787922644</v>
      </c>
      <c r="AW113" s="1">
        <f t="shared" ref="AW113:AW176" si="21">(Y113*0.3+AN113*0.7)*100</f>
        <v>2.5576692075719225</v>
      </c>
    </row>
    <row r="114" spans="1:49" x14ac:dyDescent="0.2">
      <c r="A114">
        <v>112</v>
      </c>
      <c r="B114" t="s">
        <v>9973</v>
      </c>
      <c r="C114" t="s">
        <v>9972</v>
      </c>
      <c r="D114" t="s">
        <v>9971</v>
      </c>
      <c r="F114" t="s">
        <v>9970</v>
      </c>
      <c r="G114" t="s">
        <v>16</v>
      </c>
      <c r="H114" t="s">
        <v>15</v>
      </c>
      <c r="I114" t="s">
        <v>9969</v>
      </c>
      <c r="J114" t="s">
        <v>9968</v>
      </c>
      <c r="K114" t="s">
        <v>9967</v>
      </c>
      <c r="L114" t="s">
        <v>9966</v>
      </c>
      <c r="M114" t="s">
        <v>9965</v>
      </c>
      <c r="N114">
        <v>6</v>
      </c>
      <c r="O114" t="s">
        <v>9964</v>
      </c>
      <c r="P114" t="s">
        <v>9963</v>
      </c>
      <c r="Q114" t="s">
        <v>9962</v>
      </c>
      <c r="R114" s="7">
        <v>33298</v>
      </c>
      <c r="S114" s="8">
        <f t="shared" si="16"/>
        <v>1991</v>
      </c>
      <c r="T114" s="8">
        <v>1991</v>
      </c>
      <c r="U114" s="8">
        <f t="shared" si="17"/>
        <v>31</v>
      </c>
      <c r="V114" s="7">
        <v>33298</v>
      </c>
      <c r="W114" t="s">
        <v>9961</v>
      </c>
      <c r="X114" s="2">
        <v>1.59</v>
      </c>
      <c r="Y114" s="6">
        <f t="shared" si="14"/>
        <v>4.2444141907583888E-2</v>
      </c>
      <c r="AA114">
        <v>52728</v>
      </c>
      <c r="AB114">
        <v>16791</v>
      </c>
      <c r="AD114" t="s">
        <v>5</v>
      </c>
      <c r="AE114">
        <v>1057</v>
      </c>
      <c r="AF114">
        <v>1</v>
      </c>
      <c r="AH114" t="s">
        <v>1516</v>
      </c>
      <c r="AI114" t="s">
        <v>9960</v>
      </c>
      <c r="AJ114" t="s">
        <v>9959</v>
      </c>
      <c r="AK114" t="s">
        <v>9958</v>
      </c>
      <c r="AL114">
        <v>74</v>
      </c>
      <c r="AM114" s="5">
        <f t="shared" si="18"/>
        <v>2.3870967741935485</v>
      </c>
      <c r="AN114" s="4">
        <f t="shared" si="15"/>
        <v>3.6154438079417624E-3</v>
      </c>
      <c r="AO114" s="3"/>
      <c r="AP114">
        <v>0</v>
      </c>
      <c r="AQ114" t="s">
        <v>9957</v>
      </c>
      <c r="AR114">
        <v>63044148</v>
      </c>
      <c r="AS114" t="s">
        <v>9956</v>
      </c>
      <c r="AT114" s="2" t="s">
        <v>33</v>
      </c>
      <c r="AU114" s="1">
        <f t="shared" si="19"/>
        <v>3.079553247769125</v>
      </c>
      <c r="AV114" s="1">
        <f t="shared" si="20"/>
        <v>2.3029792857762827</v>
      </c>
      <c r="AW114" s="1">
        <f t="shared" si="21"/>
        <v>1.5264053237834398</v>
      </c>
    </row>
    <row r="115" spans="1:49" x14ac:dyDescent="0.2">
      <c r="A115">
        <v>113</v>
      </c>
      <c r="B115" t="s">
        <v>9955</v>
      </c>
      <c r="C115" t="s">
        <v>9954</v>
      </c>
      <c r="F115" t="s">
        <v>9953</v>
      </c>
      <c r="G115" t="s">
        <v>16</v>
      </c>
      <c r="H115" t="s">
        <v>15</v>
      </c>
      <c r="I115" t="s">
        <v>45</v>
      </c>
      <c r="J115" t="s">
        <v>44</v>
      </c>
      <c r="K115" t="s">
        <v>43</v>
      </c>
      <c r="L115" t="s">
        <v>42</v>
      </c>
      <c r="M115" t="s">
        <v>41</v>
      </c>
      <c r="N115">
        <v>2</v>
      </c>
      <c r="O115" t="s">
        <v>9952</v>
      </c>
      <c r="P115" t="s">
        <v>9951</v>
      </c>
      <c r="Q115" t="s">
        <v>9950</v>
      </c>
      <c r="R115" s="7">
        <v>33298</v>
      </c>
      <c r="S115" s="8">
        <f t="shared" si="16"/>
        <v>1991</v>
      </c>
      <c r="T115" s="8">
        <v>1991</v>
      </c>
      <c r="U115" s="8">
        <f t="shared" si="17"/>
        <v>31</v>
      </c>
      <c r="V115" s="7">
        <v>33298</v>
      </c>
      <c r="W115" t="s">
        <v>9949</v>
      </c>
      <c r="X115" s="2">
        <v>1.994</v>
      </c>
      <c r="Y115" s="6">
        <f t="shared" si="14"/>
        <v>5.322869117215237E-2</v>
      </c>
      <c r="AA115">
        <v>249297</v>
      </c>
      <c r="AB115">
        <v>21100779404</v>
      </c>
      <c r="AC115">
        <v>15205835</v>
      </c>
      <c r="AD115" t="s">
        <v>5</v>
      </c>
      <c r="AE115">
        <v>24</v>
      </c>
      <c r="AF115">
        <v>2</v>
      </c>
      <c r="AH115" t="s">
        <v>9948</v>
      </c>
      <c r="AI115" t="s">
        <v>9947</v>
      </c>
      <c r="AK115" t="s">
        <v>9946</v>
      </c>
      <c r="AL115">
        <v>17</v>
      </c>
      <c r="AM115" s="5">
        <f t="shared" si="18"/>
        <v>0.54838709677419351</v>
      </c>
      <c r="AN115" s="4">
        <f t="shared" si="15"/>
        <v>8.3057492885148579E-4</v>
      </c>
      <c r="AO115" s="3"/>
      <c r="AP115">
        <v>0</v>
      </c>
      <c r="AR115" t="s">
        <v>0</v>
      </c>
      <c r="AT115" s="2">
        <v>5.9850000000000003</v>
      </c>
      <c r="AU115" s="1">
        <f t="shared" si="19"/>
        <v>3.7509256299162104</v>
      </c>
      <c r="AV115" s="1">
        <f t="shared" si="20"/>
        <v>2.7029633050501927</v>
      </c>
      <c r="AW115" s="1">
        <f t="shared" si="21"/>
        <v>1.655000980184175</v>
      </c>
    </row>
    <row r="116" spans="1:49" x14ac:dyDescent="0.2">
      <c r="A116">
        <v>114</v>
      </c>
      <c r="B116" t="s">
        <v>9945</v>
      </c>
      <c r="C116" t="s">
        <v>9944</v>
      </c>
      <c r="F116" t="s">
        <v>9943</v>
      </c>
      <c r="G116" t="s">
        <v>16</v>
      </c>
      <c r="H116" t="s">
        <v>15</v>
      </c>
      <c r="I116" t="s">
        <v>9942</v>
      </c>
      <c r="J116" t="s">
        <v>9941</v>
      </c>
      <c r="K116" t="s">
        <v>9940</v>
      </c>
      <c r="L116" t="s">
        <v>9939</v>
      </c>
      <c r="M116" t="s">
        <v>9938</v>
      </c>
      <c r="N116">
        <v>22</v>
      </c>
      <c r="O116" t="s">
        <v>9937</v>
      </c>
      <c r="P116" t="s">
        <v>9936</v>
      </c>
      <c r="Q116" t="s">
        <v>9935</v>
      </c>
      <c r="R116" s="7">
        <v>33298</v>
      </c>
      <c r="S116" s="8">
        <f t="shared" si="16"/>
        <v>1991</v>
      </c>
      <c r="T116" s="8">
        <v>1991</v>
      </c>
      <c r="U116" s="8">
        <f t="shared" si="17"/>
        <v>31</v>
      </c>
      <c r="V116" s="7">
        <v>33298</v>
      </c>
      <c r="W116" t="s">
        <v>9934</v>
      </c>
      <c r="X116" s="2" t="s">
        <v>33</v>
      </c>
      <c r="Y116" s="6" t="e">
        <f t="shared" si="14"/>
        <v>#VALUE!</v>
      </c>
      <c r="AA116">
        <v>1709739</v>
      </c>
      <c r="AB116">
        <v>4900153107</v>
      </c>
      <c r="AC116">
        <v>14346052</v>
      </c>
      <c r="AD116" t="s">
        <v>5</v>
      </c>
      <c r="AE116">
        <v>50</v>
      </c>
      <c r="AF116">
        <v>1</v>
      </c>
      <c r="AH116" t="s">
        <v>4711</v>
      </c>
      <c r="AI116" t="s">
        <v>9933</v>
      </c>
      <c r="AK116" t="s">
        <v>9932</v>
      </c>
      <c r="AL116">
        <v>23</v>
      </c>
      <c r="AM116" s="5">
        <f t="shared" si="18"/>
        <v>0.74193548387096775</v>
      </c>
      <c r="AN116" s="4">
        <f t="shared" si="15"/>
        <v>1.1237190213873045E-3</v>
      </c>
      <c r="AO116" s="3"/>
      <c r="AP116">
        <v>0</v>
      </c>
      <c r="AR116" t="s">
        <v>0</v>
      </c>
      <c r="AT116" s="2" t="s">
        <v>33</v>
      </c>
      <c r="AU116" s="1" t="e">
        <f t="shared" si="19"/>
        <v>#VALUE!</v>
      </c>
      <c r="AV116" s="1" t="e">
        <f t="shared" si="20"/>
        <v>#VALUE!</v>
      </c>
      <c r="AW116" s="1" t="e">
        <f t="shared" si="21"/>
        <v>#VALUE!</v>
      </c>
    </row>
    <row r="117" spans="1:49" x14ac:dyDescent="0.2">
      <c r="A117">
        <v>115</v>
      </c>
      <c r="B117" t="s">
        <v>9931</v>
      </c>
      <c r="C117" t="s">
        <v>9930</v>
      </c>
      <c r="F117" t="s">
        <v>9929</v>
      </c>
      <c r="G117" t="s">
        <v>16</v>
      </c>
      <c r="H117" t="s">
        <v>15</v>
      </c>
      <c r="I117" t="s">
        <v>9928</v>
      </c>
      <c r="J117">
        <v>60023131</v>
      </c>
      <c r="K117" t="s">
        <v>9927</v>
      </c>
      <c r="L117" t="s">
        <v>9926</v>
      </c>
      <c r="M117" t="s">
        <v>25</v>
      </c>
      <c r="N117">
        <v>1</v>
      </c>
      <c r="O117" t="s">
        <v>9925</v>
      </c>
      <c r="P117">
        <v>6506827332</v>
      </c>
      <c r="Q117">
        <v>60023131</v>
      </c>
      <c r="R117" s="7">
        <v>33298</v>
      </c>
      <c r="S117" s="8">
        <f t="shared" si="16"/>
        <v>1991</v>
      </c>
      <c r="T117" s="8">
        <v>1991</v>
      </c>
      <c r="U117" s="8">
        <f t="shared" si="17"/>
        <v>31</v>
      </c>
      <c r="V117" s="7">
        <v>33298</v>
      </c>
      <c r="W117" t="s">
        <v>9924</v>
      </c>
      <c r="X117" s="2" t="s">
        <v>33</v>
      </c>
      <c r="Y117" s="6" t="e">
        <f t="shared" si="14"/>
        <v>#VALUE!</v>
      </c>
      <c r="AA117">
        <v>1743597</v>
      </c>
      <c r="AB117">
        <v>31434</v>
      </c>
      <c r="AC117">
        <v>14383888</v>
      </c>
      <c r="AD117" t="s">
        <v>5</v>
      </c>
      <c r="AE117">
        <v>45</v>
      </c>
      <c r="AF117" s="9">
        <v>44228</v>
      </c>
      <c r="AH117" t="s">
        <v>9923</v>
      </c>
      <c r="AI117" t="s">
        <v>9922</v>
      </c>
      <c r="AK117" t="s">
        <v>9921</v>
      </c>
      <c r="AL117">
        <v>20</v>
      </c>
      <c r="AM117" s="5">
        <f t="shared" si="18"/>
        <v>0.64516129032258063</v>
      </c>
      <c r="AN117" s="4">
        <f t="shared" si="15"/>
        <v>9.7714697511939509E-4</v>
      </c>
      <c r="AO117" s="3"/>
      <c r="AP117">
        <v>1</v>
      </c>
      <c r="AR117" t="s">
        <v>0</v>
      </c>
      <c r="AT117" s="2" t="s">
        <v>33</v>
      </c>
      <c r="AU117" s="1" t="e">
        <f t="shared" si="19"/>
        <v>#VALUE!</v>
      </c>
      <c r="AV117" s="1" t="e">
        <f t="shared" si="20"/>
        <v>#VALUE!</v>
      </c>
      <c r="AW117" s="1" t="e">
        <f t="shared" si="21"/>
        <v>#VALUE!</v>
      </c>
    </row>
    <row r="118" spans="1:49" x14ac:dyDescent="0.2">
      <c r="A118">
        <v>116</v>
      </c>
      <c r="B118" t="s">
        <v>9920</v>
      </c>
      <c r="C118" t="s">
        <v>9919</v>
      </c>
      <c r="F118" t="s">
        <v>9918</v>
      </c>
      <c r="G118" t="s">
        <v>16</v>
      </c>
      <c r="H118" t="s">
        <v>15</v>
      </c>
      <c r="I118" t="s">
        <v>9917</v>
      </c>
      <c r="J118">
        <v>60029114</v>
      </c>
      <c r="K118" t="s">
        <v>9916</v>
      </c>
      <c r="L118" t="s">
        <v>9915</v>
      </c>
      <c r="M118" t="s">
        <v>1765</v>
      </c>
      <c r="N118">
        <v>2</v>
      </c>
      <c r="O118" t="s">
        <v>9914</v>
      </c>
      <c r="P118" t="s">
        <v>9913</v>
      </c>
      <c r="Q118" t="s">
        <v>9912</v>
      </c>
      <c r="R118" s="7">
        <v>33298</v>
      </c>
      <c r="S118" s="8">
        <f t="shared" si="16"/>
        <v>1991</v>
      </c>
      <c r="T118" s="8">
        <v>1991</v>
      </c>
      <c r="U118" s="8">
        <f t="shared" si="17"/>
        <v>31</v>
      </c>
      <c r="V118" s="7">
        <v>33298</v>
      </c>
      <c r="W118" t="s">
        <v>9911</v>
      </c>
      <c r="X118" s="2">
        <v>0.63400000000000001</v>
      </c>
      <c r="Y118" s="6">
        <f t="shared" si="14"/>
        <v>1.6924267905288167E-2</v>
      </c>
      <c r="AA118">
        <v>1777971</v>
      </c>
      <c r="AB118">
        <v>13471</v>
      </c>
      <c r="AC118">
        <v>14365065</v>
      </c>
      <c r="AD118" t="s">
        <v>5</v>
      </c>
      <c r="AE118">
        <v>47</v>
      </c>
      <c r="AF118">
        <v>1</v>
      </c>
      <c r="AH118" t="s">
        <v>9910</v>
      </c>
      <c r="AI118" t="s">
        <v>9909</v>
      </c>
      <c r="AK118" t="s">
        <v>9908</v>
      </c>
      <c r="AL118">
        <v>19</v>
      </c>
      <c r="AM118" s="5">
        <f t="shared" si="18"/>
        <v>0.61290322580645162</v>
      </c>
      <c r="AN118" s="4">
        <f t="shared" si="15"/>
        <v>9.2828962636342543E-4</v>
      </c>
      <c r="AO118" s="3"/>
      <c r="AP118">
        <v>0</v>
      </c>
      <c r="AR118" t="s">
        <v>0</v>
      </c>
      <c r="AT118" s="2">
        <v>2.0649999999999999</v>
      </c>
      <c r="AU118" s="1">
        <f t="shared" si="19"/>
        <v>1.2125474421610742</v>
      </c>
      <c r="AV118" s="1">
        <f t="shared" si="20"/>
        <v>0.89262787658257958</v>
      </c>
      <c r="AW118" s="1">
        <f t="shared" si="21"/>
        <v>0.57270831100408481</v>
      </c>
    </row>
    <row r="119" spans="1:49" x14ac:dyDescent="0.2">
      <c r="A119">
        <v>117</v>
      </c>
      <c r="B119" t="s">
        <v>9907</v>
      </c>
      <c r="C119" t="s">
        <v>9906</v>
      </c>
      <c r="F119" t="s">
        <v>9905</v>
      </c>
      <c r="G119" t="s">
        <v>16</v>
      </c>
      <c r="H119" t="s">
        <v>15</v>
      </c>
      <c r="I119" t="s">
        <v>9904</v>
      </c>
      <c r="J119" t="s">
        <v>9903</v>
      </c>
      <c r="K119" t="s">
        <v>9902</v>
      </c>
      <c r="L119" t="s">
        <v>9901</v>
      </c>
      <c r="M119" t="s">
        <v>3918</v>
      </c>
      <c r="N119">
        <v>3</v>
      </c>
      <c r="O119" t="s">
        <v>9900</v>
      </c>
      <c r="P119" t="s">
        <v>9899</v>
      </c>
      <c r="Q119" t="s">
        <v>9898</v>
      </c>
      <c r="R119" s="7">
        <v>33298</v>
      </c>
      <c r="S119" s="8">
        <f t="shared" si="16"/>
        <v>1991</v>
      </c>
      <c r="T119" s="8">
        <v>1991</v>
      </c>
      <c r="U119" s="8">
        <f t="shared" si="17"/>
        <v>31</v>
      </c>
      <c r="V119" s="7">
        <v>33298</v>
      </c>
      <c r="W119" t="s">
        <v>337</v>
      </c>
      <c r="X119" s="2">
        <v>1.1579999999999999</v>
      </c>
      <c r="Y119" s="6">
        <f t="shared" si="14"/>
        <v>3.0912148634579962E-2</v>
      </c>
      <c r="AA119">
        <v>1668595</v>
      </c>
      <c r="AB119">
        <v>14223</v>
      </c>
      <c r="AC119">
        <v>15735079</v>
      </c>
      <c r="AD119" t="s">
        <v>5</v>
      </c>
      <c r="AE119">
        <v>27</v>
      </c>
      <c r="AF119">
        <v>3</v>
      </c>
      <c r="AH119" t="s">
        <v>9897</v>
      </c>
      <c r="AI119" t="s">
        <v>9896</v>
      </c>
      <c r="AJ119" t="s">
        <v>9895</v>
      </c>
      <c r="AK119" t="s">
        <v>9894</v>
      </c>
      <c r="AL119">
        <v>36</v>
      </c>
      <c r="AM119" s="5">
        <f t="shared" si="18"/>
        <v>1.1612903225806452</v>
      </c>
      <c r="AN119" s="4">
        <f t="shared" si="15"/>
        <v>1.7588645552149113E-3</v>
      </c>
      <c r="AO119" s="3"/>
      <c r="AP119">
        <v>0</v>
      </c>
      <c r="AR119" t="s">
        <v>0</v>
      </c>
      <c r="AT119" s="2">
        <v>3.573</v>
      </c>
      <c r="AU119" s="1">
        <f t="shared" si="19"/>
        <v>2.2166163410770445</v>
      </c>
      <c r="AV119" s="1">
        <f t="shared" si="20"/>
        <v>1.6335506594897438</v>
      </c>
      <c r="AW119" s="1">
        <f t="shared" si="21"/>
        <v>1.0504849779024428</v>
      </c>
    </row>
    <row r="120" spans="1:49" x14ac:dyDescent="0.2">
      <c r="A120">
        <v>118</v>
      </c>
      <c r="B120" t="s">
        <v>9893</v>
      </c>
      <c r="C120" t="s">
        <v>9892</v>
      </c>
      <c r="F120" t="s">
        <v>9891</v>
      </c>
      <c r="G120" t="s">
        <v>16</v>
      </c>
      <c r="H120" t="s">
        <v>15</v>
      </c>
      <c r="I120" t="s">
        <v>9890</v>
      </c>
      <c r="J120">
        <v>60030553</v>
      </c>
      <c r="K120" t="s">
        <v>3158</v>
      </c>
      <c r="L120" t="s">
        <v>3157</v>
      </c>
      <c r="M120" t="s">
        <v>213</v>
      </c>
      <c r="N120">
        <v>2</v>
      </c>
      <c r="O120" t="s">
        <v>9889</v>
      </c>
      <c r="P120" t="s">
        <v>9888</v>
      </c>
      <c r="Q120" t="s">
        <v>9887</v>
      </c>
      <c r="R120" s="7">
        <v>33297</v>
      </c>
      <c r="S120" s="8">
        <f t="shared" si="16"/>
        <v>1991</v>
      </c>
      <c r="T120" s="8">
        <v>1991</v>
      </c>
      <c r="U120" s="8">
        <f t="shared" si="17"/>
        <v>31</v>
      </c>
      <c r="V120" s="7">
        <v>33297</v>
      </c>
      <c r="W120" t="s">
        <v>535</v>
      </c>
      <c r="X120" s="2">
        <v>0.375</v>
      </c>
      <c r="Y120" s="6">
        <f t="shared" si="14"/>
        <v>1.0010410827260351E-2</v>
      </c>
      <c r="AA120">
        <v>135194</v>
      </c>
      <c r="AB120">
        <v>24918</v>
      </c>
      <c r="AD120" t="s">
        <v>5</v>
      </c>
      <c r="AE120">
        <v>27</v>
      </c>
      <c r="AF120">
        <v>5</v>
      </c>
      <c r="AH120" t="s">
        <v>9886</v>
      </c>
      <c r="AI120" t="s">
        <v>9885</v>
      </c>
      <c r="AJ120" t="s">
        <v>9884</v>
      </c>
      <c r="AK120" t="s">
        <v>9883</v>
      </c>
      <c r="AL120">
        <v>10</v>
      </c>
      <c r="AM120" s="5">
        <f t="shared" si="18"/>
        <v>0.32258064516129031</v>
      </c>
      <c r="AN120" s="4">
        <f t="shared" si="15"/>
        <v>4.8857348755969754E-4</v>
      </c>
      <c r="AO120" s="3"/>
      <c r="AP120">
        <v>0</v>
      </c>
      <c r="AR120" t="s">
        <v>0</v>
      </c>
      <c r="AT120" s="2">
        <v>1.3140000000000001</v>
      </c>
      <c r="AU120" s="1">
        <f t="shared" si="19"/>
        <v>0.71538596253501552</v>
      </c>
      <c r="AV120" s="1">
        <f t="shared" si="20"/>
        <v>0.52494921574100251</v>
      </c>
      <c r="AW120" s="1">
        <f t="shared" si="21"/>
        <v>0.33451246894698933</v>
      </c>
    </row>
    <row r="121" spans="1:49" x14ac:dyDescent="0.2">
      <c r="A121">
        <v>119</v>
      </c>
      <c r="B121" t="s">
        <v>9882</v>
      </c>
      <c r="C121" t="s">
        <v>9881</v>
      </c>
      <c r="F121" t="s">
        <v>9880</v>
      </c>
      <c r="G121" t="s">
        <v>16</v>
      </c>
      <c r="H121" t="s">
        <v>15</v>
      </c>
      <c r="I121" t="s">
        <v>9879</v>
      </c>
      <c r="J121">
        <v>100348662</v>
      </c>
      <c r="K121" t="s">
        <v>9878</v>
      </c>
      <c r="L121" t="s">
        <v>9877</v>
      </c>
      <c r="M121" t="s">
        <v>341</v>
      </c>
      <c r="N121">
        <v>3</v>
      </c>
      <c r="O121" t="s">
        <v>9876</v>
      </c>
      <c r="P121" t="s">
        <v>9875</v>
      </c>
      <c r="Q121" t="s">
        <v>9874</v>
      </c>
      <c r="R121" s="7">
        <v>33297</v>
      </c>
      <c r="S121" s="8">
        <f t="shared" si="16"/>
        <v>1991</v>
      </c>
      <c r="T121" s="8">
        <v>1991</v>
      </c>
      <c r="U121" s="8">
        <f t="shared" si="17"/>
        <v>31</v>
      </c>
      <c r="V121" s="7">
        <v>33297</v>
      </c>
      <c r="W121" t="s">
        <v>535</v>
      </c>
      <c r="X121" s="2">
        <v>0.375</v>
      </c>
      <c r="Y121" s="6">
        <f t="shared" si="14"/>
        <v>1.0010410827260351E-2</v>
      </c>
      <c r="AA121">
        <v>135194</v>
      </c>
      <c r="AB121">
        <v>24918</v>
      </c>
      <c r="AD121" t="s">
        <v>5</v>
      </c>
      <c r="AE121">
        <v>27</v>
      </c>
      <c r="AF121">
        <v>5</v>
      </c>
      <c r="AH121" t="s">
        <v>5871</v>
      </c>
      <c r="AI121" t="s">
        <v>9873</v>
      </c>
      <c r="AJ121" t="s">
        <v>9872</v>
      </c>
      <c r="AK121" t="s">
        <v>9871</v>
      </c>
      <c r="AL121">
        <v>1</v>
      </c>
      <c r="AM121" s="5">
        <f t="shared" si="18"/>
        <v>3.2258064516129031E-2</v>
      </c>
      <c r="AN121" s="4">
        <f t="shared" si="15"/>
        <v>4.8857348755969758E-5</v>
      </c>
      <c r="AO121" s="3"/>
      <c r="AP121">
        <v>0</v>
      </c>
      <c r="AR121" t="s">
        <v>0</v>
      </c>
      <c r="AT121" s="2">
        <v>1.3140000000000001</v>
      </c>
      <c r="AU121" s="1">
        <f t="shared" si="19"/>
        <v>0.70219447837090365</v>
      </c>
      <c r="AV121" s="1">
        <f t="shared" si="20"/>
        <v>0.50296340880081603</v>
      </c>
      <c r="AW121" s="1">
        <f t="shared" si="21"/>
        <v>0.3037323392307284</v>
      </c>
    </row>
    <row r="122" spans="1:49" x14ac:dyDescent="0.2">
      <c r="A122">
        <v>120</v>
      </c>
      <c r="B122" t="s">
        <v>9870</v>
      </c>
      <c r="C122" t="s">
        <v>9869</v>
      </c>
      <c r="F122" t="s">
        <v>9868</v>
      </c>
      <c r="G122" t="s">
        <v>16</v>
      </c>
      <c r="H122" t="s">
        <v>15</v>
      </c>
      <c r="I122" t="s">
        <v>9867</v>
      </c>
      <c r="J122">
        <v>60030553</v>
      </c>
      <c r="K122" t="s">
        <v>3158</v>
      </c>
      <c r="L122" t="s">
        <v>3157</v>
      </c>
      <c r="M122" t="s">
        <v>213</v>
      </c>
      <c r="N122">
        <v>3</v>
      </c>
      <c r="O122" t="s">
        <v>9866</v>
      </c>
      <c r="P122" t="s">
        <v>9865</v>
      </c>
      <c r="Q122" t="s">
        <v>9864</v>
      </c>
      <c r="R122" s="7">
        <v>33297</v>
      </c>
      <c r="S122" s="8">
        <f t="shared" si="16"/>
        <v>1991</v>
      </c>
      <c r="T122" s="8">
        <v>1991</v>
      </c>
      <c r="U122" s="8">
        <f t="shared" si="17"/>
        <v>31</v>
      </c>
      <c r="V122" s="7">
        <v>33297</v>
      </c>
      <c r="W122" t="s">
        <v>535</v>
      </c>
      <c r="X122" s="2">
        <v>0.375</v>
      </c>
      <c r="Y122" s="6">
        <f t="shared" si="14"/>
        <v>1.0010410827260351E-2</v>
      </c>
      <c r="AA122">
        <v>135194</v>
      </c>
      <c r="AB122">
        <v>24918</v>
      </c>
      <c r="AD122" t="s">
        <v>5</v>
      </c>
      <c r="AE122">
        <v>27</v>
      </c>
      <c r="AF122">
        <v>5</v>
      </c>
      <c r="AH122" t="s">
        <v>9863</v>
      </c>
      <c r="AI122" t="s">
        <v>9862</v>
      </c>
      <c r="AJ122" t="s">
        <v>9786</v>
      </c>
      <c r="AK122" t="s">
        <v>9861</v>
      </c>
      <c r="AL122">
        <v>2</v>
      </c>
      <c r="AM122" s="5">
        <f t="shared" si="18"/>
        <v>6.4516129032258063E-2</v>
      </c>
      <c r="AN122" s="4">
        <f t="shared" si="15"/>
        <v>9.7714697511939517E-5</v>
      </c>
      <c r="AO122" s="3"/>
      <c r="AP122">
        <v>0</v>
      </c>
      <c r="AR122" t="s">
        <v>0</v>
      </c>
      <c r="AT122" s="2">
        <v>1.3140000000000001</v>
      </c>
      <c r="AU122" s="1">
        <f t="shared" si="19"/>
        <v>0.70366019883358277</v>
      </c>
      <c r="AV122" s="1">
        <f t="shared" si="20"/>
        <v>0.50540627623861456</v>
      </c>
      <c r="AW122" s="1">
        <f t="shared" si="21"/>
        <v>0.30715235364364629</v>
      </c>
    </row>
    <row r="123" spans="1:49" x14ac:dyDescent="0.2">
      <c r="A123">
        <v>121</v>
      </c>
      <c r="B123" t="s">
        <v>9860</v>
      </c>
      <c r="C123" t="s">
        <v>9859</v>
      </c>
      <c r="F123" t="s">
        <v>9858</v>
      </c>
      <c r="G123" t="s">
        <v>16</v>
      </c>
      <c r="H123" t="s">
        <v>15</v>
      </c>
      <c r="I123" t="s">
        <v>9857</v>
      </c>
      <c r="J123">
        <v>60008928</v>
      </c>
      <c r="K123" t="s">
        <v>9856</v>
      </c>
      <c r="L123" t="s">
        <v>9855</v>
      </c>
      <c r="M123" t="s">
        <v>2661</v>
      </c>
      <c r="N123">
        <v>1</v>
      </c>
      <c r="O123" t="s">
        <v>9854</v>
      </c>
      <c r="P123">
        <v>7402101459</v>
      </c>
      <c r="Q123">
        <v>60008928</v>
      </c>
      <c r="R123" s="7">
        <v>33297</v>
      </c>
      <c r="S123" s="8">
        <f t="shared" si="16"/>
        <v>1991</v>
      </c>
      <c r="T123" s="8">
        <v>1991</v>
      </c>
      <c r="U123" s="8">
        <f t="shared" si="17"/>
        <v>31</v>
      </c>
      <c r="V123" s="7">
        <v>33297</v>
      </c>
      <c r="W123" t="s">
        <v>535</v>
      </c>
      <c r="X123" s="2">
        <v>0.375</v>
      </c>
      <c r="Y123" s="6">
        <f t="shared" si="14"/>
        <v>1.0010410827260351E-2</v>
      </c>
      <c r="AA123">
        <v>135194</v>
      </c>
      <c r="AB123">
        <v>24918</v>
      </c>
      <c r="AD123" t="s">
        <v>5</v>
      </c>
      <c r="AE123">
        <v>27</v>
      </c>
      <c r="AF123">
        <v>5</v>
      </c>
      <c r="AH123" t="s">
        <v>9853</v>
      </c>
      <c r="AI123" t="s">
        <v>9852</v>
      </c>
      <c r="AJ123" t="s">
        <v>9851</v>
      </c>
      <c r="AK123" t="s">
        <v>9850</v>
      </c>
      <c r="AL123">
        <v>0</v>
      </c>
      <c r="AM123" s="5">
        <f t="shared" si="18"/>
        <v>0</v>
      </c>
      <c r="AN123" s="4">
        <f t="shared" si="15"/>
        <v>0</v>
      </c>
      <c r="AO123" s="3"/>
      <c r="AP123">
        <v>0</v>
      </c>
      <c r="AR123" t="s">
        <v>0</v>
      </c>
      <c r="AT123" s="2">
        <v>1.3140000000000001</v>
      </c>
      <c r="AU123" s="1">
        <f t="shared" si="19"/>
        <v>0.70072875790822453</v>
      </c>
      <c r="AV123" s="1">
        <f t="shared" si="20"/>
        <v>0.5005205413630176</v>
      </c>
      <c r="AW123" s="1">
        <f t="shared" si="21"/>
        <v>0.30031232481781051</v>
      </c>
    </row>
    <row r="124" spans="1:49" x14ac:dyDescent="0.2">
      <c r="A124">
        <v>122</v>
      </c>
      <c r="B124" t="s">
        <v>9849</v>
      </c>
      <c r="C124" t="s">
        <v>9848</v>
      </c>
      <c r="F124" t="s">
        <v>9847</v>
      </c>
      <c r="G124" t="s">
        <v>16</v>
      </c>
      <c r="H124" t="s">
        <v>15</v>
      </c>
      <c r="I124" t="s">
        <v>1410</v>
      </c>
      <c r="J124">
        <v>60005510</v>
      </c>
      <c r="K124" t="s">
        <v>1409</v>
      </c>
      <c r="L124" t="s">
        <v>1408</v>
      </c>
      <c r="M124" t="s">
        <v>1407</v>
      </c>
      <c r="N124">
        <v>1</v>
      </c>
      <c r="O124" t="s">
        <v>3737</v>
      </c>
      <c r="P124">
        <v>7102842938</v>
      </c>
      <c r="Q124">
        <v>60005510</v>
      </c>
      <c r="R124" s="7">
        <v>33297</v>
      </c>
      <c r="S124" s="8">
        <f t="shared" si="16"/>
        <v>1991</v>
      </c>
      <c r="T124" s="8">
        <v>1991</v>
      </c>
      <c r="U124" s="8">
        <f t="shared" si="17"/>
        <v>31</v>
      </c>
      <c r="V124" s="7">
        <v>33297</v>
      </c>
      <c r="W124" t="s">
        <v>535</v>
      </c>
      <c r="X124" s="2">
        <v>0.375</v>
      </c>
      <c r="Y124" s="6">
        <f t="shared" si="14"/>
        <v>1.0010410827260351E-2</v>
      </c>
      <c r="AA124">
        <v>135194</v>
      </c>
      <c r="AB124">
        <v>24918</v>
      </c>
      <c r="AD124" t="s">
        <v>5</v>
      </c>
      <c r="AE124">
        <v>27</v>
      </c>
      <c r="AF124">
        <v>5</v>
      </c>
      <c r="AH124" t="s">
        <v>9846</v>
      </c>
      <c r="AI124" t="s">
        <v>9845</v>
      </c>
      <c r="AJ124" t="s">
        <v>9844</v>
      </c>
      <c r="AK124" t="s">
        <v>9843</v>
      </c>
      <c r="AL124">
        <v>0</v>
      </c>
      <c r="AM124" s="5">
        <f t="shared" si="18"/>
        <v>0</v>
      </c>
      <c r="AN124" s="4">
        <f t="shared" si="15"/>
        <v>0</v>
      </c>
      <c r="AO124" s="3"/>
      <c r="AP124">
        <v>0</v>
      </c>
      <c r="AR124" t="s">
        <v>0</v>
      </c>
      <c r="AT124" s="2">
        <v>1.3140000000000001</v>
      </c>
      <c r="AU124" s="1">
        <f t="shared" si="19"/>
        <v>0.70072875790822453</v>
      </c>
      <c r="AV124" s="1">
        <f t="shared" si="20"/>
        <v>0.5005205413630176</v>
      </c>
      <c r="AW124" s="1">
        <f t="shared" si="21"/>
        <v>0.30031232481781051</v>
      </c>
    </row>
    <row r="125" spans="1:49" x14ac:dyDescent="0.2">
      <c r="A125">
        <v>123</v>
      </c>
      <c r="B125" t="s">
        <v>9842</v>
      </c>
      <c r="C125" t="s">
        <v>9841</v>
      </c>
      <c r="F125" t="s">
        <v>9840</v>
      </c>
      <c r="G125" t="s">
        <v>16</v>
      </c>
      <c r="H125" t="s">
        <v>15</v>
      </c>
      <c r="I125" t="s">
        <v>9839</v>
      </c>
      <c r="J125">
        <v>60019269</v>
      </c>
      <c r="K125" t="s">
        <v>9838</v>
      </c>
      <c r="L125" t="s">
        <v>9837</v>
      </c>
      <c r="M125" t="s">
        <v>213</v>
      </c>
      <c r="N125">
        <v>4</v>
      </c>
      <c r="O125" t="s">
        <v>9836</v>
      </c>
      <c r="P125" t="s">
        <v>9835</v>
      </c>
      <c r="Q125" t="s">
        <v>9834</v>
      </c>
      <c r="R125" s="7">
        <v>33284</v>
      </c>
      <c r="S125" s="8">
        <f t="shared" si="16"/>
        <v>1991</v>
      </c>
      <c r="T125" s="8">
        <v>1991</v>
      </c>
      <c r="U125" s="8">
        <f t="shared" si="17"/>
        <v>31</v>
      </c>
      <c r="V125" s="7">
        <v>33284</v>
      </c>
      <c r="W125" t="s">
        <v>9833</v>
      </c>
      <c r="X125" s="2">
        <v>1.524</v>
      </c>
      <c r="Y125" s="6">
        <f t="shared" si="14"/>
        <v>4.0682309601986065E-2</v>
      </c>
      <c r="AA125">
        <v>1469592</v>
      </c>
      <c r="AB125">
        <v>12863</v>
      </c>
      <c r="AC125">
        <v>15394794</v>
      </c>
      <c r="AD125" t="s">
        <v>5</v>
      </c>
      <c r="AE125">
        <v>16</v>
      </c>
      <c r="AF125">
        <v>4</v>
      </c>
      <c r="AH125" t="s">
        <v>9832</v>
      </c>
      <c r="AI125" t="s">
        <v>9831</v>
      </c>
      <c r="AK125" t="s">
        <v>9830</v>
      </c>
      <c r="AL125">
        <v>74</v>
      </c>
      <c r="AM125" s="5">
        <f t="shared" si="18"/>
        <v>2.3870967741935485</v>
      </c>
      <c r="AN125" s="4">
        <f t="shared" si="15"/>
        <v>3.6154438079417624E-3</v>
      </c>
      <c r="AO125" s="3"/>
      <c r="AP125">
        <v>0</v>
      </c>
      <c r="AR125" t="s">
        <v>0</v>
      </c>
      <c r="AT125" s="2">
        <v>3.7759999999999998</v>
      </c>
      <c r="AU125" s="1">
        <f t="shared" si="19"/>
        <v>2.9562249863772769</v>
      </c>
      <c r="AV125" s="1">
        <f t="shared" si="20"/>
        <v>2.2148876704963913</v>
      </c>
      <c r="AW125" s="1">
        <f t="shared" si="21"/>
        <v>1.4735503546155053</v>
      </c>
    </row>
    <row r="126" spans="1:49" x14ac:dyDescent="0.2">
      <c r="A126">
        <v>124</v>
      </c>
      <c r="B126" t="s">
        <v>9829</v>
      </c>
      <c r="C126" t="s">
        <v>9828</v>
      </c>
      <c r="F126" t="s">
        <v>9827</v>
      </c>
      <c r="G126" t="s">
        <v>16</v>
      </c>
      <c r="H126" t="s">
        <v>15</v>
      </c>
      <c r="I126" t="s">
        <v>9826</v>
      </c>
      <c r="J126">
        <v>60009455</v>
      </c>
      <c r="K126" t="s">
        <v>9825</v>
      </c>
      <c r="L126" t="s">
        <v>1905</v>
      </c>
      <c r="M126" t="s">
        <v>1904</v>
      </c>
      <c r="N126">
        <v>2</v>
      </c>
      <c r="O126" t="s">
        <v>9824</v>
      </c>
      <c r="P126" t="s">
        <v>9823</v>
      </c>
      <c r="Q126" t="s">
        <v>9822</v>
      </c>
      <c r="R126" s="7">
        <v>33283</v>
      </c>
      <c r="S126" s="8">
        <f t="shared" si="16"/>
        <v>1991</v>
      </c>
      <c r="T126" s="8">
        <v>1991</v>
      </c>
      <c r="U126" s="8">
        <f t="shared" si="17"/>
        <v>31</v>
      </c>
      <c r="V126" s="7">
        <v>33283</v>
      </c>
      <c r="W126" t="s">
        <v>535</v>
      </c>
      <c r="X126" s="2">
        <v>0.375</v>
      </c>
      <c r="Y126" s="6">
        <f t="shared" si="14"/>
        <v>1.0010410827260351E-2</v>
      </c>
      <c r="AA126">
        <v>135194</v>
      </c>
      <c r="AB126">
        <v>24918</v>
      </c>
      <c r="AD126" t="s">
        <v>5</v>
      </c>
      <c r="AE126">
        <v>27</v>
      </c>
      <c r="AF126">
        <v>4</v>
      </c>
      <c r="AH126" t="s">
        <v>9821</v>
      </c>
      <c r="AI126" t="s">
        <v>9820</v>
      </c>
      <c r="AJ126" t="s">
        <v>9819</v>
      </c>
      <c r="AK126" t="s">
        <v>9818</v>
      </c>
      <c r="AL126">
        <v>4</v>
      </c>
      <c r="AM126" s="5">
        <f t="shared" si="18"/>
        <v>0.12903225806451613</v>
      </c>
      <c r="AN126" s="4">
        <f t="shared" si="15"/>
        <v>1.9542939502387903E-4</v>
      </c>
      <c r="AO126" s="3"/>
      <c r="AP126">
        <v>0</v>
      </c>
      <c r="AR126" t="s">
        <v>0</v>
      </c>
      <c r="AT126" s="2">
        <v>1.3140000000000001</v>
      </c>
      <c r="AU126" s="1">
        <f t="shared" si="19"/>
        <v>0.7065916397589409</v>
      </c>
      <c r="AV126" s="1">
        <f t="shared" si="20"/>
        <v>0.51029201111421152</v>
      </c>
      <c r="AW126" s="1">
        <f t="shared" si="21"/>
        <v>0.31399238246948202</v>
      </c>
    </row>
    <row r="127" spans="1:49" x14ac:dyDescent="0.2">
      <c r="A127">
        <v>125</v>
      </c>
      <c r="B127" t="s">
        <v>9817</v>
      </c>
      <c r="C127" t="s">
        <v>9816</v>
      </c>
      <c r="F127" t="s">
        <v>9815</v>
      </c>
      <c r="G127" t="s">
        <v>16</v>
      </c>
      <c r="H127" t="s">
        <v>15</v>
      </c>
      <c r="I127" t="s">
        <v>9814</v>
      </c>
      <c r="J127">
        <v>60031701</v>
      </c>
      <c r="K127" t="s">
        <v>3013</v>
      </c>
      <c r="L127" t="s">
        <v>3012</v>
      </c>
      <c r="M127" t="s">
        <v>326</v>
      </c>
      <c r="N127">
        <v>1</v>
      </c>
      <c r="O127" t="s">
        <v>9813</v>
      </c>
      <c r="P127">
        <v>7101888809</v>
      </c>
      <c r="Q127">
        <v>60031701</v>
      </c>
      <c r="R127" s="7">
        <v>33283</v>
      </c>
      <c r="S127" s="8">
        <f t="shared" si="16"/>
        <v>1991</v>
      </c>
      <c r="T127" s="8">
        <v>1991</v>
      </c>
      <c r="U127" s="8">
        <f t="shared" si="17"/>
        <v>31</v>
      </c>
      <c r="V127" s="7">
        <v>33283</v>
      </c>
      <c r="W127" t="s">
        <v>535</v>
      </c>
      <c r="X127" s="2">
        <v>0.375</v>
      </c>
      <c r="Y127" s="6">
        <f t="shared" si="14"/>
        <v>1.0010410827260351E-2</v>
      </c>
      <c r="AA127">
        <v>135194</v>
      </c>
      <c r="AB127">
        <v>24918</v>
      </c>
      <c r="AD127" t="s">
        <v>5</v>
      </c>
      <c r="AE127">
        <v>27</v>
      </c>
      <c r="AF127">
        <v>4</v>
      </c>
      <c r="AH127" t="s">
        <v>9812</v>
      </c>
      <c r="AI127" t="s">
        <v>9811</v>
      </c>
      <c r="AJ127" t="s">
        <v>9810</v>
      </c>
      <c r="AK127" t="s">
        <v>9809</v>
      </c>
      <c r="AL127">
        <v>11</v>
      </c>
      <c r="AM127" s="5">
        <f t="shared" si="18"/>
        <v>0.35483870967741937</v>
      </c>
      <c r="AN127" s="4">
        <f t="shared" si="15"/>
        <v>5.3743083631566731E-4</v>
      </c>
      <c r="AO127" s="3"/>
      <c r="AP127">
        <v>0</v>
      </c>
      <c r="AR127" t="s">
        <v>0</v>
      </c>
      <c r="AT127" s="2">
        <v>1.3140000000000001</v>
      </c>
      <c r="AU127" s="1">
        <f t="shared" si="19"/>
        <v>0.71685168299769464</v>
      </c>
      <c r="AV127" s="1">
        <f t="shared" si="20"/>
        <v>0.52739208317880093</v>
      </c>
      <c r="AW127" s="1">
        <f t="shared" si="21"/>
        <v>0.33793248335990722</v>
      </c>
    </row>
    <row r="128" spans="1:49" x14ac:dyDescent="0.2">
      <c r="A128">
        <v>126</v>
      </c>
      <c r="B128" t="s">
        <v>9808</v>
      </c>
      <c r="C128" t="s">
        <v>9807</v>
      </c>
      <c r="F128" t="s">
        <v>9806</v>
      </c>
      <c r="G128" t="s">
        <v>16</v>
      </c>
      <c r="H128" t="s">
        <v>15</v>
      </c>
      <c r="I128" t="s">
        <v>9805</v>
      </c>
      <c r="J128">
        <v>60007592</v>
      </c>
      <c r="K128" t="s">
        <v>9804</v>
      </c>
      <c r="L128" t="s">
        <v>9803</v>
      </c>
      <c r="M128" t="s">
        <v>1904</v>
      </c>
      <c r="N128">
        <v>2</v>
      </c>
      <c r="O128" t="s">
        <v>9802</v>
      </c>
      <c r="P128" t="s">
        <v>9801</v>
      </c>
      <c r="Q128" t="s">
        <v>9800</v>
      </c>
      <c r="R128" s="7">
        <v>33283</v>
      </c>
      <c r="S128" s="8">
        <f t="shared" si="16"/>
        <v>1991</v>
      </c>
      <c r="T128" s="8">
        <v>1991</v>
      </c>
      <c r="U128" s="8">
        <f t="shared" si="17"/>
        <v>31</v>
      </c>
      <c r="V128" s="7">
        <v>33283</v>
      </c>
      <c r="W128" t="s">
        <v>535</v>
      </c>
      <c r="X128" s="2">
        <v>0.375</v>
      </c>
      <c r="Y128" s="6">
        <f t="shared" si="14"/>
        <v>1.0010410827260351E-2</v>
      </c>
      <c r="AA128">
        <v>135194</v>
      </c>
      <c r="AB128">
        <v>24918</v>
      </c>
      <c r="AD128" t="s">
        <v>5</v>
      </c>
      <c r="AE128">
        <v>27</v>
      </c>
      <c r="AF128">
        <v>4</v>
      </c>
      <c r="AH128" t="s">
        <v>9799</v>
      </c>
      <c r="AI128" t="s">
        <v>9798</v>
      </c>
      <c r="AJ128" t="s">
        <v>9797</v>
      </c>
      <c r="AK128" t="s">
        <v>9796</v>
      </c>
      <c r="AL128">
        <v>0</v>
      </c>
      <c r="AM128" s="5">
        <f t="shared" si="18"/>
        <v>0</v>
      </c>
      <c r="AN128" s="4">
        <f t="shared" si="15"/>
        <v>0</v>
      </c>
      <c r="AO128" s="3"/>
      <c r="AP128">
        <v>0</v>
      </c>
      <c r="AR128" t="s">
        <v>0</v>
      </c>
      <c r="AT128" s="2">
        <v>1.3140000000000001</v>
      </c>
      <c r="AU128" s="1">
        <f t="shared" si="19"/>
        <v>0.70072875790822453</v>
      </c>
      <c r="AV128" s="1">
        <f t="shared" si="20"/>
        <v>0.5005205413630176</v>
      </c>
      <c r="AW128" s="1">
        <f t="shared" si="21"/>
        <v>0.30031232481781051</v>
      </c>
    </row>
    <row r="129" spans="1:49" x14ac:dyDescent="0.2">
      <c r="A129">
        <v>127</v>
      </c>
      <c r="B129" t="s">
        <v>9795</v>
      </c>
      <c r="C129" t="s">
        <v>9794</v>
      </c>
      <c r="F129" t="s">
        <v>9793</v>
      </c>
      <c r="G129" t="s">
        <v>16</v>
      </c>
      <c r="H129" t="s">
        <v>15</v>
      </c>
      <c r="I129" t="s">
        <v>9792</v>
      </c>
      <c r="J129">
        <v>60010818</v>
      </c>
      <c r="K129" t="s">
        <v>7119</v>
      </c>
      <c r="L129" t="s">
        <v>7118</v>
      </c>
      <c r="M129" t="s">
        <v>117</v>
      </c>
      <c r="N129">
        <v>2</v>
      </c>
      <c r="O129" t="s">
        <v>9791</v>
      </c>
      <c r="P129" t="s">
        <v>9790</v>
      </c>
      <c r="Q129" t="s">
        <v>9789</v>
      </c>
      <c r="R129" s="7">
        <v>33283</v>
      </c>
      <c r="S129" s="8">
        <f t="shared" si="16"/>
        <v>1991</v>
      </c>
      <c r="T129" s="8">
        <v>1991</v>
      </c>
      <c r="U129" s="8">
        <f t="shared" si="17"/>
        <v>31</v>
      </c>
      <c r="V129" s="7">
        <v>33283</v>
      </c>
      <c r="W129" t="s">
        <v>535</v>
      </c>
      <c r="X129" s="2">
        <v>0.375</v>
      </c>
      <c r="Y129" s="6">
        <f t="shared" si="14"/>
        <v>1.0010410827260351E-2</v>
      </c>
      <c r="AA129">
        <v>135194</v>
      </c>
      <c r="AB129">
        <v>24918</v>
      </c>
      <c r="AD129" t="s">
        <v>5</v>
      </c>
      <c r="AE129">
        <v>27</v>
      </c>
      <c r="AF129">
        <v>4</v>
      </c>
      <c r="AH129" t="s">
        <v>9788</v>
      </c>
      <c r="AI129" t="s">
        <v>9787</v>
      </c>
      <c r="AJ129" t="s">
        <v>9786</v>
      </c>
      <c r="AK129" t="s">
        <v>9785</v>
      </c>
      <c r="AL129">
        <v>25</v>
      </c>
      <c r="AM129" s="5">
        <f t="shared" si="18"/>
        <v>0.80645161290322576</v>
      </c>
      <c r="AN129" s="4">
        <f t="shared" si="15"/>
        <v>1.2214337188992438E-3</v>
      </c>
      <c r="AO129" s="3"/>
      <c r="AP129">
        <v>0</v>
      </c>
      <c r="AR129" t="s">
        <v>0</v>
      </c>
      <c r="AT129" s="2">
        <v>1.3140000000000001</v>
      </c>
      <c r="AU129" s="1">
        <f t="shared" si="19"/>
        <v>0.73737176947520189</v>
      </c>
      <c r="AV129" s="1">
        <f t="shared" si="20"/>
        <v>0.56159222730797975</v>
      </c>
      <c r="AW129" s="1">
        <f t="shared" si="21"/>
        <v>0.38581268514075756</v>
      </c>
    </row>
    <row r="130" spans="1:49" x14ac:dyDescent="0.2">
      <c r="A130">
        <v>128</v>
      </c>
      <c r="B130" t="s">
        <v>9784</v>
      </c>
      <c r="C130" t="s">
        <v>9783</v>
      </c>
      <c r="F130" t="s">
        <v>9782</v>
      </c>
      <c r="G130" t="s">
        <v>16</v>
      </c>
      <c r="H130" t="s">
        <v>15</v>
      </c>
      <c r="I130" t="s">
        <v>9781</v>
      </c>
      <c r="J130">
        <v>60031544</v>
      </c>
      <c r="K130" t="s">
        <v>6549</v>
      </c>
      <c r="L130" t="s">
        <v>6548</v>
      </c>
      <c r="M130" t="s">
        <v>1207</v>
      </c>
      <c r="N130">
        <v>4</v>
      </c>
      <c r="O130" t="s">
        <v>9780</v>
      </c>
      <c r="P130" t="s">
        <v>9779</v>
      </c>
      <c r="Q130" t="s">
        <v>9778</v>
      </c>
      <c r="R130" s="7">
        <v>33283</v>
      </c>
      <c r="S130" s="8">
        <f t="shared" si="16"/>
        <v>1991</v>
      </c>
      <c r="T130" s="8">
        <v>1991</v>
      </c>
      <c r="U130" s="8">
        <f t="shared" si="17"/>
        <v>31</v>
      </c>
      <c r="V130" s="7">
        <v>33283</v>
      </c>
      <c r="W130" t="s">
        <v>535</v>
      </c>
      <c r="X130" s="2">
        <v>0.375</v>
      </c>
      <c r="Y130" s="6">
        <f t="shared" ref="Y130:Y193" si="22">(X130-$Z$4)/($Z$3-$Z$4)</f>
        <v>1.0010410827260351E-2</v>
      </c>
      <c r="AA130">
        <v>135194</v>
      </c>
      <c r="AB130">
        <v>24918</v>
      </c>
      <c r="AD130" t="s">
        <v>5</v>
      </c>
      <c r="AE130">
        <v>27</v>
      </c>
      <c r="AF130">
        <v>4</v>
      </c>
      <c r="AH130" t="s">
        <v>9777</v>
      </c>
      <c r="AI130" t="s">
        <v>9776</v>
      </c>
      <c r="AJ130" t="s">
        <v>9469</v>
      </c>
      <c r="AK130" t="s">
        <v>9775</v>
      </c>
      <c r="AL130">
        <v>1</v>
      </c>
      <c r="AM130" s="5">
        <f t="shared" si="18"/>
        <v>3.2258064516129031E-2</v>
      </c>
      <c r="AN130" s="4">
        <f t="shared" ref="AN130:AN193" si="23">(AM130-$AO$4)/($AO$3-$AO$4)</f>
        <v>4.8857348755969758E-5</v>
      </c>
      <c r="AO130" s="3"/>
      <c r="AP130">
        <v>0</v>
      </c>
      <c r="AR130" t="s">
        <v>0</v>
      </c>
      <c r="AT130" s="2">
        <v>1.3140000000000001</v>
      </c>
      <c r="AU130" s="1">
        <f t="shared" si="19"/>
        <v>0.70219447837090365</v>
      </c>
      <c r="AV130" s="1">
        <f t="shared" si="20"/>
        <v>0.50296340880081603</v>
      </c>
      <c r="AW130" s="1">
        <f t="shared" si="21"/>
        <v>0.3037323392307284</v>
      </c>
    </row>
    <row r="131" spans="1:49" x14ac:dyDescent="0.2">
      <c r="A131">
        <v>129</v>
      </c>
      <c r="B131" t="s">
        <v>9774</v>
      </c>
      <c r="C131" t="s">
        <v>9773</v>
      </c>
      <c r="F131" t="s">
        <v>9772</v>
      </c>
      <c r="G131" t="s">
        <v>16</v>
      </c>
      <c r="H131" t="s">
        <v>15</v>
      </c>
      <c r="I131" t="s">
        <v>4015</v>
      </c>
      <c r="J131">
        <v>60031828</v>
      </c>
      <c r="K131" t="s">
        <v>1545</v>
      </c>
      <c r="L131" t="s">
        <v>1544</v>
      </c>
      <c r="M131" t="s">
        <v>1543</v>
      </c>
      <c r="N131">
        <v>3</v>
      </c>
      <c r="O131" t="s">
        <v>9771</v>
      </c>
      <c r="P131" t="s">
        <v>9770</v>
      </c>
      <c r="Q131" t="s">
        <v>9769</v>
      </c>
      <c r="R131" s="7">
        <v>33283</v>
      </c>
      <c r="S131" s="8">
        <f t="shared" si="16"/>
        <v>1991</v>
      </c>
      <c r="T131" s="8">
        <v>1991</v>
      </c>
      <c r="U131" s="8">
        <f t="shared" si="17"/>
        <v>31</v>
      </c>
      <c r="V131" s="7">
        <v>33283</v>
      </c>
      <c r="W131" t="s">
        <v>535</v>
      </c>
      <c r="X131" s="2">
        <v>0.375</v>
      </c>
      <c r="Y131" s="6">
        <f t="shared" si="22"/>
        <v>1.0010410827260351E-2</v>
      </c>
      <c r="AA131">
        <v>135194</v>
      </c>
      <c r="AB131">
        <v>24918</v>
      </c>
      <c r="AD131" t="s">
        <v>5</v>
      </c>
      <c r="AE131">
        <v>27</v>
      </c>
      <c r="AF131">
        <v>4</v>
      </c>
      <c r="AH131" t="s">
        <v>9768</v>
      </c>
      <c r="AI131" t="s">
        <v>9767</v>
      </c>
      <c r="AJ131" t="s">
        <v>9766</v>
      </c>
      <c r="AK131" t="s">
        <v>9765</v>
      </c>
      <c r="AL131">
        <v>12</v>
      </c>
      <c r="AM131" s="5">
        <f t="shared" si="18"/>
        <v>0.38709677419354838</v>
      </c>
      <c r="AN131" s="4">
        <f t="shared" si="23"/>
        <v>5.8628818507163707E-4</v>
      </c>
      <c r="AO131" s="3"/>
      <c r="AP131">
        <v>0</v>
      </c>
      <c r="AR131" t="s">
        <v>0</v>
      </c>
      <c r="AT131" s="2">
        <v>1.3140000000000001</v>
      </c>
      <c r="AU131" s="1">
        <f t="shared" si="19"/>
        <v>0.71831740346037365</v>
      </c>
      <c r="AV131" s="1">
        <f t="shared" si="20"/>
        <v>0.52983495061659946</v>
      </c>
      <c r="AW131" s="1">
        <f t="shared" si="21"/>
        <v>0.34135249777282511</v>
      </c>
    </row>
    <row r="132" spans="1:49" x14ac:dyDescent="0.2">
      <c r="A132">
        <v>130</v>
      </c>
      <c r="B132" t="s">
        <v>9764</v>
      </c>
      <c r="C132" t="s">
        <v>9763</v>
      </c>
      <c r="F132" t="s">
        <v>9762</v>
      </c>
      <c r="G132" t="s">
        <v>16</v>
      </c>
      <c r="H132" t="s">
        <v>15</v>
      </c>
      <c r="I132" t="s">
        <v>9761</v>
      </c>
      <c r="J132" t="s">
        <v>9756</v>
      </c>
      <c r="K132" t="s">
        <v>9760</v>
      </c>
      <c r="L132" t="s">
        <v>9759</v>
      </c>
      <c r="M132" t="s">
        <v>1147</v>
      </c>
      <c r="N132">
        <v>3</v>
      </c>
      <c r="O132" t="s">
        <v>9758</v>
      </c>
      <c r="P132" t="s">
        <v>9757</v>
      </c>
      <c r="Q132" t="s">
        <v>9756</v>
      </c>
      <c r="R132" s="7">
        <v>33279</v>
      </c>
      <c r="S132" s="8">
        <f t="shared" si="16"/>
        <v>1991</v>
      </c>
      <c r="T132" s="8">
        <v>1991</v>
      </c>
      <c r="U132" s="8">
        <f t="shared" si="17"/>
        <v>31</v>
      </c>
      <c r="V132" s="7">
        <v>33279</v>
      </c>
      <c r="W132" t="s">
        <v>9755</v>
      </c>
      <c r="X132" s="2">
        <v>0.66800000000000004</v>
      </c>
      <c r="Y132" s="6">
        <f t="shared" si="22"/>
        <v>1.7831878486959774E-2</v>
      </c>
      <c r="AA132" t="s">
        <v>9754</v>
      </c>
      <c r="AB132">
        <v>29593</v>
      </c>
      <c r="AC132">
        <v>21553165</v>
      </c>
      <c r="AD132" t="s">
        <v>5</v>
      </c>
      <c r="AE132">
        <v>30</v>
      </c>
      <c r="AF132">
        <v>5</v>
      </c>
      <c r="AH132" t="s">
        <v>9753</v>
      </c>
      <c r="AI132" t="s">
        <v>9752</v>
      </c>
      <c r="AK132" t="s">
        <v>9751</v>
      </c>
      <c r="AL132">
        <v>3</v>
      </c>
      <c r="AM132" s="5">
        <f t="shared" si="18"/>
        <v>9.6774193548387094E-2</v>
      </c>
      <c r="AN132" s="4">
        <f t="shared" si="23"/>
        <v>1.4657204626790927E-4</v>
      </c>
      <c r="AO132" s="3"/>
      <c r="AP132">
        <v>0</v>
      </c>
      <c r="AR132" t="s">
        <v>0</v>
      </c>
      <c r="AT132" s="2">
        <v>1.98</v>
      </c>
      <c r="AU132" s="1">
        <f t="shared" si="19"/>
        <v>1.2526286554752213</v>
      </c>
      <c r="AV132" s="1">
        <f t="shared" si="20"/>
        <v>0.89892252666138417</v>
      </c>
      <c r="AW132" s="1">
        <f t="shared" si="21"/>
        <v>0.54521639784754683</v>
      </c>
    </row>
    <row r="133" spans="1:49" x14ac:dyDescent="0.2">
      <c r="A133">
        <v>131</v>
      </c>
      <c r="B133" t="s">
        <v>9750</v>
      </c>
      <c r="C133" t="s">
        <v>9749</v>
      </c>
      <c r="D133" t="s">
        <v>9748</v>
      </c>
      <c r="E133">
        <v>1899708</v>
      </c>
      <c r="F133" t="s">
        <v>9747</v>
      </c>
      <c r="G133" t="s">
        <v>16</v>
      </c>
      <c r="H133" t="s">
        <v>15</v>
      </c>
      <c r="I133" t="s">
        <v>9746</v>
      </c>
      <c r="J133">
        <v>60006070</v>
      </c>
      <c r="K133" t="s">
        <v>9745</v>
      </c>
      <c r="L133" t="s">
        <v>9744</v>
      </c>
      <c r="M133" t="s">
        <v>25</v>
      </c>
      <c r="N133">
        <v>3</v>
      </c>
      <c r="O133" t="s">
        <v>9743</v>
      </c>
      <c r="P133" t="s">
        <v>9742</v>
      </c>
      <c r="Q133" t="s">
        <v>9741</v>
      </c>
      <c r="R133" s="7">
        <v>33274</v>
      </c>
      <c r="S133" s="8">
        <f t="shared" si="16"/>
        <v>1991</v>
      </c>
      <c r="T133" s="8">
        <v>1991</v>
      </c>
      <c r="U133" s="8">
        <f t="shared" si="17"/>
        <v>31</v>
      </c>
      <c r="V133" s="7">
        <v>33274</v>
      </c>
      <c r="W133" t="s">
        <v>9740</v>
      </c>
      <c r="X133" s="2">
        <v>3.1890000000000001</v>
      </c>
      <c r="Y133" s="6">
        <f t="shared" si="22"/>
        <v>8.5128533675022031E-2</v>
      </c>
      <c r="AA133">
        <v>222836</v>
      </c>
      <c r="AB133">
        <v>17618</v>
      </c>
      <c r="AD133" t="s">
        <v>5</v>
      </c>
      <c r="AE133">
        <v>217</v>
      </c>
      <c r="AF133">
        <v>3</v>
      </c>
      <c r="AH133" t="s">
        <v>9739</v>
      </c>
      <c r="AI133" t="s">
        <v>9738</v>
      </c>
      <c r="AK133" t="s">
        <v>9737</v>
      </c>
      <c r="AL133">
        <v>183</v>
      </c>
      <c r="AM133" s="5">
        <f t="shared" si="18"/>
        <v>5.903225806451613</v>
      </c>
      <c r="AN133" s="4">
        <f t="shared" si="23"/>
        <v>8.9408948223424663E-3</v>
      </c>
      <c r="AO133" s="3"/>
      <c r="AP133">
        <v>0</v>
      </c>
      <c r="AR133" t="s">
        <v>0</v>
      </c>
      <c r="AT133" s="2">
        <v>5.4690000000000003</v>
      </c>
      <c r="AU133" s="1">
        <f t="shared" si="19"/>
        <v>6.2272242019218149</v>
      </c>
      <c r="AV133" s="1">
        <f t="shared" si="20"/>
        <v>4.7034714248682246</v>
      </c>
      <c r="AW133" s="1">
        <f t="shared" si="21"/>
        <v>3.1797186478146333</v>
      </c>
    </row>
    <row r="134" spans="1:49" x14ac:dyDescent="0.2">
      <c r="A134">
        <v>132</v>
      </c>
      <c r="B134" t="s">
        <v>9736</v>
      </c>
      <c r="C134" t="s">
        <v>9735</v>
      </c>
      <c r="D134" t="s">
        <v>9734</v>
      </c>
      <c r="F134" t="s">
        <v>9733</v>
      </c>
      <c r="G134" t="s">
        <v>16</v>
      </c>
      <c r="H134" t="s">
        <v>15</v>
      </c>
      <c r="I134" t="s">
        <v>9732</v>
      </c>
      <c r="J134">
        <v>60010451</v>
      </c>
      <c r="K134" t="s">
        <v>9731</v>
      </c>
      <c r="L134" t="s">
        <v>9730</v>
      </c>
      <c r="M134" t="s">
        <v>57</v>
      </c>
      <c r="N134">
        <v>1</v>
      </c>
      <c r="O134" t="s">
        <v>9729</v>
      </c>
      <c r="P134">
        <v>56243564200</v>
      </c>
      <c r="Q134">
        <v>60010451</v>
      </c>
      <c r="R134" s="7">
        <v>33271</v>
      </c>
      <c r="S134" s="8">
        <f t="shared" si="16"/>
        <v>1991</v>
      </c>
      <c r="T134" s="8">
        <v>1991</v>
      </c>
      <c r="U134" s="8">
        <f t="shared" si="17"/>
        <v>31</v>
      </c>
      <c r="V134" s="7">
        <v>33271</v>
      </c>
      <c r="W134" t="s">
        <v>9728</v>
      </c>
      <c r="X134" s="2" t="s">
        <v>33</v>
      </c>
      <c r="Y134" s="6" t="e">
        <f t="shared" si="22"/>
        <v>#VALUE!</v>
      </c>
      <c r="AA134">
        <v>9214526</v>
      </c>
      <c r="AB134">
        <v>29118</v>
      </c>
      <c r="AD134" t="s">
        <v>5</v>
      </c>
      <c r="AE134">
        <v>169</v>
      </c>
      <c r="AF134" s="9">
        <v>44287</v>
      </c>
      <c r="AH134" t="s">
        <v>9727</v>
      </c>
      <c r="AI134" t="s">
        <v>9726</v>
      </c>
      <c r="AK134" t="s">
        <v>9725</v>
      </c>
      <c r="AL134">
        <v>4</v>
      </c>
      <c r="AM134" s="5">
        <f t="shared" si="18"/>
        <v>0.12903225806451613</v>
      </c>
      <c r="AN134" s="4">
        <f t="shared" si="23"/>
        <v>1.9542939502387903E-4</v>
      </c>
      <c r="AO134" s="3"/>
      <c r="AP134">
        <v>0</v>
      </c>
      <c r="AQ134" t="s">
        <v>508</v>
      </c>
      <c r="AR134" t="s">
        <v>9724</v>
      </c>
      <c r="AS134" t="s">
        <v>507</v>
      </c>
      <c r="AT134" s="2" t="s">
        <v>33</v>
      </c>
      <c r="AU134" s="1" t="e">
        <f t="shared" si="19"/>
        <v>#VALUE!</v>
      </c>
      <c r="AV134" s="1" t="e">
        <f t="shared" si="20"/>
        <v>#VALUE!</v>
      </c>
      <c r="AW134" s="1" t="e">
        <f t="shared" si="21"/>
        <v>#VALUE!</v>
      </c>
    </row>
    <row r="135" spans="1:49" x14ac:dyDescent="0.2">
      <c r="A135">
        <v>133</v>
      </c>
      <c r="B135" t="s">
        <v>9723</v>
      </c>
      <c r="C135" t="s">
        <v>9722</v>
      </c>
      <c r="F135" t="s">
        <v>9721</v>
      </c>
      <c r="G135" t="s">
        <v>16</v>
      </c>
      <c r="H135" t="s">
        <v>15</v>
      </c>
      <c r="I135" t="s">
        <v>9720</v>
      </c>
      <c r="J135" t="s">
        <v>9719</v>
      </c>
      <c r="K135" t="s">
        <v>9718</v>
      </c>
      <c r="L135" t="s">
        <v>9717</v>
      </c>
      <c r="M135" t="s">
        <v>9716</v>
      </c>
      <c r="N135">
        <v>2</v>
      </c>
      <c r="O135" t="s">
        <v>9715</v>
      </c>
      <c r="P135" t="s">
        <v>9714</v>
      </c>
      <c r="Q135" t="s">
        <v>9713</v>
      </c>
      <c r="R135" s="7">
        <v>33270</v>
      </c>
      <c r="S135" s="8">
        <f t="shared" si="16"/>
        <v>1991</v>
      </c>
      <c r="T135" s="8">
        <v>1991</v>
      </c>
      <c r="U135" s="8">
        <f t="shared" si="17"/>
        <v>31</v>
      </c>
      <c r="V135" s="7">
        <v>33270</v>
      </c>
      <c r="W135" t="s">
        <v>8734</v>
      </c>
      <c r="X135" s="2">
        <v>1.2529999999999999</v>
      </c>
      <c r="Y135" s="6">
        <f t="shared" si="22"/>
        <v>3.3448119377485916E-2</v>
      </c>
      <c r="AA135">
        <v>320935</v>
      </c>
      <c r="AB135">
        <v>16646</v>
      </c>
      <c r="AC135">
        <v>14322048</v>
      </c>
      <c r="AD135" t="s">
        <v>5</v>
      </c>
      <c r="AE135">
        <v>183</v>
      </c>
      <c r="AF135">
        <v>3</v>
      </c>
      <c r="AH135" t="s">
        <v>9712</v>
      </c>
      <c r="AI135" t="s">
        <v>9711</v>
      </c>
      <c r="AJ135" t="s">
        <v>9710</v>
      </c>
      <c r="AK135" t="s">
        <v>9709</v>
      </c>
      <c r="AL135">
        <v>56</v>
      </c>
      <c r="AM135" s="5">
        <f t="shared" si="18"/>
        <v>1.8064516129032258</v>
      </c>
      <c r="AN135" s="4">
        <f t="shared" si="23"/>
        <v>2.7360115303343064E-3</v>
      </c>
      <c r="AO135" s="3"/>
      <c r="AP135">
        <v>0</v>
      </c>
      <c r="AR135" t="s">
        <v>0</v>
      </c>
      <c r="AT135" s="2">
        <v>4.1159999999999997</v>
      </c>
      <c r="AU135" s="1">
        <f t="shared" si="19"/>
        <v>2.423448702334043</v>
      </c>
      <c r="AV135" s="1">
        <f t="shared" si="20"/>
        <v>1.8092065453910111</v>
      </c>
      <c r="AW135" s="1">
        <f t="shared" si="21"/>
        <v>1.1949643884479788</v>
      </c>
    </row>
    <row r="136" spans="1:49" x14ac:dyDescent="0.2">
      <c r="A136">
        <v>134</v>
      </c>
      <c r="B136" t="s">
        <v>9708</v>
      </c>
      <c r="C136" t="s">
        <v>9707</v>
      </c>
      <c r="F136" t="s">
        <v>9706</v>
      </c>
      <c r="G136" t="s">
        <v>16</v>
      </c>
      <c r="H136" t="s">
        <v>15</v>
      </c>
      <c r="I136" t="s">
        <v>9705</v>
      </c>
      <c r="N136">
        <v>3</v>
      </c>
      <c r="O136" t="s">
        <v>9704</v>
      </c>
      <c r="P136" t="s">
        <v>9703</v>
      </c>
      <c r="Q136" t="s">
        <v>757</v>
      </c>
      <c r="R136" s="7">
        <v>33270</v>
      </c>
      <c r="S136" s="8">
        <f t="shared" si="16"/>
        <v>1991</v>
      </c>
      <c r="T136" s="8">
        <v>1991</v>
      </c>
      <c r="U136" s="8">
        <f t="shared" si="17"/>
        <v>31</v>
      </c>
      <c r="V136" s="7">
        <v>33270</v>
      </c>
      <c r="W136" t="s">
        <v>9693</v>
      </c>
      <c r="X136" s="2">
        <v>0.318</v>
      </c>
      <c r="Y136" s="6">
        <f t="shared" si="22"/>
        <v>8.4888283815167786E-3</v>
      </c>
      <c r="AA136">
        <v>338443</v>
      </c>
      <c r="AB136">
        <v>27160</v>
      </c>
      <c r="AC136">
        <v>15739120</v>
      </c>
      <c r="AD136" t="s">
        <v>5</v>
      </c>
      <c r="AE136">
        <v>34</v>
      </c>
      <c r="AF136">
        <v>2</v>
      </c>
      <c r="AH136" t="s">
        <v>9702</v>
      </c>
      <c r="AI136" t="s">
        <v>9701</v>
      </c>
      <c r="AK136" t="s">
        <v>9700</v>
      </c>
      <c r="AL136">
        <v>0</v>
      </c>
      <c r="AM136" s="5">
        <f t="shared" si="18"/>
        <v>0</v>
      </c>
      <c r="AN136" s="4">
        <f t="shared" si="23"/>
        <v>0</v>
      </c>
      <c r="AO136" s="3"/>
      <c r="AP136">
        <v>0</v>
      </c>
      <c r="AR136" t="s">
        <v>0</v>
      </c>
      <c r="AT136" s="2">
        <v>0.77</v>
      </c>
      <c r="AU136" s="1">
        <f t="shared" si="19"/>
        <v>0.59421798670617454</v>
      </c>
      <c r="AV136" s="1">
        <f t="shared" si="20"/>
        <v>0.42444141907583893</v>
      </c>
      <c r="AW136" s="1">
        <f t="shared" si="21"/>
        <v>0.25466485144550338</v>
      </c>
    </row>
    <row r="137" spans="1:49" x14ac:dyDescent="0.2">
      <c r="A137">
        <v>135</v>
      </c>
      <c r="B137" t="s">
        <v>9699</v>
      </c>
      <c r="C137" t="s">
        <v>9698</v>
      </c>
      <c r="F137" t="s">
        <v>9697</v>
      </c>
      <c r="G137" t="s">
        <v>16</v>
      </c>
      <c r="H137" t="s">
        <v>15</v>
      </c>
      <c r="I137" t="s">
        <v>9696</v>
      </c>
      <c r="N137">
        <v>2</v>
      </c>
      <c r="O137" t="s">
        <v>9695</v>
      </c>
      <c r="P137" t="s">
        <v>9694</v>
      </c>
      <c r="Q137" t="s">
        <v>592</v>
      </c>
      <c r="R137" s="7">
        <v>33270</v>
      </c>
      <c r="S137" s="8">
        <f t="shared" si="16"/>
        <v>1991</v>
      </c>
      <c r="T137" s="8">
        <v>1991</v>
      </c>
      <c r="U137" s="8">
        <f t="shared" si="17"/>
        <v>31</v>
      </c>
      <c r="V137" s="7">
        <v>33270</v>
      </c>
      <c r="W137" t="s">
        <v>9693</v>
      </c>
      <c r="X137" s="2">
        <v>0.318</v>
      </c>
      <c r="Y137" s="6">
        <f t="shared" si="22"/>
        <v>8.4888283815167786E-3</v>
      </c>
      <c r="AA137">
        <v>338443</v>
      </c>
      <c r="AB137">
        <v>27160</v>
      </c>
      <c r="AC137">
        <v>15739120</v>
      </c>
      <c r="AD137" t="s">
        <v>5</v>
      </c>
      <c r="AE137">
        <v>34</v>
      </c>
      <c r="AF137">
        <v>2</v>
      </c>
      <c r="AH137" t="s">
        <v>9692</v>
      </c>
      <c r="AI137" t="s">
        <v>9691</v>
      </c>
      <c r="AK137" t="s">
        <v>9690</v>
      </c>
      <c r="AL137">
        <v>3</v>
      </c>
      <c r="AM137" s="5">
        <f t="shared" si="18"/>
        <v>9.6774193548387094E-2</v>
      </c>
      <c r="AN137" s="4">
        <f t="shared" si="23"/>
        <v>1.4657204626790927E-4</v>
      </c>
      <c r="AO137" s="3"/>
      <c r="AP137">
        <v>0</v>
      </c>
      <c r="AR137" t="s">
        <v>0</v>
      </c>
      <c r="AT137" s="2">
        <v>0.77</v>
      </c>
      <c r="AU137" s="1">
        <f t="shared" si="19"/>
        <v>0.59861514809421179</v>
      </c>
      <c r="AV137" s="1">
        <f t="shared" si="20"/>
        <v>0.43177002138923437</v>
      </c>
      <c r="AW137" s="1">
        <f t="shared" si="21"/>
        <v>0.26492489468425701</v>
      </c>
    </row>
    <row r="138" spans="1:49" x14ac:dyDescent="0.2">
      <c r="A138">
        <v>136</v>
      </c>
      <c r="B138" t="s">
        <v>9689</v>
      </c>
      <c r="C138" t="s">
        <v>9688</v>
      </c>
      <c r="F138" t="s">
        <v>9687</v>
      </c>
      <c r="G138" t="s">
        <v>16</v>
      </c>
      <c r="H138" t="s">
        <v>15</v>
      </c>
      <c r="I138" t="s">
        <v>9686</v>
      </c>
      <c r="J138" t="s">
        <v>9685</v>
      </c>
      <c r="K138" t="s">
        <v>9684</v>
      </c>
      <c r="L138" t="s">
        <v>9683</v>
      </c>
      <c r="M138" t="s">
        <v>9682</v>
      </c>
      <c r="N138">
        <v>3</v>
      </c>
      <c r="O138" t="s">
        <v>9681</v>
      </c>
      <c r="P138" t="s">
        <v>9680</v>
      </c>
      <c r="Q138" t="s">
        <v>9679</v>
      </c>
      <c r="R138" s="7">
        <v>33270</v>
      </c>
      <c r="S138" s="8">
        <f t="shared" si="16"/>
        <v>1991</v>
      </c>
      <c r="T138" s="8">
        <v>1991</v>
      </c>
      <c r="U138" s="8">
        <f t="shared" si="17"/>
        <v>31</v>
      </c>
      <c r="V138" s="7">
        <v>33270</v>
      </c>
      <c r="W138" t="s">
        <v>535</v>
      </c>
      <c r="X138" s="2">
        <v>0.375</v>
      </c>
      <c r="Y138" s="6">
        <f t="shared" si="22"/>
        <v>1.0010410827260351E-2</v>
      </c>
      <c r="AA138">
        <v>135194</v>
      </c>
      <c r="AB138">
        <v>24918</v>
      </c>
      <c r="AD138" t="s">
        <v>5</v>
      </c>
      <c r="AE138">
        <v>27</v>
      </c>
      <c r="AF138">
        <v>17</v>
      </c>
      <c r="AH138" t="s">
        <v>9678</v>
      </c>
      <c r="AI138" t="s">
        <v>9677</v>
      </c>
      <c r="AJ138" t="s">
        <v>9676</v>
      </c>
      <c r="AK138" t="s">
        <v>9675</v>
      </c>
      <c r="AL138">
        <v>5</v>
      </c>
      <c r="AM138" s="5">
        <f t="shared" si="18"/>
        <v>0.16129032258064516</v>
      </c>
      <c r="AN138" s="4">
        <f t="shared" si="23"/>
        <v>2.4428674377984877E-4</v>
      </c>
      <c r="AO138" s="3"/>
      <c r="AP138">
        <v>0</v>
      </c>
      <c r="AR138" t="s">
        <v>0</v>
      </c>
      <c r="AT138" s="2">
        <v>1.3140000000000001</v>
      </c>
      <c r="AU138" s="1">
        <f t="shared" si="19"/>
        <v>0.70805736022162002</v>
      </c>
      <c r="AV138" s="1">
        <f t="shared" si="20"/>
        <v>0.51273487855200994</v>
      </c>
      <c r="AW138" s="1">
        <f t="shared" si="21"/>
        <v>0.31741239688239992</v>
      </c>
    </row>
    <row r="139" spans="1:49" x14ac:dyDescent="0.2">
      <c r="A139">
        <v>137</v>
      </c>
      <c r="B139" t="s">
        <v>9674</v>
      </c>
      <c r="C139" t="s">
        <v>9673</v>
      </c>
      <c r="F139" t="s">
        <v>9672</v>
      </c>
      <c r="G139" t="s">
        <v>16</v>
      </c>
      <c r="H139" t="s">
        <v>15</v>
      </c>
      <c r="I139" t="s">
        <v>9671</v>
      </c>
      <c r="N139">
        <v>2</v>
      </c>
      <c r="O139" t="s">
        <v>9670</v>
      </c>
      <c r="P139" t="s">
        <v>9669</v>
      </c>
      <c r="Q139" t="s">
        <v>592</v>
      </c>
      <c r="R139" s="7">
        <v>33270</v>
      </c>
      <c r="S139" s="8">
        <f t="shared" si="16"/>
        <v>1991</v>
      </c>
      <c r="T139" s="8">
        <v>1991</v>
      </c>
      <c r="U139" s="8">
        <f t="shared" si="17"/>
        <v>31</v>
      </c>
      <c r="V139" s="7">
        <v>33270</v>
      </c>
      <c r="W139" t="s">
        <v>9661</v>
      </c>
      <c r="X139" s="2">
        <v>0.14899999999999999</v>
      </c>
      <c r="Y139" s="6">
        <f t="shared" si="22"/>
        <v>3.977469902031446E-3</v>
      </c>
      <c r="AA139">
        <v>5431972</v>
      </c>
      <c r="AB139">
        <v>15425</v>
      </c>
      <c r="AC139">
        <v>15738906</v>
      </c>
      <c r="AD139" t="s">
        <v>5</v>
      </c>
      <c r="AE139">
        <v>34</v>
      </c>
      <c r="AF139">
        <v>2</v>
      </c>
      <c r="AH139" t="s">
        <v>9668</v>
      </c>
      <c r="AL139">
        <v>0</v>
      </c>
      <c r="AM139" s="5">
        <f t="shared" si="18"/>
        <v>0</v>
      </c>
      <c r="AN139" s="4">
        <f t="shared" si="23"/>
        <v>0</v>
      </c>
      <c r="AO139" s="3"/>
      <c r="AP139">
        <v>0</v>
      </c>
      <c r="AR139" t="s">
        <v>0</v>
      </c>
      <c r="AT139" s="2" t="s">
        <v>33</v>
      </c>
      <c r="AU139" s="1">
        <f t="shared" si="19"/>
        <v>0.2784228931422012</v>
      </c>
      <c r="AV139" s="1">
        <f t="shared" si="20"/>
        <v>0.19887349510157229</v>
      </c>
      <c r="AW139" s="1">
        <f t="shared" si="21"/>
        <v>0.11932409706094337</v>
      </c>
    </row>
    <row r="140" spans="1:49" x14ac:dyDescent="0.2">
      <c r="A140">
        <v>138</v>
      </c>
      <c r="B140" t="s">
        <v>9667</v>
      </c>
      <c r="C140" t="s">
        <v>9666</v>
      </c>
      <c r="F140" t="s">
        <v>9665</v>
      </c>
      <c r="G140" t="s">
        <v>16</v>
      </c>
      <c r="H140" t="s">
        <v>15</v>
      </c>
      <c r="I140" t="s">
        <v>9664</v>
      </c>
      <c r="N140">
        <v>2</v>
      </c>
      <c r="O140" t="s">
        <v>9663</v>
      </c>
      <c r="P140" t="s">
        <v>9662</v>
      </c>
      <c r="Q140" t="s">
        <v>592</v>
      </c>
      <c r="R140" s="7">
        <v>33270</v>
      </c>
      <c r="S140" s="8">
        <f t="shared" si="16"/>
        <v>1991</v>
      </c>
      <c r="T140" s="8">
        <v>1991</v>
      </c>
      <c r="U140" s="8">
        <f t="shared" si="17"/>
        <v>31</v>
      </c>
      <c r="V140" s="7">
        <v>33270</v>
      </c>
      <c r="W140" t="s">
        <v>9661</v>
      </c>
      <c r="X140" s="2">
        <v>0.14899999999999999</v>
      </c>
      <c r="Y140" s="6">
        <f t="shared" si="22"/>
        <v>3.977469902031446E-3</v>
      </c>
      <c r="AA140">
        <v>5431972</v>
      </c>
      <c r="AB140">
        <v>15425</v>
      </c>
      <c r="AC140">
        <v>15738906</v>
      </c>
      <c r="AD140" t="s">
        <v>5</v>
      </c>
      <c r="AE140">
        <v>34</v>
      </c>
      <c r="AF140">
        <v>2</v>
      </c>
      <c r="AH140" t="s">
        <v>9660</v>
      </c>
      <c r="AL140">
        <v>0</v>
      </c>
      <c r="AM140" s="5">
        <f t="shared" si="18"/>
        <v>0</v>
      </c>
      <c r="AN140" s="4">
        <f t="shared" si="23"/>
        <v>0</v>
      </c>
      <c r="AO140" s="3"/>
      <c r="AP140">
        <v>0</v>
      </c>
      <c r="AR140" t="s">
        <v>0</v>
      </c>
      <c r="AT140" s="2" t="s">
        <v>33</v>
      </c>
      <c r="AU140" s="1">
        <f t="shared" si="19"/>
        <v>0.2784228931422012</v>
      </c>
      <c r="AV140" s="1">
        <f t="shared" si="20"/>
        <v>0.19887349510157229</v>
      </c>
      <c r="AW140" s="1">
        <f t="shared" si="21"/>
        <v>0.11932409706094337</v>
      </c>
    </row>
    <row r="141" spans="1:49" x14ac:dyDescent="0.2">
      <c r="A141">
        <v>139</v>
      </c>
      <c r="B141" t="s">
        <v>9659</v>
      </c>
      <c r="C141" t="s">
        <v>9658</v>
      </c>
      <c r="F141" t="s">
        <v>9657</v>
      </c>
      <c r="G141" t="s">
        <v>16</v>
      </c>
      <c r="H141" t="s">
        <v>15</v>
      </c>
      <c r="I141" t="s">
        <v>9656</v>
      </c>
      <c r="J141">
        <v>118847726</v>
      </c>
      <c r="K141" t="s">
        <v>9655</v>
      </c>
      <c r="M141" t="s">
        <v>1468</v>
      </c>
      <c r="N141">
        <v>1</v>
      </c>
      <c r="O141" t="s">
        <v>9654</v>
      </c>
      <c r="P141">
        <v>7406886401</v>
      </c>
      <c r="Q141">
        <v>118847726</v>
      </c>
      <c r="R141" s="7">
        <v>33270</v>
      </c>
      <c r="S141" s="8">
        <f t="shared" si="16"/>
        <v>1991</v>
      </c>
      <c r="T141" s="8">
        <v>1991</v>
      </c>
      <c r="U141" s="8">
        <f t="shared" si="17"/>
        <v>31</v>
      </c>
      <c r="V141" s="7">
        <v>33270</v>
      </c>
      <c r="W141" t="s">
        <v>535</v>
      </c>
      <c r="X141" s="2">
        <v>0.375</v>
      </c>
      <c r="Y141" s="6">
        <f t="shared" si="22"/>
        <v>1.0010410827260351E-2</v>
      </c>
      <c r="AA141">
        <v>135194</v>
      </c>
      <c r="AB141">
        <v>24918</v>
      </c>
      <c r="AD141" t="s">
        <v>5</v>
      </c>
      <c r="AE141">
        <v>27</v>
      </c>
      <c r="AF141">
        <v>13</v>
      </c>
      <c r="AH141" t="s">
        <v>9653</v>
      </c>
      <c r="AI141" t="s">
        <v>9652</v>
      </c>
      <c r="AJ141" t="s">
        <v>9651</v>
      </c>
      <c r="AK141" t="s">
        <v>9650</v>
      </c>
      <c r="AL141">
        <v>0</v>
      </c>
      <c r="AM141" s="5">
        <f t="shared" si="18"/>
        <v>0</v>
      </c>
      <c r="AN141" s="4">
        <f t="shared" si="23"/>
        <v>0</v>
      </c>
      <c r="AO141" s="3"/>
      <c r="AP141">
        <v>0</v>
      </c>
      <c r="AR141" t="s">
        <v>0</v>
      </c>
      <c r="AT141" s="2">
        <v>1.3140000000000001</v>
      </c>
      <c r="AU141" s="1">
        <f t="shared" si="19"/>
        <v>0.70072875790822453</v>
      </c>
      <c r="AV141" s="1">
        <f t="shared" si="20"/>
        <v>0.5005205413630176</v>
      </c>
      <c r="AW141" s="1">
        <f t="shared" si="21"/>
        <v>0.30031232481781051</v>
      </c>
    </row>
    <row r="142" spans="1:49" x14ac:dyDescent="0.2">
      <c r="A142">
        <v>140</v>
      </c>
      <c r="B142" t="s">
        <v>9649</v>
      </c>
      <c r="C142" t="s">
        <v>9648</v>
      </c>
      <c r="F142" t="s">
        <v>9647</v>
      </c>
      <c r="G142" t="s">
        <v>16</v>
      </c>
      <c r="H142" t="s">
        <v>15</v>
      </c>
      <c r="I142" t="s">
        <v>9646</v>
      </c>
      <c r="J142">
        <v>60014313</v>
      </c>
      <c r="K142" t="s">
        <v>3229</v>
      </c>
      <c r="L142" t="s">
        <v>3228</v>
      </c>
      <c r="M142" t="s">
        <v>57</v>
      </c>
      <c r="N142">
        <v>2</v>
      </c>
      <c r="O142" t="s">
        <v>9645</v>
      </c>
      <c r="P142" t="s">
        <v>9644</v>
      </c>
      <c r="Q142" t="s">
        <v>8219</v>
      </c>
      <c r="R142" s="7">
        <v>33270</v>
      </c>
      <c r="S142" s="8">
        <f t="shared" si="16"/>
        <v>1991</v>
      </c>
      <c r="T142" s="8">
        <v>1991</v>
      </c>
      <c r="U142" s="8">
        <f t="shared" si="17"/>
        <v>31</v>
      </c>
      <c r="V142" s="7">
        <v>33270</v>
      </c>
      <c r="W142" t="s">
        <v>535</v>
      </c>
      <c r="X142" s="2">
        <v>0.375</v>
      </c>
      <c r="Y142" s="6">
        <f t="shared" si="22"/>
        <v>1.0010410827260351E-2</v>
      </c>
      <c r="AA142">
        <v>135194</v>
      </c>
      <c r="AB142">
        <v>24918</v>
      </c>
      <c r="AD142" t="s">
        <v>5</v>
      </c>
      <c r="AE142">
        <v>27</v>
      </c>
      <c r="AF142">
        <v>13</v>
      </c>
      <c r="AH142" t="s">
        <v>9643</v>
      </c>
      <c r="AI142" t="s">
        <v>9642</v>
      </c>
      <c r="AJ142" t="s">
        <v>545</v>
      </c>
      <c r="AK142" t="s">
        <v>9641</v>
      </c>
      <c r="AL142">
        <v>118</v>
      </c>
      <c r="AM142" s="5">
        <f t="shared" si="18"/>
        <v>3.806451612903226</v>
      </c>
      <c r="AN142" s="4">
        <f t="shared" si="23"/>
        <v>5.7651671532044316E-3</v>
      </c>
      <c r="AO142" s="3"/>
      <c r="AP142">
        <v>0</v>
      </c>
      <c r="AR142" t="s">
        <v>0</v>
      </c>
      <c r="AT142" s="2">
        <v>1.3140000000000001</v>
      </c>
      <c r="AU142" s="1">
        <f t="shared" si="19"/>
        <v>0.87368377250435747</v>
      </c>
      <c r="AV142" s="1">
        <f t="shared" si="20"/>
        <v>0.78877889902323928</v>
      </c>
      <c r="AW142" s="1">
        <f t="shared" si="21"/>
        <v>0.70387402554212064</v>
      </c>
    </row>
    <row r="143" spans="1:49" x14ac:dyDescent="0.2">
      <c r="A143">
        <v>141</v>
      </c>
      <c r="B143" t="s">
        <v>9640</v>
      </c>
      <c r="C143" t="s">
        <v>9639</v>
      </c>
      <c r="F143" t="s">
        <v>9638</v>
      </c>
      <c r="G143" t="s">
        <v>16</v>
      </c>
      <c r="H143" t="s">
        <v>15</v>
      </c>
      <c r="I143" t="s">
        <v>9637</v>
      </c>
      <c r="J143">
        <v>60025555</v>
      </c>
      <c r="K143" t="s">
        <v>2786</v>
      </c>
      <c r="L143" t="s">
        <v>327</v>
      </c>
      <c r="M143" t="s">
        <v>326</v>
      </c>
      <c r="N143">
        <v>3</v>
      </c>
      <c r="O143" t="s">
        <v>9636</v>
      </c>
      <c r="P143" t="s">
        <v>9635</v>
      </c>
      <c r="Q143" t="s">
        <v>5632</v>
      </c>
      <c r="R143" s="7">
        <v>33270</v>
      </c>
      <c r="S143" s="8">
        <f t="shared" si="16"/>
        <v>1991</v>
      </c>
      <c r="T143" s="8">
        <v>1991</v>
      </c>
      <c r="U143" s="8">
        <f t="shared" si="17"/>
        <v>31</v>
      </c>
      <c r="V143" s="7">
        <v>33270</v>
      </c>
      <c r="W143" t="s">
        <v>535</v>
      </c>
      <c r="X143" s="2">
        <v>0.375</v>
      </c>
      <c r="Y143" s="6">
        <f t="shared" si="22"/>
        <v>1.0010410827260351E-2</v>
      </c>
      <c r="AA143">
        <v>135194</v>
      </c>
      <c r="AB143">
        <v>24918</v>
      </c>
      <c r="AD143" t="s">
        <v>5</v>
      </c>
      <c r="AE143">
        <v>27</v>
      </c>
      <c r="AF143">
        <v>13</v>
      </c>
      <c r="AH143">
        <v>1155</v>
      </c>
      <c r="AI143" t="s">
        <v>9634</v>
      </c>
      <c r="AJ143" t="s">
        <v>9633</v>
      </c>
      <c r="AK143" t="s">
        <v>9632</v>
      </c>
      <c r="AL143">
        <v>3</v>
      </c>
      <c r="AM143" s="5">
        <f t="shared" si="18"/>
        <v>9.6774193548387094E-2</v>
      </c>
      <c r="AN143" s="4">
        <f t="shared" si="23"/>
        <v>1.4657204626790927E-4</v>
      </c>
      <c r="AO143" s="3"/>
      <c r="AP143">
        <v>0</v>
      </c>
      <c r="AR143" t="s">
        <v>0</v>
      </c>
      <c r="AT143" s="2">
        <v>1.3140000000000001</v>
      </c>
      <c r="AU143" s="1">
        <f t="shared" si="19"/>
        <v>0.70512591929626189</v>
      </c>
      <c r="AV143" s="1">
        <f t="shared" si="20"/>
        <v>0.50784914367641298</v>
      </c>
      <c r="AW143" s="1">
        <f t="shared" si="21"/>
        <v>0.31057236805656413</v>
      </c>
    </row>
    <row r="144" spans="1:49" x14ac:dyDescent="0.2">
      <c r="A144">
        <v>142</v>
      </c>
      <c r="B144" t="s">
        <v>9631</v>
      </c>
      <c r="C144" t="s">
        <v>9630</v>
      </c>
      <c r="F144" t="s">
        <v>9629</v>
      </c>
      <c r="G144" t="s">
        <v>16</v>
      </c>
      <c r="H144" t="s">
        <v>15</v>
      </c>
      <c r="I144" t="s">
        <v>9628</v>
      </c>
      <c r="J144" t="s">
        <v>9623</v>
      </c>
      <c r="K144" t="s">
        <v>9627</v>
      </c>
      <c r="L144" t="s">
        <v>9626</v>
      </c>
      <c r="M144" t="s">
        <v>4061</v>
      </c>
      <c r="N144">
        <v>2</v>
      </c>
      <c r="O144" t="s">
        <v>9625</v>
      </c>
      <c r="P144" t="s">
        <v>9624</v>
      </c>
      <c r="Q144" t="s">
        <v>9623</v>
      </c>
      <c r="R144" s="7">
        <v>33270</v>
      </c>
      <c r="S144" s="8">
        <f t="shared" si="16"/>
        <v>1991</v>
      </c>
      <c r="T144" s="8">
        <v>1991</v>
      </c>
      <c r="U144" s="8">
        <f t="shared" si="17"/>
        <v>31</v>
      </c>
      <c r="V144" s="7">
        <v>33270</v>
      </c>
      <c r="W144" t="s">
        <v>535</v>
      </c>
      <c r="X144" s="2">
        <v>0.375</v>
      </c>
      <c r="Y144" s="6">
        <f t="shared" si="22"/>
        <v>1.0010410827260351E-2</v>
      </c>
      <c r="AA144">
        <v>135194</v>
      </c>
      <c r="AB144">
        <v>24918</v>
      </c>
      <c r="AD144" t="s">
        <v>5</v>
      </c>
      <c r="AE144">
        <v>27</v>
      </c>
      <c r="AF144">
        <v>13</v>
      </c>
      <c r="AH144" t="s">
        <v>9622</v>
      </c>
      <c r="AI144" t="s">
        <v>9621</v>
      </c>
      <c r="AJ144" t="s">
        <v>545</v>
      </c>
      <c r="AK144" t="s">
        <v>9620</v>
      </c>
      <c r="AL144">
        <v>12</v>
      </c>
      <c r="AM144" s="5">
        <f t="shared" si="18"/>
        <v>0.38709677419354838</v>
      </c>
      <c r="AN144" s="4">
        <f t="shared" si="23"/>
        <v>5.8628818507163707E-4</v>
      </c>
      <c r="AO144" s="3"/>
      <c r="AP144">
        <v>0</v>
      </c>
      <c r="AR144" t="s">
        <v>0</v>
      </c>
      <c r="AT144" s="2">
        <v>1.3140000000000001</v>
      </c>
      <c r="AU144" s="1">
        <f t="shared" si="19"/>
        <v>0.71831740346037365</v>
      </c>
      <c r="AV144" s="1">
        <f t="shared" si="20"/>
        <v>0.52983495061659946</v>
      </c>
      <c r="AW144" s="1">
        <f t="shared" si="21"/>
        <v>0.34135249777282511</v>
      </c>
    </row>
    <row r="145" spans="1:49" x14ac:dyDescent="0.2">
      <c r="A145">
        <v>143</v>
      </c>
      <c r="B145" t="s">
        <v>9619</v>
      </c>
      <c r="F145" t="s">
        <v>9618</v>
      </c>
      <c r="G145" t="s">
        <v>16</v>
      </c>
      <c r="H145" t="s">
        <v>15</v>
      </c>
      <c r="I145" t="s">
        <v>9617</v>
      </c>
      <c r="N145">
        <v>1</v>
      </c>
      <c r="O145" t="s">
        <v>9616</v>
      </c>
      <c r="P145">
        <v>7402975902</v>
      </c>
      <c r="R145" s="7">
        <v>33270</v>
      </c>
      <c r="S145" s="8">
        <f t="shared" si="16"/>
        <v>1991</v>
      </c>
      <c r="T145" s="8">
        <v>1991</v>
      </c>
      <c r="U145" s="8">
        <f t="shared" si="17"/>
        <v>31</v>
      </c>
      <c r="V145" s="7">
        <v>33270</v>
      </c>
      <c r="W145" t="s">
        <v>9615</v>
      </c>
      <c r="X145" s="2" t="s">
        <v>33</v>
      </c>
      <c r="Y145" s="6" t="e">
        <f t="shared" si="22"/>
        <v>#VALUE!</v>
      </c>
      <c r="AA145">
        <v>255319</v>
      </c>
      <c r="AB145">
        <v>36781</v>
      </c>
      <c r="AD145" t="s">
        <v>5</v>
      </c>
      <c r="AE145">
        <v>108</v>
      </c>
      <c r="AF145">
        <v>2</v>
      </c>
      <c r="AH145" t="s">
        <v>9614</v>
      </c>
      <c r="AI145" t="s">
        <v>9613</v>
      </c>
      <c r="AK145" t="s">
        <v>9612</v>
      </c>
      <c r="AL145">
        <v>0</v>
      </c>
      <c r="AM145" s="5">
        <f t="shared" si="18"/>
        <v>0</v>
      </c>
      <c r="AN145" s="4">
        <f t="shared" si="23"/>
        <v>0</v>
      </c>
      <c r="AO145" s="3"/>
      <c r="AP145">
        <v>0</v>
      </c>
      <c r="AR145" t="s">
        <v>0</v>
      </c>
      <c r="AT145" s="2" t="s">
        <v>33</v>
      </c>
      <c r="AU145" s="1" t="e">
        <f t="shared" si="19"/>
        <v>#VALUE!</v>
      </c>
      <c r="AV145" s="1" t="e">
        <f t="shared" si="20"/>
        <v>#VALUE!</v>
      </c>
      <c r="AW145" s="1" t="e">
        <f t="shared" si="21"/>
        <v>#VALUE!</v>
      </c>
    </row>
    <row r="146" spans="1:49" x14ac:dyDescent="0.2">
      <c r="A146">
        <v>144</v>
      </c>
      <c r="B146" t="s">
        <v>9611</v>
      </c>
      <c r="F146" t="s">
        <v>9610</v>
      </c>
      <c r="G146" t="s">
        <v>16</v>
      </c>
      <c r="H146" t="s">
        <v>15</v>
      </c>
      <c r="I146" t="s">
        <v>9609</v>
      </c>
      <c r="N146">
        <v>2</v>
      </c>
      <c r="O146" t="s">
        <v>9608</v>
      </c>
      <c r="P146" t="s">
        <v>9607</v>
      </c>
      <c r="Q146" t="s">
        <v>592</v>
      </c>
      <c r="R146" s="7">
        <v>33270</v>
      </c>
      <c r="S146" s="8">
        <f t="shared" si="16"/>
        <v>1991</v>
      </c>
      <c r="T146" s="8">
        <v>1991</v>
      </c>
      <c r="U146" s="8">
        <f t="shared" si="17"/>
        <v>31</v>
      </c>
      <c r="V146" s="7">
        <v>33270</v>
      </c>
      <c r="W146" t="s">
        <v>1704</v>
      </c>
      <c r="X146" s="2">
        <v>0.14099999999999999</v>
      </c>
      <c r="Y146" s="6">
        <f t="shared" si="22"/>
        <v>3.7639144710498915E-3</v>
      </c>
      <c r="AA146">
        <v>402508</v>
      </c>
      <c r="AB146">
        <v>20868</v>
      </c>
      <c r="AD146" t="s">
        <v>5</v>
      </c>
      <c r="AE146">
        <v>46</v>
      </c>
      <c r="AF146">
        <v>2</v>
      </c>
      <c r="AH146" t="s">
        <v>9606</v>
      </c>
      <c r="AI146" t="s">
        <v>9605</v>
      </c>
      <c r="AK146" t="s">
        <v>9604</v>
      </c>
      <c r="AL146">
        <v>0</v>
      </c>
      <c r="AM146" s="5">
        <f t="shared" si="18"/>
        <v>0</v>
      </c>
      <c r="AN146" s="4">
        <f t="shared" si="23"/>
        <v>0</v>
      </c>
      <c r="AO146" s="3"/>
      <c r="AP146">
        <v>0</v>
      </c>
      <c r="AR146" t="s">
        <v>0</v>
      </c>
      <c r="AT146" s="2" t="s">
        <v>33</v>
      </c>
      <c r="AU146" s="1">
        <f t="shared" si="19"/>
        <v>0.26347401297349238</v>
      </c>
      <c r="AV146" s="1">
        <f t="shared" si="20"/>
        <v>0.18819572355249459</v>
      </c>
      <c r="AW146" s="1">
        <f t="shared" si="21"/>
        <v>0.11291743413149673</v>
      </c>
    </row>
    <row r="147" spans="1:49" x14ac:dyDescent="0.2">
      <c r="A147">
        <v>145</v>
      </c>
      <c r="B147" t="s">
        <v>9603</v>
      </c>
      <c r="F147" t="s">
        <v>9602</v>
      </c>
      <c r="G147" t="s">
        <v>16</v>
      </c>
      <c r="H147" t="s">
        <v>15</v>
      </c>
      <c r="I147" t="s">
        <v>9601</v>
      </c>
      <c r="N147">
        <v>2</v>
      </c>
      <c r="O147" t="s">
        <v>9600</v>
      </c>
      <c r="P147" t="s">
        <v>9599</v>
      </c>
      <c r="Q147" t="s">
        <v>592</v>
      </c>
      <c r="R147" s="7">
        <v>33270</v>
      </c>
      <c r="S147" s="8">
        <f t="shared" si="16"/>
        <v>1991</v>
      </c>
      <c r="T147" s="8">
        <v>1991</v>
      </c>
      <c r="U147" s="8">
        <f t="shared" si="17"/>
        <v>31</v>
      </c>
      <c r="V147" s="7">
        <v>33270</v>
      </c>
      <c r="W147" t="s">
        <v>1704</v>
      </c>
      <c r="X147" s="2">
        <v>0.14099999999999999</v>
      </c>
      <c r="Y147" s="6">
        <f t="shared" si="22"/>
        <v>3.7639144710498915E-3</v>
      </c>
      <c r="AA147">
        <v>402508</v>
      </c>
      <c r="AB147">
        <v>20868</v>
      </c>
      <c r="AD147" t="s">
        <v>5</v>
      </c>
      <c r="AE147">
        <v>46</v>
      </c>
      <c r="AF147">
        <v>2</v>
      </c>
      <c r="AH147" t="s">
        <v>9598</v>
      </c>
      <c r="AI147" t="s">
        <v>9597</v>
      </c>
      <c r="AK147" t="s">
        <v>9596</v>
      </c>
      <c r="AL147">
        <v>0</v>
      </c>
      <c r="AM147" s="5">
        <f t="shared" si="18"/>
        <v>0</v>
      </c>
      <c r="AN147" s="4">
        <f t="shared" si="23"/>
        <v>0</v>
      </c>
      <c r="AO147" s="3"/>
      <c r="AP147">
        <v>0</v>
      </c>
      <c r="AR147" t="s">
        <v>0</v>
      </c>
      <c r="AT147" s="2" t="s">
        <v>33</v>
      </c>
      <c r="AU147" s="1">
        <f t="shared" si="19"/>
        <v>0.26347401297349238</v>
      </c>
      <c r="AV147" s="1">
        <f t="shared" si="20"/>
        <v>0.18819572355249459</v>
      </c>
      <c r="AW147" s="1">
        <f t="shared" si="21"/>
        <v>0.11291743413149673</v>
      </c>
    </row>
    <row r="148" spans="1:49" x14ac:dyDescent="0.2">
      <c r="A148">
        <v>146</v>
      </c>
      <c r="B148" t="s">
        <v>9595</v>
      </c>
      <c r="F148" t="s">
        <v>9594</v>
      </c>
      <c r="G148" t="s">
        <v>16</v>
      </c>
      <c r="H148" t="s">
        <v>15</v>
      </c>
      <c r="I148" t="s">
        <v>9593</v>
      </c>
      <c r="N148">
        <v>2</v>
      </c>
      <c r="O148" t="s">
        <v>9592</v>
      </c>
      <c r="P148" t="s">
        <v>9591</v>
      </c>
      <c r="Q148" t="s">
        <v>592</v>
      </c>
      <c r="R148" s="7">
        <v>33270</v>
      </c>
      <c r="S148" s="8">
        <f t="shared" si="16"/>
        <v>1991</v>
      </c>
      <c r="T148" s="8">
        <v>1991</v>
      </c>
      <c r="U148" s="8">
        <f t="shared" si="17"/>
        <v>31</v>
      </c>
      <c r="V148" s="7">
        <v>33270</v>
      </c>
      <c r="W148" t="s">
        <v>1704</v>
      </c>
      <c r="X148" s="2">
        <v>0.14099999999999999</v>
      </c>
      <c r="Y148" s="6">
        <f t="shared" si="22"/>
        <v>3.7639144710498915E-3</v>
      </c>
      <c r="AA148">
        <v>402508</v>
      </c>
      <c r="AB148">
        <v>20868</v>
      </c>
      <c r="AD148" t="s">
        <v>5</v>
      </c>
      <c r="AE148">
        <v>46</v>
      </c>
      <c r="AF148">
        <v>2</v>
      </c>
      <c r="AH148" t="s">
        <v>9590</v>
      </c>
      <c r="AI148" t="s">
        <v>9589</v>
      </c>
      <c r="AK148" t="s">
        <v>9588</v>
      </c>
      <c r="AL148">
        <v>0</v>
      </c>
      <c r="AM148" s="5">
        <f t="shared" si="18"/>
        <v>0</v>
      </c>
      <c r="AN148" s="4">
        <f t="shared" si="23"/>
        <v>0</v>
      </c>
      <c r="AO148" s="3"/>
      <c r="AP148">
        <v>0</v>
      </c>
      <c r="AR148" t="s">
        <v>0</v>
      </c>
      <c r="AT148" s="2" t="s">
        <v>33</v>
      </c>
      <c r="AU148" s="1">
        <f t="shared" si="19"/>
        <v>0.26347401297349238</v>
      </c>
      <c r="AV148" s="1">
        <f t="shared" si="20"/>
        <v>0.18819572355249459</v>
      </c>
      <c r="AW148" s="1">
        <f t="shared" si="21"/>
        <v>0.11291743413149673</v>
      </c>
    </row>
    <row r="149" spans="1:49" x14ac:dyDescent="0.2">
      <c r="A149">
        <v>147</v>
      </c>
      <c r="B149" t="s">
        <v>9587</v>
      </c>
      <c r="F149" t="s">
        <v>9586</v>
      </c>
      <c r="G149" t="s">
        <v>16</v>
      </c>
      <c r="H149" t="s">
        <v>15</v>
      </c>
      <c r="I149" t="s">
        <v>9585</v>
      </c>
      <c r="N149">
        <v>1</v>
      </c>
      <c r="O149" t="s">
        <v>9584</v>
      </c>
      <c r="P149">
        <v>6602209291</v>
      </c>
      <c r="R149" s="7">
        <v>33270</v>
      </c>
      <c r="S149" s="8">
        <f t="shared" si="16"/>
        <v>1991</v>
      </c>
      <c r="T149" s="8">
        <v>1991</v>
      </c>
      <c r="U149" s="8">
        <f t="shared" si="17"/>
        <v>31</v>
      </c>
      <c r="V149" s="7">
        <v>33270</v>
      </c>
      <c r="W149" t="s">
        <v>1704</v>
      </c>
      <c r="X149" s="2">
        <v>0.14099999999999999</v>
      </c>
      <c r="Y149" s="6">
        <f t="shared" si="22"/>
        <v>3.7639144710498915E-3</v>
      </c>
      <c r="AA149">
        <v>402508</v>
      </c>
      <c r="AB149">
        <v>20868</v>
      </c>
      <c r="AD149" t="s">
        <v>5</v>
      </c>
      <c r="AE149">
        <v>46</v>
      </c>
      <c r="AF149">
        <v>2</v>
      </c>
      <c r="AH149" t="s">
        <v>1712</v>
      </c>
      <c r="AI149" t="s">
        <v>9583</v>
      </c>
      <c r="AK149" t="s">
        <v>9582</v>
      </c>
      <c r="AL149">
        <v>0</v>
      </c>
      <c r="AM149" s="5">
        <f t="shared" si="18"/>
        <v>0</v>
      </c>
      <c r="AN149" s="4">
        <f t="shared" si="23"/>
        <v>0</v>
      </c>
      <c r="AO149" s="3"/>
      <c r="AP149">
        <v>0</v>
      </c>
      <c r="AR149" t="s">
        <v>0</v>
      </c>
      <c r="AT149" s="2" t="s">
        <v>33</v>
      </c>
      <c r="AU149" s="1">
        <f t="shared" si="19"/>
        <v>0.26347401297349238</v>
      </c>
      <c r="AV149" s="1">
        <f t="shared" si="20"/>
        <v>0.18819572355249459</v>
      </c>
      <c r="AW149" s="1">
        <f t="shared" si="21"/>
        <v>0.11291743413149673</v>
      </c>
    </row>
    <row r="150" spans="1:49" x14ac:dyDescent="0.2">
      <c r="A150">
        <v>148</v>
      </c>
      <c r="B150" t="s">
        <v>9581</v>
      </c>
      <c r="F150" t="s">
        <v>9580</v>
      </c>
      <c r="G150" t="s">
        <v>16</v>
      </c>
      <c r="H150" t="s">
        <v>15</v>
      </c>
      <c r="I150" t="s">
        <v>9579</v>
      </c>
      <c r="N150">
        <v>1</v>
      </c>
      <c r="O150" t="s">
        <v>9578</v>
      </c>
      <c r="P150">
        <v>6603136618</v>
      </c>
      <c r="R150" s="7">
        <v>33270</v>
      </c>
      <c r="S150" s="8">
        <f t="shared" si="16"/>
        <v>1991</v>
      </c>
      <c r="T150" s="8">
        <v>1991</v>
      </c>
      <c r="U150" s="8">
        <f t="shared" si="17"/>
        <v>31</v>
      </c>
      <c r="V150" s="7">
        <v>33270</v>
      </c>
      <c r="W150" t="s">
        <v>1704</v>
      </c>
      <c r="X150" s="2">
        <v>0.14099999999999999</v>
      </c>
      <c r="Y150" s="6">
        <f t="shared" si="22"/>
        <v>3.7639144710498915E-3</v>
      </c>
      <c r="AA150">
        <v>402508</v>
      </c>
      <c r="AB150">
        <v>20868</v>
      </c>
      <c r="AD150" t="s">
        <v>5</v>
      </c>
      <c r="AE150">
        <v>46</v>
      </c>
      <c r="AF150">
        <v>2</v>
      </c>
      <c r="AH150" t="s">
        <v>9577</v>
      </c>
      <c r="AI150" t="s">
        <v>9576</v>
      </c>
      <c r="AK150" t="s">
        <v>9575</v>
      </c>
      <c r="AL150">
        <v>0</v>
      </c>
      <c r="AM150" s="5">
        <f t="shared" si="18"/>
        <v>0</v>
      </c>
      <c r="AN150" s="4">
        <f t="shared" si="23"/>
        <v>0</v>
      </c>
      <c r="AO150" s="3"/>
      <c r="AP150">
        <v>0</v>
      </c>
      <c r="AR150" t="s">
        <v>0</v>
      </c>
      <c r="AT150" s="2" t="s">
        <v>33</v>
      </c>
      <c r="AU150" s="1">
        <f t="shared" si="19"/>
        <v>0.26347401297349238</v>
      </c>
      <c r="AV150" s="1">
        <f t="shared" si="20"/>
        <v>0.18819572355249459</v>
      </c>
      <c r="AW150" s="1">
        <f t="shared" si="21"/>
        <v>0.11291743413149673</v>
      </c>
    </row>
    <row r="151" spans="1:49" x14ac:dyDescent="0.2">
      <c r="A151">
        <v>149</v>
      </c>
      <c r="B151" t="s">
        <v>9574</v>
      </c>
      <c r="C151" t="s">
        <v>9573</v>
      </c>
      <c r="F151" t="s">
        <v>9572</v>
      </c>
      <c r="G151" t="s">
        <v>16</v>
      </c>
      <c r="H151" t="s">
        <v>15</v>
      </c>
      <c r="I151" t="s">
        <v>9571</v>
      </c>
      <c r="J151">
        <v>60017366</v>
      </c>
      <c r="K151" t="s">
        <v>8136</v>
      </c>
      <c r="L151" t="s">
        <v>8135</v>
      </c>
      <c r="M151" t="s">
        <v>57</v>
      </c>
      <c r="N151">
        <v>4</v>
      </c>
      <c r="O151" t="s">
        <v>9570</v>
      </c>
      <c r="P151" t="s">
        <v>9569</v>
      </c>
      <c r="Q151" t="s">
        <v>8132</v>
      </c>
      <c r="R151" s="7">
        <v>33270</v>
      </c>
      <c r="S151" s="8">
        <f t="shared" si="16"/>
        <v>1991</v>
      </c>
      <c r="T151" s="8">
        <v>1991</v>
      </c>
      <c r="U151" s="8">
        <f t="shared" si="17"/>
        <v>31</v>
      </c>
      <c r="V151" s="7">
        <v>33270</v>
      </c>
      <c r="W151" t="s">
        <v>324</v>
      </c>
      <c r="X151" s="2">
        <v>0.88100000000000001</v>
      </c>
      <c r="Y151" s="6">
        <f t="shared" si="22"/>
        <v>2.3517791836843653E-2</v>
      </c>
      <c r="AA151">
        <v>10459243</v>
      </c>
      <c r="AB151">
        <v>17248</v>
      </c>
      <c r="AD151" t="s">
        <v>5</v>
      </c>
      <c r="AE151">
        <v>33</v>
      </c>
      <c r="AF151">
        <v>1</v>
      </c>
      <c r="AH151" s="9">
        <v>44507</v>
      </c>
      <c r="AI151" t="s">
        <v>9568</v>
      </c>
      <c r="AK151" t="s">
        <v>9567</v>
      </c>
      <c r="AL151">
        <v>13</v>
      </c>
      <c r="AM151" s="5">
        <f t="shared" si="18"/>
        <v>0.41935483870967744</v>
      </c>
      <c r="AN151" s="4">
        <f t="shared" si="23"/>
        <v>6.3514553382760684E-4</v>
      </c>
      <c r="AO151" s="3"/>
      <c r="AP151">
        <v>0</v>
      </c>
      <c r="AR151" t="s">
        <v>0</v>
      </c>
      <c r="AT151" s="2" t="s">
        <v>33</v>
      </c>
      <c r="AU151" s="1">
        <f t="shared" si="19"/>
        <v>1.6652997945938837</v>
      </c>
      <c r="AV151" s="1">
        <f t="shared" si="20"/>
        <v>1.2076468685335631</v>
      </c>
      <c r="AW151" s="1">
        <f t="shared" si="21"/>
        <v>0.74999394247324203</v>
      </c>
    </row>
    <row r="152" spans="1:49" x14ac:dyDescent="0.2">
      <c r="A152">
        <v>150</v>
      </c>
      <c r="B152" t="s">
        <v>9566</v>
      </c>
      <c r="C152" t="s">
        <v>9565</v>
      </c>
      <c r="F152" t="s">
        <v>9564</v>
      </c>
      <c r="G152" t="s">
        <v>16</v>
      </c>
      <c r="H152" t="s">
        <v>15</v>
      </c>
      <c r="I152" t="s">
        <v>9563</v>
      </c>
      <c r="J152" t="s">
        <v>9562</v>
      </c>
      <c r="K152" t="s">
        <v>9561</v>
      </c>
      <c r="L152" t="s">
        <v>9560</v>
      </c>
      <c r="M152" t="s">
        <v>9559</v>
      </c>
      <c r="N152">
        <v>5</v>
      </c>
      <c r="O152" t="s">
        <v>9558</v>
      </c>
      <c r="P152" t="s">
        <v>9557</v>
      </c>
      <c r="Q152" t="s">
        <v>9556</v>
      </c>
      <c r="R152" s="7">
        <v>33270</v>
      </c>
      <c r="S152" s="8">
        <f t="shared" si="16"/>
        <v>1991</v>
      </c>
      <c r="T152" s="8">
        <v>1991</v>
      </c>
      <c r="U152" s="8">
        <f t="shared" si="17"/>
        <v>31</v>
      </c>
      <c r="V152" s="7">
        <v>33270</v>
      </c>
      <c r="W152" t="s">
        <v>9555</v>
      </c>
      <c r="X152" s="2">
        <v>0.64800000000000002</v>
      </c>
      <c r="Y152" s="6">
        <f t="shared" si="22"/>
        <v>1.7297989909505887E-2</v>
      </c>
      <c r="AA152">
        <v>3028933</v>
      </c>
      <c r="AB152">
        <v>19623</v>
      </c>
      <c r="AC152" t="s">
        <v>9554</v>
      </c>
      <c r="AD152" t="s">
        <v>5</v>
      </c>
      <c r="AE152">
        <v>155</v>
      </c>
      <c r="AF152">
        <v>3</v>
      </c>
      <c r="AH152" t="s">
        <v>9553</v>
      </c>
      <c r="AI152" t="s">
        <v>9552</v>
      </c>
      <c r="AJ152" t="s">
        <v>9551</v>
      </c>
      <c r="AK152" t="s">
        <v>9550</v>
      </c>
      <c r="AL152">
        <v>9</v>
      </c>
      <c r="AM152" s="5">
        <f t="shared" si="18"/>
        <v>0.29032258064516131</v>
      </c>
      <c r="AN152" s="4">
        <f t="shared" si="23"/>
        <v>4.3971613880372783E-4</v>
      </c>
      <c r="AO152" s="3"/>
      <c r="AP152">
        <v>0</v>
      </c>
      <c r="AR152" t="s">
        <v>0</v>
      </c>
      <c r="AT152" s="2">
        <v>2.552</v>
      </c>
      <c r="AU152" s="1">
        <f t="shared" si="19"/>
        <v>1.2240507778295238</v>
      </c>
      <c r="AV152" s="1">
        <f t="shared" si="20"/>
        <v>0.8868853024154808</v>
      </c>
      <c r="AW152" s="1">
        <f t="shared" si="21"/>
        <v>0.54971982700143751</v>
      </c>
    </row>
    <row r="153" spans="1:49" x14ac:dyDescent="0.2">
      <c r="A153">
        <v>151</v>
      </c>
      <c r="B153" t="s">
        <v>9549</v>
      </c>
      <c r="C153" t="s">
        <v>9548</v>
      </c>
      <c r="F153" t="s">
        <v>9547</v>
      </c>
      <c r="G153" t="s">
        <v>16</v>
      </c>
      <c r="H153" t="s">
        <v>15</v>
      </c>
      <c r="I153" t="s">
        <v>9546</v>
      </c>
      <c r="J153">
        <v>60000635</v>
      </c>
      <c r="K153" t="s">
        <v>9545</v>
      </c>
      <c r="L153" t="s">
        <v>9544</v>
      </c>
      <c r="M153" t="s">
        <v>57</v>
      </c>
      <c r="N153">
        <v>3</v>
      </c>
      <c r="O153" t="s">
        <v>9543</v>
      </c>
      <c r="P153" t="s">
        <v>9542</v>
      </c>
      <c r="Q153" t="s">
        <v>9541</v>
      </c>
      <c r="R153" s="7">
        <v>33270</v>
      </c>
      <c r="S153" s="8">
        <f t="shared" si="16"/>
        <v>1991</v>
      </c>
      <c r="T153" s="8">
        <v>1991</v>
      </c>
      <c r="U153" s="8">
        <f t="shared" si="17"/>
        <v>31</v>
      </c>
      <c r="V153" s="7">
        <v>33270</v>
      </c>
      <c r="W153" t="s">
        <v>98</v>
      </c>
      <c r="X153" s="2">
        <v>0.85499999999999998</v>
      </c>
      <c r="Y153" s="6">
        <f t="shared" si="22"/>
        <v>2.28237366861536E-2</v>
      </c>
      <c r="AA153">
        <v>980331</v>
      </c>
      <c r="AB153">
        <v>23342</v>
      </c>
      <c r="AC153">
        <v>15731561</v>
      </c>
      <c r="AD153" t="s">
        <v>5</v>
      </c>
      <c r="AE153">
        <v>17</v>
      </c>
      <c r="AF153">
        <v>2</v>
      </c>
      <c r="AH153" t="s">
        <v>9540</v>
      </c>
      <c r="AI153" t="s">
        <v>9539</v>
      </c>
      <c r="AJ153" t="s">
        <v>9538</v>
      </c>
      <c r="AK153" t="s">
        <v>9537</v>
      </c>
      <c r="AL153">
        <v>20</v>
      </c>
      <c r="AM153" s="5">
        <f t="shared" si="18"/>
        <v>0.64516129032258063</v>
      </c>
      <c r="AN153" s="4">
        <f t="shared" si="23"/>
        <v>9.7714697511939509E-4</v>
      </c>
      <c r="AO153" s="3"/>
      <c r="AP153">
        <v>0</v>
      </c>
      <c r="AR153" t="s">
        <v>0</v>
      </c>
      <c r="AT153" s="2">
        <v>2.6259999999999999</v>
      </c>
      <c r="AU153" s="1">
        <f t="shared" si="19"/>
        <v>1.6269759772843335</v>
      </c>
      <c r="AV153" s="1">
        <f t="shared" si="20"/>
        <v>1.1900441830636499</v>
      </c>
      <c r="AW153" s="1">
        <f t="shared" si="21"/>
        <v>0.75311238884296572</v>
      </c>
    </row>
    <row r="154" spans="1:49" x14ac:dyDescent="0.2">
      <c r="A154">
        <v>152</v>
      </c>
      <c r="B154" t="s">
        <v>9536</v>
      </c>
      <c r="C154" t="s">
        <v>9535</v>
      </c>
      <c r="F154" t="s">
        <v>9534</v>
      </c>
      <c r="G154" t="s">
        <v>16</v>
      </c>
      <c r="H154" t="s">
        <v>15</v>
      </c>
      <c r="I154" t="s">
        <v>9533</v>
      </c>
      <c r="J154">
        <v>60023544</v>
      </c>
      <c r="K154" t="s">
        <v>9532</v>
      </c>
      <c r="L154" t="s">
        <v>9531</v>
      </c>
      <c r="M154" t="s">
        <v>1207</v>
      </c>
      <c r="N154">
        <v>2</v>
      </c>
      <c r="O154" t="s">
        <v>9530</v>
      </c>
      <c r="P154" t="s">
        <v>9529</v>
      </c>
      <c r="Q154" t="s">
        <v>9528</v>
      </c>
      <c r="R154" s="7">
        <v>33270</v>
      </c>
      <c r="S154" s="8">
        <f t="shared" si="16"/>
        <v>1991</v>
      </c>
      <c r="T154" s="8">
        <v>1991</v>
      </c>
      <c r="U154" s="8">
        <f t="shared" si="17"/>
        <v>31</v>
      </c>
      <c r="V154" s="7">
        <v>33270</v>
      </c>
      <c r="W154" t="s">
        <v>9527</v>
      </c>
      <c r="X154" s="2">
        <v>0.93</v>
      </c>
      <c r="Y154" s="6">
        <f t="shared" si="22"/>
        <v>2.4825818851605671E-2</v>
      </c>
      <c r="AA154">
        <v>253162</v>
      </c>
      <c r="AB154">
        <v>12165</v>
      </c>
      <c r="AC154">
        <v>14321793</v>
      </c>
      <c r="AD154" t="s">
        <v>5</v>
      </c>
      <c r="AE154">
        <v>109</v>
      </c>
      <c r="AF154">
        <v>1</v>
      </c>
      <c r="AH154" t="s">
        <v>9526</v>
      </c>
      <c r="AI154" t="s">
        <v>9525</v>
      </c>
      <c r="AK154" t="s">
        <v>9524</v>
      </c>
      <c r="AL154">
        <v>15</v>
      </c>
      <c r="AM154" s="5">
        <f t="shared" si="18"/>
        <v>0.4838709677419355</v>
      </c>
      <c r="AN154" s="4">
        <f t="shared" si="23"/>
        <v>7.3286023133954637E-4</v>
      </c>
      <c r="AO154" s="3"/>
      <c r="AP154">
        <v>0</v>
      </c>
      <c r="AR154" t="s">
        <v>0</v>
      </c>
      <c r="AT154" s="2">
        <v>2.573</v>
      </c>
      <c r="AU154" s="1">
        <f t="shared" si="19"/>
        <v>1.759793126552583</v>
      </c>
      <c r="AV154" s="1">
        <f t="shared" si="20"/>
        <v>1.277933954147261</v>
      </c>
      <c r="AW154" s="1">
        <f t="shared" si="21"/>
        <v>0.79607478174193824</v>
      </c>
    </row>
    <row r="155" spans="1:49" x14ac:dyDescent="0.2">
      <c r="A155">
        <v>153</v>
      </c>
      <c r="B155" t="s">
        <v>9523</v>
      </c>
      <c r="C155" t="s">
        <v>9522</v>
      </c>
      <c r="F155" t="s">
        <v>9521</v>
      </c>
      <c r="G155" t="s">
        <v>16</v>
      </c>
      <c r="H155" t="s">
        <v>15</v>
      </c>
      <c r="I155" t="s">
        <v>9520</v>
      </c>
      <c r="J155">
        <v>60103678</v>
      </c>
      <c r="K155" t="s">
        <v>9519</v>
      </c>
      <c r="L155" t="s">
        <v>9518</v>
      </c>
      <c r="M155" t="s">
        <v>57</v>
      </c>
      <c r="N155">
        <v>3</v>
      </c>
      <c r="O155" t="s">
        <v>9517</v>
      </c>
      <c r="P155" t="s">
        <v>9516</v>
      </c>
      <c r="Q155" t="s">
        <v>9515</v>
      </c>
      <c r="R155" s="7">
        <v>33270</v>
      </c>
      <c r="S155" s="8">
        <f t="shared" si="16"/>
        <v>1991</v>
      </c>
      <c r="T155" s="8">
        <v>1991</v>
      </c>
      <c r="U155" s="8">
        <f t="shared" si="17"/>
        <v>31</v>
      </c>
      <c r="V155" s="7">
        <v>33270</v>
      </c>
      <c r="W155" t="s">
        <v>98</v>
      </c>
      <c r="X155" s="2">
        <v>0.85499999999999998</v>
      </c>
      <c r="Y155" s="6">
        <f t="shared" si="22"/>
        <v>2.28237366861536E-2</v>
      </c>
      <c r="AA155">
        <v>980331</v>
      </c>
      <c r="AB155">
        <v>23342</v>
      </c>
      <c r="AC155">
        <v>15731561</v>
      </c>
      <c r="AD155" t="s">
        <v>5</v>
      </c>
      <c r="AE155">
        <v>17</v>
      </c>
      <c r="AF155">
        <v>2</v>
      </c>
      <c r="AH155" t="s">
        <v>6363</v>
      </c>
      <c r="AI155" t="s">
        <v>9514</v>
      </c>
      <c r="AJ155" t="s">
        <v>9513</v>
      </c>
      <c r="AK155" t="s">
        <v>9512</v>
      </c>
      <c r="AL155">
        <v>20</v>
      </c>
      <c r="AM155" s="5">
        <f t="shared" si="18"/>
        <v>0.64516129032258063</v>
      </c>
      <c r="AN155" s="4">
        <f t="shared" si="23"/>
        <v>9.7714697511939509E-4</v>
      </c>
      <c r="AO155" s="3"/>
      <c r="AP155">
        <v>0</v>
      </c>
      <c r="AR155" t="s">
        <v>0</v>
      </c>
      <c r="AT155" s="2">
        <v>2.6259999999999999</v>
      </c>
      <c r="AU155" s="1">
        <f t="shared" si="19"/>
        <v>1.6269759772843335</v>
      </c>
      <c r="AV155" s="1">
        <f t="shared" si="20"/>
        <v>1.1900441830636499</v>
      </c>
      <c r="AW155" s="1">
        <f t="shared" si="21"/>
        <v>0.75311238884296572</v>
      </c>
    </row>
    <row r="156" spans="1:49" x14ac:dyDescent="0.2">
      <c r="A156">
        <v>154</v>
      </c>
      <c r="B156" t="s">
        <v>9511</v>
      </c>
      <c r="C156" t="s">
        <v>9510</v>
      </c>
      <c r="F156" t="s">
        <v>1411</v>
      </c>
      <c r="G156" t="s">
        <v>16</v>
      </c>
      <c r="H156" t="s">
        <v>15</v>
      </c>
      <c r="I156" t="s">
        <v>1410</v>
      </c>
      <c r="J156" t="s">
        <v>9506</v>
      </c>
      <c r="K156" t="s">
        <v>9509</v>
      </c>
      <c r="L156" t="s">
        <v>9508</v>
      </c>
      <c r="M156" t="s">
        <v>9507</v>
      </c>
      <c r="N156">
        <v>2</v>
      </c>
      <c r="O156" t="s">
        <v>1406</v>
      </c>
      <c r="P156" t="s">
        <v>1405</v>
      </c>
      <c r="Q156" t="s">
        <v>9506</v>
      </c>
      <c r="R156" s="7">
        <v>33269</v>
      </c>
      <c r="S156" s="8">
        <f t="shared" si="16"/>
        <v>1991</v>
      </c>
      <c r="T156" s="8">
        <v>1991</v>
      </c>
      <c r="U156" s="8">
        <f t="shared" si="17"/>
        <v>31</v>
      </c>
      <c r="V156" s="7">
        <v>33269</v>
      </c>
      <c r="W156" t="s">
        <v>535</v>
      </c>
      <c r="X156" s="2">
        <v>0.375</v>
      </c>
      <c r="Y156" s="6">
        <f t="shared" si="22"/>
        <v>1.0010410827260351E-2</v>
      </c>
      <c r="AA156">
        <v>135194</v>
      </c>
      <c r="AB156">
        <v>24918</v>
      </c>
      <c r="AD156" t="s">
        <v>5</v>
      </c>
      <c r="AE156">
        <v>27</v>
      </c>
      <c r="AF156">
        <v>3</v>
      </c>
      <c r="AH156" t="s">
        <v>9505</v>
      </c>
      <c r="AI156" t="s">
        <v>9504</v>
      </c>
      <c r="AJ156" t="s">
        <v>9503</v>
      </c>
      <c r="AK156" t="s">
        <v>9502</v>
      </c>
      <c r="AL156">
        <v>0</v>
      </c>
      <c r="AM156" s="5">
        <f t="shared" si="18"/>
        <v>0</v>
      </c>
      <c r="AN156" s="4">
        <f t="shared" si="23"/>
        <v>0</v>
      </c>
      <c r="AO156" s="3"/>
      <c r="AP156">
        <v>0</v>
      </c>
      <c r="AR156" t="s">
        <v>0</v>
      </c>
      <c r="AT156" s="2">
        <v>1.3140000000000001</v>
      </c>
      <c r="AU156" s="1">
        <f t="shared" si="19"/>
        <v>0.70072875790822453</v>
      </c>
      <c r="AV156" s="1">
        <f t="shared" si="20"/>
        <v>0.5005205413630176</v>
      </c>
      <c r="AW156" s="1">
        <f t="shared" si="21"/>
        <v>0.30031232481781051</v>
      </c>
    </row>
    <row r="157" spans="1:49" x14ac:dyDescent="0.2">
      <c r="A157">
        <v>155</v>
      </c>
      <c r="B157" t="s">
        <v>9501</v>
      </c>
      <c r="C157" t="s">
        <v>9500</v>
      </c>
      <c r="F157" t="s">
        <v>9499</v>
      </c>
      <c r="G157" t="s">
        <v>16</v>
      </c>
      <c r="H157" t="s">
        <v>15</v>
      </c>
      <c r="I157" t="s">
        <v>9498</v>
      </c>
      <c r="J157">
        <v>60102562</v>
      </c>
      <c r="K157" t="s">
        <v>667</v>
      </c>
      <c r="L157" t="s">
        <v>666</v>
      </c>
      <c r="M157" t="s">
        <v>57</v>
      </c>
      <c r="N157">
        <v>4</v>
      </c>
      <c r="O157" t="s">
        <v>9497</v>
      </c>
      <c r="P157" t="s">
        <v>9496</v>
      </c>
      <c r="Q157" t="s">
        <v>9495</v>
      </c>
      <c r="R157" s="7">
        <v>33269</v>
      </c>
      <c r="S157" s="8">
        <f t="shared" si="16"/>
        <v>1991</v>
      </c>
      <c r="T157" s="8">
        <v>1991</v>
      </c>
      <c r="U157" s="8">
        <f t="shared" si="17"/>
        <v>31</v>
      </c>
      <c r="V157" s="7">
        <v>33269</v>
      </c>
      <c r="W157" t="s">
        <v>535</v>
      </c>
      <c r="X157" s="2">
        <v>0.375</v>
      </c>
      <c r="Y157" s="6">
        <f t="shared" si="22"/>
        <v>1.0010410827260351E-2</v>
      </c>
      <c r="AA157">
        <v>135194</v>
      </c>
      <c r="AB157">
        <v>24918</v>
      </c>
      <c r="AD157" t="s">
        <v>5</v>
      </c>
      <c r="AE157">
        <v>27</v>
      </c>
      <c r="AF157">
        <v>3</v>
      </c>
      <c r="AH157" t="s">
        <v>9494</v>
      </c>
      <c r="AI157" t="s">
        <v>9493</v>
      </c>
      <c r="AJ157" t="s">
        <v>9492</v>
      </c>
      <c r="AK157" t="s">
        <v>9491</v>
      </c>
      <c r="AL157">
        <v>20</v>
      </c>
      <c r="AM157" s="5">
        <f t="shared" si="18"/>
        <v>0.64516129032258063</v>
      </c>
      <c r="AN157" s="4">
        <f t="shared" si="23"/>
        <v>9.7714697511939509E-4</v>
      </c>
      <c r="AO157" s="3"/>
      <c r="AP157">
        <v>0</v>
      </c>
      <c r="AR157" t="s">
        <v>0</v>
      </c>
      <c r="AT157" s="2">
        <v>1.3140000000000001</v>
      </c>
      <c r="AU157" s="1">
        <f t="shared" si="19"/>
        <v>0.73004316716180651</v>
      </c>
      <c r="AV157" s="1">
        <f t="shared" si="20"/>
        <v>0.5493778901189873</v>
      </c>
      <c r="AW157" s="1">
        <f t="shared" si="21"/>
        <v>0.36871261307616815</v>
      </c>
    </row>
    <row r="158" spans="1:49" x14ac:dyDescent="0.2">
      <c r="A158">
        <v>156</v>
      </c>
      <c r="B158" t="s">
        <v>9490</v>
      </c>
      <c r="C158" t="s">
        <v>9489</v>
      </c>
      <c r="F158" t="s">
        <v>9488</v>
      </c>
      <c r="G158" t="s">
        <v>16</v>
      </c>
      <c r="H158" t="s">
        <v>15</v>
      </c>
      <c r="I158" t="s">
        <v>9487</v>
      </c>
      <c r="J158" t="s">
        <v>9486</v>
      </c>
      <c r="K158" t="s">
        <v>9485</v>
      </c>
      <c r="L158" t="s">
        <v>9484</v>
      </c>
      <c r="M158" t="s">
        <v>5032</v>
      </c>
      <c r="N158">
        <v>3</v>
      </c>
      <c r="O158" t="s">
        <v>9483</v>
      </c>
      <c r="P158" t="s">
        <v>9482</v>
      </c>
      <c r="Q158" t="s">
        <v>9481</v>
      </c>
      <c r="R158" s="7">
        <v>33269</v>
      </c>
      <c r="S158" s="8">
        <f t="shared" si="16"/>
        <v>1991</v>
      </c>
      <c r="T158" s="8">
        <v>1991</v>
      </c>
      <c r="U158" s="8">
        <f t="shared" si="17"/>
        <v>31</v>
      </c>
      <c r="V158" s="7">
        <v>33269</v>
      </c>
      <c r="W158" t="s">
        <v>535</v>
      </c>
      <c r="X158" s="2">
        <v>0.375</v>
      </c>
      <c r="Y158" s="6">
        <f t="shared" si="22"/>
        <v>1.0010410827260351E-2</v>
      </c>
      <c r="AA158">
        <v>135194</v>
      </c>
      <c r="AB158">
        <v>24918</v>
      </c>
      <c r="AD158" t="s">
        <v>5</v>
      </c>
      <c r="AE158">
        <v>27</v>
      </c>
      <c r="AF158">
        <v>3</v>
      </c>
      <c r="AH158" t="s">
        <v>9480</v>
      </c>
      <c r="AI158" t="s">
        <v>9479</v>
      </c>
      <c r="AJ158" t="s">
        <v>9478</v>
      </c>
      <c r="AK158" t="s">
        <v>9477</v>
      </c>
      <c r="AL158">
        <v>2</v>
      </c>
      <c r="AM158" s="5">
        <f t="shared" si="18"/>
        <v>6.4516129032258063E-2</v>
      </c>
      <c r="AN158" s="4">
        <f t="shared" si="23"/>
        <v>9.7714697511939517E-5</v>
      </c>
      <c r="AO158" s="3"/>
      <c r="AP158">
        <v>0</v>
      </c>
      <c r="AR158" t="s">
        <v>0</v>
      </c>
      <c r="AT158" s="2">
        <v>1.3140000000000001</v>
      </c>
      <c r="AU158" s="1">
        <f t="shared" si="19"/>
        <v>0.70366019883358277</v>
      </c>
      <c r="AV158" s="1">
        <f t="shared" si="20"/>
        <v>0.50540627623861456</v>
      </c>
      <c r="AW158" s="1">
        <f t="shared" si="21"/>
        <v>0.30715235364364629</v>
      </c>
    </row>
    <row r="159" spans="1:49" x14ac:dyDescent="0.2">
      <c r="A159">
        <v>157</v>
      </c>
      <c r="B159" t="s">
        <v>9476</v>
      </c>
      <c r="C159" t="s">
        <v>9475</v>
      </c>
      <c r="F159" t="s">
        <v>9474</v>
      </c>
      <c r="G159" t="s">
        <v>16</v>
      </c>
      <c r="H159" t="s">
        <v>15</v>
      </c>
      <c r="I159" t="s">
        <v>9473</v>
      </c>
      <c r="J159">
        <v>60025555</v>
      </c>
      <c r="K159" t="s">
        <v>2786</v>
      </c>
      <c r="L159" t="s">
        <v>327</v>
      </c>
      <c r="M159" t="s">
        <v>326</v>
      </c>
      <c r="N159">
        <v>1</v>
      </c>
      <c r="O159" t="s">
        <v>9472</v>
      </c>
      <c r="P159">
        <v>57206124011</v>
      </c>
      <c r="Q159">
        <v>60025555</v>
      </c>
      <c r="R159" s="7">
        <v>33269</v>
      </c>
      <c r="S159" s="8">
        <f t="shared" si="16"/>
        <v>1991</v>
      </c>
      <c r="T159" s="8">
        <v>1991</v>
      </c>
      <c r="U159" s="8">
        <f t="shared" si="17"/>
        <v>31</v>
      </c>
      <c r="V159" s="7">
        <v>33269</v>
      </c>
      <c r="W159" t="s">
        <v>535</v>
      </c>
      <c r="X159" s="2">
        <v>0.375</v>
      </c>
      <c r="Y159" s="6">
        <f t="shared" si="22"/>
        <v>1.0010410827260351E-2</v>
      </c>
      <c r="AA159">
        <v>135194</v>
      </c>
      <c r="AB159">
        <v>24918</v>
      </c>
      <c r="AD159" t="s">
        <v>5</v>
      </c>
      <c r="AE159">
        <v>27</v>
      </c>
      <c r="AF159">
        <v>3</v>
      </c>
      <c r="AH159" t="s">
        <v>9471</v>
      </c>
      <c r="AI159" t="s">
        <v>9470</v>
      </c>
      <c r="AJ159" t="s">
        <v>9469</v>
      </c>
      <c r="AK159" t="s">
        <v>9468</v>
      </c>
      <c r="AL159">
        <v>12</v>
      </c>
      <c r="AM159" s="5">
        <f t="shared" si="18"/>
        <v>0.38709677419354838</v>
      </c>
      <c r="AN159" s="4">
        <f t="shared" si="23"/>
        <v>5.8628818507163707E-4</v>
      </c>
      <c r="AO159" s="3"/>
      <c r="AP159">
        <v>0</v>
      </c>
      <c r="AR159" t="s">
        <v>0</v>
      </c>
      <c r="AT159" s="2">
        <v>1.3140000000000001</v>
      </c>
      <c r="AU159" s="1">
        <f t="shared" si="19"/>
        <v>0.71831740346037365</v>
      </c>
      <c r="AV159" s="1">
        <f t="shared" si="20"/>
        <v>0.52983495061659946</v>
      </c>
      <c r="AW159" s="1">
        <f t="shared" si="21"/>
        <v>0.34135249777282511</v>
      </c>
    </row>
    <row r="160" spans="1:49" x14ac:dyDescent="0.2">
      <c r="A160">
        <v>158</v>
      </c>
      <c r="B160" t="s">
        <v>9467</v>
      </c>
      <c r="C160" t="s">
        <v>9466</v>
      </c>
      <c r="F160" t="s">
        <v>9465</v>
      </c>
      <c r="G160" t="s">
        <v>16</v>
      </c>
      <c r="H160" t="s">
        <v>15</v>
      </c>
      <c r="I160" t="s">
        <v>9464</v>
      </c>
      <c r="J160">
        <v>60022109</v>
      </c>
      <c r="K160" t="s">
        <v>539</v>
      </c>
      <c r="L160" t="s">
        <v>118</v>
      </c>
      <c r="M160" t="s">
        <v>117</v>
      </c>
      <c r="N160">
        <v>3</v>
      </c>
      <c r="O160" t="s">
        <v>9463</v>
      </c>
      <c r="P160" t="s">
        <v>9462</v>
      </c>
      <c r="Q160" t="s">
        <v>536</v>
      </c>
      <c r="R160" s="7">
        <v>33269</v>
      </c>
      <c r="S160" s="8">
        <f t="shared" si="16"/>
        <v>1991</v>
      </c>
      <c r="T160" s="8">
        <v>1991</v>
      </c>
      <c r="U160" s="8">
        <f t="shared" si="17"/>
        <v>31</v>
      </c>
      <c r="V160" s="7">
        <v>33269</v>
      </c>
      <c r="W160" t="s">
        <v>535</v>
      </c>
      <c r="X160" s="2">
        <v>0.375</v>
      </c>
      <c r="Y160" s="6">
        <f t="shared" si="22"/>
        <v>1.0010410827260351E-2</v>
      </c>
      <c r="AA160">
        <v>135194</v>
      </c>
      <c r="AB160">
        <v>24918</v>
      </c>
      <c r="AD160" t="s">
        <v>5</v>
      </c>
      <c r="AE160">
        <v>27</v>
      </c>
      <c r="AF160">
        <v>3</v>
      </c>
      <c r="AH160" t="s">
        <v>9461</v>
      </c>
      <c r="AI160" t="s">
        <v>9460</v>
      </c>
      <c r="AJ160" t="s">
        <v>532</v>
      </c>
      <c r="AK160" t="s">
        <v>9459</v>
      </c>
      <c r="AL160">
        <v>1</v>
      </c>
      <c r="AM160" s="5">
        <f t="shared" si="18"/>
        <v>3.2258064516129031E-2</v>
      </c>
      <c r="AN160" s="4">
        <f t="shared" si="23"/>
        <v>4.8857348755969758E-5</v>
      </c>
      <c r="AO160" s="3"/>
      <c r="AP160">
        <v>0</v>
      </c>
      <c r="AR160" t="s">
        <v>0</v>
      </c>
      <c r="AT160" s="2">
        <v>1.3140000000000001</v>
      </c>
      <c r="AU160" s="1">
        <f t="shared" si="19"/>
        <v>0.70219447837090365</v>
      </c>
      <c r="AV160" s="1">
        <f t="shared" si="20"/>
        <v>0.50296340880081603</v>
      </c>
      <c r="AW160" s="1">
        <f t="shared" si="21"/>
        <v>0.3037323392307284</v>
      </c>
    </row>
    <row r="161" spans="1:49" x14ac:dyDescent="0.2">
      <c r="A161">
        <v>159</v>
      </c>
      <c r="B161" t="s">
        <v>9458</v>
      </c>
      <c r="C161" t="s">
        <v>9457</v>
      </c>
      <c r="D161" t="s">
        <v>9456</v>
      </c>
      <c r="F161" t="s">
        <v>9455</v>
      </c>
      <c r="G161" t="s">
        <v>16</v>
      </c>
      <c r="H161" t="s">
        <v>15</v>
      </c>
      <c r="I161" t="s">
        <v>9454</v>
      </c>
      <c r="J161">
        <v>60025104</v>
      </c>
      <c r="K161" t="s">
        <v>9453</v>
      </c>
      <c r="M161" t="s">
        <v>117</v>
      </c>
      <c r="N161">
        <v>1</v>
      </c>
      <c r="O161" t="s">
        <v>9452</v>
      </c>
      <c r="P161">
        <v>7102290215</v>
      </c>
      <c r="Q161">
        <v>60025104</v>
      </c>
      <c r="R161" s="7">
        <v>33252</v>
      </c>
      <c r="S161" s="8">
        <f t="shared" si="16"/>
        <v>1991</v>
      </c>
      <c r="T161" s="8">
        <v>1991</v>
      </c>
      <c r="U161" s="8">
        <f t="shared" si="17"/>
        <v>31</v>
      </c>
      <c r="V161" s="7">
        <v>33252</v>
      </c>
      <c r="W161" t="s">
        <v>9451</v>
      </c>
      <c r="X161" s="2">
        <v>0.499</v>
      </c>
      <c r="Y161" s="6">
        <f t="shared" si="22"/>
        <v>1.332052000747444E-2</v>
      </c>
      <c r="AA161">
        <v>3759601</v>
      </c>
      <c r="AB161">
        <v>29464</v>
      </c>
      <c r="AD161" t="s">
        <v>5</v>
      </c>
      <c r="AE161">
        <v>152</v>
      </c>
      <c r="AF161" s="9">
        <v>44289</v>
      </c>
      <c r="AH161" t="s">
        <v>9450</v>
      </c>
      <c r="AI161" t="s">
        <v>9449</v>
      </c>
      <c r="AK161" t="s">
        <v>9448</v>
      </c>
      <c r="AL161">
        <v>5</v>
      </c>
      <c r="AM161" s="5">
        <f t="shared" si="18"/>
        <v>0.16129032258064516</v>
      </c>
      <c r="AN161" s="4">
        <f t="shared" si="23"/>
        <v>2.4428674377984877E-4</v>
      </c>
      <c r="AO161" s="3"/>
      <c r="AP161">
        <v>0</v>
      </c>
      <c r="AQ161" t="s">
        <v>9447</v>
      </c>
      <c r="AR161" t="s">
        <v>0</v>
      </c>
      <c r="AS161" t="s">
        <v>9446</v>
      </c>
      <c r="AT161" s="2">
        <v>2.6539999999999999</v>
      </c>
      <c r="AU161" s="1">
        <f t="shared" si="19"/>
        <v>0.93976500283660636</v>
      </c>
      <c r="AV161" s="1">
        <f t="shared" si="20"/>
        <v>0.6782403375627144</v>
      </c>
      <c r="AW161" s="1">
        <f t="shared" si="21"/>
        <v>0.41671567228882256</v>
      </c>
    </row>
    <row r="162" spans="1:49" x14ac:dyDescent="0.2">
      <c r="A162">
        <v>160</v>
      </c>
      <c r="B162" t="s">
        <v>9445</v>
      </c>
      <c r="C162" t="s">
        <v>9444</v>
      </c>
      <c r="F162" t="s">
        <v>9443</v>
      </c>
      <c r="G162" t="s">
        <v>16</v>
      </c>
      <c r="H162" t="s">
        <v>15</v>
      </c>
      <c r="I162" t="s">
        <v>9442</v>
      </c>
      <c r="J162" t="s">
        <v>9441</v>
      </c>
      <c r="K162" t="s">
        <v>9440</v>
      </c>
      <c r="L162" t="s">
        <v>9439</v>
      </c>
      <c r="M162" t="s">
        <v>9438</v>
      </c>
      <c r="N162">
        <v>2</v>
      </c>
      <c r="O162" t="s">
        <v>9437</v>
      </c>
      <c r="P162" t="s">
        <v>9436</v>
      </c>
      <c r="Q162" t="s">
        <v>9435</v>
      </c>
      <c r="R162" s="7">
        <v>33239</v>
      </c>
      <c r="S162" s="8">
        <f t="shared" si="16"/>
        <v>1991</v>
      </c>
      <c r="T162" s="8">
        <v>1991</v>
      </c>
      <c r="U162" s="8">
        <f t="shared" si="17"/>
        <v>31</v>
      </c>
      <c r="V162" s="7">
        <v>1991</v>
      </c>
      <c r="W162" t="s">
        <v>9434</v>
      </c>
      <c r="X162" s="2">
        <v>2.0579999999999998</v>
      </c>
      <c r="Y162" s="6">
        <f t="shared" si="22"/>
        <v>5.4937134620004803E-2</v>
      </c>
      <c r="AA162">
        <v>358711</v>
      </c>
      <c r="AB162">
        <v>28218</v>
      </c>
      <c r="AC162">
        <v>13652966</v>
      </c>
      <c r="AD162" t="s">
        <v>5</v>
      </c>
      <c r="AE162">
        <v>249</v>
      </c>
      <c r="AF162">
        <v>1</v>
      </c>
      <c r="AH162" t="s">
        <v>9433</v>
      </c>
      <c r="AI162" t="s">
        <v>9432</v>
      </c>
      <c r="AK162" t="s">
        <v>9431</v>
      </c>
      <c r="AL162">
        <v>12</v>
      </c>
      <c r="AM162" s="5">
        <f t="shared" si="18"/>
        <v>0.38709677419354838</v>
      </c>
      <c r="AN162" s="4">
        <f t="shared" si="23"/>
        <v>5.8628818507163707E-4</v>
      </c>
      <c r="AO162" s="3"/>
      <c r="AP162">
        <v>1</v>
      </c>
      <c r="AQ162" t="s">
        <v>9430</v>
      </c>
      <c r="AR162">
        <v>870547</v>
      </c>
      <c r="AS162" t="s">
        <v>9429</v>
      </c>
      <c r="AT162" s="2" t="s">
        <v>33</v>
      </c>
      <c r="AU162" s="1">
        <f t="shared" si="19"/>
        <v>3.8631880689524847</v>
      </c>
      <c r="AV162" s="1">
        <f t="shared" si="20"/>
        <v>2.7761711402538221</v>
      </c>
      <c r="AW162" s="1">
        <f t="shared" si="21"/>
        <v>1.6891542115551588</v>
      </c>
    </row>
    <row r="163" spans="1:49" x14ac:dyDescent="0.2">
      <c r="A163">
        <v>161</v>
      </c>
      <c r="B163" t="s">
        <v>9428</v>
      </c>
      <c r="F163" t="s">
        <v>9427</v>
      </c>
      <c r="G163" t="s">
        <v>16</v>
      </c>
      <c r="H163" t="s">
        <v>15</v>
      </c>
      <c r="I163" t="s">
        <v>9426</v>
      </c>
      <c r="J163">
        <v>60000990</v>
      </c>
      <c r="K163" t="s">
        <v>6153</v>
      </c>
      <c r="L163" t="s">
        <v>147</v>
      </c>
      <c r="M163" t="s">
        <v>146</v>
      </c>
      <c r="N163">
        <v>1</v>
      </c>
      <c r="O163" t="s">
        <v>9425</v>
      </c>
      <c r="P163">
        <v>6508348092</v>
      </c>
      <c r="Q163">
        <v>60000990</v>
      </c>
      <c r="R163" s="7">
        <v>33239</v>
      </c>
      <c r="S163" s="8">
        <f t="shared" si="16"/>
        <v>1991</v>
      </c>
      <c r="T163" s="8">
        <v>1991</v>
      </c>
      <c r="U163" s="8">
        <f t="shared" si="17"/>
        <v>31</v>
      </c>
      <c r="V163" s="7">
        <v>1991</v>
      </c>
      <c r="W163" t="s">
        <v>9424</v>
      </c>
      <c r="X163" s="2" t="s">
        <v>33</v>
      </c>
      <c r="Y163" s="6" t="e">
        <f t="shared" si="22"/>
        <v>#VALUE!</v>
      </c>
      <c r="AA163">
        <v>3668746</v>
      </c>
      <c r="AB163">
        <v>64260</v>
      </c>
      <c r="AD163" t="s">
        <v>5</v>
      </c>
      <c r="AF163">
        <v>788</v>
      </c>
      <c r="AI163" t="s">
        <v>9423</v>
      </c>
      <c r="AK163" t="s">
        <v>9422</v>
      </c>
      <c r="AL163">
        <v>0</v>
      </c>
      <c r="AM163" s="5">
        <f t="shared" si="18"/>
        <v>0</v>
      </c>
      <c r="AN163" s="4">
        <f t="shared" si="23"/>
        <v>0</v>
      </c>
      <c r="AO163" s="3"/>
      <c r="AP163">
        <v>0</v>
      </c>
      <c r="AR163" t="s">
        <v>0</v>
      </c>
      <c r="AT163" s="2" t="s">
        <v>33</v>
      </c>
      <c r="AU163" s="1" t="e">
        <f t="shared" si="19"/>
        <v>#VALUE!</v>
      </c>
      <c r="AV163" s="1" t="e">
        <f t="shared" si="20"/>
        <v>#VALUE!</v>
      </c>
      <c r="AW163" s="1" t="e">
        <f t="shared" si="21"/>
        <v>#VALUE!</v>
      </c>
    </row>
    <row r="164" spans="1:49" x14ac:dyDescent="0.2">
      <c r="A164">
        <v>162</v>
      </c>
      <c r="B164" t="s">
        <v>9421</v>
      </c>
      <c r="C164" t="s">
        <v>9420</v>
      </c>
      <c r="D164" t="s">
        <v>9419</v>
      </c>
      <c r="F164" t="s">
        <v>9418</v>
      </c>
      <c r="G164" t="s">
        <v>16</v>
      </c>
      <c r="H164" t="s">
        <v>15</v>
      </c>
      <c r="I164" t="s">
        <v>9417</v>
      </c>
      <c r="J164">
        <v>60031707</v>
      </c>
      <c r="K164" t="s">
        <v>9416</v>
      </c>
      <c r="L164" t="s">
        <v>9415</v>
      </c>
      <c r="M164" t="s">
        <v>57</v>
      </c>
      <c r="N164">
        <v>2</v>
      </c>
      <c r="O164" t="s">
        <v>9414</v>
      </c>
      <c r="P164" t="s">
        <v>9413</v>
      </c>
      <c r="Q164" t="s">
        <v>9412</v>
      </c>
      <c r="R164" s="7">
        <v>33239</v>
      </c>
      <c r="S164" s="8">
        <f t="shared" si="16"/>
        <v>1991</v>
      </c>
      <c r="T164" s="8">
        <v>1991</v>
      </c>
      <c r="U164" s="8">
        <f t="shared" si="17"/>
        <v>31</v>
      </c>
      <c r="V164" s="7">
        <v>1991</v>
      </c>
      <c r="W164" t="s">
        <v>9411</v>
      </c>
      <c r="X164" s="2">
        <v>1.5669999999999999</v>
      </c>
      <c r="Y164" s="6">
        <f t="shared" si="22"/>
        <v>4.1830170043511916E-2</v>
      </c>
      <c r="AA164">
        <v>7365853</v>
      </c>
      <c r="AB164">
        <v>20896</v>
      </c>
      <c r="AD164" t="s">
        <v>5</v>
      </c>
      <c r="AE164">
        <v>8</v>
      </c>
      <c r="AF164" s="9">
        <v>44228</v>
      </c>
      <c r="AH164" t="s">
        <v>9410</v>
      </c>
      <c r="AI164" t="s">
        <v>9409</v>
      </c>
      <c r="AK164" t="s">
        <v>9408</v>
      </c>
      <c r="AL164">
        <v>8</v>
      </c>
      <c r="AM164" s="5">
        <f t="shared" si="18"/>
        <v>0.25806451612903225</v>
      </c>
      <c r="AN164" s="4">
        <f t="shared" si="23"/>
        <v>3.9085879004775807E-4</v>
      </c>
      <c r="AO164" s="3"/>
      <c r="AP164">
        <v>0</v>
      </c>
      <c r="AR164" t="s">
        <v>0</v>
      </c>
      <c r="AT164" s="2">
        <v>6.1820000000000004</v>
      </c>
      <c r="AU164" s="1">
        <f t="shared" si="19"/>
        <v>2.9398376667472665</v>
      </c>
      <c r="AV164" s="1">
        <f t="shared" si="20"/>
        <v>2.1110514416779838</v>
      </c>
      <c r="AW164" s="1">
        <f t="shared" si="21"/>
        <v>1.2822652166087005</v>
      </c>
    </row>
    <row r="165" spans="1:49" x14ac:dyDescent="0.2">
      <c r="A165">
        <v>163</v>
      </c>
      <c r="B165" t="s">
        <v>9407</v>
      </c>
      <c r="C165" t="s">
        <v>9406</v>
      </c>
      <c r="F165" t="s">
        <v>9405</v>
      </c>
      <c r="G165" t="s">
        <v>16</v>
      </c>
      <c r="H165" t="s">
        <v>15</v>
      </c>
      <c r="I165" t="s">
        <v>9404</v>
      </c>
      <c r="J165">
        <v>60023462</v>
      </c>
      <c r="K165" t="s">
        <v>2573</v>
      </c>
      <c r="L165" t="s">
        <v>327</v>
      </c>
      <c r="M165" t="s">
        <v>326</v>
      </c>
      <c r="N165">
        <v>2</v>
      </c>
      <c r="O165" t="s">
        <v>9403</v>
      </c>
      <c r="P165" t="s">
        <v>9402</v>
      </c>
      <c r="Q165" t="s">
        <v>9401</v>
      </c>
      <c r="R165" s="7">
        <v>33239</v>
      </c>
      <c r="S165" s="8">
        <f t="shared" si="16"/>
        <v>1991</v>
      </c>
      <c r="T165" s="8">
        <v>1991</v>
      </c>
      <c r="U165" s="8">
        <f t="shared" si="17"/>
        <v>31</v>
      </c>
      <c r="V165" s="7">
        <v>1991</v>
      </c>
      <c r="W165" t="s">
        <v>9400</v>
      </c>
      <c r="X165" s="2" t="s">
        <v>33</v>
      </c>
      <c r="Y165" s="6" t="e">
        <f t="shared" si="22"/>
        <v>#VALUE!</v>
      </c>
      <c r="AA165">
        <v>3875024</v>
      </c>
      <c r="AB165">
        <v>110132</v>
      </c>
      <c r="AD165" t="s">
        <v>5</v>
      </c>
      <c r="AE165">
        <v>57</v>
      </c>
      <c r="AF165">
        <v>534</v>
      </c>
      <c r="AH165" t="s">
        <v>9399</v>
      </c>
      <c r="AI165" t="s">
        <v>9398</v>
      </c>
      <c r="AJ165" t="s">
        <v>9397</v>
      </c>
      <c r="AK165" t="s">
        <v>9396</v>
      </c>
      <c r="AL165">
        <v>2</v>
      </c>
      <c r="AM165" s="5">
        <f t="shared" si="18"/>
        <v>6.4516129032258063E-2</v>
      </c>
      <c r="AN165" s="4">
        <f t="shared" si="23"/>
        <v>9.7714697511939517E-5</v>
      </c>
      <c r="AO165" s="3"/>
      <c r="AP165">
        <v>1</v>
      </c>
      <c r="AR165" t="s">
        <v>0</v>
      </c>
      <c r="AT165" s="2" t="s">
        <v>33</v>
      </c>
      <c r="AU165" s="1" t="e">
        <f t="shared" si="19"/>
        <v>#VALUE!</v>
      </c>
      <c r="AV165" s="1" t="e">
        <f t="shared" si="20"/>
        <v>#VALUE!</v>
      </c>
      <c r="AW165" s="1" t="e">
        <f t="shared" si="21"/>
        <v>#VALUE!</v>
      </c>
    </row>
    <row r="166" spans="1:49" x14ac:dyDescent="0.2">
      <c r="A166">
        <v>164</v>
      </c>
      <c r="B166" t="s">
        <v>9395</v>
      </c>
      <c r="C166" t="s">
        <v>9394</v>
      </c>
      <c r="F166" t="s">
        <v>9393</v>
      </c>
      <c r="G166" t="s">
        <v>16</v>
      </c>
      <c r="H166" t="s">
        <v>15</v>
      </c>
      <c r="I166" t="s">
        <v>9392</v>
      </c>
      <c r="N166">
        <v>1</v>
      </c>
      <c r="O166" t="s">
        <v>9391</v>
      </c>
      <c r="P166">
        <v>7101821985</v>
      </c>
      <c r="R166" s="7">
        <v>33239</v>
      </c>
      <c r="S166" s="8">
        <f t="shared" si="16"/>
        <v>1991</v>
      </c>
      <c r="T166" s="8">
        <v>1991</v>
      </c>
      <c r="U166" s="8">
        <f t="shared" si="17"/>
        <v>31</v>
      </c>
      <c r="V166" s="7">
        <v>1991</v>
      </c>
      <c r="W166" t="s">
        <v>9383</v>
      </c>
      <c r="X166" s="2">
        <v>0.12</v>
      </c>
      <c r="Y166" s="6">
        <f t="shared" si="22"/>
        <v>3.2033314647233121E-3</v>
      </c>
      <c r="AA166">
        <v>9120289</v>
      </c>
      <c r="AB166">
        <v>14421</v>
      </c>
      <c r="AD166" t="s">
        <v>5</v>
      </c>
      <c r="AE166">
        <v>57</v>
      </c>
      <c r="AF166">
        <v>5</v>
      </c>
      <c r="AH166" t="s">
        <v>9390</v>
      </c>
      <c r="AJ166" t="s">
        <v>9389</v>
      </c>
      <c r="AL166">
        <v>0</v>
      </c>
      <c r="AM166" s="5">
        <f t="shared" si="18"/>
        <v>0</v>
      </c>
      <c r="AN166" s="4">
        <f t="shared" si="23"/>
        <v>0</v>
      </c>
      <c r="AO166" s="3"/>
      <c r="AP166">
        <v>1</v>
      </c>
      <c r="AR166" t="s">
        <v>0</v>
      </c>
      <c r="AT166" s="2" t="s">
        <v>33</v>
      </c>
      <c r="AU166" s="1">
        <f t="shared" si="19"/>
        <v>0.22423320253063184</v>
      </c>
      <c r="AV166" s="1">
        <f t="shared" si="20"/>
        <v>0.16016657323616562</v>
      </c>
      <c r="AW166" s="1">
        <f t="shared" si="21"/>
        <v>9.6099943941699364E-2</v>
      </c>
    </row>
    <row r="167" spans="1:49" x14ac:dyDescent="0.2">
      <c r="A167">
        <v>165</v>
      </c>
      <c r="B167" t="s">
        <v>9388</v>
      </c>
      <c r="C167" t="s">
        <v>9387</v>
      </c>
      <c r="F167" t="s">
        <v>9386</v>
      </c>
      <c r="G167" t="s">
        <v>16</v>
      </c>
      <c r="H167" t="s">
        <v>15</v>
      </c>
      <c r="I167" t="s">
        <v>9385</v>
      </c>
      <c r="J167">
        <v>60024590</v>
      </c>
      <c r="K167" t="s">
        <v>7712</v>
      </c>
      <c r="L167" t="s">
        <v>7711</v>
      </c>
      <c r="M167" t="s">
        <v>57</v>
      </c>
      <c r="N167">
        <v>1</v>
      </c>
      <c r="O167" t="s">
        <v>9384</v>
      </c>
      <c r="P167">
        <v>6602492697</v>
      </c>
      <c r="Q167">
        <v>60024590</v>
      </c>
      <c r="R167" s="7">
        <v>33239</v>
      </c>
      <c r="S167" s="8">
        <f t="shared" si="16"/>
        <v>1991</v>
      </c>
      <c r="T167" s="8">
        <v>1991</v>
      </c>
      <c r="U167" s="8">
        <f t="shared" si="17"/>
        <v>31</v>
      </c>
      <c r="V167" s="7">
        <v>1991</v>
      </c>
      <c r="W167" t="s">
        <v>9383</v>
      </c>
      <c r="X167" s="2">
        <v>0.12</v>
      </c>
      <c r="Y167" s="6">
        <f t="shared" si="22"/>
        <v>3.2033314647233121E-3</v>
      </c>
      <c r="AA167">
        <v>9120289</v>
      </c>
      <c r="AB167">
        <v>14421</v>
      </c>
      <c r="AD167" t="s">
        <v>5</v>
      </c>
      <c r="AE167">
        <v>57</v>
      </c>
      <c r="AF167">
        <v>11</v>
      </c>
      <c r="AH167" t="s">
        <v>9382</v>
      </c>
      <c r="AJ167" t="s">
        <v>9381</v>
      </c>
      <c r="AL167">
        <v>0</v>
      </c>
      <c r="AM167" s="5">
        <f t="shared" si="18"/>
        <v>0</v>
      </c>
      <c r="AN167" s="4">
        <f t="shared" si="23"/>
        <v>0</v>
      </c>
      <c r="AO167" s="3"/>
      <c r="AP167">
        <v>1</v>
      </c>
      <c r="AR167" t="s">
        <v>0</v>
      </c>
      <c r="AT167" s="2" t="s">
        <v>33</v>
      </c>
      <c r="AU167" s="1">
        <f t="shared" si="19"/>
        <v>0.22423320253063184</v>
      </c>
      <c r="AV167" s="1">
        <f t="shared" si="20"/>
        <v>0.16016657323616562</v>
      </c>
      <c r="AW167" s="1">
        <f t="shared" si="21"/>
        <v>9.6099943941699364E-2</v>
      </c>
    </row>
    <row r="168" spans="1:49" x14ac:dyDescent="0.2">
      <c r="A168">
        <v>166</v>
      </c>
      <c r="B168" t="s">
        <v>9380</v>
      </c>
      <c r="C168" t="s">
        <v>9379</v>
      </c>
      <c r="F168" t="s">
        <v>9378</v>
      </c>
      <c r="G168" t="s">
        <v>16</v>
      </c>
      <c r="H168" t="s">
        <v>15</v>
      </c>
      <c r="I168" t="s">
        <v>9377</v>
      </c>
      <c r="J168">
        <v>60011001</v>
      </c>
      <c r="K168" t="s">
        <v>9332</v>
      </c>
      <c r="L168" t="s">
        <v>2922</v>
      </c>
      <c r="M168" t="s">
        <v>326</v>
      </c>
      <c r="N168">
        <v>2</v>
      </c>
      <c r="O168" t="s">
        <v>9376</v>
      </c>
      <c r="P168" t="s">
        <v>9375</v>
      </c>
      <c r="Q168" t="s">
        <v>9329</v>
      </c>
      <c r="R168" s="7">
        <v>33239</v>
      </c>
      <c r="S168" s="8">
        <f t="shared" si="16"/>
        <v>1991</v>
      </c>
      <c r="T168" s="8">
        <v>1991</v>
      </c>
      <c r="U168" s="8">
        <f t="shared" si="17"/>
        <v>31</v>
      </c>
      <c r="V168" s="7">
        <v>1991</v>
      </c>
      <c r="W168" t="s">
        <v>9328</v>
      </c>
      <c r="X168" s="2">
        <v>0.46300000000000002</v>
      </c>
      <c r="Y168" s="6">
        <f t="shared" si="22"/>
        <v>1.2359520568057447E-2</v>
      </c>
      <c r="AA168">
        <v>36862</v>
      </c>
      <c r="AB168">
        <v>19141</v>
      </c>
      <c r="AC168" t="s">
        <v>9327</v>
      </c>
      <c r="AD168" t="s">
        <v>5</v>
      </c>
      <c r="AE168">
        <v>26</v>
      </c>
      <c r="AF168">
        <v>3</v>
      </c>
      <c r="AH168" t="s">
        <v>9374</v>
      </c>
      <c r="AI168" t="s">
        <v>9373</v>
      </c>
      <c r="AJ168" t="s">
        <v>9372</v>
      </c>
      <c r="AK168" t="s">
        <v>9371</v>
      </c>
      <c r="AL168">
        <v>3</v>
      </c>
      <c r="AM168" s="5">
        <f t="shared" si="18"/>
        <v>9.6774193548387094E-2</v>
      </c>
      <c r="AN168" s="4">
        <f t="shared" si="23"/>
        <v>1.4657204626790927E-4</v>
      </c>
      <c r="AO168" s="3"/>
      <c r="AP168">
        <v>1</v>
      </c>
      <c r="AR168" t="s">
        <v>0</v>
      </c>
      <c r="AT168" s="2">
        <v>1.403</v>
      </c>
      <c r="AU168" s="1">
        <f t="shared" si="19"/>
        <v>0.86956360115205844</v>
      </c>
      <c r="AV168" s="1">
        <f t="shared" si="20"/>
        <v>0.62530463071626785</v>
      </c>
      <c r="AW168" s="1">
        <f t="shared" si="21"/>
        <v>0.38104566028047704</v>
      </c>
    </row>
    <row r="169" spans="1:49" x14ac:dyDescent="0.2">
      <c r="A169">
        <v>167</v>
      </c>
      <c r="B169" t="s">
        <v>9370</v>
      </c>
      <c r="C169" t="s">
        <v>9369</v>
      </c>
      <c r="F169" t="s">
        <v>9368</v>
      </c>
      <c r="G169" t="s">
        <v>16</v>
      </c>
      <c r="H169" t="s">
        <v>15</v>
      </c>
      <c r="I169" t="s">
        <v>5214</v>
      </c>
      <c r="J169">
        <v>60028088</v>
      </c>
      <c r="K169" t="s">
        <v>9367</v>
      </c>
      <c r="L169" t="s">
        <v>9366</v>
      </c>
      <c r="M169" t="s">
        <v>326</v>
      </c>
      <c r="N169">
        <v>2</v>
      </c>
      <c r="O169" t="s">
        <v>9365</v>
      </c>
      <c r="P169" t="s">
        <v>9364</v>
      </c>
      <c r="Q169" t="s">
        <v>9363</v>
      </c>
      <c r="R169" s="7">
        <v>33239</v>
      </c>
      <c r="S169" s="8">
        <f t="shared" si="16"/>
        <v>1991</v>
      </c>
      <c r="T169" s="8">
        <v>1991</v>
      </c>
      <c r="U169" s="8">
        <f t="shared" si="17"/>
        <v>31</v>
      </c>
      <c r="V169" s="7">
        <v>1991</v>
      </c>
      <c r="W169" t="s">
        <v>9362</v>
      </c>
      <c r="X169" s="2" t="s">
        <v>33</v>
      </c>
      <c r="Y169" s="6" t="e">
        <f t="shared" si="22"/>
        <v>#VALUE!</v>
      </c>
      <c r="AA169">
        <v>215392</v>
      </c>
      <c r="AB169">
        <v>17714</v>
      </c>
      <c r="AC169" t="s">
        <v>9361</v>
      </c>
      <c r="AD169" t="s">
        <v>5</v>
      </c>
      <c r="AE169">
        <v>57</v>
      </c>
      <c r="AF169">
        <v>10</v>
      </c>
      <c r="AH169" t="s">
        <v>9360</v>
      </c>
      <c r="AI169" t="s">
        <v>9359</v>
      </c>
      <c r="AK169" t="s">
        <v>9358</v>
      </c>
      <c r="AL169">
        <v>3</v>
      </c>
      <c r="AM169" s="5">
        <f t="shared" si="18"/>
        <v>9.6774193548387094E-2</v>
      </c>
      <c r="AN169" s="4">
        <f t="shared" si="23"/>
        <v>1.4657204626790927E-4</v>
      </c>
      <c r="AO169" s="3"/>
      <c r="AP169">
        <v>1</v>
      </c>
      <c r="AR169" t="s">
        <v>0</v>
      </c>
      <c r="AT169" s="2">
        <v>0.26700000000000002</v>
      </c>
      <c r="AU169" s="1" t="e">
        <f t="shared" si="19"/>
        <v>#VALUE!</v>
      </c>
      <c r="AV169" s="1" t="e">
        <f t="shared" si="20"/>
        <v>#VALUE!</v>
      </c>
      <c r="AW169" s="1" t="e">
        <f t="shared" si="21"/>
        <v>#VALUE!</v>
      </c>
    </row>
    <row r="170" spans="1:49" x14ac:dyDescent="0.2">
      <c r="A170">
        <v>168</v>
      </c>
      <c r="B170" t="s">
        <v>9357</v>
      </c>
      <c r="C170" t="s">
        <v>9356</v>
      </c>
      <c r="F170" t="s">
        <v>9355</v>
      </c>
      <c r="G170" t="s">
        <v>16</v>
      </c>
      <c r="H170" t="s">
        <v>15</v>
      </c>
      <c r="I170" t="s">
        <v>8929</v>
      </c>
      <c r="J170">
        <v>60008150</v>
      </c>
      <c r="K170" t="s">
        <v>8928</v>
      </c>
      <c r="L170" t="s">
        <v>5645</v>
      </c>
      <c r="M170" t="s">
        <v>326</v>
      </c>
      <c r="N170">
        <v>2</v>
      </c>
      <c r="O170" t="s">
        <v>8927</v>
      </c>
      <c r="P170" t="s">
        <v>8926</v>
      </c>
      <c r="Q170" t="s">
        <v>8925</v>
      </c>
      <c r="R170" s="7">
        <v>33239</v>
      </c>
      <c r="S170" s="8">
        <f t="shared" si="16"/>
        <v>1991</v>
      </c>
      <c r="T170" s="8">
        <v>1991</v>
      </c>
      <c r="U170" s="8">
        <f t="shared" si="17"/>
        <v>31</v>
      </c>
      <c r="V170" s="7">
        <v>1991</v>
      </c>
      <c r="W170" t="s">
        <v>8924</v>
      </c>
      <c r="X170" s="2">
        <v>0.39200000000000002</v>
      </c>
      <c r="Y170" s="6">
        <f t="shared" si="22"/>
        <v>1.0464216118096155E-2</v>
      </c>
      <c r="AA170">
        <v>9106340</v>
      </c>
      <c r="AB170">
        <v>22683</v>
      </c>
      <c r="AC170">
        <v>13482246</v>
      </c>
      <c r="AD170" t="s">
        <v>5</v>
      </c>
      <c r="AE170">
        <v>7</v>
      </c>
      <c r="AF170">
        <v>1</v>
      </c>
      <c r="AH170" t="s">
        <v>9354</v>
      </c>
      <c r="AJ170" t="s">
        <v>9353</v>
      </c>
      <c r="AL170">
        <v>1</v>
      </c>
      <c r="AM170" s="5">
        <f t="shared" si="18"/>
        <v>3.2258064516129031E-2</v>
      </c>
      <c r="AN170" s="4">
        <f t="shared" si="23"/>
        <v>4.8857348755969758E-5</v>
      </c>
      <c r="AO170" s="3"/>
      <c r="AP170">
        <v>1</v>
      </c>
      <c r="AR170" t="s">
        <v>0</v>
      </c>
      <c r="AT170" s="2">
        <v>2.081</v>
      </c>
      <c r="AU170" s="1">
        <f t="shared" si="19"/>
        <v>0.73396084872940981</v>
      </c>
      <c r="AV170" s="1">
        <f t="shared" si="20"/>
        <v>0.52565367334260626</v>
      </c>
      <c r="AW170" s="1">
        <f t="shared" si="21"/>
        <v>0.31734649795580255</v>
      </c>
    </row>
    <row r="171" spans="1:49" x14ac:dyDescent="0.2">
      <c r="A171">
        <v>169</v>
      </c>
      <c r="B171" t="s">
        <v>9352</v>
      </c>
      <c r="C171" t="s">
        <v>9351</v>
      </c>
      <c r="F171" t="s">
        <v>9350</v>
      </c>
      <c r="G171" t="s">
        <v>16</v>
      </c>
      <c r="H171" t="s">
        <v>15</v>
      </c>
      <c r="I171" t="s">
        <v>9343</v>
      </c>
      <c r="J171">
        <v>105863638</v>
      </c>
      <c r="K171" t="s">
        <v>9342</v>
      </c>
      <c r="L171" t="s">
        <v>5179</v>
      </c>
      <c r="M171" t="s">
        <v>326</v>
      </c>
      <c r="N171">
        <v>1</v>
      </c>
      <c r="O171" t="s">
        <v>9341</v>
      </c>
      <c r="P171">
        <v>7004061075</v>
      </c>
      <c r="Q171">
        <v>105863638</v>
      </c>
      <c r="R171" s="7">
        <v>33239</v>
      </c>
      <c r="S171" s="8">
        <f t="shared" si="16"/>
        <v>1991</v>
      </c>
      <c r="T171" s="8">
        <v>1991</v>
      </c>
      <c r="U171" s="8">
        <f t="shared" si="17"/>
        <v>31</v>
      </c>
      <c r="V171" s="7">
        <v>1991</v>
      </c>
      <c r="W171" t="s">
        <v>9340</v>
      </c>
      <c r="X171" s="2">
        <v>0.185</v>
      </c>
      <c r="Y171" s="6">
        <f t="shared" si="22"/>
        <v>4.9384693414484399E-3</v>
      </c>
      <c r="AA171">
        <v>9136339</v>
      </c>
      <c r="AB171">
        <v>3300147409</v>
      </c>
      <c r="AC171">
        <v>13488163</v>
      </c>
      <c r="AD171" t="s">
        <v>5</v>
      </c>
      <c r="AE171">
        <v>111</v>
      </c>
      <c r="AF171">
        <v>9</v>
      </c>
      <c r="AH171" t="s">
        <v>9349</v>
      </c>
      <c r="AI171" t="s">
        <v>9348</v>
      </c>
      <c r="AK171" t="s">
        <v>9347</v>
      </c>
      <c r="AL171">
        <v>0</v>
      </c>
      <c r="AM171" s="5">
        <f t="shared" si="18"/>
        <v>0</v>
      </c>
      <c r="AN171" s="4">
        <f t="shared" si="23"/>
        <v>0</v>
      </c>
      <c r="AO171" s="3"/>
      <c r="AP171">
        <v>0</v>
      </c>
      <c r="AR171" t="s">
        <v>0</v>
      </c>
      <c r="AT171" s="2" t="s">
        <v>33</v>
      </c>
      <c r="AU171" s="1">
        <f t="shared" si="19"/>
        <v>0.34569285390139076</v>
      </c>
      <c r="AV171" s="1">
        <f t="shared" si="20"/>
        <v>0.24692346707242199</v>
      </c>
      <c r="AW171" s="1">
        <f t="shared" si="21"/>
        <v>0.1481540802434532</v>
      </c>
    </row>
    <row r="172" spans="1:49" x14ac:dyDescent="0.2">
      <c r="A172">
        <v>170</v>
      </c>
      <c r="B172" t="s">
        <v>9346</v>
      </c>
      <c r="C172" t="s">
        <v>9345</v>
      </c>
      <c r="F172" t="s">
        <v>9344</v>
      </c>
      <c r="G172" t="s">
        <v>16</v>
      </c>
      <c r="H172" t="s">
        <v>15</v>
      </c>
      <c r="I172" t="s">
        <v>9343</v>
      </c>
      <c r="J172">
        <v>105863638</v>
      </c>
      <c r="K172" t="s">
        <v>9342</v>
      </c>
      <c r="L172" t="s">
        <v>5179</v>
      </c>
      <c r="M172" t="s">
        <v>326</v>
      </c>
      <c r="N172">
        <v>1</v>
      </c>
      <c r="O172" t="s">
        <v>9341</v>
      </c>
      <c r="P172">
        <v>7004061075</v>
      </c>
      <c r="Q172">
        <v>105863638</v>
      </c>
      <c r="R172" s="7">
        <v>33239</v>
      </c>
      <c r="S172" s="8">
        <f t="shared" si="16"/>
        <v>1991</v>
      </c>
      <c r="T172" s="8">
        <v>1991</v>
      </c>
      <c r="U172" s="8">
        <f t="shared" si="17"/>
        <v>31</v>
      </c>
      <c r="V172" s="7">
        <v>1991</v>
      </c>
      <c r="W172" t="s">
        <v>9340</v>
      </c>
      <c r="X172" s="2">
        <v>0.185</v>
      </c>
      <c r="Y172" s="6">
        <f t="shared" si="22"/>
        <v>4.9384693414484399E-3</v>
      </c>
      <c r="AA172">
        <v>9136339</v>
      </c>
      <c r="AB172">
        <v>3300147409</v>
      </c>
      <c r="AC172">
        <v>13488163</v>
      </c>
      <c r="AD172" t="s">
        <v>5</v>
      </c>
      <c r="AE172">
        <v>111</v>
      </c>
      <c r="AF172">
        <v>8</v>
      </c>
      <c r="AH172" t="s">
        <v>9339</v>
      </c>
      <c r="AI172" t="s">
        <v>9338</v>
      </c>
      <c r="AK172" t="s">
        <v>9337</v>
      </c>
      <c r="AL172">
        <v>0</v>
      </c>
      <c r="AM172" s="5">
        <f t="shared" si="18"/>
        <v>0</v>
      </c>
      <c r="AN172" s="4">
        <f t="shared" si="23"/>
        <v>0</v>
      </c>
      <c r="AO172" s="3"/>
      <c r="AP172">
        <v>1</v>
      </c>
      <c r="AR172" t="s">
        <v>0</v>
      </c>
      <c r="AT172" s="2" t="s">
        <v>33</v>
      </c>
      <c r="AU172" s="1">
        <f t="shared" si="19"/>
        <v>0.34569285390139076</v>
      </c>
      <c r="AV172" s="1">
        <f t="shared" si="20"/>
        <v>0.24692346707242199</v>
      </c>
      <c r="AW172" s="1">
        <f t="shared" si="21"/>
        <v>0.1481540802434532</v>
      </c>
    </row>
    <row r="173" spans="1:49" x14ac:dyDescent="0.2">
      <c r="A173">
        <v>171</v>
      </c>
      <c r="B173" t="s">
        <v>9336</v>
      </c>
      <c r="C173" t="s">
        <v>9335</v>
      </c>
      <c r="F173" t="s">
        <v>9334</v>
      </c>
      <c r="G173" t="s">
        <v>16</v>
      </c>
      <c r="H173" t="s">
        <v>15</v>
      </c>
      <c r="I173" t="s">
        <v>9333</v>
      </c>
      <c r="J173">
        <v>60011001</v>
      </c>
      <c r="K173" t="s">
        <v>9332</v>
      </c>
      <c r="L173" t="s">
        <v>2922</v>
      </c>
      <c r="M173" t="s">
        <v>326</v>
      </c>
      <c r="N173">
        <v>2</v>
      </c>
      <c r="O173" t="s">
        <v>9331</v>
      </c>
      <c r="P173" t="s">
        <v>9330</v>
      </c>
      <c r="Q173" t="s">
        <v>9329</v>
      </c>
      <c r="R173" s="7">
        <v>33239</v>
      </c>
      <c r="S173" s="8">
        <f t="shared" si="16"/>
        <v>1991</v>
      </c>
      <c r="T173" s="8">
        <v>1991</v>
      </c>
      <c r="U173" s="8">
        <f t="shared" si="17"/>
        <v>31</v>
      </c>
      <c r="V173" s="7">
        <v>1991</v>
      </c>
      <c r="W173" t="s">
        <v>9328</v>
      </c>
      <c r="X173" s="2">
        <v>0.46300000000000002</v>
      </c>
      <c r="Y173" s="6">
        <f t="shared" si="22"/>
        <v>1.2359520568057447E-2</v>
      </c>
      <c r="AA173">
        <v>36862</v>
      </c>
      <c r="AB173">
        <v>19141</v>
      </c>
      <c r="AC173" t="s">
        <v>9327</v>
      </c>
      <c r="AD173" t="s">
        <v>5</v>
      </c>
      <c r="AE173">
        <v>26</v>
      </c>
      <c r="AF173">
        <v>2</v>
      </c>
      <c r="AH173" t="s">
        <v>9326</v>
      </c>
      <c r="AI173" t="s">
        <v>9325</v>
      </c>
      <c r="AJ173" t="s">
        <v>9324</v>
      </c>
      <c r="AK173" t="s">
        <v>9323</v>
      </c>
      <c r="AL173">
        <v>15</v>
      </c>
      <c r="AM173" s="5">
        <f t="shared" si="18"/>
        <v>0.4838709677419355</v>
      </c>
      <c r="AN173" s="4">
        <f t="shared" si="23"/>
        <v>7.3286023133954637E-4</v>
      </c>
      <c r="AO173" s="3"/>
      <c r="AP173">
        <v>1</v>
      </c>
      <c r="AR173" t="s">
        <v>0</v>
      </c>
      <c r="AT173" s="2">
        <v>1.403</v>
      </c>
      <c r="AU173" s="1">
        <f t="shared" si="19"/>
        <v>0.88715224670420767</v>
      </c>
      <c r="AV173" s="1">
        <f t="shared" si="20"/>
        <v>0.65461903996984971</v>
      </c>
      <c r="AW173" s="1">
        <f t="shared" si="21"/>
        <v>0.42208583323549165</v>
      </c>
    </row>
    <row r="174" spans="1:49" x14ac:dyDescent="0.2">
      <c r="A174">
        <v>172</v>
      </c>
      <c r="B174" t="s">
        <v>9322</v>
      </c>
      <c r="C174" t="s">
        <v>9321</v>
      </c>
      <c r="F174" t="s">
        <v>9320</v>
      </c>
      <c r="G174" t="s">
        <v>16</v>
      </c>
      <c r="H174" t="s">
        <v>15</v>
      </c>
      <c r="I174" t="s">
        <v>9319</v>
      </c>
      <c r="J174">
        <v>60025641</v>
      </c>
      <c r="K174" t="s">
        <v>1492</v>
      </c>
      <c r="L174" t="s">
        <v>1491</v>
      </c>
      <c r="M174" t="s">
        <v>25</v>
      </c>
      <c r="N174">
        <v>1</v>
      </c>
      <c r="O174" t="s">
        <v>9318</v>
      </c>
      <c r="P174">
        <v>55887806800</v>
      </c>
      <c r="Q174">
        <v>60025641</v>
      </c>
      <c r="R174" s="7">
        <v>33239</v>
      </c>
      <c r="S174" s="8">
        <f t="shared" si="16"/>
        <v>1991</v>
      </c>
      <c r="T174" s="8">
        <v>1991</v>
      </c>
      <c r="U174" s="8">
        <f t="shared" si="17"/>
        <v>31</v>
      </c>
      <c r="V174" s="7" t="s">
        <v>9317</v>
      </c>
      <c r="W174" t="s">
        <v>9316</v>
      </c>
      <c r="X174" s="2">
        <v>0.73899999999999999</v>
      </c>
      <c r="Y174" s="6">
        <f t="shared" si="22"/>
        <v>1.9727182936921064E-2</v>
      </c>
      <c r="AA174">
        <v>1791613</v>
      </c>
      <c r="AB174">
        <v>21489</v>
      </c>
      <c r="AC174">
        <v>14390310</v>
      </c>
      <c r="AD174" t="s">
        <v>5</v>
      </c>
      <c r="AE174">
        <v>88</v>
      </c>
      <c r="AF174">
        <v>3</v>
      </c>
      <c r="AH174" t="s">
        <v>9315</v>
      </c>
      <c r="AI174" t="s">
        <v>9314</v>
      </c>
      <c r="AK174" t="s">
        <v>9313</v>
      </c>
      <c r="AL174">
        <v>70</v>
      </c>
      <c r="AM174" s="5">
        <f t="shared" si="18"/>
        <v>2.2580645161290325</v>
      </c>
      <c r="AN174" s="4">
        <f t="shared" si="23"/>
        <v>3.4200144129178833E-3</v>
      </c>
      <c r="AO174" s="3"/>
      <c r="AP174">
        <v>0</v>
      </c>
      <c r="AR174" t="s">
        <v>0</v>
      </c>
      <c r="AT174" s="2">
        <v>1.897</v>
      </c>
      <c r="AU174" s="1">
        <f t="shared" si="19"/>
        <v>1.483503237972011</v>
      </c>
      <c r="AV174" s="1">
        <f t="shared" si="20"/>
        <v>1.1573598674919474</v>
      </c>
      <c r="AW174" s="1">
        <f t="shared" si="21"/>
        <v>0.8312164970118836</v>
      </c>
    </row>
    <row r="175" spans="1:49" x14ac:dyDescent="0.2">
      <c r="A175">
        <v>173</v>
      </c>
      <c r="B175" t="s">
        <v>9312</v>
      </c>
      <c r="C175" t="s">
        <v>9311</v>
      </c>
      <c r="F175" t="s">
        <v>9310</v>
      </c>
      <c r="G175" t="s">
        <v>16</v>
      </c>
      <c r="H175" t="s">
        <v>15</v>
      </c>
      <c r="I175" t="s">
        <v>9309</v>
      </c>
      <c r="J175">
        <v>60072285</v>
      </c>
      <c r="K175" t="s">
        <v>9308</v>
      </c>
      <c r="L175" t="s">
        <v>9307</v>
      </c>
      <c r="M175" t="s">
        <v>25</v>
      </c>
      <c r="N175">
        <v>1</v>
      </c>
      <c r="O175" t="s">
        <v>9306</v>
      </c>
      <c r="P175">
        <v>35501122300</v>
      </c>
      <c r="Q175">
        <v>60072285</v>
      </c>
      <c r="R175" s="7">
        <v>33239</v>
      </c>
      <c r="S175" s="8">
        <f t="shared" si="16"/>
        <v>1991</v>
      </c>
      <c r="T175" s="8">
        <v>1991</v>
      </c>
      <c r="U175" s="8">
        <f t="shared" si="17"/>
        <v>31</v>
      </c>
      <c r="V175" s="7">
        <v>33543</v>
      </c>
      <c r="W175" t="s">
        <v>9266</v>
      </c>
      <c r="X175" s="2">
        <v>1.351</v>
      </c>
      <c r="Y175" s="6">
        <f t="shared" si="22"/>
        <v>3.6064173407009958E-2</v>
      </c>
      <c r="AA175">
        <v>319317</v>
      </c>
      <c r="AB175">
        <v>16530</v>
      </c>
      <c r="AC175">
        <v>13993054</v>
      </c>
      <c r="AD175" t="s">
        <v>5</v>
      </c>
      <c r="AE175">
        <v>83</v>
      </c>
      <c r="AF175">
        <v>3</v>
      </c>
      <c r="AH175" t="s">
        <v>9305</v>
      </c>
      <c r="AI175" t="s">
        <v>9304</v>
      </c>
      <c r="AK175" t="s">
        <v>9303</v>
      </c>
      <c r="AL175">
        <v>91</v>
      </c>
      <c r="AM175" s="5">
        <f t="shared" si="18"/>
        <v>2.935483870967742</v>
      </c>
      <c r="AN175" s="4">
        <f t="shared" si="23"/>
        <v>4.4460187367932483E-3</v>
      </c>
      <c r="AO175" s="3"/>
      <c r="AP175">
        <v>0</v>
      </c>
      <c r="AR175" t="s">
        <v>0</v>
      </c>
      <c r="AT175" s="2">
        <v>4.5</v>
      </c>
      <c r="AU175" s="1">
        <f t="shared" si="19"/>
        <v>2.6578727005944947</v>
      </c>
      <c r="AV175" s="1">
        <f t="shared" si="20"/>
        <v>2.0255096071901604</v>
      </c>
      <c r="AW175" s="1">
        <f t="shared" si="21"/>
        <v>1.3931465137858261</v>
      </c>
    </row>
    <row r="176" spans="1:49" x14ac:dyDescent="0.2">
      <c r="A176">
        <v>174</v>
      </c>
      <c r="B176" t="s">
        <v>9302</v>
      </c>
      <c r="C176" t="s">
        <v>9301</v>
      </c>
      <c r="F176" t="s">
        <v>9300</v>
      </c>
      <c r="G176" t="s">
        <v>16</v>
      </c>
      <c r="H176" t="s">
        <v>15</v>
      </c>
      <c r="I176" t="s">
        <v>9299</v>
      </c>
      <c r="J176">
        <v>60021501</v>
      </c>
      <c r="K176" t="s">
        <v>9298</v>
      </c>
      <c r="L176" t="s">
        <v>9297</v>
      </c>
      <c r="M176" t="s">
        <v>1543</v>
      </c>
      <c r="N176">
        <v>2</v>
      </c>
      <c r="O176" t="s">
        <v>9296</v>
      </c>
      <c r="P176" t="s">
        <v>9295</v>
      </c>
      <c r="Q176" t="s">
        <v>9294</v>
      </c>
      <c r="R176" s="7">
        <v>33239</v>
      </c>
      <c r="S176" s="8">
        <f t="shared" si="16"/>
        <v>1991</v>
      </c>
      <c r="T176" s="8">
        <v>1991</v>
      </c>
      <c r="U176" s="8">
        <f t="shared" si="17"/>
        <v>31</v>
      </c>
      <c r="V176" s="7">
        <v>33482</v>
      </c>
      <c r="W176" t="s">
        <v>9250</v>
      </c>
      <c r="X176" s="2">
        <v>0.81799999999999995</v>
      </c>
      <c r="Y176" s="6">
        <f t="shared" si="22"/>
        <v>2.1836042817863912E-2</v>
      </c>
      <c r="AA176">
        <v>318655</v>
      </c>
      <c r="AB176">
        <v>27010</v>
      </c>
      <c r="AC176">
        <v>17511097</v>
      </c>
      <c r="AD176" t="s">
        <v>5</v>
      </c>
      <c r="AE176">
        <v>54</v>
      </c>
      <c r="AF176">
        <v>3</v>
      </c>
      <c r="AH176" t="s">
        <v>9293</v>
      </c>
      <c r="AI176" t="s">
        <v>9292</v>
      </c>
      <c r="AK176" t="s">
        <v>9291</v>
      </c>
      <c r="AL176">
        <v>28</v>
      </c>
      <c r="AM176" s="5">
        <f t="shared" si="18"/>
        <v>0.90322580645161288</v>
      </c>
      <c r="AN176" s="4">
        <f t="shared" si="23"/>
        <v>1.3680057651671532E-3</v>
      </c>
      <c r="AO176" s="3"/>
      <c r="AP176">
        <v>0</v>
      </c>
      <c r="AR176" t="s">
        <v>0</v>
      </c>
      <c r="AT176" s="2">
        <v>3.4209999999999998</v>
      </c>
      <c r="AU176" s="1">
        <f t="shared" si="19"/>
        <v>1.5695631702054884</v>
      </c>
      <c r="AV176" s="1">
        <f t="shared" si="20"/>
        <v>1.1602024291515534</v>
      </c>
      <c r="AW176" s="1">
        <f t="shared" si="21"/>
        <v>0.75084168809761809</v>
      </c>
    </row>
    <row r="177" spans="1:49" x14ac:dyDescent="0.2">
      <c r="A177">
        <v>175</v>
      </c>
      <c r="B177" t="s">
        <v>9290</v>
      </c>
      <c r="C177" t="s">
        <v>9289</v>
      </c>
      <c r="F177" t="s">
        <v>9288</v>
      </c>
      <c r="G177" t="s">
        <v>16</v>
      </c>
      <c r="H177" t="s">
        <v>15</v>
      </c>
      <c r="I177" t="s">
        <v>9287</v>
      </c>
      <c r="J177" t="s">
        <v>9286</v>
      </c>
      <c r="K177" t="s">
        <v>9285</v>
      </c>
      <c r="L177" t="s">
        <v>9284</v>
      </c>
      <c r="M177" t="s">
        <v>9283</v>
      </c>
      <c r="N177">
        <v>4</v>
      </c>
      <c r="O177" t="s">
        <v>9282</v>
      </c>
      <c r="P177" t="s">
        <v>9281</v>
      </c>
      <c r="Q177" t="s">
        <v>9280</v>
      </c>
      <c r="R177" s="7">
        <v>33239</v>
      </c>
      <c r="S177" s="8">
        <f t="shared" ref="S177:S240" si="24">YEAR(R177)</f>
        <v>1991</v>
      </c>
      <c r="T177" s="8">
        <v>1991</v>
      </c>
      <c r="U177" s="8">
        <f t="shared" ref="U177:U240" si="25">2022-T177</f>
        <v>31</v>
      </c>
      <c r="V177" s="7">
        <v>33482</v>
      </c>
      <c r="W177" t="s">
        <v>9250</v>
      </c>
      <c r="X177" s="2">
        <v>0.81799999999999995</v>
      </c>
      <c r="Y177" s="6">
        <f t="shared" si="22"/>
        <v>2.1836042817863912E-2</v>
      </c>
      <c r="AA177">
        <v>318655</v>
      </c>
      <c r="AB177">
        <v>27010</v>
      </c>
      <c r="AC177">
        <v>17511097</v>
      </c>
      <c r="AD177" t="s">
        <v>5</v>
      </c>
      <c r="AE177">
        <v>54</v>
      </c>
      <c r="AF177">
        <v>3</v>
      </c>
      <c r="AH177" t="s">
        <v>9279</v>
      </c>
      <c r="AI177" t="s">
        <v>9278</v>
      </c>
      <c r="AK177" t="s">
        <v>9277</v>
      </c>
      <c r="AL177">
        <v>150</v>
      </c>
      <c r="AM177" s="5">
        <f t="shared" ref="AM177:AM240" si="26">AL177/U177</f>
        <v>4.838709677419355</v>
      </c>
      <c r="AN177" s="4">
        <f t="shared" si="23"/>
        <v>7.3286023133954641E-3</v>
      </c>
      <c r="AO177" s="3"/>
      <c r="AP177">
        <v>0</v>
      </c>
      <c r="AR177" t="s">
        <v>0</v>
      </c>
      <c r="AT177" s="2">
        <v>3.4209999999999998</v>
      </c>
      <c r="AU177" s="1">
        <f t="shared" ref="AU177:AU240" si="27">(Y177*0.7+AN177*0.3)*100</f>
        <v>1.7483810666523376</v>
      </c>
      <c r="AV177" s="1">
        <f t="shared" ref="AV177:AV240" si="28">(Y177*0.5+AN177*0.5)*100</f>
        <v>1.4582322565629686</v>
      </c>
      <c r="AW177" s="1">
        <f t="shared" ref="AW177:AW240" si="29">(Y177*0.3+AN177*0.7)*100</f>
        <v>1.1680834464735996</v>
      </c>
    </row>
    <row r="178" spans="1:49" x14ac:dyDescent="0.2">
      <c r="A178">
        <v>176</v>
      </c>
      <c r="B178" t="s">
        <v>9276</v>
      </c>
      <c r="C178" t="s">
        <v>9275</v>
      </c>
      <c r="F178" t="s">
        <v>9274</v>
      </c>
      <c r="G178" t="s">
        <v>16</v>
      </c>
      <c r="H178" t="s">
        <v>15</v>
      </c>
      <c r="I178" t="s">
        <v>9273</v>
      </c>
      <c r="J178" t="s">
        <v>9272</v>
      </c>
      <c r="K178" t="s">
        <v>9271</v>
      </c>
      <c r="L178" t="s">
        <v>9270</v>
      </c>
      <c r="M178" t="s">
        <v>4760</v>
      </c>
      <c r="N178">
        <v>2</v>
      </c>
      <c r="O178" t="s">
        <v>9269</v>
      </c>
      <c r="P178" t="s">
        <v>9268</v>
      </c>
      <c r="Q178" t="s">
        <v>9267</v>
      </c>
      <c r="R178" s="7">
        <v>33239</v>
      </c>
      <c r="S178" s="8">
        <f t="shared" si="24"/>
        <v>1991</v>
      </c>
      <c r="T178" s="8">
        <v>1991</v>
      </c>
      <c r="U178" s="8">
        <f t="shared" si="25"/>
        <v>31</v>
      </c>
      <c r="V178" s="7">
        <v>33543</v>
      </c>
      <c r="W178" t="s">
        <v>9266</v>
      </c>
      <c r="X178" s="2">
        <v>1.351</v>
      </c>
      <c r="Y178" s="6">
        <f t="shared" si="22"/>
        <v>3.6064173407009958E-2</v>
      </c>
      <c r="AA178">
        <v>319317</v>
      </c>
      <c r="AB178">
        <v>16530</v>
      </c>
      <c r="AC178">
        <v>13993054</v>
      </c>
      <c r="AD178" t="s">
        <v>5</v>
      </c>
      <c r="AE178">
        <v>83</v>
      </c>
      <c r="AF178">
        <v>1</v>
      </c>
      <c r="AH178" t="s">
        <v>9265</v>
      </c>
      <c r="AI178" t="s">
        <v>9264</v>
      </c>
      <c r="AJ178" t="s">
        <v>9263</v>
      </c>
      <c r="AK178" t="s">
        <v>9262</v>
      </c>
      <c r="AL178">
        <v>128</v>
      </c>
      <c r="AM178" s="5">
        <f t="shared" si="26"/>
        <v>4.129032258064516</v>
      </c>
      <c r="AN178" s="4">
        <f t="shared" si="23"/>
        <v>6.2537406407641291E-3</v>
      </c>
      <c r="AO178" s="3"/>
      <c r="AP178">
        <v>0</v>
      </c>
      <c r="AR178" t="s">
        <v>0</v>
      </c>
      <c r="AT178" s="2">
        <v>4.5</v>
      </c>
      <c r="AU178" s="1">
        <f t="shared" si="27"/>
        <v>2.712104357713621</v>
      </c>
      <c r="AV178" s="1">
        <f t="shared" si="28"/>
        <v>2.1158957023887046</v>
      </c>
      <c r="AW178" s="1">
        <f t="shared" si="29"/>
        <v>1.5196870470637878</v>
      </c>
    </row>
    <row r="179" spans="1:49" x14ac:dyDescent="0.2">
      <c r="A179">
        <v>177</v>
      </c>
      <c r="B179" t="s">
        <v>9261</v>
      </c>
      <c r="C179" t="s">
        <v>9260</v>
      </c>
      <c r="F179" t="s">
        <v>9259</v>
      </c>
      <c r="G179" t="s">
        <v>16</v>
      </c>
      <c r="H179" t="s">
        <v>15</v>
      </c>
      <c r="I179" t="s">
        <v>9258</v>
      </c>
      <c r="J179" t="s">
        <v>9257</v>
      </c>
      <c r="K179" t="s">
        <v>9256</v>
      </c>
      <c r="L179" t="s">
        <v>9255</v>
      </c>
      <c r="M179" t="s">
        <v>9254</v>
      </c>
      <c r="N179">
        <v>7</v>
      </c>
      <c r="O179" t="s">
        <v>9253</v>
      </c>
      <c r="P179" t="s">
        <v>9252</v>
      </c>
      <c r="Q179" t="s">
        <v>9251</v>
      </c>
      <c r="R179" s="7">
        <v>33239</v>
      </c>
      <c r="S179" s="8">
        <f t="shared" si="24"/>
        <v>1991</v>
      </c>
      <c r="T179" s="8">
        <v>1991</v>
      </c>
      <c r="U179" s="8">
        <f t="shared" si="25"/>
        <v>31</v>
      </c>
      <c r="V179" s="7">
        <v>33420</v>
      </c>
      <c r="W179" t="s">
        <v>9250</v>
      </c>
      <c r="X179" s="2">
        <v>0.81799999999999995</v>
      </c>
      <c r="Y179" s="6">
        <f t="shared" si="22"/>
        <v>2.1836042817863912E-2</v>
      </c>
      <c r="AA179">
        <v>318655</v>
      </c>
      <c r="AB179">
        <v>27010</v>
      </c>
      <c r="AC179">
        <v>17511097</v>
      </c>
      <c r="AD179" t="s">
        <v>5</v>
      </c>
      <c r="AE179">
        <v>54</v>
      </c>
      <c r="AF179">
        <v>1</v>
      </c>
      <c r="AH179" t="s">
        <v>9249</v>
      </c>
      <c r="AI179" t="s">
        <v>9248</v>
      </c>
      <c r="AK179" t="s">
        <v>9247</v>
      </c>
      <c r="AL179">
        <v>9</v>
      </c>
      <c r="AM179" s="5">
        <f t="shared" si="26"/>
        <v>0.29032258064516131</v>
      </c>
      <c r="AN179" s="4">
        <f t="shared" si="23"/>
        <v>4.3971613880372783E-4</v>
      </c>
      <c r="AO179" s="3"/>
      <c r="AP179">
        <v>0</v>
      </c>
      <c r="AR179" t="s">
        <v>0</v>
      </c>
      <c r="AT179" s="2">
        <v>3.4209999999999998</v>
      </c>
      <c r="AU179" s="1">
        <f t="shared" si="27"/>
        <v>1.5417144814145856</v>
      </c>
      <c r="AV179" s="1">
        <f t="shared" si="28"/>
        <v>1.1137879478333821</v>
      </c>
      <c r="AW179" s="1">
        <f t="shared" si="29"/>
        <v>0.68586141425217828</v>
      </c>
    </row>
    <row r="180" spans="1:49" x14ac:dyDescent="0.2">
      <c r="A180">
        <v>178</v>
      </c>
      <c r="B180" t="s">
        <v>9246</v>
      </c>
      <c r="C180" t="s">
        <v>9245</v>
      </c>
      <c r="F180" t="s">
        <v>9244</v>
      </c>
      <c r="G180" t="s">
        <v>16</v>
      </c>
      <c r="H180" t="s">
        <v>15</v>
      </c>
      <c r="I180" t="s">
        <v>9243</v>
      </c>
      <c r="J180" t="s">
        <v>9242</v>
      </c>
      <c r="K180" t="s">
        <v>9241</v>
      </c>
      <c r="L180" t="s">
        <v>9240</v>
      </c>
      <c r="M180" t="s">
        <v>9239</v>
      </c>
      <c r="N180">
        <v>10</v>
      </c>
      <c r="O180" t="s">
        <v>9238</v>
      </c>
      <c r="P180" t="s">
        <v>9237</v>
      </c>
      <c r="Q180" t="s">
        <v>9236</v>
      </c>
      <c r="R180" s="7">
        <v>33239</v>
      </c>
      <c r="S180" s="8">
        <f t="shared" si="24"/>
        <v>1991</v>
      </c>
      <c r="T180" s="8">
        <v>1991</v>
      </c>
      <c r="U180" s="8">
        <f t="shared" si="25"/>
        <v>31</v>
      </c>
      <c r="V180" s="7">
        <v>33270</v>
      </c>
      <c r="W180" t="s">
        <v>9173</v>
      </c>
      <c r="X180" s="2">
        <v>2.0070000000000001</v>
      </c>
      <c r="Y180" s="6">
        <f t="shared" si="22"/>
        <v>5.3575718747497406E-2</v>
      </c>
      <c r="AA180">
        <v>948276</v>
      </c>
      <c r="AB180">
        <v>27962</v>
      </c>
      <c r="AC180">
        <v>19448007</v>
      </c>
      <c r="AD180" t="s">
        <v>5</v>
      </c>
      <c r="AE180">
        <v>18</v>
      </c>
      <c r="AF180">
        <v>2</v>
      </c>
      <c r="AH180" t="s">
        <v>9235</v>
      </c>
      <c r="AI180" t="s">
        <v>9234</v>
      </c>
      <c r="AK180" t="s">
        <v>9233</v>
      </c>
      <c r="AL180">
        <v>11</v>
      </c>
      <c r="AM180" s="5">
        <f t="shared" si="26"/>
        <v>0.35483870967741937</v>
      </c>
      <c r="AN180" s="4">
        <f t="shared" si="23"/>
        <v>5.3743083631566731E-4</v>
      </c>
      <c r="AO180" s="3"/>
      <c r="AP180">
        <v>0</v>
      </c>
      <c r="AR180" t="s">
        <v>0</v>
      </c>
      <c r="AT180" s="2">
        <v>4.72</v>
      </c>
      <c r="AU180" s="1">
        <f t="shared" si="27"/>
        <v>3.7664232374142883</v>
      </c>
      <c r="AV180" s="1">
        <f t="shared" si="28"/>
        <v>2.7056574791906538</v>
      </c>
      <c r="AW180" s="1">
        <f t="shared" si="29"/>
        <v>1.6448917209670189</v>
      </c>
    </row>
    <row r="181" spans="1:49" x14ac:dyDescent="0.2">
      <c r="A181">
        <v>179</v>
      </c>
      <c r="B181" t="s">
        <v>9232</v>
      </c>
      <c r="C181" t="s">
        <v>9231</v>
      </c>
      <c r="F181" t="s">
        <v>9230</v>
      </c>
      <c r="G181" t="s">
        <v>16</v>
      </c>
      <c r="H181" t="s">
        <v>15</v>
      </c>
      <c r="I181" t="s">
        <v>9229</v>
      </c>
      <c r="J181" t="s">
        <v>9180</v>
      </c>
      <c r="K181" t="s">
        <v>9179</v>
      </c>
      <c r="L181" t="s">
        <v>9178</v>
      </c>
      <c r="M181" t="s">
        <v>9177</v>
      </c>
      <c r="N181">
        <v>9</v>
      </c>
      <c r="O181" t="s">
        <v>9228</v>
      </c>
      <c r="P181" t="s">
        <v>9227</v>
      </c>
      <c r="Q181" t="s">
        <v>9226</v>
      </c>
      <c r="R181" s="7">
        <v>33239</v>
      </c>
      <c r="S181" s="8">
        <f t="shared" si="24"/>
        <v>1991</v>
      </c>
      <c r="T181" s="8">
        <v>1991</v>
      </c>
      <c r="U181" s="8">
        <f t="shared" si="25"/>
        <v>31</v>
      </c>
      <c r="V181" s="7">
        <v>33270</v>
      </c>
      <c r="W181" t="s">
        <v>9173</v>
      </c>
      <c r="X181" s="2">
        <v>2.0070000000000001</v>
      </c>
      <c r="Y181" s="6">
        <f t="shared" si="22"/>
        <v>5.3575718747497406E-2</v>
      </c>
      <c r="AA181">
        <v>948276</v>
      </c>
      <c r="AB181">
        <v>27962</v>
      </c>
      <c r="AC181">
        <v>19448007</v>
      </c>
      <c r="AD181" t="s">
        <v>5</v>
      </c>
      <c r="AE181">
        <v>18</v>
      </c>
      <c r="AF181">
        <v>2</v>
      </c>
      <c r="AH181" t="s">
        <v>9225</v>
      </c>
      <c r="AI181" t="s">
        <v>9224</v>
      </c>
      <c r="AK181" t="s">
        <v>9223</v>
      </c>
      <c r="AL181">
        <v>5</v>
      </c>
      <c r="AM181" s="5">
        <f t="shared" si="26"/>
        <v>0.16129032258064516</v>
      </c>
      <c r="AN181" s="4">
        <f t="shared" si="23"/>
        <v>2.4428674377984877E-4</v>
      </c>
      <c r="AO181" s="3"/>
      <c r="AP181">
        <v>0</v>
      </c>
      <c r="AR181" t="s">
        <v>0</v>
      </c>
      <c r="AT181" s="2">
        <v>4.72</v>
      </c>
      <c r="AU181" s="1">
        <f t="shared" si="27"/>
        <v>3.7576289146382136</v>
      </c>
      <c r="AV181" s="1">
        <f t="shared" si="28"/>
        <v>2.6910002745638626</v>
      </c>
      <c r="AW181" s="1">
        <f t="shared" si="29"/>
        <v>1.6243716344895114</v>
      </c>
    </row>
    <row r="182" spans="1:49" x14ac:dyDescent="0.2">
      <c r="A182">
        <v>180</v>
      </c>
      <c r="B182" t="s">
        <v>9222</v>
      </c>
      <c r="C182" t="s">
        <v>9221</v>
      </c>
      <c r="F182" t="s">
        <v>9220</v>
      </c>
      <c r="G182" t="s">
        <v>16</v>
      </c>
      <c r="H182" t="s">
        <v>15</v>
      </c>
      <c r="I182" t="s">
        <v>9219</v>
      </c>
      <c r="J182" t="s">
        <v>9218</v>
      </c>
      <c r="K182" t="s">
        <v>9217</v>
      </c>
      <c r="L182" t="s">
        <v>9216</v>
      </c>
      <c r="M182" t="s">
        <v>9215</v>
      </c>
      <c r="N182">
        <v>6</v>
      </c>
      <c r="O182" t="s">
        <v>9214</v>
      </c>
      <c r="P182" t="s">
        <v>9213</v>
      </c>
      <c r="Q182" t="s">
        <v>9212</v>
      </c>
      <c r="R182" s="7">
        <v>33239</v>
      </c>
      <c r="S182" s="8">
        <f t="shared" si="24"/>
        <v>1991</v>
      </c>
      <c r="T182" s="8">
        <v>1991</v>
      </c>
      <c r="U182" s="8">
        <f t="shared" si="25"/>
        <v>31</v>
      </c>
      <c r="V182" s="7">
        <v>33451</v>
      </c>
      <c r="W182" t="s">
        <v>9173</v>
      </c>
      <c r="X182" s="2">
        <v>2.0070000000000001</v>
      </c>
      <c r="Y182" s="6">
        <f t="shared" si="22"/>
        <v>5.3575718747497406E-2</v>
      </c>
      <c r="AA182">
        <v>948276</v>
      </c>
      <c r="AB182">
        <v>27962</v>
      </c>
      <c r="AC182">
        <v>19448007</v>
      </c>
      <c r="AD182" t="s">
        <v>5</v>
      </c>
      <c r="AE182">
        <v>18</v>
      </c>
      <c r="AF182">
        <v>8</v>
      </c>
      <c r="AH182" t="s">
        <v>9211</v>
      </c>
      <c r="AI182" t="s">
        <v>9210</v>
      </c>
      <c r="AK182" t="s">
        <v>9209</v>
      </c>
      <c r="AL182">
        <v>41</v>
      </c>
      <c r="AM182" s="5">
        <f t="shared" si="26"/>
        <v>1.3225806451612903</v>
      </c>
      <c r="AN182" s="4">
        <f t="shared" si="23"/>
        <v>2.0031512989947598E-3</v>
      </c>
      <c r="AO182" s="3"/>
      <c r="AP182">
        <v>0</v>
      </c>
      <c r="AR182" t="s">
        <v>0</v>
      </c>
      <c r="AT182" s="2">
        <v>4.72</v>
      </c>
      <c r="AU182" s="1">
        <f t="shared" si="27"/>
        <v>3.8103948512946606</v>
      </c>
      <c r="AV182" s="1">
        <f t="shared" si="28"/>
        <v>2.7789435023246085</v>
      </c>
      <c r="AW182" s="1">
        <f t="shared" si="29"/>
        <v>1.7474921533545553</v>
      </c>
    </row>
    <row r="183" spans="1:49" x14ac:dyDescent="0.2">
      <c r="A183">
        <v>181</v>
      </c>
      <c r="B183" t="s">
        <v>9208</v>
      </c>
      <c r="C183" t="s">
        <v>9207</v>
      </c>
      <c r="F183" t="s">
        <v>9206</v>
      </c>
      <c r="G183" t="s">
        <v>16</v>
      </c>
      <c r="H183" t="s">
        <v>15</v>
      </c>
      <c r="I183" t="s">
        <v>9205</v>
      </c>
      <c r="J183">
        <v>60091252</v>
      </c>
      <c r="K183" t="s">
        <v>9204</v>
      </c>
      <c r="L183" t="s">
        <v>9203</v>
      </c>
      <c r="M183" t="s">
        <v>57</v>
      </c>
      <c r="N183">
        <v>4</v>
      </c>
      <c r="O183" t="s">
        <v>9202</v>
      </c>
      <c r="P183" t="s">
        <v>9201</v>
      </c>
      <c r="Q183" t="s">
        <v>9200</v>
      </c>
      <c r="R183" s="7">
        <v>33239</v>
      </c>
      <c r="S183" s="8">
        <f t="shared" si="24"/>
        <v>1991</v>
      </c>
      <c r="T183" s="8">
        <v>1991</v>
      </c>
      <c r="U183" s="8">
        <f t="shared" si="25"/>
        <v>31</v>
      </c>
      <c r="V183" s="7">
        <v>33298</v>
      </c>
      <c r="W183" t="s">
        <v>9173</v>
      </c>
      <c r="X183" s="2">
        <v>2.0070000000000001</v>
      </c>
      <c r="Y183" s="6">
        <f t="shared" si="22"/>
        <v>5.3575718747497406E-2</v>
      </c>
      <c r="AA183">
        <v>948276</v>
      </c>
      <c r="AB183">
        <v>27962</v>
      </c>
      <c r="AC183">
        <v>19448007</v>
      </c>
      <c r="AD183" t="s">
        <v>5</v>
      </c>
      <c r="AE183">
        <v>18</v>
      </c>
      <c r="AF183">
        <v>3</v>
      </c>
      <c r="AH183" t="s">
        <v>9199</v>
      </c>
      <c r="AI183" t="s">
        <v>9198</v>
      </c>
      <c r="AK183" t="s">
        <v>9197</v>
      </c>
      <c r="AL183">
        <v>17</v>
      </c>
      <c r="AM183" s="5">
        <f t="shared" si="26"/>
        <v>0.54838709677419351</v>
      </c>
      <c r="AN183" s="4">
        <f t="shared" si="23"/>
        <v>8.3057492885148579E-4</v>
      </c>
      <c r="AO183" s="3"/>
      <c r="AP183">
        <v>0</v>
      </c>
      <c r="AR183" t="s">
        <v>0</v>
      </c>
      <c r="AT183" s="2">
        <v>4.72</v>
      </c>
      <c r="AU183" s="1">
        <f t="shared" si="27"/>
        <v>3.775217560190363</v>
      </c>
      <c r="AV183" s="1">
        <f t="shared" si="28"/>
        <v>2.7203146838174446</v>
      </c>
      <c r="AW183" s="1">
        <f t="shared" si="29"/>
        <v>1.6654118074445259</v>
      </c>
    </row>
    <row r="184" spans="1:49" x14ac:dyDescent="0.2">
      <c r="A184">
        <v>182</v>
      </c>
      <c r="B184" t="s">
        <v>9196</v>
      </c>
      <c r="C184" t="s">
        <v>9195</v>
      </c>
      <c r="F184" t="s">
        <v>9194</v>
      </c>
      <c r="G184" t="s">
        <v>16</v>
      </c>
      <c r="H184" t="s">
        <v>15</v>
      </c>
      <c r="I184" t="s">
        <v>9193</v>
      </c>
      <c r="J184">
        <v>60017695</v>
      </c>
      <c r="K184" t="s">
        <v>9192</v>
      </c>
      <c r="L184" t="s">
        <v>9191</v>
      </c>
      <c r="M184" t="s">
        <v>25</v>
      </c>
      <c r="N184">
        <v>2</v>
      </c>
      <c r="O184" t="s">
        <v>9190</v>
      </c>
      <c r="P184" t="s">
        <v>9189</v>
      </c>
      <c r="Q184" t="s">
        <v>9188</v>
      </c>
      <c r="R184" s="7">
        <v>33239</v>
      </c>
      <c r="S184" s="8">
        <f t="shared" si="24"/>
        <v>1991</v>
      </c>
      <c r="T184" s="8">
        <v>1991</v>
      </c>
      <c r="U184" s="8">
        <f t="shared" si="25"/>
        <v>31</v>
      </c>
      <c r="V184" s="7">
        <v>33390</v>
      </c>
      <c r="W184" t="s">
        <v>9173</v>
      </c>
      <c r="X184" s="2">
        <v>2.0070000000000001</v>
      </c>
      <c r="Y184" s="6">
        <f t="shared" si="22"/>
        <v>5.3575718747497406E-2</v>
      </c>
      <c r="AA184">
        <v>948276</v>
      </c>
      <c r="AB184">
        <v>27962</v>
      </c>
      <c r="AC184">
        <v>19448007</v>
      </c>
      <c r="AD184" t="s">
        <v>5</v>
      </c>
      <c r="AE184">
        <v>18</v>
      </c>
      <c r="AF184">
        <v>6</v>
      </c>
      <c r="AH184" t="s">
        <v>9187</v>
      </c>
      <c r="AI184" t="s">
        <v>9186</v>
      </c>
      <c r="AK184" t="s">
        <v>9185</v>
      </c>
      <c r="AL184">
        <v>46</v>
      </c>
      <c r="AM184" s="5">
        <f t="shared" si="26"/>
        <v>1.4838709677419355</v>
      </c>
      <c r="AN184" s="4">
        <f t="shared" si="23"/>
        <v>2.247438042774609E-3</v>
      </c>
      <c r="AO184" s="3"/>
      <c r="AP184">
        <v>0</v>
      </c>
      <c r="AR184" t="s">
        <v>0</v>
      </c>
      <c r="AT184" s="2">
        <v>4.72</v>
      </c>
      <c r="AU184" s="1">
        <f t="shared" si="27"/>
        <v>3.8177234536080564</v>
      </c>
      <c r="AV184" s="1">
        <f t="shared" si="28"/>
        <v>2.7911578395136005</v>
      </c>
      <c r="AW184" s="1">
        <f t="shared" si="29"/>
        <v>1.7645922254191446</v>
      </c>
    </row>
    <row r="185" spans="1:49" x14ac:dyDescent="0.2">
      <c r="A185">
        <v>183</v>
      </c>
      <c r="B185" t="s">
        <v>9184</v>
      </c>
      <c r="C185" t="s">
        <v>9183</v>
      </c>
      <c r="F185" t="s">
        <v>9182</v>
      </c>
      <c r="G185" t="s">
        <v>16</v>
      </c>
      <c r="H185" t="s">
        <v>15</v>
      </c>
      <c r="I185" t="s">
        <v>9181</v>
      </c>
      <c r="J185" t="s">
        <v>9180</v>
      </c>
      <c r="K185" t="s">
        <v>9179</v>
      </c>
      <c r="L185" t="s">
        <v>9178</v>
      </c>
      <c r="M185" t="s">
        <v>9177</v>
      </c>
      <c r="N185">
        <v>5</v>
      </c>
      <c r="O185" t="s">
        <v>9176</v>
      </c>
      <c r="P185" t="s">
        <v>9175</v>
      </c>
      <c r="Q185" t="s">
        <v>9174</v>
      </c>
      <c r="R185" s="7">
        <v>33239</v>
      </c>
      <c r="S185" s="8">
        <f t="shared" si="24"/>
        <v>1991</v>
      </c>
      <c r="T185" s="8">
        <v>1991</v>
      </c>
      <c r="U185" s="8">
        <f t="shared" si="25"/>
        <v>31</v>
      </c>
      <c r="V185" s="7">
        <v>33270</v>
      </c>
      <c r="W185" t="s">
        <v>9173</v>
      </c>
      <c r="X185" s="2">
        <v>2.0070000000000001</v>
      </c>
      <c r="Y185" s="6">
        <f t="shared" si="22"/>
        <v>5.3575718747497406E-2</v>
      </c>
      <c r="AA185">
        <v>948276</v>
      </c>
      <c r="AB185">
        <v>27962</v>
      </c>
      <c r="AC185">
        <v>19448007</v>
      </c>
      <c r="AD185" t="s">
        <v>5</v>
      </c>
      <c r="AE185">
        <v>18</v>
      </c>
      <c r="AF185">
        <v>2</v>
      </c>
      <c r="AH185" t="s">
        <v>9172</v>
      </c>
      <c r="AI185" t="s">
        <v>9171</v>
      </c>
      <c r="AK185" t="s">
        <v>9170</v>
      </c>
      <c r="AL185">
        <v>4</v>
      </c>
      <c r="AM185" s="5">
        <f t="shared" si="26"/>
        <v>0.12903225806451613</v>
      </c>
      <c r="AN185" s="4">
        <f t="shared" si="23"/>
        <v>1.9542939502387903E-4</v>
      </c>
      <c r="AO185" s="3"/>
      <c r="AP185">
        <v>0</v>
      </c>
      <c r="AR185" t="s">
        <v>0</v>
      </c>
      <c r="AT185" s="2">
        <v>4.72</v>
      </c>
      <c r="AU185" s="1">
        <f t="shared" si="27"/>
        <v>3.7561631941755347</v>
      </c>
      <c r="AV185" s="1">
        <f t="shared" si="28"/>
        <v>2.6885574071260643</v>
      </c>
      <c r="AW185" s="1">
        <f t="shared" si="29"/>
        <v>1.6209516200765934</v>
      </c>
    </row>
    <row r="186" spans="1:49" x14ac:dyDescent="0.2">
      <c r="A186">
        <v>184</v>
      </c>
      <c r="B186" t="s">
        <v>9169</v>
      </c>
      <c r="C186" t="s">
        <v>9168</v>
      </c>
      <c r="F186" t="s">
        <v>9167</v>
      </c>
      <c r="G186" t="s">
        <v>16</v>
      </c>
      <c r="H186" t="s">
        <v>15</v>
      </c>
      <c r="I186" t="s">
        <v>9166</v>
      </c>
      <c r="J186">
        <v>60001359</v>
      </c>
      <c r="K186" t="s">
        <v>9165</v>
      </c>
      <c r="L186" t="s">
        <v>9164</v>
      </c>
      <c r="M186" t="s">
        <v>117</v>
      </c>
      <c r="N186">
        <v>2</v>
      </c>
      <c r="O186" t="s">
        <v>9163</v>
      </c>
      <c r="P186" t="s">
        <v>9162</v>
      </c>
      <c r="Q186" t="s">
        <v>9161</v>
      </c>
      <c r="R186" s="7">
        <v>33239</v>
      </c>
      <c r="S186" s="8">
        <f t="shared" si="24"/>
        <v>1991</v>
      </c>
      <c r="T186" s="8">
        <v>1991</v>
      </c>
      <c r="U186" s="8">
        <f t="shared" si="25"/>
        <v>31</v>
      </c>
      <c r="V186" s="7">
        <v>33298</v>
      </c>
      <c r="W186" t="s">
        <v>9160</v>
      </c>
      <c r="X186" s="2" t="s">
        <v>33</v>
      </c>
      <c r="Y186" s="6" t="e">
        <f t="shared" si="22"/>
        <v>#VALUE!</v>
      </c>
      <c r="AA186">
        <v>1407791</v>
      </c>
      <c r="AB186">
        <v>13041</v>
      </c>
      <c r="AC186">
        <v>13653040</v>
      </c>
      <c r="AD186" t="s">
        <v>5</v>
      </c>
      <c r="AE186">
        <v>14</v>
      </c>
      <c r="AF186">
        <v>2</v>
      </c>
      <c r="AH186" t="s">
        <v>9159</v>
      </c>
      <c r="AI186" t="s">
        <v>9158</v>
      </c>
      <c r="AJ186" t="s">
        <v>9157</v>
      </c>
      <c r="AK186" t="s">
        <v>9156</v>
      </c>
      <c r="AL186">
        <v>21</v>
      </c>
      <c r="AM186" s="5">
        <f t="shared" si="26"/>
        <v>0.67741935483870963</v>
      </c>
      <c r="AN186" s="4">
        <f t="shared" si="23"/>
        <v>1.0260043238753647E-3</v>
      </c>
      <c r="AO186" s="3"/>
      <c r="AP186">
        <v>0</v>
      </c>
      <c r="AR186" t="s">
        <v>0</v>
      </c>
      <c r="AT186" s="2" t="s">
        <v>33</v>
      </c>
      <c r="AU186" s="1" t="e">
        <f t="shared" si="27"/>
        <v>#VALUE!</v>
      </c>
      <c r="AV186" s="1" t="e">
        <f t="shared" si="28"/>
        <v>#VALUE!</v>
      </c>
      <c r="AW186" s="1" t="e">
        <f t="shared" si="29"/>
        <v>#VALUE!</v>
      </c>
    </row>
    <row r="187" spans="1:49" x14ac:dyDescent="0.2">
      <c r="A187">
        <v>185</v>
      </c>
      <c r="B187" t="s">
        <v>9155</v>
      </c>
      <c r="C187" t="s">
        <v>9154</v>
      </c>
      <c r="F187" t="s">
        <v>9153</v>
      </c>
      <c r="G187" t="s">
        <v>16</v>
      </c>
      <c r="H187" t="s">
        <v>15</v>
      </c>
      <c r="I187" t="s">
        <v>9152</v>
      </c>
      <c r="J187">
        <v>60022812</v>
      </c>
      <c r="K187" t="s">
        <v>9151</v>
      </c>
      <c r="L187" t="s">
        <v>9150</v>
      </c>
      <c r="M187" t="s">
        <v>57</v>
      </c>
      <c r="N187">
        <v>7</v>
      </c>
      <c r="O187" t="s">
        <v>9149</v>
      </c>
      <c r="P187" t="s">
        <v>9148</v>
      </c>
      <c r="Q187" t="s">
        <v>9147</v>
      </c>
      <c r="R187" s="7">
        <v>33239</v>
      </c>
      <c r="S187" s="8">
        <f t="shared" si="24"/>
        <v>1991</v>
      </c>
      <c r="T187" s="8">
        <v>1991</v>
      </c>
      <c r="U187" s="8">
        <f t="shared" si="25"/>
        <v>31</v>
      </c>
      <c r="V187" s="7">
        <v>33573</v>
      </c>
      <c r="W187" t="s">
        <v>9146</v>
      </c>
      <c r="X187" s="2">
        <v>0.65500000000000003</v>
      </c>
      <c r="Y187" s="6">
        <f t="shared" si="22"/>
        <v>1.7484850911614749E-2</v>
      </c>
      <c r="AA187">
        <v>8938849</v>
      </c>
      <c r="AB187">
        <v>28937</v>
      </c>
      <c r="AC187">
        <v>17497345</v>
      </c>
      <c r="AD187" t="s">
        <v>5</v>
      </c>
      <c r="AE187">
        <v>22</v>
      </c>
      <c r="AF187">
        <v>4</v>
      </c>
      <c r="AH187" t="s">
        <v>8733</v>
      </c>
      <c r="AI187" t="s">
        <v>9145</v>
      </c>
      <c r="AK187" t="s">
        <v>9144</v>
      </c>
      <c r="AL187">
        <v>114</v>
      </c>
      <c r="AM187" s="5">
        <f t="shared" si="26"/>
        <v>3.6774193548387095</v>
      </c>
      <c r="AN187" s="4">
        <f t="shared" si="23"/>
        <v>5.5697377581805521E-3</v>
      </c>
      <c r="AO187" s="3"/>
      <c r="AP187">
        <v>0</v>
      </c>
      <c r="AR187" t="s">
        <v>0</v>
      </c>
      <c r="AT187" s="2" t="s">
        <v>33</v>
      </c>
      <c r="AU187" s="1">
        <f t="shared" si="27"/>
        <v>1.3910316965584488</v>
      </c>
      <c r="AV187" s="1">
        <f t="shared" si="28"/>
        <v>1.1527294334897651</v>
      </c>
      <c r="AW187" s="1">
        <f t="shared" si="29"/>
        <v>0.91442717042108101</v>
      </c>
    </row>
    <row r="188" spans="1:49" x14ac:dyDescent="0.2">
      <c r="A188">
        <v>186</v>
      </c>
      <c r="B188" t="s">
        <v>9143</v>
      </c>
      <c r="C188" t="s">
        <v>9142</v>
      </c>
      <c r="F188" t="s">
        <v>9141</v>
      </c>
      <c r="G188" t="s">
        <v>16</v>
      </c>
      <c r="H188" t="s">
        <v>15</v>
      </c>
      <c r="I188" t="s">
        <v>9140</v>
      </c>
      <c r="J188">
        <v>60083761</v>
      </c>
      <c r="K188" t="s">
        <v>9139</v>
      </c>
      <c r="L188" t="s">
        <v>342</v>
      </c>
      <c r="M188" t="s">
        <v>341</v>
      </c>
      <c r="N188">
        <v>1</v>
      </c>
      <c r="O188" t="s">
        <v>9138</v>
      </c>
      <c r="P188">
        <v>6507675623</v>
      </c>
      <c r="Q188">
        <v>60083761</v>
      </c>
      <c r="R188" s="7">
        <v>33239</v>
      </c>
      <c r="S188" s="8">
        <f t="shared" si="24"/>
        <v>1991</v>
      </c>
      <c r="T188" s="8">
        <v>1991</v>
      </c>
      <c r="U188" s="8">
        <f t="shared" si="25"/>
        <v>31</v>
      </c>
      <c r="V188" s="7" t="s">
        <v>9127</v>
      </c>
      <c r="W188" t="s">
        <v>9126</v>
      </c>
      <c r="X188" s="2">
        <v>0.34699999999999998</v>
      </c>
      <c r="Y188" s="6">
        <f t="shared" si="22"/>
        <v>9.2629668188249116E-3</v>
      </c>
      <c r="AA188" t="s">
        <v>9125</v>
      </c>
      <c r="AB188">
        <v>18817</v>
      </c>
      <c r="AC188">
        <v>15418251</v>
      </c>
      <c r="AD188" t="s">
        <v>5</v>
      </c>
      <c r="AE188">
        <v>2</v>
      </c>
      <c r="AF188">
        <v>6</v>
      </c>
      <c r="AH188" t="s">
        <v>9137</v>
      </c>
      <c r="AI188" t="s">
        <v>9136</v>
      </c>
      <c r="AK188" t="s">
        <v>9135</v>
      </c>
      <c r="AL188">
        <v>0</v>
      </c>
      <c r="AM188" s="5">
        <f t="shared" si="26"/>
        <v>0</v>
      </c>
      <c r="AN188" s="4">
        <f t="shared" si="23"/>
        <v>0</v>
      </c>
      <c r="AO188" s="3"/>
      <c r="AP188">
        <v>0</v>
      </c>
      <c r="AR188" t="s">
        <v>0</v>
      </c>
      <c r="AT188" s="2" t="s">
        <v>33</v>
      </c>
      <c r="AU188" s="1">
        <f t="shared" si="27"/>
        <v>0.64840767731774385</v>
      </c>
      <c r="AV188" s="1">
        <f t="shared" si="28"/>
        <v>0.46314834094124557</v>
      </c>
      <c r="AW188" s="1">
        <f t="shared" si="29"/>
        <v>0.2778890045647473</v>
      </c>
    </row>
    <row r="189" spans="1:49" x14ac:dyDescent="0.2">
      <c r="A189">
        <v>187</v>
      </c>
      <c r="B189" t="s">
        <v>9134</v>
      </c>
      <c r="C189" t="s">
        <v>9133</v>
      </c>
      <c r="F189" t="s">
        <v>9132</v>
      </c>
      <c r="G189" t="s">
        <v>16</v>
      </c>
      <c r="H189" t="s">
        <v>15</v>
      </c>
      <c r="I189" t="s">
        <v>9131</v>
      </c>
      <c r="J189">
        <v>60007798</v>
      </c>
      <c r="K189" t="s">
        <v>9130</v>
      </c>
      <c r="L189" t="s">
        <v>9129</v>
      </c>
      <c r="M189" t="s">
        <v>25</v>
      </c>
      <c r="N189">
        <v>1</v>
      </c>
      <c r="O189" t="s">
        <v>9128</v>
      </c>
      <c r="P189">
        <v>6602441089</v>
      </c>
      <c r="Q189">
        <v>60007798</v>
      </c>
      <c r="R189" s="7">
        <v>33239</v>
      </c>
      <c r="S189" s="8">
        <f t="shared" si="24"/>
        <v>1991</v>
      </c>
      <c r="T189" s="8">
        <v>1991</v>
      </c>
      <c r="U189" s="8">
        <f t="shared" si="25"/>
        <v>31</v>
      </c>
      <c r="V189" s="7" t="s">
        <v>9127</v>
      </c>
      <c r="W189" t="s">
        <v>9126</v>
      </c>
      <c r="X189" s="2">
        <v>0.34699999999999998</v>
      </c>
      <c r="Y189" s="6">
        <f t="shared" si="22"/>
        <v>9.2629668188249116E-3</v>
      </c>
      <c r="AA189" t="s">
        <v>9125</v>
      </c>
      <c r="AB189">
        <v>18817</v>
      </c>
      <c r="AC189">
        <v>15418251</v>
      </c>
      <c r="AD189" t="s">
        <v>5</v>
      </c>
      <c r="AE189">
        <v>2</v>
      </c>
      <c r="AF189">
        <v>6</v>
      </c>
      <c r="AH189" t="s">
        <v>9124</v>
      </c>
      <c r="AI189" t="s">
        <v>9123</v>
      </c>
      <c r="AK189" t="s">
        <v>9122</v>
      </c>
      <c r="AL189">
        <v>24</v>
      </c>
      <c r="AM189" s="5">
        <f t="shared" si="26"/>
        <v>0.77419354838709675</v>
      </c>
      <c r="AN189" s="4">
        <f t="shared" si="23"/>
        <v>1.1725763701432741E-3</v>
      </c>
      <c r="AO189" s="3"/>
      <c r="AP189">
        <v>0</v>
      </c>
      <c r="AR189" t="s">
        <v>0</v>
      </c>
      <c r="AT189" s="2" t="s">
        <v>33</v>
      </c>
      <c r="AU189" s="1">
        <f t="shared" si="27"/>
        <v>0.68358496842204208</v>
      </c>
      <c r="AV189" s="1">
        <f t="shared" si="28"/>
        <v>0.5217771594484093</v>
      </c>
      <c r="AW189" s="1">
        <f t="shared" si="29"/>
        <v>0.35996935047477652</v>
      </c>
    </row>
    <row r="190" spans="1:49" x14ac:dyDescent="0.2">
      <c r="A190">
        <v>188</v>
      </c>
      <c r="B190" t="s">
        <v>9121</v>
      </c>
      <c r="C190" t="s">
        <v>9120</v>
      </c>
      <c r="F190" t="s">
        <v>9119</v>
      </c>
      <c r="G190" t="s">
        <v>16</v>
      </c>
      <c r="H190" t="s">
        <v>15</v>
      </c>
      <c r="I190" t="s">
        <v>9118</v>
      </c>
      <c r="J190">
        <v>60028186</v>
      </c>
      <c r="K190" t="s">
        <v>7187</v>
      </c>
      <c r="L190" t="s">
        <v>7186</v>
      </c>
      <c r="M190" t="s">
        <v>1765</v>
      </c>
      <c r="N190">
        <v>1</v>
      </c>
      <c r="O190" t="s">
        <v>9117</v>
      </c>
      <c r="P190">
        <v>35609196900</v>
      </c>
      <c r="Q190">
        <v>60028186</v>
      </c>
      <c r="R190" s="7">
        <v>33239</v>
      </c>
      <c r="S190" s="8">
        <f t="shared" si="24"/>
        <v>1991</v>
      </c>
      <c r="T190" s="8">
        <v>1991</v>
      </c>
      <c r="U190" s="8">
        <f t="shared" si="25"/>
        <v>31</v>
      </c>
      <c r="V190" s="7">
        <v>1991</v>
      </c>
      <c r="W190" t="s">
        <v>9107</v>
      </c>
      <c r="X190" s="2">
        <v>0.33500000000000002</v>
      </c>
      <c r="Y190" s="6">
        <f t="shared" si="22"/>
        <v>8.94263367235258E-3</v>
      </c>
      <c r="AA190">
        <v>10501827</v>
      </c>
      <c r="AB190">
        <v>78233</v>
      </c>
      <c r="AC190">
        <v>15226301</v>
      </c>
      <c r="AD190" t="s">
        <v>5</v>
      </c>
      <c r="AE190">
        <v>1</v>
      </c>
      <c r="AF190">
        <v>2</v>
      </c>
      <c r="AH190" t="s">
        <v>9116</v>
      </c>
      <c r="AI190" t="s">
        <v>9115</v>
      </c>
      <c r="AK190" t="s">
        <v>9114</v>
      </c>
      <c r="AL190">
        <v>9</v>
      </c>
      <c r="AM190" s="5">
        <f t="shared" si="26"/>
        <v>0.29032258064516131</v>
      </c>
      <c r="AN190" s="4">
        <f t="shared" si="23"/>
        <v>4.3971613880372783E-4</v>
      </c>
      <c r="AO190" s="3"/>
      <c r="AP190">
        <v>0</v>
      </c>
      <c r="AR190" t="s">
        <v>0</v>
      </c>
      <c r="AT190" s="2" t="s">
        <v>33</v>
      </c>
      <c r="AU190" s="1">
        <f t="shared" si="27"/>
        <v>0.63917584122879245</v>
      </c>
      <c r="AV190" s="1">
        <f t="shared" si="28"/>
        <v>0.46911749055781543</v>
      </c>
      <c r="AW190" s="1">
        <f t="shared" si="29"/>
        <v>0.29905913988683835</v>
      </c>
    </row>
    <row r="191" spans="1:49" x14ac:dyDescent="0.2">
      <c r="A191">
        <v>189</v>
      </c>
      <c r="B191" t="s">
        <v>9113</v>
      </c>
      <c r="C191" t="s">
        <v>9112</v>
      </c>
      <c r="F191" t="s">
        <v>9111</v>
      </c>
      <c r="G191" t="s">
        <v>16</v>
      </c>
      <c r="H191" t="s">
        <v>15</v>
      </c>
      <c r="I191" t="s">
        <v>3098</v>
      </c>
      <c r="J191">
        <v>60005837</v>
      </c>
      <c r="K191" t="s">
        <v>2053</v>
      </c>
      <c r="L191" t="s">
        <v>2052</v>
      </c>
      <c r="M191" t="s">
        <v>57</v>
      </c>
      <c r="N191">
        <v>2</v>
      </c>
      <c r="O191" t="s">
        <v>9110</v>
      </c>
      <c r="P191" t="s">
        <v>9109</v>
      </c>
      <c r="Q191" t="s">
        <v>9108</v>
      </c>
      <c r="R191" s="7">
        <v>33239</v>
      </c>
      <c r="S191" s="8">
        <f t="shared" si="24"/>
        <v>1991</v>
      </c>
      <c r="T191" s="8">
        <v>1991</v>
      </c>
      <c r="U191" s="8">
        <f t="shared" si="25"/>
        <v>31</v>
      </c>
      <c r="V191" s="7">
        <v>1991</v>
      </c>
      <c r="W191" t="s">
        <v>9107</v>
      </c>
      <c r="X191" s="2">
        <v>0.33500000000000002</v>
      </c>
      <c r="Y191" s="6">
        <f t="shared" si="22"/>
        <v>8.94263367235258E-3</v>
      </c>
      <c r="AA191">
        <v>10501827</v>
      </c>
      <c r="AB191">
        <v>78233</v>
      </c>
      <c r="AC191">
        <v>15226301</v>
      </c>
      <c r="AD191" t="s">
        <v>5</v>
      </c>
      <c r="AE191">
        <v>1</v>
      </c>
      <c r="AF191">
        <v>2</v>
      </c>
      <c r="AH191" t="s">
        <v>9106</v>
      </c>
      <c r="AI191" t="s">
        <v>9105</v>
      </c>
      <c r="AK191" t="s">
        <v>9104</v>
      </c>
      <c r="AL191">
        <v>24</v>
      </c>
      <c r="AM191" s="5">
        <f t="shared" si="26"/>
        <v>0.77419354838709675</v>
      </c>
      <c r="AN191" s="4">
        <f t="shared" si="23"/>
        <v>1.1725763701432741E-3</v>
      </c>
      <c r="AO191" s="3"/>
      <c r="AP191">
        <v>0</v>
      </c>
      <c r="AR191" t="s">
        <v>0</v>
      </c>
      <c r="AT191" s="2" t="s">
        <v>33</v>
      </c>
      <c r="AU191" s="1">
        <f t="shared" si="27"/>
        <v>0.66116164816897882</v>
      </c>
      <c r="AV191" s="1">
        <f t="shared" si="28"/>
        <v>0.50576050212479262</v>
      </c>
      <c r="AW191" s="1">
        <f t="shared" si="29"/>
        <v>0.35035935608060659</v>
      </c>
    </row>
    <row r="192" spans="1:49" x14ac:dyDescent="0.2">
      <c r="A192">
        <v>190</v>
      </c>
      <c r="B192" t="s">
        <v>9103</v>
      </c>
      <c r="C192" t="s">
        <v>9102</v>
      </c>
      <c r="F192" t="s">
        <v>9101</v>
      </c>
      <c r="G192" t="s">
        <v>16</v>
      </c>
      <c r="H192" t="s">
        <v>15</v>
      </c>
      <c r="I192" t="s">
        <v>60</v>
      </c>
      <c r="J192">
        <v>60002286</v>
      </c>
      <c r="K192" t="s">
        <v>3817</v>
      </c>
      <c r="L192" t="s">
        <v>904</v>
      </c>
      <c r="M192" t="s">
        <v>272</v>
      </c>
      <c r="N192">
        <v>1</v>
      </c>
      <c r="O192" t="s">
        <v>7261</v>
      </c>
      <c r="P192">
        <v>15034907500</v>
      </c>
      <c r="Q192">
        <v>60002286</v>
      </c>
      <c r="R192" s="7">
        <v>33239</v>
      </c>
      <c r="S192" s="8">
        <f t="shared" si="24"/>
        <v>1991</v>
      </c>
      <c r="T192" s="8">
        <v>1991</v>
      </c>
      <c r="U192" s="8">
        <f t="shared" si="25"/>
        <v>31</v>
      </c>
      <c r="V192" s="7">
        <v>33482</v>
      </c>
      <c r="W192" t="s">
        <v>561</v>
      </c>
      <c r="X192" s="2">
        <v>0.30399999999999999</v>
      </c>
      <c r="Y192" s="6">
        <f t="shared" si="22"/>
        <v>8.115106377299057E-3</v>
      </c>
      <c r="AA192">
        <v>8952477</v>
      </c>
      <c r="AB192">
        <v>12250</v>
      </c>
      <c r="AC192">
        <v>10982760</v>
      </c>
      <c r="AD192" t="s">
        <v>5</v>
      </c>
      <c r="AE192">
        <v>4</v>
      </c>
      <c r="AF192">
        <v>10</v>
      </c>
      <c r="AH192" t="s">
        <v>9100</v>
      </c>
      <c r="AI192" t="s">
        <v>9099</v>
      </c>
      <c r="AJ192" t="s">
        <v>9098</v>
      </c>
      <c r="AK192" t="s">
        <v>9097</v>
      </c>
      <c r="AL192">
        <v>0</v>
      </c>
      <c r="AM192" s="5">
        <f t="shared" si="26"/>
        <v>0</v>
      </c>
      <c r="AN192" s="4">
        <f t="shared" si="23"/>
        <v>0</v>
      </c>
      <c r="AO192" s="3"/>
      <c r="AP192">
        <v>0</v>
      </c>
      <c r="AR192" t="s">
        <v>0</v>
      </c>
      <c r="AT192" s="2" t="s">
        <v>33</v>
      </c>
      <c r="AU192" s="1">
        <f t="shared" si="27"/>
        <v>0.56805744641093392</v>
      </c>
      <c r="AV192" s="1">
        <f t="shared" si="28"/>
        <v>0.40575531886495286</v>
      </c>
      <c r="AW192" s="1">
        <f t="shared" si="29"/>
        <v>0.24345319131897172</v>
      </c>
    </row>
    <row r="193" spans="1:49" x14ac:dyDescent="0.2">
      <c r="A193">
        <v>191</v>
      </c>
      <c r="B193" t="s">
        <v>9096</v>
      </c>
      <c r="C193" t="s">
        <v>9095</v>
      </c>
      <c r="F193" t="s">
        <v>9094</v>
      </c>
      <c r="G193" t="s">
        <v>16</v>
      </c>
      <c r="H193" t="s">
        <v>15</v>
      </c>
      <c r="I193" t="s">
        <v>9093</v>
      </c>
      <c r="J193">
        <v>60001565</v>
      </c>
      <c r="K193" t="s">
        <v>9092</v>
      </c>
      <c r="L193" t="s">
        <v>9091</v>
      </c>
      <c r="M193" t="s">
        <v>4520</v>
      </c>
      <c r="N193">
        <v>3</v>
      </c>
      <c r="O193" t="s">
        <v>9090</v>
      </c>
      <c r="P193" t="s">
        <v>9089</v>
      </c>
      <c r="Q193" t="s">
        <v>9088</v>
      </c>
      <c r="R193" s="7">
        <v>33239</v>
      </c>
      <c r="S193" s="8">
        <f t="shared" si="24"/>
        <v>1991</v>
      </c>
      <c r="T193" s="8">
        <v>1991</v>
      </c>
      <c r="U193" s="8">
        <f t="shared" si="25"/>
        <v>31</v>
      </c>
      <c r="V193" s="7">
        <v>33543</v>
      </c>
      <c r="W193" t="s">
        <v>9087</v>
      </c>
      <c r="X193" s="2" t="s">
        <v>33</v>
      </c>
      <c r="Y193" s="6" t="e">
        <f t="shared" si="22"/>
        <v>#VALUE!</v>
      </c>
      <c r="AA193">
        <v>9356304</v>
      </c>
      <c r="AB193">
        <v>40699</v>
      </c>
      <c r="AC193">
        <v>15214168</v>
      </c>
      <c r="AD193" t="s">
        <v>5</v>
      </c>
      <c r="AE193">
        <v>14</v>
      </c>
      <c r="AF193">
        <v>11</v>
      </c>
      <c r="AH193" t="s">
        <v>9086</v>
      </c>
      <c r="AI193" t="s">
        <v>9085</v>
      </c>
      <c r="AJ193" t="s">
        <v>9084</v>
      </c>
      <c r="AK193" t="s">
        <v>9083</v>
      </c>
      <c r="AL193">
        <v>11</v>
      </c>
      <c r="AM193" s="5">
        <f t="shared" si="26"/>
        <v>0.35483870967741937</v>
      </c>
      <c r="AN193" s="4">
        <f t="shared" si="23"/>
        <v>5.3743083631566731E-4</v>
      </c>
      <c r="AO193" s="3"/>
      <c r="AP193">
        <v>0</v>
      </c>
      <c r="AR193" t="s">
        <v>0</v>
      </c>
      <c r="AT193" s="2" t="s">
        <v>33</v>
      </c>
      <c r="AU193" s="1" t="e">
        <f t="shared" si="27"/>
        <v>#VALUE!</v>
      </c>
      <c r="AV193" s="1" t="e">
        <f t="shared" si="28"/>
        <v>#VALUE!</v>
      </c>
      <c r="AW193" s="1" t="e">
        <f t="shared" si="29"/>
        <v>#VALUE!</v>
      </c>
    </row>
    <row r="194" spans="1:49" x14ac:dyDescent="0.2">
      <c r="A194">
        <v>192</v>
      </c>
      <c r="B194" t="s">
        <v>9082</v>
      </c>
      <c r="C194" t="s">
        <v>9081</v>
      </c>
      <c r="F194" t="s">
        <v>9080</v>
      </c>
      <c r="G194" t="s">
        <v>16</v>
      </c>
      <c r="H194" t="s">
        <v>15</v>
      </c>
      <c r="I194" t="s">
        <v>9079</v>
      </c>
      <c r="J194">
        <v>60009841</v>
      </c>
      <c r="K194" t="s">
        <v>9078</v>
      </c>
      <c r="L194" t="s">
        <v>9077</v>
      </c>
      <c r="M194" t="s">
        <v>57</v>
      </c>
      <c r="N194">
        <v>1</v>
      </c>
      <c r="O194" t="s">
        <v>9076</v>
      </c>
      <c r="P194">
        <v>7102047526</v>
      </c>
      <c r="Q194">
        <v>60009841</v>
      </c>
      <c r="R194" s="7">
        <v>33239</v>
      </c>
      <c r="S194" s="8">
        <f t="shared" si="24"/>
        <v>1991</v>
      </c>
      <c r="T194" s="8">
        <v>1991</v>
      </c>
      <c r="U194" s="8">
        <f t="shared" si="25"/>
        <v>31</v>
      </c>
      <c r="V194" s="7">
        <v>33451</v>
      </c>
      <c r="W194" t="s">
        <v>9075</v>
      </c>
      <c r="X194" s="2" t="s">
        <v>33</v>
      </c>
      <c r="Y194" s="6" t="e">
        <f t="shared" ref="Y194:Y257" si="30">(X194-$Z$4)/($Z$3-$Z$4)</f>
        <v>#VALUE!</v>
      </c>
      <c r="AA194">
        <v>13266756</v>
      </c>
      <c r="AB194">
        <v>19190</v>
      </c>
      <c r="AC194">
        <v>14406055</v>
      </c>
      <c r="AD194" t="s">
        <v>5</v>
      </c>
      <c r="AE194">
        <v>30</v>
      </c>
      <c r="AF194">
        <v>3</v>
      </c>
      <c r="AH194" t="s">
        <v>9074</v>
      </c>
      <c r="AI194" t="s">
        <v>9073</v>
      </c>
      <c r="AK194" t="s">
        <v>9072</v>
      </c>
      <c r="AL194">
        <v>3</v>
      </c>
      <c r="AM194" s="5">
        <f t="shared" si="26"/>
        <v>9.6774193548387094E-2</v>
      </c>
      <c r="AN194" s="4">
        <f t="shared" ref="AN194:AN257" si="31">(AM194-$AO$4)/($AO$3-$AO$4)</f>
        <v>1.4657204626790927E-4</v>
      </c>
      <c r="AO194" s="3"/>
      <c r="AP194">
        <v>1</v>
      </c>
      <c r="AR194" t="s">
        <v>0</v>
      </c>
      <c r="AT194" s="2" t="s">
        <v>33</v>
      </c>
      <c r="AU194" s="1" t="e">
        <f t="shared" si="27"/>
        <v>#VALUE!</v>
      </c>
      <c r="AV194" s="1" t="e">
        <f t="shared" si="28"/>
        <v>#VALUE!</v>
      </c>
      <c r="AW194" s="1" t="e">
        <f t="shared" si="29"/>
        <v>#VALUE!</v>
      </c>
    </row>
    <row r="195" spans="1:49" x14ac:dyDescent="0.2">
      <c r="A195">
        <v>193</v>
      </c>
      <c r="B195" t="s">
        <v>9071</v>
      </c>
      <c r="C195" t="s">
        <v>9070</v>
      </c>
      <c r="F195" t="s">
        <v>9069</v>
      </c>
      <c r="G195" t="s">
        <v>16</v>
      </c>
      <c r="H195" t="s">
        <v>15</v>
      </c>
      <c r="I195" t="s">
        <v>9068</v>
      </c>
      <c r="J195">
        <v>60000986</v>
      </c>
      <c r="K195" t="s">
        <v>9067</v>
      </c>
      <c r="L195" t="s">
        <v>9066</v>
      </c>
      <c r="M195" t="s">
        <v>57</v>
      </c>
      <c r="N195">
        <v>2</v>
      </c>
      <c r="O195" t="s">
        <v>9065</v>
      </c>
      <c r="P195" t="s">
        <v>9064</v>
      </c>
      <c r="Q195" t="s">
        <v>9063</v>
      </c>
      <c r="R195" s="7">
        <v>33239</v>
      </c>
      <c r="S195" s="8">
        <f t="shared" si="24"/>
        <v>1991</v>
      </c>
      <c r="T195" s="8">
        <v>1991</v>
      </c>
      <c r="U195" s="8">
        <f t="shared" si="25"/>
        <v>31</v>
      </c>
      <c r="V195" s="7">
        <v>33298</v>
      </c>
      <c r="W195" t="s">
        <v>497</v>
      </c>
      <c r="X195" s="2">
        <v>0.69299999999999995</v>
      </c>
      <c r="Y195" s="6">
        <f t="shared" si="30"/>
        <v>1.8499239208777128E-2</v>
      </c>
      <c r="AA195">
        <v>3076962</v>
      </c>
      <c r="AB195">
        <v>21084</v>
      </c>
      <c r="AC195">
        <v>13653032</v>
      </c>
      <c r="AD195" t="s">
        <v>5</v>
      </c>
      <c r="AE195">
        <v>16</v>
      </c>
      <c r="AF195">
        <v>1</v>
      </c>
      <c r="AH195" s="10">
        <v>42736</v>
      </c>
      <c r="AI195" t="s">
        <v>9062</v>
      </c>
      <c r="AJ195" t="s">
        <v>9061</v>
      </c>
      <c r="AK195" t="s">
        <v>9060</v>
      </c>
      <c r="AL195">
        <v>18</v>
      </c>
      <c r="AM195" s="5">
        <f t="shared" si="26"/>
        <v>0.58064516129032262</v>
      </c>
      <c r="AN195" s="4">
        <f t="shared" si="31"/>
        <v>8.7943227760745566E-4</v>
      </c>
      <c r="AO195" s="3"/>
      <c r="AP195">
        <v>0</v>
      </c>
      <c r="AR195" t="s">
        <v>0</v>
      </c>
      <c r="AT195" s="2">
        <v>1.833</v>
      </c>
      <c r="AU195" s="1">
        <f t="shared" si="27"/>
        <v>1.3213297129426225</v>
      </c>
      <c r="AV195" s="1">
        <f t="shared" si="28"/>
        <v>0.96893357431922933</v>
      </c>
      <c r="AW195" s="1">
        <f t="shared" si="29"/>
        <v>0.61653743569583574</v>
      </c>
    </row>
    <row r="196" spans="1:49" x14ac:dyDescent="0.2">
      <c r="A196">
        <v>194</v>
      </c>
      <c r="B196" t="s">
        <v>9059</v>
      </c>
      <c r="C196" t="s">
        <v>9058</v>
      </c>
      <c r="F196" t="s">
        <v>9057</v>
      </c>
      <c r="G196" t="s">
        <v>16</v>
      </c>
      <c r="H196" t="s">
        <v>15</v>
      </c>
      <c r="I196" t="s">
        <v>9056</v>
      </c>
      <c r="J196">
        <v>100314923</v>
      </c>
      <c r="K196" t="s">
        <v>9055</v>
      </c>
      <c r="L196" t="s">
        <v>9054</v>
      </c>
      <c r="M196" t="s">
        <v>57</v>
      </c>
      <c r="N196">
        <v>1</v>
      </c>
      <c r="O196" t="s">
        <v>9053</v>
      </c>
      <c r="P196">
        <v>7103243169</v>
      </c>
      <c r="Q196">
        <v>100314923</v>
      </c>
      <c r="R196" s="7">
        <v>33239</v>
      </c>
      <c r="S196" s="8">
        <f t="shared" si="24"/>
        <v>1991</v>
      </c>
      <c r="T196" s="8">
        <v>1991</v>
      </c>
      <c r="U196" s="8">
        <f t="shared" si="25"/>
        <v>31</v>
      </c>
      <c r="V196" s="7" t="s">
        <v>9031</v>
      </c>
      <c r="W196" t="s">
        <v>8193</v>
      </c>
      <c r="X196" s="2" t="s">
        <v>33</v>
      </c>
      <c r="Y196" s="6" t="e">
        <f t="shared" si="30"/>
        <v>#VALUE!</v>
      </c>
      <c r="AA196">
        <v>281522</v>
      </c>
      <c r="AB196">
        <v>12174</v>
      </c>
      <c r="AC196">
        <v>21614296</v>
      </c>
      <c r="AD196" t="s">
        <v>5</v>
      </c>
      <c r="AE196">
        <v>38</v>
      </c>
      <c r="AF196">
        <v>1</v>
      </c>
      <c r="AH196" s="10">
        <v>42005</v>
      </c>
      <c r="AI196" t="s">
        <v>9052</v>
      </c>
      <c r="AK196" t="s">
        <v>9051</v>
      </c>
      <c r="AL196">
        <v>20</v>
      </c>
      <c r="AM196" s="5">
        <f t="shared" si="26"/>
        <v>0.64516129032258063</v>
      </c>
      <c r="AN196" s="4">
        <f t="shared" si="31"/>
        <v>9.7714697511939509E-4</v>
      </c>
      <c r="AO196" s="3"/>
      <c r="AP196">
        <v>0</v>
      </c>
      <c r="AR196" t="s">
        <v>0</v>
      </c>
      <c r="AT196" s="2" t="s">
        <v>33</v>
      </c>
      <c r="AU196" s="1" t="e">
        <f t="shared" si="27"/>
        <v>#VALUE!</v>
      </c>
      <c r="AV196" s="1" t="e">
        <f t="shared" si="28"/>
        <v>#VALUE!</v>
      </c>
      <c r="AW196" s="1" t="e">
        <f t="shared" si="29"/>
        <v>#VALUE!</v>
      </c>
    </row>
    <row r="197" spans="1:49" x14ac:dyDescent="0.2">
      <c r="A197">
        <v>195</v>
      </c>
      <c r="B197" t="s">
        <v>9050</v>
      </c>
      <c r="C197" t="s">
        <v>9049</v>
      </c>
      <c r="F197" t="s">
        <v>9048</v>
      </c>
      <c r="G197" t="s">
        <v>16</v>
      </c>
      <c r="H197" t="s">
        <v>15</v>
      </c>
      <c r="I197" t="s">
        <v>9047</v>
      </c>
      <c r="J197" t="s">
        <v>9046</v>
      </c>
      <c r="K197" t="s">
        <v>9045</v>
      </c>
      <c r="L197" t="s">
        <v>9044</v>
      </c>
      <c r="M197" t="s">
        <v>133</v>
      </c>
      <c r="N197">
        <v>4</v>
      </c>
      <c r="O197" t="s">
        <v>9043</v>
      </c>
      <c r="P197" t="s">
        <v>9042</v>
      </c>
      <c r="Q197" t="s">
        <v>9041</v>
      </c>
      <c r="R197" s="7">
        <v>33239</v>
      </c>
      <c r="S197" s="8">
        <f t="shared" si="24"/>
        <v>1991</v>
      </c>
      <c r="T197" s="8">
        <v>1991</v>
      </c>
      <c r="U197" s="8">
        <f t="shared" si="25"/>
        <v>31</v>
      </c>
      <c r="V197" s="7" t="s">
        <v>9040</v>
      </c>
      <c r="W197" t="s">
        <v>8193</v>
      </c>
      <c r="X197" s="2" t="s">
        <v>33</v>
      </c>
      <c r="Y197" s="6" t="e">
        <f t="shared" si="30"/>
        <v>#VALUE!</v>
      </c>
      <c r="AA197">
        <v>281522</v>
      </c>
      <c r="AB197">
        <v>12174</v>
      </c>
      <c r="AC197">
        <v>21614296</v>
      </c>
      <c r="AD197" t="s">
        <v>5</v>
      </c>
      <c r="AE197">
        <v>38</v>
      </c>
      <c r="AF197">
        <v>3</v>
      </c>
      <c r="AH197" t="s">
        <v>3139</v>
      </c>
      <c r="AI197" t="s">
        <v>9039</v>
      </c>
      <c r="AK197" t="s">
        <v>9038</v>
      </c>
      <c r="AL197">
        <v>7</v>
      </c>
      <c r="AM197" s="5">
        <f t="shared" si="26"/>
        <v>0.22580645161290322</v>
      </c>
      <c r="AN197" s="4">
        <f t="shared" si="31"/>
        <v>3.420014412917883E-4</v>
      </c>
      <c r="AO197" s="3"/>
      <c r="AP197">
        <v>0</v>
      </c>
      <c r="AR197" t="s">
        <v>0</v>
      </c>
      <c r="AT197" s="2" t="s">
        <v>33</v>
      </c>
      <c r="AU197" s="1" t="e">
        <f t="shared" si="27"/>
        <v>#VALUE!</v>
      </c>
      <c r="AV197" s="1" t="e">
        <f t="shared" si="28"/>
        <v>#VALUE!</v>
      </c>
      <c r="AW197" s="1" t="e">
        <f t="shared" si="29"/>
        <v>#VALUE!</v>
      </c>
    </row>
    <row r="198" spans="1:49" x14ac:dyDescent="0.2">
      <c r="A198">
        <v>196</v>
      </c>
      <c r="B198" t="s">
        <v>9037</v>
      </c>
      <c r="C198" t="s">
        <v>9036</v>
      </c>
      <c r="F198" t="s">
        <v>9035</v>
      </c>
      <c r="G198" t="s">
        <v>16</v>
      </c>
      <c r="H198" t="s">
        <v>15</v>
      </c>
      <c r="I198" t="s">
        <v>9034</v>
      </c>
      <c r="J198">
        <v>60027716</v>
      </c>
      <c r="K198" t="s">
        <v>9033</v>
      </c>
      <c r="L198" t="s">
        <v>2493</v>
      </c>
      <c r="M198" t="s">
        <v>57</v>
      </c>
      <c r="N198">
        <v>1</v>
      </c>
      <c r="O198" t="s">
        <v>9032</v>
      </c>
      <c r="P198">
        <v>6602869948</v>
      </c>
      <c r="Q198">
        <v>60027716</v>
      </c>
      <c r="R198" s="7">
        <v>33239</v>
      </c>
      <c r="S198" s="8">
        <f t="shared" si="24"/>
        <v>1991</v>
      </c>
      <c r="T198" s="8">
        <v>1991</v>
      </c>
      <c r="U198" s="8">
        <f t="shared" si="25"/>
        <v>31</v>
      </c>
      <c r="V198" s="7" t="s">
        <v>9031</v>
      </c>
      <c r="W198" t="s">
        <v>8193</v>
      </c>
      <c r="X198" s="2" t="s">
        <v>33</v>
      </c>
      <c r="Y198" s="6" t="e">
        <f t="shared" si="30"/>
        <v>#VALUE!</v>
      </c>
      <c r="AA198">
        <v>281522</v>
      </c>
      <c r="AB198">
        <v>12174</v>
      </c>
      <c r="AC198">
        <v>21614296</v>
      </c>
      <c r="AD198" t="s">
        <v>5</v>
      </c>
      <c r="AE198">
        <v>38</v>
      </c>
      <c r="AF198">
        <v>1</v>
      </c>
      <c r="AH198" t="s">
        <v>9030</v>
      </c>
      <c r="AI198" t="s">
        <v>9029</v>
      </c>
      <c r="AK198" t="s">
        <v>9028</v>
      </c>
      <c r="AL198">
        <v>44</v>
      </c>
      <c r="AM198" s="5">
        <f t="shared" si="26"/>
        <v>1.4193548387096775</v>
      </c>
      <c r="AN198" s="4">
        <f t="shared" si="31"/>
        <v>2.1497233452626692E-3</v>
      </c>
      <c r="AO198" s="3"/>
      <c r="AP198">
        <v>0</v>
      </c>
      <c r="AR198" t="s">
        <v>0</v>
      </c>
      <c r="AT198" s="2" t="s">
        <v>33</v>
      </c>
      <c r="AU198" s="1" t="e">
        <f t="shared" si="27"/>
        <v>#VALUE!</v>
      </c>
      <c r="AV198" s="1" t="e">
        <f t="shared" si="28"/>
        <v>#VALUE!</v>
      </c>
      <c r="AW198" s="1" t="e">
        <f t="shared" si="29"/>
        <v>#VALUE!</v>
      </c>
    </row>
    <row r="199" spans="1:49" x14ac:dyDescent="0.2">
      <c r="A199">
        <v>197</v>
      </c>
      <c r="B199" t="s">
        <v>9027</v>
      </c>
      <c r="C199" t="s">
        <v>9026</v>
      </c>
      <c r="F199" t="s">
        <v>9025</v>
      </c>
      <c r="G199" t="s">
        <v>16</v>
      </c>
      <c r="H199" t="s">
        <v>15</v>
      </c>
      <c r="I199" t="s">
        <v>9024</v>
      </c>
      <c r="J199">
        <v>60027271</v>
      </c>
      <c r="K199" t="s">
        <v>2494</v>
      </c>
      <c r="L199" t="s">
        <v>2493</v>
      </c>
      <c r="M199" t="s">
        <v>57</v>
      </c>
      <c r="N199">
        <v>2</v>
      </c>
      <c r="O199" t="s">
        <v>9023</v>
      </c>
      <c r="P199" t="s">
        <v>9022</v>
      </c>
      <c r="Q199" t="s">
        <v>9021</v>
      </c>
      <c r="R199" s="7">
        <v>33239</v>
      </c>
      <c r="S199" s="8">
        <f t="shared" si="24"/>
        <v>1991</v>
      </c>
      <c r="T199" s="8">
        <v>1991</v>
      </c>
      <c r="U199" s="8">
        <f t="shared" si="25"/>
        <v>31</v>
      </c>
      <c r="V199" s="7">
        <v>33239</v>
      </c>
      <c r="W199" t="s">
        <v>9020</v>
      </c>
      <c r="X199" s="2">
        <v>0.80300000000000005</v>
      </c>
      <c r="Y199" s="6">
        <f t="shared" si="30"/>
        <v>2.1435626384773501E-2</v>
      </c>
      <c r="AA199">
        <v>10847529</v>
      </c>
      <c r="AB199">
        <v>12320</v>
      </c>
      <c r="AC199">
        <v>15208532</v>
      </c>
      <c r="AD199" t="s">
        <v>5</v>
      </c>
      <c r="AE199">
        <v>8</v>
      </c>
      <c r="AF199">
        <v>1</v>
      </c>
      <c r="AH199" s="10">
        <v>41579</v>
      </c>
      <c r="AI199" t="s">
        <v>9019</v>
      </c>
      <c r="AK199" t="s">
        <v>9018</v>
      </c>
      <c r="AL199">
        <v>4</v>
      </c>
      <c r="AM199" s="5">
        <f t="shared" si="26"/>
        <v>0.12903225806451613</v>
      </c>
      <c r="AN199" s="4">
        <f t="shared" si="31"/>
        <v>1.9542939502387903E-4</v>
      </c>
      <c r="AO199" s="3"/>
      <c r="AP199">
        <v>0</v>
      </c>
      <c r="AR199" t="s">
        <v>0</v>
      </c>
      <c r="AT199" s="2" t="s">
        <v>33</v>
      </c>
      <c r="AU199" s="1">
        <f t="shared" si="27"/>
        <v>1.5063567287848614</v>
      </c>
      <c r="AV199" s="1">
        <f t="shared" si="28"/>
        <v>1.0815527889898691</v>
      </c>
      <c r="AW199" s="1">
        <f t="shared" si="29"/>
        <v>0.65674884919487653</v>
      </c>
    </row>
    <row r="200" spans="1:49" x14ac:dyDescent="0.2">
      <c r="A200">
        <v>198</v>
      </c>
      <c r="B200" t="s">
        <v>9017</v>
      </c>
      <c r="C200" t="s">
        <v>9016</v>
      </c>
      <c r="F200" t="s">
        <v>9015</v>
      </c>
      <c r="G200" t="s">
        <v>16</v>
      </c>
      <c r="H200" t="s">
        <v>15</v>
      </c>
      <c r="I200" t="s">
        <v>9014</v>
      </c>
      <c r="J200" t="s">
        <v>993</v>
      </c>
      <c r="K200" t="s">
        <v>992</v>
      </c>
      <c r="L200" t="s">
        <v>991</v>
      </c>
      <c r="M200" t="s">
        <v>821</v>
      </c>
      <c r="N200">
        <v>23</v>
      </c>
      <c r="O200" t="s">
        <v>9013</v>
      </c>
      <c r="P200" t="s">
        <v>9012</v>
      </c>
      <c r="Q200" t="s">
        <v>9011</v>
      </c>
      <c r="R200" s="7">
        <v>33239</v>
      </c>
      <c r="S200" s="8">
        <f t="shared" si="24"/>
        <v>1991</v>
      </c>
      <c r="T200" s="8">
        <v>1991</v>
      </c>
      <c r="U200" s="8">
        <f t="shared" si="25"/>
        <v>31</v>
      </c>
      <c r="V200" s="7">
        <v>33239</v>
      </c>
      <c r="W200" t="s">
        <v>987</v>
      </c>
      <c r="X200" s="2">
        <v>1.774</v>
      </c>
      <c r="Y200" s="6">
        <f t="shared" si="30"/>
        <v>4.7355916820159633E-2</v>
      </c>
      <c r="AA200">
        <v>295515</v>
      </c>
      <c r="AB200">
        <v>29066</v>
      </c>
      <c r="AC200">
        <v>17414326</v>
      </c>
      <c r="AD200" t="s">
        <v>5</v>
      </c>
      <c r="AE200">
        <v>31</v>
      </c>
      <c r="AF200">
        <v>1</v>
      </c>
      <c r="AH200" t="s">
        <v>9010</v>
      </c>
      <c r="AI200" t="s">
        <v>9009</v>
      </c>
      <c r="AK200" t="s">
        <v>9008</v>
      </c>
      <c r="AL200">
        <v>9</v>
      </c>
      <c r="AM200" s="5">
        <f t="shared" si="26"/>
        <v>0.29032258064516131</v>
      </c>
      <c r="AN200" s="4">
        <f t="shared" si="31"/>
        <v>4.3971613880372783E-4</v>
      </c>
      <c r="AO200" s="3"/>
      <c r="AP200">
        <v>0</v>
      </c>
      <c r="AR200" t="s">
        <v>0</v>
      </c>
      <c r="AT200" s="2">
        <v>3.1789999999999998</v>
      </c>
      <c r="AU200" s="1">
        <f t="shared" si="27"/>
        <v>3.328105661575286</v>
      </c>
      <c r="AV200" s="1">
        <f t="shared" si="28"/>
        <v>2.3897816479481677</v>
      </c>
      <c r="AW200" s="1">
        <f t="shared" si="29"/>
        <v>1.4514576343210497</v>
      </c>
    </row>
    <row r="201" spans="1:49" x14ac:dyDescent="0.2">
      <c r="A201">
        <v>199</v>
      </c>
      <c r="B201" t="s">
        <v>9007</v>
      </c>
      <c r="C201" t="s">
        <v>9006</v>
      </c>
      <c r="F201" t="s">
        <v>9005</v>
      </c>
      <c r="G201" t="s">
        <v>16</v>
      </c>
      <c r="H201" t="s">
        <v>15</v>
      </c>
      <c r="I201" t="s">
        <v>9004</v>
      </c>
      <c r="J201">
        <v>60019118</v>
      </c>
      <c r="K201" t="s">
        <v>8889</v>
      </c>
      <c r="L201" t="s">
        <v>8888</v>
      </c>
      <c r="M201" t="s">
        <v>1468</v>
      </c>
      <c r="N201">
        <v>2</v>
      </c>
      <c r="O201" t="s">
        <v>9003</v>
      </c>
      <c r="P201" t="s">
        <v>9002</v>
      </c>
      <c r="Q201" t="s">
        <v>8885</v>
      </c>
      <c r="R201" s="7">
        <v>33239</v>
      </c>
      <c r="S201" s="8">
        <f t="shared" si="24"/>
        <v>1991</v>
      </c>
      <c r="T201" s="8">
        <v>1991</v>
      </c>
      <c r="U201" s="8">
        <f t="shared" si="25"/>
        <v>31</v>
      </c>
      <c r="V201" s="7">
        <v>33359</v>
      </c>
      <c r="W201" t="s">
        <v>8990</v>
      </c>
      <c r="X201" s="2">
        <v>0.34799999999999998</v>
      </c>
      <c r="Y201" s="6">
        <f t="shared" si="30"/>
        <v>9.2896612476976049E-3</v>
      </c>
      <c r="AA201" t="s">
        <v>8989</v>
      </c>
      <c r="AB201">
        <v>27432</v>
      </c>
      <c r="AC201">
        <v>17413540</v>
      </c>
      <c r="AD201" t="s">
        <v>5</v>
      </c>
      <c r="AE201">
        <v>8</v>
      </c>
      <c r="AF201">
        <v>5</v>
      </c>
      <c r="AH201" t="s">
        <v>9001</v>
      </c>
      <c r="AI201" t="s">
        <v>9000</v>
      </c>
      <c r="AK201" t="s">
        <v>8999</v>
      </c>
      <c r="AL201">
        <v>0</v>
      </c>
      <c r="AM201" s="5">
        <f t="shared" si="26"/>
        <v>0</v>
      </c>
      <c r="AN201" s="4">
        <f t="shared" si="31"/>
        <v>0</v>
      </c>
      <c r="AO201" s="3"/>
      <c r="AP201">
        <v>0</v>
      </c>
      <c r="AR201" t="s">
        <v>0</v>
      </c>
      <c r="AT201" s="2">
        <v>1.4830000000000001</v>
      </c>
      <c r="AU201" s="1">
        <f t="shared" si="27"/>
        <v>0.65027628733883236</v>
      </c>
      <c r="AV201" s="1">
        <f t="shared" si="28"/>
        <v>0.46448306238488024</v>
      </c>
      <c r="AW201" s="1">
        <f t="shared" si="29"/>
        <v>0.27868983743092812</v>
      </c>
    </row>
    <row r="202" spans="1:49" x14ac:dyDescent="0.2">
      <c r="A202">
        <v>200</v>
      </c>
      <c r="B202" t="s">
        <v>8998</v>
      </c>
      <c r="C202" t="s">
        <v>8997</v>
      </c>
      <c r="F202" t="s">
        <v>8996</v>
      </c>
      <c r="G202" t="s">
        <v>16</v>
      </c>
      <c r="H202" t="s">
        <v>15</v>
      </c>
      <c r="I202" t="s">
        <v>8995</v>
      </c>
      <c r="J202">
        <v>60026626</v>
      </c>
      <c r="K202" t="s">
        <v>8994</v>
      </c>
      <c r="L202" t="s">
        <v>1469</v>
      </c>
      <c r="M202" t="s">
        <v>1468</v>
      </c>
      <c r="N202">
        <v>2</v>
      </c>
      <c r="O202" t="s">
        <v>8993</v>
      </c>
      <c r="P202" t="s">
        <v>8992</v>
      </c>
      <c r="Q202" t="s">
        <v>8991</v>
      </c>
      <c r="R202" s="7">
        <v>33239</v>
      </c>
      <c r="S202" s="8">
        <f t="shared" si="24"/>
        <v>1991</v>
      </c>
      <c r="T202" s="8">
        <v>1991</v>
      </c>
      <c r="U202" s="8">
        <f t="shared" si="25"/>
        <v>31</v>
      </c>
      <c r="V202" s="7">
        <v>33512</v>
      </c>
      <c r="W202" t="s">
        <v>8990</v>
      </c>
      <c r="X202" s="2">
        <v>0.34799999999999998</v>
      </c>
      <c r="Y202" s="6">
        <f t="shared" si="30"/>
        <v>9.2896612476976049E-3</v>
      </c>
      <c r="AA202" t="s">
        <v>8989</v>
      </c>
      <c r="AB202">
        <v>27432</v>
      </c>
      <c r="AC202">
        <v>17413540</v>
      </c>
      <c r="AD202" t="s">
        <v>5</v>
      </c>
      <c r="AE202">
        <v>8</v>
      </c>
      <c r="AF202">
        <v>10</v>
      </c>
      <c r="AH202" t="s">
        <v>8988</v>
      </c>
      <c r="AI202" t="s">
        <v>8987</v>
      </c>
      <c r="AK202" t="s">
        <v>8986</v>
      </c>
      <c r="AL202">
        <v>0</v>
      </c>
      <c r="AM202" s="5">
        <f t="shared" si="26"/>
        <v>0</v>
      </c>
      <c r="AN202" s="4">
        <f t="shared" si="31"/>
        <v>0</v>
      </c>
      <c r="AO202" s="3"/>
      <c r="AP202">
        <v>0</v>
      </c>
      <c r="AR202" t="s">
        <v>0</v>
      </c>
      <c r="AT202" s="2">
        <v>1.4830000000000001</v>
      </c>
      <c r="AU202" s="1">
        <f t="shared" si="27"/>
        <v>0.65027628733883236</v>
      </c>
      <c r="AV202" s="1">
        <f t="shared" si="28"/>
        <v>0.46448306238488024</v>
      </c>
      <c r="AW202" s="1">
        <f t="shared" si="29"/>
        <v>0.27868983743092812</v>
      </c>
    </row>
    <row r="203" spans="1:49" x14ac:dyDescent="0.2">
      <c r="A203">
        <v>201</v>
      </c>
      <c r="B203" t="s">
        <v>8985</v>
      </c>
      <c r="C203" t="s">
        <v>8984</v>
      </c>
      <c r="F203" t="s">
        <v>8983</v>
      </c>
      <c r="G203" t="s">
        <v>16</v>
      </c>
      <c r="H203" t="s">
        <v>15</v>
      </c>
      <c r="I203" t="s">
        <v>791</v>
      </c>
      <c r="J203">
        <v>60012564</v>
      </c>
      <c r="K203" t="s">
        <v>5591</v>
      </c>
      <c r="L203" t="s">
        <v>5590</v>
      </c>
      <c r="M203" t="s">
        <v>57</v>
      </c>
      <c r="N203">
        <v>1</v>
      </c>
      <c r="O203" t="s">
        <v>7526</v>
      </c>
      <c r="P203">
        <v>7402253651</v>
      </c>
      <c r="Q203">
        <v>60012564</v>
      </c>
      <c r="R203" s="7">
        <v>33239</v>
      </c>
      <c r="S203" s="8">
        <f t="shared" si="24"/>
        <v>1991</v>
      </c>
      <c r="T203" s="8">
        <v>1991</v>
      </c>
      <c r="U203" s="8">
        <f t="shared" si="25"/>
        <v>31</v>
      </c>
      <c r="V203" s="7">
        <v>33239</v>
      </c>
      <c r="W203" t="s">
        <v>239</v>
      </c>
      <c r="X203" s="2">
        <v>0.28599999999999998</v>
      </c>
      <c r="Y203" s="6">
        <f t="shared" si="30"/>
        <v>7.6346066575905605E-3</v>
      </c>
      <c r="AA203">
        <v>9205071</v>
      </c>
      <c r="AB203">
        <v>28139</v>
      </c>
      <c r="AC203">
        <v>15693937</v>
      </c>
      <c r="AD203" t="s">
        <v>5</v>
      </c>
      <c r="AE203">
        <v>5</v>
      </c>
      <c r="AF203">
        <v>11</v>
      </c>
      <c r="AH203" t="s">
        <v>8982</v>
      </c>
      <c r="AI203" t="s">
        <v>8981</v>
      </c>
      <c r="AK203" t="s">
        <v>8980</v>
      </c>
      <c r="AL203">
        <v>0</v>
      </c>
      <c r="AM203" s="5">
        <f t="shared" si="26"/>
        <v>0</v>
      </c>
      <c r="AN203" s="4">
        <f t="shared" si="31"/>
        <v>0</v>
      </c>
      <c r="AO203" s="3"/>
      <c r="AP203">
        <v>0</v>
      </c>
      <c r="AR203" t="s">
        <v>0</v>
      </c>
      <c r="AT203" s="2" t="s">
        <v>33</v>
      </c>
      <c r="AU203" s="1">
        <f t="shared" si="27"/>
        <v>0.53442246603133925</v>
      </c>
      <c r="AV203" s="1">
        <f t="shared" si="28"/>
        <v>0.38173033287952801</v>
      </c>
      <c r="AW203" s="1">
        <f t="shared" si="29"/>
        <v>0.22903819972771683</v>
      </c>
    </row>
    <row r="204" spans="1:49" x14ac:dyDescent="0.2">
      <c r="A204">
        <v>202</v>
      </c>
      <c r="B204" t="s">
        <v>8979</v>
      </c>
      <c r="C204" t="s">
        <v>8978</v>
      </c>
      <c r="F204" t="s">
        <v>8977</v>
      </c>
      <c r="G204" t="s">
        <v>16</v>
      </c>
      <c r="H204" t="s">
        <v>15</v>
      </c>
      <c r="I204" t="s">
        <v>8976</v>
      </c>
      <c r="J204" t="s">
        <v>8975</v>
      </c>
      <c r="K204" t="s">
        <v>8974</v>
      </c>
      <c r="L204" t="s">
        <v>8973</v>
      </c>
      <c r="M204" t="s">
        <v>133</v>
      </c>
      <c r="N204">
        <v>2</v>
      </c>
      <c r="O204" t="s">
        <v>8972</v>
      </c>
      <c r="P204" t="s">
        <v>8971</v>
      </c>
      <c r="Q204" t="s">
        <v>8970</v>
      </c>
      <c r="R204" s="7">
        <v>33239</v>
      </c>
      <c r="S204" s="8">
        <f t="shared" si="24"/>
        <v>1991</v>
      </c>
      <c r="T204" s="8">
        <v>1991</v>
      </c>
      <c r="U204" s="8">
        <f t="shared" si="25"/>
        <v>31</v>
      </c>
      <c r="V204" s="7">
        <v>1991</v>
      </c>
      <c r="W204" t="s">
        <v>239</v>
      </c>
      <c r="X204" s="2">
        <v>0.28599999999999998</v>
      </c>
      <c r="Y204" s="6">
        <f t="shared" si="30"/>
        <v>7.6346066575905605E-3</v>
      </c>
      <c r="AA204">
        <v>9205071</v>
      </c>
      <c r="AB204">
        <v>28139</v>
      </c>
      <c r="AC204">
        <v>15693937</v>
      </c>
      <c r="AD204" t="s">
        <v>5</v>
      </c>
      <c r="AE204">
        <v>5</v>
      </c>
      <c r="AF204">
        <v>10</v>
      </c>
      <c r="AH204" t="s">
        <v>8969</v>
      </c>
      <c r="AI204" t="s">
        <v>8968</v>
      </c>
      <c r="AK204" t="s">
        <v>8967</v>
      </c>
      <c r="AL204">
        <v>0</v>
      </c>
      <c r="AM204" s="5">
        <f t="shared" si="26"/>
        <v>0</v>
      </c>
      <c r="AN204" s="4">
        <f t="shared" si="31"/>
        <v>0</v>
      </c>
      <c r="AO204" s="3"/>
      <c r="AP204">
        <v>0</v>
      </c>
      <c r="AR204" t="s">
        <v>0</v>
      </c>
      <c r="AT204" s="2" t="s">
        <v>33</v>
      </c>
      <c r="AU204" s="1">
        <f t="shared" si="27"/>
        <v>0.53442246603133925</v>
      </c>
      <c r="AV204" s="1">
        <f t="shared" si="28"/>
        <v>0.38173033287952801</v>
      </c>
      <c r="AW204" s="1">
        <f t="shared" si="29"/>
        <v>0.22903819972771683</v>
      </c>
    </row>
    <row r="205" spans="1:49" x14ac:dyDescent="0.2">
      <c r="A205">
        <v>203</v>
      </c>
      <c r="B205" t="s">
        <v>8966</v>
      </c>
      <c r="C205" t="s">
        <v>8965</v>
      </c>
      <c r="F205" t="s">
        <v>8964</v>
      </c>
      <c r="G205" t="s">
        <v>16</v>
      </c>
      <c r="H205" t="s">
        <v>15</v>
      </c>
      <c r="I205" t="s">
        <v>8963</v>
      </c>
      <c r="J205">
        <v>60028628</v>
      </c>
      <c r="K205" t="s">
        <v>8962</v>
      </c>
      <c r="L205" t="s">
        <v>513</v>
      </c>
      <c r="M205" t="s">
        <v>57</v>
      </c>
      <c r="N205">
        <v>2</v>
      </c>
      <c r="O205" t="s">
        <v>8961</v>
      </c>
      <c r="P205" t="s">
        <v>8960</v>
      </c>
      <c r="Q205" t="s">
        <v>8959</v>
      </c>
      <c r="R205" s="7">
        <v>33239</v>
      </c>
      <c r="S205" s="8">
        <f t="shared" si="24"/>
        <v>1991</v>
      </c>
      <c r="T205" s="8">
        <v>1991</v>
      </c>
      <c r="U205" s="8">
        <f t="shared" si="25"/>
        <v>31</v>
      </c>
      <c r="V205" s="7">
        <v>1991</v>
      </c>
      <c r="W205" t="s">
        <v>239</v>
      </c>
      <c r="X205" s="2">
        <v>0.28599999999999998</v>
      </c>
      <c r="Y205" s="6">
        <f t="shared" si="30"/>
        <v>7.6346066575905605E-3</v>
      </c>
      <c r="AA205">
        <v>9205071</v>
      </c>
      <c r="AB205">
        <v>28139</v>
      </c>
      <c r="AC205">
        <v>15693937</v>
      </c>
      <c r="AD205" t="s">
        <v>5</v>
      </c>
      <c r="AE205">
        <v>5</v>
      </c>
      <c r="AF205">
        <v>7</v>
      </c>
      <c r="AH205" t="s">
        <v>8958</v>
      </c>
      <c r="AL205">
        <v>1</v>
      </c>
      <c r="AM205" s="5">
        <f t="shared" si="26"/>
        <v>3.2258064516129031E-2</v>
      </c>
      <c r="AN205" s="4">
        <f t="shared" si="31"/>
        <v>4.8857348755969758E-5</v>
      </c>
      <c r="AO205" s="3"/>
      <c r="AP205">
        <v>0</v>
      </c>
      <c r="AR205" t="s">
        <v>0</v>
      </c>
      <c r="AT205" s="2" t="s">
        <v>33</v>
      </c>
      <c r="AU205" s="1">
        <f t="shared" si="27"/>
        <v>0.53588818649401826</v>
      </c>
      <c r="AV205" s="1">
        <f t="shared" si="28"/>
        <v>0.38417320031732649</v>
      </c>
      <c r="AW205" s="1">
        <f t="shared" si="29"/>
        <v>0.23245821414063472</v>
      </c>
    </row>
    <row r="206" spans="1:49" x14ac:dyDescent="0.2">
      <c r="A206">
        <v>204</v>
      </c>
      <c r="B206" t="s">
        <v>8957</v>
      </c>
      <c r="C206" t="s">
        <v>8956</v>
      </c>
      <c r="F206" t="s">
        <v>8955</v>
      </c>
      <c r="G206" t="s">
        <v>16</v>
      </c>
      <c r="H206" t="s">
        <v>15</v>
      </c>
      <c r="I206" t="s">
        <v>8954</v>
      </c>
      <c r="J206">
        <v>100656554</v>
      </c>
      <c r="K206" t="s">
        <v>8953</v>
      </c>
      <c r="L206" t="s">
        <v>243</v>
      </c>
      <c r="M206" t="s">
        <v>57</v>
      </c>
      <c r="N206">
        <v>1</v>
      </c>
      <c r="O206" t="s">
        <v>8952</v>
      </c>
      <c r="P206">
        <v>56960834100</v>
      </c>
      <c r="Q206">
        <v>100656554</v>
      </c>
      <c r="R206" s="7">
        <v>33239</v>
      </c>
      <c r="S206" s="8">
        <f t="shared" si="24"/>
        <v>1991</v>
      </c>
      <c r="T206" s="8">
        <v>1991</v>
      </c>
      <c r="U206" s="8">
        <f t="shared" si="25"/>
        <v>31</v>
      </c>
      <c r="V206" s="7">
        <v>1991</v>
      </c>
      <c r="W206" t="s">
        <v>239</v>
      </c>
      <c r="X206" s="2">
        <v>0.28599999999999998</v>
      </c>
      <c r="Y206" s="6">
        <f t="shared" si="30"/>
        <v>7.6346066575905605E-3</v>
      </c>
      <c r="AA206">
        <v>9205071</v>
      </c>
      <c r="AB206">
        <v>28139</v>
      </c>
      <c r="AC206">
        <v>15693937</v>
      </c>
      <c r="AD206" t="s">
        <v>5</v>
      </c>
      <c r="AE206">
        <v>5</v>
      </c>
      <c r="AF206">
        <v>8</v>
      </c>
      <c r="AH206" t="s">
        <v>8951</v>
      </c>
      <c r="AI206" t="s">
        <v>8950</v>
      </c>
      <c r="AK206" t="s">
        <v>8949</v>
      </c>
      <c r="AL206">
        <v>0</v>
      </c>
      <c r="AM206" s="5">
        <f t="shared" si="26"/>
        <v>0</v>
      </c>
      <c r="AN206" s="4">
        <f t="shared" si="31"/>
        <v>0</v>
      </c>
      <c r="AO206" s="3"/>
      <c r="AP206">
        <v>0</v>
      </c>
      <c r="AR206" t="s">
        <v>0</v>
      </c>
      <c r="AT206" s="2" t="s">
        <v>33</v>
      </c>
      <c r="AU206" s="1">
        <f t="shared" si="27"/>
        <v>0.53442246603133925</v>
      </c>
      <c r="AV206" s="1">
        <f t="shared" si="28"/>
        <v>0.38173033287952801</v>
      </c>
      <c r="AW206" s="1">
        <f t="shared" si="29"/>
        <v>0.22903819972771683</v>
      </c>
    </row>
    <row r="207" spans="1:49" x14ac:dyDescent="0.2">
      <c r="A207">
        <v>205</v>
      </c>
      <c r="B207" t="s">
        <v>8948</v>
      </c>
      <c r="C207" t="s">
        <v>8947</v>
      </c>
      <c r="F207" t="s">
        <v>8946</v>
      </c>
      <c r="G207" t="s">
        <v>16</v>
      </c>
      <c r="H207" t="s">
        <v>15</v>
      </c>
      <c r="I207" t="s">
        <v>4015</v>
      </c>
      <c r="J207">
        <v>60031828</v>
      </c>
      <c r="K207" t="s">
        <v>1545</v>
      </c>
      <c r="L207" t="s">
        <v>1544</v>
      </c>
      <c r="M207" t="s">
        <v>1543</v>
      </c>
      <c r="N207">
        <v>2</v>
      </c>
      <c r="O207" t="s">
        <v>8945</v>
      </c>
      <c r="P207" t="s">
        <v>4013</v>
      </c>
      <c r="Q207" t="s">
        <v>4012</v>
      </c>
      <c r="R207" s="7">
        <v>33239</v>
      </c>
      <c r="S207" s="8">
        <f t="shared" si="24"/>
        <v>1991</v>
      </c>
      <c r="T207" s="8">
        <v>1991</v>
      </c>
      <c r="U207" s="8">
        <f t="shared" si="25"/>
        <v>31</v>
      </c>
      <c r="V207" s="7">
        <v>33482</v>
      </c>
      <c r="W207" t="s">
        <v>674</v>
      </c>
      <c r="X207" s="2">
        <v>1.137</v>
      </c>
      <c r="Y207" s="6">
        <f t="shared" si="30"/>
        <v>3.0351565628253384E-2</v>
      </c>
      <c r="AA207">
        <v>189251</v>
      </c>
      <c r="AB207">
        <v>17336</v>
      </c>
      <c r="AD207" t="s">
        <v>5</v>
      </c>
      <c r="AE207">
        <v>27</v>
      </c>
      <c r="AF207">
        <v>5</v>
      </c>
      <c r="AH207" t="s">
        <v>8944</v>
      </c>
      <c r="AI207" t="s">
        <v>8943</v>
      </c>
      <c r="AK207" t="s">
        <v>8942</v>
      </c>
      <c r="AL207">
        <v>21</v>
      </c>
      <c r="AM207" s="5">
        <f t="shared" si="26"/>
        <v>0.67741935483870963</v>
      </c>
      <c r="AN207" s="4">
        <f t="shared" si="31"/>
        <v>1.0260043238753647E-3</v>
      </c>
      <c r="AO207" s="3"/>
      <c r="AP207">
        <v>0</v>
      </c>
      <c r="AR207" t="s">
        <v>0</v>
      </c>
      <c r="AT207" s="2" t="s">
        <v>33</v>
      </c>
      <c r="AU207" s="1">
        <f t="shared" si="27"/>
        <v>2.1553897236939976</v>
      </c>
      <c r="AV207" s="1">
        <f t="shared" si="28"/>
        <v>1.5688784976064376</v>
      </c>
      <c r="AW207" s="1">
        <f t="shared" si="29"/>
        <v>0.98236727151887715</v>
      </c>
    </row>
    <row r="208" spans="1:49" x14ac:dyDescent="0.2">
      <c r="A208">
        <v>206</v>
      </c>
      <c r="B208" t="s">
        <v>8941</v>
      </c>
      <c r="C208" t="s">
        <v>8940</v>
      </c>
      <c r="F208" t="s">
        <v>8939</v>
      </c>
      <c r="G208" t="s">
        <v>16</v>
      </c>
      <c r="H208" t="s">
        <v>15</v>
      </c>
      <c r="I208" t="s">
        <v>8938</v>
      </c>
      <c r="J208">
        <v>60058524</v>
      </c>
      <c r="K208" t="s">
        <v>8937</v>
      </c>
      <c r="L208" t="s">
        <v>3995</v>
      </c>
      <c r="M208" t="s">
        <v>1543</v>
      </c>
      <c r="N208">
        <v>1</v>
      </c>
      <c r="O208" t="s">
        <v>8936</v>
      </c>
      <c r="P208">
        <v>56871738300</v>
      </c>
      <c r="Q208">
        <v>60058524</v>
      </c>
      <c r="R208" s="7">
        <v>33239</v>
      </c>
      <c r="S208" s="8">
        <f t="shared" si="24"/>
        <v>1991</v>
      </c>
      <c r="T208" s="8">
        <v>1991</v>
      </c>
      <c r="U208" s="8">
        <f t="shared" si="25"/>
        <v>31</v>
      </c>
      <c r="V208" s="7">
        <v>33451</v>
      </c>
      <c r="W208" t="s">
        <v>324</v>
      </c>
      <c r="X208" s="2">
        <v>0.88100000000000001</v>
      </c>
      <c r="Y208" s="6">
        <f t="shared" si="30"/>
        <v>2.3517791836843653E-2</v>
      </c>
      <c r="AA208">
        <v>10459243</v>
      </c>
      <c r="AB208">
        <v>17248</v>
      </c>
      <c r="AD208" t="s">
        <v>5</v>
      </c>
      <c r="AE208">
        <v>33</v>
      </c>
      <c r="AF208">
        <v>4</v>
      </c>
      <c r="AH208" t="s">
        <v>8935</v>
      </c>
      <c r="AI208" t="s">
        <v>8934</v>
      </c>
      <c r="AK208" t="s">
        <v>8933</v>
      </c>
      <c r="AL208">
        <v>0</v>
      </c>
      <c r="AM208" s="5">
        <f t="shared" si="26"/>
        <v>0</v>
      </c>
      <c r="AN208" s="4">
        <f t="shared" si="31"/>
        <v>0</v>
      </c>
      <c r="AO208" s="3"/>
      <c r="AP208">
        <v>0</v>
      </c>
      <c r="AR208" t="s">
        <v>0</v>
      </c>
      <c r="AT208" s="2" t="s">
        <v>33</v>
      </c>
      <c r="AU208" s="1">
        <f t="shared" si="27"/>
        <v>1.6462454285790555</v>
      </c>
      <c r="AV208" s="1">
        <f t="shared" si="28"/>
        <v>1.1758895918421826</v>
      </c>
      <c r="AW208" s="1">
        <f t="shared" si="29"/>
        <v>0.70553375510530958</v>
      </c>
    </row>
    <row r="209" spans="1:49" x14ac:dyDescent="0.2">
      <c r="A209">
        <v>207</v>
      </c>
      <c r="B209" t="s">
        <v>8932</v>
      </c>
      <c r="C209" t="s">
        <v>8931</v>
      </c>
      <c r="F209" t="s">
        <v>8930</v>
      </c>
      <c r="G209" t="s">
        <v>16</v>
      </c>
      <c r="H209" t="s">
        <v>15</v>
      </c>
      <c r="I209" t="s">
        <v>8929</v>
      </c>
      <c r="J209">
        <v>60008150</v>
      </c>
      <c r="K209" t="s">
        <v>8928</v>
      </c>
      <c r="L209" t="s">
        <v>5645</v>
      </c>
      <c r="M209" t="s">
        <v>326</v>
      </c>
      <c r="N209">
        <v>2</v>
      </c>
      <c r="O209" t="s">
        <v>8927</v>
      </c>
      <c r="P209" t="s">
        <v>8926</v>
      </c>
      <c r="Q209" t="s">
        <v>8925</v>
      </c>
      <c r="R209" s="7">
        <v>33239</v>
      </c>
      <c r="S209" s="8">
        <f t="shared" si="24"/>
        <v>1991</v>
      </c>
      <c r="T209" s="8">
        <v>1991</v>
      </c>
      <c r="U209" s="8">
        <f t="shared" si="25"/>
        <v>31</v>
      </c>
      <c r="V209" s="7">
        <v>33239</v>
      </c>
      <c r="W209" t="s">
        <v>8924</v>
      </c>
      <c r="X209" s="2">
        <v>0.39200000000000002</v>
      </c>
      <c r="Y209" s="6">
        <f t="shared" si="30"/>
        <v>1.0464216118096155E-2</v>
      </c>
      <c r="AA209">
        <v>9106340</v>
      </c>
      <c r="AB209">
        <v>22683</v>
      </c>
      <c r="AC209">
        <v>13482246</v>
      </c>
      <c r="AD209" t="s">
        <v>5</v>
      </c>
      <c r="AE209">
        <v>7</v>
      </c>
      <c r="AF209" t="s">
        <v>8923</v>
      </c>
      <c r="AH209" t="s">
        <v>8922</v>
      </c>
      <c r="AI209" t="s">
        <v>8921</v>
      </c>
      <c r="AJ209" t="s">
        <v>8920</v>
      </c>
      <c r="AK209" t="s">
        <v>8919</v>
      </c>
      <c r="AL209">
        <v>1</v>
      </c>
      <c r="AM209" s="5">
        <f t="shared" si="26"/>
        <v>3.2258064516129031E-2</v>
      </c>
      <c r="AN209" s="4">
        <f t="shared" si="31"/>
        <v>4.8857348755969758E-5</v>
      </c>
      <c r="AO209" s="3"/>
      <c r="AP209">
        <v>1</v>
      </c>
      <c r="AR209" t="s">
        <v>0</v>
      </c>
      <c r="AT209" s="2">
        <v>2.081</v>
      </c>
      <c r="AU209" s="1">
        <f t="shared" si="27"/>
        <v>0.73396084872940981</v>
      </c>
      <c r="AV209" s="1">
        <f t="shared" si="28"/>
        <v>0.52565367334260626</v>
      </c>
      <c r="AW209" s="1">
        <f t="shared" si="29"/>
        <v>0.31734649795580255</v>
      </c>
    </row>
    <row r="210" spans="1:49" x14ac:dyDescent="0.2">
      <c r="A210">
        <v>208</v>
      </c>
      <c r="B210" t="s">
        <v>8918</v>
      </c>
      <c r="C210" t="s">
        <v>8917</v>
      </c>
      <c r="F210" t="s">
        <v>8916</v>
      </c>
      <c r="G210" t="s">
        <v>16</v>
      </c>
      <c r="H210" t="s">
        <v>15</v>
      </c>
      <c r="I210" t="s">
        <v>8915</v>
      </c>
      <c r="J210" t="s">
        <v>8914</v>
      </c>
      <c r="K210" t="s">
        <v>8913</v>
      </c>
      <c r="L210" t="s">
        <v>8912</v>
      </c>
      <c r="M210" t="s">
        <v>4061</v>
      </c>
      <c r="N210">
        <v>3</v>
      </c>
      <c r="O210" t="s">
        <v>8911</v>
      </c>
      <c r="P210" t="s">
        <v>8910</v>
      </c>
      <c r="Q210" t="s">
        <v>8909</v>
      </c>
      <c r="R210" s="7">
        <v>33239</v>
      </c>
      <c r="S210" s="8">
        <f t="shared" si="24"/>
        <v>1991</v>
      </c>
      <c r="T210" s="8">
        <v>1991</v>
      </c>
      <c r="U210" s="8">
        <f t="shared" si="25"/>
        <v>31</v>
      </c>
      <c r="V210" s="7">
        <v>33512</v>
      </c>
      <c r="W210" t="s">
        <v>8908</v>
      </c>
      <c r="X210" s="2">
        <v>1.9750000000000001</v>
      </c>
      <c r="Y210" s="6">
        <f t="shared" si="30"/>
        <v>5.2721497023571186E-2</v>
      </c>
      <c r="AA210">
        <v>320781</v>
      </c>
      <c r="AB210">
        <v>19019</v>
      </c>
      <c r="AD210" t="s">
        <v>5</v>
      </c>
      <c r="AE210">
        <v>32</v>
      </c>
      <c r="AF210">
        <v>7</v>
      </c>
      <c r="AH210" t="s">
        <v>8907</v>
      </c>
      <c r="AI210" t="s">
        <v>8906</v>
      </c>
      <c r="AJ210" t="s">
        <v>8905</v>
      </c>
      <c r="AK210" t="s">
        <v>8904</v>
      </c>
      <c r="AL210">
        <v>139</v>
      </c>
      <c r="AM210" s="5">
        <f t="shared" si="26"/>
        <v>4.4838709677419351</v>
      </c>
      <c r="AN210" s="4">
        <f t="shared" si="31"/>
        <v>6.7911714770797953E-3</v>
      </c>
      <c r="AO210" s="3"/>
      <c r="AP210">
        <v>0</v>
      </c>
      <c r="AR210" t="s">
        <v>8903</v>
      </c>
      <c r="AT210" s="2">
        <v>4.9269999999999996</v>
      </c>
      <c r="AU210" s="1">
        <f t="shared" si="27"/>
        <v>3.8942399359623772</v>
      </c>
      <c r="AV210" s="1">
        <f t="shared" si="28"/>
        <v>2.9756334250325494</v>
      </c>
      <c r="AW210" s="1">
        <f t="shared" si="29"/>
        <v>2.0570269141027211</v>
      </c>
    </row>
    <row r="211" spans="1:49" x14ac:dyDescent="0.2">
      <c r="A211">
        <v>209</v>
      </c>
      <c r="B211" t="s">
        <v>8902</v>
      </c>
      <c r="C211" t="s">
        <v>8901</v>
      </c>
      <c r="F211" t="s">
        <v>8900</v>
      </c>
      <c r="G211" t="s">
        <v>16</v>
      </c>
      <c r="H211" t="s">
        <v>15</v>
      </c>
      <c r="I211" t="s">
        <v>8899</v>
      </c>
      <c r="J211">
        <v>60008023</v>
      </c>
      <c r="K211" t="s">
        <v>526</v>
      </c>
      <c r="L211" t="s">
        <v>525</v>
      </c>
      <c r="M211" t="s">
        <v>57</v>
      </c>
      <c r="N211">
        <v>2</v>
      </c>
      <c r="O211" t="s">
        <v>8898</v>
      </c>
      <c r="P211" t="s">
        <v>8897</v>
      </c>
      <c r="Q211" t="s">
        <v>522</v>
      </c>
      <c r="R211" s="7">
        <v>33239</v>
      </c>
      <c r="S211" s="8">
        <f t="shared" si="24"/>
        <v>1991</v>
      </c>
      <c r="T211" s="8">
        <v>1991</v>
      </c>
      <c r="U211" s="8">
        <f t="shared" si="25"/>
        <v>31</v>
      </c>
      <c r="V211" s="7">
        <v>1991</v>
      </c>
      <c r="W211" t="s">
        <v>252</v>
      </c>
      <c r="X211" s="2">
        <v>1.641</v>
      </c>
      <c r="Y211" s="6">
        <f t="shared" si="30"/>
        <v>4.3805557780091299E-2</v>
      </c>
      <c r="AA211">
        <v>223654</v>
      </c>
      <c r="AB211">
        <v>30422</v>
      </c>
      <c r="AD211" t="s">
        <v>5</v>
      </c>
      <c r="AE211">
        <v>95</v>
      </c>
      <c r="AF211">
        <v>10</v>
      </c>
      <c r="AH211" t="s">
        <v>8896</v>
      </c>
      <c r="AI211" t="s">
        <v>8895</v>
      </c>
      <c r="AK211" t="s">
        <v>8894</v>
      </c>
      <c r="AL211">
        <v>10</v>
      </c>
      <c r="AM211" s="5">
        <f t="shared" si="26"/>
        <v>0.32258064516129031</v>
      </c>
      <c r="AN211" s="4">
        <f t="shared" si="31"/>
        <v>4.8857348755969754E-4</v>
      </c>
      <c r="AO211" s="3"/>
      <c r="AP211">
        <v>0</v>
      </c>
      <c r="AR211" t="s">
        <v>0</v>
      </c>
      <c r="AT211" s="2" t="s">
        <v>33</v>
      </c>
      <c r="AU211" s="1">
        <f t="shared" si="27"/>
        <v>3.0810462492331818</v>
      </c>
      <c r="AV211" s="1">
        <f t="shared" si="28"/>
        <v>2.21470656338255</v>
      </c>
      <c r="AW211" s="1">
        <f t="shared" si="29"/>
        <v>1.3483668775319178</v>
      </c>
    </row>
    <row r="212" spans="1:49" x14ac:dyDescent="0.2">
      <c r="A212">
        <v>210</v>
      </c>
      <c r="B212" t="s">
        <v>8893</v>
      </c>
      <c r="C212" t="s">
        <v>8892</v>
      </c>
      <c r="F212" t="s">
        <v>8891</v>
      </c>
      <c r="G212" t="s">
        <v>16</v>
      </c>
      <c r="H212" t="s">
        <v>15</v>
      </c>
      <c r="I212" t="s">
        <v>8890</v>
      </c>
      <c r="J212">
        <v>60019118</v>
      </c>
      <c r="K212" t="s">
        <v>8889</v>
      </c>
      <c r="L212" t="s">
        <v>8888</v>
      </c>
      <c r="M212" t="s">
        <v>1468</v>
      </c>
      <c r="N212">
        <v>2</v>
      </c>
      <c r="O212" t="s">
        <v>8887</v>
      </c>
      <c r="P212" t="s">
        <v>8886</v>
      </c>
      <c r="Q212" t="s">
        <v>8885</v>
      </c>
      <c r="R212" s="7">
        <v>33239</v>
      </c>
      <c r="S212" s="8">
        <f t="shared" si="24"/>
        <v>1991</v>
      </c>
      <c r="T212" s="8">
        <v>1991</v>
      </c>
      <c r="U212" s="8">
        <f t="shared" si="25"/>
        <v>31</v>
      </c>
      <c r="V212" s="7">
        <v>33239</v>
      </c>
      <c r="W212" t="s">
        <v>8874</v>
      </c>
      <c r="X212" s="2">
        <v>0.11700000000000001</v>
      </c>
      <c r="Y212" s="6">
        <f t="shared" si="30"/>
        <v>3.1232481781052297E-3</v>
      </c>
      <c r="AA212">
        <v>2179822</v>
      </c>
      <c r="AB212">
        <v>5300152612</v>
      </c>
      <c r="AC212">
        <v>19930615</v>
      </c>
      <c r="AD212" t="s">
        <v>5</v>
      </c>
      <c r="AE212">
        <v>8</v>
      </c>
      <c r="AF212">
        <v>1</v>
      </c>
      <c r="AH212" s="10">
        <v>43374</v>
      </c>
      <c r="AI212" t="s">
        <v>8884</v>
      </c>
      <c r="AJ212" t="s">
        <v>8883</v>
      </c>
      <c r="AK212" t="s">
        <v>8882</v>
      </c>
      <c r="AL212">
        <v>0</v>
      </c>
      <c r="AM212" s="5">
        <f t="shared" si="26"/>
        <v>0</v>
      </c>
      <c r="AN212" s="4">
        <f t="shared" si="31"/>
        <v>0</v>
      </c>
      <c r="AO212" s="3"/>
      <c r="AP212">
        <v>0</v>
      </c>
      <c r="AR212" t="s">
        <v>0</v>
      </c>
      <c r="AT212" s="2" t="s">
        <v>33</v>
      </c>
      <c r="AU212" s="1">
        <f t="shared" si="27"/>
        <v>0.21862737246736608</v>
      </c>
      <c r="AV212" s="1">
        <f t="shared" si="28"/>
        <v>0.15616240890526148</v>
      </c>
      <c r="AW212" s="1">
        <f t="shared" si="29"/>
        <v>9.3697445343156896E-2</v>
      </c>
    </row>
    <row r="213" spans="1:49" x14ac:dyDescent="0.2">
      <c r="A213">
        <v>211</v>
      </c>
      <c r="B213" t="s">
        <v>8881</v>
      </c>
      <c r="C213" t="s">
        <v>8880</v>
      </c>
      <c r="F213" t="s">
        <v>8879</v>
      </c>
      <c r="G213" t="s">
        <v>16</v>
      </c>
      <c r="H213" t="s">
        <v>15</v>
      </c>
      <c r="I213" t="s">
        <v>8878</v>
      </c>
      <c r="J213">
        <v>60005465</v>
      </c>
      <c r="K213" t="s">
        <v>1642</v>
      </c>
      <c r="L213" t="s">
        <v>1641</v>
      </c>
      <c r="M213" t="s">
        <v>1468</v>
      </c>
      <c r="N213">
        <v>2</v>
      </c>
      <c r="O213" t="s">
        <v>8877</v>
      </c>
      <c r="P213" t="s">
        <v>8876</v>
      </c>
      <c r="Q213" t="s">
        <v>8875</v>
      </c>
      <c r="R213" s="7">
        <v>33239</v>
      </c>
      <c r="S213" s="8">
        <f t="shared" si="24"/>
        <v>1991</v>
      </c>
      <c r="T213" s="8">
        <v>1991</v>
      </c>
      <c r="U213" s="8">
        <f t="shared" si="25"/>
        <v>31</v>
      </c>
      <c r="V213" s="7">
        <v>33239</v>
      </c>
      <c r="W213" t="s">
        <v>8874</v>
      </c>
      <c r="X213" s="2">
        <v>0.11700000000000001</v>
      </c>
      <c r="Y213" s="6">
        <f t="shared" si="30"/>
        <v>3.1232481781052297E-3</v>
      </c>
      <c r="AA213">
        <v>2179822</v>
      </c>
      <c r="AB213">
        <v>5300152612</v>
      </c>
      <c r="AC213">
        <v>19930615</v>
      </c>
      <c r="AD213" t="s">
        <v>5</v>
      </c>
      <c r="AE213">
        <v>8</v>
      </c>
      <c r="AF213">
        <v>1</v>
      </c>
      <c r="AH213" t="s">
        <v>8873</v>
      </c>
      <c r="AI213" t="s">
        <v>8872</v>
      </c>
      <c r="AJ213" t="s">
        <v>8871</v>
      </c>
      <c r="AK213" t="s">
        <v>8870</v>
      </c>
      <c r="AL213">
        <v>0</v>
      </c>
      <c r="AM213" s="5">
        <f t="shared" si="26"/>
        <v>0</v>
      </c>
      <c r="AN213" s="4">
        <f t="shared" si="31"/>
        <v>0</v>
      </c>
      <c r="AO213" s="3"/>
      <c r="AP213">
        <v>0</v>
      </c>
      <c r="AR213" t="s">
        <v>0</v>
      </c>
      <c r="AT213" s="2" t="s">
        <v>33</v>
      </c>
      <c r="AU213" s="1">
        <f t="shared" si="27"/>
        <v>0.21862737246736608</v>
      </c>
      <c r="AV213" s="1">
        <f t="shared" si="28"/>
        <v>0.15616240890526148</v>
      </c>
      <c r="AW213" s="1">
        <f t="shared" si="29"/>
        <v>9.3697445343156896E-2</v>
      </c>
    </row>
    <row r="214" spans="1:49" x14ac:dyDescent="0.2">
      <c r="A214">
        <v>212</v>
      </c>
      <c r="B214" t="s">
        <v>8869</v>
      </c>
      <c r="C214" t="s">
        <v>8868</v>
      </c>
      <c r="D214" t="s">
        <v>8867</v>
      </c>
      <c r="F214" t="s">
        <v>8866</v>
      </c>
      <c r="G214" t="s">
        <v>16</v>
      </c>
      <c r="H214" t="s">
        <v>15</v>
      </c>
      <c r="I214" t="s">
        <v>8865</v>
      </c>
      <c r="J214">
        <v>60026851</v>
      </c>
      <c r="K214" t="s">
        <v>8864</v>
      </c>
      <c r="L214" t="s">
        <v>8863</v>
      </c>
      <c r="M214" t="s">
        <v>117</v>
      </c>
      <c r="N214">
        <v>1</v>
      </c>
      <c r="O214" t="s">
        <v>8862</v>
      </c>
      <c r="P214">
        <v>55473093600</v>
      </c>
      <c r="Q214">
        <v>60026851</v>
      </c>
      <c r="R214" s="7">
        <v>33239</v>
      </c>
      <c r="S214" s="8">
        <f t="shared" si="24"/>
        <v>1991</v>
      </c>
      <c r="T214" s="8">
        <v>1991</v>
      </c>
      <c r="U214" s="8">
        <f t="shared" si="25"/>
        <v>31</v>
      </c>
      <c r="V214" s="7">
        <v>1991</v>
      </c>
      <c r="W214" t="s">
        <v>83</v>
      </c>
      <c r="X214" s="2">
        <v>0.89900000000000002</v>
      </c>
      <c r="Y214" s="6">
        <f t="shared" si="30"/>
        <v>2.399829155655215E-2</v>
      </c>
      <c r="AA214">
        <v>221910</v>
      </c>
      <c r="AB214">
        <v>20487</v>
      </c>
      <c r="AD214" t="s">
        <v>5</v>
      </c>
      <c r="AE214">
        <v>37</v>
      </c>
      <c r="AF214">
        <v>2</v>
      </c>
      <c r="AH214" t="s">
        <v>8861</v>
      </c>
      <c r="AI214" t="s">
        <v>8860</v>
      </c>
      <c r="AJ214" t="s">
        <v>8859</v>
      </c>
      <c r="AK214" t="s">
        <v>8858</v>
      </c>
      <c r="AL214">
        <v>10</v>
      </c>
      <c r="AM214" s="5">
        <f t="shared" si="26"/>
        <v>0.32258064516129031</v>
      </c>
      <c r="AN214" s="4">
        <f t="shared" si="31"/>
        <v>4.8857348755969754E-4</v>
      </c>
      <c r="AO214" s="3"/>
      <c r="AP214">
        <v>0</v>
      </c>
      <c r="AR214" t="s">
        <v>0</v>
      </c>
      <c r="AT214" s="2">
        <v>2.3540000000000001</v>
      </c>
      <c r="AU214" s="1">
        <f t="shared" si="27"/>
        <v>1.6945376135854413</v>
      </c>
      <c r="AV214" s="1">
        <f t="shared" si="28"/>
        <v>1.2243432522055924</v>
      </c>
      <c r="AW214" s="1">
        <f t="shared" si="29"/>
        <v>0.75414889082574321</v>
      </c>
    </row>
    <row r="215" spans="1:49" x14ac:dyDescent="0.2">
      <c r="A215">
        <v>213</v>
      </c>
      <c r="B215" t="s">
        <v>8857</v>
      </c>
      <c r="C215" t="s">
        <v>8856</v>
      </c>
      <c r="D215" t="s">
        <v>8855</v>
      </c>
      <c r="F215" t="s">
        <v>8854</v>
      </c>
      <c r="G215" t="s">
        <v>16</v>
      </c>
      <c r="H215" t="s">
        <v>15</v>
      </c>
      <c r="I215" t="s">
        <v>8853</v>
      </c>
      <c r="J215" t="s">
        <v>8852</v>
      </c>
      <c r="K215" t="s">
        <v>8851</v>
      </c>
      <c r="L215" t="s">
        <v>8501</v>
      </c>
      <c r="M215" t="s">
        <v>133</v>
      </c>
      <c r="N215">
        <v>2</v>
      </c>
      <c r="O215" t="s">
        <v>8850</v>
      </c>
      <c r="P215" t="s">
        <v>8849</v>
      </c>
      <c r="Q215" t="s">
        <v>8848</v>
      </c>
      <c r="R215" s="7">
        <v>33239</v>
      </c>
      <c r="S215" s="8">
        <f t="shared" si="24"/>
        <v>1991</v>
      </c>
      <c r="T215" s="8">
        <v>1991</v>
      </c>
      <c r="U215" s="8">
        <f t="shared" si="25"/>
        <v>31</v>
      </c>
      <c r="V215" s="7">
        <v>1991</v>
      </c>
      <c r="W215" t="s">
        <v>424</v>
      </c>
      <c r="X215" s="2">
        <v>0.68200000000000005</v>
      </c>
      <c r="Y215" s="6">
        <f t="shared" si="30"/>
        <v>1.8205600491177493E-2</v>
      </c>
      <c r="AA215">
        <v>2731177</v>
      </c>
      <c r="AB215">
        <v>12375</v>
      </c>
      <c r="AD215" t="s">
        <v>5</v>
      </c>
      <c r="AE215">
        <v>11</v>
      </c>
      <c r="AF215">
        <v>2</v>
      </c>
      <c r="AH215" t="s">
        <v>8847</v>
      </c>
      <c r="AI215" t="s">
        <v>8846</v>
      </c>
      <c r="AK215" t="s">
        <v>8845</v>
      </c>
      <c r="AL215">
        <v>0</v>
      </c>
      <c r="AM215" s="5">
        <f t="shared" si="26"/>
        <v>0</v>
      </c>
      <c r="AN215" s="4">
        <f t="shared" si="31"/>
        <v>0</v>
      </c>
      <c r="AO215" s="3"/>
      <c r="AP215">
        <v>0</v>
      </c>
      <c r="AR215" t="s">
        <v>0</v>
      </c>
      <c r="AT215" s="2">
        <v>2.1520000000000001</v>
      </c>
      <c r="AU215" s="1">
        <f t="shared" si="27"/>
        <v>1.2743920343824244</v>
      </c>
      <c r="AV215" s="1">
        <f t="shared" si="28"/>
        <v>0.91028002455887469</v>
      </c>
      <c r="AW215" s="1">
        <f t="shared" si="29"/>
        <v>0.54616801473532472</v>
      </c>
    </row>
    <row r="216" spans="1:49" x14ac:dyDescent="0.2">
      <c r="A216">
        <v>214</v>
      </c>
      <c r="B216" t="s">
        <v>8844</v>
      </c>
      <c r="C216" t="s">
        <v>8843</v>
      </c>
      <c r="D216">
        <v>21916991900242</v>
      </c>
      <c r="F216" t="s">
        <v>8842</v>
      </c>
      <c r="G216" t="s">
        <v>16</v>
      </c>
      <c r="H216" t="s">
        <v>15</v>
      </c>
      <c r="I216" t="s">
        <v>8841</v>
      </c>
      <c r="J216">
        <v>60030514</v>
      </c>
      <c r="K216" t="s">
        <v>8840</v>
      </c>
      <c r="L216" t="s">
        <v>8839</v>
      </c>
      <c r="M216" t="s">
        <v>117</v>
      </c>
      <c r="N216">
        <v>2</v>
      </c>
      <c r="O216" t="s">
        <v>8838</v>
      </c>
      <c r="P216" t="s">
        <v>8837</v>
      </c>
      <c r="Q216" t="s">
        <v>8836</v>
      </c>
      <c r="R216" s="7">
        <v>33239</v>
      </c>
      <c r="S216" s="8">
        <f t="shared" si="24"/>
        <v>1991</v>
      </c>
      <c r="T216" s="8">
        <v>1991</v>
      </c>
      <c r="U216" s="8">
        <f t="shared" si="25"/>
        <v>31</v>
      </c>
      <c r="V216" s="7" t="s">
        <v>885</v>
      </c>
      <c r="W216" t="s">
        <v>282</v>
      </c>
      <c r="X216" s="2">
        <v>0.51500000000000001</v>
      </c>
      <c r="Y216" s="6">
        <f t="shared" si="30"/>
        <v>1.374763086943755E-2</v>
      </c>
      <c r="AA216">
        <v>219169</v>
      </c>
      <c r="AB216">
        <v>30966</v>
      </c>
      <c r="AD216" t="s">
        <v>5</v>
      </c>
      <c r="AE216">
        <v>53</v>
      </c>
      <c r="AF216" s="9">
        <v>44228</v>
      </c>
      <c r="AH216" t="s">
        <v>8835</v>
      </c>
      <c r="AI216" t="s">
        <v>8834</v>
      </c>
      <c r="AK216" t="s">
        <v>8833</v>
      </c>
      <c r="AL216">
        <v>2</v>
      </c>
      <c r="AM216" s="5">
        <f t="shared" si="26"/>
        <v>6.4516129032258063E-2</v>
      </c>
      <c r="AN216" s="4">
        <f t="shared" si="31"/>
        <v>9.7714697511939517E-5</v>
      </c>
      <c r="AO216" s="3"/>
      <c r="AP216">
        <v>0</v>
      </c>
      <c r="AR216" t="s">
        <v>0</v>
      </c>
      <c r="AT216" s="2" t="s">
        <v>33</v>
      </c>
      <c r="AU216" s="1">
        <f t="shared" si="27"/>
        <v>0.96526560178598653</v>
      </c>
      <c r="AV216" s="1">
        <f t="shared" si="28"/>
        <v>0.69226727834747448</v>
      </c>
      <c r="AW216" s="1">
        <f t="shared" si="29"/>
        <v>0.41926895490896232</v>
      </c>
    </row>
    <row r="217" spans="1:49" x14ac:dyDescent="0.2">
      <c r="A217">
        <v>215</v>
      </c>
      <c r="B217" t="s">
        <v>8832</v>
      </c>
      <c r="C217" t="s">
        <v>8831</v>
      </c>
      <c r="D217" t="s">
        <v>8830</v>
      </c>
      <c r="F217" t="s">
        <v>8829</v>
      </c>
      <c r="G217" t="s">
        <v>16</v>
      </c>
      <c r="H217" t="s">
        <v>15</v>
      </c>
      <c r="I217" t="s">
        <v>8828</v>
      </c>
      <c r="J217">
        <v>60009037</v>
      </c>
      <c r="K217" t="s">
        <v>375</v>
      </c>
      <c r="L217" t="s">
        <v>374</v>
      </c>
      <c r="M217" t="s">
        <v>57</v>
      </c>
      <c r="N217">
        <v>3</v>
      </c>
      <c r="O217" t="s">
        <v>8827</v>
      </c>
      <c r="P217" t="s">
        <v>8826</v>
      </c>
      <c r="Q217" t="s">
        <v>5123</v>
      </c>
      <c r="R217" s="7">
        <v>33239</v>
      </c>
      <c r="S217" s="8">
        <f t="shared" si="24"/>
        <v>1991</v>
      </c>
      <c r="T217" s="8">
        <v>1991</v>
      </c>
      <c r="U217" s="8">
        <f t="shared" si="25"/>
        <v>31</v>
      </c>
      <c r="V217" s="7">
        <v>33239</v>
      </c>
      <c r="W217" t="s">
        <v>8801</v>
      </c>
      <c r="X217" s="2">
        <v>1.1339999999999999</v>
      </c>
      <c r="Y217" s="6">
        <f t="shared" si="30"/>
        <v>3.0271482341635299E-2</v>
      </c>
      <c r="AA217">
        <v>945765</v>
      </c>
      <c r="AB217">
        <v>12372</v>
      </c>
      <c r="AD217" t="s">
        <v>5</v>
      </c>
      <c r="AE217">
        <v>25</v>
      </c>
      <c r="AF217">
        <v>1</v>
      </c>
      <c r="AH217" t="s">
        <v>8825</v>
      </c>
      <c r="AI217" t="s">
        <v>8824</v>
      </c>
      <c r="AK217" t="s">
        <v>8823</v>
      </c>
      <c r="AL217">
        <v>2</v>
      </c>
      <c r="AM217" s="5">
        <f t="shared" si="26"/>
        <v>6.4516129032258063E-2</v>
      </c>
      <c r="AN217" s="4">
        <f t="shared" si="31"/>
        <v>9.7714697511939517E-5</v>
      </c>
      <c r="AO217" s="3"/>
      <c r="AP217">
        <v>0</v>
      </c>
      <c r="AQ217" t="s">
        <v>2474</v>
      </c>
      <c r="AR217" t="s">
        <v>0</v>
      </c>
      <c r="AS217" t="s">
        <v>2473</v>
      </c>
      <c r="AT217" s="2">
        <v>2.4129999999999998</v>
      </c>
      <c r="AU217" s="1">
        <f t="shared" si="27"/>
        <v>2.1219352048398288</v>
      </c>
      <c r="AV217" s="1">
        <f t="shared" si="28"/>
        <v>1.518459851957362</v>
      </c>
      <c r="AW217" s="1">
        <f t="shared" si="29"/>
        <v>0.91498449907489476</v>
      </c>
    </row>
    <row r="218" spans="1:49" x14ac:dyDescent="0.2">
      <c r="A218">
        <v>216</v>
      </c>
      <c r="B218" t="s">
        <v>8822</v>
      </c>
      <c r="C218" t="s">
        <v>8821</v>
      </c>
      <c r="D218" t="s">
        <v>8820</v>
      </c>
      <c r="F218" t="s">
        <v>7878</v>
      </c>
      <c r="G218" t="s">
        <v>16</v>
      </c>
      <c r="H218" t="s">
        <v>15</v>
      </c>
      <c r="I218" t="s">
        <v>7877</v>
      </c>
      <c r="J218" t="s">
        <v>8819</v>
      </c>
      <c r="K218" t="s">
        <v>8818</v>
      </c>
      <c r="L218" t="s">
        <v>8817</v>
      </c>
      <c r="M218" t="s">
        <v>133</v>
      </c>
      <c r="N218">
        <v>2</v>
      </c>
      <c r="O218" t="s">
        <v>8816</v>
      </c>
      <c r="P218" t="s">
        <v>7873</v>
      </c>
      <c r="Q218" t="s">
        <v>8815</v>
      </c>
      <c r="R218" s="7">
        <v>33239</v>
      </c>
      <c r="S218" s="8">
        <f t="shared" si="24"/>
        <v>1991</v>
      </c>
      <c r="T218" s="8">
        <v>1991</v>
      </c>
      <c r="U218" s="8">
        <f t="shared" si="25"/>
        <v>31</v>
      </c>
      <c r="V218" s="7">
        <v>33420</v>
      </c>
      <c r="W218" t="s">
        <v>8814</v>
      </c>
      <c r="X218" s="2">
        <v>1.706</v>
      </c>
      <c r="Y218" s="6">
        <f t="shared" si="30"/>
        <v>4.554069565681642E-2</v>
      </c>
      <c r="AA218">
        <v>9218181</v>
      </c>
      <c r="AB218">
        <v>27049</v>
      </c>
      <c r="AD218" t="s">
        <v>5</v>
      </c>
      <c r="AE218">
        <v>4</v>
      </c>
      <c r="AF218" s="9">
        <v>44256</v>
      </c>
      <c r="AH218" t="s">
        <v>7870</v>
      </c>
      <c r="AI218" t="s">
        <v>8813</v>
      </c>
      <c r="AK218" t="s">
        <v>8812</v>
      </c>
      <c r="AL218">
        <v>0</v>
      </c>
      <c r="AM218" s="5">
        <f t="shared" si="26"/>
        <v>0</v>
      </c>
      <c r="AN218" s="4">
        <f t="shared" si="31"/>
        <v>0</v>
      </c>
      <c r="AO218" s="3"/>
      <c r="AP218">
        <v>0</v>
      </c>
      <c r="AR218" t="s">
        <v>8811</v>
      </c>
      <c r="AT218" s="2">
        <v>5.1139999999999999</v>
      </c>
      <c r="AU218" s="1">
        <f t="shared" si="27"/>
        <v>3.187848695977149</v>
      </c>
      <c r="AV218" s="1">
        <f t="shared" si="28"/>
        <v>2.2770347828408211</v>
      </c>
      <c r="AW218" s="1">
        <f t="shared" si="29"/>
        <v>1.3662208697044926</v>
      </c>
    </row>
    <row r="219" spans="1:49" x14ac:dyDescent="0.2">
      <c r="A219">
        <v>217</v>
      </c>
      <c r="B219" t="s">
        <v>8810</v>
      </c>
      <c r="C219" t="s">
        <v>8809</v>
      </c>
      <c r="D219" t="s">
        <v>8808</v>
      </c>
      <c r="F219" t="s">
        <v>8807</v>
      </c>
      <c r="G219" t="s">
        <v>16</v>
      </c>
      <c r="H219" t="s">
        <v>15</v>
      </c>
      <c r="I219" t="s">
        <v>8806</v>
      </c>
      <c r="J219">
        <v>60017694</v>
      </c>
      <c r="K219" t="s">
        <v>8805</v>
      </c>
      <c r="L219" t="s">
        <v>1101</v>
      </c>
      <c r="M219" t="s">
        <v>213</v>
      </c>
      <c r="N219">
        <v>3</v>
      </c>
      <c r="O219" t="s">
        <v>8804</v>
      </c>
      <c r="P219" t="s">
        <v>8803</v>
      </c>
      <c r="Q219" t="s">
        <v>8802</v>
      </c>
      <c r="R219" s="7">
        <v>33239</v>
      </c>
      <c r="S219" s="8">
        <f t="shared" si="24"/>
        <v>1991</v>
      </c>
      <c r="T219" s="8">
        <v>1991</v>
      </c>
      <c r="U219" s="8">
        <f t="shared" si="25"/>
        <v>31</v>
      </c>
      <c r="V219" s="7">
        <v>33239</v>
      </c>
      <c r="W219" t="s">
        <v>8801</v>
      </c>
      <c r="X219" s="2">
        <v>1.1339999999999999</v>
      </c>
      <c r="Y219" s="6">
        <f t="shared" si="30"/>
        <v>3.0271482341635299E-2</v>
      </c>
      <c r="AA219">
        <v>945765</v>
      </c>
      <c r="AB219">
        <v>12372</v>
      </c>
      <c r="AD219" t="s">
        <v>5</v>
      </c>
      <c r="AE219">
        <v>25</v>
      </c>
      <c r="AF219">
        <v>1</v>
      </c>
      <c r="AH219" t="s">
        <v>8800</v>
      </c>
      <c r="AI219" t="s">
        <v>8799</v>
      </c>
      <c r="AK219" t="s">
        <v>8798</v>
      </c>
      <c r="AL219">
        <v>0</v>
      </c>
      <c r="AM219" s="5">
        <f t="shared" si="26"/>
        <v>0</v>
      </c>
      <c r="AN219" s="4">
        <f t="shared" si="31"/>
        <v>0</v>
      </c>
      <c r="AO219" s="3"/>
      <c r="AP219">
        <v>0</v>
      </c>
      <c r="AR219" t="s">
        <v>0</v>
      </c>
      <c r="AT219" s="2">
        <v>2.4129999999999998</v>
      </c>
      <c r="AU219" s="1">
        <f t="shared" si="27"/>
        <v>2.119003763914471</v>
      </c>
      <c r="AV219" s="1">
        <f t="shared" si="28"/>
        <v>1.5135741170817649</v>
      </c>
      <c r="AW219" s="1">
        <f t="shared" si="29"/>
        <v>0.90814447024905898</v>
      </c>
    </row>
    <row r="220" spans="1:49" x14ac:dyDescent="0.2">
      <c r="A220">
        <v>218</v>
      </c>
      <c r="B220" t="s">
        <v>8797</v>
      </c>
      <c r="C220" t="s">
        <v>8796</v>
      </c>
      <c r="D220" t="s">
        <v>8795</v>
      </c>
      <c r="F220" t="s">
        <v>8794</v>
      </c>
      <c r="G220" t="s">
        <v>16</v>
      </c>
      <c r="H220" t="s">
        <v>15</v>
      </c>
      <c r="I220" t="s">
        <v>8793</v>
      </c>
      <c r="J220">
        <v>60003500</v>
      </c>
      <c r="K220" t="s">
        <v>1115</v>
      </c>
      <c r="L220" t="s">
        <v>1114</v>
      </c>
      <c r="M220" t="s">
        <v>57</v>
      </c>
      <c r="N220">
        <v>4</v>
      </c>
      <c r="O220" t="s">
        <v>8792</v>
      </c>
      <c r="P220" t="s">
        <v>8791</v>
      </c>
      <c r="Q220" t="s">
        <v>6111</v>
      </c>
      <c r="R220" s="7">
        <v>33239</v>
      </c>
      <c r="S220" s="8">
        <f t="shared" si="24"/>
        <v>1991</v>
      </c>
      <c r="T220" s="8">
        <v>1991</v>
      </c>
      <c r="U220" s="8">
        <f t="shared" si="25"/>
        <v>31</v>
      </c>
      <c r="V220" s="7">
        <v>33298</v>
      </c>
      <c r="W220" t="s">
        <v>8634</v>
      </c>
      <c r="X220" s="2">
        <v>0.81599999999999995</v>
      </c>
      <c r="Y220" s="6">
        <f t="shared" si="30"/>
        <v>2.1782653960118522E-2</v>
      </c>
      <c r="AA220" t="s">
        <v>8633</v>
      </c>
      <c r="AB220">
        <v>18903</v>
      </c>
      <c r="AD220" t="s">
        <v>5</v>
      </c>
      <c r="AE220">
        <v>35</v>
      </c>
      <c r="AF220">
        <v>3</v>
      </c>
      <c r="AH220" t="s">
        <v>8790</v>
      </c>
      <c r="AI220" t="s">
        <v>8789</v>
      </c>
      <c r="AJ220" t="s">
        <v>8788</v>
      </c>
      <c r="AK220" t="s">
        <v>8787</v>
      </c>
      <c r="AL220">
        <v>2</v>
      </c>
      <c r="AM220" s="5">
        <f t="shared" si="26"/>
        <v>6.4516129032258063E-2</v>
      </c>
      <c r="AN220" s="4">
        <f t="shared" si="31"/>
        <v>9.7714697511939517E-5</v>
      </c>
      <c r="AO220" s="3"/>
      <c r="AP220">
        <v>0</v>
      </c>
      <c r="AQ220" t="s">
        <v>8786</v>
      </c>
      <c r="AR220" t="s">
        <v>0</v>
      </c>
      <c r="AS220" t="s">
        <v>8785</v>
      </c>
      <c r="AT220" s="2">
        <v>2.74</v>
      </c>
      <c r="AU220" s="1">
        <f t="shared" si="27"/>
        <v>1.5277172181336545</v>
      </c>
      <c r="AV220" s="1">
        <f t="shared" si="28"/>
        <v>1.094018432881523</v>
      </c>
      <c r="AW220" s="1">
        <f t="shared" si="29"/>
        <v>0.66031964762939144</v>
      </c>
    </row>
    <row r="221" spans="1:49" x14ac:dyDescent="0.2">
      <c r="A221">
        <v>219</v>
      </c>
      <c r="B221" t="s">
        <v>8784</v>
      </c>
      <c r="C221" t="s">
        <v>8783</v>
      </c>
      <c r="F221" t="s">
        <v>8782</v>
      </c>
      <c r="G221" t="s">
        <v>16</v>
      </c>
      <c r="H221" t="s">
        <v>15</v>
      </c>
      <c r="I221" t="s">
        <v>8781</v>
      </c>
      <c r="J221">
        <v>60020595</v>
      </c>
      <c r="K221" t="s">
        <v>8780</v>
      </c>
      <c r="L221" t="s">
        <v>8779</v>
      </c>
      <c r="M221" t="s">
        <v>117</v>
      </c>
      <c r="N221">
        <v>1</v>
      </c>
      <c r="O221" t="s">
        <v>8778</v>
      </c>
      <c r="P221">
        <v>6603047237</v>
      </c>
      <c r="Q221">
        <v>60020595</v>
      </c>
      <c r="R221" s="7">
        <v>33239</v>
      </c>
      <c r="S221" s="8">
        <f t="shared" si="24"/>
        <v>1991</v>
      </c>
      <c r="T221" s="8">
        <v>1991</v>
      </c>
      <c r="U221" s="8">
        <f t="shared" si="25"/>
        <v>31</v>
      </c>
      <c r="V221" s="7">
        <v>33573</v>
      </c>
      <c r="W221" t="s">
        <v>497</v>
      </c>
      <c r="X221" s="2">
        <v>0.69299999999999995</v>
      </c>
      <c r="Y221" s="6">
        <f t="shared" si="30"/>
        <v>1.8499239208777128E-2</v>
      </c>
      <c r="AA221">
        <v>3076962</v>
      </c>
      <c r="AB221">
        <v>21084</v>
      </c>
      <c r="AC221">
        <v>13653032</v>
      </c>
      <c r="AD221" t="s">
        <v>5</v>
      </c>
      <c r="AE221">
        <v>16</v>
      </c>
      <c r="AF221">
        <v>4</v>
      </c>
      <c r="AH221" t="s">
        <v>8777</v>
      </c>
      <c r="AI221" t="s">
        <v>8776</v>
      </c>
      <c r="AJ221" t="s">
        <v>8775</v>
      </c>
      <c r="AK221" t="s">
        <v>8774</v>
      </c>
      <c r="AL221">
        <v>1</v>
      </c>
      <c r="AM221" s="5">
        <f t="shared" si="26"/>
        <v>3.2258064516129031E-2</v>
      </c>
      <c r="AN221" s="4">
        <f t="shared" si="31"/>
        <v>4.8857348755969758E-5</v>
      </c>
      <c r="AO221" s="3"/>
      <c r="AP221">
        <v>0</v>
      </c>
      <c r="AR221" t="s">
        <v>0</v>
      </c>
      <c r="AT221" s="2">
        <v>1.833</v>
      </c>
      <c r="AU221" s="1">
        <f t="shared" si="27"/>
        <v>1.2964124650770781</v>
      </c>
      <c r="AV221" s="1">
        <f t="shared" si="28"/>
        <v>0.92740482787665501</v>
      </c>
      <c r="AW221" s="1">
        <f t="shared" si="29"/>
        <v>0.55839719067623172</v>
      </c>
    </row>
    <row r="222" spans="1:49" x14ac:dyDescent="0.2">
      <c r="A222">
        <v>220</v>
      </c>
      <c r="B222" t="s">
        <v>8773</v>
      </c>
      <c r="C222" t="s">
        <v>8772</v>
      </c>
      <c r="F222" t="s">
        <v>8771</v>
      </c>
      <c r="G222" t="s">
        <v>16</v>
      </c>
      <c r="H222" t="s">
        <v>15</v>
      </c>
      <c r="I222" t="s">
        <v>8770</v>
      </c>
      <c r="J222" t="s">
        <v>8769</v>
      </c>
      <c r="K222" t="s">
        <v>8768</v>
      </c>
      <c r="L222" t="s">
        <v>8767</v>
      </c>
      <c r="M222" t="s">
        <v>8766</v>
      </c>
      <c r="N222">
        <v>12</v>
      </c>
      <c r="O222" t="s">
        <v>8765</v>
      </c>
      <c r="P222" t="s">
        <v>8764</v>
      </c>
      <c r="Q222" t="s">
        <v>8763</v>
      </c>
      <c r="R222" s="7">
        <v>33239</v>
      </c>
      <c r="S222" s="8">
        <f t="shared" si="24"/>
        <v>1991</v>
      </c>
      <c r="T222" s="8">
        <v>1991</v>
      </c>
      <c r="U222" s="8">
        <f t="shared" si="25"/>
        <v>31</v>
      </c>
      <c r="V222" s="7">
        <v>1991</v>
      </c>
      <c r="W222" t="s">
        <v>8581</v>
      </c>
      <c r="X222" s="2">
        <v>1.1879999999999999</v>
      </c>
      <c r="Y222" s="6">
        <f t="shared" si="30"/>
        <v>3.1712981500760788E-2</v>
      </c>
      <c r="AA222">
        <v>8998221</v>
      </c>
      <c r="AB222">
        <v>8900153323</v>
      </c>
      <c r="AD222" t="s">
        <v>5</v>
      </c>
      <c r="AE222">
        <v>3</v>
      </c>
      <c r="AF222">
        <v>8</v>
      </c>
      <c r="AH222" t="s">
        <v>8762</v>
      </c>
      <c r="AI222" t="s">
        <v>8761</v>
      </c>
      <c r="AK222" t="s">
        <v>8760</v>
      </c>
      <c r="AL222">
        <v>4</v>
      </c>
      <c r="AM222" s="5">
        <f t="shared" si="26"/>
        <v>0.12903225806451613</v>
      </c>
      <c r="AN222" s="4">
        <f t="shared" si="31"/>
        <v>1.9542939502387903E-4</v>
      </c>
      <c r="AO222" s="3"/>
      <c r="AP222">
        <v>0</v>
      </c>
      <c r="AR222" t="s">
        <v>0</v>
      </c>
      <c r="AT222" s="2" t="s">
        <v>33</v>
      </c>
      <c r="AU222" s="1">
        <f t="shared" si="27"/>
        <v>2.2257715869039711</v>
      </c>
      <c r="AV222" s="1">
        <f t="shared" si="28"/>
        <v>1.5954205447892333</v>
      </c>
      <c r="AW222" s="1">
        <f t="shared" si="29"/>
        <v>0.96506950267449521</v>
      </c>
    </row>
    <row r="223" spans="1:49" x14ac:dyDescent="0.2">
      <c r="A223">
        <v>221</v>
      </c>
      <c r="B223" t="s">
        <v>8759</v>
      </c>
      <c r="C223" t="s">
        <v>8758</v>
      </c>
      <c r="F223" t="s">
        <v>8757</v>
      </c>
      <c r="G223" t="s">
        <v>16</v>
      </c>
      <c r="H223" t="s">
        <v>15</v>
      </c>
      <c r="I223" t="s">
        <v>8756</v>
      </c>
      <c r="J223" t="s">
        <v>8755</v>
      </c>
      <c r="K223" t="s">
        <v>8754</v>
      </c>
      <c r="L223" t="s">
        <v>8753</v>
      </c>
      <c r="M223" t="s">
        <v>8752</v>
      </c>
      <c r="N223">
        <v>5</v>
      </c>
      <c r="O223" t="s">
        <v>8751</v>
      </c>
      <c r="P223" t="s">
        <v>8750</v>
      </c>
      <c r="Q223" t="s">
        <v>8749</v>
      </c>
      <c r="R223" s="7">
        <v>33239</v>
      </c>
      <c r="S223" s="8">
        <f t="shared" si="24"/>
        <v>1991</v>
      </c>
      <c r="T223" s="8">
        <v>1991</v>
      </c>
      <c r="U223" s="8">
        <f t="shared" si="25"/>
        <v>31</v>
      </c>
      <c r="V223" s="7">
        <v>1991</v>
      </c>
      <c r="W223" t="s">
        <v>8581</v>
      </c>
      <c r="X223" s="2">
        <v>1.1879999999999999</v>
      </c>
      <c r="Y223" s="6">
        <f t="shared" si="30"/>
        <v>3.1712981500760788E-2</v>
      </c>
      <c r="AA223">
        <v>8998221</v>
      </c>
      <c r="AB223">
        <v>8900153323</v>
      </c>
      <c r="AD223" t="s">
        <v>5</v>
      </c>
      <c r="AE223">
        <v>3</v>
      </c>
      <c r="AF223">
        <v>7</v>
      </c>
      <c r="AH223" t="s">
        <v>8748</v>
      </c>
      <c r="AI223" t="s">
        <v>8747</v>
      </c>
      <c r="AK223" t="s">
        <v>8746</v>
      </c>
      <c r="AL223">
        <v>4</v>
      </c>
      <c r="AM223" s="5">
        <f t="shared" si="26"/>
        <v>0.12903225806451613</v>
      </c>
      <c r="AN223" s="4">
        <f t="shared" si="31"/>
        <v>1.9542939502387903E-4</v>
      </c>
      <c r="AO223" s="3"/>
      <c r="AP223">
        <v>0</v>
      </c>
      <c r="AR223" t="s">
        <v>0</v>
      </c>
      <c r="AT223" s="2" t="s">
        <v>33</v>
      </c>
      <c r="AU223" s="1">
        <f t="shared" si="27"/>
        <v>2.2257715869039711</v>
      </c>
      <c r="AV223" s="1">
        <f t="shared" si="28"/>
        <v>1.5954205447892333</v>
      </c>
      <c r="AW223" s="1">
        <f t="shared" si="29"/>
        <v>0.96506950267449521</v>
      </c>
    </row>
    <row r="224" spans="1:49" x14ac:dyDescent="0.2">
      <c r="A224">
        <v>222</v>
      </c>
      <c r="B224" t="s">
        <v>8745</v>
      </c>
      <c r="C224" t="s">
        <v>8744</v>
      </c>
      <c r="F224" t="s">
        <v>8743</v>
      </c>
      <c r="G224" t="s">
        <v>16</v>
      </c>
      <c r="H224" t="s">
        <v>15</v>
      </c>
      <c r="I224" t="s">
        <v>8742</v>
      </c>
      <c r="J224" t="s">
        <v>8741</v>
      </c>
      <c r="K224" t="s">
        <v>8740</v>
      </c>
      <c r="L224" t="s">
        <v>8739</v>
      </c>
      <c r="M224" t="s">
        <v>8738</v>
      </c>
      <c r="N224">
        <v>5</v>
      </c>
      <c r="O224" t="s">
        <v>8737</v>
      </c>
      <c r="P224" t="s">
        <v>8736</v>
      </c>
      <c r="Q224" t="s">
        <v>8735</v>
      </c>
      <c r="R224" s="7">
        <v>33239</v>
      </c>
      <c r="S224" s="8">
        <f t="shared" si="24"/>
        <v>1991</v>
      </c>
      <c r="T224" s="8">
        <v>1991</v>
      </c>
      <c r="U224" s="8">
        <f t="shared" si="25"/>
        <v>31</v>
      </c>
      <c r="V224" s="7">
        <v>33359</v>
      </c>
      <c r="W224" t="s">
        <v>8734</v>
      </c>
      <c r="X224" s="2">
        <v>1.2529999999999999</v>
      </c>
      <c r="Y224" s="6">
        <f t="shared" si="30"/>
        <v>3.3448119377485916E-2</v>
      </c>
      <c r="AA224">
        <v>320935</v>
      </c>
      <c r="AB224">
        <v>16646</v>
      </c>
      <c r="AC224">
        <v>14322048</v>
      </c>
      <c r="AD224" t="s">
        <v>5</v>
      </c>
      <c r="AE224">
        <v>184</v>
      </c>
      <c r="AF224">
        <v>2</v>
      </c>
      <c r="AH224" t="s">
        <v>8733</v>
      </c>
      <c r="AI224" t="s">
        <v>8732</v>
      </c>
      <c r="AJ224" t="s">
        <v>8731</v>
      </c>
      <c r="AK224" t="s">
        <v>8730</v>
      </c>
      <c r="AL224">
        <v>138</v>
      </c>
      <c r="AM224" s="5">
        <f t="shared" si="26"/>
        <v>4.4516129032258061</v>
      </c>
      <c r="AN224" s="4">
        <f t="shared" si="31"/>
        <v>6.7423141283238256E-3</v>
      </c>
      <c r="AO224" s="3"/>
      <c r="AP224">
        <v>0</v>
      </c>
      <c r="AR224" t="s">
        <v>0</v>
      </c>
      <c r="AT224" s="2">
        <v>4.1159999999999997</v>
      </c>
      <c r="AU224" s="1">
        <f t="shared" si="27"/>
        <v>2.5436377802737287</v>
      </c>
      <c r="AV224" s="1">
        <f t="shared" si="28"/>
        <v>2.009521675290487</v>
      </c>
      <c r="AW224" s="1">
        <f t="shared" si="29"/>
        <v>1.4754055703072453</v>
      </c>
    </row>
    <row r="225" spans="1:49" x14ac:dyDescent="0.2">
      <c r="A225">
        <v>223</v>
      </c>
      <c r="B225" t="s">
        <v>8729</v>
      </c>
      <c r="C225" t="s">
        <v>8728</v>
      </c>
      <c r="F225" t="s">
        <v>8727</v>
      </c>
      <c r="G225" t="s">
        <v>16</v>
      </c>
      <c r="H225" t="s">
        <v>15</v>
      </c>
      <c r="I225" t="s">
        <v>8726</v>
      </c>
      <c r="J225" t="s">
        <v>8725</v>
      </c>
      <c r="K225" t="s">
        <v>8724</v>
      </c>
      <c r="L225" t="s">
        <v>8723</v>
      </c>
      <c r="M225" t="s">
        <v>8722</v>
      </c>
      <c r="N225">
        <v>5</v>
      </c>
      <c r="O225" t="s">
        <v>8721</v>
      </c>
      <c r="P225" t="s">
        <v>8720</v>
      </c>
      <c r="Q225" t="s">
        <v>8719</v>
      </c>
      <c r="R225" s="7">
        <v>33239</v>
      </c>
      <c r="S225" s="8">
        <f t="shared" si="24"/>
        <v>1991</v>
      </c>
      <c r="T225" s="8">
        <v>1991</v>
      </c>
      <c r="U225" s="8">
        <f t="shared" si="25"/>
        <v>31</v>
      </c>
      <c r="V225" s="7">
        <v>1991</v>
      </c>
      <c r="W225" t="s">
        <v>8581</v>
      </c>
      <c r="X225" s="2">
        <v>1.1879999999999999</v>
      </c>
      <c r="Y225" s="6">
        <f t="shared" si="30"/>
        <v>3.1712981500760788E-2</v>
      </c>
      <c r="AA225">
        <v>8998221</v>
      </c>
      <c r="AB225">
        <v>8900153323</v>
      </c>
      <c r="AD225" t="s">
        <v>5</v>
      </c>
      <c r="AE225">
        <v>3</v>
      </c>
      <c r="AF225">
        <v>5</v>
      </c>
      <c r="AH225" t="s">
        <v>8718</v>
      </c>
      <c r="AI225" t="s">
        <v>8717</v>
      </c>
      <c r="AK225" t="s">
        <v>8716</v>
      </c>
      <c r="AL225">
        <v>2</v>
      </c>
      <c r="AM225" s="5">
        <f t="shared" si="26"/>
        <v>6.4516129032258063E-2</v>
      </c>
      <c r="AN225" s="4">
        <f t="shared" si="31"/>
        <v>9.7714697511939517E-5</v>
      </c>
      <c r="AO225" s="3"/>
      <c r="AP225">
        <v>0</v>
      </c>
      <c r="AR225" t="s">
        <v>0</v>
      </c>
      <c r="AT225" s="2" t="s">
        <v>33</v>
      </c>
      <c r="AU225" s="1">
        <f t="shared" si="27"/>
        <v>2.2228401459786129</v>
      </c>
      <c r="AV225" s="1">
        <f t="shared" si="28"/>
        <v>1.5905348099136365</v>
      </c>
      <c r="AW225" s="1">
        <f t="shared" si="29"/>
        <v>0.95822947384865942</v>
      </c>
    </row>
    <row r="226" spans="1:49" x14ac:dyDescent="0.2">
      <c r="A226">
        <v>224</v>
      </c>
      <c r="B226" t="s">
        <v>8715</v>
      </c>
      <c r="C226" t="s">
        <v>8714</v>
      </c>
      <c r="F226" t="s">
        <v>8713</v>
      </c>
      <c r="G226" t="s">
        <v>16</v>
      </c>
      <c r="H226" t="s">
        <v>15</v>
      </c>
      <c r="I226" t="s">
        <v>8712</v>
      </c>
      <c r="J226">
        <v>60008023</v>
      </c>
      <c r="K226" t="s">
        <v>526</v>
      </c>
      <c r="L226" t="s">
        <v>525</v>
      </c>
      <c r="M226" t="s">
        <v>57</v>
      </c>
      <c r="N226">
        <v>2</v>
      </c>
      <c r="O226" t="s">
        <v>8711</v>
      </c>
      <c r="P226" t="s">
        <v>8710</v>
      </c>
      <c r="Q226" t="s">
        <v>522</v>
      </c>
      <c r="R226" s="7">
        <v>33239</v>
      </c>
      <c r="S226" s="8">
        <f t="shared" si="24"/>
        <v>1991</v>
      </c>
      <c r="T226" s="8">
        <v>1991</v>
      </c>
      <c r="U226" s="8">
        <f t="shared" si="25"/>
        <v>31</v>
      </c>
      <c r="V226" s="7">
        <v>1991</v>
      </c>
      <c r="W226" t="s">
        <v>252</v>
      </c>
      <c r="X226" s="2">
        <v>1.641</v>
      </c>
      <c r="Y226" s="6">
        <f t="shared" si="30"/>
        <v>4.3805557780091299E-2</v>
      </c>
      <c r="AA226">
        <v>223654</v>
      </c>
      <c r="AB226">
        <v>30422</v>
      </c>
      <c r="AD226" t="s">
        <v>5</v>
      </c>
      <c r="AE226">
        <v>95</v>
      </c>
      <c r="AF226">
        <v>1</v>
      </c>
      <c r="AH226" t="s">
        <v>8709</v>
      </c>
      <c r="AI226" t="s">
        <v>8708</v>
      </c>
      <c r="AK226" t="s">
        <v>8707</v>
      </c>
      <c r="AL226">
        <v>96</v>
      </c>
      <c r="AM226" s="5">
        <f t="shared" si="26"/>
        <v>3.096774193548387</v>
      </c>
      <c r="AN226" s="4">
        <f t="shared" si="31"/>
        <v>4.6903054805730966E-3</v>
      </c>
      <c r="AO226" s="3"/>
      <c r="AP226">
        <v>0</v>
      </c>
      <c r="AR226" t="s">
        <v>0</v>
      </c>
      <c r="AT226" s="2" t="s">
        <v>33</v>
      </c>
      <c r="AU226" s="1">
        <f t="shared" si="27"/>
        <v>3.2070982090235836</v>
      </c>
      <c r="AV226" s="1">
        <f t="shared" si="28"/>
        <v>2.4247931630332196</v>
      </c>
      <c r="AW226" s="1">
        <f t="shared" si="29"/>
        <v>1.6424881170428558</v>
      </c>
    </row>
    <row r="227" spans="1:49" x14ac:dyDescent="0.2">
      <c r="A227">
        <v>225</v>
      </c>
      <c r="B227" t="s">
        <v>8706</v>
      </c>
      <c r="C227" t="s">
        <v>8705</v>
      </c>
      <c r="F227" t="s">
        <v>8704</v>
      </c>
      <c r="G227" t="s">
        <v>16</v>
      </c>
      <c r="H227" t="s">
        <v>15</v>
      </c>
      <c r="I227" t="s">
        <v>8703</v>
      </c>
      <c r="J227" t="s">
        <v>8702</v>
      </c>
      <c r="K227" t="s">
        <v>8701</v>
      </c>
      <c r="L227" t="s">
        <v>8700</v>
      </c>
      <c r="M227" t="s">
        <v>8699</v>
      </c>
      <c r="N227">
        <v>2</v>
      </c>
      <c r="O227" t="s">
        <v>8698</v>
      </c>
      <c r="P227" t="s">
        <v>8697</v>
      </c>
      <c r="Q227" t="s">
        <v>8696</v>
      </c>
      <c r="R227" s="7">
        <v>33239</v>
      </c>
      <c r="S227" s="8">
        <f t="shared" si="24"/>
        <v>1991</v>
      </c>
      <c r="T227" s="8">
        <v>1991</v>
      </c>
      <c r="U227" s="8">
        <f t="shared" si="25"/>
        <v>31</v>
      </c>
      <c r="V227" s="7">
        <v>33573</v>
      </c>
      <c r="W227" t="s">
        <v>8568</v>
      </c>
      <c r="X227" s="2" t="s">
        <v>33</v>
      </c>
      <c r="Y227" s="6" t="e">
        <f t="shared" si="30"/>
        <v>#VALUE!</v>
      </c>
      <c r="AA227">
        <v>114626</v>
      </c>
      <c r="AB227">
        <v>27480</v>
      </c>
      <c r="AC227">
        <v>15729486</v>
      </c>
      <c r="AD227" t="s">
        <v>5</v>
      </c>
      <c r="AE227">
        <v>41</v>
      </c>
      <c r="AF227">
        <v>12</v>
      </c>
      <c r="AH227" t="s">
        <v>8695</v>
      </c>
      <c r="AI227" t="s">
        <v>8694</v>
      </c>
      <c r="AK227" t="s">
        <v>8693</v>
      </c>
      <c r="AL227">
        <v>7</v>
      </c>
      <c r="AM227" s="5">
        <f t="shared" si="26"/>
        <v>0.22580645161290322</v>
      </c>
      <c r="AN227" s="4">
        <f t="shared" si="31"/>
        <v>3.420014412917883E-4</v>
      </c>
      <c r="AO227" s="3"/>
      <c r="AP227">
        <v>0</v>
      </c>
      <c r="AR227" t="s">
        <v>0</v>
      </c>
      <c r="AT227" s="2" t="s">
        <v>33</v>
      </c>
      <c r="AU227" s="1" t="e">
        <f t="shared" si="27"/>
        <v>#VALUE!</v>
      </c>
      <c r="AV227" s="1" t="e">
        <f t="shared" si="28"/>
        <v>#VALUE!</v>
      </c>
      <c r="AW227" s="1" t="e">
        <f t="shared" si="29"/>
        <v>#VALUE!</v>
      </c>
    </row>
    <row r="228" spans="1:49" x14ac:dyDescent="0.2">
      <c r="A228">
        <v>226</v>
      </c>
      <c r="B228" t="s">
        <v>8692</v>
      </c>
      <c r="C228" t="s">
        <v>8691</v>
      </c>
      <c r="F228" t="s">
        <v>8690</v>
      </c>
      <c r="G228" t="s">
        <v>16</v>
      </c>
      <c r="H228" t="s">
        <v>15</v>
      </c>
      <c r="I228" t="s">
        <v>8689</v>
      </c>
      <c r="J228">
        <v>101160938</v>
      </c>
      <c r="K228" t="s">
        <v>8688</v>
      </c>
      <c r="L228" t="s">
        <v>8687</v>
      </c>
      <c r="M228" t="s">
        <v>117</v>
      </c>
      <c r="N228">
        <v>1</v>
      </c>
      <c r="O228" t="s">
        <v>8686</v>
      </c>
      <c r="P228">
        <v>57189747536</v>
      </c>
      <c r="Q228">
        <v>101160938</v>
      </c>
      <c r="R228" s="7">
        <v>33239</v>
      </c>
      <c r="S228" s="8">
        <f t="shared" si="24"/>
        <v>1991</v>
      </c>
      <c r="T228" s="8">
        <v>1991</v>
      </c>
      <c r="U228" s="8">
        <f t="shared" si="25"/>
        <v>31</v>
      </c>
      <c r="V228" s="7">
        <v>33482</v>
      </c>
      <c r="W228" t="s">
        <v>674</v>
      </c>
      <c r="X228" s="2">
        <v>1.137</v>
      </c>
      <c r="Y228" s="6">
        <f t="shared" si="30"/>
        <v>3.0351565628253384E-2</v>
      </c>
      <c r="AA228">
        <v>189251</v>
      </c>
      <c r="AB228">
        <v>17336</v>
      </c>
      <c r="AD228" t="s">
        <v>5</v>
      </c>
      <c r="AE228">
        <v>27</v>
      </c>
      <c r="AF228">
        <v>5</v>
      </c>
      <c r="AH228" t="s">
        <v>8685</v>
      </c>
      <c r="AI228" t="s">
        <v>8684</v>
      </c>
      <c r="AK228" t="s">
        <v>8683</v>
      </c>
      <c r="AL228">
        <v>7</v>
      </c>
      <c r="AM228" s="5">
        <f t="shared" si="26"/>
        <v>0.22580645161290322</v>
      </c>
      <c r="AN228" s="4">
        <f t="shared" si="31"/>
        <v>3.420014412917883E-4</v>
      </c>
      <c r="AO228" s="3"/>
      <c r="AP228">
        <v>0</v>
      </c>
      <c r="AR228" t="s">
        <v>0</v>
      </c>
      <c r="AT228" s="2" t="s">
        <v>33</v>
      </c>
      <c r="AU228" s="1">
        <f t="shared" si="27"/>
        <v>2.1348696372164904</v>
      </c>
      <c r="AV228" s="1">
        <f t="shared" si="28"/>
        <v>1.5346783534772586</v>
      </c>
      <c r="AW228" s="1">
        <f t="shared" si="29"/>
        <v>0.93448706973802675</v>
      </c>
    </row>
    <row r="229" spans="1:49" x14ac:dyDescent="0.2">
      <c r="A229">
        <v>227</v>
      </c>
      <c r="B229" t="s">
        <v>8682</v>
      </c>
      <c r="C229" t="s">
        <v>8681</v>
      </c>
      <c r="F229" t="s">
        <v>8680</v>
      </c>
      <c r="G229" t="s">
        <v>16</v>
      </c>
      <c r="H229" t="s">
        <v>15</v>
      </c>
      <c r="I229" t="s">
        <v>8679</v>
      </c>
      <c r="J229" t="s">
        <v>8678</v>
      </c>
      <c r="K229" t="s">
        <v>8677</v>
      </c>
      <c r="L229" t="s">
        <v>8676</v>
      </c>
      <c r="M229" t="s">
        <v>133</v>
      </c>
      <c r="N229">
        <v>2</v>
      </c>
      <c r="O229" t="s">
        <v>8675</v>
      </c>
      <c r="P229" t="s">
        <v>8674</v>
      </c>
      <c r="Q229" t="s">
        <v>8673</v>
      </c>
      <c r="R229" s="7">
        <v>33239</v>
      </c>
      <c r="S229" s="8">
        <f t="shared" si="24"/>
        <v>1991</v>
      </c>
      <c r="T229" s="8">
        <v>1991</v>
      </c>
      <c r="U229" s="8">
        <f t="shared" si="25"/>
        <v>31</v>
      </c>
      <c r="V229" s="7">
        <v>1991</v>
      </c>
      <c r="W229" t="s">
        <v>8581</v>
      </c>
      <c r="X229" s="2">
        <v>1.1879999999999999</v>
      </c>
      <c r="Y229" s="6">
        <f t="shared" si="30"/>
        <v>3.1712981500760788E-2</v>
      </c>
      <c r="AA229">
        <v>8998221</v>
      </c>
      <c r="AB229">
        <v>8900153323</v>
      </c>
      <c r="AD229" t="s">
        <v>5</v>
      </c>
      <c r="AE229">
        <v>3</v>
      </c>
      <c r="AF229">
        <v>2</v>
      </c>
      <c r="AH229" t="s">
        <v>8672</v>
      </c>
      <c r="AI229" t="s">
        <v>8671</v>
      </c>
      <c r="AK229" t="s">
        <v>8670</v>
      </c>
      <c r="AL229">
        <v>1</v>
      </c>
      <c r="AM229" s="5">
        <f t="shared" si="26"/>
        <v>3.2258064516129031E-2</v>
      </c>
      <c r="AN229" s="4">
        <f t="shared" si="31"/>
        <v>4.8857348755969758E-5</v>
      </c>
      <c r="AO229" s="3"/>
      <c r="AP229">
        <v>0</v>
      </c>
      <c r="AR229" t="s">
        <v>0</v>
      </c>
      <c r="AT229" s="2" t="s">
        <v>33</v>
      </c>
      <c r="AU229" s="1">
        <f t="shared" si="27"/>
        <v>2.221374425515934</v>
      </c>
      <c r="AV229" s="1">
        <f t="shared" si="28"/>
        <v>1.5880919424758377</v>
      </c>
      <c r="AW229" s="1">
        <f t="shared" si="29"/>
        <v>0.95480945943574158</v>
      </c>
    </row>
    <row r="230" spans="1:49" x14ac:dyDescent="0.2">
      <c r="A230">
        <v>228</v>
      </c>
      <c r="B230" t="s">
        <v>8669</v>
      </c>
      <c r="C230" t="s">
        <v>8668</v>
      </c>
      <c r="D230" t="s">
        <v>8667</v>
      </c>
      <c r="F230" t="s">
        <v>8666</v>
      </c>
      <c r="G230" t="s">
        <v>16</v>
      </c>
      <c r="H230" t="s">
        <v>15</v>
      </c>
      <c r="I230" t="s">
        <v>8665</v>
      </c>
      <c r="J230">
        <v>60013722</v>
      </c>
      <c r="K230" t="s">
        <v>8664</v>
      </c>
      <c r="L230" t="s">
        <v>8663</v>
      </c>
      <c r="M230" t="s">
        <v>326</v>
      </c>
      <c r="N230">
        <v>2</v>
      </c>
      <c r="O230" t="s">
        <v>8662</v>
      </c>
      <c r="P230" t="s">
        <v>8661</v>
      </c>
      <c r="Q230" t="s">
        <v>8660</v>
      </c>
      <c r="R230" s="7">
        <v>33239</v>
      </c>
      <c r="S230" s="8">
        <f t="shared" si="24"/>
        <v>1991</v>
      </c>
      <c r="T230" s="8">
        <v>1991</v>
      </c>
      <c r="U230" s="8">
        <f t="shared" si="25"/>
        <v>31</v>
      </c>
      <c r="V230" s="7">
        <v>33270</v>
      </c>
      <c r="W230" t="s">
        <v>211</v>
      </c>
      <c r="X230" s="2">
        <v>0.998</v>
      </c>
      <c r="Y230" s="6">
        <f t="shared" si="30"/>
        <v>2.664104001494888E-2</v>
      </c>
      <c r="AA230">
        <v>207322</v>
      </c>
      <c r="AB230">
        <v>90127</v>
      </c>
      <c r="AD230" t="s">
        <v>5</v>
      </c>
      <c r="AE230">
        <v>20</v>
      </c>
      <c r="AF230" s="9">
        <v>44228</v>
      </c>
      <c r="AH230" t="s">
        <v>8659</v>
      </c>
      <c r="AI230" t="s">
        <v>8658</v>
      </c>
      <c r="AJ230" t="s">
        <v>8657</v>
      </c>
      <c r="AK230" t="s">
        <v>8656</v>
      </c>
      <c r="AL230">
        <v>4</v>
      </c>
      <c r="AM230" s="5">
        <f t="shared" si="26"/>
        <v>0.12903225806451613</v>
      </c>
      <c r="AN230" s="4">
        <f t="shared" si="31"/>
        <v>1.9542939502387903E-4</v>
      </c>
      <c r="AO230" s="3"/>
      <c r="AP230">
        <v>0</v>
      </c>
      <c r="AR230" t="s">
        <v>0</v>
      </c>
      <c r="AT230" s="2" t="s">
        <v>33</v>
      </c>
      <c r="AU230" s="1">
        <f t="shared" si="27"/>
        <v>1.870735682897138</v>
      </c>
      <c r="AV230" s="1">
        <f t="shared" si="28"/>
        <v>1.341823470498638</v>
      </c>
      <c r="AW230" s="1">
        <f t="shared" si="29"/>
        <v>0.81291125810013798</v>
      </c>
    </row>
    <row r="231" spans="1:49" x14ac:dyDescent="0.2">
      <c r="A231">
        <v>229</v>
      </c>
      <c r="B231" t="s">
        <v>8655</v>
      </c>
      <c r="C231" t="s">
        <v>8654</v>
      </c>
      <c r="F231" t="s">
        <v>8653</v>
      </c>
      <c r="G231" t="s">
        <v>16</v>
      </c>
      <c r="H231" t="s">
        <v>15</v>
      </c>
      <c r="I231" t="s">
        <v>8652</v>
      </c>
      <c r="J231" t="s">
        <v>8651</v>
      </c>
      <c r="K231" t="s">
        <v>8650</v>
      </c>
      <c r="L231" t="s">
        <v>8649</v>
      </c>
      <c r="M231" t="s">
        <v>5393</v>
      </c>
      <c r="N231">
        <v>4</v>
      </c>
      <c r="O231" t="s">
        <v>8648</v>
      </c>
      <c r="P231" t="s">
        <v>8647</v>
      </c>
      <c r="Q231" t="s">
        <v>8646</v>
      </c>
      <c r="R231" s="7">
        <v>33239</v>
      </c>
      <c r="S231" s="8">
        <f t="shared" si="24"/>
        <v>1991</v>
      </c>
      <c r="T231" s="8">
        <v>1991</v>
      </c>
      <c r="U231" s="8">
        <f t="shared" si="25"/>
        <v>31</v>
      </c>
      <c r="V231" s="7">
        <v>1991</v>
      </c>
      <c r="W231" t="s">
        <v>8645</v>
      </c>
      <c r="X231" s="2">
        <v>1.78</v>
      </c>
      <c r="Y231" s="6">
        <f t="shared" si="30"/>
        <v>4.7516083393395803E-2</v>
      </c>
      <c r="AA231">
        <v>1631829</v>
      </c>
      <c r="AB231">
        <v>85318</v>
      </c>
      <c r="AD231" t="s">
        <v>5</v>
      </c>
      <c r="AE231">
        <v>43</v>
      </c>
      <c r="AF231">
        <v>4</v>
      </c>
      <c r="AH231" t="s">
        <v>8644</v>
      </c>
      <c r="AI231" t="s">
        <v>8643</v>
      </c>
      <c r="AK231" t="s">
        <v>8642</v>
      </c>
      <c r="AL231">
        <v>14</v>
      </c>
      <c r="AM231" s="5">
        <f t="shared" si="26"/>
        <v>0.45161290322580644</v>
      </c>
      <c r="AN231" s="4">
        <f t="shared" si="31"/>
        <v>6.840028825835766E-4</v>
      </c>
      <c r="AO231" s="3"/>
      <c r="AP231">
        <v>0</v>
      </c>
      <c r="AR231" t="s">
        <v>0</v>
      </c>
      <c r="AT231" s="2">
        <v>4.0359999999999996</v>
      </c>
      <c r="AU231" s="1">
        <f t="shared" si="27"/>
        <v>3.3466459240152133</v>
      </c>
      <c r="AV231" s="1">
        <f t="shared" si="28"/>
        <v>2.4100043137989688</v>
      </c>
      <c r="AW231" s="1">
        <f t="shared" si="29"/>
        <v>1.4733627035827244</v>
      </c>
    </row>
    <row r="232" spans="1:49" x14ac:dyDescent="0.2">
      <c r="A232">
        <v>230</v>
      </c>
      <c r="B232" t="s">
        <v>8641</v>
      </c>
      <c r="C232" t="s">
        <v>8640</v>
      </c>
      <c r="D232" t="s">
        <v>8639</v>
      </c>
      <c r="F232" t="s">
        <v>8638</v>
      </c>
      <c r="G232" t="s">
        <v>16</v>
      </c>
      <c r="H232" t="s">
        <v>15</v>
      </c>
      <c r="I232" t="s">
        <v>8637</v>
      </c>
      <c r="J232">
        <v>60003500</v>
      </c>
      <c r="K232" t="s">
        <v>1115</v>
      </c>
      <c r="L232" t="s">
        <v>1114</v>
      </c>
      <c r="M232" t="s">
        <v>57</v>
      </c>
      <c r="N232">
        <v>3</v>
      </c>
      <c r="O232" t="s">
        <v>8636</v>
      </c>
      <c r="P232" t="s">
        <v>8635</v>
      </c>
      <c r="Q232" t="s">
        <v>1111</v>
      </c>
      <c r="R232" s="7">
        <v>33239</v>
      </c>
      <c r="S232" s="8">
        <f t="shared" si="24"/>
        <v>1991</v>
      </c>
      <c r="T232" s="8">
        <v>1991</v>
      </c>
      <c r="U232" s="8">
        <f t="shared" si="25"/>
        <v>31</v>
      </c>
      <c r="V232" s="7">
        <v>33543</v>
      </c>
      <c r="W232" t="s">
        <v>8634</v>
      </c>
      <c r="X232" s="2">
        <v>0.81599999999999995</v>
      </c>
      <c r="Y232" s="6">
        <f t="shared" si="30"/>
        <v>2.1782653960118522E-2</v>
      </c>
      <c r="AA232" t="s">
        <v>8633</v>
      </c>
      <c r="AB232">
        <v>18903</v>
      </c>
      <c r="AD232" t="s">
        <v>5</v>
      </c>
      <c r="AE232">
        <v>36</v>
      </c>
      <c r="AF232">
        <v>5</v>
      </c>
      <c r="AH232" t="s">
        <v>8632</v>
      </c>
      <c r="AI232" t="s">
        <v>8631</v>
      </c>
      <c r="AJ232" t="s">
        <v>8630</v>
      </c>
      <c r="AK232" t="s">
        <v>8629</v>
      </c>
      <c r="AL232">
        <v>6</v>
      </c>
      <c r="AM232" s="5">
        <f t="shared" si="26"/>
        <v>0.19354838709677419</v>
      </c>
      <c r="AN232" s="4">
        <f t="shared" si="31"/>
        <v>2.9314409253581854E-4</v>
      </c>
      <c r="AO232" s="3"/>
      <c r="AP232">
        <v>0</v>
      </c>
      <c r="AR232" t="s">
        <v>0</v>
      </c>
      <c r="AT232" s="2">
        <v>2.74</v>
      </c>
      <c r="AU232" s="1">
        <f t="shared" si="27"/>
        <v>1.5335800999843709</v>
      </c>
      <c r="AV232" s="1">
        <f t="shared" si="28"/>
        <v>1.1037899026327169</v>
      </c>
      <c r="AW232" s="1">
        <f t="shared" si="29"/>
        <v>0.6739997052810629</v>
      </c>
    </row>
    <row r="233" spans="1:49" x14ac:dyDescent="0.2">
      <c r="A233">
        <v>231</v>
      </c>
      <c r="B233" t="s">
        <v>8628</v>
      </c>
      <c r="C233" t="s">
        <v>8627</v>
      </c>
      <c r="D233" t="s">
        <v>8626</v>
      </c>
      <c r="F233" t="s">
        <v>7639</v>
      </c>
      <c r="G233" t="s">
        <v>16</v>
      </c>
      <c r="H233" t="s">
        <v>15</v>
      </c>
      <c r="I233" t="s">
        <v>8625</v>
      </c>
      <c r="J233">
        <v>60027960</v>
      </c>
      <c r="K233" t="s">
        <v>6781</v>
      </c>
      <c r="L233" t="s">
        <v>6780</v>
      </c>
      <c r="M233" t="s">
        <v>57</v>
      </c>
      <c r="N233">
        <v>3</v>
      </c>
      <c r="O233" t="s">
        <v>7638</v>
      </c>
      <c r="P233" t="s">
        <v>6778</v>
      </c>
      <c r="Q233" t="s">
        <v>6777</v>
      </c>
      <c r="R233" s="7">
        <v>33239</v>
      </c>
      <c r="S233" s="8">
        <f t="shared" si="24"/>
        <v>1991</v>
      </c>
      <c r="T233" s="8">
        <v>1991</v>
      </c>
      <c r="U233" s="8">
        <f t="shared" si="25"/>
        <v>31</v>
      </c>
      <c r="V233" s="7">
        <v>33543</v>
      </c>
      <c r="W233" t="s">
        <v>7330</v>
      </c>
      <c r="X233" s="2">
        <v>1.319</v>
      </c>
      <c r="Y233" s="6">
        <f t="shared" si="30"/>
        <v>3.5209951683083739E-2</v>
      </c>
      <c r="AA233">
        <v>104655</v>
      </c>
      <c r="AB233">
        <v>13184</v>
      </c>
      <c r="AD233" t="s">
        <v>5</v>
      </c>
      <c r="AE233">
        <v>68</v>
      </c>
      <c r="AF233" s="9">
        <v>44256</v>
      </c>
      <c r="AH233" t="s">
        <v>8624</v>
      </c>
      <c r="AI233" t="s">
        <v>8623</v>
      </c>
      <c r="AK233" t="s">
        <v>8622</v>
      </c>
      <c r="AL233">
        <v>68</v>
      </c>
      <c r="AM233" s="5">
        <f t="shared" si="26"/>
        <v>2.193548387096774</v>
      </c>
      <c r="AN233" s="4">
        <f t="shared" si="31"/>
        <v>3.3222997154059432E-3</v>
      </c>
      <c r="AO233" s="3"/>
      <c r="AP233">
        <v>0</v>
      </c>
      <c r="AR233" t="s">
        <v>0</v>
      </c>
      <c r="AT233" s="2">
        <v>4.3899999999999997</v>
      </c>
      <c r="AU233" s="1">
        <f t="shared" si="27"/>
        <v>2.56436560927804</v>
      </c>
      <c r="AV233" s="1">
        <f t="shared" si="28"/>
        <v>1.926612569924484</v>
      </c>
      <c r="AW233" s="1">
        <f t="shared" si="29"/>
        <v>1.2888595305709283</v>
      </c>
    </row>
    <row r="234" spans="1:49" x14ac:dyDescent="0.2">
      <c r="A234">
        <v>232</v>
      </c>
      <c r="B234" t="s">
        <v>8621</v>
      </c>
      <c r="C234" t="s">
        <v>8620</v>
      </c>
      <c r="F234" t="s">
        <v>8619</v>
      </c>
      <c r="G234" t="s">
        <v>16</v>
      </c>
      <c r="H234" t="s">
        <v>15</v>
      </c>
      <c r="I234" t="s">
        <v>8618</v>
      </c>
      <c r="J234" t="s">
        <v>8617</v>
      </c>
      <c r="K234" t="s">
        <v>8616</v>
      </c>
      <c r="L234" t="s">
        <v>8615</v>
      </c>
      <c r="M234" t="s">
        <v>8614</v>
      </c>
      <c r="N234">
        <v>5</v>
      </c>
      <c r="O234" t="s">
        <v>8613</v>
      </c>
      <c r="P234" t="s">
        <v>8612</v>
      </c>
      <c r="Q234" t="s">
        <v>8611</v>
      </c>
      <c r="R234" s="7">
        <v>33239</v>
      </c>
      <c r="S234" s="8">
        <f t="shared" si="24"/>
        <v>1991</v>
      </c>
      <c r="T234" s="8">
        <v>1991</v>
      </c>
      <c r="U234" s="8">
        <f t="shared" si="25"/>
        <v>31</v>
      </c>
      <c r="V234" s="7">
        <v>33270</v>
      </c>
      <c r="W234" t="s">
        <v>98</v>
      </c>
      <c r="X234" s="2">
        <v>0.85499999999999998</v>
      </c>
      <c r="Y234" s="6">
        <f t="shared" si="30"/>
        <v>2.28237366861536E-2</v>
      </c>
      <c r="AA234">
        <v>980331</v>
      </c>
      <c r="AB234">
        <v>23342</v>
      </c>
      <c r="AC234">
        <v>15731561</v>
      </c>
      <c r="AD234" t="s">
        <v>5</v>
      </c>
      <c r="AE234">
        <v>17</v>
      </c>
      <c r="AF234">
        <v>2</v>
      </c>
      <c r="AH234" t="s">
        <v>8610</v>
      </c>
      <c r="AI234" t="s">
        <v>8609</v>
      </c>
      <c r="AJ234" t="s">
        <v>8608</v>
      </c>
      <c r="AK234" t="s">
        <v>8607</v>
      </c>
      <c r="AL234">
        <v>25</v>
      </c>
      <c r="AM234" s="5">
        <f t="shared" si="26"/>
        <v>0.80645161290322576</v>
      </c>
      <c r="AN234" s="4">
        <f t="shared" si="31"/>
        <v>1.2214337188992438E-3</v>
      </c>
      <c r="AO234" s="3"/>
      <c r="AP234">
        <v>0</v>
      </c>
      <c r="AR234" t="s">
        <v>0</v>
      </c>
      <c r="AT234" s="2">
        <v>2.6259999999999999</v>
      </c>
      <c r="AU234" s="1">
        <f t="shared" si="27"/>
        <v>1.6343045795977291</v>
      </c>
      <c r="AV234" s="1">
        <f t="shared" si="28"/>
        <v>1.2022585202526421</v>
      </c>
      <c r="AW234" s="1">
        <f t="shared" si="29"/>
        <v>0.77021246090755502</v>
      </c>
    </row>
    <row r="235" spans="1:49" x14ac:dyDescent="0.2">
      <c r="A235">
        <v>233</v>
      </c>
      <c r="B235" t="s">
        <v>8606</v>
      </c>
      <c r="C235" t="s">
        <v>8605</v>
      </c>
      <c r="D235" t="s">
        <v>8604</v>
      </c>
      <c r="F235" t="s">
        <v>8603</v>
      </c>
      <c r="G235" t="s">
        <v>16</v>
      </c>
      <c r="H235" t="s">
        <v>15</v>
      </c>
      <c r="I235" t="s">
        <v>8602</v>
      </c>
      <c r="J235" t="s">
        <v>8597</v>
      </c>
      <c r="K235" t="s">
        <v>8601</v>
      </c>
      <c r="L235" t="s">
        <v>8600</v>
      </c>
      <c r="M235" t="s">
        <v>364</v>
      </c>
      <c r="N235">
        <v>2</v>
      </c>
      <c r="O235" t="s">
        <v>8599</v>
      </c>
      <c r="P235" t="s">
        <v>8598</v>
      </c>
      <c r="Q235" t="s">
        <v>8597</v>
      </c>
      <c r="R235" s="7">
        <v>33239</v>
      </c>
      <c r="S235" s="8">
        <f t="shared" si="24"/>
        <v>1991</v>
      </c>
      <c r="T235" s="8">
        <v>1991</v>
      </c>
      <c r="U235" s="8">
        <f t="shared" si="25"/>
        <v>31</v>
      </c>
      <c r="V235" s="7">
        <v>1991</v>
      </c>
      <c r="W235" t="s">
        <v>211</v>
      </c>
      <c r="X235" s="2">
        <v>0.998</v>
      </c>
      <c r="Y235" s="6">
        <f t="shared" si="30"/>
        <v>2.664104001494888E-2</v>
      </c>
      <c r="AA235">
        <v>207322</v>
      </c>
      <c r="AB235">
        <v>90127</v>
      </c>
      <c r="AD235" t="s">
        <v>5</v>
      </c>
      <c r="AE235">
        <v>20</v>
      </c>
      <c r="AF235" s="9">
        <v>44320</v>
      </c>
      <c r="AH235" t="s">
        <v>8596</v>
      </c>
      <c r="AI235" t="s">
        <v>8595</v>
      </c>
      <c r="AJ235" t="s">
        <v>8594</v>
      </c>
      <c r="AK235" t="s">
        <v>8593</v>
      </c>
      <c r="AL235">
        <v>5</v>
      </c>
      <c r="AM235" s="5">
        <f t="shared" si="26"/>
        <v>0.16129032258064516</v>
      </c>
      <c r="AN235" s="4">
        <f t="shared" si="31"/>
        <v>2.4428674377984877E-4</v>
      </c>
      <c r="AO235" s="3"/>
      <c r="AP235">
        <v>0</v>
      </c>
      <c r="AR235" t="s">
        <v>0</v>
      </c>
      <c r="AT235" s="2" t="s">
        <v>33</v>
      </c>
      <c r="AU235" s="1">
        <f t="shared" si="27"/>
        <v>1.8722014033598171</v>
      </c>
      <c r="AV235" s="1">
        <f t="shared" si="28"/>
        <v>1.3442663379364366</v>
      </c>
      <c r="AW235" s="1">
        <f t="shared" si="29"/>
        <v>0.81633127251305582</v>
      </c>
    </row>
    <row r="236" spans="1:49" x14ac:dyDescent="0.2">
      <c r="A236">
        <v>234</v>
      </c>
      <c r="B236" t="s">
        <v>8592</v>
      </c>
      <c r="C236" t="s">
        <v>8591</v>
      </c>
      <c r="F236" t="s">
        <v>8590</v>
      </c>
      <c r="G236" t="s">
        <v>16</v>
      </c>
      <c r="H236" t="s">
        <v>15</v>
      </c>
      <c r="I236" t="s">
        <v>8589</v>
      </c>
      <c r="J236" t="s">
        <v>8588</v>
      </c>
      <c r="K236" t="s">
        <v>8587</v>
      </c>
      <c r="L236" t="s">
        <v>8586</v>
      </c>
      <c r="M236" t="s">
        <v>8585</v>
      </c>
      <c r="N236">
        <v>4</v>
      </c>
      <c r="O236" t="s">
        <v>8584</v>
      </c>
      <c r="P236" t="s">
        <v>8583</v>
      </c>
      <c r="Q236" t="s">
        <v>8582</v>
      </c>
      <c r="R236" s="7">
        <v>33239</v>
      </c>
      <c r="S236" s="8">
        <f t="shared" si="24"/>
        <v>1991</v>
      </c>
      <c r="T236" s="8">
        <v>1991</v>
      </c>
      <c r="U236" s="8">
        <f t="shared" si="25"/>
        <v>31</v>
      </c>
      <c r="V236" s="7">
        <v>1991</v>
      </c>
      <c r="W236" t="s">
        <v>8581</v>
      </c>
      <c r="X236" s="2">
        <v>1.1879999999999999</v>
      </c>
      <c r="Y236" s="6">
        <f t="shared" si="30"/>
        <v>3.1712981500760788E-2</v>
      </c>
      <c r="AA236">
        <v>8998221</v>
      </c>
      <c r="AB236">
        <v>8900153323</v>
      </c>
      <c r="AD236" t="s">
        <v>5</v>
      </c>
      <c r="AE236">
        <v>3</v>
      </c>
      <c r="AF236">
        <v>1</v>
      </c>
      <c r="AH236" t="s">
        <v>957</v>
      </c>
      <c r="AI236" t="s">
        <v>8580</v>
      </c>
      <c r="AK236" t="s">
        <v>8579</v>
      </c>
      <c r="AL236">
        <v>5</v>
      </c>
      <c r="AM236" s="5">
        <f t="shared" si="26"/>
        <v>0.16129032258064516</v>
      </c>
      <c r="AN236" s="4">
        <f t="shared" si="31"/>
        <v>2.4428674377984877E-4</v>
      </c>
      <c r="AO236" s="3"/>
      <c r="AP236">
        <v>0</v>
      </c>
      <c r="AR236" t="s">
        <v>0</v>
      </c>
      <c r="AT236" s="2" t="s">
        <v>33</v>
      </c>
      <c r="AU236" s="1">
        <f t="shared" si="27"/>
        <v>2.2272373073666505</v>
      </c>
      <c r="AV236" s="1">
        <f t="shared" si="28"/>
        <v>1.5978634122270317</v>
      </c>
      <c r="AW236" s="1">
        <f t="shared" si="29"/>
        <v>0.96848951708741315</v>
      </c>
    </row>
    <row r="237" spans="1:49" x14ac:dyDescent="0.2">
      <c r="A237">
        <v>235</v>
      </c>
      <c r="B237" t="s">
        <v>8578</v>
      </c>
      <c r="C237" t="s">
        <v>8577</v>
      </c>
      <c r="F237" t="s">
        <v>8576</v>
      </c>
      <c r="G237" t="s">
        <v>16</v>
      </c>
      <c r="H237" t="s">
        <v>15</v>
      </c>
      <c r="I237" t="s">
        <v>8575</v>
      </c>
      <c r="J237">
        <v>60016605</v>
      </c>
      <c r="K237" t="s">
        <v>8574</v>
      </c>
      <c r="L237" t="s">
        <v>8573</v>
      </c>
      <c r="M237" t="s">
        <v>8572</v>
      </c>
      <c r="N237">
        <v>5</v>
      </c>
      <c r="O237" t="s">
        <v>8571</v>
      </c>
      <c r="P237" t="s">
        <v>8570</v>
      </c>
      <c r="Q237" t="s">
        <v>8569</v>
      </c>
      <c r="R237" s="7">
        <v>33239</v>
      </c>
      <c r="S237" s="8">
        <f t="shared" si="24"/>
        <v>1991</v>
      </c>
      <c r="T237" s="8">
        <v>1991</v>
      </c>
      <c r="U237" s="8">
        <f t="shared" si="25"/>
        <v>31</v>
      </c>
      <c r="V237" s="7">
        <v>33420</v>
      </c>
      <c r="W237" t="s">
        <v>8568</v>
      </c>
      <c r="X237" s="2" t="s">
        <v>33</v>
      </c>
      <c r="Y237" s="6" t="e">
        <f t="shared" si="30"/>
        <v>#VALUE!</v>
      </c>
      <c r="AA237">
        <v>114626</v>
      </c>
      <c r="AB237">
        <v>27480</v>
      </c>
      <c r="AC237">
        <v>15729486</v>
      </c>
      <c r="AD237" t="s">
        <v>5</v>
      </c>
      <c r="AE237">
        <v>41</v>
      </c>
      <c r="AF237">
        <v>7</v>
      </c>
      <c r="AH237" t="s">
        <v>8567</v>
      </c>
      <c r="AI237" t="s">
        <v>8566</v>
      </c>
      <c r="AK237" t="s">
        <v>8565</v>
      </c>
      <c r="AL237">
        <v>7</v>
      </c>
      <c r="AM237" s="5">
        <f t="shared" si="26"/>
        <v>0.22580645161290322</v>
      </c>
      <c r="AN237" s="4">
        <f t="shared" si="31"/>
        <v>3.420014412917883E-4</v>
      </c>
      <c r="AO237" s="3"/>
      <c r="AP237">
        <v>0</v>
      </c>
      <c r="AR237" t="s">
        <v>0</v>
      </c>
      <c r="AT237" s="2" t="s">
        <v>33</v>
      </c>
      <c r="AU237" s="1" t="e">
        <f t="shared" si="27"/>
        <v>#VALUE!</v>
      </c>
      <c r="AV237" s="1" t="e">
        <f t="shared" si="28"/>
        <v>#VALUE!</v>
      </c>
      <c r="AW237" s="1" t="e">
        <f t="shared" si="29"/>
        <v>#VALUE!</v>
      </c>
    </row>
    <row r="238" spans="1:49" x14ac:dyDescent="0.2">
      <c r="A238">
        <v>236</v>
      </c>
      <c r="B238" t="s">
        <v>8564</v>
      </c>
      <c r="C238" t="s">
        <v>8563</v>
      </c>
      <c r="F238" t="s">
        <v>8562</v>
      </c>
      <c r="G238" t="s">
        <v>16</v>
      </c>
      <c r="H238" t="s">
        <v>15</v>
      </c>
      <c r="I238" t="s">
        <v>8561</v>
      </c>
      <c r="J238">
        <v>60123163</v>
      </c>
      <c r="K238" t="s">
        <v>8540</v>
      </c>
      <c r="L238" t="s">
        <v>1101</v>
      </c>
      <c r="M238" t="s">
        <v>213</v>
      </c>
      <c r="N238">
        <v>3</v>
      </c>
      <c r="O238" t="s">
        <v>8560</v>
      </c>
      <c r="P238" t="s">
        <v>8559</v>
      </c>
      <c r="Q238" t="s">
        <v>8558</v>
      </c>
      <c r="R238" s="7">
        <v>33239</v>
      </c>
      <c r="S238" s="8">
        <f t="shared" si="24"/>
        <v>1991</v>
      </c>
      <c r="T238" s="8">
        <v>1991</v>
      </c>
      <c r="U238" s="8">
        <f t="shared" si="25"/>
        <v>31</v>
      </c>
      <c r="V238" s="7">
        <v>33239</v>
      </c>
      <c r="W238" t="s">
        <v>98</v>
      </c>
      <c r="X238" s="2">
        <v>0.85499999999999998</v>
      </c>
      <c r="Y238" s="6">
        <f t="shared" si="30"/>
        <v>2.28237366861536E-2</v>
      </c>
      <c r="AA238">
        <v>980331</v>
      </c>
      <c r="AB238">
        <v>23342</v>
      </c>
      <c r="AC238">
        <v>15731561</v>
      </c>
      <c r="AD238" t="s">
        <v>5</v>
      </c>
      <c r="AE238">
        <v>17</v>
      </c>
      <c r="AF238">
        <v>1</v>
      </c>
      <c r="AH238" t="s">
        <v>8557</v>
      </c>
      <c r="AI238" t="s">
        <v>8556</v>
      </c>
      <c r="AJ238" t="s">
        <v>8555</v>
      </c>
      <c r="AK238" t="s">
        <v>8554</v>
      </c>
      <c r="AL238">
        <v>24</v>
      </c>
      <c r="AM238" s="5">
        <f t="shared" si="26"/>
        <v>0.77419354838709675</v>
      </c>
      <c r="AN238" s="4">
        <f t="shared" si="31"/>
        <v>1.1725763701432741E-3</v>
      </c>
      <c r="AO238" s="3"/>
      <c r="AP238">
        <v>0</v>
      </c>
      <c r="AR238" t="s">
        <v>0</v>
      </c>
      <c r="AT238" s="2">
        <v>2.6259999999999999</v>
      </c>
      <c r="AU238" s="1">
        <f t="shared" si="27"/>
        <v>1.63283885913505</v>
      </c>
      <c r="AV238" s="1">
        <f t="shared" si="28"/>
        <v>1.1998156528148438</v>
      </c>
      <c r="AW238" s="1">
        <f t="shared" si="29"/>
        <v>0.76679244649463718</v>
      </c>
    </row>
    <row r="239" spans="1:49" x14ac:dyDescent="0.2">
      <c r="A239">
        <v>237</v>
      </c>
      <c r="B239" t="s">
        <v>8553</v>
      </c>
      <c r="C239" t="s">
        <v>8552</v>
      </c>
      <c r="F239" t="s">
        <v>8551</v>
      </c>
      <c r="G239" t="s">
        <v>16</v>
      </c>
      <c r="H239" t="s">
        <v>15</v>
      </c>
      <c r="I239" t="s">
        <v>8550</v>
      </c>
      <c r="J239">
        <v>60032121</v>
      </c>
      <c r="K239" t="s">
        <v>1421</v>
      </c>
      <c r="L239" t="s">
        <v>1420</v>
      </c>
      <c r="M239" t="s">
        <v>57</v>
      </c>
      <c r="N239">
        <v>3</v>
      </c>
      <c r="O239" t="s">
        <v>8549</v>
      </c>
      <c r="P239" t="s">
        <v>8548</v>
      </c>
      <c r="Q239" t="s">
        <v>1417</v>
      </c>
      <c r="R239" s="7">
        <v>33239</v>
      </c>
      <c r="S239" s="8">
        <f t="shared" si="24"/>
        <v>1991</v>
      </c>
      <c r="T239" s="8">
        <v>1991</v>
      </c>
      <c r="U239" s="8">
        <f t="shared" si="25"/>
        <v>31</v>
      </c>
      <c r="V239" s="7">
        <v>33543</v>
      </c>
      <c r="W239" t="s">
        <v>1599</v>
      </c>
      <c r="X239" s="2">
        <v>0.91800000000000004</v>
      </c>
      <c r="Y239" s="6">
        <f t="shared" si="30"/>
        <v>2.4505485705133341E-2</v>
      </c>
      <c r="AA239">
        <v>1431161</v>
      </c>
      <c r="AB239">
        <v>22674</v>
      </c>
      <c r="AC239">
        <v>13665901</v>
      </c>
      <c r="AD239" t="s">
        <v>5</v>
      </c>
      <c r="AE239">
        <v>12</v>
      </c>
      <c r="AF239">
        <v>11</v>
      </c>
      <c r="AH239" t="s">
        <v>8547</v>
      </c>
      <c r="AI239" t="s">
        <v>8546</v>
      </c>
      <c r="AK239" t="s">
        <v>8545</v>
      </c>
      <c r="AL239">
        <v>6</v>
      </c>
      <c r="AM239" s="5">
        <f t="shared" si="26"/>
        <v>0.19354838709677419</v>
      </c>
      <c r="AN239" s="4">
        <f t="shared" si="31"/>
        <v>2.9314409253581854E-4</v>
      </c>
      <c r="AO239" s="3"/>
      <c r="AP239">
        <v>0</v>
      </c>
      <c r="AR239" t="s">
        <v>0</v>
      </c>
      <c r="AT239" s="2" t="s">
        <v>33</v>
      </c>
      <c r="AU239" s="1">
        <f t="shared" si="27"/>
        <v>1.7241783221354081</v>
      </c>
      <c r="AV239" s="1">
        <f t="shared" si="28"/>
        <v>1.2399314898834579</v>
      </c>
      <c r="AW239" s="1">
        <f t="shared" si="29"/>
        <v>0.75568465763150749</v>
      </c>
    </row>
    <row r="240" spans="1:49" x14ac:dyDescent="0.2">
      <c r="A240">
        <v>238</v>
      </c>
      <c r="B240" t="s">
        <v>8544</v>
      </c>
      <c r="C240" t="s">
        <v>8543</v>
      </c>
      <c r="D240">
        <v>22191091900382</v>
      </c>
      <c r="F240" t="s">
        <v>8542</v>
      </c>
      <c r="G240" t="s">
        <v>16</v>
      </c>
      <c r="H240" t="s">
        <v>15</v>
      </c>
      <c r="I240" t="s">
        <v>8541</v>
      </c>
      <c r="J240">
        <v>60123163</v>
      </c>
      <c r="K240" t="s">
        <v>8540</v>
      </c>
      <c r="L240" t="s">
        <v>1101</v>
      </c>
      <c r="M240" t="s">
        <v>213</v>
      </c>
      <c r="N240">
        <v>1</v>
      </c>
      <c r="O240" t="s">
        <v>8539</v>
      </c>
      <c r="P240">
        <v>7004185407</v>
      </c>
      <c r="Q240">
        <v>60123163</v>
      </c>
      <c r="R240" s="7">
        <v>33239</v>
      </c>
      <c r="S240" s="8">
        <f t="shared" si="24"/>
        <v>1991</v>
      </c>
      <c r="T240" s="8">
        <v>1991</v>
      </c>
      <c r="U240" s="8">
        <f t="shared" si="25"/>
        <v>31</v>
      </c>
      <c r="V240" s="7">
        <v>1991</v>
      </c>
      <c r="W240" t="s">
        <v>83</v>
      </c>
      <c r="X240" s="2">
        <v>0.89900000000000002</v>
      </c>
      <c r="Y240" s="6">
        <f t="shared" si="30"/>
        <v>2.399829155655215E-2</v>
      </c>
      <c r="AA240">
        <v>221910</v>
      </c>
      <c r="AB240">
        <v>20487</v>
      </c>
      <c r="AD240" t="s">
        <v>5</v>
      </c>
      <c r="AE240">
        <v>37</v>
      </c>
      <c r="AF240">
        <v>8</v>
      </c>
      <c r="AI240" t="s">
        <v>8538</v>
      </c>
      <c r="AJ240" t="s">
        <v>8537</v>
      </c>
      <c r="AK240" t="s">
        <v>8536</v>
      </c>
      <c r="AL240">
        <v>8</v>
      </c>
      <c r="AM240" s="5">
        <f t="shared" si="26"/>
        <v>0.25806451612903225</v>
      </c>
      <c r="AN240" s="4">
        <f t="shared" si="31"/>
        <v>3.9085879004775807E-4</v>
      </c>
      <c r="AO240" s="3"/>
      <c r="AP240">
        <v>0</v>
      </c>
      <c r="AR240" t="s">
        <v>0</v>
      </c>
      <c r="AT240" s="2">
        <v>2.3540000000000001</v>
      </c>
      <c r="AU240" s="1">
        <f t="shared" si="27"/>
        <v>1.6916061726600828</v>
      </c>
      <c r="AV240" s="1">
        <f t="shared" si="28"/>
        <v>1.2194575173299953</v>
      </c>
      <c r="AW240" s="1">
        <f t="shared" si="29"/>
        <v>0.74730886199990743</v>
      </c>
    </row>
    <row r="241" spans="1:49" x14ac:dyDescent="0.2">
      <c r="A241">
        <v>239</v>
      </c>
      <c r="B241" t="s">
        <v>8535</v>
      </c>
      <c r="C241" t="s">
        <v>8534</v>
      </c>
      <c r="F241" t="s">
        <v>8533</v>
      </c>
      <c r="G241" t="s">
        <v>16</v>
      </c>
      <c r="H241" t="s">
        <v>15</v>
      </c>
      <c r="I241" t="s">
        <v>8532</v>
      </c>
      <c r="J241">
        <v>60027550</v>
      </c>
      <c r="K241" t="s">
        <v>1338</v>
      </c>
      <c r="L241" t="s">
        <v>1337</v>
      </c>
      <c r="M241" t="s">
        <v>57</v>
      </c>
      <c r="N241">
        <v>2</v>
      </c>
      <c r="O241" t="s">
        <v>8531</v>
      </c>
      <c r="P241" t="s">
        <v>8530</v>
      </c>
      <c r="Q241" t="s">
        <v>1795</v>
      </c>
      <c r="R241" s="7">
        <v>33239</v>
      </c>
      <c r="S241" s="8">
        <f t="shared" ref="S241:S304" si="32">YEAR(R241)</f>
        <v>1991</v>
      </c>
      <c r="T241" s="8">
        <v>1991</v>
      </c>
      <c r="U241" s="8">
        <f t="shared" ref="U241:U304" si="33">2022-T241</f>
        <v>31</v>
      </c>
      <c r="V241" s="7">
        <v>1991</v>
      </c>
      <c r="W241" t="s">
        <v>239</v>
      </c>
      <c r="X241" s="2">
        <v>0.28599999999999998</v>
      </c>
      <c r="Y241" s="6">
        <f t="shared" si="30"/>
        <v>7.6346066575905605E-3</v>
      </c>
      <c r="AA241">
        <v>9205071</v>
      </c>
      <c r="AB241">
        <v>28139</v>
      </c>
      <c r="AC241">
        <v>15693937</v>
      </c>
      <c r="AD241" t="s">
        <v>5</v>
      </c>
      <c r="AE241">
        <v>5</v>
      </c>
      <c r="AF241">
        <v>10</v>
      </c>
      <c r="AH241" t="s">
        <v>8529</v>
      </c>
      <c r="AI241" t="s">
        <v>8528</v>
      </c>
      <c r="AK241" t="s">
        <v>8527</v>
      </c>
      <c r="AL241">
        <v>8</v>
      </c>
      <c r="AM241" s="5">
        <f t="shared" ref="AM241:AM304" si="34">AL241/U241</f>
        <v>0.25806451612903225</v>
      </c>
      <c r="AN241" s="4">
        <f t="shared" si="31"/>
        <v>3.9085879004775807E-4</v>
      </c>
      <c r="AO241" s="3"/>
      <c r="AP241">
        <v>0</v>
      </c>
      <c r="AR241" t="s">
        <v>0</v>
      </c>
      <c r="AT241" s="2" t="s">
        <v>33</v>
      </c>
      <c r="AU241" s="1">
        <f t="shared" ref="AU241:AU304" si="35">(Y241*0.7+AN241*0.3)*100</f>
        <v>0.54614822973277199</v>
      </c>
      <c r="AV241" s="1">
        <f t="shared" ref="AV241:AV304" si="36">(Y241*0.5+AN241*0.5)*100</f>
        <v>0.4012732723819159</v>
      </c>
      <c r="AW241" s="1">
        <f t="shared" ref="AW241:AW304" si="37">(Y241*0.3+AN241*0.7)*100</f>
        <v>0.25639831503105986</v>
      </c>
    </row>
    <row r="242" spans="1:49" x14ac:dyDescent="0.2">
      <c r="A242">
        <v>240</v>
      </c>
      <c r="B242" t="s">
        <v>8526</v>
      </c>
      <c r="C242" t="s">
        <v>8525</v>
      </c>
      <c r="D242" t="s">
        <v>8524</v>
      </c>
      <c r="F242" t="s">
        <v>8523</v>
      </c>
      <c r="G242" t="s">
        <v>16</v>
      </c>
      <c r="H242" t="s">
        <v>15</v>
      </c>
      <c r="I242" t="s">
        <v>8522</v>
      </c>
      <c r="J242">
        <v>60015457</v>
      </c>
      <c r="K242" t="s">
        <v>6356</v>
      </c>
      <c r="L242" t="s">
        <v>1420</v>
      </c>
      <c r="M242" t="s">
        <v>57</v>
      </c>
      <c r="N242">
        <v>1</v>
      </c>
      <c r="O242" t="s">
        <v>8521</v>
      </c>
      <c r="P242">
        <v>7006041994</v>
      </c>
      <c r="Q242">
        <v>60015457</v>
      </c>
      <c r="R242" s="7">
        <v>33239</v>
      </c>
      <c r="S242" s="8">
        <f t="shared" si="32"/>
        <v>1991</v>
      </c>
      <c r="T242" s="8">
        <v>1991</v>
      </c>
      <c r="U242" s="8">
        <f t="shared" si="33"/>
        <v>31</v>
      </c>
      <c r="V242" s="7">
        <v>1991</v>
      </c>
      <c r="W242" t="s">
        <v>83</v>
      </c>
      <c r="X242" s="2">
        <v>0.89900000000000002</v>
      </c>
      <c r="Y242" s="6">
        <f t="shared" si="30"/>
        <v>2.399829155655215E-2</v>
      </c>
      <c r="AA242">
        <v>221910</v>
      </c>
      <c r="AB242">
        <v>20487</v>
      </c>
      <c r="AD242" t="s">
        <v>5</v>
      </c>
      <c r="AE242">
        <v>37</v>
      </c>
      <c r="AF242">
        <v>10</v>
      </c>
      <c r="AH242" t="s">
        <v>8520</v>
      </c>
      <c r="AI242" t="s">
        <v>8519</v>
      </c>
      <c r="AJ242" t="s">
        <v>8518</v>
      </c>
      <c r="AK242" t="s">
        <v>8517</v>
      </c>
      <c r="AL242">
        <v>16</v>
      </c>
      <c r="AM242" s="5">
        <f t="shared" si="34"/>
        <v>0.5161290322580645</v>
      </c>
      <c r="AN242" s="4">
        <f t="shared" si="31"/>
        <v>7.8171758009551613E-4</v>
      </c>
      <c r="AO242" s="3"/>
      <c r="AP242">
        <v>0</v>
      </c>
      <c r="AR242" t="s">
        <v>0</v>
      </c>
      <c r="AT242" s="2">
        <v>2.3540000000000001</v>
      </c>
      <c r="AU242" s="1">
        <f t="shared" si="35"/>
        <v>1.7033319363615158</v>
      </c>
      <c r="AV242" s="1">
        <f t="shared" si="36"/>
        <v>1.2390004568323831</v>
      </c>
      <c r="AW242" s="1">
        <f t="shared" si="37"/>
        <v>0.77466897730325057</v>
      </c>
    </row>
    <row r="243" spans="1:49" x14ac:dyDescent="0.2">
      <c r="A243">
        <v>241</v>
      </c>
      <c r="B243" t="s">
        <v>8516</v>
      </c>
      <c r="C243" t="s">
        <v>8515</v>
      </c>
      <c r="F243" t="s">
        <v>8514</v>
      </c>
      <c r="G243" t="s">
        <v>16</v>
      </c>
      <c r="H243" t="s">
        <v>15</v>
      </c>
      <c r="I243" t="s">
        <v>8513</v>
      </c>
      <c r="J243">
        <v>60031225</v>
      </c>
      <c r="K243" t="s">
        <v>2923</v>
      </c>
      <c r="L243" t="s">
        <v>2922</v>
      </c>
      <c r="M243" t="s">
        <v>326</v>
      </c>
      <c r="N243">
        <v>1</v>
      </c>
      <c r="O243" t="s">
        <v>8512</v>
      </c>
      <c r="P243">
        <v>7005151359</v>
      </c>
      <c r="Q243">
        <v>60031225</v>
      </c>
      <c r="R243" s="7">
        <v>33239</v>
      </c>
      <c r="S243" s="8">
        <f t="shared" si="32"/>
        <v>1991</v>
      </c>
      <c r="T243" s="8">
        <v>1991</v>
      </c>
      <c r="U243" s="8">
        <f t="shared" si="33"/>
        <v>31</v>
      </c>
      <c r="V243" s="7">
        <v>33298</v>
      </c>
      <c r="W243" t="s">
        <v>8511</v>
      </c>
      <c r="X243" s="2">
        <v>0.65200000000000002</v>
      </c>
      <c r="Y243" s="6">
        <f t="shared" si="30"/>
        <v>1.7404767624996664E-2</v>
      </c>
      <c r="AA243">
        <v>3622525</v>
      </c>
      <c r="AB243">
        <v>29629</v>
      </c>
      <c r="AC243">
        <v>10974687</v>
      </c>
      <c r="AD243" t="s">
        <v>5</v>
      </c>
      <c r="AE243">
        <v>207</v>
      </c>
      <c r="AF243">
        <v>3</v>
      </c>
      <c r="AH243" t="s">
        <v>8510</v>
      </c>
      <c r="AI243" t="s">
        <v>8509</v>
      </c>
      <c r="AK243" t="s">
        <v>8508</v>
      </c>
      <c r="AL243">
        <v>12</v>
      </c>
      <c r="AM243" s="5">
        <f t="shared" si="34"/>
        <v>0.38709677419354838</v>
      </c>
      <c r="AN243" s="4">
        <f t="shared" si="31"/>
        <v>5.8628818507163707E-4</v>
      </c>
      <c r="AO243" s="3"/>
      <c r="AP243">
        <v>0</v>
      </c>
      <c r="AR243" t="s">
        <v>0</v>
      </c>
      <c r="AT243" s="2">
        <v>1.804</v>
      </c>
      <c r="AU243" s="1">
        <f t="shared" si="35"/>
        <v>1.2359223793019154</v>
      </c>
      <c r="AV243" s="1">
        <f t="shared" si="36"/>
        <v>0.89955279050341497</v>
      </c>
      <c r="AW243" s="1">
        <f t="shared" si="37"/>
        <v>0.56318320170491454</v>
      </c>
    </row>
    <row r="244" spans="1:49" x14ac:dyDescent="0.2">
      <c r="A244">
        <v>242</v>
      </c>
      <c r="B244" t="s">
        <v>8507</v>
      </c>
      <c r="C244" t="s">
        <v>8506</v>
      </c>
      <c r="F244" t="s">
        <v>8505</v>
      </c>
      <c r="G244" t="s">
        <v>16</v>
      </c>
      <c r="H244" t="s">
        <v>15</v>
      </c>
      <c r="I244" t="s">
        <v>8504</v>
      </c>
      <c r="J244" t="s">
        <v>8503</v>
      </c>
      <c r="K244" t="s">
        <v>8502</v>
      </c>
      <c r="L244" t="s">
        <v>8501</v>
      </c>
      <c r="M244" t="s">
        <v>133</v>
      </c>
      <c r="N244">
        <v>3</v>
      </c>
      <c r="O244" t="s">
        <v>8500</v>
      </c>
      <c r="P244" t="s">
        <v>8499</v>
      </c>
      <c r="Q244" t="s">
        <v>8498</v>
      </c>
      <c r="R244" s="7">
        <v>33239</v>
      </c>
      <c r="S244" s="8">
        <f t="shared" si="32"/>
        <v>1991</v>
      </c>
      <c r="T244" s="8">
        <v>1991</v>
      </c>
      <c r="U244" s="8">
        <f t="shared" si="33"/>
        <v>31</v>
      </c>
      <c r="V244" s="7">
        <v>33543</v>
      </c>
      <c r="W244" t="s">
        <v>224</v>
      </c>
      <c r="X244" s="2">
        <v>2.61</v>
      </c>
      <c r="Y244" s="6">
        <f t="shared" si="30"/>
        <v>6.9672459357732044E-2</v>
      </c>
      <c r="AA244">
        <v>46256</v>
      </c>
      <c r="AB244">
        <v>26704</v>
      </c>
      <c r="AD244" t="s">
        <v>5</v>
      </c>
      <c r="AE244">
        <v>102</v>
      </c>
      <c r="AF244">
        <v>5</v>
      </c>
      <c r="AH244" t="s">
        <v>8497</v>
      </c>
      <c r="AI244" t="s">
        <v>8496</v>
      </c>
      <c r="AK244" t="s">
        <v>8495</v>
      </c>
      <c r="AL244">
        <v>19</v>
      </c>
      <c r="AM244" s="5">
        <f t="shared" si="34"/>
        <v>0.61290322580645162</v>
      </c>
      <c r="AN244" s="4">
        <f t="shared" si="31"/>
        <v>9.2828962636342543E-4</v>
      </c>
      <c r="AO244" s="3"/>
      <c r="AP244">
        <v>0</v>
      </c>
      <c r="AR244" t="s">
        <v>0</v>
      </c>
      <c r="AT244" s="2">
        <v>6.2629999999999999</v>
      </c>
      <c r="AU244" s="1">
        <f t="shared" si="35"/>
        <v>4.9049208438321452</v>
      </c>
      <c r="AV244" s="1">
        <f t="shared" si="36"/>
        <v>3.5300374492047739</v>
      </c>
      <c r="AW244" s="1">
        <f t="shared" si="37"/>
        <v>2.1551540545774008</v>
      </c>
    </row>
    <row r="245" spans="1:49" x14ac:dyDescent="0.2">
      <c r="A245">
        <v>243</v>
      </c>
      <c r="B245" t="s">
        <v>8494</v>
      </c>
      <c r="C245" t="s">
        <v>8493</v>
      </c>
      <c r="D245" t="s">
        <v>8492</v>
      </c>
      <c r="F245" t="s">
        <v>8491</v>
      </c>
      <c r="G245" t="s">
        <v>16</v>
      </c>
      <c r="H245" t="s">
        <v>15</v>
      </c>
      <c r="I245" t="s">
        <v>290</v>
      </c>
      <c r="J245" t="s">
        <v>289</v>
      </c>
      <c r="K245" t="s">
        <v>288</v>
      </c>
      <c r="L245" t="s">
        <v>287</v>
      </c>
      <c r="M245" t="s">
        <v>286</v>
      </c>
      <c r="N245">
        <v>4</v>
      </c>
      <c r="O245" t="s">
        <v>8490</v>
      </c>
      <c r="P245" t="s">
        <v>8489</v>
      </c>
      <c r="Q245" t="s">
        <v>8488</v>
      </c>
      <c r="R245" s="7">
        <v>33239</v>
      </c>
      <c r="S245" s="8">
        <f t="shared" si="32"/>
        <v>1991</v>
      </c>
      <c r="T245" s="8">
        <v>1991</v>
      </c>
      <c r="U245" s="8">
        <f t="shared" si="33"/>
        <v>31</v>
      </c>
      <c r="V245" s="7">
        <v>33512</v>
      </c>
      <c r="W245" t="s">
        <v>282</v>
      </c>
      <c r="X245" s="2">
        <v>0.51500000000000001</v>
      </c>
      <c r="Y245" s="6">
        <f t="shared" si="30"/>
        <v>1.374763086943755E-2</v>
      </c>
      <c r="AA245">
        <v>219169</v>
      </c>
      <c r="AB245">
        <v>30966</v>
      </c>
      <c r="AD245" t="s">
        <v>5</v>
      </c>
      <c r="AE245">
        <v>53</v>
      </c>
      <c r="AF245">
        <v>10</v>
      </c>
      <c r="AH245" t="s">
        <v>8487</v>
      </c>
      <c r="AI245" t="s">
        <v>8486</v>
      </c>
      <c r="AK245" t="s">
        <v>8485</v>
      </c>
      <c r="AL245">
        <v>12</v>
      </c>
      <c r="AM245" s="5">
        <f t="shared" si="34"/>
        <v>0.38709677419354838</v>
      </c>
      <c r="AN245" s="4">
        <f t="shared" si="31"/>
        <v>5.8628818507163707E-4</v>
      </c>
      <c r="AO245" s="3"/>
      <c r="AP245">
        <v>0</v>
      </c>
      <c r="AR245" t="s">
        <v>0</v>
      </c>
      <c r="AT245" s="2" t="s">
        <v>33</v>
      </c>
      <c r="AU245" s="1">
        <f t="shared" si="35"/>
        <v>0.9799228064127774</v>
      </c>
      <c r="AV245" s="1">
        <f t="shared" si="36"/>
        <v>0.71669595272545938</v>
      </c>
      <c r="AW245" s="1">
        <f t="shared" si="37"/>
        <v>0.45346909903814114</v>
      </c>
    </row>
    <row r="246" spans="1:49" x14ac:dyDescent="0.2">
      <c r="A246">
        <v>244</v>
      </c>
      <c r="B246" t="s">
        <v>8484</v>
      </c>
      <c r="C246" t="s">
        <v>8483</v>
      </c>
      <c r="F246" t="s">
        <v>8482</v>
      </c>
      <c r="G246" t="s">
        <v>16</v>
      </c>
      <c r="H246" t="s">
        <v>15</v>
      </c>
      <c r="I246" t="s">
        <v>8481</v>
      </c>
      <c r="J246" t="s">
        <v>8480</v>
      </c>
      <c r="K246" t="s">
        <v>8479</v>
      </c>
      <c r="L246" t="s">
        <v>8478</v>
      </c>
      <c r="M246" t="s">
        <v>133</v>
      </c>
      <c r="N246">
        <v>4</v>
      </c>
      <c r="O246" t="s">
        <v>8477</v>
      </c>
      <c r="P246" t="s">
        <v>8476</v>
      </c>
      <c r="Q246" t="s">
        <v>8475</v>
      </c>
      <c r="R246" s="7">
        <v>33239</v>
      </c>
      <c r="S246" s="8">
        <f t="shared" si="32"/>
        <v>1991</v>
      </c>
      <c r="T246" s="8">
        <v>1991</v>
      </c>
      <c r="U246" s="8">
        <f t="shared" si="33"/>
        <v>31</v>
      </c>
      <c r="V246" s="7">
        <v>1991</v>
      </c>
      <c r="W246" t="s">
        <v>8452</v>
      </c>
      <c r="X246" s="2">
        <v>3.6880000000000002</v>
      </c>
      <c r="Y246" s="6">
        <f t="shared" si="30"/>
        <v>9.8449053682496471E-2</v>
      </c>
      <c r="AA246">
        <v>319007</v>
      </c>
      <c r="AB246">
        <v>29150</v>
      </c>
      <c r="AD246" t="s">
        <v>5</v>
      </c>
      <c r="AE246">
        <v>66</v>
      </c>
      <c r="AF246">
        <v>9</v>
      </c>
      <c r="AH246" t="s">
        <v>8474</v>
      </c>
      <c r="AI246" t="s">
        <v>8473</v>
      </c>
      <c r="AK246" t="s">
        <v>8472</v>
      </c>
      <c r="AL246">
        <v>16</v>
      </c>
      <c r="AM246" s="5">
        <f t="shared" si="34"/>
        <v>0.5161290322580645</v>
      </c>
      <c r="AN246" s="4">
        <f t="shared" si="31"/>
        <v>7.8171758009551613E-4</v>
      </c>
      <c r="AO246" s="3"/>
      <c r="AP246">
        <v>0</v>
      </c>
      <c r="AR246" t="s">
        <v>0</v>
      </c>
      <c r="AT246" s="2">
        <v>9.1609999999999996</v>
      </c>
      <c r="AU246" s="1">
        <f t="shared" si="35"/>
        <v>6.9148852851776175</v>
      </c>
      <c r="AV246" s="1">
        <f t="shared" si="36"/>
        <v>4.961538563129599</v>
      </c>
      <c r="AW246" s="1">
        <f t="shared" si="37"/>
        <v>3.0081918410815804</v>
      </c>
    </row>
    <row r="247" spans="1:49" x14ac:dyDescent="0.2">
      <c r="A247">
        <v>245</v>
      </c>
      <c r="B247" t="s">
        <v>8471</v>
      </c>
      <c r="C247" t="s">
        <v>8470</v>
      </c>
      <c r="F247" t="s">
        <v>8469</v>
      </c>
      <c r="G247" t="s">
        <v>16</v>
      </c>
      <c r="H247" t="s">
        <v>15</v>
      </c>
      <c r="I247" t="s">
        <v>8468</v>
      </c>
      <c r="J247" t="s">
        <v>8467</v>
      </c>
      <c r="K247" t="s">
        <v>8466</v>
      </c>
      <c r="L247" t="s">
        <v>8465</v>
      </c>
      <c r="M247" t="s">
        <v>1147</v>
      </c>
      <c r="N247">
        <v>3</v>
      </c>
      <c r="O247" t="s">
        <v>8464</v>
      </c>
      <c r="P247" t="s">
        <v>8463</v>
      </c>
      <c r="Q247" t="s">
        <v>8462</v>
      </c>
      <c r="R247" s="7">
        <v>33239</v>
      </c>
      <c r="S247" s="8">
        <f t="shared" si="32"/>
        <v>1991</v>
      </c>
      <c r="T247" s="8">
        <v>1991</v>
      </c>
      <c r="U247" s="8">
        <f t="shared" si="33"/>
        <v>31</v>
      </c>
      <c r="V247" s="7">
        <v>33390</v>
      </c>
      <c r="W247" t="s">
        <v>224</v>
      </c>
      <c r="X247" s="2">
        <v>2.61</v>
      </c>
      <c r="Y247" s="6">
        <f t="shared" si="30"/>
        <v>6.9672459357732044E-2</v>
      </c>
      <c r="AA247">
        <v>46256</v>
      </c>
      <c r="AB247">
        <v>26704</v>
      </c>
      <c r="AD247" t="s">
        <v>5</v>
      </c>
      <c r="AE247">
        <v>101</v>
      </c>
      <c r="AF247">
        <v>6</v>
      </c>
      <c r="AH247" t="s">
        <v>8461</v>
      </c>
      <c r="AI247" t="s">
        <v>8460</v>
      </c>
      <c r="AK247" t="s">
        <v>8459</v>
      </c>
      <c r="AL247">
        <v>23</v>
      </c>
      <c r="AM247" s="5">
        <f t="shared" si="34"/>
        <v>0.74193548387096775</v>
      </c>
      <c r="AN247" s="4">
        <f t="shared" si="31"/>
        <v>1.1237190213873045E-3</v>
      </c>
      <c r="AO247" s="3"/>
      <c r="AP247">
        <v>0</v>
      </c>
      <c r="AR247" t="s">
        <v>0</v>
      </c>
      <c r="AT247" s="2">
        <v>6.2629999999999999</v>
      </c>
      <c r="AU247" s="1">
        <f t="shared" si="35"/>
        <v>4.9107837256828617</v>
      </c>
      <c r="AV247" s="1">
        <f t="shared" si="36"/>
        <v>3.5398089189559676</v>
      </c>
      <c r="AW247" s="1">
        <f t="shared" si="37"/>
        <v>2.1688341122290726</v>
      </c>
    </row>
    <row r="248" spans="1:49" x14ac:dyDescent="0.2">
      <c r="A248">
        <v>246</v>
      </c>
      <c r="B248" t="s">
        <v>8458</v>
      </c>
      <c r="C248" t="s">
        <v>8457</v>
      </c>
      <c r="F248" t="s">
        <v>8456</v>
      </c>
      <c r="G248" t="s">
        <v>16</v>
      </c>
      <c r="H248" t="s">
        <v>15</v>
      </c>
      <c r="I248" t="s">
        <v>8455</v>
      </c>
      <c r="J248">
        <v>60027550</v>
      </c>
      <c r="K248" t="s">
        <v>1338</v>
      </c>
      <c r="L248" t="s">
        <v>1337</v>
      </c>
      <c r="M248" t="s">
        <v>57</v>
      </c>
      <c r="N248">
        <v>2</v>
      </c>
      <c r="O248" t="s">
        <v>8454</v>
      </c>
      <c r="P248" t="s">
        <v>8453</v>
      </c>
      <c r="Q248" t="s">
        <v>1795</v>
      </c>
      <c r="R248" s="7">
        <v>33239</v>
      </c>
      <c r="S248" s="8">
        <f t="shared" si="32"/>
        <v>1991</v>
      </c>
      <c r="T248" s="8">
        <v>1991</v>
      </c>
      <c r="U248" s="8">
        <f t="shared" si="33"/>
        <v>31</v>
      </c>
      <c r="V248" s="7">
        <v>1991</v>
      </c>
      <c r="W248" t="s">
        <v>8452</v>
      </c>
      <c r="X248" s="2">
        <v>3.6880000000000002</v>
      </c>
      <c r="Y248" s="6">
        <f t="shared" si="30"/>
        <v>9.8449053682496471E-2</v>
      </c>
      <c r="AA248">
        <v>319007</v>
      </c>
      <c r="AB248">
        <v>29150</v>
      </c>
      <c r="AD248" t="s">
        <v>5</v>
      </c>
      <c r="AE248">
        <v>67</v>
      </c>
      <c r="AF248">
        <v>14</v>
      </c>
      <c r="AH248" t="s">
        <v>8451</v>
      </c>
      <c r="AI248" t="s">
        <v>8450</v>
      </c>
      <c r="AK248" t="s">
        <v>8449</v>
      </c>
      <c r="AL248">
        <v>17</v>
      </c>
      <c r="AM248" s="5">
        <f t="shared" si="34"/>
        <v>0.54838709677419351</v>
      </c>
      <c r="AN248" s="4">
        <f t="shared" si="31"/>
        <v>8.3057492885148579E-4</v>
      </c>
      <c r="AO248" s="3"/>
      <c r="AP248">
        <v>0</v>
      </c>
      <c r="AR248" t="s">
        <v>0</v>
      </c>
      <c r="AT248" s="2">
        <v>9.1609999999999996</v>
      </c>
      <c r="AU248" s="1">
        <f t="shared" si="35"/>
        <v>6.9163510056402959</v>
      </c>
      <c r="AV248" s="1">
        <f t="shared" si="36"/>
        <v>4.9639814305673973</v>
      </c>
      <c r="AW248" s="1">
        <f t="shared" si="37"/>
        <v>3.0116118554944982</v>
      </c>
    </row>
    <row r="249" spans="1:49" x14ac:dyDescent="0.2">
      <c r="A249">
        <v>247</v>
      </c>
      <c r="B249" t="s">
        <v>8448</v>
      </c>
      <c r="C249" t="s">
        <v>8447</v>
      </c>
      <c r="F249" t="s">
        <v>8446</v>
      </c>
      <c r="G249" t="s">
        <v>16</v>
      </c>
      <c r="H249" t="s">
        <v>15</v>
      </c>
      <c r="I249" t="s">
        <v>8445</v>
      </c>
      <c r="J249" t="s">
        <v>8444</v>
      </c>
      <c r="K249" t="s">
        <v>8443</v>
      </c>
      <c r="L249" t="s">
        <v>8442</v>
      </c>
      <c r="M249" t="s">
        <v>133</v>
      </c>
      <c r="N249">
        <v>3</v>
      </c>
      <c r="O249" t="s">
        <v>8441</v>
      </c>
      <c r="P249" t="s">
        <v>8440</v>
      </c>
      <c r="Q249" t="s">
        <v>8439</v>
      </c>
      <c r="R249" s="7">
        <v>33239</v>
      </c>
      <c r="S249" s="8">
        <f t="shared" si="32"/>
        <v>1991</v>
      </c>
      <c r="T249" s="8">
        <v>1991</v>
      </c>
      <c r="U249" s="8">
        <f t="shared" si="33"/>
        <v>31</v>
      </c>
      <c r="V249" s="7">
        <v>33486</v>
      </c>
      <c r="W249" t="s">
        <v>8438</v>
      </c>
      <c r="X249" s="2">
        <v>0.57499999999999996</v>
      </c>
      <c r="Y249" s="6">
        <f t="shared" si="30"/>
        <v>1.5349296601799204E-2</v>
      </c>
      <c r="AA249">
        <v>218995</v>
      </c>
      <c r="AB249">
        <v>13554</v>
      </c>
      <c r="AC249">
        <v>10974628</v>
      </c>
      <c r="AD249" t="s">
        <v>5</v>
      </c>
      <c r="AE249">
        <v>43</v>
      </c>
      <c r="AF249">
        <v>5</v>
      </c>
      <c r="AH249" t="s">
        <v>8437</v>
      </c>
      <c r="AI249" t="s">
        <v>8436</v>
      </c>
      <c r="AK249" t="s">
        <v>8435</v>
      </c>
      <c r="AL249">
        <v>20</v>
      </c>
      <c r="AM249" s="5">
        <f t="shared" si="34"/>
        <v>0.64516129032258063</v>
      </c>
      <c r="AN249" s="4">
        <f t="shared" si="31"/>
        <v>9.7714697511939509E-4</v>
      </c>
      <c r="AO249" s="3"/>
      <c r="AP249">
        <v>0</v>
      </c>
      <c r="AR249" t="s">
        <v>0</v>
      </c>
      <c r="AT249" s="2">
        <v>3.125</v>
      </c>
      <c r="AU249" s="1">
        <f t="shared" si="35"/>
        <v>1.103765171379526</v>
      </c>
      <c r="AV249" s="1">
        <f t="shared" si="36"/>
        <v>0.81632217884592995</v>
      </c>
      <c r="AW249" s="1">
        <f t="shared" si="37"/>
        <v>0.52887918631233377</v>
      </c>
    </row>
    <row r="250" spans="1:49" x14ac:dyDescent="0.2">
      <c r="A250">
        <v>248</v>
      </c>
      <c r="B250" t="s">
        <v>8434</v>
      </c>
      <c r="C250" t="s">
        <v>8433</v>
      </c>
      <c r="F250" t="s">
        <v>8432</v>
      </c>
      <c r="G250" t="s">
        <v>16</v>
      </c>
      <c r="H250" t="s">
        <v>15</v>
      </c>
      <c r="I250" t="s">
        <v>8431</v>
      </c>
      <c r="J250">
        <v>60013372</v>
      </c>
      <c r="K250" t="s">
        <v>257</v>
      </c>
      <c r="L250" t="s">
        <v>256</v>
      </c>
      <c r="M250" t="s">
        <v>57</v>
      </c>
      <c r="N250">
        <v>4</v>
      </c>
      <c r="O250" t="s">
        <v>8430</v>
      </c>
      <c r="P250" t="s">
        <v>8429</v>
      </c>
      <c r="Q250" t="s">
        <v>8428</v>
      </c>
      <c r="R250" s="7">
        <v>33239</v>
      </c>
      <c r="S250" s="8">
        <f t="shared" si="32"/>
        <v>1991</v>
      </c>
      <c r="T250" s="8">
        <v>1991</v>
      </c>
      <c r="U250" s="8">
        <f t="shared" si="33"/>
        <v>31</v>
      </c>
      <c r="V250" s="7">
        <v>33243</v>
      </c>
      <c r="W250" t="s">
        <v>561</v>
      </c>
      <c r="X250" s="2">
        <v>0.30399999999999999</v>
      </c>
      <c r="Y250" s="6">
        <f t="shared" si="30"/>
        <v>8.115106377299057E-3</v>
      </c>
      <c r="AA250">
        <v>8952477</v>
      </c>
      <c r="AB250">
        <v>12250</v>
      </c>
      <c r="AC250">
        <v>10982760</v>
      </c>
      <c r="AD250" t="s">
        <v>5</v>
      </c>
      <c r="AE250">
        <v>4</v>
      </c>
      <c r="AF250">
        <v>1</v>
      </c>
      <c r="AH250" t="s">
        <v>8427</v>
      </c>
      <c r="AI250" t="s">
        <v>8426</v>
      </c>
      <c r="AJ250" t="s">
        <v>8425</v>
      </c>
      <c r="AK250" t="s">
        <v>8424</v>
      </c>
      <c r="AL250">
        <v>6</v>
      </c>
      <c r="AM250" s="5">
        <f t="shared" si="34"/>
        <v>0.19354838709677419</v>
      </c>
      <c r="AN250" s="4">
        <f t="shared" si="31"/>
        <v>2.9314409253581854E-4</v>
      </c>
      <c r="AO250" s="3"/>
      <c r="AP250">
        <v>0</v>
      </c>
      <c r="AR250" t="s">
        <v>0</v>
      </c>
      <c r="AT250" s="2" t="s">
        <v>33</v>
      </c>
      <c r="AU250" s="1">
        <f t="shared" si="35"/>
        <v>0.57685176918700842</v>
      </c>
      <c r="AV250" s="1">
        <f t="shared" si="36"/>
        <v>0.42041252349174374</v>
      </c>
      <c r="AW250" s="1">
        <f t="shared" si="37"/>
        <v>0.26397327779647906</v>
      </c>
    </row>
    <row r="251" spans="1:49" x14ac:dyDescent="0.2">
      <c r="A251">
        <v>249</v>
      </c>
      <c r="B251" t="s">
        <v>8423</v>
      </c>
      <c r="C251" t="s">
        <v>8422</v>
      </c>
      <c r="F251" t="s">
        <v>8421</v>
      </c>
      <c r="G251" t="s">
        <v>16</v>
      </c>
      <c r="H251" t="s">
        <v>15</v>
      </c>
      <c r="I251" t="s">
        <v>8420</v>
      </c>
      <c r="J251">
        <v>60009037</v>
      </c>
      <c r="K251" t="s">
        <v>375</v>
      </c>
      <c r="L251" t="s">
        <v>374</v>
      </c>
      <c r="M251" t="s">
        <v>57</v>
      </c>
      <c r="N251">
        <v>1</v>
      </c>
      <c r="O251" t="s">
        <v>8419</v>
      </c>
      <c r="P251">
        <v>7202796519</v>
      </c>
      <c r="Q251">
        <v>60009037</v>
      </c>
      <c r="R251" s="7">
        <v>33239</v>
      </c>
      <c r="S251" s="8">
        <f t="shared" si="32"/>
        <v>1991</v>
      </c>
      <c r="T251" s="8">
        <v>1991</v>
      </c>
      <c r="U251" s="8">
        <f t="shared" si="33"/>
        <v>31</v>
      </c>
      <c r="V251" s="7">
        <v>33243</v>
      </c>
      <c r="W251" t="s">
        <v>561</v>
      </c>
      <c r="X251" s="2">
        <v>0.30399999999999999</v>
      </c>
      <c r="Y251" s="6">
        <f t="shared" si="30"/>
        <v>8.115106377299057E-3</v>
      </c>
      <c r="AA251">
        <v>8952477</v>
      </c>
      <c r="AB251">
        <v>12250</v>
      </c>
      <c r="AC251">
        <v>10982760</v>
      </c>
      <c r="AD251" t="s">
        <v>5</v>
      </c>
      <c r="AE251">
        <v>4</v>
      </c>
      <c r="AF251">
        <v>1</v>
      </c>
      <c r="AH251" s="9">
        <v>44349</v>
      </c>
      <c r="AI251" t="s">
        <v>8418</v>
      </c>
      <c r="AJ251" t="s">
        <v>8417</v>
      </c>
      <c r="AK251" t="s">
        <v>8416</v>
      </c>
      <c r="AL251">
        <v>5</v>
      </c>
      <c r="AM251" s="5">
        <f t="shared" si="34"/>
        <v>0.16129032258064516</v>
      </c>
      <c r="AN251" s="4">
        <f t="shared" si="31"/>
        <v>2.4428674377984877E-4</v>
      </c>
      <c r="AO251" s="3"/>
      <c r="AP251">
        <v>0</v>
      </c>
      <c r="AR251" t="s">
        <v>0</v>
      </c>
      <c r="AT251" s="2" t="s">
        <v>33</v>
      </c>
      <c r="AU251" s="1">
        <f t="shared" si="35"/>
        <v>0.57538604872432941</v>
      </c>
      <c r="AV251" s="1">
        <f t="shared" si="36"/>
        <v>0.41796965605394526</v>
      </c>
      <c r="AW251" s="1">
        <f t="shared" si="37"/>
        <v>0.26055326338356116</v>
      </c>
    </row>
    <row r="252" spans="1:49" x14ac:dyDescent="0.2">
      <c r="A252">
        <v>250</v>
      </c>
      <c r="B252" t="s">
        <v>8415</v>
      </c>
      <c r="C252" t="s">
        <v>8414</v>
      </c>
      <c r="F252" t="s">
        <v>8413</v>
      </c>
      <c r="G252" t="s">
        <v>16</v>
      </c>
      <c r="H252" t="s">
        <v>15</v>
      </c>
      <c r="I252" t="s">
        <v>8412</v>
      </c>
      <c r="J252">
        <v>60031581</v>
      </c>
      <c r="K252" t="s">
        <v>3379</v>
      </c>
      <c r="L252" t="s">
        <v>374</v>
      </c>
      <c r="M252" t="s">
        <v>57</v>
      </c>
      <c r="N252">
        <v>5</v>
      </c>
      <c r="O252" t="s">
        <v>8411</v>
      </c>
      <c r="P252" t="s">
        <v>8410</v>
      </c>
      <c r="Q252" t="s">
        <v>8409</v>
      </c>
      <c r="R252" s="7">
        <v>33239</v>
      </c>
      <c r="S252" s="8">
        <f t="shared" si="32"/>
        <v>1991</v>
      </c>
      <c r="T252" s="8">
        <v>1991</v>
      </c>
      <c r="U252" s="8">
        <f t="shared" si="33"/>
        <v>31</v>
      </c>
      <c r="V252" s="7">
        <v>33243</v>
      </c>
      <c r="W252" t="s">
        <v>561</v>
      </c>
      <c r="X252" s="2">
        <v>0.30399999999999999</v>
      </c>
      <c r="Y252" s="6">
        <f t="shared" si="30"/>
        <v>8.115106377299057E-3</v>
      </c>
      <c r="AA252">
        <v>8952477</v>
      </c>
      <c r="AB252">
        <v>12250</v>
      </c>
      <c r="AC252">
        <v>10982760</v>
      </c>
      <c r="AD252" t="s">
        <v>5</v>
      </c>
      <c r="AE252">
        <v>4</v>
      </c>
      <c r="AF252">
        <v>1</v>
      </c>
      <c r="AH252" s="9">
        <v>44445</v>
      </c>
      <c r="AI252" t="s">
        <v>8408</v>
      </c>
      <c r="AJ252" t="s">
        <v>8407</v>
      </c>
      <c r="AK252" t="s">
        <v>8406</v>
      </c>
      <c r="AL252">
        <v>13</v>
      </c>
      <c r="AM252" s="5">
        <f t="shared" si="34"/>
        <v>0.41935483870967744</v>
      </c>
      <c r="AN252" s="4">
        <f t="shared" si="31"/>
        <v>6.3514553382760684E-4</v>
      </c>
      <c r="AO252" s="3"/>
      <c r="AP252">
        <v>0</v>
      </c>
      <c r="AR252" t="s">
        <v>0</v>
      </c>
      <c r="AT252" s="2" t="s">
        <v>33</v>
      </c>
      <c r="AU252" s="1">
        <f t="shared" si="35"/>
        <v>0.58711181242576216</v>
      </c>
      <c r="AV252" s="1">
        <f t="shared" si="36"/>
        <v>0.43751259555633321</v>
      </c>
      <c r="AW252" s="1">
        <f t="shared" si="37"/>
        <v>0.2879133786869042</v>
      </c>
    </row>
    <row r="253" spans="1:49" x14ac:dyDescent="0.2">
      <c r="A253">
        <v>251</v>
      </c>
      <c r="B253" t="s">
        <v>8405</v>
      </c>
      <c r="C253" t="s">
        <v>8404</v>
      </c>
      <c r="F253" t="s">
        <v>8403</v>
      </c>
      <c r="G253" t="s">
        <v>16</v>
      </c>
      <c r="H253" t="s">
        <v>15</v>
      </c>
      <c r="I253" t="s">
        <v>8402</v>
      </c>
      <c r="J253" t="s">
        <v>8401</v>
      </c>
      <c r="K253" t="s">
        <v>8400</v>
      </c>
      <c r="L253" t="s">
        <v>8399</v>
      </c>
      <c r="M253" t="s">
        <v>8398</v>
      </c>
      <c r="N253">
        <v>3</v>
      </c>
      <c r="O253" t="s">
        <v>8397</v>
      </c>
      <c r="P253" t="s">
        <v>8396</v>
      </c>
      <c r="Q253" t="s">
        <v>8395</v>
      </c>
      <c r="R253" s="7">
        <v>33239</v>
      </c>
      <c r="S253" s="8">
        <f t="shared" si="32"/>
        <v>1991</v>
      </c>
      <c r="T253" s="8">
        <v>1991</v>
      </c>
      <c r="U253" s="8">
        <f t="shared" si="33"/>
        <v>31</v>
      </c>
      <c r="V253" s="7">
        <v>33243</v>
      </c>
      <c r="W253" t="s">
        <v>561</v>
      </c>
      <c r="X253" s="2">
        <v>0.30399999999999999</v>
      </c>
      <c r="Y253" s="6">
        <f t="shared" si="30"/>
        <v>8.115106377299057E-3</v>
      </c>
      <c r="AA253">
        <v>8952477</v>
      </c>
      <c r="AB253">
        <v>12250</v>
      </c>
      <c r="AC253">
        <v>10982760</v>
      </c>
      <c r="AD253" t="s">
        <v>5</v>
      </c>
      <c r="AE253">
        <v>4</v>
      </c>
      <c r="AF253">
        <v>1</v>
      </c>
      <c r="AH253" s="9">
        <v>44539</v>
      </c>
      <c r="AI253" t="s">
        <v>8394</v>
      </c>
      <c r="AJ253" t="s">
        <v>8393</v>
      </c>
      <c r="AK253" t="s">
        <v>8392</v>
      </c>
      <c r="AL253">
        <v>31</v>
      </c>
      <c r="AM253" s="5">
        <f t="shared" si="34"/>
        <v>1</v>
      </c>
      <c r="AN253" s="4">
        <f t="shared" si="31"/>
        <v>1.5145778114350624E-3</v>
      </c>
      <c r="AO253" s="3"/>
      <c r="AP253">
        <v>0</v>
      </c>
      <c r="AR253" t="s">
        <v>0</v>
      </c>
      <c r="AT253" s="2" t="s">
        <v>33</v>
      </c>
      <c r="AU253" s="1">
        <f t="shared" si="35"/>
        <v>0.61349478075398578</v>
      </c>
      <c r="AV253" s="1">
        <f t="shared" si="36"/>
        <v>0.481484209436706</v>
      </c>
      <c r="AW253" s="1">
        <f t="shared" si="37"/>
        <v>0.34947363811942611</v>
      </c>
    </row>
    <row r="254" spans="1:49" x14ac:dyDescent="0.2">
      <c r="A254">
        <v>252</v>
      </c>
      <c r="B254" t="s">
        <v>8391</v>
      </c>
      <c r="C254" t="s">
        <v>8390</v>
      </c>
      <c r="F254" t="s">
        <v>8389</v>
      </c>
      <c r="G254" t="s">
        <v>16</v>
      </c>
      <c r="H254" t="s">
        <v>15</v>
      </c>
      <c r="I254" t="s">
        <v>5357</v>
      </c>
      <c r="J254">
        <v>60025778</v>
      </c>
      <c r="K254" t="s">
        <v>2395</v>
      </c>
      <c r="L254" t="s">
        <v>2394</v>
      </c>
      <c r="M254" t="s">
        <v>57</v>
      </c>
      <c r="N254">
        <v>3</v>
      </c>
      <c r="O254" t="s">
        <v>5457</v>
      </c>
      <c r="P254" t="s">
        <v>8388</v>
      </c>
      <c r="Q254" t="s">
        <v>5455</v>
      </c>
      <c r="R254" s="7">
        <v>33239</v>
      </c>
      <c r="S254" s="8">
        <f t="shared" si="32"/>
        <v>1991</v>
      </c>
      <c r="T254" s="8">
        <v>1991</v>
      </c>
      <c r="U254" s="8">
        <f t="shared" si="33"/>
        <v>31</v>
      </c>
      <c r="V254" s="7">
        <v>33243</v>
      </c>
      <c r="W254" t="s">
        <v>561</v>
      </c>
      <c r="X254" s="2">
        <v>0.30399999999999999</v>
      </c>
      <c r="Y254" s="6">
        <f t="shared" si="30"/>
        <v>8.115106377299057E-3</v>
      </c>
      <c r="AA254">
        <v>8952477</v>
      </c>
      <c r="AB254">
        <v>12250</v>
      </c>
      <c r="AC254">
        <v>10982760</v>
      </c>
      <c r="AD254" t="s">
        <v>5</v>
      </c>
      <c r="AE254">
        <v>4</v>
      </c>
      <c r="AF254">
        <v>1</v>
      </c>
      <c r="AH254" s="10">
        <v>42339</v>
      </c>
      <c r="AI254" t="s">
        <v>8387</v>
      </c>
      <c r="AJ254" t="s">
        <v>8386</v>
      </c>
      <c r="AK254" t="s">
        <v>8385</v>
      </c>
      <c r="AL254">
        <v>4</v>
      </c>
      <c r="AM254" s="5">
        <f t="shared" si="34"/>
        <v>0.12903225806451613</v>
      </c>
      <c r="AN254" s="4">
        <f t="shared" si="31"/>
        <v>1.9542939502387903E-4</v>
      </c>
      <c r="AO254" s="3"/>
      <c r="AP254">
        <v>0</v>
      </c>
      <c r="AR254" t="s">
        <v>0</v>
      </c>
      <c r="AT254" s="2" t="s">
        <v>33</v>
      </c>
      <c r="AU254" s="1">
        <f t="shared" si="35"/>
        <v>0.57392032826165029</v>
      </c>
      <c r="AV254" s="1">
        <f t="shared" si="36"/>
        <v>0.41552678861614678</v>
      </c>
      <c r="AW254" s="1">
        <f t="shared" si="37"/>
        <v>0.25713324897064327</v>
      </c>
    </row>
    <row r="255" spans="1:49" x14ac:dyDescent="0.2">
      <c r="A255">
        <v>253</v>
      </c>
      <c r="B255" t="s">
        <v>8384</v>
      </c>
      <c r="C255" t="s">
        <v>8383</v>
      </c>
      <c r="F255" t="s">
        <v>8382</v>
      </c>
      <c r="G255" t="s">
        <v>16</v>
      </c>
      <c r="H255" t="s">
        <v>15</v>
      </c>
      <c r="I255" t="s">
        <v>8381</v>
      </c>
      <c r="J255">
        <v>60012564</v>
      </c>
      <c r="K255" t="s">
        <v>5591</v>
      </c>
      <c r="L255" t="s">
        <v>5590</v>
      </c>
      <c r="M255" t="s">
        <v>57</v>
      </c>
      <c r="N255">
        <v>1</v>
      </c>
      <c r="O255" t="s">
        <v>8380</v>
      </c>
      <c r="P255">
        <v>7006479540</v>
      </c>
      <c r="Q255">
        <v>60012564</v>
      </c>
      <c r="R255" s="7">
        <v>33239</v>
      </c>
      <c r="S255" s="8">
        <f t="shared" si="32"/>
        <v>1991</v>
      </c>
      <c r="T255" s="8">
        <v>1991</v>
      </c>
      <c r="U255" s="8">
        <f t="shared" si="33"/>
        <v>31</v>
      </c>
      <c r="V255" s="7">
        <v>33573</v>
      </c>
      <c r="W255" t="s">
        <v>1807</v>
      </c>
      <c r="X255" s="2">
        <v>1.6519999999999999</v>
      </c>
      <c r="Y255" s="6">
        <f t="shared" si="30"/>
        <v>4.409919649769093E-2</v>
      </c>
      <c r="AA255" t="s">
        <v>1806</v>
      </c>
      <c r="AB255">
        <v>17337</v>
      </c>
      <c r="AC255">
        <v>15582221</v>
      </c>
      <c r="AD255" t="s">
        <v>5</v>
      </c>
      <c r="AE255">
        <v>39</v>
      </c>
      <c r="AF255">
        <v>12</v>
      </c>
      <c r="AH255" t="s">
        <v>8379</v>
      </c>
      <c r="AI255" t="s">
        <v>8378</v>
      </c>
      <c r="AK255" t="s">
        <v>8377</v>
      </c>
      <c r="AL255">
        <v>30</v>
      </c>
      <c r="AM255" s="5">
        <f t="shared" si="34"/>
        <v>0.967741935483871</v>
      </c>
      <c r="AN255" s="4">
        <f t="shared" si="31"/>
        <v>1.4657204626790927E-3</v>
      </c>
      <c r="AO255" s="3"/>
      <c r="AP255">
        <v>0</v>
      </c>
      <c r="AR255" t="s">
        <v>0</v>
      </c>
      <c r="AT255" s="2" t="s">
        <v>33</v>
      </c>
      <c r="AU255" s="1">
        <f t="shared" si="35"/>
        <v>3.1309153687187377</v>
      </c>
      <c r="AV255" s="1">
        <f t="shared" si="36"/>
        <v>2.2782458480185013</v>
      </c>
      <c r="AW255" s="1">
        <f t="shared" si="37"/>
        <v>1.4255763273182642</v>
      </c>
    </row>
    <row r="256" spans="1:49" x14ac:dyDescent="0.2">
      <c r="A256">
        <v>254</v>
      </c>
      <c r="B256" t="s">
        <v>8376</v>
      </c>
      <c r="C256" t="s">
        <v>8375</v>
      </c>
      <c r="F256" t="s">
        <v>8374</v>
      </c>
      <c r="G256" t="s">
        <v>16</v>
      </c>
      <c r="H256" t="s">
        <v>15</v>
      </c>
      <c r="I256" t="s">
        <v>8373</v>
      </c>
      <c r="J256">
        <v>60016218</v>
      </c>
      <c r="K256" t="s">
        <v>8372</v>
      </c>
      <c r="L256" t="s">
        <v>8371</v>
      </c>
      <c r="M256" t="s">
        <v>4520</v>
      </c>
      <c r="N256">
        <v>2</v>
      </c>
      <c r="O256" t="s">
        <v>8370</v>
      </c>
      <c r="P256" t="s">
        <v>8369</v>
      </c>
      <c r="Q256" t="s">
        <v>8368</v>
      </c>
      <c r="R256" s="7">
        <v>33239</v>
      </c>
      <c r="S256" s="8">
        <f t="shared" si="32"/>
        <v>1991</v>
      </c>
      <c r="T256" s="8">
        <v>1991</v>
      </c>
      <c r="U256" s="8">
        <f t="shared" si="33"/>
        <v>31</v>
      </c>
      <c r="V256" s="7" t="s">
        <v>8063</v>
      </c>
      <c r="W256" s="11" t="s">
        <v>2635</v>
      </c>
      <c r="X256" s="2">
        <v>2.383</v>
      </c>
      <c r="Y256" s="6">
        <f t="shared" si="30"/>
        <v>6.3612824003630442E-2</v>
      </c>
      <c r="AA256" t="s">
        <v>2634</v>
      </c>
      <c r="AB256">
        <v>101151</v>
      </c>
      <c r="AD256" t="s">
        <v>5</v>
      </c>
      <c r="AE256">
        <v>138</v>
      </c>
      <c r="AF256">
        <v>6</v>
      </c>
      <c r="AH256" t="s">
        <v>8367</v>
      </c>
      <c r="AI256" t="s">
        <v>8366</v>
      </c>
      <c r="AK256" t="s">
        <v>8365</v>
      </c>
      <c r="AL256">
        <v>15</v>
      </c>
      <c r="AM256" s="5">
        <f t="shared" si="34"/>
        <v>0.4838709677419355</v>
      </c>
      <c r="AN256" s="4">
        <f t="shared" si="31"/>
        <v>7.3286023133954637E-4</v>
      </c>
      <c r="AO256" s="3"/>
      <c r="AP256">
        <v>0</v>
      </c>
      <c r="AR256" t="s">
        <v>0</v>
      </c>
      <c r="AT256" s="2" t="s">
        <v>33</v>
      </c>
      <c r="AU256" s="1">
        <f t="shared" si="35"/>
        <v>4.4748834871943171</v>
      </c>
      <c r="AV256" s="1">
        <f t="shared" si="36"/>
        <v>3.2172842117484994</v>
      </c>
      <c r="AW256" s="1">
        <f t="shared" si="37"/>
        <v>1.9596849363026816</v>
      </c>
    </row>
    <row r="257" spans="1:49" x14ac:dyDescent="0.2">
      <c r="A257">
        <v>255</v>
      </c>
      <c r="B257" t="s">
        <v>8364</v>
      </c>
      <c r="C257" t="s">
        <v>8363</v>
      </c>
      <c r="F257" t="s">
        <v>8362</v>
      </c>
      <c r="G257" t="s">
        <v>16</v>
      </c>
      <c r="H257" t="s">
        <v>15</v>
      </c>
      <c r="I257" t="s">
        <v>8293</v>
      </c>
      <c r="J257">
        <v>60033387</v>
      </c>
      <c r="K257" t="s">
        <v>8292</v>
      </c>
      <c r="L257" t="s">
        <v>118</v>
      </c>
      <c r="M257" t="s">
        <v>117</v>
      </c>
      <c r="N257">
        <v>2</v>
      </c>
      <c r="O257" t="s">
        <v>8291</v>
      </c>
      <c r="P257" t="s">
        <v>8290</v>
      </c>
      <c r="Q257" t="s">
        <v>8289</v>
      </c>
      <c r="R257" s="7">
        <v>33239</v>
      </c>
      <c r="S257" s="8">
        <f t="shared" si="32"/>
        <v>1991</v>
      </c>
      <c r="T257" s="8">
        <v>1991</v>
      </c>
      <c r="U257" s="8">
        <f t="shared" si="33"/>
        <v>31</v>
      </c>
      <c r="V257" s="7" t="s">
        <v>8063</v>
      </c>
      <c r="W257" s="11" t="s">
        <v>2635</v>
      </c>
      <c r="X257" s="2">
        <v>2.383</v>
      </c>
      <c r="Y257" s="6">
        <f t="shared" si="30"/>
        <v>6.3612824003630442E-2</v>
      </c>
      <c r="AA257" t="s">
        <v>2634</v>
      </c>
      <c r="AB257">
        <v>101151</v>
      </c>
      <c r="AD257" t="s">
        <v>5</v>
      </c>
      <c r="AE257">
        <v>138</v>
      </c>
      <c r="AF257">
        <v>6</v>
      </c>
      <c r="AH257" t="s">
        <v>8361</v>
      </c>
      <c r="AI257" t="s">
        <v>8360</v>
      </c>
      <c r="AK257" t="s">
        <v>8359</v>
      </c>
      <c r="AL257">
        <v>9</v>
      </c>
      <c r="AM257" s="5">
        <f t="shared" si="34"/>
        <v>0.29032258064516131</v>
      </c>
      <c r="AN257" s="4">
        <f t="shared" si="31"/>
        <v>4.3971613880372783E-4</v>
      </c>
      <c r="AO257" s="3"/>
      <c r="AP257">
        <v>0</v>
      </c>
      <c r="AR257" t="s">
        <v>0</v>
      </c>
      <c r="AT257" s="2" t="s">
        <v>33</v>
      </c>
      <c r="AU257" s="1">
        <f t="shared" si="35"/>
        <v>4.4660891644182428</v>
      </c>
      <c r="AV257" s="1">
        <f t="shared" si="36"/>
        <v>3.2026270071217082</v>
      </c>
      <c r="AW257" s="1">
        <f t="shared" si="37"/>
        <v>1.9391648498251743</v>
      </c>
    </row>
    <row r="258" spans="1:49" x14ac:dyDescent="0.2">
      <c r="A258">
        <v>256</v>
      </c>
      <c r="B258" t="s">
        <v>8358</v>
      </c>
      <c r="C258" t="s">
        <v>8357</v>
      </c>
      <c r="F258" t="s">
        <v>8356</v>
      </c>
      <c r="G258" t="s">
        <v>16</v>
      </c>
      <c r="H258" t="s">
        <v>15</v>
      </c>
      <c r="I258" t="s">
        <v>8355</v>
      </c>
      <c r="J258" t="s">
        <v>8349</v>
      </c>
      <c r="K258" t="s">
        <v>8354</v>
      </c>
      <c r="L258" t="s">
        <v>8353</v>
      </c>
      <c r="M258" t="s">
        <v>8352</v>
      </c>
      <c r="N258">
        <v>2</v>
      </c>
      <c r="O258" t="s">
        <v>8351</v>
      </c>
      <c r="P258" t="s">
        <v>8350</v>
      </c>
      <c r="Q258" t="s">
        <v>8349</v>
      </c>
      <c r="R258" s="7">
        <v>33239</v>
      </c>
      <c r="S258" s="8">
        <f t="shared" si="32"/>
        <v>1991</v>
      </c>
      <c r="T258" s="8">
        <v>1991</v>
      </c>
      <c r="U258" s="8">
        <f t="shared" si="33"/>
        <v>31</v>
      </c>
      <c r="V258" s="7">
        <v>33573</v>
      </c>
      <c r="W258" t="s">
        <v>3042</v>
      </c>
      <c r="X258" s="2">
        <v>1.421</v>
      </c>
      <c r="Y258" s="6">
        <f t="shared" ref="Y258:Y321" si="38">(X258-$Z$4)/($Z$3-$Z$4)</f>
        <v>3.7932783428098561E-2</v>
      </c>
      <c r="AA258">
        <v>295981</v>
      </c>
      <c r="AB258">
        <v>12336</v>
      </c>
      <c r="AC258">
        <v>10970207</v>
      </c>
      <c r="AD258" t="s">
        <v>5</v>
      </c>
      <c r="AE258">
        <v>32</v>
      </c>
      <c r="AF258">
        <v>8</v>
      </c>
      <c r="AH258" t="s">
        <v>8348</v>
      </c>
      <c r="AI258" t="s">
        <v>8347</v>
      </c>
      <c r="AK258" t="s">
        <v>8346</v>
      </c>
      <c r="AL258">
        <v>77</v>
      </c>
      <c r="AM258" s="5">
        <f t="shared" si="34"/>
        <v>2.4838709677419355</v>
      </c>
      <c r="AN258" s="4">
        <f t="shared" ref="AN258:AN321" si="39">(AM258-$AO$4)/($AO$3-$AO$4)</f>
        <v>3.7620158542096714E-3</v>
      </c>
      <c r="AO258" s="3"/>
      <c r="AP258">
        <v>0</v>
      </c>
      <c r="AR258" t="s">
        <v>0</v>
      </c>
      <c r="AT258" s="2" t="s">
        <v>33</v>
      </c>
      <c r="AU258" s="1">
        <f t="shared" si="35"/>
        <v>2.7681553155931895</v>
      </c>
      <c r="AV258" s="1">
        <f t="shared" si="36"/>
        <v>2.0847399641154114</v>
      </c>
      <c r="AW258" s="1">
        <f t="shared" si="37"/>
        <v>1.4013246126376337</v>
      </c>
    </row>
    <row r="259" spans="1:49" x14ac:dyDescent="0.2">
      <c r="A259">
        <v>257</v>
      </c>
      <c r="B259" t="s">
        <v>8345</v>
      </c>
      <c r="C259" t="s">
        <v>8344</v>
      </c>
      <c r="F259" t="s">
        <v>8343</v>
      </c>
      <c r="G259" t="s">
        <v>16</v>
      </c>
      <c r="H259" t="s">
        <v>15</v>
      </c>
      <c r="I259" t="s">
        <v>8342</v>
      </c>
      <c r="J259">
        <v>60027550</v>
      </c>
      <c r="K259" t="s">
        <v>1338</v>
      </c>
      <c r="L259" t="s">
        <v>1337</v>
      </c>
      <c r="M259" t="s">
        <v>57</v>
      </c>
      <c r="N259">
        <v>2</v>
      </c>
      <c r="O259" t="s">
        <v>8341</v>
      </c>
      <c r="P259" t="s">
        <v>8340</v>
      </c>
      <c r="Q259" t="s">
        <v>1795</v>
      </c>
      <c r="R259" s="7">
        <v>33239</v>
      </c>
      <c r="S259" s="8">
        <f t="shared" si="32"/>
        <v>1991</v>
      </c>
      <c r="T259" s="8">
        <v>1991</v>
      </c>
      <c r="U259" s="8">
        <f t="shared" si="33"/>
        <v>31</v>
      </c>
      <c r="V259" s="7" t="s">
        <v>8063</v>
      </c>
      <c r="W259" s="11" t="s">
        <v>2635</v>
      </c>
      <c r="X259" s="2">
        <v>2.383</v>
      </c>
      <c r="Y259" s="6">
        <f t="shared" si="38"/>
        <v>6.3612824003630442E-2</v>
      </c>
      <c r="AA259" t="s">
        <v>2634</v>
      </c>
      <c r="AB259">
        <v>101151</v>
      </c>
      <c r="AD259" t="s">
        <v>5</v>
      </c>
      <c r="AE259">
        <v>138</v>
      </c>
      <c r="AF259">
        <v>6</v>
      </c>
      <c r="AH259" t="s">
        <v>8339</v>
      </c>
      <c r="AI259" t="s">
        <v>8338</v>
      </c>
      <c r="AK259" t="s">
        <v>8337</v>
      </c>
      <c r="AL259">
        <v>2</v>
      </c>
      <c r="AM259" s="5">
        <f t="shared" si="34"/>
        <v>6.4516129032258063E-2</v>
      </c>
      <c r="AN259" s="4">
        <f t="shared" si="39"/>
        <v>9.7714697511939517E-5</v>
      </c>
      <c r="AO259" s="3"/>
      <c r="AP259">
        <v>0</v>
      </c>
      <c r="AR259" t="s">
        <v>0</v>
      </c>
      <c r="AT259" s="2" t="s">
        <v>33</v>
      </c>
      <c r="AU259" s="1">
        <f t="shared" si="35"/>
        <v>4.4558291211794891</v>
      </c>
      <c r="AV259" s="1">
        <f t="shared" si="36"/>
        <v>3.1855269350571187</v>
      </c>
      <c r="AW259" s="1">
        <f t="shared" si="37"/>
        <v>1.9152247489347491</v>
      </c>
    </row>
    <row r="260" spans="1:49" x14ac:dyDescent="0.2">
      <c r="A260">
        <v>258</v>
      </c>
      <c r="B260" t="s">
        <v>8336</v>
      </c>
      <c r="C260" t="s">
        <v>8335</v>
      </c>
      <c r="F260" t="s">
        <v>8334</v>
      </c>
      <c r="G260" t="s">
        <v>16</v>
      </c>
      <c r="H260" t="s">
        <v>15</v>
      </c>
      <c r="I260" t="s">
        <v>8333</v>
      </c>
      <c r="J260">
        <v>60019102</v>
      </c>
      <c r="K260" t="s">
        <v>8332</v>
      </c>
      <c r="L260" t="s">
        <v>1408</v>
      </c>
      <c r="M260" t="s">
        <v>1407</v>
      </c>
      <c r="N260">
        <v>1</v>
      </c>
      <c r="O260" t="s">
        <v>8331</v>
      </c>
      <c r="P260">
        <v>24341657200</v>
      </c>
      <c r="Q260">
        <v>60019102</v>
      </c>
      <c r="R260" s="7">
        <v>33239</v>
      </c>
      <c r="S260" s="8">
        <f t="shared" si="32"/>
        <v>1991</v>
      </c>
      <c r="T260" s="8">
        <v>1991</v>
      </c>
      <c r="U260" s="8">
        <f t="shared" si="33"/>
        <v>31</v>
      </c>
      <c r="V260" s="7" t="s">
        <v>8063</v>
      </c>
      <c r="W260" s="11" t="s">
        <v>2635</v>
      </c>
      <c r="X260" s="2">
        <v>2.383</v>
      </c>
      <c r="Y260" s="6">
        <f t="shared" si="38"/>
        <v>6.3612824003630442E-2</v>
      </c>
      <c r="AA260" t="s">
        <v>2634</v>
      </c>
      <c r="AB260">
        <v>101151</v>
      </c>
      <c r="AD260" t="s">
        <v>5</v>
      </c>
      <c r="AE260">
        <v>138</v>
      </c>
      <c r="AF260">
        <v>6</v>
      </c>
      <c r="AH260" t="s">
        <v>8330</v>
      </c>
      <c r="AI260" t="s">
        <v>8329</v>
      </c>
      <c r="AK260" t="s">
        <v>8328</v>
      </c>
      <c r="AL260">
        <v>1</v>
      </c>
      <c r="AM260" s="5">
        <f t="shared" si="34"/>
        <v>3.2258064516129031E-2</v>
      </c>
      <c r="AN260" s="4">
        <f t="shared" si="39"/>
        <v>4.8857348755969758E-5</v>
      </c>
      <c r="AO260" s="3"/>
      <c r="AP260">
        <v>0</v>
      </c>
      <c r="AR260" t="s">
        <v>0</v>
      </c>
      <c r="AT260" s="2" t="s">
        <v>33</v>
      </c>
      <c r="AU260" s="1">
        <f t="shared" si="35"/>
        <v>4.4543634007168098</v>
      </c>
      <c r="AV260" s="1">
        <f t="shared" si="36"/>
        <v>3.1830840676193204</v>
      </c>
      <c r="AW260" s="1">
        <f t="shared" si="37"/>
        <v>1.9118047345218312</v>
      </c>
    </row>
    <row r="261" spans="1:49" x14ac:dyDescent="0.2">
      <c r="A261">
        <v>259</v>
      </c>
      <c r="B261" t="s">
        <v>8327</v>
      </c>
      <c r="C261" t="s">
        <v>8326</v>
      </c>
      <c r="F261" t="s">
        <v>8325</v>
      </c>
      <c r="G261" t="s">
        <v>16</v>
      </c>
      <c r="H261" t="s">
        <v>15</v>
      </c>
      <c r="I261" t="s">
        <v>8324</v>
      </c>
      <c r="J261" t="s">
        <v>8323</v>
      </c>
      <c r="K261" t="s">
        <v>8322</v>
      </c>
      <c r="L261" t="s">
        <v>8321</v>
      </c>
      <c r="M261" t="s">
        <v>8320</v>
      </c>
      <c r="N261">
        <v>5</v>
      </c>
      <c r="O261" t="s">
        <v>8319</v>
      </c>
      <c r="P261" t="s">
        <v>8318</v>
      </c>
      <c r="Q261" t="s">
        <v>8317</v>
      </c>
      <c r="R261" s="7">
        <v>33239</v>
      </c>
      <c r="S261" s="8">
        <f t="shared" si="32"/>
        <v>1991</v>
      </c>
      <c r="T261" s="8">
        <v>1991</v>
      </c>
      <c r="U261" s="8">
        <f t="shared" si="33"/>
        <v>31</v>
      </c>
      <c r="V261" s="7">
        <v>33573</v>
      </c>
      <c r="W261" t="s">
        <v>2613</v>
      </c>
      <c r="X261" s="2">
        <v>0.312</v>
      </c>
      <c r="Y261" s="6">
        <f t="shared" si="38"/>
        <v>8.3286618082806119E-3</v>
      </c>
      <c r="AA261">
        <v>9540695</v>
      </c>
      <c r="AB261">
        <v>61637</v>
      </c>
      <c r="AD261" t="s">
        <v>5</v>
      </c>
      <c r="AE261">
        <v>3</v>
      </c>
      <c r="AF261">
        <v>6</v>
      </c>
      <c r="AH261" t="s">
        <v>8316</v>
      </c>
      <c r="AI261" t="s">
        <v>8315</v>
      </c>
      <c r="AK261" t="s">
        <v>8314</v>
      </c>
      <c r="AL261">
        <v>1</v>
      </c>
      <c r="AM261" s="5">
        <f t="shared" si="34"/>
        <v>3.2258064516129031E-2</v>
      </c>
      <c r="AN261" s="4">
        <f t="shared" si="39"/>
        <v>4.8857348755969758E-5</v>
      </c>
      <c r="AO261" s="3"/>
      <c r="AP261">
        <v>0</v>
      </c>
      <c r="AR261" t="s">
        <v>0</v>
      </c>
      <c r="AT261" s="2" t="s">
        <v>33</v>
      </c>
      <c r="AU261" s="1">
        <f t="shared" si="35"/>
        <v>0.58447204704232192</v>
      </c>
      <c r="AV261" s="1">
        <f t="shared" si="36"/>
        <v>0.41887595785182907</v>
      </c>
      <c r="AW261" s="1">
        <f t="shared" si="37"/>
        <v>0.25327986866133623</v>
      </c>
    </row>
    <row r="262" spans="1:49" x14ac:dyDescent="0.2">
      <c r="A262">
        <v>260</v>
      </c>
      <c r="B262" t="s">
        <v>8313</v>
      </c>
      <c r="C262" t="s">
        <v>8312</v>
      </c>
      <c r="F262" t="s">
        <v>8311</v>
      </c>
      <c r="G262" t="s">
        <v>16</v>
      </c>
      <c r="H262" t="s">
        <v>15</v>
      </c>
      <c r="I262" t="s">
        <v>8310</v>
      </c>
      <c r="J262">
        <v>60032179</v>
      </c>
      <c r="K262" t="s">
        <v>4971</v>
      </c>
      <c r="L262" t="s">
        <v>4970</v>
      </c>
      <c r="M262" t="s">
        <v>57</v>
      </c>
      <c r="N262">
        <v>2</v>
      </c>
      <c r="O262" t="s">
        <v>8309</v>
      </c>
      <c r="P262" t="s">
        <v>8308</v>
      </c>
      <c r="Q262" t="s">
        <v>6980</v>
      </c>
      <c r="R262" s="7">
        <v>33239</v>
      </c>
      <c r="S262" s="8">
        <f t="shared" si="32"/>
        <v>1991</v>
      </c>
      <c r="T262" s="8">
        <v>1991</v>
      </c>
      <c r="U262" s="8">
        <f t="shared" si="33"/>
        <v>31</v>
      </c>
      <c r="V262" s="7">
        <v>33573</v>
      </c>
      <c r="W262" t="s">
        <v>1807</v>
      </c>
      <c r="X262" s="2">
        <v>1.6519999999999999</v>
      </c>
      <c r="Y262" s="6">
        <f t="shared" si="38"/>
        <v>4.409919649769093E-2</v>
      </c>
      <c r="AA262" t="s">
        <v>1806</v>
      </c>
      <c r="AB262">
        <v>17337</v>
      </c>
      <c r="AC262">
        <v>15582221</v>
      </c>
      <c r="AD262" t="s">
        <v>5</v>
      </c>
      <c r="AE262">
        <v>39</v>
      </c>
      <c r="AF262">
        <v>12</v>
      </c>
      <c r="AH262" t="s">
        <v>8307</v>
      </c>
      <c r="AI262" t="s">
        <v>8306</v>
      </c>
      <c r="AK262" t="s">
        <v>8305</v>
      </c>
      <c r="AL262">
        <v>20</v>
      </c>
      <c r="AM262" s="5">
        <f t="shared" si="34"/>
        <v>0.64516129032258063</v>
      </c>
      <c r="AN262" s="4">
        <f t="shared" si="39"/>
        <v>9.7714697511939509E-4</v>
      </c>
      <c r="AO262" s="3"/>
      <c r="AP262">
        <v>0</v>
      </c>
      <c r="AR262" t="s">
        <v>0</v>
      </c>
      <c r="AT262" s="2" t="s">
        <v>33</v>
      </c>
      <c r="AU262" s="1">
        <f t="shared" si="35"/>
        <v>3.1162581640919469</v>
      </c>
      <c r="AV262" s="1">
        <f t="shared" si="36"/>
        <v>2.2538171736405164</v>
      </c>
      <c r="AW262" s="1">
        <f t="shared" si="37"/>
        <v>1.3913761831890854</v>
      </c>
    </row>
    <row r="263" spans="1:49" x14ac:dyDescent="0.2">
      <c r="A263">
        <v>261</v>
      </c>
      <c r="B263" t="s">
        <v>8304</v>
      </c>
      <c r="C263" t="s">
        <v>8303</v>
      </c>
      <c r="F263" t="s">
        <v>8302</v>
      </c>
      <c r="G263" t="s">
        <v>16</v>
      </c>
      <c r="H263" t="s">
        <v>15</v>
      </c>
      <c r="I263" t="s">
        <v>8301</v>
      </c>
      <c r="J263">
        <v>60027271</v>
      </c>
      <c r="K263" t="s">
        <v>2494</v>
      </c>
      <c r="L263" t="s">
        <v>2493</v>
      </c>
      <c r="M263" t="s">
        <v>57</v>
      </c>
      <c r="N263">
        <v>1</v>
      </c>
      <c r="O263" t="s">
        <v>8300</v>
      </c>
      <c r="P263">
        <v>7005742679</v>
      </c>
      <c r="Q263">
        <v>60027271</v>
      </c>
      <c r="R263" s="7">
        <v>33239</v>
      </c>
      <c r="S263" s="8">
        <f t="shared" si="32"/>
        <v>1991</v>
      </c>
      <c r="T263" s="8">
        <v>1991</v>
      </c>
      <c r="U263" s="8">
        <f t="shared" si="33"/>
        <v>31</v>
      </c>
      <c r="V263" s="7">
        <v>33573</v>
      </c>
      <c r="W263" t="s">
        <v>4057</v>
      </c>
      <c r="X263" s="2">
        <v>0.46</v>
      </c>
      <c r="Y263" s="6">
        <f t="shared" si="38"/>
        <v>1.2279437281439364E-2</v>
      </c>
      <c r="AA263">
        <v>933813</v>
      </c>
      <c r="AB263">
        <v>28031</v>
      </c>
      <c r="AC263">
        <v>19399375</v>
      </c>
      <c r="AD263" t="s">
        <v>5</v>
      </c>
      <c r="AE263">
        <v>19</v>
      </c>
      <c r="AF263">
        <v>6</v>
      </c>
      <c r="AH263" t="s">
        <v>8299</v>
      </c>
      <c r="AI263" t="s">
        <v>8298</v>
      </c>
      <c r="AK263" t="s">
        <v>8297</v>
      </c>
      <c r="AL263">
        <v>72</v>
      </c>
      <c r="AM263" s="5">
        <f t="shared" si="34"/>
        <v>2.3225806451612905</v>
      </c>
      <c r="AN263" s="4">
        <f t="shared" si="39"/>
        <v>3.5177291104298227E-3</v>
      </c>
      <c r="AO263" s="3"/>
      <c r="AP263">
        <v>0</v>
      </c>
      <c r="AR263" t="s">
        <v>0</v>
      </c>
      <c r="AT263" s="2">
        <v>1.222</v>
      </c>
      <c r="AU263" s="1">
        <f t="shared" si="35"/>
        <v>0.96509248301364992</v>
      </c>
      <c r="AV263" s="1">
        <f t="shared" si="36"/>
        <v>0.78985831959345942</v>
      </c>
      <c r="AW263" s="1">
        <f t="shared" si="37"/>
        <v>0.61462415617326849</v>
      </c>
    </row>
    <row r="264" spans="1:49" x14ac:dyDescent="0.2">
      <c r="A264">
        <v>262</v>
      </c>
      <c r="B264" t="s">
        <v>8296</v>
      </c>
      <c r="C264" t="s">
        <v>8295</v>
      </c>
      <c r="F264" t="s">
        <v>8294</v>
      </c>
      <c r="G264" t="s">
        <v>16</v>
      </c>
      <c r="H264" t="s">
        <v>15</v>
      </c>
      <c r="I264" t="s">
        <v>8293</v>
      </c>
      <c r="J264">
        <v>60033387</v>
      </c>
      <c r="K264" t="s">
        <v>8292</v>
      </c>
      <c r="L264" t="s">
        <v>118</v>
      </c>
      <c r="M264" t="s">
        <v>117</v>
      </c>
      <c r="N264">
        <v>2</v>
      </c>
      <c r="O264" t="s">
        <v>8291</v>
      </c>
      <c r="P264" t="s">
        <v>8290</v>
      </c>
      <c r="Q264" t="s">
        <v>8289</v>
      </c>
      <c r="R264" s="7">
        <v>33239</v>
      </c>
      <c r="S264" s="8">
        <f t="shared" si="32"/>
        <v>1991</v>
      </c>
      <c r="T264" s="8">
        <v>1991</v>
      </c>
      <c r="U264" s="8">
        <f t="shared" si="33"/>
        <v>31</v>
      </c>
      <c r="V264" s="7" t="s">
        <v>8063</v>
      </c>
      <c r="W264" s="11" t="s">
        <v>2635</v>
      </c>
      <c r="X264" s="2">
        <v>2.383</v>
      </c>
      <c r="Y264" s="6">
        <f t="shared" si="38"/>
        <v>6.3612824003630442E-2</v>
      </c>
      <c r="AA264" t="s">
        <v>2634</v>
      </c>
      <c r="AB264">
        <v>101151</v>
      </c>
      <c r="AD264" t="s">
        <v>5</v>
      </c>
      <c r="AE264">
        <v>138</v>
      </c>
      <c r="AF264">
        <v>6</v>
      </c>
      <c r="AH264" t="s">
        <v>8288</v>
      </c>
      <c r="AI264" t="s">
        <v>8287</v>
      </c>
      <c r="AK264" t="s">
        <v>8286</v>
      </c>
      <c r="AL264">
        <v>33</v>
      </c>
      <c r="AM264" s="5">
        <f t="shared" si="34"/>
        <v>1.064516129032258</v>
      </c>
      <c r="AN264" s="4">
        <f t="shared" si="39"/>
        <v>1.6122925089470019E-3</v>
      </c>
      <c r="AO264" s="3"/>
      <c r="AP264">
        <v>0</v>
      </c>
      <c r="AR264" t="s">
        <v>0</v>
      </c>
      <c r="AT264" s="2" t="s">
        <v>33</v>
      </c>
      <c r="AU264" s="1">
        <f t="shared" si="35"/>
        <v>4.5012664555225408</v>
      </c>
      <c r="AV264" s="1">
        <f t="shared" si="36"/>
        <v>3.2612558256288717</v>
      </c>
      <c r="AW264" s="1">
        <f t="shared" si="37"/>
        <v>2.0212451957352036</v>
      </c>
    </row>
    <row r="265" spans="1:49" x14ac:dyDescent="0.2">
      <c r="A265">
        <v>263</v>
      </c>
      <c r="B265" t="s">
        <v>8285</v>
      </c>
      <c r="C265" t="s">
        <v>8284</v>
      </c>
      <c r="F265" t="s">
        <v>8283</v>
      </c>
      <c r="G265" t="s">
        <v>16</v>
      </c>
      <c r="H265" t="s">
        <v>15</v>
      </c>
      <c r="I265" t="s">
        <v>8282</v>
      </c>
      <c r="J265">
        <v>60026610</v>
      </c>
      <c r="K265" t="s">
        <v>8281</v>
      </c>
      <c r="L265" t="s">
        <v>8280</v>
      </c>
      <c r="M265" t="s">
        <v>57</v>
      </c>
      <c r="N265">
        <v>4</v>
      </c>
      <c r="O265" t="s">
        <v>8279</v>
      </c>
      <c r="P265" t="s">
        <v>8278</v>
      </c>
      <c r="Q265" t="s">
        <v>8277</v>
      </c>
      <c r="R265" s="7">
        <v>33239</v>
      </c>
      <c r="S265" s="8">
        <f t="shared" si="32"/>
        <v>1991</v>
      </c>
      <c r="T265" s="8">
        <v>1991</v>
      </c>
      <c r="U265" s="8">
        <f t="shared" si="33"/>
        <v>31</v>
      </c>
      <c r="V265" s="7" t="s">
        <v>8063</v>
      </c>
      <c r="W265" s="11" t="s">
        <v>2635</v>
      </c>
      <c r="X265" s="2">
        <v>2.383</v>
      </c>
      <c r="Y265" s="6">
        <f t="shared" si="38"/>
        <v>6.3612824003630442E-2</v>
      </c>
      <c r="AA265" t="s">
        <v>2634</v>
      </c>
      <c r="AB265">
        <v>101151</v>
      </c>
      <c r="AD265" t="s">
        <v>5</v>
      </c>
      <c r="AE265">
        <v>138</v>
      </c>
      <c r="AF265">
        <v>6</v>
      </c>
      <c r="AH265" t="s">
        <v>8276</v>
      </c>
      <c r="AI265" t="s">
        <v>8275</v>
      </c>
      <c r="AK265" t="s">
        <v>8274</v>
      </c>
      <c r="AL265">
        <v>11</v>
      </c>
      <c r="AM265" s="5">
        <f t="shared" si="34"/>
        <v>0.35483870967741937</v>
      </c>
      <c r="AN265" s="4">
        <f t="shared" si="39"/>
        <v>5.3743083631566731E-4</v>
      </c>
      <c r="AO265" s="3"/>
      <c r="AP265">
        <v>0</v>
      </c>
      <c r="AR265" t="s">
        <v>0</v>
      </c>
      <c r="AT265" s="2" t="s">
        <v>33</v>
      </c>
      <c r="AU265" s="1">
        <f t="shared" si="35"/>
        <v>4.4690206053436006</v>
      </c>
      <c r="AV265" s="1">
        <f t="shared" si="36"/>
        <v>3.2075127419973053</v>
      </c>
      <c r="AW265" s="1">
        <f t="shared" si="37"/>
        <v>1.94600487865101</v>
      </c>
    </row>
    <row r="266" spans="1:49" x14ac:dyDescent="0.2">
      <c r="A266">
        <v>264</v>
      </c>
      <c r="B266" t="s">
        <v>8273</v>
      </c>
      <c r="C266" t="s">
        <v>8272</v>
      </c>
      <c r="F266" t="s">
        <v>8271</v>
      </c>
      <c r="G266" t="s">
        <v>16</v>
      </c>
      <c r="H266" t="s">
        <v>15</v>
      </c>
      <c r="I266" t="s">
        <v>8270</v>
      </c>
      <c r="J266">
        <v>60011132</v>
      </c>
      <c r="K266" t="s">
        <v>8269</v>
      </c>
      <c r="L266" t="s">
        <v>8268</v>
      </c>
      <c r="M266" t="s">
        <v>57</v>
      </c>
      <c r="N266">
        <v>2</v>
      </c>
      <c r="O266" t="s">
        <v>8267</v>
      </c>
      <c r="P266" t="s">
        <v>8266</v>
      </c>
      <c r="Q266" t="s">
        <v>8265</v>
      </c>
      <c r="R266" s="7">
        <v>33239</v>
      </c>
      <c r="S266" s="8">
        <f t="shared" si="32"/>
        <v>1991</v>
      </c>
      <c r="T266" s="8">
        <v>1991</v>
      </c>
      <c r="U266" s="8">
        <f t="shared" si="33"/>
        <v>31</v>
      </c>
      <c r="V266" s="7" t="s">
        <v>8194</v>
      </c>
      <c r="W266" t="s">
        <v>8193</v>
      </c>
      <c r="X266" s="2" t="s">
        <v>33</v>
      </c>
      <c r="Y266" s="6" t="e">
        <f t="shared" si="38"/>
        <v>#VALUE!</v>
      </c>
      <c r="AA266">
        <v>281522</v>
      </c>
      <c r="AB266">
        <v>12174</v>
      </c>
      <c r="AC266">
        <v>21614296</v>
      </c>
      <c r="AD266" t="s">
        <v>5</v>
      </c>
      <c r="AE266">
        <v>38</v>
      </c>
      <c r="AF266">
        <v>4</v>
      </c>
      <c r="AH266" t="s">
        <v>8264</v>
      </c>
      <c r="AI266" t="s">
        <v>8263</v>
      </c>
      <c r="AK266" t="s">
        <v>8262</v>
      </c>
      <c r="AL266">
        <v>65</v>
      </c>
      <c r="AM266" s="5">
        <f t="shared" si="34"/>
        <v>2.096774193548387</v>
      </c>
      <c r="AN266" s="4">
        <f t="shared" si="39"/>
        <v>3.1757276691380342E-3</v>
      </c>
      <c r="AO266" s="3"/>
      <c r="AP266">
        <v>0</v>
      </c>
      <c r="AR266" t="s">
        <v>0</v>
      </c>
      <c r="AT266" s="2" t="s">
        <v>33</v>
      </c>
      <c r="AU266" s="1" t="e">
        <f t="shared" si="35"/>
        <v>#VALUE!</v>
      </c>
      <c r="AV266" s="1" t="e">
        <f t="shared" si="36"/>
        <v>#VALUE!</v>
      </c>
      <c r="AW266" s="1" t="e">
        <f t="shared" si="37"/>
        <v>#VALUE!</v>
      </c>
    </row>
    <row r="267" spans="1:49" x14ac:dyDescent="0.2">
      <c r="A267">
        <v>265</v>
      </c>
      <c r="B267" t="s">
        <v>8261</v>
      </c>
      <c r="C267" t="s">
        <v>8260</v>
      </c>
      <c r="F267" t="s">
        <v>8259</v>
      </c>
      <c r="G267" t="s">
        <v>16</v>
      </c>
      <c r="H267" t="s">
        <v>15</v>
      </c>
      <c r="I267" t="s">
        <v>8137</v>
      </c>
      <c r="J267">
        <v>60017366</v>
      </c>
      <c r="K267" t="s">
        <v>8136</v>
      </c>
      <c r="L267" t="s">
        <v>8135</v>
      </c>
      <c r="M267" t="s">
        <v>57</v>
      </c>
      <c r="N267">
        <v>3</v>
      </c>
      <c r="O267" t="s">
        <v>8258</v>
      </c>
      <c r="P267" t="s">
        <v>8257</v>
      </c>
      <c r="Q267" t="s">
        <v>8256</v>
      </c>
      <c r="R267" s="7">
        <v>33239</v>
      </c>
      <c r="S267" s="8">
        <f t="shared" si="32"/>
        <v>1991</v>
      </c>
      <c r="T267" s="8">
        <v>1991</v>
      </c>
      <c r="U267" s="8">
        <f t="shared" si="33"/>
        <v>31</v>
      </c>
      <c r="V267" s="7">
        <v>33573</v>
      </c>
      <c r="W267" t="s">
        <v>4440</v>
      </c>
      <c r="X267" s="2">
        <v>0.94</v>
      </c>
      <c r="Y267" s="6">
        <f t="shared" si="38"/>
        <v>2.5092763140332611E-2</v>
      </c>
      <c r="AA267">
        <v>10518207</v>
      </c>
      <c r="AB267">
        <v>63372</v>
      </c>
      <c r="AD267" t="s">
        <v>5</v>
      </c>
      <c r="AE267">
        <v>1</v>
      </c>
      <c r="AF267">
        <v>12</v>
      </c>
      <c r="AH267" t="s">
        <v>8255</v>
      </c>
      <c r="AI267" t="s">
        <v>8254</v>
      </c>
      <c r="AK267" t="s">
        <v>8253</v>
      </c>
      <c r="AL267">
        <v>8</v>
      </c>
      <c r="AM267" s="5">
        <f t="shared" si="34"/>
        <v>0.25806451612903225</v>
      </c>
      <c r="AN267" s="4">
        <f t="shared" si="39"/>
        <v>3.9085879004775807E-4</v>
      </c>
      <c r="AO267" s="3"/>
      <c r="AP267">
        <v>0</v>
      </c>
      <c r="AR267" t="s">
        <v>0</v>
      </c>
      <c r="AT267" s="2" t="s">
        <v>33</v>
      </c>
      <c r="AU267" s="1">
        <f t="shared" si="35"/>
        <v>1.7682191835247152</v>
      </c>
      <c r="AV267" s="1">
        <f t="shared" si="36"/>
        <v>1.2741810965190183</v>
      </c>
      <c r="AW267" s="1">
        <f t="shared" si="37"/>
        <v>0.78014300951332138</v>
      </c>
    </row>
    <row r="268" spans="1:49" x14ac:dyDescent="0.2">
      <c r="A268">
        <v>266</v>
      </c>
      <c r="B268" t="s">
        <v>8252</v>
      </c>
      <c r="C268" t="s">
        <v>8251</v>
      </c>
      <c r="F268" t="s">
        <v>8250</v>
      </c>
      <c r="G268" t="s">
        <v>16</v>
      </c>
      <c r="H268" t="s">
        <v>15</v>
      </c>
      <c r="I268" t="s">
        <v>8249</v>
      </c>
      <c r="J268">
        <v>60000745</v>
      </c>
      <c r="K268" t="s">
        <v>2506</v>
      </c>
      <c r="L268" t="s">
        <v>2505</v>
      </c>
      <c r="M268" t="s">
        <v>57</v>
      </c>
      <c r="N268">
        <v>2</v>
      </c>
      <c r="O268" t="s">
        <v>8248</v>
      </c>
      <c r="P268" t="s">
        <v>8247</v>
      </c>
      <c r="Q268" t="s">
        <v>2595</v>
      </c>
      <c r="R268" s="7">
        <v>33239</v>
      </c>
      <c r="S268" s="8">
        <f t="shared" si="32"/>
        <v>1991</v>
      </c>
      <c r="T268" s="8">
        <v>1991</v>
      </c>
      <c r="U268" s="8">
        <f t="shared" si="33"/>
        <v>31</v>
      </c>
      <c r="V268" s="7">
        <v>33573</v>
      </c>
      <c r="W268" t="s">
        <v>1807</v>
      </c>
      <c r="X268" s="2">
        <v>1.6519999999999999</v>
      </c>
      <c r="Y268" s="6">
        <f t="shared" si="38"/>
        <v>4.409919649769093E-2</v>
      </c>
      <c r="AA268" t="s">
        <v>1806</v>
      </c>
      <c r="AB268">
        <v>17337</v>
      </c>
      <c r="AC268">
        <v>15582221</v>
      </c>
      <c r="AD268" t="s">
        <v>5</v>
      </c>
      <c r="AE268">
        <v>39</v>
      </c>
      <c r="AF268">
        <v>12</v>
      </c>
      <c r="AH268" t="s">
        <v>8246</v>
      </c>
      <c r="AI268" t="s">
        <v>8245</v>
      </c>
      <c r="AK268" t="s">
        <v>8244</v>
      </c>
      <c r="AL268">
        <v>18</v>
      </c>
      <c r="AM268" s="5">
        <f t="shared" si="34"/>
        <v>0.58064516129032262</v>
      </c>
      <c r="AN268" s="4">
        <f t="shared" si="39"/>
        <v>8.7943227760745566E-4</v>
      </c>
      <c r="AO268" s="3"/>
      <c r="AP268">
        <v>0</v>
      </c>
      <c r="AR268" t="s">
        <v>0</v>
      </c>
      <c r="AT268" s="2" t="s">
        <v>33</v>
      </c>
      <c r="AU268" s="1">
        <f t="shared" si="35"/>
        <v>3.1133267231665886</v>
      </c>
      <c r="AV268" s="1">
        <f t="shared" si="36"/>
        <v>2.2489314387649193</v>
      </c>
      <c r="AW268" s="1">
        <f t="shared" si="37"/>
        <v>1.3845361543632497</v>
      </c>
    </row>
    <row r="269" spans="1:49" x14ac:dyDescent="0.2">
      <c r="A269">
        <v>267</v>
      </c>
      <c r="B269" t="s">
        <v>8243</v>
      </c>
      <c r="C269" t="s">
        <v>8242</v>
      </c>
      <c r="F269" t="s">
        <v>8241</v>
      </c>
      <c r="G269" t="s">
        <v>16</v>
      </c>
      <c r="H269" t="s">
        <v>15</v>
      </c>
      <c r="I269" t="s">
        <v>8240</v>
      </c>
      <c r="J269">
        <v>60010491</v>
      </c>
      <c r="K269" t="s">
        <v>3853</v>
      </c>
      <c r="L269" t="s">
        <v>3852</v>
      </c>
      <c r="M269" t="s">
        <v>57</v>
      </c>
      <c r="N269">
        <v>2</v>
      </c>
      <c r="O269" t="s">
        <v>8239</v>
      </c>
      <c r="P269" t="s">
        <v>8238</v>
      </c>
      <c r="Q269" t="s">
        <v>8237</v>
      </c>
      <c r="R269" s="7">
        <v>33239</v>
      </c>
      <c r="S269" s="8">
        <f t="shared" si="32"/>
        <v>1991</v>
      </c>
      <c r="T269" s="8">
        <v>1991</v>
      </c>
      <c r="U269" s="8">
        <f t="shared" si="33"/>
        <v>31</v>
      </c>
      <c r="V269" s="7" t="s">
        <v>8063</v>
      </c>
      <c r="W269" s="11" t="s">
        <v>2635</v>
      </c>
      <c r="X269" s="2">
        <v>2.383</v>
      </c>
      <c r="Y269" s="6">
        <f t="shared" si="38"/>
        <v>6.3612824003630442E-2</v>
      </c>
      <c r="AA269" t="s">
        <v>2634</v>
      </c>
      <c r="AB269">
        <v>101151</v>
      </c>
      <c r="AD269" t="s">
        <v>5</v>
      </c>
      <c r="AE269">
        <v>138</v>
      </c>
      <c r="AF269">
        <v>6</v>
      </c>
      <c r="AH269" t="s">
        <v>8236</v>
      </c>
      <c r="AI269" t="s">
        <v>8235</v>
      </c>
      <c r="AK269" t="s">
        <v>8234</v>
      </c>
      <c r="AL269">
        <v>46</v>
      </c>
      <c r="AM269" s="5">
        <f t="shared" si="34"/>
        <v>1.4838709677419355</v>
      </c>
      <c r="AN269" s="4">
        <f t="shared" si="39"/>
        <v>2.247438042774609E-3</v>
      </c>
      <c r="AO269" s="3"/>
      <c r="AP269">
        <v>0</v>
      </c>
      <c r="AR269" t="s">
        <v>0</v>
      </c>
      <c r="AT269" s="2" t="s">
        <v>33</v>
      </c>
      <c r="AU269" s="1">
        <f t="shared" si="35"/>
        <v>4.5203208215373696</v>
      </c>
      <c r="AV269" s="1">
        <f t="shared" si="36"/>
        <v>3.2930131023202525</v>
      </c>
      <c r="AW269" s="1">
        <f t="shared" si="37"/>
        <v>2.0657053831031358</v>
      </c>
    </row>
    <row r="270" spans="1:49" x14ac:dyDescent="0.2">
      <c r="A270">
        <v>268</v>
      </c>
      <c r="B270" t="s">
        <v>8233</v>
      </c>
      <c r="C270" t="s">
        <v>8232</v>
      </c>
      <c r="F270" t="s">
        <v>8231</v>
      </c>
      <c r="G270" t="s">
        <v>16</v>
      </c>
      <c r="H270" t="s">
        <v>15</v>
      </c>
      <c r="I270" t="s">
        <v>8230</v>
      </c>
      <c r="J270">
        <v>60027550</v>
      </c>
      <c r="K270" t="s">
        <v>1338</v>
      </c>
      <c r="L270" t="s">
        <v>1337</v>
      </c>
      <c r="M270" t="s">
        <v>57</v>
      </c>
      <c r="N270">
        <v>2</v>
      </c>
      <c r="O270" t="s">
        <v>8229</v>
      </c>
      <c r="P270" t="s">
        <v>8228</v>
      </c>
      <c r="Q270" t="s">
        <v>1795</v>
      </c>
      <c r="R270" s="7">
        <v>33239</v>
      </c>
      <c r="S270" s="8">
        <f t="shared" si="32"/>
        <v>1991</v>
      </c>
      <c r="T270" s="8">
        <v>1991</v>
      </c>
      <c r="U270" s="8">
        <f t="shared" si="33"/>
        <v>31</v>
      </c>
      <c r="V270" s="7">
        <v>33573</v>
      </c>
      <c r="W270" t="s">
        <v>1807</v>
      </c>
      <c r="X270" s="2">
        <v>1.6519999999999999</v>
      </c>
      <c r="Y270" s="6">
        <f t="shared" si="38"/>
        <v>4.409919649769093E-2</v>
      </c>
      <c r="AA270" t="s">
        <v>1806</v>
      </c>
      <c r="AB270">
        <v>17337</v>
      </c>
      <c r="AC270">
        <v>15582221</v>
      </c>
      <c r="AD270" t="s">
        <v>5</v>
      </c>
      <c r="AE270">
        <v>39</v>
      </c>
      <c r="AF270">
        <v>12</v>
      </c>
      <c r="AH270" t="s">
        <v>8227</v>
      </c>
      <c r="AI270" t="s">
        <v>8226</v>
      </c>
      <c r="AK270" t="s">
        <v>8225</v>
      </c>
      <c r="AL270">
        <v>8</v>
      </c>
      <c r="AM270" s="5">
        <f t="shared" si="34"/>
        <v>0.25806451612903225</v>
      </c>
      <c r="AN270" s="4">
        <f t="shared" si="39"/>
        <v>3.9085879004775807E-4</v>
      </c>
      <c r="AO270" s="3"/>
      <c r="AP270">
        <v>0</v>
      </c>
      <c r="AR270" t="s">
        <v>0</v>
      </c>
      <c r="AT270" s="2" t="s">
        <v>33</v>
      </c>
      <c r="AU270" s="1">
        <f t="shared" si="35"/>
        <v>3.0986695185397974</v>
      </c>
      <c r="AV270" s="1">
        <f t="shared" si="36"/>
        <v>2.2245027643869344</v>
      </c>
      <c r="AW270" s="1">
        <f t="shared" si="37"/>
        <v>1.3503360102340709</v>
      </c>
    </row>
    <row r="271" spans="1:49" x14ac:dyDescent="0.2">
      <c r="A271">
        <v>269</v>
      </c>
      <c r="B271" t="s">
        <v>8224</v>
      </c>
      <c r="C271" t="s">
        <v>8223</v>
      </c>
      <c r="F271" t="s">
        <v>8222</v>
      </c>
      <c r="G271" t="s">
        <v>16</v>
      </c>
      <c r="H271" t="s">
        <v>15</v>
      </c>
      <c r="I271" t="s">
        <v>6880</v>
      </c>
      <c r="J271">
        <v>60014313</v>
      </c>
      <c r="K271" t="s">
        <v>3229</v>
      </c>
      <c r="L271" t="s">
        <v>3228</v>
      </c>
      <c r="M271" t="s">
        <v>57</v>
      </c>
      <c r="N271">
        <v>2</v>
      </c>
      <c r="O271" t="s">
        <v>8221</v>
      </c>
      <c r="P271" t="s">
        <v>8220</v>
      </c>
      <c r="Q271" t="s">
        <v>8219</v>
      </c>
      <c r="R271" s="7">
        <v>33239</v>
      </c>
      <c r="S271" s="8">
        <f t="shared" si="32"/>
        <v>1991</v>
      </c>
      <c r="T271" s="8">
        <v>1991</v>
      </c>
      <c r="U271" s="8">
        <f t="shared" si="33"/>
        <v>31</v>
      </c>
      <c r="V271" s="7">
        <v>33573</v>
      </c>
      <c r="W271" t="s">
        <v>1807</v>
      </c>
      <c r="X271" s="2">
        <v>1.6519999999999999</v>
      </c>
      <c r="Y271" s="6">
        <f t="shared" si="38"/>
        <v>4.409919649769093E-2</v>
      </c>
      <c r="AA271" t="s">
        <v>1806</v>
      </c>
      <c r="AB271">
        <v>17337</v>
      </c>
      <c r="AC271">
        <v>15582221</v>
      </c>
      <c r="AD271" t="s">
        <v>5</v>
      </c>
      <c r="AE271">
        <v>39</v>
      </c>
      <c r="AF271">
        <v>12</v>
      </c>
      <c r="AH271" t="s">
        <v>8218</v>
      </c>
      <c r="AI271" t="s">
        <v>8217</v>
      </c>
      <c r="AK271" t="s">
        <v>8216</v>
      </c>
      <c r="AL271">
        <v>209</v>
      </c>
      <c r="AM271" s="5">
        <f t="shared" si="34"/>
        <v>6.741935483870968</v>
      </c>
      <c r="AN271" s="4">
        <f t="shared" si="39"/>
        <v>1.0211185889997679E-2</v>
      </c>
      <c r="AO271" s="3"/>
      <c r="AP271">
        <v>0</v>
      </c>
      <c r="AR271" t="s">
        <v>0</v>
      </c>
      <c r="AT271" s="2" t="s">
        <v>33</v>
      </c>
      <c r="AU271" s="1">
        <f t="shared" si="35"/>
        <v>3.3932793315382952</v>
      </c>
      <c r="AV271" s="1">
        <f t="shared" si="36"/>
        <v>2.7155191193844304</v>
      </c>
      <c r="AW271" s="1">
        <f t="shared" si="37"/>
        <v>2.0377589072305651</v>
      </c>
    </row>
    <row r="272" spans="1:49" x14ac:dyDescent="0.2">
      <c r="A272">
        <v>270</v>
      </c>
      <c r="B272" t="s">
        <v>8215</v>
      </c>
      <c r="C272" t="s">
        <v>8214</v>
      </c>
      <c r="F272" t="s">
        <v>8213</v>
      </c>
      <c r="G272" t="s">
        <v>16</v>
      </c>
      <c r="H272" t="s">
        <v>15</v>
      </c>
      <c r="I272" t="s">
        <v>8212</v>
      </c>
      <c r="J272">
        <v>60119141</v>
      </c>
      <c r="K272" t="s">
        <v>8211</v>
      </c>
      <c r="L272" t="s">
        <v>8210</v>
      </c>
      <c r="M272" t="s">
        <v>57</v>
      </c>
      <c r="N272">
        <v>4</v>
      </c>
      <c r="O272" t="s">
        <v>8209</v>
      </c>
      <c r="P272" t="s">
        <v>8208</v>
      </c>
      <c r="Q272" t="s">
        <v>8207</v>
      </c>
      <c r="R272" s="7">
        <v>33239</v>
      </c>
      <c r="S272" s="8">
        <f t="shared" si="32"/>
        <v>1991</v>
      </c>
      <c r="T272" s="8">
        <v>1991</v>
      </c>
      <c r="U272" s="8">
        <f t="shared" si="33"/>
        <v>31</v>
      </c>
      <c r="V272" s="7">
        <v>33573</v>
      </c>
      <c r="W272" t="s">
        <v>731</v>
      </c>
      <c r="X272" s="2">
        <v>1.3720000000000001</v>
      </c>
      <c r="Y272" s="6">
        <f t="shared" si="38"/>
        <v>3.662475641333654E-2</v>
      </c>
      <c r="AA272">
        <v>189480</v>
      </c>
      <c r="AB272">
        <v>17366</v>
      </c>
      <c r="AC272">
        <v>15579670</v>
      </c>
      <c r="AD272" t="s">
        <v>5</v>
      </c>
      <c r="AE272">
        <v>39</v>
      </c>
      <c r="AF272">
        <v>12</v>
      </c>
      <c r="AH272" t="s">
        <v>8206</v>
      </c>
      <c r="AI272" t="s">
        <v>8205</v>
      </c>
      <c r="AK272" t="s">
        <v>8204</v>
      </c>
      <c r="AL272">
        <v>5</v>
      </c>
      <c r="AM272" s="5">
        <f t="shared" si="34"/>
        <v>0.16129032258064516</v>
      </c>
      <c r="AN272" s="4">
        <f t="shared" si="39"/>
        <v>2.4428674377984877E-4</v>
      </c>
      <c r="AO272" s="3"/>
      <c r="AP272">
        <v>0</v>
      </c>
      <c r="AR272" t="s">
        <v>0</v>
      </c>
      <c r="AT272" s="2" t="s">
        <v>33</v>
      </c>
      <c r="AU272" s="1">
        <f t="shared" si="35"/>
        <v>2.5710615512469532</v>
      </c>
      <c r="AV272" s="1">
        <f t="shared" si="36"/>
        <v>1.8434521578558194</v>
      </c>
      <c r="AW272" s="1">
        <f t="shared" si="37"/>
        <v>1.1158427644646858</v>
      </c>
    </row>
    <row r="273" spans="1:49" x14ac:dyDescent="0.2">
      <c r="A273">
        <v>271</v>
      </c>
      <c r="B273" t="s">
        <v>8203</v>
      </c>
      <c r="C273" t="s">
        <v>8202</v>
      </c>
      <c r="F273" t="s">
        <v>8201</v>
      </c>
      <c r="G273" t="s">
        <v>16</v>
      </c>
      <c r="H273" t="s">
        <v>15</v>
      </c>
      <c r="I273" t="s">
        <v>8200</v>
      </c>
      <c r="J273" t="s">
        <v>8199</v>
      </c>
      <c r="K273" t="s">
        <v>8198</v>
      </c>
      <c r="L273" t="s">
        <v>6744</v>
      </c>
      <c r="M273" t="s">
        <v>821</v>
      </c>
      <c r="N273">
        <v>6</v>
      </c>
      <c r="O273" t="s">
        <v>8197</v>
      </c>
      <c r="P273" t="s">
        <v>8196</v>
      </c>
      <c r="Q273" t="s">
        <v>8195</v>
      </c>
      <c r="R273" s="7">
        <v>33239</v>
      </c>
      <c r="S273" s="8">
        <f t="shared" si="32"/>
        <v>1991</v>
      </c>
      <c r="T273" s="8">
        <v>1991</v>
      </c>
      <c r="U273" s="8">
        <f t="shared" si="33"/>
        <v>31</v>
      </c>
      <c r="V273" s="7" t="s">
        <v>8194</v>
      </c>
      <c r="W273" t="s">
        <v>8193</v>
      </c>
      <c r="X273" s="2" t="s">
        <v>33</v>
      </c>
      <c r="Y273" s="6" t="e">
        <f t="shared" si="38"/>
        <v>#VALUE!</v>
      </c>
      <c r="AA273">
        <v>281522</v>
      </c>
      <c r="AB273">
        <v>12174</v>
      </c>
      <c r="AC273">
        <v>21614296</v>
      </c>
      <c r="AD273" t="s">
        <v>5</v>
      </c>
      <c r="AE273">
        <v>38</v>
      </c>
      <c r="AF273">
        <v>4</v>
      </c>
      <c r="AH273" t="s">
        <v>8192</v>
      </c>
      <c r="AI273" t="s">
        <v>8191</v>
      </c>
      <c r="AK273" t="s">
        <v>8190</v>
      </c>
      <c r="AL273">
        <v>4</v>
      </c>
      <c r="AM273" s="5">
        <f t="shared" si="34"/>
        <v>0.12903225806451613</v>
      </c>
      <c r="AN273" s="4">
        <f t="shared" si="39"/>
        <v>1.9542939502387903E-4</v>
      </c>
      <c r="AO273" s="3"/>
      <c r="AP273">
        <v>0</v>
      </c>
      <c r="AR273" t="s">
        <v>0</v>
      </c>
      <c r="AT273" s="2" t="s">
        <v>33</v>
      </c>
      <c r="AU273" s="1" t="e">
        <f t="shared" si="35"/>
        <v>#VALUE!</v>
      </c>
      <c r="AV273" s="1" t="e">
        <f t="shared" si="36"/>
        <v>#VALUE!</v>
      </c>
      <c r="AW273" s="1" t="e">
        <f t="shared" si="37"/>
        <v>#VALUE!</v>
      </c>
    </row>
    <row r="274" spans="1:49" x14ac:dyDescent="0.2">
      <c r="A274">
        <v>272</v>
      </c>
      <c r="B274" t="s">
        <v>8189</v>
      </c>
      <c r="C274" t="s">
        <v>8188</v>
      </c>
      <c r="F274" t="s">
        <v>8187</v>
      </c>
      <c r="G274" t="s">
        <v>16</v>
      </c>
      <c r="H274" t="s">
        <v>15</v>
      </c>
      <c r="I274" t="s">
        <v>8186</v>
      </c>
      <c r="J274">
        <v>60015623</v>
      </c>
      <c r="K274" t="s">
        <v>2885</v>
      </c>
      <c r="L274" t="s">
        <v>513</v>
      </c>
      <c r="M274" t="s">
        <v>57</v>
      </c>
      <c r="N274">
        <v>1</v>
      </c>
      <c r="O274" t="s">
        <v>8185</v>
      </c>
      <c r="P274">
        <v>7004308862</v>
      </c>
      <c r="Q274">
        <v>60015623</v>
      </c>
      <c r="R274" s="7">
        <v>33239</v>
      </c>
      <c r="S274" s="8">
        <f t="shared" si="32"/>
        <v>1991</v>
      </c>
      <c r="T274" s="8">
        <v>1991</v>
      </c>
      <c r="U274" s="8">
        <f t="shared" si="33"/>
        <v>31</v>
      </c>
      <c r="V274" s="7">
        <v>33573</v>
      </c>
      <c r="W274" t="s">
        <v>731</v>
      </c>
      <c r="X274" s="2">
        <v>1.3720000000000001</v>
      </c>
      <c r="Y274" s="6">
        <f t="shared" si="38"/>
        <v>3.662475641333654E-2</v>
      </c>
      <c r="AA274">
        <v>189480</v>
      </c>
      <c r="AB274">
        <v>17366</v>
      </c>
      <c r="AC274">
        <v>15579670</v>
      </c>
      <c r="AD274" t="s">
        <v>5</v>
      </c>
      <c r="AE274">
        <v>39</v>
      </c>
      <c r="AF274">
        <v>12</v>
      </c>
      <c r="AH274" t="s">
        <v>8184</v>
      </c>
      <c r="AI274" t="s">
        <v>8183</v>
      </c>
      <c r="AK274" t="s">
        <v>8182</v>
      </c>
      <c r="AL274">
        <v>15</v>
      </c>
      <c r="AM274" s="5">
        <f t="shared" si="34"/>
        <v>0.4838709677419355</v>
      </c>
      <c r="AN274" s="4">
        <f t="shared" si="39"/>
        <v>7.3286023133954637E-4</v>
      </c>
      <c r="AO274" s="3"/>
      <c r="AP274">
        <v>0</v>
      </c>
      <c r="AR274" t="s">
        <v>0</v>
      </c>
      <c r="AT274" s="2" t="s">
        <v>33</v>
      </c>
      <c r="AU274" s="1">
        <f t="shared" si="35"/>
        <v>2.585718755873744</v>
      </c>
      <c r="AV274" s="1">
        <f t="shared" si="36"/>
        <v>1.8678808322338043</v>
      </c>
      <c r="AW274" s="1">
        <f t="shared" si="37"/>
        <v>1.1500429085938644</v>
      </c>
    </row>
    <row r="275" spans="1:49" x14ac:dyDescent="0.2">
      <c r="A275">
        <v>273</v>
      </c>
      <c r="B275" t="s">
        <v>8181</v>
      </c>
      <c r="C275" t="s">
        <v>8180</v>
      </c>
      <c r="F275" t="s">
        <v>8179</v>
      </c>
      <c r="G275" t="s">
        <v>16</v>
      </c>
      <c r="H275" t="s">
        <v>15</v>
      </c>
      <c r="I275" t="s">
        <v>8178</v>
      </c>
      <c r="J275" t="s">
        <v>8173</v>
      </c>
      <c r="K275" t="s">
        <v>8177</v>
      </c>
      <c r="L275" t="s">
        <v>8176</v>
      </c>
      <c r="M275" t="s">
        <v>133</v>
      </c>
      <c r="N275">
        <v>2</v>
      </c>
      <c r="O275" t="s">
        <v>8175</v>
      </c>
      <c r="P275" t="s">
        <v>8174</v>
      </c>
      <c r="Q275" t="s">
        <v>8173</v>
      </c>
      <c r="R275" s="7">
        <v>33239</v>
      </c>
      <c r="S275" s="8">
        <f t="shared" si="32"/>
        <v>1991</v>
      </c>
      <c r="T275" s="8">
        <v>1991</v>
      </c>
      <c r="U275" s="8">
        <f t="shared" si="33"/>
        <v>31</v>
      </c>
      <c r="V275" s="7">
        <v>33573</v>
      </c>
      <c r="W275" t="s">
        <v>1807</v>
      </c>
      <c r="X275" s="2">
        <v>1.6519999999999999</v>
      </c>
      <c r="Y275" s="6">
        <f t="shared" si="38"/>
        <v>4.409919649769093E-2</v>
      </c>
      <c r="AA275" t="s">
        <v>1806</v>
      </c>
      <c r="AB275">
        <v>17337</v>
      </c>
      <c r="AC275">
        <v>15582221</v>
      </c>
      <c r="AD275" t="s">
        <v>5</v>
      </c>
      <c r="AE275">
        <v>39</v>
      </c>
      <c r="AF275">
        <v>12</v>
      </c>
      <c r="AH275" t="s">
        <v>8172</v>
      </c>
      <c r="AI275" t="s">
        <v>8171</v>
      </c>
      <c r="AK275" t="s">
        <v>8170</v>
      </c>
      <c r="AL275">
        <v>127</v>
      </c>
      <c r="AM275" s="5">
        <f t="shared" si="34"/>
        <v>4.096774193548387</v>
      </c>
      <c r="AN275" s="4">
        <f t="shared" si="39"/>
        <v>6.2048832920081594E-3</v>
      </c>
      <c r="AO275" s="3"/>
      <c r="AP275">
        <v>0</v>
      </c>
      <c r="AR275" t="s">
        <v>0</v>
      </c>
      <c r="AT275" s="2" t="s">
        <v>33</v>
      </c>
      <c r="AU275" s="1">
        <f t="shared" si="35"/>
        <v>3.2730902535986095</v>
      </c>
      <c r="AV275" s="1">
        <f t="shared" si="36"/>
        <v>2.5152039894849545</v>
      </c>
      <c r="AW275" s="1">
        <f t="shared" si="37"/>
        <v>1.757317725371299</v>
      </c>
    </row>
    <row r="276" spans="1:49" x14ac:dyDescent="0.2">
      <c r="A276">
        <v>274</v>
      </c>
      <c r="B276" t="s">
        <v>8169</v>
      </c>
      <c r="C276" t="s">
        <v>8168</v>
      </c>
      <c r="F276" t="s">
        <v>8167</v>
      </c>
      <c r="G276" t="s">
        <v>16</v>
      </c>
      <c r="H276" t="s">
        <v>15</v>
      </c>
      <c r="I276" t="s">
        <v>8166</v>
      </c>
      <c r="J276">
        <v>60018179</v>
      </c>
      <c r="K276" t="s">
        <v>8165</v>
      </c>
      <c r="L276" t="s">
        <v>8164</v>
      </c>
      <c r="M276" t="s">
        <v>57</v>
      </c>
      <c r="N276">
        <v>2</v>
      </c>
      <c r="O276" t="s">
        <v>8163</v>
      </c>
      <c r="P276" t="s">
        <v>8162</v>
      </c>
      <c r="Q276" t="s">
        <v>8161</v>
      </c>
      <c r="R276" s="7">
        <v>33239</v>
      </c>
      <c r="S276" s="8">
        <f t="shared" si="32"/>
        <v>1991</v>
      </c>
      <c r="T276" s="8">
        <v>1991</v>
      </c>
      <c r="U276" s="8">
        <f t="shared" si="33"/>
        <v>31</v>
      </c>
      <c r="V276" s="7">
        <v>33573</v>
      </c>
      <c r="W276" t="s">
        <v>1807</v>
      </c>
      <c r="X276" s="2">
        <v>1.6519999999999999</v>
      </c>
      <c r="Y276" s="6">
        <f t="shared" si="38"/>
        <v>4.409919649769093E-2</v>
      </c>
      <c r="AA276" t="s">
        <v>1806</v>
      </c>
      <c r="AB276">
        <v>17337</v>
      </c>
      <c r="AC276">
        <v>15582221</v>
      </c>
      <c r="AD276" t="s">
        <v>5</v>
      </c>
      <c r="AE276">
        <v>39</v>
      </c>
      <c r="AF276">
        <v>12</v>
      </c>
      <c r="AH276" t="s">
        <v>8160</v>
      </c>
      <c r="AI276" t="s">
        <v>8159</v>
      </c>
      <c r="AK276" t="s">
        <v>8158</v>
      </c>
      <c r="AL276">
        <v>32</v>
      </c>
      <c r="AM276" s="5">
        <f t="shared" si="34"/>
        <v>1.032258064516129</v>
      </c>
      <c r="AN276" s="4">
        <f t="shared" si="39"/>
        <v>1.5634351601910323E-3</v>
      </c>
      <c r="AO276" s="3"/>
      <c r="AP276">
        <v>0</v>
      </c>
      <c r="AR276" t="s">
        <v>0</v>
      </c>
      <c r="AT276" s="2" t="s">
        <v>33</v>
      </c>
      <c r="AU276" s="1">
        <f t="shared" si="35"/>
        <v>3.1338468096440959</v>
      </c>
      <c r="AV276" s="1">
        <f t="shared" si="36"/>
        <v>2.2831315828940979</v>
      </c>
      <c r="AW276" s="1">
        <f t="shared" si="37"/>
        <v>1.4324163561441001</v>
      </c>
    </row>
    <row r="277" spans="1:49" x14ac:dyDescent="0.2">
      <c r="A277">
        <v>275</v>
      </c>
      <c r="B277" t="s">
        <v>8157</v>
      </c>
      <c r="C277" t="s">
        <v>8156</v>
      </c>
      <c r="F277" t="s">
        <v>8155</v>
      </c>
      <c r="G277" t="s">
        <v>16</v>
      </c>
      <c r="H277" t="s">
        <v>15</v>
      </c>
      <c r="I277" t="s">
        <v>3662</v>
      </c>
      <c r="J277">
        <v>60015186</v>
      </c>
      <c r="K277" t="s">
        <v>3584</v>
      </c>
      <c r="L277" t="s">
        <v>3583</v>
      </c>
      <c r="M277" t="s">
        <v>1543</v>
      </c>
      <c r="N277">
        <v>1</v>
      </c>
      <c r="O277" t="s">
        <v>8154</v>
      </c>
      <c r="P277">
        <v>7402673635</v>
      </c>
      <c r="Q277">
        <v>60015186</v>
      </c>
      <c r="R277" s="7">
        <v>33239</v>
      </c>
      <c r="S277" s="8">
        <f t="shared" si="32"/>
        <v>1991</v>
      </c>
      <c r="T277" s="8">
        <v>1991</v>
      </c>
      <c r="U277" s="8">
        <f t="shared" si="33"/>
        <v>31</v>
      </c>
      <c r="V277" s="7" t="s">
        <v>8063</v>
      </c>
      <c r="W277" s="11" t="s">
        <v>2635</v>
      </c>
      <c r="X277" s="2">
        <v>2.383</v>
      </c>
      <c r="Y277" s="6">
        <f t="shared" si="38"/>
        <v>6.3612824003630442E-2</v>
      </c>
      <c r="AA277" t="s">
        <v>2634</v>
      </c>
      <c r="AB277">
        <v>101151</v>
      </c>
      <c r="AD277" t="s">
        <v>5</v>
      </c>
      <c r="AE277">
        <v>138</v>
      </c>
      <c r="AF277">
        <v>6</v>
      </c>
      <c r="AH277" t="s">
        <v>8153</v>
      </c>
      <c r="AI277" t="s">
        <v>8152</v>
      </c>
      <c r="AK277" t="s">
        <v>8151</v>
      </c>
      <c r="AL277">
        <v>22</v>
      </c>
      <c r="AM277" s="5">
        <f t="shared" si="34"/>
        <v>0.70967741935483875</v>
      </c>
      <c r="AN277" s="4">
        <f t="shared" si="39"/>
        <v>1.0748616726313346E-3</v>
      </c>
      <c r="AO277" s="3"/>
      <c r="AP277">
        <v>0</v>
      </c>
      <c r="AR277" t="s">
        <v>0</v>
      </c>
      <c r="AT277" s="2" t="s">
        <v>33</v>
      </c>
      <c r="AU277" s="1">
        <f t="shared" si="35"/>
        <v>4.4851435304330707</v>
      </c>
      <c r="AV277" s="1">
        <f t="shared" si="36"/>
        <v>3.234384283813089</v>
      </c>
      <c r="AW277" s="1">
        <f t="shared" si="37"/>
        <v>1.9836250371931066</v>
      </c>
    </row>
    <row r="278" spans="1:49" x14ac:dyDescent="0.2">
      <c r="A278">
        <v>276</v>
      </c>
      <c r="B278" t="s">
        <v>8150</v>
      </c>
      <c r="C278" t="s">
        <v>8149</v>
      </c>
      <c r="F278" t="s">
        <v>8148</v>
      </c>
      <c r="G278" t="s">
        <v>16</v>
      </c>
      <c r="H278" t="s">
        <v>15</v>
      </c>
      <c r="I278" t="s">
        <v>8147</v>
      </c>
      <c r="J278" t="s">
        <v>2308</v>
      </c>
      <c r="K278" t="s">
        <v>2307</v>
      </c>
      <c r="L278" t="s">
        <v>2306</v>
      </c>
      <c r="M278" t="s">
        <v>133</v>
      </c>
      <c r="N278">
        <v>3</v>
      </c>
      <c r="O278" t="s">
        <v>8146</v>
      </c>
      <c r="P278" t="s">
        <v>8145</v>
      </c>
      <c r="Q278" t="s">
        <v>8144</v>
      </c>
      <c r="R278" s="7">
        <v>33239</v>
      </c>
      <c r="S278" s="8">
        <f t="shared" si="32"/>
        <v>1991</v>
      </c>
      <c r="T278" s="8">
        <v>1991</v>
      </c>
      <c r="U278" s="8">
        <f t="shared" si="33"/>
        <v>31</v>
      </c>
      <c r="V278" s="7">
        <v>33573</v>
      </c>
      <c r="W278" t="s">
        <v>1807</v>
      </c>
      <c r="X278" s="2">
        <v>1.6519999999999999</v>
      </c>
      <c r="Y278" s="6">
        <f t="shared" si="38"/>
        <v>4.409919649769093E-2</v>
      </c>
      <c r="AA278" t="s">
        <v>1806</v>
      </c>
      <c r="AB278">
        <v>17337</v>
      </c>
      <c r="AC278">
        <v>15582221</v>
      </c>
      <c r="AD278" t="s">
        <v>5</v>
      </c>
      <c r="AE278">
        <v>39</v>
      </c>
      <c r="AF278">
        <v>12</v>
      </c>
      <c r="AH278" t="s">
        <v>8143</v>
      </c>
      <c r="AI278" t="s">
        <v>8142</v>
      </c>
      <c r="AK278" t="s">
        <v>8141</v>
      </c>
      <c r="AL278">
        <v>32</v>
      </c>
      <c r="AM278" s="5">
        <f t="shared" si="34"/>
        <v>1.032258064516129</v>
      </c>
      <c r="AN278" s="4">
        <f t="shared" si="39"/>
        <v>1.5634351601910323E-3</v>
      </c>
      <c r="AO278" s="3"/>
      <c r="AP278">
        <v>0</v>
      </c>
      <c r="AR278" t="s">
        <v>0</v>
      </c>
      <c r="AT278" s="2" t="s">
        <v>33</v>
      </c>
      <c r="AU278" s="1">
        <f t="shared" si="35"/>
        <v>3.1338468096440959</v>
      </c>
      <c r="AV278" s="1">
        <f t="shared" si="36"/>
        <v>2.2831315828940979</v>
      </c>
      <c r="AW278" s="1">
        <f t="shared" si="37"/>
        <v>1.4324163561441001</v>
      </c>
    </row>
    <row r="279" spans="1:49" x14ac:dyDescent="0.2">
      <c r="A279">
        <v>277</v>
      </c>
      <c r="B279" t="s">
        <v>8140</v>
      </c>
      <c r="C279" t="s">
        <v>8139</v>
      </c>
      <c r="F279" t="s">
        <v>8138</v>
      </c>
      <c r="G279" t="s">
        <v>16</v>
      </c>
      <c r="H279" t="s">
        <v>15</v>
      </c>
      <c r="I279" t="s">
        <v>8137</v>
      </c>
      <c r="J279">
        <v>60017366</v>
      </c>
      <c r="K279" t="s">
        <v>8136</v>
      </c>
      <c r="L279" t="s">
        <v>8135</v>
      </c>
      <c r="M279" t="s">
        <v>57</v>
      </c>
      <c r="N279">
        <v>4</v>
      </c>
      <c r="O279" t="s">
        <v>8134</v>
      </c>
      <c r="P279" t="s">
        <v>8133</v>
      </c>
      <c r="Q279" t="s">
        <v>8132</v>
      </c>
      <c r="R279" s="7">
        <v>33239</v>
      </c>
      <c r="S279" s="8">
        <f t="shared" si="32"/>
        <v>1991</v>
      </c>
      <c r="T279" s="8">
        <v>1991</v>
      </c>
      <c r="U279" s="8">
        <f t="shared" si="33"/>
        <v>31</v>
      </c>
      <c r="V279" s="7">
        <v>33573</v>
      </c>
      <c r="W279" t="s">
        <v>4440</v>
      </c>
      <c r="X279" s="2">
        <v>0.94</v>
      </c>
      <c r="Y279" s="6">
        <f t="shared" si="38"/>
        <v>2.5092763140332611E-2</v>
      </c>
      <c r="AA279">
        <v>10518207</v>
      </c>
      <c r="AB279">
        <v>63372</v>
      </c>
      <c r="AD279" t="s">
        <v>5</v>
      </c>
      <c r="AE279">
        <v>1</v>
      </c>
      <c r="AF279">
        <v>12</v>
      </c>
      <c r="AH279" t="s">
        <v>8131</v>
      </c>
      <c r="AI279" t="s">
        <v>8130</v>
      </c>
      <c r="AK279" t="s">
        <v>8129</v>
      </c>
      <c r="AL279">
        <v>1</v>
      </c>
      <c r="AM279" s="5">
        <f t="shared" si="34"/>
        <v>3.2258064516129031E-2</v>
      </c>
      <c r="AN279" s="4">
        <f t="shared" si="39"/>
        <v>4.8857348755969758E-5</v>
      </c>
      <c r="AO279" s="3"/>
      <c r="AP279">
        <v>0</v>
      </c>
      <c r="AR279" t="s">
        <v>0</v>
      </c>
      <c r="AT279" s="2" t="s">
        <v>33</v>
      </c>
      <c r="AU279" s="1">
        <f t="shared" si="35"/>
        <v>1.757959140285962</v>
      </c>
      <c r="AV279" s="1">
        <f t="shared" si="36"/>
        <v>1.257081024454429</v>
      </c>
      <c r="AW279" s="1">
        <f t="shared" si="37"/>
        <v>0.75620290862289619</v>
      </c>
    </row>
    <row r="280" spans="1:49" x14ac:dyDescent="0.2">
      <c r="A280">
        <v>278</v>
      </c>
      <c r="B280" t="s">
        <v>8128</v>
      </c>
      <c r="C280" t="s">
        <v>8127</v>
      </c>
      <c r="F280" t="s">
        <v>8126</v>
      </c>
      <c r="G280" t="s">
        <v>16</v>
      </c>
      <c r="H280" t="s">
        <v>15</v>
      </c>
      <c r="I280" t="s">
        <v>7337</v>
      </c>
      <c r="J280" t="s">
        <v>7336</v>
      </c>
      <c r="K280" t="s">
        <v>7335</v>
      </c>
      <c r="L280" t="s">
        <v>7334</v>
      </c>
      <c r="M280" t="s">
        <v>133</v>
      </c>
      <c r="N280">
        <v>3</v>
      </c>
      <c r="O280" t="s">
        <v>8125</v>
      </c>
      <c r="P280" t="s">
        <v>8124</v>
      </c>
      <c r="Q280" t="s">
        <v>8123</v>
      </c>
      <c r="R280" s="7">
        <v>33239</v>
      </c>
      <c r="S280" s="8">
        <f t="shared" si="32"/>
        <v>1991</v>
      </c>
      <c r="T280" s="8">
        <v>1991</v>
      </c>
      <c r="U280" s="8">
        <f t="shared" si="33"/>
        <v>31</v>
      </c>
      <c r="V280" s="7">
        <v>33573</v>
      </c>
      <c r="W280" t="s">
        <v>1807</v>
      </c>
      <c r="X280" s="2">
        <v>1.6519999999999999</v>
      </c>
      <c r="Y280" s="6">
        <f t="shared" si="38"/>
        <v>4.409919649769093E-2</v>
      </c>
      <c r="AA280" t="s">
        <v>1806</v>
      </c>
      <c r="AB280">
        <v>17337</v>
      </c>
      <c r="AC280">
        <v>15582221</v>
      </c>
      <c r="AD280" t="s">
        <v>5</v>
      </c>
      <c r="AE280">
        <v>39</v>
      </c>
      <c r="AF280">
        <v>12</v>
      </c>
      <c r="AH280" t="s">
        <v>8122</v>
      </c>
      <c r="AI280" t="s">
        <v>8121</v>
      </c>
      <c r="AK280" t="s">
        <v>8120</v>
      </c>
      <c r="AL280">
        <v>25</v>
      </c>
      <c r="AM280" s="5">
        <f t="shared" si="34"/>
        <v>0.80645161290322576</v>
      </c>
      <c r="AN280" s="4">
        <f t="shared" si="39"/>
        <v>1.2214337188992438E-3</v>
      </c>
      <c r="AO280" s="3"/>
      <c r="AP280">
        <v>0</v>
      </c>
      <c r="AR280" t="s">
        <v>0</v>
      </c>
      <c r="AT280" s="2" t="s">
        <v>33</v>
      </c>
      <c r="AU280" s="1">
        <f t="shared" si="35"/>
        <v>3.1235867664053423</v>
      </c>
      <c r="AV280" s="1">
        <f t="shared" si="36"/>
        <v>2.2660315108295088</v>
      </c>
      <c r="AW280" s="1">
        <f t="shared" si="37"/>
        <v>1.4084762552536747</v>
      </c>
    </row>
    <row r="281" spans="1:49" x14ac:dyDescent="0.2">
      <c r="A281">
        <v>279</v>
      </c>
      <c r="B281" t="s">
        <v>8119</v>
      </c>
      <c r="C281" t="s">
        <v>8118</v>
      </c>
      <c r="F281" t="s">
        <v>8117</v>
      </c>
      <c r="G281" t="s">
        <v>16</v>
      </c>
      <c r="H281" t="s">
        <v>15</v>
      </c>
      <c r="I281" t="s">
        <v>5694</v>
      </c>
      <c r="J281">
        <v>60021378</v>
      </c>
      <c r="K281" t="s">
        <v>2542</v>
      </c>
      <c r="L281" t="s">
        <v>2541</v>
      </c>
      <c r="M281" t="s">
        <v>57</v>
      </c>
      <c r="N281">
        <v>1</v>
      </c>
      <c r="O281" t="s">
        <v>8116</v>
      </c>
      <c r="P281">
        <v>7401775859</v>
      </c>
      <c r="Q281">
        <v>60021378</v>
      </c>
      <c r="R281" s="7">
        <v>33239</v>
      </c>
      <c r="S281" s="8">
        <f t="shared" si="32"/>
        <v>1991</v>
      </c>
      <c r="T281" s="8">
        <v>1991</v>
      </c>
      <c r="U281" s="8">
        <f t="shared" si="33"/>
        <v>31</v>
      </c>
      <c r="V281" s="7">
        <v>33573</v>
      </c>
      <c r="W281" t="s">
        <v>1807</v>
      </c>
      <c r="X281" s="2">
        <v>1.6519999999999999</v>
      </c>
      <c r="Y281" s="6">
        <f t="shared" si="38"/>
        <v>4.409919649769093E-2</v>
      </c>
      <c r="AA281" t="s">
        <v>1806</v>
      </c>
      <c r="AB281">
        <v>17337</v>
      </c>
      <c r="AC281">
        <v>15582221</v>
      </c>
      <c r="AD281" t="s">
        <v>5</v>
      </c>
      <c r="AE281">
        <v>39</v>
      </c>
      <c r="AF281">
        <v>12</v>
      </c>
      <c r="AH281" t="s">
        <v>8115</v>
      </c>
      <c r="AI281" t="s">
        <v>8114</v>
      </c>
      <c r="AK281" t="s">
        <v>8113</v>
      </c>
      <c r="AL281">
        <v>8</v>
      </c>
      <c r="AM281" s="5">
        <f t="shared" si="34"/>
        <v>0.25806451612903225</v>
      </c>
      <c r="AN281" s="4">
        <f t="shared" si="39"/>
        <v>3.9085879004775807E-4</v>
      </c>
      <c r="AO281" s="3"/>
      <c r="AP281">
        <v>0</v>
      </c>
      <c r="AR281" t="s">
        <v>0</v>
      </c>
      <c r="AT281" s="2" t="s">
        <v>33</v>
      </c>
      <c r="AU281" s="1">
        <f t="shared" si="35"/>
        <v>3.0986695185397974</v>
      </c>
      <c r="AV281" s="1">
        <f t="shared" si="36"/>
        <v>2.2245027643869344</v>
      </c>
      <c r="AW281" s="1">
        <f t="shared" si="37"/>
        <v>1.3503360102340709</v>
      </c>
    </row>
    <row r="282" spans="1:49" x14ac:dyDescent="0.2">
      <c r="A282">
        <v>280</v>
      </c>
      <c r="B282" t="s">
        <v>8112</v>
      </c>
      <c r="C282" t="s">
        <v>8111</v>
      </c>
      <c r="F282" t="s">
        <v>8110</v>
      </c>
      <c r="G282" t="s">
        <v>16</v>
      </c>
      <c r="H282" t="s">
        <v>15</v>
      </c>
      <c r="I282" t="s">
        <v>8109</v>
      </c>
      <c r="J282" t="s">
        <v>8108</v>
      </c>
      <c r="K282" t="s">
        <v>8107</v>
      </c>
      <c r="L282" t="s">
        <v>8106</v>
      </c>
      <c r="M282" t="s">
        <v>1147</v>
      </c>
      <c r="N282">
        <v>1</v>
      </c>
      <c r="O282" t="s">
        <v>8105</v>
      </c>
      <c r="P282">
        <v>7101802161</v>
      </c>
      <c r="Q282" t="s">
        <v>8104</v>
      </c>
      <c r="R282" s="7">
        <v>33239</v>
      </c>
      <c r="S282" s="8">
        <f t="shared" si="32"/>
        <v>1991</v>
      </c>
      <c r="T282" s="8">
        <v>1991</v>
      </c>
      <c r="U282" s="8">
        <f t="shared" si="33"/>
        <v>31</v>
      </c>
      <c r="V282" s="7">
        <v>33573</v>
      </c>
      <c r="W282" t="s">
        <v>731</v>
      </c>
      <c r="X282" s="2">
        <v>1.3720000000000001</v>
      </c>
      <c r="Y282" s="6">
        <f t="shared" si="38"/>
        <v>3.662475641333654E-2</v>
      </c>
      <c r="AA282">
        <v>189480</v>
      </c>
      <c r="AB282">
        <v>17366</v>
      </c>
      <c r="AC282">
        <v>15579670</v>
      </c>
      <c r="AD282" t="s">
        <v>5</v>
      </c>
      <c r="AE282">
        <v>39</v>
      </c>
      <c r="AF282">
        <v>12</v>
      </c>
      <c r="AH282" t="s">
        <v>8103</v>
      </c>
      <c r="AI282" t="s">
        <v>8102</v>
      </c>
      <c r="AK282" t="s">
        <v>8101</v>
      </c>
      <c r="AL282">
        <v>47</v>
      </c>
      <c r="AM282" s="5">
        <f t="shared" si="34"/>
        <v>1.5161290322580645</v>
      </c>
      <c r="AN282" s="4">
        <f t="shared" si="39"/>
        <v>2.2962953915305786E-3</v>
      </c>
      <c r="AO282" s="3"/>
      <c r="AP282">
        <v>0</v>
      </c>
      <c r="AQ282" t="s">
        <v>2474</v>
      </c>
      <c r="AR282" t="s">
        <v>0</v>
      </c>
      <c r="AS282" t="s">
        <v>2473</v>
      </c>
      <c r="AT282" s="2" t="s">
        <v>33</v>
      </c>
      <c r="AU282" s="1">
        <f t="shared" si="35"/>
        <v>2.632621810679475</v>
      </c>
      <c r="AV282" s="1">
        <f t="shared" si="36"/>
        <v>1.9460525902433559</v>
      </c>
      <c r="AW282" s="1">
        <f t="shared" si="37"/>
        <v>1.2594833698072367</v>
      </c>
    </row>
    <row r="283" spans="1:49" x14ac:dyDescent="0.2">
      <c r="A283">
        <v>281</v>
      </c>
      <c r="B283" t="s">
        <v>8100</v>
      </c>
      <c r="C283" t="s">
        <v>8099</v>
      </c>
      <c r="F283" t="s">
        <v>8098</v>
      </c>
      <c r="G283" t="s">
        <v>16</v>
      </c>
      <c r="H283" t="s">
        <v>15</v>
      </c>
      <c r="I283" t="s">
        <v>8097</v>
      </c>
      <c r="J283">
        <v>120572718</v>
      </c>
      <c r="K283" t="s">
        <v>8096</v>
      </c>
      <c r="M283" t="s">
        <v>25</v>
      </c>
      <c r="N283">
        <v>1</v>
      </c>
      <c r="O283" t="s">
        <v>8095</v>
      </c>
      <c r="P283">
        <v>7004311323</v>
      </c>
      <c r="Q283">
        <v>120572718</v>
      </c>
      <c r="R283" s="7">
        <v>33239</v>
      </c>
      <c r="S283" s="8">
        <f t="shared" si="32"/>
        <v>1991</v>
      </c>
      <c r="T283" s="8">
        <v>1991</v>
      </c>
      <c r="U283" s="8">
        <f t="shared" si="33"/>
        <v>31</v>
      </c>
      <c r="V283" s="7" t="s">
        <v>8063</v>
      </c>
      <c r="W283" s="11" t="s">
        <v>4011</v>
      </c>
      <c r="X283" s="2">
        <v>2.383</v>
      </c>
      <c r="Y283" s="6">
        <f t="shared" si="38"/>
        <v>6.3612824003630442E-2</v>
      </c>
      <c r="AA283" t="s">
        <v>4010</v>
      </c>
      <c r="AB283">
        <v>96433</v>
      </c>
      <c r="AD283" t="s">
        <v>5</v>
      </c>
      <c r="AE283">
        <v>138</v>
      </c>
      <c r="AF283">
        <v>6</v>
      </c>
      <c r="AH283" t="s">
        <v>8094</v>
      </c>
      <c r="AI283" t="s">
        <v>8093</v>
      </c>
      <c r="AK283" t="s">
        <v>8092</v>
      </c>
      <c r="AL283">
        <v>8</v>
      </c>
      <c r="AM283" s="5">
        <f t="shared" si="34"/>
        <v>0.25806451612903225</v>
      </c>
      <c r="AN283" s="4">
        <f t="shared" si="39"/>
        <v>3.9085879004775807E-4</v>
      </c>
      <c r="AO283" s="3"/>
      <c r="AP283">
        <v>0</v>
      </c>
      <c r="AR283" t="s">
        <v>0</v>
      </c>
      <c r="AT283" s="2" t="s">
        <v>33</v>
      </c>
      <c r="AU283" s="1">
        <f t="shared" si="35"/>
        <v>4.4646234439555634</v>
      </c>
      <c r="AV283" s="1">
        <f t="shared" si="36"/>
        <v>3.2001841396839099</v>
      </c>
      <c r="AW283" s="1">
        <f t="shared" si="37"/>
        <v>1.9357448354122564</v>
      </c>
    </row>
    <row r="284" spans="1:49" x14ac:dyDescent="0.2">
      <c r="A284">
        <v>282</v>
      </c>
      <c r="B284" t="s">
        <v>8091</v>
      </c>
      <c r="C284" t="s">
        <v>8090</v>
      </c>
      <c r="F284" t="s">
        <v>8089</v>
      </c>
      <c r="G284" t="s">
        <v>16</v>
      </c>
      <c r="H284" t="s">
        <v>15</v>
      </c>
      <c r="I284" t="s">
        <v>8088</v>
      </c>
      <c r="J284">
        <v>60027165</v>
      </c>
      <c r="K284" t="s">
        <v>8087</v>
      </c>
      <c r="L284" t="s">
        <v>8086</v>
      </c>
      <c r="M284" t="s">
        <v>57</v>
      </c>
      <c r="N284">
        <v>2</v>
      </c>
      <c r="O284" t="s">
        <v>8085</v>
      </c>
      <c r="P284" t="s">
        <v>8084</v>
      </c>
      <c r="Q284" t="s">
        <v>8083</v>
      </c>
      <c r="R284" s="7">
        <v>33239</v>
      </c>
      <c r="S284" s="8">
        <f t="shared" si="32"/>
        <v>1991</v>
      </c>
      <c r="T284" s="8">
        <v>1991</v>
      </c>
      <c r="U284" s="8">
        <f t="shared" si="33"/>
        <v>31</v>
      </c>
      <c r="V284" s="7">
        <v>33573</v>
      </c>
      <c r="W284" t="s">
        <v>8082</v>
      </c>
      <c r="X284" s="2">
        <v>0.46700000000000003</v>
      </c>
      <c r="Y284" s="6">
        <f t="shared" si="38"/>
        <v>1.2466298283548225E-2</v>
      </c>
      <c r="AA284">
        <v>10518223</v>
      </c>
      <c r="AB284">
        <v>26026</v>
      </c>
      <c r="AC284">
        <v>15582515</v>
      </c>
      <c r="AD284" t="s">
        <v>5</v>
      </c>
      <c r="AE284">
        <v>1</v>
      </c>
      <c r="AF284">
        <v>4</v>
      </c>
      <c r="AH284" t="s">
        <v>8081</v>
      </c>
      <c r="AI284" t="s">
        <v>8080</v>
      </c>
      <c r="AK284" t="s">
        <v>8079</v>
      </c>
      <c r="AL284">
        <v>8</v>
      </c>
      <c r="AM284" s="5">
        <f t="shared" si="34"/>
        <v>0.25806451612903225</v>
      </c>
      <c r="AN284" s="4">
        <f t="shared" si="39"/>
        <v>3.9085879004775807E-4</v>
      </c>
      <c r="AO284" s="3"/>
      <c r="AP284">
        <v>0</v>
      </c>
      <c r="AR284" t="s">
        <v>0</v>
      </c>
      <c r="AT284" s="2" t="s">
        <v>33</v>
      </c>
      <c r="AU284" s="1">
        <f t="shared" si="35"/>
        <v>0.88436664354980854</v>
      </c>
      <c r="AV284" s="1">
        <f t="shared" si="36"/>
        <v>0.64285785367979909</v>
      </c>
      <c r="AW284" s="1">
        <f t="shared" si="37"/>
        <v>0.4013490638097898</v>
      </c>
    </row>
    <row r="285" spans="1:49" x14ac:dyDescent="0.2">
      <c r="A285">
        <v>283</v>
      </c>
      <c r="B285" t="s">
        <v>8078</v>
      </c>
      <c r="C285" t="s">
        <v>8077</v>
      </c>
      <c r="F285" t="s">
        <v>8076</v>
      </c>
      <c r="G285" t="s">
        <v>16</v>
      </c>
      <c r="H285" t="s">
        <v>15</v>
      </c>
      <c r="I285" t="s">
        <v>8075</v>
      </c>
      <c r="J285">
        <v>60020661</v>
      </c>
      <c r="K285" t="s">
        <v>3883</v>
      </c>
      <c r="L285" t="s">
        <v>3882</v>
      </c>
      <c r="M285" t="s">
        <v>117</v>
      </c>
      <c r="N285">
        <v>2</v>
      </c>
      <c r="O285" t="s">
        <v>8074</v>
      </c>
      <c r="P285" t="s">
        <v>8073</v>
      </c>
      <c r="Q285" t="s">
        <v>3879</v>
      </c>
      <c r="R285" s="7">
        <v>33239</v>
      </c>
      <c r="S285" s="8">
        <f t="shared" si="32"/>
        <v>1991</v>
      </c>
      <c r="T285" s="8">
        <v>1991</v>
      </c>
      <c r="U285" s="8">
        <f t="shared" si="33"/>
        <v>31</v>
      </c>
      <c r="V285" s="7" t="s">
        <v>8063</v>
      </c>
      <c r="W285" s="11" t="s">
        <v>3878</v>
      </c>
      <c r="X285" s="2">
        <v>2.383</v>
      </c>
      <c r="Y285" s="6">
        <f t="shared" si="38"/>
        <v>6.3612824003630442E-2</v>
      </c>
      <c r="AA285">
        <v>9563776</v>
      </c>
      <c r="AB285">
        <v>68339</v>
      </c>
      <c r="AD285" t="s">
        <v>5</v>
      </c>
      <c r="AE285">
        <v>138</v>
      </c>
      <c r="AF285">
        <v>6</v>
      </c>
      <c r="AH285" t="s">
        <v>8072</v>
      </c>
      <c r="AI285" t="s">
        <v>8071</v>
      </c>
      <c r="AK285" t="s">
        <v>8070</v>
      </c>
      <c r="AL285">
        <v>105</v>
      </c>
      <c r="AM285" s="5">
        <f t="shared" si="34"/>
        <v>3.3870967741935485</v>
      </c>
      <c r="AN285" s="4">
        <f t="shared" si="39"/>
        <v>5.1300216193768244E-3</v>
      </c>
      <c r="AO285" s="3"/>
      <c r="AP285">
        <v>0</v>
      </c>
      <c r="AR285" t="s">
        <v>0</v>
      </c>
      <c r="AT285" s="2" t="s">
        <v>33</v>
      </c>
      <c r="AU285" s="1">
        <f t="shared" si="35"/>
        <v>4.6067983288354357</v>
      </c>
      <c r="AV285" s="1">
        <f t="shared" si="36"/>
        <v>3.4371422811503636</v>
      </c>
      <c r="AW285" s="1">
        <f t="shared" si="37"/>
        <v>2.267486233465291</v>
      </c>
    </row>
    <row r="286" spans="1:49" x14ac:dyDescent="0.2">
      <c r="A286">
        <v>284</v>
      </c>
      <c r="B286" t="s">
        <v>8069</v>
      </c>
      <c r="C286" t="s">
        <v>8068</v>
      </c>
      <c r="F286" t="s">
        <v>8067</v>
      </c>
      <c r="G286" t="s">
        <v>16</v>
      </c>
      <c r="H286" t="s">
        <v>15</v>
      </c>
      <c r="I286" t="s">
        <v>8066</v>
      </c>
      <c r="J286">
        <v>60020661</v>
      </c>
      <c r="K286" t="s">
        <v>3883</v>
      </c>
      <c r="L286" t="s">
        <v>3882</v>
      </c>
      <c r="M286" t="s">
        <v>117</v>
      </c>
      <c r="N286">
        <v>2</v>
      </c>
      <c r="O286" t="s">
        <v>8065</v>
      </c>
      <c r="P286" t="s">
        <v>8064</v>
      </c>
      <c r="Q286" t="s">
        <v>3879</v>
      </c>
      <c r="R286" s="7">
        <v>33239</v>
      </c>
      <c r="S286" s="8">
        <f t="shared" si="32"/>
        <v>1991</v>
      </c>
      <c r="T286" s="8">
        <v>1991</v>
      </c>
      <c r="U286" s="8">
        <f t="shared" si="33"/>
        <v>31</v>
      </c>
      <c r="V286" s="7" t="s">
        <v>8063</v>
      </c>
      <c r="W286" s="11" t="s">
        <v>3878</v>
      </c>
      <c r="X286" s="2">
        <v>2.383</v>
      </c>
      <c r="Y286" s="6">
        <f t="shared" si="38"/>
        <v>6.3612824003630442E-2</v>
      </c>
      <c r="AA286">
        <v>9563776</v>
      </c>
      <c r="AB286">
        <v>68339</v>
      </c>
      <c r="AD286" t="s">
        <v>5</v>
      </c>
      <c r="AE286">
        <v>138</v>
      </c>
      <c r="AF286">
        <v>6</v>
      </c>
      <c r="AH286" t="s">
        <v>8062</v>
      </c>
      <c r="AI286" t="s">
        <v>8061</v>
      </c>
      <c r="AK286" t="s">
        <v>8060</v>
      </c>
      <c r="AL286">
        <v>38</v>
      </c>
      <c r="AM286" s="5">
        <f t="shared" si="34"/>
        <v>1.2258064516129032</v>
      </c>
      <c r="AN286" s="4">
        <f t="shared" si="39"/>
        <v>1.8565792527268509E-3</v>
      </c>
      <c r="AO286" s="3"/>
      <c r="AP286">
        <v>0</v>
      </c>
      <c r="AR286" t="s">
        <v>0</v>
      </c>
      <c r="AT286" s="2" t="s">
        <v>33</v>
      </c>
      <c r="AU286" s="1">
        <f t="shared" si="35"/>
        <v>4.5085950578359366</v>
      </c>
      <c r="AV286" s="1">
        <f t="shared" si="36"/>
        <v>3.2734701628178646</v>
      </c>
      <c r="AW286" s="1">
        <f t="shared" si="37"/>
        <v>2.0383452677997926</v>
      </c>
    </row>
    <row r="287" spans="1:49" x14ac:dyDescent="0.2">
      <c r="A287">
        <v>285</v>
      </c>
      <c r="B287" t="s">
        <v>8059</v>
      </c>
      <c r="C287" t="s">
        <v>8058</v>
      </c>
      <c r="F287" t="s">
        <v>8057</v>
      </c>
      <c r="G287" t="s">
        <v>16</v>
      </c>
      <c r="H287" t="s">
        <v>15</v>
      </c>
      <c r="I287" t="s">
        <v>8056</v>
      </c>
      <c r="J287">
        <v>60026415</v>
      </c>
      <c r="K287" t="s">
        <v>5274</v>
      </c>
      <c r="L287" t="s">
        <v>5273</v>
      </c>
      <c r="M287" t="s">
        <v>57</v>
      </c>
      <c r="N287">
        <v>1</v>
      </c>
      <c r="O287" t="s">
        <v>8055</v>
      </c>
      <c r="P287">
        <v>7202000025</v>
      </c>
      <c r="Q287">
        <v>60026415</v>
      </c>
      <c r="R287" s="7">
        <v>33239</v>
      </c>
      <c r="S287" s="8">
        <f t="shared" si="32"/>
        <v>1991</v>
      </c>
      <c r="T287" s="8">
        <v>1991</v>
      </c>
      <c r="U287" s="8">
        <f t="shared" si="33"/>
        <v>31</v>
      </c>
      <c r="V287" s="7">
        <v>33573</v>
      </c>
      <c r="W287" t="s">
        <v>8054</v>
      </c>
      <c r="X287" s="2">
        <v>0.50800000000000001</v>
      </c>
      <c r="Y287" s="6">
        <f t="shared" si="38"/>
        <v>1.356076986732869E-2</v>
      </c>
      <c r="AA287">
        <v>8000395</v>
      </c>
      <c r="AB287">
        <v>22310</v>
      </c>
      <c r="AC287">
        <v>17518369</v>
      </c>
      <c r="AD287" t="s">
        <v>5</v>
      </c>
      <c r="AE287">
        <v>10</v>
      </c>
      <c r="AF287">
        <v>2</v>
      </c>
      <c r="AH287" t="s">
        <v>8053</v>
      </c>
      <c r="AI287" t="s">
        <v>8052</v>
      </c>
      <c r="AK287" t="s">
        <v>8051</v>
      </c>
      <c r="AL287">
        <v>32</v>
      </c>
      <c r="AM287" s="5">
        <f t="shared" si="34"/>
        <v>1.032258064516129</v>
      </c>
      <c r="AN287" s="4">
        <f t="shared" si="39"/>
        <v>1.5634351601910323E-3</v>
      </c>
      <c r="AO287" s="3"/>
      <c r="AP287">
        <v>0</v>
      </c>
      <c r="AR287" t="s">
        <v>0</v>
      </c>
      <c r="AT287" s="2">
        <v>1.6120000000000001</v>
      </c>
      <c r="AU287" s="1">
        <f t="shared" si="35"/>
        <v>0.99615694551873935</v>
      </c>
      <c r="AV287" s="1">
        <f t="shared" si="36"/>
        <v>0.75621025137598608</v>
      </c>
      <c r="AW287" s="1">
        <f t="shared" si="37"/>
        <v>0.51626355723323292</v>
      </c>
    </row>
    <row r="288" spans="1:49" x14ac:dyDescent="0.2">
      <c r="A288">
        <v>286</v>
      </c>
      <c r="B288" t="s">
        <v>8050</v>
      </c>
      <c r="C288" t="s">
        <v>8049</v>
      </c>
      <c r="F288" t="s">
        <v>8048</v>
      </c>
      <c r="G288" t="s">
        <v>16</v>
      </c>
      <c r="H288" t="s">
        <v>15</v>
      </c>
      <c r="I288" t="s">
        <v>8047</v>
      </c>
      <c r="N288">
        <v>2</v>
      </c>
      <c r="O288" t="s">
        <v>8046</v>
      </c>
      <c r="P288" t="s">
        <v>8045</v>
      </c>
      <c r="Q288" t="s">
        <v>592</v>
      </c>
      <c r="R288" s="7">
        <v>33239</v>
      </c>
      <c r="S288" s="8">
        <f t="shared" si="32"/>
        <v>1991</v>
      </c>
      <c r="T288" s="8">
        <v>1991</v>
      </c>
      <c r="U288" s="8">
        <f t="shared" si="33"/>
        <v>31</v>
      </c>
      <c r="V288" s="7">
        <v>33573</v>
      </c>
      <c r="W288" t="s">
        <v>8044</v>
      </c>
      <c r="X288" s="2">
        <v>0.22600000000000001</v>
      </c>
      <c r="Y288" s="6">
        <f t="shared" si="38"/>
        <v>6.0329409252289053E-3</v>
      </c>
      <c r="AA288">
        <v>2786648</v>
      </c>
      <c r="AB288">
        <v>17299</v>
      </c>
      <c r="AD288" t="s">
        <v>5</v>
      </c>
      <c r="AE288">
        <v>10</v>
      </c>
      <c r="AF288">
        <v>4</v>
      </c>
      <c r="AH288" t="s">
        <v>8043</v>
      </c>
      <c r="AL288">
        <v>0</v>
      </c>
      <c r="AM288" s="5">
        <f t="shared" si="34"/>
        <v>0</v>
      </c>
      <c r="AN288" s="4">
        <f t="shared" si="39"/>
        <v>0</v>
      </c>
      <c r="AO288" s="3"/>
      <c r="AP288">
        <v>0</v>
      </c>
      <c r="AR288" t="s">
        <v>0</v>
      </c>
      <c r="AT288" s="2" t="s">
        <v>33</v>
      </c>
      <c r="AU288" s="1">
        <f t="shared" si="35"/>
        <v>0.42230586476602339</v>
      </c>
      <c r="AV288" s="1">
        <f t="shared" si="36"/>
        <v>0.30164704626144528</v>
      </c>
      <c r="AW288" s="1">
        <f t="shared" si="37"/>
        <v>0.18098822775686715</v>
      </c>
    </row>
    <row r="289" spans="1:49" x14ac:dyDescent="0.2">
      <c r="A289">
        <v>287</v>
      </c>
      <c r="B289" t="s">
        <v>8042</v>
      </c>
      <c r="C289" t="s">
        <v>8041</v>
      </c>
      <c r="F289" t="s">
        <v>8040</v>
      </c>
      <c r="G289" t="s">
        <v>16</v>
      </c>
      <c r="H289" t="s">
        <v>15</v>
      </c>
      <c r="I289" t="s">
        <v>8039</v>
      </c>
      <c r="N289">
        <v>1</v>
      </c>
      <c r="O289" t="s">
        <v>8038</v>
      </c>
      <c r="P289">
        <v>7004931900</v>
      </c>
      <c r="R289" s="7">
        <v>33239</v>
      </c>
      <c r="S289" s="8">
        <f t="shared" si="32"/>
        <v>1991</v>
      </c>
      <c r="T289" s="8">
        <v>1991</v>
      </c>
      <c r="U289" s="8">
        <f t="shared" si="33"/>
        <v>31</v>
      </c>
      <c r="V289" s="7" t="s">
        <v>268</v>
      </c>
      <c r="W289" t="s">
        <v>779</v>
      </c>
      <c r="X289" s="2">
        <v>0.371</v>
      </c>
      <c r="Y289" s="6">
        <f t="shared" si="38"/>
        <v>9.9036331117695747E-3</v>
      </c>
      <c r="AA289">
        <v>486604</v>
      </c>
      <c r="AB289">
        <v>28580</v>
      </c>
      <c r="AC289" t="s">
        <v>778</v>
      </c>
      <c r="AD289" t="s">
        <v>5</v>
      </c>
      <c r="AE289">
        <v>26</v>
      </c>
      <c r="AF289">
        <v>6</v>
      </c>
      <c r="AH289" t="s">
        <v>8037</v>
      </c>
      <c r="AI289" t="s">
        <v>8036</v>
      </c>
      <c r="AK289" t="s">
        <v>8035</v>
      </c>
      <c r="AL289">
        <v>21</v>
      </c>
      <c r="AM289" s="5">
        <f t="shared" si="34"/>
        <v>0.67741935483870963</v>
      </c>
      <c r="AN289" s="4">
        <f t="shared" si="39"/>
        <v>1.0260043238753647E-3</v>
      </c>
      <c r="AO289" s="3"/>
      <c r="AP289">
        <v>0</v>
      </c>
      <c r="AR289" t="s">
        <v>0</v>
      </c>
      <c r="AT289" s="2">
        <v>1.431</v>
      </c>
      <c r="AU289" s="1">
        <f t="shared" si="35"/>
        <v>0.72403444754013113</v>
      </c>
      <c r="AV289" s="1">
        <f t="shared" si="36"/>
        <v>0.54648187178224694</v>
      </c>
      <c r="AW289" s="1">
        <f t="shared" si="37"/>
        <v>0.36892929602436281</v>
      </c>
    </row>
    <row r="290" spans="1:49" x14ac:dyDescent="0.2">
      <c r="A290">
        <v>288</v>
      </c>
      <c r="B290" t="s">
        <v>8034</v>
      </c>
      <c r="C290" t="s">
        <v>8033</v>
      </c>
      <c r="F290" t="s">
        <v>8032</v>
      </c>
      <c r="G290" t="s">
        <v>16</v>
      </c>
      <c r="H290" t="s">
        <v>15</v>
      </c>
      <c r="I290" t="s">
        <v>8031</v>
      </c>
      <c r="N290">
        <v>2</v>
      </c>
      <c r="O290" t="s">
        <v>8030</v>
      </c>
      <c r="P290" t="s">
        <v>8029</v>
      </c>
      <c r="Q290" t="s">
        <v>592</v>
      </c>
      <c r="R290" s="7">
        <v>33239</v>
      </c>
      <c r="S290" s="8">
        <f t="shared" si="32"/>
        <v>1991</v>
      </c>
      <c r="T290" s="8">
        <v>1991</v>
      </c>
      <c r="U290" s="8">
        <f t="shared" si="33"/>
        <v>31</v>
      </c>
      <c r="V290" s="7" t="s">
        <v>6557</v>
      </c>
      <c r="W290" t="s">
        <v>779</v>
      </c>
      <c r="X290" s="2">
        <v>0.371</v>
      </c>
      <c r="Y290" s="6">
        <f t="shared" si="38"/>
        <v>9.9036331117695747E-3</v>
      </c>
      <c r="AA290">
        <v>486604</v>
      </c>
      <c r="AB290">
        <v>28580</v>
      </c>
      <c r="AC290" t="s">
        <v>778</v>
      </c>
      <c r="AD290" t="s">
        <v>5</v>
      </c>
      <c r="AE290">
        <v>26</v>
      </c>
      <c r="AF290">
        <v>5</v>
      </c>
      <c r="AH290" t="s">
        <v>8028</v>
      </c>
      <c r="AI290" t="s">
        <v>8027</v>
      </c>
      <c r="AK290" t="s">
        <v>8026</v>
      </c>
      <c r="AL290">
        <v>25</v>
      </c>
      <c r="AM290" s="5">
        <f t="shared" si="34"/>
        <v>0.80645161290322576</v>
      </c>
      <c r="AN290" s="4">
        <f t="shared" si="39"/>
        <v>1.2214337188992438E-3</v>
      </c>
      <c r="AO290" s="3"/>
      <c r="AP290">
        <v>0</v>
      </c>
      <c r="AR290" t="s">
        <v>0</v>
      </c>
      <c r="AT290" s="2">
        <v>1.431</v>
      </c>
      <c r="AU290" s="1">
        <f t="shared" si="35"/>
        <v>0.7298973293908475</v>
      </c>
      <c r="AV290" s="1">
        <f t="shared" si="36"/>
        <v>0.55625334153344086</v>
      </c>
      <c r="AW290" s="1">
        <f t="shared" si="37"/>
        <v>0.38260935367603432</v>
      </c>
    </row>
    <row r="291" spans="1:49" x14ac:dyDescent="0.2">
      <c r="A291">
        <v>289</v>
      </c>
      <c r="B291" t="s">
        <v>8025</v>
      </c>
      <c r="C291" t="s">
        <v>8024</v>
      </c>
      <c r="F291" t="s">
        <v>8023</v>
      </c>
      <c r="G291" t="s">
        <v>16</v>
      </c>
      <c r="H291" t="s">
        <v>15</v>
      </c>
      <c r="I291" t="s">
        <v>8022</v>
      </c>
      <c r="N291">
        <v>7</v>
      </c>
      <c r="O291" t="s">
        <v>8021</v>
      </c>
      <c r="P291" t="s">
        <v>8020</v>
      </c>
      <c r="Q291" t="s">
        <v>3625</v>
      </c>
      <c r="R291" s="7">
        <v>33239</v>
      </c>
      <c r="S291" s="8">
        <f t="shared" si="32"/>
        <v>1991</v>
      </c>
      <c r="T291" s="8">
        <v>1991</v>
      </c>
      <c r="U291" s="8">
        <f t="shared" si="33"/>
        <v>31</v>
      </c>
      <c r="V291" s="7" t="s">
        <v>6557</v>
      </c>
      <c r="W291" t="s">
        <v>779</v>
      </c>
      <c r="X291" s="2">
        <v>0.371</v>
      </c>
      <c r="Y291" s="6">
        <f t="shared" si="38"/>
        <v>9.9036331117695747E-3</v>
      </c>
      <c r="AA291">
        <v>486604</v>
      </c>
      <c r="AB291">
        <v>28580</v>
      </c>
      <c r="AC291" t="s">
        <v>778</v>
      </c>
      <c r="AD291" t="s">
        <v>5</v>
      </c>
      <c r="AE291">
        <v>26</v>
      </c>
      <c r="AF291">
        <v>5</v>
      </c>
      <c r="AH291" t="s">
        <v>8019</v>
      </c>
      <c r="AI291" t="s">
        <v>8018</v>
      </c>
      <c r="AK291" t="s">
        <v>8017</v>
      </c>
      <c r="AL291">
        <v>25</v>
      </c>
      <c r="AM291" s="5">
        <f t="shared" si="34"/>
        <v>0.80645161290322576</v>
      </c>
      <c r="AN291" s="4">
        <f t="shared" si="39"/>
        <v>1.2214337188992438E-3</v>
      </c>
      <c r="AO291" s="3"/>
      <c r="AP291">
        <v>0</v>
      </c>
      <c r="AR291" t="s">
        <v>0</v>
      </c>
      <c r="AT291" s="2">
        <v>1.431</v>
      </c>
      <c r="AU291" s="1">
        <f t="shared" si="35"/>
        <v>0.7298973293908475</v>
      </c>
      <c r="AV291" s="1">
        <f t="shared" si="36"/>
        <v>0.55625334153344086</v>
      </c>
      <c r="AW291" s="1">
        <f t="shared" si="37"/>
        <v>0.38260935367603432</v>
      </c>
    </row>
    <row r="292" spans="1:49" x14ac:dyDescent="0.2">
      <c r="A292">
        <v>290</v>
      </c>
      <c r="B292" t="s">
        <v>8016</v>
      </c>
      <c r="C292" t="s">
        <v>8015</v>
      </c>
      <c r="F292" t="s">
        <v>8014</v>
      </c>
      <c r="G292" t="s">
        <v>16</v>
      </c>
      <c r="H292" t="s">
        <v>15</v>
      </c>
      <c r="I292" t="s">
        <v>8013</v>
      </c>
      <c r="N292">
        <v>2</v>
      </c>
      <c r="O292" t="s">
        <v>8012</v>
      </c>
      <c r="P292" t="s">
        <v>8011</v>
      </c>
      <c r="Q292" t="s">
        <v>592</v>
      </c>
      <c r="R292" s="7">
        <v>33239</v>
      </c>
      <c r="S292" s="8">
        <f t="shared" si="32"/>
        <v>1991</v>
      </c>
      <c r="T292" s="8">
        <v>1991</v>
      </c>
      <c r="U292" s="8">
        <f t="shared" si="33"/>
        <v>31</v>
      </c>
      <c r="V292" s="7" t="s">
        <v>6557</v>
      </c>
      <c r="W292" t="s">
        <v>779</v>
      </c>
      <c r="X292" s="2">
        <v>0.371</v>
      </c>
      <c r="Y292" s="6">
        <f t="shared" si="38"/>
        <v>9.9036331117695747E-3</v>
      </c>
      <c r="AA292">
        <v>486604</v>
      </c>
      <c r="AB292">
        <v>28580</v>
      </c>
      <c r="AC292" t="s">
        <v>778</v>
      </c>
      <c r="AD292" t="s">
        <v>5</v>
      </c>
      <c r="AE292">
        <v>26</v>
      </c>
      <c r="AF292">
        <v>5</v>
      </c>
      <c r="AH292" t="s">
        <v>8010</v>
      </c>
      <c r="AI292" t="s">
        <v>8009</v>
      </c>
      <c r="AK292" t="s">
        <v>8008</v>
      </c>
      <c r="AL292">
        <v>32</v>
      </c>
      <c r="AM292" s="5">
        <f t="shared" si="34"/>
        <v>1.032258064516129</v>
      </c>
      <c r="AN292" s="4">
        <f t="shared" si="39"/>
        <v>1.5634351601910323E-3</v>
      </c>
      <c r="AO292" s="3"/>
      <c r="AP292">
        <v>0</v>
      </c>
      <c r="AR292" t="s">
        <v>0</v>
      </c>
      <c r="AT292" s="2">
        <v>1.431</v>
      </c>
      <c r="AU292" s="1">
        <f t="shared" si="35"/>
        <v>0.74015737262960113</v>
      </c>
      <c r="AV292" s="1">
        <f t="shared" si="36"/>
        <v>0.57335341359803038</v>
      </c>
      <c r="AW292" s="1">
        <f t="shared" si="37"/>
        <v>0.40654945456645952</v>
      </c>
    </row>
    <row r="293" spans="1:49" x14ac:dyDescent="0.2">
      <c r="A293">
        <v>291</v>
      </c>
      <c r="B293" t="s">
        <v>8007</v>
      </c>
      <c r="F293" t="s">
        <v>8006</v>
      </c>
      <c r="G293" t="s">
        <v>16</v>
      </c>
      <c r="H293" t="s">
        <v>15</v>
      </c>
      <c r="I293" t="s">
        <v>8005</v>
      </c>
      <c r="N293">
        <v>1</v>
      </c>
      <c r="O293" t="s">
        <v>8004</v>
      </c>
      <c r="P293">
        <v>36893377300</v>
      </c>
      <c r="R293" s="7">
        <v>33239</v>
      </c>
      <c r="S293" s="8">
        <f t="shared" si="32"/>
        <v>1991</v>
      </c>
      <c r="T293" s="8">
        <v>1991</v>
      </c>
      <c r="U293" s="8">
        <f t="shared" si="33"/>
        <v>31</v>
      </c>
      <c r="V293" s="7">
        <v>1991</v>
      </c>
      <c r="W293" t="s">
        <v>7754</v>
      </c>
      <c r="X293" s="2" t="s">
        <v>33</v>
      </c>
      <c r="Y293" s="6" t="e">
        <f t="shared" si="38"/>
        <v>#VALUE!</v>
      </c>
      <c r="AB293">
        <v>30165</v>
      </c>
      <c r="AD293" t="s">
        <v>5</v>
      </c>
      <c r="AE293">
        <v>51</v>
      </c>
      <c r="AF293">
        <v>3</v>
      </c>
      <c r="AH293" t="s">
        <v>8003</v>
      </c>
      <c r="AI293" t="s">
        <v>8002</v>
      </c>
      <c r="AK293" t="s">
        <v>8001</v>
      </c>
      <c r="AL293">
        <v>4</v>
      </c>
      <c r="AM293" s="5">
        <f t="shared" si="34"/>
        <v>0.12903225806451613</v>
      </c>
      <c r="AN293" s="4">
        <f t="shared" si="39"/>
        <v>1.9542939502387903E-4</v>
      </c>
      <c r="AO293" s="3"/>
      <c r="AP293">
        <v>0</v>
      </c>
      <c r="AR293" t="s">
        <v>0</v>
      </c>
      <c r="AT293" s="2" t="s">
        <v>33</v>
      </c>
      <c r="AU293" s="1" t="e">
        <f t="shared" si="35"/>
        <v>#VALUE!</v>
      </c>
      <c r="AV293" s="1" t="e">
        <f t="shared" si="36"/>
        <v>#VALUE!</v>
      </c>
      <c r="AW293" s="1" t="e">
        <f t="shared" si="37"/>
        <v>#VALUE!</v>
      </c>
    </row>
    <row r="294" spans="1:49" x14ac:dyDescent="0.2">
      <c r="A294">
        <v>292</v>
      </c>
      <c r="B294" t="s">
        <v>8000</v>
      </c>
      <c r="C294" t="s">
        <v>7999</v>
      </c>
      <c r="F294" t="s">
        <v>7998</v>
      </c>
      <c r="G294" t="s">
        <v>16</v>
      </c>
      <c r="H294" t="s">
        <v>15</v>
      </c>
      <c r="I294" t="s">
        <v>7997</v>
      </c>
      <c r="N294">
        <v>7</v>
      </c>
      <c r="O294" t="s">
        <v>7996</v>
      </c>
      <c r="P294" t="s">
        <v>7995</v>
      </c>
      <c r="Q294" t="s">
        <v>3625</v>
      </c>
      <c r="R294" s="7">
        <v>33239</v>
      </c>
      <c r="S294" s="8">
        <f t="shared" si="32"/>
        <v>1991</v>
      </c>
      <c r="T294" s="8">
        <v>1991</v>
      </c>
      <c r="U294" s="8">
        <f t="shared" si="33"/>
        <v>31</v>
      </c>
      <c r="V294" s="7" t="s">
        <v>5317</v>
      </c>
      <c r="W294" t="s">
        <v>779</v>
      </c>
      <c r="X294" s="2">
        <v>0.371</v>
      </c>
      <c r="Y294" s="6">
        <f t="shared" si="38"/>
        <v>9.9036331117695747E-3</v>
      </c>
      <c r="AA294">
        <v>486604</v>
      </c>
      <c r="AB294">
        <v>28580</v>
      </c>
      <c r="AC294" t="s">
        <v>778</v>
      </c>
      <c r="AD294" t="s">
        <v>5</v>
      </c>
      <c r="AE294">
        <v>26</v>
      </c>
      <c r="AF294">
        <v>4</v>
      </c>
      <c r="AH294" t="s">
        <v>7994</v>
      </c>
      <c r="AI294" t="s">
        <v>7993</v>
      </c>
      <c r="AK294" t="s">
        <v>7992</v>
      </c>
      <c r="AL294">
        <v>67</v>
      </c>
      <c r="AM294" s="5">
        <f t="shared" si="34"/>
        <v>2.161290322580645</v>
      </c>
      <c r="AN294" s="4">
        <f t="shared" si="39"/>
        <v>3.2734423666499735E-3</v>
      </c>
      <c r="AO294" s="3"/>
      <c r="AP294">
        <v>0</v>
      </c>
      <c r="AR294" t="s">
        <v>0</v>
      </c>
      <c r="AT294" s="2">
        <v>1.431</v>
      </c>
      <c r="AU294" s="1">
        <f t="shared" si="35"/>
        <v>0.79145758882336936</v>
      </c>
      <c r="AV294" s="1">
        <f t="shared" si="36"/>
        <v>0.65885377392097744</v>
      </c>
      <c r="AW294" s="1">
        <f t="shared" si="37"/>
        <v>0.5262499590185854</v>
      </c>
    </row>
    <row r="295" spans="1:49" x14ac:dyDescent="0.2">
      <c r="A295">
        <v>293</v>
      </c>
      <c r="B295" t="s">
        <v>7991</v>
      </c>
      <c r="C295" t="s">
        <v>7990</v>
      </c>
      <c r="F295" t="s">
        <v>7989</v>
      </c>
      <c r="G295" t="s">
        <v>16</v>
      </c>
      <c r="H295" t="s">
        <v>15</v>
      </c>
      <c r="I295" t="s">
        <v>7988</v>
      </c>
      <c r="N295">
        <v>3</v>
      </c>
      <c r="O295" t="s">
        <v>7987</v>
      </c>
      <c r="P295" t="s">
        <v>7986</v>
      </c>
      <c r="Q295" t="s">
        <v>757</v>
      </c>
      <c r="R295" s="7">
        <v>33239</v>
      </c>
      <c r="S295" s="8">
        <f t="shared" si="32"/>
        <v>1991</v>
      </c>
      <c r="T295" s="8">
        <v>1991</v>
      </c>
      <c r="U295" s="8">
        <f t="shared" si="33"/>
        <v>31</v>
      </c>
      <c r="V295" s="7" t="s">
        <v>5317</v>
      </c>
      <c r="W295" t="s">
        <v>779</v>
      </c>
      <c r="X295" s="2">
        <v>0.371</v>
      </c>
      <c r="Y295" s="6">
        <f t="shared" si="38"/>
        <v>9.9036331117695747E-3</v>
      </c>
      <c r="AA295">
        <v>486604</v>
      </c>
      <c r="AB295">
        <v>28580</v>
      </c>
      <c r="AC295" t="s">
        <v>778</v>
      </c>
      <c r="AD295" t="s">
        <v>5</v>
      </c>
      <c r="AE295">
        <v>26</v>
      </c>
      <c r="AF295">
        <v>4</v>
      </c>
      <c r="AH295" t="s">
        <v>7985</v>
      </c>
      <c r="AI295" t="s">
        <v>7984</v>
      </c>
      <c r="AK295" t="s">
        <v>7983</v>
      </c>
      <c r="AL295">
        <v>11</v>
      </c>
      <c r="AM295" s="5">
        <f t="shared" si="34"/>
        <v>0.35483870967741937</v>
      </c>
      <c r="AN295" s="4">
        <f t="shared" si="39"/>
        <v>5.3743083631566731E-4</v>
      </c>
      <c r="AO295" s="3"/>
      <c r="AP295">
        <v>0</v>
      </c>
      <c r="AR295" t="s">
        <v>0</v>
      </c>
      <c r="AT295" s="2">
        <v>1.431</v>
      </c>
      <c r="AU295" s="1">
        <f t="shared" si="35"/>
        <v>0.70937724291334026</v>
      </c>
      <c r="AV295" s="1">
        <f t="shared" si="36"/>
        <v>0.52205319740426215</v>
      </c>
      <c r="AW295" s="1">
        <f t="shared" si="37"/>
        <v>0.33472915189518393</v>
      </c>
    </row>
    <row r="296" spans="1:49" x14ac:dyDescent="0.2">
      <c r="A296">
        <v>294</v>
      </c>
      <c r="B296" t="s">
        <v>7982</v>
      </c>
      <c r="C296" t="s">
        <v>7981</v>
      </c>
      <c r="E296">
        <v>1744815</v>
      </c>
      <c r="F296" t="s">
        <v>7980</v>
      </c>
      <c r="G296" t="s">
        <v>16</v>
      </c>
      <c r="H296" t="s">
        <v>15</v>
      </c>
      <c r="I296" t="s">
        <v>7979</v>
      </c>
      <c r="J296">
        <v>60022313</v>
      </c>
      <c r="K296" t="s">
        <v>7978</v>
      </c>
      <c r="L296" t="s">
        <v>7977</v>
      </c>
      <c r="M296" t="s">
        <v>326</v>
      </c>
      <c r="N296">
        <v>1</v>
      </c>
      <c r="O296" t="s">
        <v>7976</v>
      </c>
      <c r="P296">
        <v>7102316086</v>
      </c>
      <c r="Q296">
        <v>60022313</v>
      </c>
      <c r="R296" s="7">
        <v>33239</v>
      </c>
      <c r="S296" s="8">
        <f t="shared" si="32"/>
        <v>1991</v>
      </c>
      <c r="T296" s="8">
        <v>1991</v>
      </c>
      <c r="U296" s="8">
        <f t="shared" si="33"/>
        <v>31</v>
      </c>
      <c r="V296" s="7">
        <v>1991</v>
      </c>
      <c r="W296" t="s">
        <v>707</v>
      </c>
      <c r="X296" s="2">
        <v>0.28299999999999997</v>
      </c>
      <c r="Y296" s="6">
        <f t="shared" si="38"/>
        <v>7.5545233709724781E-3</v>
      </c>
      <c r="AA296">
        <v>8327823</v>
      </c>
      <c r="AB296">
        <v>18061</v>
      </c>
      <c r="AD296" t="s">
        <v>5</v>
      </c>
      <c r="AE296">
        <v>26</v>
      </c>
      <c r="AF296">
        <v>3</v>
      </c>
      <c r="AH296" t="s">
        <v>7975</v>
      </c>
      <c r="AI296" t="s">
        <v>7974</v>
      </c>
      <c r="AK296" t="s">
        <v>7973</v>
      </c>
      <c r="AL296">
        <v>1</v>
      </c>
      <c r="AM296" s="5">
        <f t="shared" si="34"/>
        <v>3.2258064516129031E-2</v>
      </c>
      <c r="AN296" s="4">
        <f t="shared" si="39"/>
        <v>4.8857348755969758E-5</v>
      </c>
      <c r="AO296" s="3"/>
      <c r="AP296">
        <v>0</v>
      </c>
      <c r="AR296" t="s">
        <v>0</v>
      </c>
      <c r="AT296" s="2" t="s">
        <v>33</v>
      </c>
      <c r="AU296" s="1">
        <f t="shared" si="35"/>
        <v>0.5302823564307525</v>
      </c>
      <c r="AV296" s="1">
        <f t="shared" si="36"/>
        <v>0.38016903598642238</v>
      </c>
      <c r="AW296" s="1">
        <f t="shared" si="37"/>
        <v>0.23005571554209223</v>
      </c>
    </row>
    <row r="297" spans="1:49" x14ac:dyDescent="0.2">
      <c r="A297">
        <v>295</v>
      </c>
      <c r="B297" t="s">
        <v>7972</v>
      </c>
      <c r="C297" t="s">
        <v>7971</v>
      </c>
      <c r="D297" t="s">
        <v>7970</v>
      </c>
      <c r="F297" t="s">
        <v>7969</v>
      </c>
      <c r="G297" t="s">
        <v>16</v>
      </c>
      <c r="H297" t="s">
        <v>15</v>
      </c>
      <c r="I297" t="s">
        <v>7968</v>
      </c>
      <c r="J297">
        <v>60005460</v>
      </c>
      <c r="K297" t="s">
        <v>318</v>
      </c>
      <c r="L297" t="s">
        <v>317</v>
      </c>
      <c r="M297" t="s">
        <v>25</v>
      </c>
      <c r="N297">
        <v>2</v>
      </c>
      <c r="O297" t="s">
        <v>7967</v>
      </c>
      <c r="P297" t="s">
        <v>7966</v>
      </c>
      <c r="Q297" t="s">
        <v>7965</v>
      </c>
      <c r="R297" s="7">
        <v>33239</v>
      </c>
      <c r="S297" s="8">
        <f t="shared" si="32"/>
        <v>1991</v>
      </c>
      <c r="T297" s="8">
        <v>1991</v>
      </c>
      <c r="U297" s="8">
        <f t="shared" si="33"/>
        <v>31</v>
      </c>
      <c r="V297" s="7">
        <v>1991</v>
      </c>
      <c r="W297" t="s">
        <v>1054</v>
      </c>
      <c r="X297" s="2">
        <v>0.58399999999999996</v>
      </c>
      <c r="Y297" s="6">
        <f t="shared" si="38"/>
        <v>1.5589546461653453E-2</v>
      </c>
      <c r="AA297">
        <v>408166</v>
      </c>
      <c r="AB297">
        <v>19057</v>
      </c>
      <c r="AD297" t="s">
        <v>5</v>
      </c>
      <c r="AE297">
        <v>23</v>
      </c>
      <c r="AF297">
        <v>6</v>
      </c>
      <c r="AH297" t="s">
        <v>7964</v>
      </c>
      <c r="AI297" t="s">
        <v>7963</v>
      </c>
      <c r="AJ297" t="s">
        <v>7962</v>
      </c>
      <c r="AK297" t="s">
        <v>7961</v>
      </c>
      <c r="AL297">
        <v>37</v>
      </c>
      <c r="AM297" s="5">
        <f t="shared" si="34"/>
        <v>1.1935483870967742</v>
      </c>
      <c r="AN297" s="4">
        <f t="shared" si="39"/>
        <v>1.8077219039708812E-3</v>
      </c>
      <c r="AO297" s="3"/>
      <c r="AP297">
        <v>0</v>
      </c>
      <c r="AR297" t="s">
        <v>0</v>
      </c>
      <c r="AT297" s="2" t="s">
        <v>33</v>
      </c>
      <c r="AU297" s="1">
        <f t="shared" si="35"/>
        <v>1.1454999094348681</v>
      </c>
      <c r="AV297" s="1">
        <f t="shared" si="36"/>
        <v>0.86986341828121672</v>
      </c>
      <c r="AW297" s="1">
        <f t="shared" si="37"/>
        <v>0.59422692712756531</v>
      </c>
    </row>
    <row r="298" spans="1:49" x14ac:dyDescent="0.2">
      <c r="A298">
        <v>296</v>
      </c>
      <c r="B298" t="s">
        <v>7960</v>
      </c>
      <c r="C298" t="s">
        <v>7959</v>
      </c>
      <c r="E298">
        <v>1807879</v>
      </c>
      <c r="F298" t="s">
        <v>7958</v>
      </c>
      <c r="G298" t="s">
        <v>16</v>
      </c>
      <c r="H298" t="s">
        <v>15</v>
      </c>
      <c r="I298" t="s">
        <v>7957</v>
      </c>
      <c r="J298" t="s">
        <v>7956</v>
      </c>
      <c r="K298" t="s">
        <v>7955</v>
      </c>
      <c r="L298" t="s">
        <v>7954</v>
      </c>
      <c r="M298" t="s">
        <v>469</v>
      </c>
      <c r="N298">
        <v>3</v>
      </c>
      <c r="O298" t="s">
        <v>7953</v>
      </c>
      <c r="P298" t="s">
        <v>7952</v>
      </c>
      <c r="Q298" t="s">
        <v>7951</v>
      </c>
      <c r="R298" s="7">
        <v>33239</v>
      </c>
      <c r="S298" s="8">
        <f t="shared" si="32"/>
        <v>1991</v>
      </c>
      <c r="T298" s="8">
        <v>1991</v>
      </c>
      <c r="U298" s="8">
        <f t="shared" si="33"/>
        <v>31</v>
      </c>
      <c r="V298" s="7">
        <v>33239</v>
      </c>
      <c r="W298" t="s">
        <v>7950</v>
      </c>
      <c r="X298" s="2" t="s">
        <v>33</v>
      </c>
      <c r="Y298" s="6" t="e">
        <f t="shared" si="38"/>
        <v>#VALUE!</v>
      </c>
      <c r="AA298">
        <v>1430815</v>
      </c>
      <c r="AB298">
        <v>35919</v>
      </c>
      <c r="AD298" t="s">
        <v>5</v>
      </c>
      <c r="AE298">
        <v>12</v>
      </c>
      <c r="AH298" s="9">
        <v>44505</v>
      </c>
      <c r="AI298" t="s">
        <v>7949</v>
      </c>
      <c r="AK298" t="s">
        <v>7948</v>
      </c>
      <c r="AL298">
        <v>11</v>
      </c>
      <c r="AM298" s="5">
        <f t="shared" si="34"/>
        <v>0.35483870967741937</v>
      </c>
      <c r="AN298" s="4">
        <f t="shared" si="39"/>
        <v>5.3743083631566731E-4</v>
      </c>
      <c r="AO298" s="3"/>
      <c r="AP298">
        <v>0</v>
      </c>
      <c r="AR298" t="s">
        <v>0</v>
      </c>
      <c r="AT298" s="2" t="s">
        <v>33</v>
      </c>
      <c r="AU298" s="1" t="e">
        <f t="shared" si="35"/>
        <v>#VALUE!</v>
      </c>
      <c r="AV298" s="1" t="e">
        <f t="shared" si="36"/>
        <v>#VALUE!</v>
      </c>
      <c r="AW298" s="1" t="e">
        <f t="shared" si="37"/>
        <v>#VALUE!</v>
      </c>
    </row>
    <row r="299" spans="1:49" x14ac:dyDescent="0.2">
      <c r="A299">
        <v>297</v>
      </c>
      <c r="B299" t="s">
        <v>7947</v>
      </c>
      <c r="C299" t="s">
        <v>7946</v>
      </c>
      <c r="E299">
        <v>1723193</v>
      </c>
      <c r="F299" t="s">
        <v>7945</v>
      </c>
      <c r="G299" t="s">
        <v>16</v>
      </c>
      <c r="H299" t="s">
        <v>15</v>
      </c>
      <c r="I299" t="s">
        <v>7944</v>
      </c>
      <c r="J299">
        <v>60023691</v>
      </c>
      <c r="K299" t="s">
        <v>2383</v>
      </c>
      <c r="L299" t="s">
        <v>2382</v>
      </c>
      <c r="M299" t="s">
        <v>57</v>
      </c>
      <c r="N299">
        <v>6</v>
      </c>
      <c r="O299" t="s">
        <v>7943</v>
      </c>
      <c r="P299" t="s">
        <v>7942</v>
      </c>
      <c r="Q299" t="s">
        <v>7941</v>
      </c>
      <c r="R299" s="7">
        <v>33239</v>
      </c>
      <c r="S299" s="8">
        <f t="shared" si="32"/>
        <v>1991</v>
      </c>
      <c r="T299" s="8">
        <v>1991</v>
      </c>
      <c r="U299" s="8">
        <f t="shared" si="33"/>
        <v>31</v>
      </c>
      <c r="V299" s="7">
        <v>33573</v>
      </c>
      <c r="W299" t="s">
        <v>7940</v>
      </c>
      <c r="X299" s="2" t="s">
        <v>33</v>
      </c>
      <c r="Y299" s="6" t="e">
        <f t="shared" si="38"/>
        <v>#VALUE!</v>
      </c>
      <c r="AA299">
        <v>1478389</v>
      </c>
      <c r="AB299">
        <v>20516</v>
      </c>
      <c r="AC299">
        <v>15408159</v>
      </c>
      <c r="AD299" t="s">
        <v>5</v>
      </c>
      <c r="AE299">
        <v>14</v>
      </c>
      <c r="AF299">
        <v>12</v>
      </c>
      <c r="AH299" t="s">
        <v>7939</v>
      </c>
      <c r="AI299" t="s">
        <v>7938</v>
      </c>
      <c r="AJ299" t="s">
        <v>7937</v>
      </c>
      <c r="AK299" t="s">
        <v>7936</v>
      </c>
      <c r="AL299">
        <v>60</v>
      </c>
      <c r="AM299" s="5">
        <f t="shared" si="34"/>
        <v>1.935483870967742</v>
      </c>
      <c r="AN299" s="4">
        <f t="shared" si="39"/>
        <v>2.9314409253581855E-3</v>
      </c>
      <c r="AO299" s="3"/>
      <c r="AP299">
        <v>0</v>
      </c>
      <c r="AR299" t="s">
        <v>0</v>
      </c>
      <c r="AT299" s="2" t="s">
        <v>33</v>
      </c>
      <c r="AU299" s="1" t="e">
        <f t="shared" si="35"/>
        <v>#VALUE!</v>
      </c>
      <c r="AV299" s="1" t="e">
        <f t="shared" si="36"/>
        <v>#VALUE!</v>
      </c>
      <c r="AW299" s="1" t="e">
        <f t="shared" si="37"/>
        <v>#VALUE!</v>
      </c>
    </row>
    <row r="300" spans="1:49" x14ac:dyDescent="0.2">
      <c r="A300">
        <v>298</v>
      </c>
      <c r="B300" t="s">
        <v>7935</v>
      </c>
      <c r="C300" t="s">
        <v>7934</v>
      </c>
      <c r="F300" t="s">
        <v>7933</v>
      </c>
      <c r="G300" t="s">
        <v>16</v>
      </c>
      <c r="H300" t="s">
        <v>15</v>
      </c>
      <c r="I300" t="s">
        <v>7932</v>
      </c>
      <c r="J300" t="s">
        <v>7926</v>
      </c>
      <c r="K300" t="s">
        <v>7931</v>
      </c>
      <c r="L300" t="s">
        <v>7930</v>
      </c>
      <c r="M300" t="s">
        <v>7929</v>
      </c>
      <c r="N300">
        <v>2</v>
      </c>
      <c r="O300" t="s">
        <v>7928</v>
      </c>
      <c r="P300" t="s">
        <v>7927</v>
      </c>
      <c r="Q300" t="s">
        <v>7926</v>
      </c>
      <c r="R300" s="7">
        <v>33239</v>
      </c>
      <c r="S300" s="8">
        <f t="shared" si="32"/>
        <v>1991</v>
      </c>
      <c r="T300" s="8">
        <v>1991</v>
      </c>
      <c r="U300" s="8">
        <f t="shared" si="33"/>
        <v>31</v>
      </c>
      <c r="V300" s="7">
        <v>33543</v>
      </c>
      <c r="W300" t="s">
        <v>398</v>
      </c>
      <c r="X300" s="2">
        <v>0.84299999999999997</v>
      </c>
      <c r="Y300" s="6">
        <f t="shared" si="38"/>
        <v>2.250340353968127E-2</v>
      </c>
      <c r="AA300">
        <v>188158</v>
      </c>
      <c r="AB300">
        <v>15168</v>
      </c>
      <c r="AC300">
        <v>15735117</v>
      </c>
      <c r="AD300" t="s">
        <v>5</v>
      </c>
      <c r="AE300">
        <v>225</v>
      </c>
      <c r="AF300">
        <v>1</v>
      </c>
      <c r="AH300" t="s">
        <v>7925</v>
      </c>
      <c r="AI300" t="s">
        <v>7924</v>
      </c>
      <c r="AJ300" t="s">
        <v>7923</v>
      </c>
      <c r="AK300" t="s">
        <v>7922</v>
      </c>
      <c r="AL300">
        <v>47</v>
      </c>
      <c r="AM300" s="5">
        <f t="shared" si="34"/>
        <v>1.5161290322580645</v>
      </c>
      <c r="AN300" s="4">
        <f t="shared" si="39"/>
        <v>2.2962953915305786E-3</v>
      </c>
      <c r="AO300" s="3"/>
      <c r="AP300">
        <v>0</v>
      </c>
      <c r="AR300" t="s">
        <v>0</v>
      </c>
      <c r="AT300" s="2">
        <v>2.694</v>
      </c>
      <c r="AU300" s="1">
        <f t="shared" si="35"/>
        <v>1.6441271095236063</v>
      </c>
      <c r="AV300" s="1">
        <f t="shared" si="36"/>
        <v>1.2399849465605925</v>
      </c>
      <c r="AW300" s="1">
        <f t="shared" si="37"/>
        <v>0.83584278359757869</v>
      </c>
    </row>
    <row r="301" spans="1:49" x14ac:dyDescent="0.2">
      <c r="A301">
        <v>299</v>
      </c>
      <c r="B301" t="s">
        <v>7921</v>
      </c>
      <c r="C301" t="s">
        <v>7920</v>
      </c>
      <c r="E301">
        <v>1841681</v>
      </c>
      <c r="F301" t="s">
        <v>7919</v>
      </c>
      <c r="G301" t="s">
        <v>16</v>
      </c>
      <c r="H301" t="s">
        <v>15</v>
      </c>
      <c r="I301" t="s">
        <v>7918</v>
      </c>
      <c r="J301" t="s">
        <v>7917</v>
      </c>
      <c r="K301" t="s">
        <v>7916</v>
      </c>
      <c r="L301" t="s">
        <v>7915</v>
      </c>
      <c r="M301" t="s">
        <v>364</v>
      </c>
      <c r="N301">
        <v>5</v>
      </c>
      <c r="O301" t="s">
        <v>7914</v>
      </c>
      <c r="P301" t="s">
        <v>7913</v>
      </c>
      <c r="Q301" t="s">
        <v>7912</v>
      </c>
      <c r="R301" s="7">
        <v>33239</v>
      </c>
      <c r="S301" s="8">
        <f t="shared" si="32"/>
        <v>1991</v>
      </c>
      <c r="T301" s="8">
        <v>1991</v>
      </c>
      <c r="U301" s="8">
        <f t="shared" si="33"/>
        <v>31</v>
      </c>
      <c r="V301" s="7">
        <v>33512</v>
      </c>
      <c r="W301" t="s">
        <v>649</v>
      </c>
      <c r="X301" s="2">
        <v>0.73699999999999999</v>
      </c>
      <c r="Y301" s="6">
        <f t="shared" si="38"/>
        <v>1.9673794079175678E-2</v>
      </c>
      <c r="AA301">
        <v>2820080</v>
      </c>
      <c r="AB301">
        <v>17513</v>
      </c>
      <c r="AC301">
        <v>15734986</v>
      </c>
      <c r="AD301" t="s">
        <v>5</v>
      </c>
      <c r="AE301">
        <v>8</v>
      </c>
      <c r="AF301">
        <v>5</v>
      </c>
      <c r="AH301" t="s">
        <v>7911</v>
      </c>
      <c r="AI301" t="s">
        <v>7910</v>
      </c>
      <c r="AJ301" t="s">
        <v>7909</v>
      </c>
      <c r="AK301" t="s">
        <v>7908</v>
      </c>
      <c r="AL301">
        <v>21</v>
      </c>
      <c r="AM301" s="5">
        <f t="shared" si="34"/>
        <v>0.67741935483870963</v>
      </c>
      <c r="AN301" s="4">
        <f t="shared" si="39"/>
        <v>1.0260043238753647E-3</v>
      </c>
      <c r="AO301" s="3"/>
      <c r="AP301">
        <v>0</v>
      </c>
      <c r="AR301" t="s">
        <v>0</v>
      </c>
      <c r="AT301" s="2">
        <v>2.9159999999999999</v>
      </c>
      <c r="AU301" s="1">
        <f t="shared" si="35"/>
        <v>1.4079457152585582</v>
      </c>
      <c r="AV301" s="1">
        <f t="shared" si="36"/>
        <v>1.0349899201525521</v>
      </c>
      <c r="AW301" s="1">
        <f t="shared" si="37"/>
        <v>0.6620341250465458</v>
      </c>
    </row>
    <row r="302" spans="1:49" x14ac:dyDescent="0.2">
      <c r="A302">
        <v>300</v>
      </c>
      <c r="B302" t="s">
        <v>7907</v>
      </c>
      <c r="C302" t="s">
        <v>7906</v>
      </c>
      <c r="F302" t="s">
        <v>7905</v>
      </c>
      <c r="G302" t="s">
        <v>16</v>
      </c>
      <c r="H302" t="s">
        <v>15</v>
      </c>
      <c r="I302" t="s">
        <v>7904</v>
      </c>
      <c r="J302">
        <v>60013894</v>
      </c>
      <c r="K302" t="s">
        <v>7903</v>
      </c>
      <c r="L302" t="s">
        <v>513</v>
      </c>
      <c r="M302" t="s">
        <v>57</v>
      </c>
      <c r="N302">
        <v>2</v>
      </c>
      <c r="O302" t="s">
        <v>7902</v>
      </c>
      <c r="P302" t="s">
        <v>7901</v>
      </c>
      <c r="Q302" t="s">
        <v>7900</v>
      </c>
      <c r="R302" s="7">
        <v>33239</v>
      </c>
      <c r="S302" s="8">
        <f t="shared" si="32"/>
        <v>1991</v>
      </c>
      <c r="T302" s="8">
        <v>1991</v>
      </c>
      <c r="U302" s="8">
        <f t="shared" si="33"/>
        <v>31</v>
      </c>
      <c r="V302" s="7">
        <v>33482</v>
      </c>
      <c r="W302" t="s">
        <v>497</v>
      </c>
      <c r="X302" s="2">
        <v>0.69299999999999995</v>
      </c>
      <c r="Y302" s="6">
        <f t="shared" si="38"/>
        <v>1.8499239208777128E-2</v>
      </c>
      <c r="AA302">
        <v>3076962</v>
      </c>
      <c r="AB302">
        <v>21084</v>
      </c>
      <c r="AC302">
        <v>13653032</v>
      </c>
      <c r="AD302" t="s">
        <v>5</v>
      </c>
      <c r="AE302">
        <v>16</v>
      </c>
      <c r="AF302">
        <v>3</v>
      </c>
      <c r="AH302" t="s">
        <v>7899</v>
      </c>
      <c r="AI302" t="s">
        <v>7898</v>
      </c>
      <c r="AJ302" t="s">
        <v>7897</v>
      </c>
      <c r="AK302" t="s">
        <v>7896</v>
      </c>
      <c r="AL302">
        <v>24</v>
      </c>
      <c r="AM302" s="5">
        <f t="shared" si="34"/>
        <v>0.77419354838709675</v>
      </c>
      <c r="AN302" s="4">
        <f t="shared" si="39"/>
        <v>1.1725763701432741E-3</v>
      </c>
      <c r="AO302" s="3"/>
      <c r="AP302">
        <v>0</v>
      </c>
      <c r="AR302" t="s">
        <v>0</v>
      </c>
      <c r="AT302" s="2">
        <v>1.833</v>
      </c>
      <c r="AU302" s="1">
        <f t="shared" si="35"/>
        <v>1.3301240357186972</v>
      </c>
      <c r="AV302" s="1">
        <f t="shared" si="36"/>
        <v>0.98359077894602021</v>
      </c>
      <c r="AW302" s="1">
        <f t="shared" si="37"/>
        <v>0.63705752217334299</v>
      </c>
    </row>
    <row r="303" spans="1:49" x14ac:dyDescent="0.2">
      <c r="A303">
        <v>301</v>
      </c>
      <c r="B303" t="s">
        <v>7895</v>
      </c>
      <c r="C303" t="s">
        <v>7894</v>
      </c>
      <c r="F303" t="s">
        <v>7893</v>
      </c>
      <c r="G303" t="s">
        <v>16</v>
      </c>
      <c r="H303" t="s">
        <v>15</v>
      </c>
      <c r="I303" t="s">
        <v>7892</v>
      </c>
      <c r="J303">
        <v>60016983</v>
      </c>
      <c r="K303" t="s">
        <v>7891</v>
      </c>
      <c r="L303" t="s">
        <v>7890</v>
      </c>
      <c r="M303" t="s">
        <v>1543</v>
      </c>
      <c r="N303">
        <v>2</v>
      </c>
      <c r="O303" t="s">
        <v>7889</v>
      </c>
      <c r="P303" t="s">
        <v>7888</v>
      </c>
      <c r="Q303" t="s">
        <v>7887</v>
      </c>
      <c r="R303" s="7">
        <v>33239</v>
      </c>
      <c r="S303" s="8">
        <f t="shared" si="32"/>
        <v>1991</v>
      </c>
      <c r="T303" s="8">
        <v>1991</v>
      </c>
      <c r="U303" s="8">
        <f t="shared" si="33"/>
        <v>31</v>
      </c>
      <c r="V303" s="7">
        <v>33270</v>
      </c>
      <c r="W303" t="s">
        <v>7886</v>
      </c>
      <c r="X303" s="2" t="s">
        <v>33</v>
      </c>
      <c r="Y303" s="6" t="e">
        <f t="shared" si="38"/>
        <v>#VALUE!</v>
      </c>
      <c r="AA303" t="s">
        <v>7885</v>
      </c>
      <c r="AB303">
        <v>19716</v>
      </c>
      <c r="AC303">
        <v>19183240</v>
      </c>
      <c r="AD303" t="s">
        <v>5</v>
      </c>
      <c r="AE303">
        <v>123</v>
      </c>
      <c r="AF303">
        <v>1</v>
      </c>
      <c r="AH303" t="s">
        <v>7884</v>
      </c>
      <c r="AI303" t="s">
        <v>7883</v>
      </c>
      <c r="AK303" t="s">
        <v>7882</v>
      </c>
      <c r="AL303">
        <v>3</v>
      </c>
      <c r="AM303" s="5">
        <f t="shared" si="34"/>
        <v>9.6774193548387094E-2</v>
      </c>
      <c r="AN303" s="4">
        <f t="shared" si="39"/>
        <v>1.4657204626790927E-4</v>
      </c>
      <c r="AO303" s="3"/>
      <c r="AP303">
        <v>0</v>
      </c>
      <c r="AQ303" t="s">
        <v>7881</v>
      </c>
      <c r="AR303" t="s">
        <v>0</v>
      </c>
      <c r="AS303" t="s">
        <v>7880</v>
      </c>
      <c r="AT303" s="2" t="s">
        <v>33</v>
      </c>
      <c r="AU303" s="1" t="e">
        <f t="shared" si="35"/>
        <v>#VALUE!</v>
      </c>
      <c r="AV303" s="1" t="e">
        <f t="shared" si="36"/>
        <v>#VALUE!</v>
      </c>
      <c r="AW303" s="1" t="e">
        <f t="shared" si="37"/>
        <v>#VALUE!</v>
      </c>
    </row>
    <row r="304" spans="1:49" x14ac:dyDescent="0.2">
      <c r="A304">
        <v>302</v>
      </c>
      <c r="B304" t="s">
        <v>7879</v>
      </c>
      <c r="F304" t="s">
        <v>7878</v>
      </c>
      <c r="G304" t="s">
        <v>16</v>
      </c>
      <c r="H304" t="s">
        <v>15</v>
      </c>
      <c r="I304" t="s">
        <v>7877</v>
      </c>
      <c r="J304">
        <v>100875051</v>
      </c>
      <c r="K304" t="s">
        <v>7876</v>
      </c>
      <c r="L304" t="s">
        <v>7875</v>
      </c>
      <c r="M304" t="s">
        <v>57</v>
      </c>
      <c r="N304">
        <v>2</v>
      </c>
      <c r="O304" t="s">
        <v>7874</v>
      </c>
      <c r="P304" t="s">
        <v>7873</v>
      </c>
      <c r="Q304" t="s">
        <v>7872</v>
      </c>
      <c r="R304" s="7">
        <v>33239</v>
      </c>
      <c r="S304" s="8">
        <f t="shared" si="32"/>
        <v>1991</v>
      </c>
      <c r="T304" s="8">
        <v>1991</v>
      </c>
      <c r="U304" s="8">
        <f t="shared" si="33"/>
        <v>31</v>
      </c>
      <c r="V304" s="7">
        <v>1991</v>
      </c>
      <c r="W304" t="s">
        <v>7871</v>
      </c>
      <c r="X304" s="2" t="s">
        <v>33</v>
      </c>
      <c r="Y304" s="6" t="e">
        <f t="shared" si="38"/>
        <v>#VALUE!</v>
      </c>
      <c r="AB304">
        <v>13985</v>
      </c>
      <c r="AD304" t="s">
        <v>5</v>
      </c>
      <c r="AE304">
        <v>90</v>
      </c>
      <c r="AF304" s="9">
        <v>44256</v>
      </c>
      <c r="AH304" t="s">
        <v>7870</v>
      </c>
      <c r="AI304" t="s">
        <v>7869</v>
      </c>
      <c r="AK304" t="s">
        <v>7868</v>
      </c>
      <c r="AL304">
        <v>0</v>
      </c>
      <c r="AM304" s="5">
        <f t="shared" si="34"/>
        <v>0</v>
      </c>
      <c r="AN304" s="4">
        <f t="shared" si="39"/>
        <v>0</v>
      </c>
      <c r="AO304" s="3"/>
      <c r="AP304">
        <v>0</v>
      </c>
      <c r="AR304" t="s">
        <v>0</v>
      </c>
      <c r="AT304" s="2" t="s">
        <v>33</v>
      </c>
      <c r="AU304" s="1" t="e">
        <f t="shared" si="35"/>
        <v>#VALUE!</v>
      </c>
      <c r="AV304" s="1" t="e">
        <f t="shared" si="36"/>
        <v>#VALUE!</v>
      </c>
      <c r="AW304" s="1" t="e">
        <f t="shared" si="37"/>
        <v>#VALUE!</v>
      </c>
    </row>
    <row r="305" spans="1:49" x14ac:dyDescent="0.2">
      <c r="A305">
        <v>303</v>
      </c>
      <c r="B305" t="s">
        <v>7867</v>
      </c>
      <c r="C305" t="s">
        <v>7866</v>
      </c>
      <c r="D305" t="s">
        <v>7865</v>
      </c>
      <c r="F305" t="s">
        <v>7864</v>
      </c>
      <c r="G305" t="s">
        <v>16</v>
      </c>
      <c r="H305" t="s">
        <v>15</v>
      </c>
      <c r="I305" t="s">
        <v>7863</v>
      </c>
      <c r="J305" t="s">
        <v>7862</v>
      </c>
      <c r="K305" t="s">
        <v>7861</v>
      </c>
      <c r="L305" t="s">
        <v>7860</v>
      </c>
      <c r="M305" t="s">
        <v>3438</v>
      </c>
      <c r="N305">
        <v>10</v>
      </c>
      <c r="O305" t="s">
        <v>7859</v>
      </c>
      <c r="P305" t="s">
        <v>7858</v>
      </c>
      <c r="Q305" t="s">
        <v>7857</v>
      </c>
      <c r="R305" s="7">
        <v>33239</v>
      </c>
      <c r="S305" s="8">
        <f t="shared" ref="S305:S368" si="40">YEAR(R305)</f>
        <v>1991</v>
      </c>
      <c r="T305" s="8">
        <v>1991</v>
      </c>
      <c r="U305" s="8">
        <f t="shared" ref="U305:U368" si="41">2022-T305</f>
        <v>31</v>
      </c>
      <c r="V305" s="7">
        <v>1991</v>
      </c>
      <c r="W305" t="s">
        <v>424</v>
      </c>
      <c r="X305" s="2">
        <v>0.68200000000000005</v>
      </c>
      <c r="Y305" s="6">
        <f t="shared" si="38"/>
        <v>1.8205600491177493E-2</v>
      </c>
      <c r="AA305">
        <v>2731177</v>
      </c>
      <c r="AB305">
        <v>12375</v>
      </c>
      <c r="AD305" t="s">
        <v>5</v>
      </c>
      <c r="AE305">
        <v>11</v>
      </c>
      <c r="AF305">
        <v>6</v>
      </c>
      <c r="AH305" t="s">
        <v>7856</v>
      </c>
      <c r="AI305" t="s">
        <v>7855</v>
      </c>
      <c r="AK305" t="s">
        <v>7854</v>
      </c>
      <c r="AL305">
        <v>0</v>
      </c>
      <c r="AM305" s="5">
        <f t="shared" ref="AM305:AM368" si="42">AL305/U305</f>
        <v>0</v>
      </c>
      <c r="AN305" s="4">
        <f t="shared" si="39"/>
        <v>0</v>
      </c>
      <c r="AO305" s="3"/>
      <c r="AP305">
        <v>0</v>
      </c>
      <c r="AR305" t="s">
        <v>0</v>
      </c>
      <c r="AT305" s="2">
        <v>2.1520000000000001</v>
      </c>
      <c r="AU305" s="1">
        <f t="shared" ref="AU305:AU368" si="43">(Y305*0.7+AN305*0.3)*100</f>
        <v>1.2743920343824244</v>
      </c>
      <c r="AV305" s="1">
        <f t="shared" ref="AV305:AV368" si="44">(Y305*0.5+AN305*0.5)*100</f>
        <v>0.91028002455887469</v>
      </c>
      <c r="AW305" s="1">
        <f t="shared" ref="AW305:AW368" si="45">(Y305*0.3+AN305*0.7)*100</f>
        <v>0.54616801473532472</v>
      </c>
    </row>
    <row r="306" spans="1:49" x14ac:dyDescent="0.2">
      <c r="A306">
        <v>304</v>
      </c>
      <c r="B306" t="s">
        <v>7853</v>
      </c>
      <c r="C306" t="s">
        <v>7852</v>
      </c>
      <c r="F306" t="s">
        <v>7851</v>
      </c>
      <c r="G306" t="s">
        <v>16</v>
      </c>
      <c r="H306" t="s">
        <v>15</v>
      </c>
      <c r="I306" t="s">
        <v>7850</v>
      </c>
      <c r="J306" t="s">
        <v>7849</v>
      </c>
      <c r="K306" t="s">
        <v>7848</v>
      </c>
      <c r="L306" t="s">
        <v>7847</v>
      </c>
      <c r="M306" t="s">
        <v>1147</v>
      </c>
      <c r="N306">
        <v>4</v>
      </c>
      <c r="O306" t="s">
        <v>7846</v>
      </c>
      <c r="P306" t="s">
        <v>7845</v>
      </c>
      <c r="Q306" t="s">
        <v>7844</v>
      </c>
      <c r="R306" s="7">
        <v>33239</v>
      </c>
      <c r="S306" s="8">
        <f t="shared" si="40"/>
        <v>1991</v>
      </c>
      <c r="T306" s="8">
        <v>1991</v>
      </c>
      <c r="U306" s="8">
        <f t="shared" si="41"/>
        <v>31</v>
      </c>
      <c r="V306" s="7">
        <v>1991</v>
      </c>
      <c r="W306" t="s">
        <v>834</v>
      </c>
      <c r="X306" s="2">
        <v>12.555999999999999</v>
      </c>
      <c r="Y306" s="6">
        <f t="shared" si="38"/>
        <v>0.33517524892554923</v>
      </c>
      <c r="AA306">
        <v>368075</v>
      </c>
      <c r="AB306">
        <v>23571</v>
      </c>
      <c r="AD306" t="s">
        <v>5</v>
      </c>
      <c r="AE306">
        <v>253</v>
      </c>
      <c r="AF306">
        <v>5027</v>
      </c>
      <c r="AH306" t="s">
        <v>7843</v>
      </c>
      <c r="AI306" t="s">
        <v>7842</v>
      </c>
      <c r="AK306" t="s">
        <v>7841</v>
      </c>
      <c r="AL306">
        <v>94</v>
      </c>
      <c r="AM306" s="5">
        <f t="shared" si="42"/>
        <v>3.032258064516129</v>
      </c>
      <c r="AN306" s="4">
        <f t="shared" si="39"/>
        <v>4.5925907830611573E-3</v>
      </c>
      <c r="AO306" s="3"/>
      <c r="AP306">
        <v>0</v>
      </c>
      <c r="AR306" t="s">
        <v>0</v>
      </c>
      <c r="AT306" s="2">
        <v>47.728000000000002</v>
      </c>
      <c r="AU306" s="1">
        <f t="shared" si="43"/>
        <v>23.60004514828028</v>
      </c>
      <c r="AV306" s="1">
        <f t="shared" si="44"/>
        <v>16.988391985430521</v>
      </c>
      <c r="AW306" s="1">
        <f t="shared" si="45"/>
        <v>10.376738822580757</v>
      </c>
    </row>
    <row r="307" spans="1:49" x14ac:dyDescent="0.2">
      <c r="A307">
        <v>305</v>
      </c>
      <c r="B307" t="s">
        <v>7840</v>
      </c>
      <c r="C307" t="s">
        <v>7839</v>
      </c>
      <c r="F307" t="s">
        <v>7838</v>
      </c>
      <c r="G307" t="s">
        <v>16</v>
      </c>
      <c r="H307" t="s">
        <v>15</v>
      </c>
      <c r="I307" t="s">
        <v>7837</v>
      </c>
      <c r="J307" t="s">
        <v>6044</v>
      </c>
      <c r="K307" t="s">
        <v>6043</v>
      </c>
      <c r="L307" t="s">
        <v>6042</v>
      </c>
      <c r="M307" t="s">
        <v>821</v>
      </c>
      <c r="N307">
        <v>3</v>
      </c>
      <c r="O307" t="s">
        <v>7836</v>
      </c>
      <c r="P307" t="s">
        <v>7835</v>
      </c>
      <c r="Q307" t="s">
        <v>7834</v>
      </c>
      <c r="R307" s="7">
        <v>33239</v>
      </c>
      <c r="S307" s="8">
        <f t="shared" si="40"/>
        <v>1991</v>
      </c>
      <c r="T307" s="8">
        <v>1991</v>
      </c>
      <c r="U307" s="8">
        <f t="shared" si="41"/>
        <v>31</v>
      </c>
      <c r="V307" s="7">
        <v>33573</v>
      </c>
      <c r="W307" t="s">
        <v>2569</v>
      </c>
      <c r="X307" s="2">
        <v>0.111</v>
      </c>
      <c r="Y307" s="6">
        <f t="shared" si="38"/>
        <v>2.9630816048690639E-3</v>
      </c>
      <c r="AA307">
        <v>87566621</v>
      </c>
      <c r="AB307">
        <v>24890</v>
      </c>
      <c r="AC307">
        <v>15206424</v>
      </c>
      <c r="AD307" t="s">
        <v>5</v>
      </c>
      <c r="AE307">
        <v>74</v>
      </c>
      <c r="AF307">
        <v>12</v>
      </c>
      <c r="AH307" t="s">
        <v>7833</v>
      </c>
      <c r="AI307" t="s">
        <v>7832</v>
      </c>
      <c r="AK307" t="s">
        <v>7831</v>
      </c>
      <c r="AL307">
        <v>0</v>
      </c>
      <c r="AM307" s="5">
        <f t="shared" si="42"/>
        <v>0</v>
      </c>
      <c r="AN307" s="4">
        <f t="shared" si="39"/>
        <v>0</v>
      </c>
      <c r="AO307" s="3"/>
      <c r="AP307">
        <v>0</v>
      </c>
      <c r="AR307" t="s">
        <v>0</v>
      </c>
      <c r="AT307" s="2" t="s">
        <v>33</v>
      </c>
      <c r="AU307" s="1">
        <f t="shared" si="43"/>
        <v>0.20741571234083445</v>
      </c>
      <c r="AV307" s="1">
        <f t="shared" si="44"/>
        <v>0.1481540802434532</v>
      </c>
      <c r="AW307" s="1">
        <f t="shared" si="45"/>
        <v>8.8892448146071903E-2</v>
      </c>
    </row>
    <row r="308" spans="1:49" x14ac:dyDescent="0.2">
      <c r="A308">
        <v>306</v>
      </c>
      <c r="B308" t="s">
        <v>7830</v>
      </c>
      <c r="C308" t="s">
        <v>7829</v>
      </c>
      <c r="E308">
        <v>1684334</v>
      </c>
      <c r="F308" t="s">
        <v>7828</v>
      </c>
      <c r="G308" t="s">
        <v>16</v>
      </c>
      <c r="H308" t="s">
        <v>15</v>
      </c>
      <c r="I308" t="s">
        <v>7827</v>
      </c>
      <c r="J308" t="s">
        <v>7826</v>
      </c>
      <c r="K308" t="s">
        <v>7825</v>
      </c>
      <c r="L308" t="s">
        <v>7824</v>
      </c>
      <c r="M308" t="s">
        <v>7823</v>
      </c>
      <c r="N308">
        <v>5</v>
      </c>
      <c r="O308" t="s">
        <v>7822</v>
      </c>
      <c r="P308" t="s">
        <v>7821</v>
      </c>
      <c r="Q308" t="s">
        <v>7820</v>
      </c>
      <c r="R308" s="7">
        <v>33239</v>
      </c>
      <c r="S308" s="8">
        <f t="shared" si="40"/>
        <v>1991</v>
      </c>
      <c r="T308" s="8">
        <v>1991</v>
      </c>
      <c r="U308" s="8">
        <f t="shared" si="41"/>
        <v>31</v>
      </c>
      <c r="V308" s="7">
        <v>33573</v>
      </c>
      <c r="W308" t="s">
        <v>7819</v>
      </c>
      <c r="X308" s="2">
        <v>7.1360000000000001</v>
      </c>
      <c r="Y308" s="6">
        <f t="shared" si="38"/>
        <v>0.1904914444355463</v>
      </c>
      <c r="AA308">
        <v>8909369</v>
      </c>
      <c r="AB308">
        <v>22126</v>
      </c>
      <c r="AD308" t="s">
        <v>5</v>
      </c>
      <c r="AE308">
        <v>5</v>
      </c>
      <c r="AF308" t="s">
        <v>7818</v>
      </c>
      <c r="AH308" t="s">
        <v>7817</v>
      </c>
      <c r="AI308" t="s">
        <v>7816</v>
      </c>
      <c r="AJ308" t="s">
        <v>7815</v>
      </c>
      <c r="AK308" t="s">
        <v>7814</v>
      </c>
      <c r="AL308">
        <v>75</v>
      </c>
      <c r="AM308" s="5">
        <f t="shared" si="42"/>
        <v>2.4193548387096775</v>
      </c>
      <c r="AN308" s="4">
        <f t="shared" si="39"/>
        <v>3.6643011566977321E-3</v>
      </c>
      <c r="AO308" s="3"/>
      <c r="AP308">
        <v>1</v>
      </c>
      <c r="AR308" t="s">
        <v>0</v>
      </c>
      <c r="AT308" s="2" t="s">
        <v>33</v>
      </c>
      <c r="AU308" s="1">
        <f t="shared" si="43"/>
        <v>13.44433014518917</v>
      </c>
      <c r="AV308" s="1">
        <f t="shared" si="44"/>
        <v>9.7077872796122016</v>
      </c>
      <c r="AW308" s="1">
        <f t="shared" si="45"/>
        <v>5.9712444140352305</v>
      </c>
    </row>
    <row r="309" spans="1:49" x14ac:dyDescent="0.2">
      <c r="A309">
        <v>307</v>
      </c>
      <c r="B309" t="s">
        <v>7813</v>
      </c>
      <c r="C309" t="s">
        <v>7812</v>
      </c>
      <c r="F309" t="s">
        <v>7811</v>
      </c>
      <c r="G309" t="s">
        <v>16</v>
      </c>
      <c r="H309" t="s">
        <v>15</v>
      </c>
      <c r="I309" t="s">
        <v>7810</v>
      </c>
      <c r="J309">
        <v>60101699</v>
      </c>
      <c r="K309" t="s">
        <v>5224</v>
      </c>
      <c r="L309" t="s">
        <v>327</v>
      </c>
      <c r="M309" t="s">
        <v>326</v>
      </c>
      <c r="N309">
        <v>2</v>
      </c>
      <c r="O309" t="s">
        <v>7809</v>
      </c>
      <c r="P309" t="s">
        <v>7808</v>
      </c>
      <c r="Q309" t="s">
        <v>5221</v>
      </c>
      <c r="R309" s="7">
        <v>33239</v>
      </c>
      <c r="S309" s="8">
        <f t="shared" si="40"/>
        <v>1991</v>
      </c>
      <c r="T309" s="8">
        <v>1991</v>
      </c>
      <c r="U309" s="8">
        <f t="shared" si="41"/>
        <v>31</v>
      </c>
      <c r="V309" s="7">
        <v>33573</v>
      </c>
      <c r="W309" t="s">
        <v>2569</v>
      </c>
      <c r="X309" s="2">
        <v>0.111</v>
      </c>
      <c r="Y309" s="6">
        <f t="shared" si="38"/>
        <v>2.9630816048690639E-3</v>
      </c>
      <c r="AA309">
        <v>87566621</v>
      </c>
      <c r="AB309">
        <v>24890</v>
      </c>
      <c r="AC309">
        <v>15206424</v>
      </c>
      <c r="AD309" t="s">
        <v>5</v>
      </c>
      <c r="AE309">
        <v>74</v>
      </c>
      <c r="AF309">
        <v>12</v>
      </c>
      <c r="AH309" t="s">
        <v>7807</v>
      </c>
      <c r="AI309" t="s">
        <v>7806</v>
      </c>
      <c r="AK309" t="s">
        <v>7805</v>
      </c>
      <c r="AL309">
        <v>3</v>
      </c>
      <c r="AM309" s="5">
        <f t="shared" si="42"/>
        <v>9.6774193548387094E-2</v>
      </c>
      <c r="AN309" s="4">
        <f t="shared" si="39"/>
        <v>1.4657204626790927E-4</v>
      </c>
      <c r="AO309" s="3"/>
      <c r="AP309">
        <v>0</v>
      </c>
      <c r="AR309" t="s">
        <v>0</v>
      </c>
      <c r="AT309" s="2" t="s">
        <v>33</v>
      </c>
      <c r="AU309" s="1">
        <f t="shared" si="43"/>
        <v>0.2118128737288717</v>
      </c>
      <c r="AV309" s="1">
        <f t="shared" si="44"/>
        <v>0.15548268255684866</v>
      </c>
      <c r="AW309" s="1">
        <f t="shared" si="45"/>
        <v>9.915249138482557E-2</v>
      </c>
    </row>
    <row r="310" spans="1:49" x14ac:dyDescent="0.2">
      <c r="A310">
        <v>308</v>
      </c>
      <c r="B310" t="s">
        <v>7804</v>
      </c>
      <c r="C310" t="s">
        <v>7803</v>
      </c>
      <c r="D310">
        <v>21916991900183</v>
      </c>
      <c r="F310" t="s">
        <v>7802</v>
      </c>
      <c r="G310" t="s">
        <v>16</v>
      </c>
      <c r="H310" t="s">
        <v>15</v>
      </c>
      <c r="I310" t="s">
        <v>7801</v>
      </c>
      <c r="J310">
        <v>60009512</v>
      </c>
      <c r="K310" t="s">
        <v>7800</v>
      </c>
      <c r="L310" t="s">
        <v>7799</v>
      </c>
      <c r="M310" t="s">
        <v>426</v>
      </c>
      <c r="N310">
        <v>2</v>
      </c>
      <c r="O310" t="s">
        <v>7798</v>
      </c>
      <c r="P310" t="s">
        <v>7797</v>
      </c>
      <c r="Q310" t="s">
        <v>7796</v>
      </c>
      <c r="R310" s="7">
        <v>33239</v>
      </c>
      <c r="S310" s="8">
        <f t="shared" si="40"/>
        <v>1991</v>
      </c>
      <c r="T310" s="8">
        <v>1991</v>
      </c>
      <c r="U310" s="8">
        <f t="shared" si="41"/>
        <v>31</v>
      </c>
      <c r="V310" s="7" t="s">
        <v>885</v>
      </c>
      <c r="W310" t="s">
        <v>282</v>
      </c>
      <c r="X310" s="2">
        <v>0.51500000000000001</v>
      </c>
      <c r="Y310" s="6">
        <f t="shared" si="38"/>
        <v>1.374763086943755E-2</v>
      </c>
      <c r="AA310">
        <v>219169</v>
      </c>
      <c r="AB310">
        <v>30966</v>
      </c>
      <c r="AD310" t="s">
        <v>5</v>
      </c>
      <c r="AE310">
        <v>53</v>
      </c>
      <c r="AF310" s="9">
        <v>44228</v>
      </c>
      <c r="AH310" t="s">
        <v>7795</v>
      </c>
      <c r="AI310" t="s">
        <v>7794</v>
      </c>
      <c r="AK310" t="s">
        <v>7793</v>
      </c>
      <c r="AL310">
        <v>11</v>
      </c>
      <c r="AM310" s="5">
        <f t="shared" si="42"/>
        <v>0.35483870967741937</v>
      </c>
      <c r="AN310" s="4">
        <f t="shared" si="39"/>
        <v>5.3743083631566731E-4</v>
      </c>
      <c r="AO310" s="3"/>
      <c r="AP310">
        <v>0</v>
      </c>
      <c r="AQ310" t="s">
        <v>7792</v>
      </c>
      <c r="AR310" t="s">
        <v>0</v>
      </c>
      <c r="AS310" t="s">
        <v>7791</v>
      </c>
      <c r="AT310" s="2" t="s">
        <v>33</v>
      </c>
      <c r="AU310" s="1">
        <f t="shared" si="43"/>
        <v>0.97845708595009839</v>
      </c>
      <c r="AV310" s="1">
        <f t="shared" si="44"/>
        <v>0.71425308528766085</v>
      </c>
      <c r="AW310" s="1">
        <f t="shared" si="45"/>
        <v>0.45004908462522325</v>
      </c>
    </row>
    <row r="311" spans="1:49" x14ac:dyDescent="0.2">
      <c r="A311">
        <v>309</v>
      </c>
      <c r="B311" t="s">
        <v>7790</v>
      </c>
      <c r="C311" t="s">
        <v>7789</v>
      </c>
      <c r="F311" t="s">
        <v>7788</v>
      </c>
      <c r="G311" t="s">
        <v>16</v>
      </c>
      <c r="H311" t="s">
        <v>15</v>
      </c>
      <c r="I311" t="s">
        <v>7787</v>
      </c>
      <c r="J311" t="s">
        <v>7786</v>
      </c>
      <c r="K311" t="s">
        <v>7785</v>
      </c>
      <c r="L311" t="s">
        <v>7784</v>
      </c>
      <c r="M311" t="s">
        <v>102</v>
      </c>
      <c r="N311">
        <v>4</v>
      </c>
      <c r="O311" t="s">
        <v>7783</v>
      </c>
      <c r="P311" t="s">
        <v>7782</v>
      </c>
      <c r="Q311" t="s">
        <v>7781</v>
      </c>
      <c r="R311" s="7">
        <v>33239</v>
      </c>
      <c r="S311" s="8">
        <f t="shared" si="40"/>
        <v>1991</v>
      </c>
      <c r="T311" s="8">
        <v>1991</v>
      </c>
      <c r="U311" s="8">
        <f t="shared" si="41"/>
        <v>31</v>
      </c>
      <c r="V311" s="7">
        <v>33390</v>
      </c>
      <c r="W311" t="s">
        <v>7780</v>
      </c>
      <c r="X311" s="2">
        <v>0.91500000000000004</v>
      </c>
      <c r="Y311" s="6">
        <f t="shared" si="38"/>
        <v>2.4425402418515259E-2</v>
      </c>
      <c r="AA311">
        <v>9528369</v>
      </c>
      <c r="AB311">
        <v>22608</v>
      </c>
      <c r="AC311">
        <v>14697998</v>
      </c>
      <c r="AD311" t="s">
        <v>5</v>
      </c>
      <c r="AE311">
        <v>224</v>
      </c>
      <c r="AF311">
        <v>2</v>
      </c>
      <c r="AH311" t="s">
        <v>7779</v>
      </c>
      <c r="AI311" t="s">
        <v>7778</v>
      </c>
      <c r="AK311" t="s">
        <v>7777</v>
      </c>
      <c r="AL311">
        <v>83</v>
      </c>
      <c r="AM311" s="5">
        <f t="shared" si="42"/>
        <v>2.6774193548387095</v>
      </c>
      <c r="AN311" s="4">
        <f t="shared" si="39"/>
        <v>4.0551599467454893E-3</v>
      </c>
      <c r="AO311" s="3"/>
      <c r="AP311">
        <v>0</v>
      </c>
      <c r="AR311" t="s">
        <v>0</v>
      </c>
      <c r="AT311" s="2">
        <v>2.3220000000000001</v>
      </c>
      <c r="AU311" s="1">
        <f t="shared" si="43"/>
        <v>1.8314329676984327</v>
      </c>
      <c r="AV311" s="1">
        <f t="shared" si="44"/>
        <v>1.4240281182630374</v>
      </c>
      <c r="AW311" s="1">
        <f t="shared" si="45"/>
        <v>1.016623268827642</v>
      </c>
    </row>
    <row r="312" spans="1:49" x14ac:dyDescent="0.2">
      <c r="A312">
        <v>310</v>
      </c>
      <c r="B312" t="s">
        <v>7776</v>
      </c>
      <c r="C312" t="s">
        <v>7775</v>
      </c>
      <c r="F312" t="s">
        <v>7774</v>
      </c>
      <c r="G312" t="s">
        <v>16</v>
      </c>
      <c r="H312" t="s">
        <v>15</v>
      </c>
      <c r="I312" t="s">
        <v>7773</v>
      </c>
      <c r="J312">
        <v>60000673</v>
      </c>
      <c r="K312" t="s">
        <v>7772</v>
      </c>
      <c r="L312" t="s">
        <v>7771</v>
      </c>
      <c r="M312" t="s">
        <v>1543</v>
      </c>
      <c r="N312">
        <v>1</v>
      </c>
      <c r="O312" t="s">
        <v>7770</v>
      </c>
      <c r="P312">
        <v>7005209825</v>
      </c>
      <c r="Q312">
        <v>60000673</v>
      </c>
      <c r="R312" s="7">
        <v>33239</v>
      </c>
      <c r="S312" s="8">
        <f t="shared" si="40"/>
        <v>1991</v>
      </c>
      <c r="T312" s="8">
        <v>1991</v>
      </c>
      <c r="U312" s="8">
        <f t="shared" si="41"/>
        <v>31</v>
      </c>
      <c r="V312" s="7">
        <v>1991</v>
      </c>
      <c r="W312" t="s">
        <v>7769</v>
      </c>
      <c r="X312" s="2">
        <v>1.0900000000000001</v>
      </c>
      <c r="Y312" s="6">
        <f t="shared" si="38"/>
        <v>2.9096927471236756E-2</v>
      </c>
      <c r="AB312">
        <v>12016</v>
      </c>
      <c r="AD312" t="s">
        <v>5</v>
      </c>
      <c r="AE312">
        <v>48</v>
      </c>
      <c r="AF312">
        <v>7</v>
      </c>
      <c r="AH312" t="s">
        <v>7768</v>
      </c>
      <c r="AI312" t="s">
        <v>7767</v>
      </c>
      <c r="AK312" t="s">
        <v>7766</v>
      </c>
      <c r="AL312">
        <v>42</v>
      </c>
      <c r="AM312" s="5">
        <f t="shared" si="42"/>
        <v>1.3548387096774193</v>
      </c>
      <c r="AN312" s="4">
        <f t="shared" si="39"/>
        <v>2.0520086477507295E-3</v>
      </c>
      <c r="AO312" s="3"/>
      <c r="AP312">
        <v>0</v>
      </c>
      <c r="AR312" t="s">
        <v>0</v>
      </c>
      <c r="AT312" s="2" t="s">
        <v>33</v>
      </c>
      <c r="AU312" s="1">
        <f t="shared" si="43"/>
        <v>2.0983451824190946</v>
      </c>
      <c r="AV312" s="1">
        <f t="shared" si="44"/>
        <v>1.5574468059493742</v>
      </c>
      <c r="AW312" s="1">
        <f t="shared" si="45"/>
        <v>1.0165484294796536</v>
      </c>
    </row>
    <row r="313" spans="1:49" x14ac:dyDescent="0.2">
      <c r="A313">
        <v>311</v>
      </c>
      <c r="B313" t="s">
        <v>7765</v>
      </c>
      <c r="C313" t="s">
        <v>7764</v>
      </c>
      <c r="F313" t="s">
        <v>7763</v>
      </c>
      <c r="G313" t="s">
        <v>16</v>
      </c>
      <c r="H313" t="s">
        <v>15</v>
      </c>
      <c r="I313" t="s">
        <v>7108</v>
      </c>
      <c r="J313">
        <v>60025555</v>
      </c>
      <c r="K313" t="s">
        <v>2786</v>
      </c>
      <c r="L313" t="s">
        <v>327</v>
      </c>
      <c r="M313" t="s">
        <v>326</v>
      </c>
      <c r="N313">
        <v>2</v>
      </c>
      <c r="O313" t="s">
        <v>7762</v>
      </c>
      <c r="P313" t="s">
        <v>7761</v>
      </c>
      <c r="Q313" t="s">
        <v>2783</v>
      </c>
      <c r="R313" s="7">
        <v>33239</v>
      </c>
      <c r="S313" s="8">
        <f t="shared" si="40"/>
        <v>1991</v>
      </c>
      <c r="T313" s="8">
        <v>1991</v>
      </c>
      <c r="U313" s="8">
        <f t="shared" si="41"/>
        <v>31</v>
      </c>
      <c r="V313" s="7">
        <v>33573</v>
      </c>
      <c r="W313" t="s">
        <v>2569</v>
      </c>
      <c r="X313" s="2">
        <v>0.111</v>
      </c>
      <c r="Y313" s="6">
        <f t="shared" si="38"/>
        <v>2.9630816048690639E-3</v>
      </c>
      <c r="AA313">
        <v>87566621</v>
      </c>
      <c r="AB313">
        <v>24890</v>
      </c>
      <c r="AC313">
        <v>15206424</v>
      </c>
      <c r="AD313" t="s">
        <v>5</v>
      </c>
      <c r="AE313">
        <v>74</v>
      </c>
      <c r="AF313">
        <v>12</v>
      </c>
      <c r="AH313" s="10">
        <v>44866</v>
      </c>
      <c r="AI313" t="s">
        <v>7760</v>
      </c>
      <c r="AK313" t="s">
        <v>7759</v>
      </c>
      <c r="AL313">
        <v>1</v>
      </c>
      <c r="AM313" s="5">
        <f t="shared" si="42"/>
        <v>3.2258064516129031E-2</v>
      </c>
      <c r="AN313" s="4">
        <f t="shared" si="39"/>
        <v>4.8857348755969758E-5</v>
      </c>
      <c r="AO313" s="3"/>
      <c r="AP313">
        <v>0</v>
      </c>
      <c r="AR313" t="s">
        <v>0</v>
      </c>
      <c r="AT313" s="2" t="s">
        <v>33</v>
      </c>
      <c r="AU313" s="1">
        <f t="shared" si="43"/>
        <v>0.20888143280351351</v>
      </c>
      <c r="AV313" s="1">
        <f t="shared" si="44"/>
        <v>0.15059694768125167</v>
      </c>
      <c r="AW313" s="1">
        <f t="shared" si="45"/>
        <v>9.2312462558989797E-2</v>
      </c>
    </row>
    <row r="314" spans="1:49" x14ac:dyDescent="0.2">
      <c r="A314">
        <v>312</v>
      </c>
      <c r="B314" t="s">
        <v>7758</v>
      </c>
      <c r="F314" t="s">
        <v>7757</v>
      </c>
      <c r="G314" t="s">
        <v>16</v>
      </c>
      <c r="H314" t="s">
        <v>15</v>
      </c>
      <c r="I314" t="s">
        <v>7756</v>
      </c>
      <c r="N314">
        <v>1</v>
      </c>
      <c r="O314" t="s">
        <v>7755</v>
      </c>
      <c r="P314">
        <v>7404362180</v>
      </c>
      <c r="R314" s="7">
        <v>33239</v>
      </c>
      <c r="S314" s="8">
        <f t="shared" si="40"/>
        <v>1991</v>
      </c>
      <c r="T314" s="8">
        <v>1991</v>
      </c>
      <c r="U314" s="8">
        <f t="shared" si="41"/>
        <v>31</v>
      </c>
      <c r="V314" s="7">
        <v>1991</v>
      </c>
      <c r="W314" t="s">
        <v>7754</v>
      </c>
      <c r="X314" s="2" t="s">
        <v>33</v>
      </c>
      <c r="Y314" s="6" t="e">
        <f t="shared" si="38"/>
        <v>#VALUE!</v>
      </c>
      <c r="AB314">
        <v>30165</v>
      </c>
      <c r="AD314" t="s">
        <v>5</v>
      </c>
      <c r="AE314">
        <v>51</v>
      </c>
      <c r="AF314">
        <v>2</v>
      </c>
      <c r="AH314" t="s">
        <v>7753</v>
      </c>
      <c r="AI314" t="s">
        <v>7752</v>
      </c>
      <c r="AK314" t="s">
        <v>7751</v>
      </c>
      <c r="AL314">
        <v>1</v>
      </c>
      <c r="AM314" s="5">
        <f t="shared" si="42"/>
        <v>3.2258064516129031E-2</v>
      </c>
      <c r="AN314" s="4">
        <f t="shared" si="39"/>
        <v>4.8857348755969758E-5</v>
      </c>
      <c r="AO314" s="3"/>
      <c r="AP314">
        <v>0</v>
      </c>
      <c r="AR314" t="s">
        <v>0</v>
      </c>
      <c r="AT314" s="2" t="s">
        <v>33</v>
      </c>
      <c r="AU314" s="1" t="e">
        <f t="shared" si="43"/>
        <v>#VALUE!</v>
      </c>
      <c r="AV314" s="1" t="e">
        <f t="shared" si="44"/>
        <v>#VALUE!</v>
      </c>
      <c r="AW314" s="1" t="e">
        <f t="shared" si="45"/>
        <v>#VALUE!</v>
      </c>
    </row>
    <row r="315" spans="1:49" x14ac:dyDescent="0.2">
      <c r="A315">
        <v>313</v>
      </c>
      <c r="B315" t="s">
        <v>7750</v>
      </c>
      <c r="C315" t="s">
        <v>7749</v>
      </c>
      <c r="F315" t="s">
        <v>7748</v>
      </c>
      <c r="G315" t="s">
        <v>16</v>
      </c>
      <c r="H315" t="s">
        <v>15</v>
      </c>
      <c r="I315" t="s">
        <v>2787</v>
      </c>
      <c r="J315">
        <v>60025555</v>
      </c>
      <c r="K315" t="s">
        <v>2786</v>
      </c>
      <c r="L315" t="s">
        <v>327</v>
      </c>
      <c r="M315" t="s">
        <v>326</v>
      </c>
      <c r="N315">
        <v>3</v>
      </c>
      <c r="O315" t="s">
        <v>7747</v>
      </c>
      <c r="P315" t="s">
        <v>7746</v>
      </c>
      <c r="Q315" t="s">
        <v>5632</v>
      </c>
      <c r="R315" s="7">
        <v>33239</v>
      </c>
      <c r="S315" s="8">
        <f t="shared" si="40"/>
        <v>1991</v>
      </c>
      <c r="T315" s="8">
        <v>1991</v>
      </c>
      <c r="U315" s="8">
        <f t="shared" si="41"/>
        <v>31</v>
      </c>
      <c r="V315" s="7">
        <v>33573</v>
      </c>
      <c r="W315" t="s">
        <v>2569</v>
      </c>
      <c r="X315" s="2">
        <v>0.111</v>
      </c>
      <c r="Y315" s="6">
        <f t="shared" si="38"/>
        <v>2.9630816048690639E-3</v>
      </c>
      <c r="AA315">
        <v>87566621</v>
      </c>
      <c r="AB315">
        <v>24890</v>
      </c>
      <c r="AC315">
        <v>15206424</v>
      </c>
      <c r="AD315" t="s">
        <v>5</v>
      </c>
      <c r="AE315">
        <v>74</v>
      </c>
      <c r="AF315">
        <v>12</v>
      </c>
      <c r="AH315" s="9">
        <v>44470</v>
      </c>
      <c r="AI315" t="s">
        <v>7745</v>
      </c>
      <c r="AK315" t="s">
        <v>7744</v>
      </c>
      <c r="AL315">
        <v>0</v>
      </c>
      <c r="AM315" s="5">
        <f t="shared" si="42"/>
        <v>0</v>
      </c>
      <c r="AN315" s="4">
        <f t="shared" si="39"/>
        <v>0</v>
      </c>
      <c r="AO315" s="3"/>
      <c r="AP315">
        <v>0</v>
      </c>
      <c r="AR315" t="s">
        <v>0</v>
      </c>
      <c r="AT315" s="2" t="s">
        <v>33</v>
      </c>
      <c r="AU315" s="1">
        <f t="shared" si="43"/>
        <v>0.20741571234083445</v>
      </c>
      <c r="AV315" s="1">
        <f t="shared" si="44"/>
        <v>0.1481540802434532</v>
      </c>
      <c r="AW315" s="1">
        <f t="shared" si="45"/>
        <v>8.8892448146071903E-2</v>
      </c>
    </row>
    <row r="316" spans="1:49" x14ac:dyDescent="0.2">
      <c r="A316">
        <v>314</v>
      </c>
      <c r="B316" t="s">
        <v>7743</v>
      </c>
      <c r="C316" t="s">
        <v>7742</v>
      </c>
      <c r="F316" t="s">
        <v>7741</v>
      </c>
      <c r="G316" t="s">
        <v>16</v>
      </c>
      <c r="H316" t="s">
        <v>15</v>
      </c>
      <c r="I316" t="s">
        <v>7740</v>
      </c>
      <c r="J316">
        <v>60009647</v>
      </c>
      <c r="K316" t="s">
        <v>7739</v>
      </c>
      <c r="L316" t="s">
        <v>7738</v>
      </c>
      <c r="M316" t="s">
        <v>213</v>
      </c>
      <c r="N316">
        <v>1</v>
      </c>
      <c r="O316" t="s">
        <v>7737</v>
      </c>
      <c r="P316">
        <v>7102263144</v>
      </c>
      <c r="Q316">
        <v>60009647</v>
      </c>
      <c r="R316" s="7">
        <v>33239</v>
      </c>
      <c r="S316" s="8">
        <f t="shared" si="40"/>
        <v>1991</v>
      </c>
      <c r="T316" s="8">
        <v>1991</v>
      </c>
      <c r="U316" s="8">
        <f t="shared" si="41"/>
        <v>31</v>
      </c>
      <c r="V316" s="7">
        <v>33270</v>
      </c>
      <c r="W316" t="s">
        <v>7736</v>
      </c>
      <c r="X316" s="2">
        <v>0.76500000000000001</v>
      </c>
      <c r="Y316" s="6">
        <f t="shared" si="38"/>
        <v>2.0421238087611118E-2</v>
      </c>
      <c r="AA316">
        <v>138703</v>
      </c>
      <c r="AB316">
        <v>19793</v>
      </c>
      <c r="AC316">
        <v>15707458</v>
      </c>
      <c r="AD316" t="s">
        <v>5</v>
      </c>
      <c r="AE316">
        <v>58</v>
      </c>
      <c r="AF316">
        <v>2</v>
      </c>
      <c r="AH316" t="s">
        <v>7735</v>
      </c>
      <c r="AI316" t="s">
        <v>7734</v>
      </c>
      <c r="AJ316" t="s">
        <v>7733</v>
      </c>
      <c r="AK316" t="s">
        <v>7732</v>
      </c>
      <c r="AL316">
        <v>19</v>
      </c>
      <c r="AM316" s="5">
        <f t="shared" si="42"/>
        <v>0.61290322580645162</v>
      </c>
      <c r="AN316" s="4">
        <f t="shared" si="39"/>
        <v>9.2828962636342543E-4</v>
      </c>
      <c r="AO316" s="3"/>
      <c r="AP316">
        <v>0</v>
      </c>
      <c r="AR316" t="s">
        <v>0</v>
      </c>
      <c r="AT316" s="2" t="s">
        <v>33</v>
      </c>
      <c r="AU316" s="1">
        <f t="shared" si="43"/>
        <v>1.4573353549236807</v>
      </c>
      <c r="AV316" s="1">
        <f t="shared" si="44"/>
        <v>1.067476385698727</v>
      </c>
      <c r="AW316" s="1">
        <f t="shared" si="45"/>
        <v>0.67761741647377338</v>
      </c>
    </row>
    <row r="317" spans="1:49" x14ac:dyDescent="0.2">
      <c r="A317">
        <v>315</v>
      </c>
      <c r="B317" t="s">
        <v>7731</v>
      </c>
      <c r="C317" t="s">
        <v>7730</v>
      </c>
      <c r="E317">
        <v>1778067</v>
      </c>
      <c r="F317" t="s">
        <v>7729</v>
      </c>
      <c r="G317" t="s">
        <v>16</v>
      </c>
      <c r="H317" t="s">
        <v>15</v>
      </c>
      <c r="I317" t="s">
        <v>7728</v>
      </c>
      <c r="J317">
        <v>60023324</v>
      </c>
      <c r="K317" t="s">
        <v>7727</v>
      </c>
      <c r="L317" t="s">
        <v>2002</v>
      </c>
      <c r="M317" t="s">
        <v>57</v>
      </c>
      <c r="N317">
        <v>3</v>
      </c>
      <c r="O317" t="s">
        <v>7726</v>
      </c>
      <c r="P317" t="s">
        <v>7725</v>
      </c>
      <c r="Q317" t="s">
        <v>7724</v>
      </c>
      <c r="R317" s="7">
        <v>33239</v>
      </c>
      <c r="S317" s="8">
        <f t="shared" si="40"/>
        <v>1991</v>
      </c>
      <c r="T317" s="8">
        <v>1991</v>
      </c>
      <c r="U317" s="8">
        <f t="shared" si="41"/>
        <v>31</v>
      </c>
      <c r="V317" s="7">
        <v>33573</v>
      </c>
      <c r="W317" t="s">
        <v>7723</v>
      </c>
      <c r="X317" s="2">
        <v>0.871</v>
      </c>
      <c r="Y317" s="6">
        <f t="shared" si="38"/>
        <v>2.325084754811671E-2</v>
      </c>
      <c r="AA317">
        <v>7357036</v>
      </c>
      <c r="AB317">
        <v>15431</v>
      </c>
      <c r="AD317" t="s">
        <v>5</v>
      </c>
      <c r="AE317">
        <v>105</v>
      </c>
      <c r="AF317">
        <v>4</v>
      </c>
      <c r="AH317" t="s">
        <v>7722</v>
      </c>
      <c r="AI317" t="s">
        <v>7721</v>
      </c>
      <c r="AK317" t="s">
        <v>7720</v>
      </c>
      <c r="AL317">
        <v>76</v>
      </c>
      <c r="AM317" s="5">
        <f t="shared" si="42"/>
        <v>2.4516129032258065</v>
      </c>
      <c r="AN317" s="4">
        <f t="shared" si="39"/>
        <v>3.7131585054537017E-3</v>
      </c>
      <c r="AO317" s="3"/>
      <c r="AP317">
        <v>0</v>
      </c>
      <c r="AQ317" t="s">
        <v>7719</v>
      </c>
      <c r="AR317" t="s">
        <v>7718</v>
      </c>
      <c r="AS317" t="s">
        <v>7717</v>
      </c>
      <c r="AT317" s="2" t="s">
        <v>33</v>
      </c>
      <c r="AU317" s="1">
        <f t="shared" si="43"/>
        <v>1.7389540835317807</v>
      </c>
      <c r="AV317" s="1">
        <f t="shared" si="44"/>
        <v>1.3482003026785205</v>
      </c>
      <c r="AW317" s="1">
        <f t="shared" si="45"/>
        <v>0.95744652182526047</v>
      </c>
    </row>
    <row r="318" spans="1:49" x14ac:dyDescent="0.2">
      <c r="A318">
        <v>316</v>
      </c>
      <c r="B318" t="s">
        <v>7716</v>
      </c>
      <c r="C318" t="s">
        <v>7715</v>
      </c>
      <c r="F318" t="s">
        <v>7714</v>
      </c>
      <c r="G318" t="s">
        <v>16</v>
      </c>
      <c r="H318" t="s">
        <v>15</v>
      </c>
      <c r="I318" t="s">
        <v>7713</v>
      </c>
      <c r="J318">
        <v>60024590</v>
      </c>
      <c r="K318" t="s">
        <v>7712</v>
      </c>
      <c r="L318" t="s">
        <v>7711</v>
      </c>
      <c r="M318" t="s">
        <v>57</v>
      </c>
      <c r="N318">
        <v>2</v>
      </c>
      <c r="O318" t="s">
        <v>7710</v>
      </c>
      <c r="P318" t="s">
        <v>7709</v>
      </c>
      <c r="Q318" t="s">
        <v>7708</v>
      </c>
      <c r="R318" s="7">
        <v>33239</v>
      </c>
      <c r="S318" s="8">
        <f t="shared" si="40"/>
        <v>1991</v>
      </c>
      <c r="T318" s="8">
        <v>1991</v>
      </c>
      <c r="U318" s="8">
        <f t="shared" si="41"/>
        <v>31</v>
      </c>
      <c r="V318" s="7">
        <v>33543</v>
      </c>
      <c r="W318" t="s">
        <v>2537</v>
      </c>
      <c r="X318" s="2">
        <v>1.365</v>
      </c>
      <c r="Y318" s="6">
        <f t="shared" si="38"/>
        <v>3.6437895411227675E-2</v>
      </c>
      <c r="AA318">
        <v>189545</v>
      </c>
      <c r="AB318">
        <v>17393</v>
      </c>
      <c r="AC318">
        <v>19399359</v>
      </c>
      <c r="AD318" t="s">
        <v>5</v>
      </c>
      <c r="AE318">
        <v>40</v>
      </c>
      <c r="AF318">
        <v>4</v>
      </c>
      <c r="AH318" t="s">
        <v>7707</v>
      </c>
      <c r="AI318" t="s">
        <v>7706</v>
      </c>
      <c r="AK318" t="s">
        <v>7705</v>
      </c>
      <c r="AL318">
        <v>21</v>
      </c>
      <c r="AM318" s="5">
        <f t="shared" si="42"/>
        <v>0.67741935483870963</v>
      </c>
      <c r="AN318" s="4">
        <f t="shared" si="39"/>
        <v>1.0260043238753647E-3</v>
      </c>
      <c r="AO318" s="3"/>
      <c r="AP318">
        <v>0</v>
      </c>
      <c r="AR318" t="s">
        <v>0</v>
      </c>
      <c r="AT318" s="2" t="s">
        <v>33</v>
      </c>
      <c r="AU318" s="1">
        <f t="shared" si="43"/>
        <v>2.581432808502198</v>
      </c>
      <c r="AV318" s="1">
        <f t="shared" si="44"/>
        <v>1.8731949867551521</v>
      </c>
      <c r="AW318" s="1">
        <f t="shared" si="45"/>
        <v>1.1649571650081059</v>
      </c>
    </row>
    <row r="319" spans="1:49" x14ac:dyDescent="0.2">
      <c r="A319">
        <v>317</v>
      </c>
      <c r="B319" t="s">
        <v>7704</v>
      </c>
      <c r="C319" t="s">
        <v>7703</v>
      </c>
      <c r="F319" t="s">
        <v>7702</v>
      </c>
      <c r="G319" t="s">
        <v>16</v>
      </c>
      <c r="H319" t="s">
        <v>15</v>
      </c>
      <c r="I319" t="s">
        <v>7701</v>
      </c>
      <c r="J319">
        <v>60025778</v>
      </c>
      <c r="K319" t="s">
        <v>2395</v>
      </c>
      <c r="L319" t="s">
        <v>2394</v>
      </c>
      <c r="M319" t="s">
        <v>57</v>
      </c>
      <c r="N319">
        <v>2</v>
      </c>
      <c r="O319" t="s">
        <v>7700</v>
      </c>
      <c r="P319" t="s">
        <v>7699</v>
      </c>
      <c r="Q319" t="s">
        <v>3553</v>
      </c>
      <c r="R319" s="7">
        <v>33239</v>
      </c>
      <c r="S319" s="8">
        <f t="shared" si="40"/>
        <v>1991</v>
      </c>
      <c r="T319" s="8">
        <v>1991</v>
      </c>
      <c r="U319" s="8">
        <f t="shared" si="41"/>
        <v>31</v>
      </c>
      <c r="V319" s="7">
        <v>33543</v>
      </c>
      <c r="W319" t="s">
        <v>1807</v>
      </c>
      <c r="X319" s="2">
        <v>1.6519999999999999</v>
      </c>
      <c r="Y319" s="6">
        <f t="shared" si="38"/>
        <v>4.409919649769093E-2</v>
      </c>
      <c r="AA319" t="s">
        <v>1806</v>
      </c>
      <c r="AB319">
        <v>17337</v>
      </c>
      <c r="AC319">
        <v>15582221</v>
      </c>
      <c r="AD319" t="s">
        <v>5</v>
      </c>
      <c r="AE319">
        <v>39</v>
      </c>
      <c r="AF319">
        <v>11</v>
      </c>
      <c r="AH319" t="s">
        <v>7698</v>
      </c>
      <c r="AI319" t="s">
        <v>7697</v>
      </c>
      <c r="AK319" t="s">
        <v>7696</v>
      </c>
      <c r="AL319">
        <v>165</v>
      </c>
      <c r="AM319" s="5">
        <f t="shared" si="42"/>
        <v>5.32258064516129</v>
      </c>
      <c r="AN319" s="4">
        <f t="shared" si="39"/>
        <v>8.061462544735009E-3</v>
      </c>
      <c r="AO319" s="3"/>
      <c r="AP319">
        <v>0</v>
      </c>
      <c r="AR319" t="s">
        <v>0</v>
      </c>
      <c r="AT319" s="2" t="s">
        <v>33</v>
      </c>
      <c r="AU319" s="1">
        <f t="shared" si="43"/>
        <v>3.3287876311804152</v>
      </c>
      <c r="AV319" s="1">
        <f t="shared" si="44"/>
        <v>2.6080329521212966</v>
      </c>
      <c r="AW319" s="1">
        <f t="shared" si="45"/>
        <v>1.8872782730621782</v>
      </c>
    </row>
    <row r="320" spans="1:49" x14ac:dyDescent="0.2">
      <c r="A320">
        <v>318</v>
      </c>
      <c r="B320" t="s">
        <v>7695</v>
      </c>
      <c r="C320" t="s">
        <v>7694</v>
      </c>
      <c r="F320" t="s">
        <v>7693</v>
      </c>
      <c r="G320" t="s">
        <v>16</v>
      </c>
      <c r="H320" t="s">
        <v>15</v>
      </c>
      <c r="I320" t="s">
        <v>7692</v>
      </c>
      <c r="J320" t="s">
        <v>7691</v>
      </c>
      <c r="K320" t="s">
        <v>7690</v>
      </c>
      <c r="L320" t="s">
        <v>7689</v>
      </c>
      <c r="M320" t="s">
        <v>133</v>
      </c>
      <c r="N320">
        <v>3</v>
      </c>
      <c r="O320" t="s">
        <v>7688</v>
      </c>
      <c r="P320" t="s">
        <v>7687</v>
      </c>
      <c r="Q320" t="s">
        <v>7686</v>
      </c>
      <c r="R320" s="7">
        <v>33239</v>
      </c>
      <c r="S320" s="8">
        <f t="shared" si="40"/>
        <v>1991</v>
      </c>
      <c r="T320" s="8">
        <v>1991</v>
      </c>
      <c r="U320" s="8">
        <f t="shared" si="41"/>
        <v>31</v>
      </c>
      <c r="V320" s="7" t="s">
        <v>268</v>
      </c>
      <c r="W320" t="s">
        <v>3449</v>
      </c>
      <c r="X320" s="2">
        <v>0.75800000000000001</v>
      </c>
      <c r="Y320" s="6">
        <f t="shared" si="38"/>
        <v>2.0234377085502256E-2</v>
      </c>
      <c r="AA320">
        <v>224650</v>
      </c>
      <c r="AB320">
        <v>29589</v>
      </c>
      <c r="AD320" t="s">
        <v>5</v>
      </c>
      <c r="AE320">
        <v>28</v>
      </c>
      <c r="AF320">
        <v>6</v>
      </c>
      <c r="AH320" t="s">
        <v>7685</v>
      </c>
      <c r="AI320" t="s">
        <v>7684</v>
      </c>
      <c r="AK320" t="s">
        <v>7683</v>
      </c>
      <c r="AL320">
        <v>0</v>
      </c>
      <c r="AM320" s="5">
        <f t="shared" si="42"/>
        <v>0</v>
      </c>
      <c r="AN320" s="4">
        <f t="shared" si="39"/>
        <v>0</v>
      </c>
      <c r="AO320" s="3"/>
      <c r="AP320">
        <v>0</v>
      </c>
      <c r="AR320" t="s">
        <v>0</v>
      </c>
      <c r="AT320" s="2">
        <v>1.282</v>
      </c>
      <c r="AU320" s="1">
        <f t="shared" si="43"/>
        <v>1.4164063959851578</v>
      </c>
      <c r="AV320" s="1">
        <f t="shared" si="44"/>
        <v>1.0117188542751128</v>
      </c>
      <c r="AW320" s="1">
        <f t="shared" si="45"/>
        <v>0.60703131256506759</v>
      </c>
    </row>
    <row r="321" spans="1:49" x14ac:dyDescent="0.2">
      <c r="A321">
        <v>319</v>
      </c>
      <c r="B321" t="s">
        <v>7682</v>
      </c>
      <c r="C321" t="s">
        <v>7681</v>
      </c>
      <c r="D321" t="s">
        <v>7680</v>
      </c>
      <c r="F321" t="s">
        <v>7679</v>
      </c>
      <c r="G321" t="s">
        <v>16</v>
      </c>
      <c r="H321" t="s">
        <v>15</v>
      </c>
      <c r="I321" t="s">
        <v>7678</v>
      </c>
      <c r="J321" t="s">
        <v>7677</v>
      </c>
      <c r="K321" t="s">
        <v>7676</v>
      </c>
      <c r="L321" t="s">
        <v>7675</v>
      </c>
      <c r="M321" t="s">
        <v>133</v>
      </c>
      <c r="N321">
        <v>4</v>
      </c>
      <c r="O321" t="s">
        <v>7674</v>
      </c>
      <c r="P321" t="s">
        <v>7673</v>
      </c>
      <c r="Q321" t="s">
        <v>7672</v>
      </c>
      <c r="R321" s="7">
        <v>33239</v>
      </c>
      <c r="S321" s="8">
        <f t="shared" si="40"/>
        <v>1991</v>
      </c>
      <c r="T321" s="8">
        <v>1991</v>
      </c>
      <c r="U321" s="8">
        <f t="shared" si="41"/>
        <v>31</v>
      </c>
      <c r="V321" s="7">
        <v>33543</v>
      </c>
      <c r="W321" t="s">
        <v>7671</v>
      </c>
      <c r="X321" s="2" t="s">
        <v>33</v>
      </c>
      <c r="Y321" s="6" t="e">
        <f t="shared" si="38"/>
        <v>#VALUE!</v>
      </c>
      <c r="AA321">
        <v>9231137</v>
      </c>
      <c r="AB321">
        <v>34465</v>
      </c>
      <c r="AD321" t="s">
        <v>5</v>
      </c>
      <c r="AE321">
        <v>15</v>
      </c>
      <c r="AF321" t="s">
        <v>1500</v>
      </c>
      <c r="AH321" t="s">
        <v>7670</v>
      </c>
      <c r="AI321" t="s">
        <v>7669</v>
      </c>
      <c r="AJ321" t="s">
        <v>7668</v>
      </c>
      <c r="AK321" t="s">
        <v>7667</v>
      </c>
      <c r="AL321">
        <v>12</v>
      </c>
      <c r="AM321" s="5">
        <f t="shared" si="42"/>
        <v>0.38709677419354838</v>
      </c>
      <c r="AN321" s="4">
        <f t="shared" si="39"/>
        <v>5.8628818507163707E-4</v>
      </c>
      <c r="AO321" s="3"/>
      <c r="AP321">
        <v>0</v>
      </c>
      <c r="AQ321" t="s">
        <v>508</v>
      </c>
      <c r="AR321" t="s">
        <v>7666</v>
      </c>
      <c r="AS321" t="s">
        <v>507</v>
      </c>
      <c r="AT321" s="2" t="s">
        <v>33</v>
      </c>
      <c r="AU321" s="1" t="e">
        <f t="shared" si="43"/>
        <v>#VALUE!</v>
      </c>
      <c r="AV321" s="1" t="e">
        <f t="shared" si="44"/>
        <v>#VALUE!</v>
      </c>
      <c r="AW321" s="1" t="e">
        <f t="shared" si="45"/>
        <v>#VALUE!</v>
      </c>
    </row>
    <row r="322" spans="1:49" x14ac:dyDescent="0.2">
      <c r="A322">
        <v>320</v>
      </c>
      <c r="B322" t="s">
        <v>7665</v>
      </c>
      <c r="C322" t="s">
        <v>7664</v>
      </c>
      <c r="D322">
        <v>10465591902124</v>
      </c>
      <c r="F322" t="s">
        <v>7663</v>
      </c>
      <c r="G322" t="s">
        <v>16</v>
      </c>
      <c r="H322" t="s">
        <v>15</v>
      </c>
      <c r="I322" t="s">
        <v>5067</v>
      </c>
      <c r="J322">
        <v>60030526</v>
      </c>
      <c r="K322" t="s">
        <v>3003</v>
      </c>
      <c r="L322" t="s">
        <v>327</v>
      </c>
      <c r="M322" t="s">
        <v>326</v>
      </c>
      <c r="N322">
        <v>1</v>
      </c>
      <c r="O322" t="s">
        <v>7662</v>
      </c>
      <c r="P322">
        <v>55633340100</v>
      </c>
      <c r="Q322">
        <v>60030526</v>
      </c>
      <c r="R322" s="7">
        <v>33239</v>
      </c>
      <c r="S322" s="8">
        <f t="shared" si="40"/>
        <v>1991</v>
      </c>
      <c r="T322" s="8">
        <v>1991</v>
      </c>
      <c r="U322" s="8">
        <f t="shared" si="41"/>
        <v>31</v>
      </c>
      <c r="V322" s="7">
        <v>33543</v>
      </c>
      <c r="W322" t="s">
        <v>7330</v>
      </c>
      <c r="X322" s="2">
        <v>1.319</v>
      </c>
      <c r="Y322" s="6">
        <f t="shared" ref="Y322:Y385" si="46">(X322-$Z$4)/($Z$3-$Z$4)</f>
        <v>3.5209951683083739E-2</v>
      </c>
      <c r="AA322">
        <v>104655</v>
      </c>
      <c r="AB322">
        <v>13184</v>
      </c>
      <c r="AD322" t="s">
        <v>5</v>
      </c>
      <c r="AE322">
        <v>68</v>
      </c>
      <c r="AF322" s="9">
        <v>44256</v>
      </c>
      <c r="AH322" t="s">
        <v>7661</v>
      </c>
      <c r="AI322" t="s">
        <v>7660</v>
      </c>
      <c r="AK322" t="s">
        <v>7659</v>
      </c>
      <c r="AL322">
        <v>38</v>
      </c>
      <c r="AM322" s="5">
        <f t="shared" si="42"/>
        <v>1.2258064516129032</v>
      </c>
      <c r="AN322" s="4">
        <f t="shared" ref="AN322:AN385" si="47">(AM322-$AO$4)/($AO$3-$AO$4)</f>
        <v>1.8565792527268509E-3</v>
      </c>
      <c r="AO322" s="3"/>
      <c r="AP322">
        <v>0</v>
      </c>
      <c r="AR322" t="s">
        <v>0</v>
      </c>
      <c r="AT322" s="2">
        <v>4.3899999999999997</v>
      </c>
      <c r="AU322" s="1">
        <f t="shared" si="43"/>
        <v>2.5203939953976668</v>
      </c>
      <c r="AV322" s="1">
        <f t="shared" si="44"/>
        <v>1.8533265467905295</v>
      </c>
      <c r="AW322" s="1">
        <f t="shared" si="45"/>
        <v>1.1862590981833918</v>
      </c>
    </row>
    <row r="323" spans="1:49" x14ac:dyDescent="0.2">
      <c r="A323">
        <v>321</v>
      </c>
      <c r="B323" t="s">
        <v>7658</v>
      </c>
      <c r="C323" t="s">
        <v>7657</v>
      </c>
      <c r="F323" t="s">
        <v>7656</v>
      </c>
      <c r="G323" t="s">
        <v>16</v>
      </c>
      <c r="H323" t="s">
        <v>15</v>
      </c>
      <c r="I323" t="s">
        <v>7655</v>
      </c>
      <c r="J323">
        <v>60006288</v>
      </c>
      <c r="K323" t="s">
        <v>2751</v>
      </c>
      <c r="L323" t="s">
        <v>1654</v>
      </c>
      <c r="M323" t="s">
        <v>272</v>
      </c>
      <c r="N323">
        <v>2</v>
      </c>
      <c r="O323" t="s">
        <v>7654</v>
      </c>
      <c r="P323" t="s">
        <v>7653</v>
      </c>
      <c r="Q323" t="s">
        <v>2748</v>
      </c>
      <c r="R323" s="7">
        <v>33239</v>
      </c>
      <c r="S323" s="8">
        <f t="shared" si="40"/>
        <v>1991</v>
      </c>
      <c r="T323" s="8">
        <v>1991</v>
      </c>
      <c r="U323" s="8">
        <f t="shared" si="41"/>
        <v>31</v>
      </c>
      <c r="V323" s="7">
        <v>33543</v>
      </c>
      <c r="W323" t="s">
        <v>2537</v>
      </c>
      <c r="X323" s="2">
        <v>1.365</v>
      </c>
      <c r="Y323" s="6">
        <f t="shared" si="46"/>
        <v>3.6437895411227675E-2</v>
      </c>
      <c r="AA323">
        <v>189545</v>
      </c>
      <c r="AB323">
        <v>17393</v>
      </c>
      <c r="AC323">
        <v>19399359</v>
      </c>
      <c r="AD323" t="s">
        <v>5</v>
      </c>
      <c r="AE323">
        <v>40</v>
      </c>
      <c r="AF323">
        <v>4</v>
      </c>
      <c r="AH323" t="s">
        <v>7652</v>
      </c>
      <c r="AI323" t="s">
        <v>7651</v>
      </c>
      <c r="AK323" t="s">
        <v>7650</v>
      </c>
      <c r="AL323">
        <v>21</v>
      </c>
      <c r="AM323" s="5">
        <f t="shared" si="42"/>
        <v>0.67741935483870963</v>
      </c>
      <c r="AN323" s="4">
        <f t="shared" si="47"/>
        <v>1.0260043238753647E-3</v>
      </c>
      <c r="AO323" s="3"/>
      <c r="AP323">
        <v>0</v>
      </c>
      <c r="AR323" t="s">
        <v>0</v>
      </c>
      <c r="AT323" s="2" t="s">
        <v>33</v>
      </c>
      <c r="AU323" s="1">
        <f t="shared" si="43"/>
        <v>2.581432808502198</v>
      </c>
      <c r="AV323" s="1">
        <f t="shared" si="44"/>
        <v>1.8731949867551521</v>
      </c>
      <c r="AW323" s="1">
        <f t="shared" si="45"/>
        <v>1.1649571650081059</v>
      </c>
    </row>
    <row r="324" spans="1:49" x14ac:dyDescent="0.2">
      <c r="A324">
        <v>322</v>
      </c>
      <c r="B324" t="s">
        <v>7649</v>
      </c>
      <c r="C324" t="s">
        <v>7648</v>
      </c>
      <c r="F324" t="s">
        <v>7647</v>
      </c>
      <c r="G324" t="s">
        <v>16</v>
      </c>
      <c r="H324" t="s">
        <v>15</v>
      </c>
      <c r="I324" t="s">
        <v>7646</v>
      </c>
      <c r="J324">
        <v>60025555</v>
      </c>
      <c r="K324" t="s">
        <v>2786</v>
      </c>
      <c r="L324" t="s">
        <v>327</v>
      </c>
      <c r="M324" t="s">
        <v>326</v>
      </c>
      <c r="N324">
        <v>1</v>
      </c>
      <c r="O324" t="s">
        <v>7645</v>
      </c>
      <c r="P324">
        <v>6602269766</v>
      </c>
      <c r="Q324">
        <v>60025555</v>
      </c>
      <c r="R324" s="7">
        <v>33239</v>
      </c>
      <c r="S324" s="8">
        <f t="shared" si="40"/>
        <v>1991</v>
      </c>
      <c r="T324" s="8">
        <v>1991</v>
      </c>
      <c r="U324" s="8">
        <f t="shared" si="41"/>
        <v>31</v>
      </c>
      <c r="V324" s="7" t="s">
        <v>268</v>
      </c>
      <c r="W324" t="s">
        <v>3542</v>
      </c>
      <c r="X324" s="2">
        <v>1.573</v>
      </c>
      <c r="Y324" s="6">
        <f t="shared" si="46"/>
        <v>4.1990336616748086E-2</v>
      </c>
      <c r="AA324">
        <v>7315090</v>
      </c>
      <c r="AB324">
        <v>29586</v>
      </c>
      <c r="AD324" t="s">
        <v>5</v>
      </c>
      <c r="AE324">
        <v>14</v>
      </c>
      <c r="AF324">
        <v>6</v>
      </c>
      <c r="AH324" t="s">
        <v>7644</v>
      </c>
      <c r="AI324" t="s">
        <v>7643</v>
      </c>
      <c r="AK324" t="s">
        <v>7642</v>
      </c>
      <c r="AL324">
        <v>4</v>
      </c>
      <c r="AM324" s="5">
        <f t="shared" si="42"/>
        <v>0.12903225806451613</v>
      </c>
      <c r="AN324" s="4">
        <f t="shared" si="47"/>
        <v>1.9542939502387903E-4</v>
      </c>
      <c r="AO324" s="3"/>
      <c r="AP324">
        <v>0</v>
      </c>
      <c r="AR324" t="s">
        <v>0</v>
      </c>
      <c r="AT324" s="2" t="s">
        <v>33</v>
      </c>
      <c r="AU324" s="1">
        <f t="shared" si="43"/>
        <v>2.9451864450230825</v>
      </c>
      <c r="AV324" s="1">
        <f t="shared" si="44"/>
        <v>2.1092883005885983</v>
      </c>
      <c r="AW324" s="1">
        <f t="shared" si="45"/>
        <v>1.2733901561541141</v>
      </c>
    </row>
    <row r="325" spans="1:49" x14ac:dyDescent="0.2">
      <c r="A325">
        <v>323</v>
      </c>
      <c r="B325" t="s">
        <v>7641</v>
      </c>
      <c r="C325" t="s">
        <v>7640</v>
      </c>
      <c r="D325">
        <v>10465591902072</v>
      </c>
      <c r="F325" t="s">
        <v>7639</v>
      </c>
      <c r="G325" t="s">
        <v>16</v>
      </c>
      <c r="H325" t="s">
        <v>15</v>
      </c>
      <c r="I325" t="s">
        <v>6782</v>
      </c>
      <c r="J325">
        <v>60027960</v>
      </c>
      <c r="K325" t="s">
        <v>6781</v>
      </c>
      <c r="L325" t="s">
        <v>6780</v>
      </c>
      <c r="M325" t="s">
        <v>57</v>
      </c>
      <c r="N325">
        <v>3</v>
      </c>
      <c r="O325" t="s">
        <v>7638</v>
      </c>
      <c r="P325" t="s">
        <v>6778</v>
      </c>
      <c r="Q325" t="s">
        <v>6777</v>
      </c>
      <c r="R325" s="7">
        <v>33239</v>
      </c>
      <c r="S325" s="8">
        <f t="shared" si="40"/>
        <v>1991</v>
      </c>
      <c r="T325" s="8">
        <v>1991</v>
      </c>
      <c r="U325" s="8">
        <f t="shared" si="41"/>
        <v>31</v>
      </c>
      <c r="V325" s="7" t="s">
        <v>7637</v>
      </c>
      <c r="W325" t="s">
        <v>7330</v>
      </c>
      <c r="X325" s="2">
        <v>1.319</v>
      </c>
      <c r="Y325" s="6">
        <f t="shared" si="46"/>
        <v>3.5209951683083739E-2</v>
      </c>
      <c r="AA325">
        <v>104655</v>
      </c>
      <c r="AB325">
        <v>13184</v>
      </c>
      <c r="AD325" t="s">
        <v>5</v>
      </c>
      <c r="AE325">
        <v>68</v>
      </c>
      <c r="AF325" s="9">
        <v>44256</v>
      </c>
      <c r="AH325" t="s">
        <v>7636</v>
      </c>
      <c r="AI325" t="s">
        <v>7635</v>
      </c>
      <c r="AK325" t="s">
        <v>7634</v>
      </c>
      <c r="AL325">
        <v>53</v>
      </c>
      <c r="AM325" s="5">
        <f t="shared" si="42"/>
        <v>1.7096774193548387</v>
      </c>
      <c r="AN325" s="4">
        <f t="shared" si="47"/>
        <v>2.589439484066397E-3</v>
      </c>
      <c r="AO325" s="3"/>
      <c r="AP325">
        <v>0</v>
      </c>
      <c r="AR325" t="s">
        <v>0</v>
      </c>
      <c r="AT325" s="2">
        <v>4.3899999999999997</v>
      </c>
      <c r="AU325" s="1">
        <f t="shared" si="43"/>
        <v>2.5423798023378534</v>
      </c>
      <c r="AV325" s="1">
        <f t="shared" si="44"/>
        <v>1.8899695583575067</v>
      </c>
      <c r="AW325" s="1">
        <f t="shared" si="45"/>
        <v>1.2375593143771599</v>
      </c>
    </row>
    <row r="326" spans="1:49" x14ac:dyDescent="0.2">
      <c r="A326">
        <v>324</v>
      </c>
      <c r="B326" t="s">
        <v>7633</v>
      </c>
      <c r="C326" t="s">
        <v>7632</v>
      </c>
      <c r="F326" t="s">
        <v>7631</v>
      </c>
      <c r="G326" t="s">
        <v>16</v>
      </c>
      <c r="H326" t="s">
        <v>15</v>
      </c>
      <c r="I326" t="s">
        <v>7630</v>
      </c>
      <c r="N326">
        <v>4</v>
      </c>
      <c r="O326" t="s">
        <v>7629</v>
      </c>
      <c r="P326" t="s">
        <v>7628</v>
      </c>
      <c r="Q326" t="s">
        <v>1517</v>
      </c>
      <c r="R326" s="7">
        <v>33239</v>
      </c>
      <c r="S326" s="8">
        <f t="shared" si="40"/>
        <v>1991</v>
      </c>
      <c r="T326" s="8">
        <v>1991</v>
      </c>
      <c r="U326" s="8">
        <f t="shared" si="41"/>
        <v>31</v>
      </c>
      <c r="V326" s="7">
        <v>33543</v>
      </c>
      <c r="W326" t="s">
        <v>7598</v>
      </c>
      <c r="X326" s="2">
        <v>2.5459999999999998</v>
      </c>
      <c r="Y326" s="6">
        <f t="shared" si="46"/>
        <v>6.7964015909879605E-2</v>
      </c>
      <c r="AA326">
        <v>8908044</v>
      </c>
      <c r="AB326">
        <v>27239</v>
      </c>
      <c r="AD326" t="s">
        <v>5</v>
      </c>
      <c r="AE326">
        <v>5</v>
      </c>
      <c r="AF326">
        <v>6</v>
      </c>
      <c r="AH326" t="s">
        <v>7627</v>
      </c>
      <c r="AI326" t="s">
        <v>7626</v>
      </c>
      <c r="AK326" t="s">
        <v>7625</v>
      </c>
      <c r="AL326">
        <v>37</v>
      </c>
      <c r="AM326" s="5">
        <f t="shared" si="42"/>
        <v>1.1935483870967742</v>
      </c>
      <c r="AN326" s="4">
        <f t="shared" si="47"/>
        <v>1.8077219039708812E-3</v>
      </c>
      <c r="AO326" s="3"/>
      <c r="AP326">
        <v>0</v>
      </c>
      <c r="AR326" t="s">
        <v>0</v>
      </c>
      <c r="AT326" s="2">
        <v>10.693</v>
      </c>
      <c r="AU326" s="1">
        <f t="shared" si="43"/>
        <v>4.8117127708106988</v>
      </c>
      <c r="AV326" s="1">
        <f t="shared" si="44"/>
        <v>3.4885868906925244</v>
      </c>
      <c r="AW326" s="1">
        <f t="shared" si="45"/>
        <v>2.1654610105743499</v>
      </c>
    </row>
    <row r="327" spans="1:49" x14ac:dyDescent="0.2">
      <c r="A327">
        <v>325</v>
      </c>
      <c r="B327" t="s">
        <v>7624</v>
      </c>
      <c r="C327" t="s">
        <v>7623</v>
      </c>
      <c r="F327" t="s">
        <v>7622</v>
      </c>
      <c r="G327" t="s">
        <v>16</v>
      </c>
      <c r="H327" t="s">
        <v>15</v>
      </c>
      <c r="I327" t="s">
        <v>7621</v>
      </c>
      <c r="N327">
        <v>1</v>
      </c>
      <c r="O327" t="s">
        <v>7620</v>
      </c>
      <c r="P327">
        <v>6508104340</v>
      </c>
      <c r="R327" s="7">
        <v>33239</v>
      </c>
      <c r="S327" s="8">
        <f t="shared" si="40"/>
        <v>1991</v>
      </c>
      <c r="T327" s="8">
        <v>1991</v>
      </c>
      <c r="U327" s="8">
        <f t="shared" si="41"/>
        <v>31</v>
      </c>
      <c r="V327" s="7">
        <v>33543</v>
      </c>
      <c r="W327" t="s">
        <v>7598</v>
      </c>
      <c r="X327" s="2">
        <v>2.5459999999999998</v>
      </c>
      <c r="Y327" s="6">
        <f t="shared" si="46"/>
        <v>6.7964015909879605E-2</v>
      </c>
      <c r="AA327">
        <v>8908044</v>
      </c>
      <c r="AB327">
        <v>27239</v>
      </c>
      <c r="AD327" t="s">
        <v>5</v>
      </c>
      <c r="AE327">
        <v>5</v>
      </c>
      <c r="AF327">
        <v>6</v>
      </c>
      <c r="AH327" t="s">
        <v>7619</v>
      </c>
      <c r="AI327" t="s">
        <v>7618</v>
      </c>
      <c r="AK327" t="s">
        <v>7617</v>
      </c>
      <c r="AL327">
        <v>39</v>
      </c>
      <c r="AM327" s="5">
        <f t="shared" si="42"/>
        <v>1.2580645161290323</v>
      </c>
      <c r="AN327" s="4">
        <f t="shared" si="47"/>
        <v>1.9054366014828205E-3</v>
      </c>
      <c r="AO327" s="3"/>
      <c r="AP327">
        <v>0</v>
      </c>
      <c r="AR327" t="s">
        <v>0</v>
      </c>
      <c r="AT327" s="2">
        <v>10.693</v>
      </c>
      <c r="AU327" s="1">
        <f t="shared" si="43"/>
        <v>4.8146442117360566</v>
      </c>
      <c r="AV327" s="1">
        <f t="shared" si="44"/>
        <v>3.493472625568121</v>
      </c>
      <c r="AW327" s="1">
        <f t="shared" si="45"/>
        <v>2.1723010394001858</v>
      </c>
    </row>
    <row r="328" spans="1:49" x14ac:dyDescent="0.2">
      <c r="A328">
        <v>326</v>
      </c>
      <c r="B328" t="s">
        <v>7616</v>
      </c>
      <c r="C328" t="s">
        <v>7615</v>
      </c>
      <c r="D328">
        <v>10465591902113</v>
      </c>
      <c r="F328" t="s">
        <v>7614</v>
      </c>
      <c r="G328" t="s">
        <v>16</v>
      </c>
      <c r="H328" t="s">
        <v>15</v>
      </c>
      <c r="I328" t="s">
        <v>7613</v>
      </c>
      <c r="J328" t="s">
        <v>7608</v>
      </c>
      <c r="K328" t="s">
        <v>7612</v>
      </c>
      <c r="L328" t="s">
        <v>7611</v>
      </c>
      <c r="M328" t="s">
        <v>133</v>
      </c>
      <c r="N328">
        <v>2</v>
      </c>
      <c r="O328" t="s">
        <v>7610</v>
      </c>
      <c r="P328" t="s">
        <v>7609</v>
      </c>
      <c r="Q328" t="s">
        <v>7608</v>
      </c>
      <c r="R328" s="7">
        <v>33239</v>
      </c>
      <c r="S328" s="8">
        <f t="shared" si="40"/>
        <v>1991</v>
      </c>
      <c r="T328" s="8">
        <v>1991</v>
      </c>
      <c r="U328" s="8">
        <f t="shared" si="41"/>
        <v>31</v>
      </c>
      <c r="V328" s="7">
        <v>33543</v>
      </c>
      <c r="W328" t="s">
        <v>7330</v>
      </c>
      <c r="X328" s="2">
        <v>1.319</v>
      </c>
      <c r="Y328" s="6">
        <f t="shared" si="46"/>
        <v>3.5209951683083739E-2</v>
      </c>
      <c r="AA328">
        <v>104655</v>
      </c>
      <c r="AB328">
        <v>13184</v>
      </c>
      <c r="AD328" t="s">
        <v>5</v>
      </c>
      <c r="AE328">
        <v>68</v>
      </c>
      <c r="AF328" s="9">
        <v>44256</v>
      </c>
      <c r="AH328" t="s">
        <v>7607</v>
      </c>
      <c r="AI328" t="s">
        <v>7606</v>
      </c>
      <c r="AK328" t="s">
        <v>7605</v>
      </c>
      <c r="AL328">
        <v>10</v>
      </c>
      <c r="AM328" s="5">
        <f t="shared" si="42"/>
        <v>0.32258064516129031</v>
      </c>
      <c r="AN328" s="4">
        <f t="shared" si="47"/>
        <v>4.8857348755969754E-4</v>
      </c>
      <c r="AO328" s="3"/>
      <c r="AP328">
        <v>0</v>
      </c>
      <c r="AR328" t="s">
        <v>0</v>
      </c>
      <c r="AT328" s="2">
        <v>4.3899999999999997</v>
      </c>
      <c r="AU328" s="1">
        <f t="shared" si="43"/>
        <v>2.4793538224426528</v>
      </c>
      <c r="AV328" s="1">
        <f t="shared" si="44"/>
        <v>1.7849262585321719</v>
      </c>
      <c r="AW328" s="1">
        <f t="shared" si="45"/>
        <v>1.0904986946216908</v>
      </c>
    </row>
    <row r="329" spans="1:49" x14ac:dyDescent="0.2">
      <c r="A329">
        <v>327</v>
      </c>
      <c r="B329" t="s">
        <v>7604</v>
      </c>
      <c r="C329" t="s">
        <v>7603</v>
      </c>
      <c r="F329" t="s">
        <v>7602</v>
      </c>
      <c r="G329" t="s">
        <v>16</v>
      </c>
      <c r="H329" t="s">
        <v>15</v>
      </c>
      <c r="I329" t="s">
        <v>7601</v>
      </c>
      <c r="N329">
        <v>2</v>
      </c>
      <c r="O329" t="s">
        <v>7600</v>
      </c>
      <c r="P329" t="s">
        <v>7599</v>
      </c>
      <c r="Q329" t="s">
        <v>592</v>
      </c>
      <c r="R329" s="7">
        <v>33239</v>
      </c>
      <c r="S329" s="8">
        <f t="shared" si="40"/>
        <v>1991</v>
      </c>
      <c r="T329" s="8">
        <v>1991</v>
      </c>
      <c r="U329" s="8">
        <f t="shared" si="41"/>
        <v>31</v>
      </c>
      <c r="V329" s="7">
        <v>33543</v>
      </c>
      <c r="W329" t="s">
        <v>7598</v>
      </c>
      <c r="X329" s="2">
        <v>2.5459999999999998</v>
      </c>
      <c r="Y329" s="6">
        <f t="shared" si="46"/>
        <v>6.7964015909879605E-2</v>
      </c>
      <c r="AA329">
        <v>8908044</v>
      </c>
      <c r="AB329">
        <v>27239</v>
      </c>
      <c r="AD329" t="s">
        <v>5</v>
      </c>
      <c r="AE329">
        <v>5</v>
      </c>
      <c r="AF329">
        <v>6</v>
      </c>
      <c r="AH329" t="s">
        <v>7597</v>
      </c>
      <c r="AI329" t="s">
        <v>7596</v>
      </c>
      <c r="AK329" t="s">
        <v>7595</v>
      </c>
      <c r="AL329">
        <v>221</v>
      </c>
      <c r="AM329" s="5">
        <f t="shared" si="42"/>
        <v>7.129032258064516</v>
      </c>
      <c r="AN329" s="4">
        <f t="shared" si="47"/>
        <v>1.0797474075069317E-2</v>
      </c>
      <c r="AO329" s="3"/>
      <c r="AP329">
        <v>0</v>
      </c>
      <c r="AR329" t="s">
        <v>0</v>
      </c>
      <c r="AT329" s="2">
        <v>10.693</v>
      </c>
      <c r="AU329" s="1">
        <f t="shared" si="43"/>
        <v>5.0814053359436517</v>
      </c>
      <c r="AV329" s="1">
        <f t="shared" si="44"/>
        <v>3.9380744992474459</v>
      </c>
      <c r="AW329" s="1">
        <f t="shared" si="45"/>
        <v>2.7947436625512401</v>
      </c>
    </row>
    <row r="330" spans="1:49" x14ac:dyDescent="0.2">
      <c r="A330">
        <v>328</v>
      </c>
      <c r="B330" t="s">
        <v>7594</v>
      </c>
      <c r="C330" t="s">
        <v>7593</v>
      </c>
      <c r="D330" t="s">
        <v>7592</v>
      </c>
      <c r="F330" t="s">
        <v>7591</v>
      </c>
      <c r="G330" t="s">
        <v>16</v>
      </c>
      <c r="H330" t="s">
        <v>15</v>
      </c>
      <c r="I330" t="s">
        <v>7590</v>
      </c>
      <c r="J330" t="s">
        <v>7589</v>
      </c>
      <c r="K330" t="s">
        <v>7588</v>
      </c>
      <c r="L330" t="s">
        <v>7587</v>
      </c>
      <c r="M330" t="s">
        <v>133</v>
      </c>
      <c r="N330">
        <v>2</v>
      </c>
      <c r="O330" t="s">
        <v>7586</v>
      </c>
      <c r="P330" t="s">
        <v>7585</v>
      </c>
      <c r="Q330" t="s">
        <v>7584</v>
      </c>
      <c r="R330" s="7">
        <v>33239</v>
      </c>
      <c r="S330" s="8">
        <f t="shared" si="40"/>
        <v>1991</v>
      </c>
      <c r="T330" s="8">
        <v>1991</v>
      </c>
      <c r="U330" s="8">
        <f t="shared" si="41"/>
        <v>31</v>
      </c>
      <c r="V330" s="7">
        <v>33543</v>
      </c>
      <c r="W330" t="s">
        <v>7330</v>
      </c>
      <c r="X330" s="2">
        <v>1.319</v>
      </c>
      <c r="Y330" s="6">
        <f t="shared" si="46"/>
        <v>3.5209951683083739E-2</v>
      </c>
      <c r="AA330">
        <v>104655</v>
      </c>
      <c r="AB330">
        <v>13184</v>
      </c>
      <c r="AD330" t="s">
        <v>5</v>
      </c>
      <c r="AE330">
        <v>68</v>
      </c>
      <c r="AF330" s="9">
        <v>44256</v>
      </c>
      <c r="AH330" t="s">
        <v>7583</v>
      </c>
      <c r="AI330" t="s">
        <v>7582</v>
      </c>
      <c r="AK330" t="s">
        <v>7581</v>
      </c>
      <c r="AL330">
        <v>33</v>
      </c>
      <c r="AM330" s="5">
        <f t="shared" si="42"/>
        <v>1.064516129032258</v>
      </c>
      <c r="AN330" s="4">
        <f t="shared" si="47"/>
        <v>1.6122925089470019E-3</v>
      </c>
      <c r="AO330" s="3"/>
      <c r="AP330">
        <v>0</v>
      </c>
      <c r="AR330" t="s">
        <v>0</v>
      </c>
      <c r="AT330" s="2">
        <v>4.3899999999999997</v>
      </c>
      <c r="AU330" s="1">
        <f t="shared" si="43"/>
        <v>2.5130653930842715</v>
      </c>
      <c r="AV330" s="1">
        <f t="shared" si="44"/>
        <v>1.8411122096015371</v>
      </c>
      <c r="AW330" s="1">
        <f t="shared" si="45"/>
        <v>1.1691590261188023</v>
      </c>
    </row>
    <row r="331" spans="1:49" x14ac:dyDescent="0.2">
      <c r="A331">
        <v>329</v>
      </c>
      <c r="B331" t="s">
        <v>7580</v>
      </c>
      <c r="C331" t="s">
        <v>7579</v>
      </c>
      <c r="F331" t="s">
        <v>7578</v>
      </c>
      <c r="G331" t="s">
        <v>16</v>
      </c>
      <c r="H331" t="s">
        <v>15</v>
      </c>
      <c r="I331" t="s">
        <v>7577</v>
      </c>
      <c r="J331">
        <v>60015457</v>
      </c>
      <c r="K331" t="s">
        <v>6356</v>
      </c>
      <c r="L331" t="s">
        <v>1420</v>
      </c>
      <c r="M331" t="s">
        <v>57</v>
      </c>
      <c r="N331">
        <v>1</v>
      </c>
      <c r="O331" t="s">
        <v>7576</v>
      </c>
      <c r="P331">
        <v>7102157694</v>
      </c>
      <c r="Q331">
        <v>60015457</v>
      </c>
      <c r="R331" s="7">
        <v>33239</v>
      </c>
      <c r="S331" s="8">
        <f t="shared" si="40"/>
        <v>1991</v>
      </c>
      <c r="T331" s="8">
        <v>1991</v>
      </c>
      <c r="U331" s="8">
        <f t="shared" si="41"/>
        <v>31</v>
      </c>
      <c r="V331" s="7">
        <v>1991</v>
      </c>
      <c r="W331" t="s">
        <v>674</v>
      </c>
      <c r="X331" s="2">
        <v>1.137</v>
      </c>
      <c r="Y331" s="6">
        <f t="shared" si="46"/>
        <v>3.0351565628253384E-2</v>
      </c>
      <c r="AA331">
        <v>189251</v>
      </c>
      <c r="AB331">
        <v>17336</v>
      </c>
      <c r="AD331" t="s">
        <v>5</v>
      </c>
      <c r="AE331">
        <v>27</v>
      </c>
      <c r="AF331">
        <v>6</v>
      </c>
      <c r="AH331" t="s">
        <v>7575</v>
      </c>
      <c r="AI331" t="s">
        <v>7574</v>
      </c>
      <c r="AK331" t="s">
        <v>7573</v>
      </c>
      <c r="AL331">
        <v>5</v>
      </c>
      <c r="AM331" s="5">
        <f t="shared" si="42"/>
        <v>0.16129032258064516</v>
      </c>
      <c r="AN331" s="4">
        <f t="shared" si="47"/>
        <v>2.4428674377984877E-4</v>
      </c>
      <c r="AO331" s="3"/>
      <c r="AP331">
        <v>0</v>
      </c>
      <c r="AR331" t="s">
        <v>0</v>
      </c>
      <c r="AT331" s="2" t="s">
        <v>33</v>
      </c>
      <c r="AU331" s="1">
        <f t="shared" si="43"/>
        <v>2.1319381962911321</v>
      </c>
      <c r="AV331" s="1">
        <f t="shared" si="44"/>
        <v>1.5297926186016617</v>
      </c>
      <c r="AW331" s="1">
        <f t="shared" si="45"/>
        <v>0.92764704091219097</v>
      </c>
    </row>
    <row r="332" spans="1:49" x14ac:dyDescent="0.2">
      <c r="A332">
        <v>330</v>
      </c>
      <c r="B332" t="s">
        <v>7572</v>
      </c>
      <c r="C332" t="s">
        <v>7571</v>
      </c>
      <c r="F332" t="s">
        <v>7570</v>
      </c>
      <c r="G332" t="s">
        <v>16</v>
      </c>
      <c r="H332" t="s">
        <v>15</v>
      </c>
      <c r="I332" t="s">
        <v>7569</v>
      </c>
      <c r="J332">
        <v>60031828</v>
      </c>
      <c r="K332" t="s">
        <v>1545</v>
      </c>
      <c r="L332" t="s">
        <v>1544</v>
      </c>
      <c r="M332" t="s">
        <v>1543</v>
      </c>
      <c r="N332">
        <v>2</v>
      </c>
      <c r="O332" t="s">
        <v>7568</v>
      </c>
      <c r="P332" t="s">
        <v>7567</v>
      </c>
      <c r="Q332" t="s">
        <v>4012</v>
      </c>
      <c r="R332" s="7">
        <v>33239</v>
      </c>
      <c r="S332" s="8">
        <f t="shared" si="40"/>
        <v>1991</v>
      </c>
      <c r="T332" s="8">
        <v>1991</v>
      </c>
      <c r="U332" s="8">
        <f t="shared" si="41"/>
        <v>31</v>
      </c>
      <c r="V332" s="7">
        <v>33543</v>
      </c>
      <c r="W332" t="s">
        <v>7566</v>
      </c>
      <c r="X332" s="2" t="s">
        <v>33</v>
      </c>
      <c r="Y332" s="6" t="e">
        <f t="shared" si="46"/>
        <v>#VALUE!</v>
      </c>
      <c r="AA332">
        <v>10459227</v>
      </c>
      <c r="AB332">
        <v>24243</v>
      </c>
      <c r="AC332">
        <v>19410093</v>
      </c>
      <c r="AD332" t="s">
        <v>5</v>
      </c>
      <c r="AE332">
        <v>2</v>
      </c>
      <c r="AF332">
        <v>6</v>
      </c>
      <c r="AH332" t="s">
        <v>7565</v>
      </c>
      <c r="AI332" t="s">
        <v>7564</v>
      </c>
      <c r="AK332" t="s">
        <v>7563</v>
      </c>
      <c r="AL332">
        <v>86</v>
      </c>
      <c r="AM332" s="5">
        <f t="shared" si="42"/>
        <v>2.774193548387097</v>
      </c>
      <c r="AN332" s="4">
        <f t="shared" si="47"/>
        <v>4.2017319930133992E-3</v>
      </c>
      <c r="AO332" s="3"/>
      <c r="AP332">
        <v>0</v>
      </c>
      <c r="AR332" t="s">
        <v>0</v>
      </c>
      <c r="AT332" s="2" t="s">
        <v>33</v>
      </c>
      <c r="AU332" s="1" t="e">
        <f t="shared" si="43"/>
        <v>#VALUE!</v>
      </c>
      <c r="AV332" s="1" t="e">
        <f t="shared" si="44"/>
        <v>#VALUE!</v>
      </c>
      <c r="AW332" s="1" t="e">
        <f t="shared" si="45"/>
        <v>#VALUE!</v>
      </c>
    </row>
    <row r="333" spans="1:49" x14ac:dyDescent="0.2">
      <c r="A333">
        <v>331</v>
      </c>
      <c r="B333" t="s">
        <v>7562</v>
      </c>
      <c r="C333" t="s">
        <v>7561</v>
      </c>
      <c r="F333" t="s">
        <v>7560</v>
      </c>
      <c r="G333" t="s">
        <v>16</v>
      </c>
      <c r="H333" t="s">
        <v>15</v>
      </c>
      <c r="I333" t="s">
        <v>7559</v>
      </c>
      <c r="J333">
        <v>115609805</v>
      </c>
      <c r="K333" t="s">
        <v>7558</v>
      </c>
      <c r="M333" t="s">
        <v>57</v>
      </c>
      <c r="N333">
        <v>2</v>
      </c>
      <c r="O333" t="s">
        <v>7557</v>
      </c>
      <c r="P333" t="s">
        <v>7556</v>
      </c>
      <c r="Q333" t="s">
        <v>7555</v>
      </c>
      <c r="R333" s="7">
        <v>33239</v>
      </c>
      <c r="S333" s="8">
        <f t="shared" si="40"/>
        <v>1991</v>
      </c>
      <c r="T333" s="8">
        <v>1991</v>
      </c>
      <c r="U333" s="8">
        <f t="shared" si="41"/>
        <v>31</v>
      </c>
      <c r="V333" s="7">
        <v>33543</v>
      </c>
      <c r="W333" t="s">
        <v>3201</v>
      </c>
      <c r="X333" s="2">
        <v>0.62</v>
      </c>
      <c r="Y333" s="6">
        <f t="shared" si="46"/>
        <v>1.6550545901070447E-2</v>
      </c>
      <c r="AA333">
        <v>189464</v>
      </c>
      <c r="AB333">
        <v>17364</v>
      </c>
      <c r="AC333">
        <v>19410069</v>
      </c>
      <c r="AD333" t="s">
        <v>5</v>
      </c>
      <c r="AE333">
        <v>27</v>
      </c>
      <c r="AF333">
        <v>6</v>
      </c>
      <c r="AH333" t="s">
        <v>7554</v>
      </c>
      <c r="AI333" t="s">
        <v>7553</v>
      </c>
      <c r="AK333" t="s">
        <v>7552</v>
      </c>
      <c r="AL333">
        <v>3</v>
      </c>
      <c r="AM333" s="5">
        <f t="shared" si="42"/>
        <v>9.6774193548387094E-2</v>
      </c>
      <c r="AN333" s="4">
        <f t="shared" si="47"/>
        <v>1.4657204626790927E-4</v>
      </c>
      <c r="AO333" s="3"/>
      <c r="AP333">
        <v>0</v>
      </c>
      <c r="AR333" t="s">
        <v>0</v>
      </c>
      <c r="AT333" s="2">
        <v>1.7</v>
      </c>
      <c r="AU333" s="1">
        <f t="shared" si="43"/>
        <v>1.1629353744629685</v>
      </c>
      <c r="AV333" s="1">
        <f t="shared" si="44"/>
        <v>0.8348558973669179</v>
      </c>
      <c r="AW333" s="1">
        <f t="shared" si="45"/>
        <v>0.50677642027086711</v>
      </c>
    </row>
    <row r="334" spans="1:49" x14ac:dyDescent="0.2">
      <c r="A334">
        <v>332</v>
      </c>
      <c r="B334" t="s">
        <v>7551</v>
      </c>
      <c r="C334" t="s">
        <v>7550</v>
      </c>
      <c r="F334" t="s">
        <v>7549</v>
      </c>
      <c r="G334" t="s">
        <v>16</v>
      </c>
      <c r="H334" t="s">
        <v>15</v>
      </c>
      <c r="I334" t="s">
        <v>2360</v>
      </c>
      <c r="J334" t="s">
        <v>7545</v>
      </c>
      <c r="K334" t="s">
        <v>7548</v>
      </c>
      <c r="L334" t="s">
        <v>7547</v>
      </c>
      <c r="M334" t="s">
        <v>7546</v>
      </c>
      <c r="N334">
        <v>3</v>
      </c>
      <c r="O334" t="s">
        <v>2356</v>
      </c>
      <c r="P334" t="s">
        <v>2355</v>
      </c>
      <c r="Q334" t="s">
        <v>7545</v>
      </c>
      <c r="R334" s="7">
        <v>33239</v>
      </c>
      <c r="S334" s="8">
        <f t="shared" si="40"/>
        <v>1991</v>
      </c>
      <c r="T334" s="8">
        <v>1991</v>
      </c>
      <c r="U334" s="8">
        <f t="shared" si="41"/>
        <v>31</v>
      </c>
      <c r="V334" s="7">
        <v>33543</v>
      </c>
      <c r="W334" t="s">
        <v>1807</v>
      </c>
      <c r="X334" s="2">
        <v>1.6519999999999999</v>
      </c>
      <c r="Y334" s="6">
        <f t="shared" si="46"/>
        <v>4.409919649769093E-2</v>
      </c>
      <c r="AA334" t="s">
        <v>1806</v>
      </c>
      <c r="AB334">
        <v>17337</v>
      </c>
      <c r="AC334">
        <v>15582221</v>
      </c>
      <c r="AD334" t="s">
        <v>5</v>
      </c>
      <c r="AE334">
        <v>39</v>
      </c>
      <c r="AF334">
        <v>11</v>
      </c>
      <c r="AH334" t="s">
        <v>7544</v>
      </c>
      <c r="AI334" t="s">
        <v>7543</v>
      </c>
      <c r="AK334" t="s">
        <v>7542</v>
      </c>
      <c r="AL334">
        <v>115</v>
      </c>
      <c r="AM334" s="5">
        <f t="shared" si="42"/>
        <v>3.7096774193548385</v>
      </c>
      <c r="AN334" s="4">
        <f t="shared" si="47"/>
        <v>5.6185951069365218E-3</v>
      </c>
      <c r="AO334" s="3"/>
      <c r="AP334">
        <v>0</v>
      </c>
      <c r="AR334" t="s">
        <v>0</v>
      </c>
      <c r="AT334" s="2" t="s">
        <v>33</v>
      </c>
      <c r="AU334" s="1">
        <f t="shared" si="43"/>
        <v>3.2555016080464605</v>
      </c>
      <c r="AV334" s="1">
        <f t="shared" si="44"/>
        <v>2.4858895802313725</v>
      </c>
      <c r="AW334" s="1">
        <f t="shared" si="45"/>
        <v>1.7162775524162843</v>
      </c>
    </row>
    <row r="335" spans="1:49" x14ac:dyDescent="0.2">
      <c r="A335">
        <v>333</v>
      </c>
      <c r="B335" t="s">
        <v>7541</v>
      </c>
      <c r="C335" t="s">
        <v>7540</v>
      </c>
      <c r="F335" t="s">
        <v>7539</v>
      </c>
      <c r="G335" t="s">
        <v>16</v>
      </c>
      <c r="H335" t="s">
        <v>15</v>
      </c>
      <c r="I335" t="s">
        <v>7538</v>
      </c>
      <c r="J335">
        <v>60009506</v>
      </c>
      <c r="K335" t="s">
        <v>7537</v>
      </c>
      <c r="L335" t="s">
        <v>7536</v>
      </c>
      <c r="M335" t="s">
        <v>5113</v>
      </c>
      <c r="N335">
        <v>2</v>
      </c>
      <c r="O335" t="s">
        <v>7535</v>
      </c>
      <c r="P335" t="s">
        <v>7534</v>
      </c>
      <c r="Q335" t="s">
        <v>7533</v>
      </c>
      <c r="R335" s="7">
        <v>33239</v>
      </c>
      <c r="S335" s="8">
        <f t="shared" si="40"/>
        <v>1991</v>
      </c>
      <c r="T335" s="8">
        <v>1991</v>
      </c>
      <c r="U335" s="8">
        <f t="shared" si="41"/>
        <v>31</v>
      </c>
      <c r="V335" s="7">
        <v>33543</v>
      </c>
      <c r="W335" t="s">
        <v>1807</v>
      </c>
      <c r="X335" s="2">
        <v>1.6519999999999999</v>
      </c>
      <c r="Y335" s="6">
        <f t="shared" si="46"/>
        <v>4.409919649769093E-2</v>
      </c>
      <c r="AA335" t="s">
        <v>1806</v>
      </c>
      <c r="AB335">
        <v>17337</v>
      </c>
      <c r="AC335">
        <v>15582221</v>
      </c>
      <c r="AD335" t="s">
        <v>5</v>
      </c>
      <c r="AE335">
        <v>39</v>
      </c>
      <c r="AF335">
        <v>11</v>
      </c>
      <c r="AH335" t="s">
        <v>7532</v>
      </c>
      <c r="AI335" t="s">
        <v>7531</v>
      </c>
      <c r="AK335" t="s">
        <v>7530</v>
      </c>
      <c r="AL335">
        <v>104</v>
      </c>
      <c r="AM335" s="5">
        <f t="shared" si="42"/>
        <v>3.3548387096774195</v>
      </c>
      <c r="AN335" s="4">
        <f t="shared" si="47"/>
        <v>5.0811642706208547E-3</v>
      </c>
      <c r="AO335" s="3"/>
      <c r="AP335">
        <v>0</v>
      </c>
      <c r="AR335" t="s">
        <v>0</v>
      </c>
      <c r="AT335" s="2" t="s">
        <v>33</v>
      </c>
      <c r="AU335" s="1">
        <f t="shared" si="43"/>
        <v>3.2393786829569908</v>
      </c>
      <c r="AV335" s="1">
        <f t="shared" si="44"/>
        <v>2.4590180384155893</v>
      </c>
      <c r="AW335" s="1">
        <f t="shared" si="45"/>
        <v>1.6786573938741876</v>
      </c>
    </row>
    <row r="336" spans="1:49" x14ac:dyDescent="0.2">
      <c r="A336">
        <v>334</v>
      </c>
      <c r="B336" t="s">
        <v>7529</v>
      </c>
      <c r="C336" t="s">
        <v>7528</v>
      </c>
      <c r="F336" t="s">
        <v>7527</v>
      </c>
      <c r="G336" t="s">
        <v>16</v>
      </c>
      <c r="H336" t="s">
        <v>15</v>
      </c>
      <c r="I336" t="s">
        <v>791</v>
      </c>
      <c r="J336">
        <v>60012564</v>
      </c>
      <c r="K336" t="s">
        <v>5591</v>
      </c>
      <c r="L336" t="s">
        <v>5590</v>
      </c>
      <c r="M336" t="s">
        <v>57</v>
      </c>
      <c r="N336">
        <v>1</v>
      </c>
      <c r="O336" t="s">
        <v>7526</v>
      </c>
      <c r="P336">
        <v>7402253651</v>
      </c>
      <c r="Q336">
        <v>60012564</v>
      </c>
      <c r="R336" s="7">
        <v>33239</v>
      </c>
      <c r="S336" s="8">
        <f t="shared" si="40"/>
        <v>1991</v>
      </c>
      <c r="T336" s="8">
        <v>1991</v>
      </c>
      <c r="U336" s="8">
        <f t="shared" si="41"/>
        <v>31</v>
      </c>
      <c r="V336" s="7">
        <v>33543</v>
      </c>
      <c r="W336" t="s">
        <v>674</v>
      </c>
      <c r="X336" s="2">
        <v>1.137</v>
      </c>
      <c r="Y336" s="6">
        <f t="shared" si="46"/>
        <v>3.0351565628253384E-2</v>
      </c>
      <c r="AA336">
        <v>189251</v>
      </c>
      <c r="AB336">
        <v>17336</v>
      </c>
      <c r="AD336" t="s">
        <v>5</v>
      </c>
      <c r="AE336">
        <v>27</v>
      </c>
      <c r="AF336">
        <v>6</v>
      </c>
      <c r="AH336" t="s">
        <v>7525</v>
      </c>
      <c r="AI336" t="s">
        <v>7524</v>
      </c>
      <c r="AK336" t="s">
        <v>7523</v>
      </c>
      <c r="AL336">
        <v>3</v>
      </c>
      <c r="AM336" s="5">
        <f t="shared" si="42"/>
        <v>9.6774193548387094E-2</v>
      </c>
      <c r="AN336" s="4">
        <f t="shared" si="47"/>
        <v>1.4657204626790927E-4</v>
      </c>
      <c r="AO336" s="3"/>
      <c r="AP336">
        <v>0</v>
      </c>
      <c r="AR336" t="s">
        <v>0</v>
      </c>
      <c r="AT336" s="2" t="s">
        <v>33</v>
      </c>
      <c r="AU336" s="1">
        <f t="shared" si="43"/>
        <v>2.1290067553657739</v>
      </c>
      <c r="AV336" s="1">
        <f t="shared" si="44"/>
        <v>1.5249068837260646</v>
      </c>
      <c r="AW336" s="1">
        <f t="shared" si="45"/>
        <v>0.92080701208635518</v>
      </c>
    </row>
    <row r="337" spans="1:49" x14ac:dyDescent="0.2">
      <c r="A337">
        <v>335</v>
      </c>
      <c r="B337" t="s">
        <v>7522</v>
      </c>
      <c r="C337" t="s">
        <v>7521</v>
      </c>
      <c r="F337" t="s">
        <v>7520</v>
      </c>
      <c r="G337" t="s">
        <v>16</v>
      </c>
      <c r="H337" t="s">
        <v>15</v>
      </c>
      <c r="I337" t="s">
        <v>7519</v>
      </c>
      <c r="J337" t="s">
        <v>7518</v>
      </c>
      <c r="K337" t="s">
        <v>7517</v>
      </c>
      <c r="L337" t="s">
        <v>7516</v>
      </c>
      <c r="M337" t="s">
        <v>7515</v>
      </c>
      <c r="N337">
        <v>4</v>
      </c>
      <c r="O337" t="s">
        <v>7514</v>
      </c>
      <c r="P337" t="s">
        <v>7513</v>
      </c>
      <c r="Q337" t="s">
        <v>7512</v>
      </c>
      <c r="R337" s="7">
        <v>33239</v>
      </c>
      <c r="S337" s="8">
        <f t="shared" si="40"/>
        <v>1991</v>
      </c>
      <c r="T337" s="8">
        <v>1991</v>
      </c>
      <c r="U337" s="8">
        <f t="shared" si="41"/>
        <v>31</v>
      </c>
      <c r="V337" s="7">
        <v>33543</v>
      </c>
      <c r="W337" t="s">
        <v>1807</v>
      </c>
      <c r="X337" s="2">
        <v>1.6519999999999999</v>
      </c>
      <c r="Y337" s="6">
        <f t="shared" si="46"/>
        <v>4.409919649769093E-2</v>
      </c>
      <c r="AA337" t="s">
        <v>1806</v>
      </c>
      <c r="AB337">
        <v>17337</v>
      </c>
      <c r="AC337">
        <v>15582221</v>
      </c>
      <c r="AD337" t="s">
        <v>5</v>
      </c>
      <c r="AE337">
        <v>39</v>
      </c>
      <c r="AF337">
        <v>11</v>
      </c>
      <c r="AH337" t="s">
        <v>7511</v>
      </c>
      <c r="AI337" t="s">
        <v>7510</v>
      </c>
      <c r="AK337" t="s">
        <v>7509</v>
      </c>
      <c r="AL337">
        <v>39</v>
      </c>
      <c r="AM337" s="5">
        <f t="shared" si="42"/>
        <v>1.2580645161290323</v>
      </c>
      <c r="AN337" s="4">
        <f t="shared" si="47"/>
        <v>1.9054366014828205E-3</v>
      </c>
      <c r="AO337" s="3"/>
      <c r="AP337">
        <v>0</v>
      </c>
      <c r="AR337" t="s">
        <v>0</v>
      </c>
      <c r="AT337" s="2" t="s">
        <v>33</v>
      </c>
      <c r="AU337" s="1">
        <f t="shared" si="43"/>
        <v>3.1441068528828495</v>
      </c>
      <c r="AV337" s="1">
        <f t="shared" si="44"/>
        <v>2.3002316549586874</v>
      </c>
      <c r="AW337" s="1">
        <f t="shared" si="45"/>
        <v>1.4563564570345253</v>
      </c>
    </row>
    <row r="338" spans="1:49" x14ac:dyDescent="0.2">
      <c r="A338">
        <v>336</v>
      </c>
      <c r="B338" t="s">
        <v>7508</v>
      </c>
      <c r="C338" t="s">
        <v>7507</v>
      </c>
      <c r="F338" t="s">
        <v>7506</v>
      </c>
      <c r="G338" t="s">
        <v>16</v>
      </c>
      <c r="H338" t="s">
        <v>15</v>
      </c>
      <c r="I338" t="s">
        <v>7505</v>
      </c>
      <c r="J338">
        <v>60010365</v>
      </c>
      <c r="K338" t="s">
        <v>3714</v>
      </c>
      <c r="L338" t="s">
        <v>3713</v>
      </c>
      <c r="M338" t="s">
        <v>1543</v>
      </c>
      <c r="N338">
        <v>2</v>
      </c>
      <c r="O338" t="s">
        <v>7504</v>
      </c>
      <c r="P338" t="s">
        <v>7503</v>
      </c>
      <c r="Q338" t="s">
        <v>3710</v>
      </c>
      <c r="R338" s="7">
        <v>33239</v>
      </c>
      <c r="S338" s="8">
        <f t="shared" si="40"/>
        <v>1991</v>
      </c>
      <c r="T338" s="8">
        <v>1991</v>
      </c>
      <c r="U338" s="8">
        <f t="shared" si="41"/>
        <v>31</v>
      </c>
      <c r="V338" s="7">
        <v>33543</v>
      </c>
      <c r="W338" t="s">
        <v>7502</v>
      </c>
      <c r="X338" s="2">
        <v>1.468</v>
      </c>
      <c r="Y338" s="6">
        <f t="shared" si="46"/>
        <v>3.9187421585115186E-2</v>
      </c>
      <c r="AA338">
        <v>906778</v>
      </c>
      <c r="AB338">
        <v>18931</v>
      </c>
      <c r="AD338" t="s">
        <v>5</v>
      </c>
      <c r="AE338">
        <v>39</v>
      </c>
      <c r="AF338">
        <v>11</v>
      </c>
      <c r="AH338" t="s">
        <v>7501</v>
      </c>
      <c r="AI338" t="s">
        <v>7500</v>
      </c>
      <c r="AK338" t="s">
        <v>7499</v>
      </c>
      <c r="AL338">
        <v>2</v>
      </c>
      <c r="AM338" s="5">
        <f t="shared" si="42"/>
        <v>6.4516129032258063E-2</v>
      </c>
      <c r="AN338" s="4">
        <f t="shared" si="47"/>
        <v>9.7714697511939517E-5</v>
      </c>
      <c r="AO338" s="3"/>
      <c r="AP338">
        <v>0</v>
      </c>
      <c r="AQ338" t="s">
        <v>2668</v>
      </c>
      <c r="AR338" t="s">
        <v>7498</v>
      </c>
      <c r="AS338" t="s">
        <v>2667</v>
      </c>
      <c r="AT338" s="2">
        <v>5.0830000000000002</v>
      </c>
      <c r="AU338" s="1">
        <f t="shared" si="43"/>
        <v>2.7460509518834209</v>
      </c>
      <c r="AV338" s="1">
        <f t="shared" si="44"/>
        <v>1.9642568141313563</v>
      </c>
      <c r="AW338" s="1">
        <f t="shared" si="45"/>
        <v>1.1824626763792914</v>
      </c>
    </row>
    <row r="339" spans="1:49" x14ac:dyDescent="0.2">
      <c r="A339">
        <v>337</v>
      </c>
      <c r="B339" t="s">
        <v>7497</v>
      </c>
      <c r="C339" t="s">
        <v>7496</v>
      </c>
      <c r="D339">
        <v>10465591902146</v>
      </c>
      <c r="F339" t="s">
        <v>7495</v>
      </c>
      <c r="G339" t="s">
        <v>16</v>
      </c>
      <c r="H339" t="s">
        <v>15</v>
      </c>
      <c r="I339" t="s">
        <v>3585</v>
      </c>
      <c r="J339">
        <v>60015186</v>
      </c>
      <c r="K339" t="s">
        <v>3584</v>
      </c>
      <c r="L339" t="s">
        <v>3583</v>
      </c>
      <c r="M339" t="s">
        <v>1543</v>
      </c>
      <c r="N339">
        <v>1</v>
      </c>
      <c r="O339" t="s">
        <v>3582</v>
      </c>
      <c r="P339">
        <v>7402673635</v>
      </c>
      <c r="Q339">
        <v>60015186</v>
      </c>
      <c r="R339" s="7">
        <v>33239</v>
      </c>
      <c r="S339" s="8">
        <f t="shared" si="40"/>
        <v>1991</v>
      </c>
      <c r="T339" s="8">
        <v>1991</v>
      </c>
      <c r="U339" s="8">
        <f t="shared" si="41"/>
        <v>31</v>
      </c>
      <c r="V339" s="7">
        <v>33543</v>
      </c>
      <c r="W339" t="s">
        <v>7330</v>
      </c>
      <c r="X339" s="2">
        <v>1.319</v>
      </c>
      <c r="Y339" s="6">
        <f t="shared" si="46"/>
        <v>3.5209951683083739E-2</v>
      </c>
      <c r="AA339">
        <v>104655</v>
      </c>
      <c r="AB339">
        <v>13184</v>
      </c>
      <c r="AD339" t="s">
        <v>5</v>
      </c>
      <c r="AE339">
        <v>68</v>
      </c>
      <c r="AF339" s="9">
        <v>44256</v>
      </c>
      <c r="AH339" t="s">
        <v>7494</v>
      </c>
      <c r="AI339" t="s">
        <v>7493</v>
      </c>
      <c r="AK339" t="s">
        <v>7492</v>
      </c>
      <c r="AL339">
        <v>5</v>
      </c>
      <c r="AM339" s="5">
        <f t="shared" si="42"/>
        <v>0.16129032258064516</v>
      </c>
      <c r="AN339" s="4">
        <f t="shared" si="47"/>
        <v>2.4428674377984877E-4</v>
      </c>
      <c r="AO339" s="3"/>
      <c r="AP339">
        <v>0</v>
      </c>
      <c r="AR339" t="s">
        <v>0</v>
      </c>
      <c r="AT339" s="2">
        <v>4.3899999999999997</v>
      </c>
      <c r="AU339" s="1">
        <f t="shared" si="43"/>
        <v>2.472025220129257</v>
      </c>
      <c r="AV339" s="1">
        <f t="shared" si="44"/>
        <v>1.7727119213431792</v>
      </c>
      <c r="AW339" s="1">
        <f t="shared" si="45"/>
        <v>1.0733986225571015</v>
      </c>
    </row>
    <row r="340" spans="1:49" x14ac:dyDescent="0.2">
      <c r="A340">
        <v>338</v>
      </c>
      <c r="B340" t="s">
        <v>7491</v>
      </c>
      <c r="C340" t="s">
        <v>7490</v>
      </c>
      <c r="F340" t="s">
        <v>7489</v>
      </c>
      <c r="G340" t="s">
        <v>16</v>
      </c>
      <c r="H340" t="s">
        <v>15</v>
      </c>
      <c r="I340" t="s">
        <v>5694</v>
      </c>
      <c r="J340">
        <v>60005429</v>
      </c>
      <c r="K340" t="s">
        <v>2321</v>
      </c>
      <c r="L340" t="s">
        <v>2320</v>
      </c>
      <c r="M340" t="s">
        <v>2319</v>
      </c>
      <c r="N340">
        <v>1</v>
      </c>
      <c r="O340" t="s">
        <v>7488</v>
      </c>
      <c r="P340">
        <v>7401775911</v>
      </c>
      <c r="Q340">
        <v>60005429</v>
      </c>
      <c r="R340" s="7">
        <v>33239</v>
      </c>
      <c r="S340" s="8">
        <f t="shared" si="40"/>
        <v>1991</v>
      </c>
      <c r="T340" s="8">
        <v>1991</v>
      </c>
      <c r="U340" s="8">
        <f t="shared" si="41"/>
        <v>31</v>
      </c>
      <c r="V340" s="7">
        <v>33482</v>
      </c>
      <c r="W340" t="s">
        <v>7487</v>
      </c>
      <c r="X340" s="2">
        <v>0.26400000000000001</v>
      </c>
      <c r="Y340" s="6">
        <f t="shared" si="46"/>
        <v>7.0473292223912874E-3</v>
      </c>
      <c r="AA340">
        <v>2533839</v>
      </c>
      <c r="AB340">
        <v>15157</v>
      </c>
      <c r="AC340">
        <v>21587299</v>
      </c>
      <c r="AD340" t="s">
        <v>5</v>
      </c>
      <c r="AE340">
        <v>14</v>
      </c>
      <c r="AF340">
        <v>6</v>
      </c>
      <c r="AH340" t="s">
        <v>7486</v>
      </c>
      <c r="AI340" t="s">
        <v>7485</v>
      </c>
      <c r="AJ340" t="s">
        <v>7484</v>
      </c>
      <c r="AK340" t="s">
        <v>7483</v>
      </c>
      <c r="AL340">
        <v>0</v>
      </c>
      <c r="AM340" s="5">
        <f t="shared" si="42"/>
        <v>0</v>
      </c>
      <c r="AN340" s="4">
        <f t="shared" si="47"/>
        <v>0</v>
      </c>
      <c r="AO340" s="3"/>
      <c r="AP340">
        <v>0</v>
      </c>
      <c r="AR340" t="s">
        <v>0</v>
      </c>
      <c r="AT340" s="2" t="s">
        <v>33</v>
      </c>
      <c r="AU340" s="1">
        <f t="shared" si="43"/>
        <v>0.49331304556739003</v>
      </c>
      <c r="AV340" s="1">
        <f t="shared" si="44"/>
        <v>0.35236646111956438</v>
      </c>
      <c r="AW340" s="1">
        <f t="shared" si="45"/>
        <v>0.21141987667173862</v>
      </c>
    </row>
    <row r="341" spans="1:49" x14ac:dyDescent="0.2">
      <c r="A341">
        <v>339</v>
      </c>
      <c r="B341" t="s">
        <v>7482</v>
      </c>
      <c r="C341" t="s">
        <v>7481</v>
      </c>
      <c r="F341" t="s">
        <v>7480</v>
      </c>
      <c r="G341" t="s">
        <v>16</v>
      </c>
      <c r="H341" t="s">
        <v>15</v>
      </c>
      <c r="I341" t="s">
        <v>6185</v>
      </c>
      <c r="J341" t="s">
        <v>7479</v>
      </c>
      <c r="K341" t="s">
        <v>7478</v>
      </c>
      <c r="L341" t="s">
        <v>7477</v>
      </c>
      <c r="M341" t="s">
        <v>1147</v>
      </c>
      <c r="N341">
        <v>3</v>
      </c>
      <c r="O341" t="s">
        <v>7476</v>
      </c>
      <c r="P341" t="s">
        <v>7475</v>
      </c>
      <c r="Q341" t="s">
        <v>7474</v>
      </c>
      <c r="R341" s="7">
        <v>33239</v>
      </c>
      <c r="S341" s="8">
        <f t="shared" si="40"/>
        <v>1991</v>
      </c>
      <c r="T341" s="8">
        <v>1991</v>
      </c>
      <c r="U341" s="8">
        <f t="shared" si="41"/>
        <v>31</v>
      </c>
      <c r="V341" s="7">
        <v>33543</v>
      </c>
      <c r="W341" t="s">
        <v>1807</v>
      </c>
      <c r="X341" s="2">
        <v>1.6519999999999999</v>
      </c>
      <c r="Y341" s="6">
        <f t="shared" si="46"/>
        <v>4.409919649769093E-2</v>
      </c>
      <c r="AA341" t="s">
        <v>1806</v>
      </c>
      <c r="AB341">
        <v>17337</v>
      </c>
      <c r="AC341">
        <v>15582221</v>
      </c>
      <c r="AD341" t="s">
        <v>5</v>
      </c>
      <c r="AE341">
        <v>39</v>
      </c>
      <c r="AF341">
        <v>11</v>
      </c>
      <c r="AH341" t="s">
        <v>7473</v>
      </c>
      <c r="AI341" t="s">
        <v>7472</v>
      </c>
      <c r="AK341" t="s">
        <v>7471</v>
      </c>
      <c r="AL341">
        <v>11</v>
      </c>
      <c r="AM341" s="5">
        <f t="shared" si="42"/>
        <v>0.35483870967741937</v>
      </c>
      <c r="AN341" s="4">
        <f t="shared" si="47"/>
        <v>5.3743083631566731E-4</v>
      </c>
      <c r="AO341" s="3"/>
      <c r="AP341">
        <v>0</v>
      </c>
      <c r="AR341" t="s">
        <v>0</v>
      </c>
      <c r="AT341" s="2" t="s">
        <v>33</v>
      </c>
      <c r="AU341" s="1">
        <f t="shared" si="43"/>
        <v>3.103066679927835</v>
      </c>
      <c r="AV341" s="1">
        <f t="shared" si="44"/>
        <v>2.2318313667003298</v>
      </c>
      <c r="AW341" s="1">
        <f t="shared" si="45"/>
        <v>1.3605960534728245</v>
      </c>
    </row>
    <row r="342" spans="1:49" x14ac:dyDescent="0.2">
      <c r="A342">
        <v>340</v>
      </c>
      <c r="B342" t="s">
        <v>7470</v>
      </c>
      <c r="C342" t="s">
        <v>7469</v>
      </c>
      <c r="F342" t="s">
        <v>7468</v>
      </c>
      <c r="G342" t="s">
        <v>16</v>
      </c>
      <c r="H342" t="s">
        <v>15</v>
      </c>
      <c r="I342" t="s">
        <v>6463</v>
      </c>
      <c r="J342">
        <v>60000617</v>
      </c>
      <c r="K342" t="s">
        <v>6462</v>
      </c>
      <c r="L342" t="s">
        <v>6461</v>
      </c>
      <c r="M342" t="s">
        <v>6460</v>
      </c>
      <c r="N342">
        <v>1</v>
      </c>
      <c r="O342" t="s">
        <v>6459</v>
      </c>
      <c r="P342">
        <v>35936069800</v>
      </c>
      <c r="Q342">
        <v>60000617</v>
      </c>
      <c r="R342" s="7">
        <v>33239</v>
      </c>
      <c r="S342" s="8">
        <f t="shared" si="40"/>
        <v>1991</v>
      </c>
      <c r="T342" s="8">
        <v>1991</v>
      </c>
      <c r="U342" s="8">
        <f t="shared" si="41"/>
        <v>31</v>
      </c>
      <c r="V342" s="7">
        <v>33543</v>
      </c>
      <c r="W342" t="s">
        <v>1807</v>
      </c>
      <c r="X342" s="2">
        <v>1.6519999999999999</v>
      </c>
      <c r="Y342" s="6">
        <f t="shared" si="46"/>
        <v>4.409919649769093E-2</v>
      </c>
      <c r="AA342" t="s">
        <v>1806</v>
      </c>
      <c r="AB342">
        <v>17337</v>
      </c>
      <c r="AC342">
        <v>15582221</v>
      </c>
      <c r="AD342" t="s">
        <v>5</v>
      </c>
      <c r="AE342">
        <v>39</v>
      </c>
      <c r="AF342">
        <v>11</v>
      </c>
      <c r="AH342" t="s">
        <v>7467</v>
      </c>
      <c r="AI342" t="s">
        <v>7466</v>
      </c>
      <c r="AK342" t="s">
        <v>7465</v>
      </c>
      <c r="AL342">
        <v>52</v>
      </c>
      <c r="AM342" s="5">
        <f t="shared" si="42"/>
        <v>1.6774193548387097</v>
      </c>
      <c r="AN342" s="4">
        <f t="shared" si="47"/>
        <v>2.5405821353104274E-3</v>
      </c>
      <c r="AO342" s="3"/>
      <c r="AP342">
        <v>0</v>
      </c>
      <c r="AR342" t="s">
        <v>0</v>
      </c>
      <c r="AT342" s="2" t="s">
        <v>33</v>
      </c>
      <c r="AU342" s="1">
        <f t="shared" si="43"/>
        <v>3.1631612188976783</v>
      </c>
      <c r="AV342" s="1">
        <f t="shared" si="44"/>
        <v>2.3319889316500682</v>
      </c>
      <c r="AW342" s="1">
        <f t="shared" si="45"/>
        <v>1.5008166444024578</v>
      </c>
    </row>
    <row r="343" spans="1:49" x14ac:dyDescent="0.2">
      <c r="A343">
        <v>341</v>
      </c>
      <c r="B343" t="s">
        <v>7464</v>
      </c>
      <c r="C343" t="s">
        <v>7463</v>
      </c>
      <c r="F343" t="s">
        <v>7462</v>
      </c>
      <c r="G343" t="s">
        <v>16</v>
      </c>
      <c r="H343" t="s">
        <v>15</v>
      </c>
      <c r="I343" t="s">
        <v>7461</v>
      </c>
      <c r="J343">
        <v>60030788</v>
      </c>
      <c r="K343" t="s">
        <v>7460</v>
      </c>
      <c r="L343" t="s">
        <v>7459</v>
      </c>
      <c r="M343" t="s">
        <v>326</v>
      </c>
      <c r="N343">
        <v>5</v>
      </c>
      <c r="O343" t="s">
        <v>7458</v>
      </c>
      <c r="P343" t="s">
        <v>7457</v>
      </c>
      <c r="Q343" t="s">
        <v>7456</v>
      </c>
      <c r="R343" s="7">
        <v>33239</v>
      </c>
      <c r="S343" s="8">
        <f t="shared" si="40"/>
        <v>1991</v>
      </c>
      <c r="T343" s="8">
        <v>1991</v>
      </c>
      <c r="U343" s="8">
        <f t="shared" si="41"/>
        <v>31</v>
      </c>
      <c r="V343" s="7">
        <v>33543</v>
      </c>
      <c r="W343" t="s">
        <v>4981</v>
      </c>
      <c r="X343" s="2">
        <v>0.371</v>
      </c>
      <c r="Y343" s="6">
        <f t="shared" si="46"/>
        <v>9.9036331117695747E-3</v>
      </c>
      <c r="AA343">
        <v>214922</v>
      </c>
      <c r="AB343">
        <v>130262</v>
      </c>
      <c r="AC343">
        <v>13474065</v>
      </c>
      <c r="AD343" t="s">
        <v>5</v>
      </c>
      <c r="AE343">
        <v>30</v>
      </c>
      <c r="AF343" t="s">
        <v>7455</v>
      </c>
      <c r="AH343" t="s">
        <v>7454</v>
      </c>
      <c r="AI343" t="s">
        <v>7453</v>
      </c>
      <c r="AJ343" t="s">
        <v>7452</v>
      </c>
      <c r="AK343" t="s">
        <v>7451</v>
      </c>
      <c r="AL343">
        <v>8</v>
      </c>
      <c r="AM343" s="5">
        <f t="shared" si="42"/>
        <v>0.25806451612903225</v>
      </c>
      <c r="AN343" s="4">
        <f t="shared" si="47"/>
        <v>3.9085879004775807E-4</v>
      </c>
      <c r="AO343" s="3"/>
      <c r="AP343">
        <v>0</v>
      </c>
      <c r="AR343" t="s">
        <v>0</v>
      </c>
      <c r="AT343" s="2">
        <v>1.48</v>
      </c>
      <c r="AU343" s="1">
        <f t="shared" si="43"/>
        <v>0.70498008152530289</v>
      </c>
      <c r="AV343" s="1">
        <f t="shared" si="44"/>
        <v>0.51472459509086654</v>
      </c>
      <c r="AW343" s="1">
        <f t="shared" si="45"/>
        <v>0.32446910865643031</v>
      </c>
    </row>
    <row r="344" spans="1:49" x14ac:dyDescent="0.2">
      <c r="A344">
        <v>342</v>
      </c>
      <c r="B344" t="s">
        <v>7450</v>
      </c>
      <c r="C344" t="s">
        <v>7449</v>
      </c>
      <c r="F344" t="s">
        <v>7448</v>
      </c>
      <c r="G344" t="s">
        <v>16</v>
      </c>
      <c r="H344" t="s">
        <v>15</v>
      </c>
      <c r="I344" t="s">
        <v>7447</v>
      </c>
      <c r="J344">
        <v>60003122</v>
      </c>
      <c r="K344" t="s">
        <v>7446</v>
      </c>
      <c r="L344" t="s">
        <v>7445</v>
      </c>
      <c r="M344" t="s">
        <v>1543</v>
      </c>
      <c r="N344">
        <v>2</v>
      </c>
      <c r="O344" t="s">
        <v>3994</v>
      </c>
      <c r="P344" t="s">
        <v>3993</v>
      </c>
      <c r="Q344" t="s">
        <v>7444</v>
      </c>
      <c r="R344" s="7">
        <v>33239</v>
      </c>
      <c r="S344" s="8">
        <f t="shared" si="40"/>
        <v>1991</v>
      </c>
      <c r="T344" s="8">
        <v>1991</v>
      </c>
      <c r="U344" s="8">
        <f t="shared" si="41"/>
        <v>31</v>
      </c>
      <c r="V344" s="7">
        <v>33543</v>
      </c>
      <c r="W344" t="s">
        <v>1807</v>
      </c>
      <c r="X344" s="2">
        <v>1.6519999999999999</v>
      </c>
      <c r="Y344" s="6">
        <f t="shared" si="46"/>
        <v>4.409919649769093E-2</v>
      </c>
      <c r="AA344" t="s">
        <v>1806</v>
      </c>
      <c r="AB344">
        <v>17337</v>
      </c>
      <c r="AC344">
        <v>15582221</v>
      </c>
      <c r="AD344" t="s">
        <v>5</v>
      </c>
      <c r="AE344">
        <v>39</v>
      </c>
      <c r="AF344">
        <v>11</v>
      </c>
      <c r="AH344" t="s">
        <v>7443</v>
      </c>
      <c r="AI344" t="s">
        <v>7442</v>
      </c>
      <c r="AK344" t="s">
        <v>7441</v>
      </c>
      <c r="AL344">
        <v>12</v>
      </c>
      <c r="AM344" s="5">
        <f t="shared" si="42"/>
        <v>0.38709677419354838</v>
      </c>
      <c r="AN344" s="4">
        <f t="shared" si="47"/>
        <v>5.8628818507163707E-4</v>
      </c>
      <c r="AO344" s="3"/>
      <c r="AP344">
        <v>0</v>
      </c>
      <c r="AR344" t="s">
        <v>0</v>
      </c>
      <c r="AT344" s="2" t="s">
        <v>33</v>
      </c>
      <c r="AU344" s="1">
        <f t="shared" si="43"/>
        <v>3.1045324003905144</v>
      </c>
      <c r="AV344" s="1">
        <f t="shared" si="44"/>
        <v>2.2342742341381285</v>
      </c>
      <c r="AW344" s="1">
        <f t="shared" si="45"/>
        <v>1.3640160678857423</v>
      </c>
    </row>
    <row r="345" spans="1:49" x14ac:dyDescent="0.2">
      <c r="A345">
        <v>343</v>
      </c>
      <c r="B345" t="s">
        <v>7440</v>
      </c>
      <c r="C345" t="s">
        <v>7439</v>
      </c>
      <c r="F345" t="s">
        <v>7438</v>
      </c>
      <c r="G345" t="s">
        <v>16</v>
      </c>
      <c r="H345" t="s">
        <v>15</v>
      </c>
      <c r="I345" t="s">
        <v>7437</v>
      </c>
      <c r="J345">
        <v>60032179</v>
      </c>
      <c r="K345" t="s">
        <v>4971</v>
      </c>
      <c r="L345" t="s">
        <v>4970</v>
      </c>
      <c r="M345" t="s">
        <v>57</v>
      </c>
      <c r="N345">
        <v>3</v>
      </c>
      <c r="O345" t="s">
        <v>7436</v>
      </c>
      <c r="P345" t="s">
        <v>7435</v>
      </c>
      <c r="Q345" t="s">
        <v>7434</v>
      </c>
      <c r="R345" s="7">
        <v>33239</v>
      </c>
      <c r="S345" s="8">
        <f t="shared" si="40"/>
        <v>1991</v>
      </c>
      <c r="T345" s="8">
        <v>1991</v>
      </c>
      <c r="U345" s="8">
        <f t="shared" si="41"/>
        <v>31</v>
      </c>
      <c r="V345" s="7">
        <v>33543</v>
      </c>
      <c r="W345" t="s">
        <v>987</v>
      </c>
      <c r="X345" s="2">
        <v>1.774</v>
      </c>
      <c r="Y345" s="6">
        <f t="shared" si="46"/>
        <v>4.7355916820159633E-2</v>
      </c>
      <c r="AA345">
        <v>295515</v>
      </c>
      <c r="AB345">
        <v>29066</v>
      </c>
      <c r="AC345">
        <v>17414326</v>
      </c>
      <c r="AD345" t="s">
        <v>5</v>
      </c>
      <c r="AE345">
        <v>31</v>
      </c>
      <c r="AF345">
        <v>11</v>
      </c>
      <c r="AH345" t="s">
        <v>7433</v>
      </c>
      <c r="AI345" t="s">
        <v>7432</v>
      </c>
      <c r="AK345" t="s">
        <v>7431</v>
      </c>
      <c r="AL345">
        <v>3</v>
      </c>
      <c r="AM345" s="5">
        <f t="shared" si="42"/>
        <v>9.6774193548387094E-2</v>
      </c>
      <c r="AN345" s="4">
        <f t="shared" si="47"/>
        <v>1.4657204626790927E-4</v>
      </c>
      <c r="AO345" s="3"/>
      <c r="AP345">
        <v>0</v>
      </c>
      <c r="AR345" t="s">
        <v>0</v>
      </c>
      <c r="AT345" s="2">
        <v>3.1789999999999998</v>
      </c>
      <c r="AU345" s="1">
        <f t="shared" si="43"/>
        <v>3.3193113387992113</v>
      </c>
      <c r="AV345" s="1">
        <f t="shared" si="44"/>
        <v>2.375124443321377</v>
      </c>
      <c r="AW345" s="1">
        <f t="shared" si="45"/>
        <v>1.4309375478435427</v>
      </c>
    </row>
    <row r="346" spans="1:49" x14ac:dyDescent="0.2">
      <c r="A346">
        <v>344</v>
      </c>
      <c r="B346" t="s">
        <v>7430</v>
      </c>
      <c r="C346" t="s">
        <v>7429</v>
      </c>
      <c r="F346" t="s">
        <v>7428</v>
      </c>
      <c r="G346" t="s">
        <v>16</v>
      </c>
      <c r="H346" t="s">
        <v>15</v>
      </c>
      <c r="I346" t="s">
        <v>7427</v>
      </c>
      <c r="J346">
        <v>60025778</v>
      </c>
      <c r="K346" t="s">
        <v>2395</v>
      </c>
      <c r="L346" t="s">
        <v>2394</v>
      </c>
      <c r="M346" t="s">
        <v>57</v>
      </c>
      <c r="N346">
        <v>2</v>
      </c>
      <c r="O346" t="s">
        <v>7426</v>
      </c>
      <c r="P346" t="s">
        <v>7425</v>
      </c>
      <c r="Q346" t="s">
        <v>3553</v>
      </c>
      <c r="R346" s="7">
        <v>33239</v>
      </c>
      <c r="S346" s="8">
        <f t="shared" si="40"/>
        <v>1991</v>
      </c>
      <c r="T346" s="8">
        <v>1991</v>
      </c>
      <c r="U346" s="8">
        <f t="shared" si="41"/>
        <v>31</v>
      </c>
      <c r="V346" s="7">
        <v>33543</v>
      </c>
      <c r="W346" t="s">
        <v>731</v>
      </c>
      <c r="X346" s="2">
        <v>1.3720000000000001</v>
      </c>
      <c r="Y346" s="6">
        <f t="shared" si="46"/>
        <v>3.662475641333654E-2</v>
      </c>
      <c r="AA346">
        <v>189480</v>
      </c>
      <c r="AB346">
        <v>17366</v>
      </c>
      <c r="AC346">
        <v>15579670</v>
      </c>
      <c r="AD346" t="s">
        <v>5</v>
      </c>
      <c r="AE346">
        <v>39</v>
      </c>
      <c r="AF346">
        <v>11</v>
      </c>
      <c r="AH346" t="s">
        <v>7424</v>
      </c>
      <c r="AI346" t="s">
        <v>7423</v>
      </c>
      <c r="AK346" t="s">
        <v>7422</v>
      </c>
      <c r="AL346">
        <v>34</v>
      </c>
      <c r="AM346" s="5">
        <f t="shared" si="42"/>
        <v>1.096774193548387</v>
      </c>
      <c r="AN346" s="4">
        <f t="shared" si="47"/>
        <v>1.6611498577029716E-3</v>
      </c>
      <c r="AO346" s="3"/>
      <c r="AP346">
        <v>0</v>
      </c>
      <c r="AQ346" t="s">
        <v>727</v>
      </c>
      <c r="AR346" t="s">
        <v>0</v>
      </c>
      <c r="AS346" t="s">
        <v>725</v>
      </c>
      <c r="AT346" s="2" t="s">
        <v>33</v>
      </c>
      <c r="AU346" s="1">
        <f t="shared" si="43"/>
        <v>2.6135674446646466</v>
      </c>
      <c r="AV346" s="1">
        <f t="shared" si="44"/>
        <v>1.9142953135519756</v>
      </c>
      <c r="AW346" s="1">
        <f t="shared" si="45"/>
        <v>1.2150231824393043</v>
      </c>
    </row>
    <row r="347" spans="1:49" x14ac:dyDescent="0.2">
      <c r="A347">
        <v>345</v>
      </c>
      <c r="B347" t="s">
        <v>7421</v>
      </c>
      <c r="C347" t="s">
        <v>7420</v>
      </c>
      <c r="F347" t="s">
        <v>7419</v>
      </c>
      <c r="G347" t="s">
        <v>16</v>
      </c>
      <c r="H347" t="s">
        <v>15</v>
      </c>
      <c r="I347" t="s">
        <v>7418</v>
      </c>
      <c r="J347">
        <v>60025778</v>
      </c>
      <c r="K347" t="s">
        <v>2395</v>
      </c>
      <c r="L347" t="s">
        <v>2394</v>
      </c>
      <c r="M347" t="s">
        <v>57</v>
      </c>
      <c r="N347">
        <v>4</v>
      </c>
      <c r="O347" t="s">
        <v>7417</v>
      </c>
      <c r="P347" t="s">
        <v>7416</v>
      </c>
      <c r="Q347" t="s">
        <v>2391</v>
      </c>
      <c r="R347" s="7">
        <v>33239</v>
      </c>
      <c r="S347" s="8">
        <f t="shared" si="40"/>
        <v>1991</v>
      </c>
      <c r="T347" s="8">
        <v>1991</v>
      </c>
      <c r="U347" s="8">
        <f t="shared" si="41"/>
        <v>31</v>
      </c>
      <c r="V347" s="7">
        <v>33543</v>
      </c>
      <c r="W347" t="s">
        <v>1807</v>
      </c>
      <c r="X347" s="2">
        <v>1.6519999999999999</v>
      </c>
      <c r="Y347" s="6">
        <f t="shared" si="46"/>
        <v>4.409919649769093E-2</v>
      </c>
      <c r="AA347" t="s">
        <v>1806</v>
      </c>
      <c r="AB347">
        <v>17337</v>
      </c>
      <c r="AC347">
        <v>15582221</v>
      </c>
      <c r="AD347" t="s">
        <v>5</v>
      </c>
      <c r="AE347">
        <v>39</v>
      </c>
      <c r="AF347">
        <v>11</v>
      </c>
      <c r="AH347" t="s">
        <v>7415</v>
      </c>
      <c r="AI347" t="s">
        <v>7414</v>
      </c>
      <c r="AK347" t="s">
        <v>7413</v>
      </c>
      <c r="AL347">
        <v>20</v>
      </c>
      <c r="AM347" s="5">
        <f t="shared" si="42"/>
        <v>0.64516129032258063</v>
      </c>
      <c r="AN347" s="4">
        <f t="shared" si="47"/>
        <v>9.7714697511939509E-4</v>
      </c>
      <c r="AO347" s="3"/>
      <c r="AP347">
        <v>0</v>
      </c>
      <c r="AR347" t="s">
        <v>0</v>
      </c>
      <c r="AT347" s="2" t="s">
        <v>33</v>
      </c>
      <c r="AU347" s="1">
        <f t="shared" si="43"/>
        <v>3.1162581640919469</v>
      </c>
      <c r="AV347" s="1">
        <f t="shared" si="44"/>
        <v>2.2538171736405164</v>
      </c>
      <c r="AW347" s="1">
        <f t="shared" si="45"/>
        <v>1.3913761831890854</v>
      </c>
    </row>
    <row r="348" spans="1:49" x14ac:dyDescent="0.2">
      <c r="A348">
        <v>346</v>
      </c>
      <c r="B348" t="s">
        <v>7412</v>
      </c>
      <c r="C348" t="s">
        <v>7411</v>
      </c>
      <c r="F348" t="s">
        <v>7410</v>
      </c>
      <c r="G348" t="s">
        <v>16</v>
      </c>
      <c r="H348" t="s">
        <v>15</v>
      </c>
      <c r="I348" t="s">
        <v>7409</v>
      </c>
      <c r="J348" t="s">
        <v>7408</v>
      </c>
      <c r="K348" t="s">
        <v>7407</v>
      </c>
      <c r="L348" t="s">
        <v>7406</v>
      </c>
      <c r="M348" t="s">
        <v>1147</v>
      </c>
      <c r="N348">
        <v>5</v>
      </c>
      <c r="O348" t="s">
        <v>7405</v>
      </c>
      <c r="P348" t="s">
        <v>7404</v>
      </c>
      <c r="Q348" t="s">
        <v>7403</v>
      </c>
      <c r="R348" s="7">
        <v>33239</v>
      </c>
      <c r="S348" s="8">
        <f t="shared" si="40"/>
        <v>1991</v>
      </c>
      <c r="T348" s="8">
        <v>1991</v>
      </c>
      <c r="U348" s="8">
        <f t="shared" si="41"/>
        <v>31</v>
      </c>
      <c r="V348" s="7">
        <v>33543</v>
      </c>
      <c r="W348" t="s">
        <v>2537</v>
      </c>
      <c r="X348" s="2">
        <v>1.365</v>
      </c>
      <c r="Y348" s="6">
        <f t="shared" si="46"/>
        <v>3.6437895411227675E-2</v>
      </c>
      <c r="AA348">
        <v>189545</v>
      </c>
      <c r="AB348">
        <v>17393</v>
      </c>
      <c r="AC348">
        <v>19399359</v>
      </c>
      <c r="AD348" t="s">
        <v>5</v>
      </c>
      <c r="AE348">
        <v>40</v>
      </c>
      <c r="AF348">
        <v>4</v>
      </c>
      <c r="AH348" t="s">
        <v>7402</v>
      </c>
      <c r="AI348" t="s">
        <v>7401</v>
      </c>
      <c r="AK348" t="s">
        <v>7400</v>
      </c>
      <c r="AL348">
        <v>111</v>
      </c>
      <c r="AM348" s="5">
        <f t="shared" si="42"/>
        <v>3.5806451612903225</v>
      </c>
      <c r="AN348" s="4">
        <f t="shared" si="47"/>
        <v>5.4231657119126432E-3</v>
      </c>
      <c r="AO348" s="3"/>
      <c r="AP348">
        <v>0</v>
      </c>
      <c r="AQ348" t="s">
        <v>508</v>
      </c>
      <c r="AR348" t="s">
        <v>0</v>
      </c>
      <c r="AS348" t="s">
        <v>507</v>
      </c>
      <c r="AT348" s="2" t="s">
        <v>33</v>
      </c>
      <c r="AU348" s="1">
        <f t="shared" si="43"/>
        <v>2.7133476501433162</v>
      </c>
      <c r="AV348" s="1">
        <f t="shared" si="44"/>
        <v>2.0930530561570158</v>
      </c>
      <c r="AW348" s="1">
        <f t="shared" si="45"/>
        <v>1.472758462170715</v>
      </c>
    </row>
    <row r="349" spans="1:49" x14ac:dyDescent="0.2">
      <c r="A349">
        <v>347</v>
      </c>
      <c r="B349" t="s">
        <v>7399</v>
      </c>
      <c r="C349" t="s">
        <v>7398</v>
      </c>
      <c r="F349" t="s">
        <v>7397</v>
      </c>
      <c r="G349" t="s">
        <v>16</v>
      </c>
      <c r="H349" t="s">
        <v>15</v>
      </c>
      <c r="I349" t="s">
        <v>7396</v>
      </c>
      <c r="J349">
        <v>60010421</v>
      </c>
      <c r="K349" t="s">
        <v>7395</v>
      </c>
      <c r="L349" t="s">
        <v>1641</v>
      </c>
      <c r="M349" t="s">
        <v>1468</v>
      </c>
      <c r="N349">
        <v>1</v>
      </c>
      <c r="O349" t="s">
        <v>7394</v>
      </c>
      <c r="P349">
        <v>56944957000</v>
      </c>
      <c r="Q349">
        <v>60010421</v>
      </c>
      <c r="R349" s="7">
        <v>33239</v>
      </c>
      <c r="S349" s="8">
        <f t="shared" si="40"/>
        <v>1991</v>
      </c>
      <c r="T349" s="8">
        <v>1991</v>
      </c>
      <c r="U349" s="8">
        <f t="shared" si="41"/>
        <v>31</v>
      </c>
      <c r="V349" s="7">
        <v>33543</v>
      </c>
      <c r="W349" t="s">
        <v>3695</v>
      </c>
      <c r="X349" s="2">
        <v>0.251</v>
      </c>
      <c r="Y349" s="6">
        <f t="shared" si="46"/>
        <v>6.7003016470462617E-3</v>
      </c>
      <c r="AA349">
        <v>207217</v>
      </c>
      <c r="AB349">
        <v>26145</v>
      </c>
      <c r="AC349">
        <v>13623060</v>
      </c>
      <c r="AD349" t="s">
        <v>5</v>
      </c>
      <c r="AE349">
        <v>71</v>
      </c>
      <c r="AF349">
        <v>5</v>
      </c>
      <c r="AH349" t="s">
        <v>7393</v>
      </c>
      <c r="AI349" t="s">
        <v>7392</v>
      </c>
      <c r="AK349" t="s">
        <v>7391</v>
      </c>
      <c r="AL349">
        <v>0</v>
      </c>
      <c r="AM349" s="5">
        <f t="shared" si="42"/>
        <v>0</v>
      </c>
      <c r="AN349" s="4">
        <f t="shared" si="47"/>
        <v>0</v>
      </c>
      <c r="AO349" s="3"/>
      <c r="AP349">
        <v>0</v>
      </c>
      <c r="AR349" t="s">
        <v>0</v>
      </c>
      <c r="AT349" s="2">
        <v>1.3360000000000001</v>
      </c>
      <c r="AU349" s="1">
        <f t="shared" si="43"/>
        <v>0.46902111529323826</v>
      </c>
      <c r="AV349" s="1">
        <f t="shared" si="44"/>
        <v>0.33501508235231309</v>
      </c>
      <c r="AW349" s="1">
        <f t="shared" si="45"/>
        <v>0.20100904941138784</v>
      </c>
    </row>
    <row r="350" spans="1:49" x14ac:dyDescent="0.2">
      <c r="A350">
        <v>348</v>
      </c>
      <c r="B350" t="s">
        <v>7390</v>
      </c>
      <c r="C350" t="s">
        <v>7389</v>
      </c>
      <c r="F350" t="s">
        <v>7388</v>
      </c>
      <c r="G350" t="s">
        <v>16</v>
      </c>
      <c r="H350" t="s">
        <v>15</v>
      </c>
      <c r="I350" t="s">
        <v>7387</v>
      </c>
      <c r="J350">
        <v>60025778</v>
      </c>
      <c r="K350" t="s">
        <v>2395</v>
      </c>
      <c r="L350" t="s">
        <v>2394</v>
      </c>
      <c r="M350" t="s">
        <v>57</v>
      </c>
      <c r="N350">
        <v>4</v>
      </c>
      <c r="O350" t="s">
        <v>7386</v>
      </c>
      <c r="P350" t="s">
        <v>7385</v>
      </c>
      <c r="Q350" t="s">
        <v>2391</v>
      </c>
      <c r="R350" s="7">
        <v>33239</v>
      </c>
      <c r="S350" s="8">
        <f t="shared" si="40"/>
        <v>1991</v>
      </c>
      <c r="T350" s="8">
        <v>1991</v>
      </c>
      <c r="U350" s="8">
        <f t="shared" si="41"/>
        <v>31</v>
      </c>
      <c r="V350" s="7">
        <v>33543</v>
      </c>
      <c r="W350" t="s">
        <v>1807</v>
      </c>
      <c r="X350" s="2">
        <v>1.6519999999999999</v>
      </c>
      <c r="Y350" s="6">
        <f t="shared" si="46"/>
        <v>4.409919649769093E-2</v>
      </c>
      <c r="AA350" t="s">
        <v>1806</v>
      </c>
      <c r="AB350">
        <v>17337</v>
      </c>
      <c r="AC350">
        <v>15582221</v>
      </c>
      <c r="AD350" t="s">
        <v>5</v>
      </c>
      <c r="AE350">
        <v>39</v>
      </c>
      <c r="AF350">
        <v>11</v>
      </c>
      <c r="AH350" t="s">
        <v>7384</v>
      </c>
      <c r="AI350" t="s">
        <v>7383</v>
      </c>
      <c r="AK350" t="s">
        <v>7382</v>
      </c>
      <c r="AL350">
        <v>44</v>
      </c>
      <c r="AM350" s="5">
        <f t="shared" si="42"/>
        <v>1.4193548387096775</v>
      </c>
      <c r="AN350" s="4">
        <f t="shared" si="47"/>
        <v>2.1497233452626692E-3</v>
      </c>
      <c r="AO350" s="3"/>
      <c r="AP350">
        <v>0</v>
      </c>
      <c r="AR350" t="s">
        <v>0</v>
      </c>
      <c r="AT350" s="2" t="s">
        <v>33</v>
      </c>
      <c r="AU350" s="1">
        <f t="shared" si="43"/>
        <v>3.1514354551962449</v>
      </c>
      <c r="AV350" s="1">
        <f t="shared" si="44"/>
        <v>2.3124459921476803</v>
      </c>
      <c r="AW350" s="1">
        <f t="shared" si="45"/>
        <v>1.4734565290991146</v>
      </c>
    </row>
    <row r="351" spans="1:49" x14ac:dyDescent="0.2">
      <c r="A351">
        <v>349</v>
      </c>
      <c r="B351" t="s">
        <v>7381</v>
      </c>
      <c r="C351" t="s">
        <v>7380</v>
      </c>
      <c r="F351" t="s">
        <v>7379</v>
      </c>
      <c r="G351" t="s">
        <v>16</v>
      </c>
      <c r="H351" t="s">
        <v>15</v>
      </c>
      <c r="I351" t="s">
        <v>7378</v>
      </c>
      <c r="N351">
        <v>2</v>
      </c>
      <c r="O351" t="s">
        <v>7377</v>
      </c>
      <c r="P351" t="s">
        <v>7376</v>
      </c>
      <c r="Q351" t="s">
        <v>592</v>
      </c>
      <c r="R351" s="7">
        <v>33239</v>
      </c>
      <c r="S351" s="8">
        <f t="shared" si="40"/>
        <v>1991</v>
      </c>
      <c r="T351" s="8">
        <v>1991</v>
      </c>
      <c r="U351" s="8">
        <f t="shared" si="41"/>
        <v>31</v>
      </c>
      <c r="V351" s="7">
        <v>33543</v>
      </c>
      <c r="W351" t="s">
        <v>674</v>
      </c>
      <c r="X351" s="2">
        <v>1.137</v>
      </c>
      <c r="Y351" s="6">
        <f t="shared" si="46"/>
        <v>3.0351565628253384E-2</v>
      </c>
      <c r="AA351">
        <v>189251</v>
      </c>
      <c r="AB351">
        <v>17336</v>
      </c>
      <c r="AD351" t="s">
        <v>5</v>
      </c>
      <c r="AE351">
        <v>27</v>
      </c>
      <c r="AF351">
        <v>6</v>
      </c>
      <c r="AH351" t="s">
        <v>7375</v>
      </c>
      <c r="AI351" t="s">
        <v>7374</v>
      </c>
      <c r="AK351" t="s">
        <v>7373</v>
      </c>
      <c r="AL351">
        <v>3</v>
      </c>
      <c r="AM351" s="5">
        <f t="shared" si="42"/>
        <v>9.6774193548387094E-2</v>
      </c>
      <c r="AN351" s="4">
        <f t="shared" si="47"/>
        <v>1.4657204626790927E-4</v>
      </c>
      <c r="AO351" s="3"/>
      <c r="AP351">
        <v>0</v>
      </c>
      <c r="AR351" t="s">
        <v>0</v>
      </c>
      <c r="AT351" s="2" t="s">
        <v>33</v>
      </c>
      <c r="AU351" s="1">
        <f t="shared" si="43"/>
        <v>2.1290067553657739</v>
      </c>
      <c r="AV351" s="1">
        <f t="shared" si="44"/>
        <v>1.5249068837260646</v>
      </c>
      <c r="AW351" s="1">
        <f t="shared" si="45"/>
        <v>0.92080701208635518</v>
      </c>
    </row>
    <row r="352" spans="1:49" x14ac:dyDescent="0.2">
      <c r="A352">
        <v>350</v>
      </c>
      <c r="B352" t="s">
        <v>7372</v>
      </c>
      <c r="C352" t="s">
        <v>7371</v>
      </c>
      <c r="F352" t="s">
        <v>7370</v>
      </c>
      <c r="G352" t="s">
        <v>16</v>
      </c>
      <c r="H352" t="s">
        <v>15</v>
      </c>
      <c r="I352" t="s">
        <v>7369</v>
      </c>
      <c r="J352">
        <v>60016418</v>
      </c>
      <c r="K352" t="s">
        <v>5822</v>
      </c>
      <c r="L352" t="s">
        <v>5821</v>
      </c>
      <c r="M352" t="s">
        <v>117</v>
      </c>
      <c r="N352">
        <v>2</v>
      </c>
      <c r="O352" t="s">
        <v>7368</v>
      </c>
      <c r="P352" t="s">
        <v>7367</v>
      </c>
      <c r="Q352" t="s">
        <v>5818</v>
      </c>
      <c r="R352" s="7">
        <v>33239</v>
      </c>
      <c r="S352" s="8">
        <f t="shared" si="40"/>
        <v>1991</v>
      </c>
      <c r="T352" s="8">
        <v>1991</v>
      </c>
      <c r="U352" s="8">
        <f t="shared" si="41"/>
        <v>31</v>
      </c>
      <c r="V352" s="7">
        <v>33390</v>
      </c>
      <c r="W352" t="s">
        <v>2625</v>
      </c>
      <c r="X352" s="2">
        <v>0.76700000000000002</v>
      </c>
      <c r="Y352" s="6">
        <f t="shared" si="46"/>
        <v>2.0474626945356504E-2</v>
      </c>
      <c r="AA352">
        <v>983063</v>
      </c>
      <c r="AB352">
        <v>26048</v>
      </c>
      <c r="AD352" t="s">
        <v>5</v>
      </c>
      <c r="AE352">
        <v>37</v>
      </c>
      <c r="AF352">
        <v>4</v>
      </c>
      <c r="AH352" t="s">
        <v>7366</v>
      </c>
      <c r="AI352" t="s">
        <v>7365</v>
      </c>
      <c r="AK352" t="s">
        <v>7364</v>
      </c>
      <c r="AL352">
        <v>0</v>
      </c>
      <c r="AM352" s="5">
        <f t="shared" si="42"/>
        <v>0</v>
      </c>
      <c r="AN352" s="4">
        <f t="shared" si="47"/>
        <v>0</v>
      </c>
      <c r="AO352" s="3"/>
      <c r="AP352">
        <v>0</v>
      </c>
      <c r="AQ352" t="s">
        <v>7363</v>
      </c>
      <c r="AR352" t="s">
        <v>0</v>
      </c>
      <c r="AS352" t="s">
        <v>7362</v>
      </c>
      <c r="AT352" s="2" t="s">
        <v>33</v>
      </c>
      <c r="AU352" s="1">
        <f t="shared" si="43"/>
        <v>1.4332238861749553</v>
      </c>
      <c r="AV352" s="1">
        <f t="shared" si="44"/>
        <v>1.0237313472678251</v>
      </c>
      <c r="AW352" s="1">
        <f t="shared" si="45"/>
        <v>0.61423880836069511</v>
      </c>
    </row>
    <row r="353" spans="1:49" x14ac:dyDescent="0.2">
      <c r="A353">
        <v>351</v>
      </c>
      <c r="B353" t="s">
        <v>7361</v>
      </c>
      <c r="C353" t="s">
        <v>7360</v>
      </c>
      <c r="D353" t="s">
        <v>7359</v>
      </c>
      <c r="F353" t="s">
        <v>7358</v>
      </c>
      <c r="G353" t="s">
        <v>16</v>
      </c>
      <c r="H353" t="s">
        <v>15</v>
      </c>
      <c r="I353" t="s">
        <v>7357</v>
      </c>
      <c r="J353">
        <v>60025488</v>
      </c>
      <c r="K353" t="s">
        <v>6808</v>
      </c>
      <c r="L353" t="s">
        <v>6807</v>
      </c>
      <c r="M353" t="s">
        <v>57</v>
      </c>
      <c r="N353">
        <v>1</v>
      </c>
      <c r="O353" t="s">
        <v>7356</v>
      </c>
      <c r="P353">
        <v>34769915200</v>
      </c>
      <c r="Q353">
        <v>60025488</v>
      </c>
      <c r="R353" s="7">
        <v>33239</v>
      </c>
      <c r="S353" s="8">
        <f t="shared" si="40"/>
        <v>1991</v>
      </c>
      <c r="T353" s="8">
        <v>1991</v>
      </c>
      <c r="U353" s="8">
        <f t="shared" si="41"/>
        <v>31</v>
      </c>
      <c r="V353" s="7">
        <v>33543</v>
      </c>
      <c r="W353" t="s">
        <v>7330</v>
      </c>
      <c r="X353" s="2">
        <v>1.319</v>
      </c>
      <c r="Y353" s="6">
        <f t="shared" si="46"/>
        <v>3.5209951683083739E-2</v>
      </c>
      <c r="AA353">
        <v>104655</v>
      </c>
      <c r="AB353">
        <v>13184</v>
      </c>
      <c r="AD353" t="s">
        <v>5</v>
      </c>
      <c r="AE353">
        <v>68</v>
      </c>
      <c r="AF353" s="9">
        <v>44256</v>
      </c>
      <c r="AH353" t="s">
        <v>7355</v>
      </c>
      <c r="AI353" t="s">
        <v>7354</v>
      </c>
      <c r="AK353" t="s">
        <v>7353</v>
      </c>
      <c r="AL353">
        <v>8</v>
      </c>
      <c r="AM353" s="5">
        <f t="shared" si="42"/>
        <v>0.25806451612903225</v>
      </c>
      <c r="AN353" s="4">
        <f t="shared" si="47"/>
        <v>3.9085879004775807E-4</v>
      </c>
      <c r="AO353" s="3"/>
      <c r="AP353">
        <v>0</v>
      </c>
      <c r="AR353" t="s">
        <v>0</v>
      </c>
      <c r="AT353" s="2">
        <v>4.3899999999999997</v>
      </c>
      <c r="AU353" s="1">
        <f t="shared" si="43"/>
        <v>2.4764223815172941</v>
      </c>
      <c r="AV353" s="1">
        <f t="shared" si="44"/>
        <v>1.7800405236565748</v>
      </c>
      <c r="AW353" s="1">
        <f t="shared" si="45"/>
        <v>1.0836586657958553</v>
      </c>
    </row>
    <row r="354" spans="1:49" x14ac:dyDescent="0.2">
      <c r="A354">
        <v>352</v>
      </c>
      <c r="B354" t="s">
        <v>7352</v>
      </c>
      <c r="C354" t="s">
        <v>7351</v>
      </c>
      <c r="F354" t="s">
        <v>7350</v>
      </c>
      <c r="G354" t="s">
        <v>16</v>
      </c>
      <c r="H354" t="s">
        <v>15</v>
      </c>
      <c r="I354" t="s">
        <v>7349</v>
      </c>
      <c r="J354">
        <v>60024751</v>
      </c>
      <c r="K354" t="s">
        <v>7348</v>
      </c>
      <c r="L354" t="s">
        <v>7347</v>
      </c>
      <c r="M354" t="s">
        <v>326</v>
      </c>
      <c r="N354">
        <v>3</v>
      </c>
      <c r="O354" t="s">
        <v>7346</v>
      </c>
      <c r="P354" t="s">
        <v>7345</v>
      </c>
      <c r="Q354" t="s">
        <v>7344</v>
      </c>
      <c r="R354" s="7">
        <v>33239</v>
      </c>
      <c r="S354" s="8">
        <f t="shared" si="40"/>
        <v>1991</v>
      </c>
      <c r="T354" s="8">
        <v>1991</v>
      </c>
      <c r="U354" s="8">
        <f t="shared" si="41"/>
        <v>31</v>
      </c>
      <c r="V354" s="7">
        <v>1991</v>
      </c>
      <c r="W354" t="s">
        <v>2802</v>
      </c>
      <c r="X354" s="2">
        <v>0.13900000000000001</v>
      </c>
      <c r="Y354" s="6">
        <f t="shared" si="46"/>
        <v>3.7105256133045036E-3</v>
      </c>
      <c r="AA354" t="s">
        <v>2801</v>
      </c>
      <c r="AB354">
        <v>24891</v>
      </c>
      <c r="AC354">
        <v>15206432</v>
      </c>
      <c r="AD354" t="s">
        <v>5</v>
      </c>
      <c r="AE354">
        <v>74</v>
      </c>
      <c r="AF354">
        <v>11</v>
      </c>
      <c r="AH354" s="10">
        <v>44866</v>
      </c>
      <c r="AI354" t="s">
        <v>7343</v>
      </c>
      <c r="AK354" t="s">
        <v>7342</v>
      </c>
      <c r="AL354">
        <v>1</v>
      </c>
      <c r="AM354" s="5">
        <f t="shared" si="42"/>
        <v>3.2258064516129031E-2</v>
      </c>
      <c r="AN354" s="4">
        <f t="shared" si="47"/>
        <v>4.8857348755969758E-5</v>
      </c>
      <c r="AO354" s="3"/>
      <c r="AP354">
        <v>0</v>
      </c>
      <c r="AR354" t="s">
        <v>0</v>
      </c>
      <c r="AT354" s="2" t="s">
        <v>33</v>
      </c>
      <c r="AU354" s="1">
        <f t="shared" si="43"/>
        <v>0.26120251339399431</v>
      </c>
      <c r="AV354" s="1">
        <f t="shared" si="44"/>
        <v>0.18796914810302368</v>
      </c>
      <c r="AW354" s="1">
        <f t="shared" si="45"/>
        <v>0.11473578281205299</v>
      </c>
    </row>
    <row r="355" spans="1:49" x14ac:dyDescent="0.2">
      <c r="A355">
        <v>353</v>
      </c>
      <c r="B355" t="s">
        <v>7341</v>
      </c>
      <c r="C355" t="s">
        <v>7340</v>
      </c>
      <c r="D355" t="s">
        <v>7339</v>
      </c>
      <c r="F355" t="s">
        <v>7338</v>
      </c>
      <c r="G355" t="s">
        <v>16</v>
      </c>
      <c r="H355" t="s">
        <v>15</v>
      </c>
      <c r="I355" t="s">
        <v>7337</v>
      </c>
      <c r="J355" t="s">
        <v>7336</v>
      </c>
      <c r="K355" t="s">
        <v>7335</v>
      </c>
      <c r="L355" t="s">
        <v>7334</v>
      </c>
      <c r="M355" t="s">
        <v>133</v>
      </c>
      <c r="N355">
        <v>2</v>
      </c>
      <c r="O355" t="s">
        <v>7333</v>
      </c>
      <c r="P355" t="s">
        <v>7332</v>
      </c>
      <c r="Q355" t="s">
        <v>7331</v>
      </c>
      <c r="R355" s="7">
        <v>33239</v>
      </c>
      <c r="S355" s="8">
        <f t="shared" si="40"/>
        <v>1991</v>
      </c>
      <c r="T355" s="8">
        <v>1991</v>
      </c>
      <c r="U355" s="8">
        <f t="shared" si="41"/>
        <v>31</v>
      </c>
      <c r="V355" s="7">
        <v>33543</v>
      </c>
      <c r="W355" t="s">
        <v>7330</v>
      </c>
      <c r="X355" s="2">
        <v>1.319</v>
      </c>
      <c r="Y355" s="6">
        <f t="shared" si="46"/>
        <v>3.5209951683083739E-2</v>
      </c>
      <c r="AA355">
        <v>104655</v>
      </c>
      <c r="AB355">
        <v>13184</v>
      </c>
      <c r="AD355" t="s">
        <v>5</v>
      </c>
      <c r="AE355">
        <v>68</v>
      </c>
      <c r="AF355" s="9">
        <v>44256</v>
      </c>
      <c r="AH355" t="s">
        <v>7329</v>
      </c>
      <c r="AI355" t="s">
        <v>7328</v>
      </c>
      <c r="AK355" t="s">
        <v>7327</v>
      </c>
      <c r="AL355">
        <v>0</v>
      </c>
      <c r="AM355" s="5">
        <f t="shared" si="42"/>
        <v>0</v>
      </c>
      <c r="AN355" s="4">
        <f t="shared" si="47"/>
        <v>0</v>
      </c>
      <c r="AO355" s="3"/>
      <c r="AP355">
        <v>0</v>
      </c>
      <c r="AR355" t="s">
        <v>0</v>
      </c>
      <c r="AT355" s="2">
        <v>4.3899999999999997</v>
      </c>
      <c r="AU355" s="1">
        <f t="shared" si="43"/>
        <v>2.4646966178158616</v>
      </c>
      <c r="AV355" s="1">
        <f t="shared" si="44"/>
        <v>1.760497584154187</v>
      </c>
      <c r="AW355" s="1">
        <f t="shared" si="45"/>
        <v>1.0562985504925122</v>
      </c>
    </row>
    <row r="356" spans="1:49" x14ac:dyDescent="0.2">
      <c r="A356">
        <v>354</v>
      </c>
      <c r="B356" t="s">
        <v>7326</v>
      </c>
      <c r="C356" t="s">
        <v>7325</v>
      </c>
      <c r="F356" t="s">
        <v>7324</v>
      </c>
      <c r="G356" t="s">
        <v>16</v>
      </c>
      <c r="H356" t="s">
        <v>15</v>
      </c>
      <c r="I356" t="s">
        <v>7323</v>
      </c>
      <c r="J356" t="s">
        <v>7322</v>
      </c>
      <c r="K356" t="s">
        <v>7321</v>
      </c>
      <c r="L356" t="s">
        <v>7320</v>
      </c>
      <c r="M356" t="s">
        <v>2121</v>
      </c>
      <c r="N356">
        <v>3</v>
      </c>
      <c r="O356" t="s">
        <v>7319</v>
      </c>
      <c r="P356" t="s">
        <v>7318</v>
      </c>
      <c r="Q356" t="s">
        <v>7317</v>
      </c>
      <c r="R356" s="7">
        <v>33239</v>
      </c>
      <c r="S356" s="8">
        <f t="shared" si="40"/>
        <v>1991</v>
      </c>
      <c r="T356" s="8">
        <v>1991</v>
      </c>
      <c r="U356" s="8">
        <f t="shared" si="41"/>
        <v>31</v>
      </c>
      <c r="V356" s="7">
        <v>33543</v>
      </c>
      <c r="W356" t="s">
        <v>7316</v>
      </c>
      <c r="X356" s="2">
        <v>2.5710000000000002</v>
      </c>
      <c r="Y356" s="6">
        <f t="shared" si="46"/>
        <v>6.8631376631696966E-2</v>
      </c>
      <c r="AA356">
        <v>189200</v>
      </c>
      <c r="AB356">
        <v>17278</v>
      </c>
      <c r="AC356" t="s">
        <v>7315</v>
      </c>
      <c r="AD356" t="s">
        <v>5</v>
      </c>
      <c r="AE356">
        <v>26</v>
      </c>
      <c r="AF356">
        <v>11</v>
      </c>
      <c r="AH356" t="s">
        <v>7314</v>
      </c>
      <c r="AI356" t="s">
        <v>7313</v>
      </c>
      <c r="AK356" t="s">
        <v>7312</v>
      </c>
      <c r="AL356">
        <v>7</v>
      </c>
      <c r="AM356" s="5">
        <f t="shared" si="42"/>
        <v>0.22580645161290322</v>
      </c>
      <c r="AN356" s="4">
        <f t="shared" si="47"/>
        <v>3.420014412917883E-4</v>
      </c>
      <c r="AO356" s="3"/>
      <c r="AP356">
        <v>0</v>
      </c>
      <c r="AR356" t="s">
        <v>0</v>
      </c>
      <c r="AT356" s="2">
        <v>5.0129999999999999</v>
      </c>
      <c r="AU356" s="1">
        <f t="shared" si="43"/>
        <v>4.8144564074575413</v>
      </c>
      <c r="AV356" s="1">
        <f t="shared" si="44"/>
        <v>3.4486689036494376</v>
      </c>
      <c r="AW356" s="1">
        <f t="shared" si="45"/>
        <v>2.0828813998413342</v>
      </c>
    </row>
    <row r="357" spans="1:49" x14ac:dyDescent="0.2">
      <c r="A357">
        <v>355</v>
      </c>
      <c r="B357" t="s">
        <v>7311</v>
      </c>
      <c r="C357" t="s">
        <v>7310</v>
      </c>
      <c r="F357" t="s">
        <v>7309</v>
      </c>
      <c r="G357" t="s">
        <v>16</v>
      </c>
      <c r="H357" t="s">
        <v>15</v>
      </c>
      <c r="I357" t="s">
        <v>7308</v>
      </c>
      <c r="J357">
        <v>60003892</v>
      </c>
      <c r="K357" t="s">
        <v>7307</v>
      </c>
      <c r="L357" t="s">
        <v>7306</v>
      </c>
      <c r="M357" t="s">
        <v>57</v>
      </c>
      <c r="N357">
        <v>2</v>
      </c>
      <c r="O357" t="s">
        <v>7305</v>
      </c>
      <c r="P357" t="s">
        <v>7304</v>
      </c>
      <c r="Q357" t="s">
        <v>7303</v>
      </c>
      <c r="R357" s="7">
        <v>33239</v>
      </c>
      <c r="S357" s="8">
        <f t="shared" si="40"/>
        <v>1991</v>
      </c>
      <c r="T357" s="8">
        <v>1991</v>
      </c>
      <c r="U357" s="8">
        <f t="shared" si="41"/>
        <v>31</v>
      </c>
      <c r="V357" s="7">
        <v>33543</v>
      </c>
      <c r="W357" t="s">
        <v>1807</v>
      </c>
      <c r="X357" s="2">
        <v>1.6519999999999999</v>
      </c>
      <c r="Y357" s="6">
        <f t="shared" si="46"/>
        <v>4.409919649769093E-2</v>
      </c>
      <c r="AA357" t="s">
        <v>1806</v>
      </c>
      <c r="AB357">
        <v>17337</v>
      </c>
      <c r="AC357">
        <v>15582221</v>
      </c>
      <c r="AD357" t="s">
        <v>5</v>
      </c>
      <c r="AE357">
        <v>39</v>
      </c>
      <c r="AF357">
        <v>11</v>
      </c>
      <c r="AH357" t="s">
        <v>7302</v>
      </c>
      <c r="AI357" t="s">
        <v>7301</v>
      </c>
      <c r="AK357" t="s">
        <v>7300</v>
      </c>
      <c r="AL357">
        <v>62</v>
      </c>
      <c r="AM357" s="5">
        <f t="shared" si="42"/>
        <v>2</v>
      </c>
      <c r="AN357" s="4">
        <f t="shared" si="47"/>
        <v>3.0291556228701248E-3</v>
      </c>
      <c r="AO357" s="3"/>
      <c r="AP357">
        <v>0</v>
      </c>
      <c r="AR357" t="s">
        <v>0</v>
      </c>
      <c r="AT357" s="2" t="s">
        <v>33</v>
      </c>
      <c r="AU357" s="1">
        <f t="shared" si="43"/>
        <v>3.1778184235244686</v>
      </c>
      <c r="AV357" s="1">
        <f t="shared" si="44"/>
        <v>2.3564176060280526</v>
      </c>
      <c r="AW357" s="1">
        <f t="shared" si="45"/>
        <v>1.5350167885316366</v>
      </c>
    </row>
    <row r="358" spans="1:49" x14ac:dyDescent="0.2">
      <c r="A358">
        <v>356</v>
      </c>
      <c r="B358" t="s">
        <v>7299</v>
      </c>
      <c r="C358" t="s">
        <v>7298</v>
      </c>
      <c r="F358" t="s">
        <v>7297</v>
      </c>
      <c r="G358" t="s">
        <v>16</v>
      </c>
      <c r="H358" t="s">
        <v>15</v>
      </c>
      <c r="I358" t="s">
        <v>7296</v>
      </c>
      <c r="J358" t="s">
        <v>7295</v>
      </c>
      <c r="K358" t="s">
        <v>7294</v>
      </c>
      <c r="L358" t="s">
        <v>7293</v>
      </c>
      <c r="M358" t="s">
        <v>133</v>
      </c>
      <c r="N358">
        <v>4</v>
      </c>
      <c r="O358" t="s">
        <v>7292</v>
      </c>
      <c r="P358" t="s">
        <v>7291</v>
      </c>
      <c r="Q358" t="s">
        <v>7290</v>
      </c>
      <c r="R358" s="7">
        <v>33239</v>
      </c>
      <c r="S358" s="8">
        <f t="shared" si="40"/>
        <v>1991</v>
      </c>
      <c r="T358" s="8">
        <v>1991</v>
      </c>
      <c r="U358" s="8">
        <f t="shared" si="41"/>
        <v>31</v>
      </c>
      <c r="V358" s="7">
        <v>33543</v>
      </c>
      <c r="W358" t="s">
        <v>1807</v>
      </c>
      <c r="X358" s="2">
        <v>1.6519999999999999</v>
      </c>
      <c r="Y358" s="6">
        <f t="shared" si="46"/>
        <v>4.409919649769093E-2</v>
      </c>
      <c r="AA358" t="s">
        <v>1806</v>
      </c>
      <c r="AB358">
        <v>17337</v>
      </c>
      <c r="AC358">
        <v>15582221</v>
      </c>
      <c r="AD358" t="s">
        <v>5</v>
      </c>
      <c r="AE358">
        <v>39</v>
      </c>
      <c r="AF358">
        <v>11</v>
      </c>
      <c r="AH358" t="s">
        <v>7289</v>
      </c>
      <c r="AI358" t="s">
        <v>7288</v>
      </c>
      <c r="AK358" t="s">
        <v>7287</v>
      </c>
      <c r="AL358">
        <v>10</v>
      </c>
      <c r="AM358" s="5">
        <f t="shared" si="42"/>
        <v>0.32258064516129031</v>
      </c>
      <c r="AN358" s="4">
        <f t="shared" si="47"/>
        <v>4.8857348755969754E-4</v>
      </c>
      <c r="AO358" s="3"/>
      <c r="AP358">
        <v>0</v>
      </c>
      <c r="AR358" t="s">
        <v>0</v>
      </c>
      <c r="AT358" s="2" t="s">
        <v>33</v>
      </c>
      <c r="AU358" s="1">
        <f t="shared" si="43"/>
        <v>3.1016009594651561</v>
      </c>
      <c r="AV358" s="1">
        <f t="shared" si="44"/>
        <v>2.2293884992625315</v>
      </c>
      <c r="AW358" s="1">
        <f t="shared" si="45"/>
        <v>1.3571760390599066</v>
      </c>
    </row>
    <row r="359" spans="1:49" x14ac:dyDescent="0.2">
      <c r="A359">
        <v>357</v>
      </c>
      <c r="B359" t="s">
        <v>7286</v>
      </c>
      <c r="C359" t="s">
        <v>7285</v>
      </c>
      <c r="F359" t="s">
        <v>7284</v>
      </c>
      <c r="G359" t="s">
        <v>16</v>
      </c>
      <c r="H359" t="s">
        <v>15</v>
      </c>
      <c r="I359" t="s">
        <v>7283</v>
      </c>
      <c r="J359">
        <v>60009037</v>
      </c>
      <c r="K359" t="s">
        <v>375</v>
      </c>
      <c r="L359" t="s">
        <v>374</v>
      </c>
      <c r="M359" t="s">
        <v>57</v>
      </c>
      <c r="N359">
        <v>2</v>
      </c>
      <c r="O359" t="s">
        <v>7282</v>
      </c>
      <c r="P359" t="s">
        <v>7281</v>
      </c>
      <c r="Q359" t="s">
        <v>1822</v>
      </c>
      <c r="R359" s="7">
        <v>33239</v>
      </c>
      <c r="S359" s="8">
        <f t="shared" si="40"/>
        <v>1991</v>
      </c>
      <c r="T359" s="8">
        <v>1991</v>
      </c>
      <c r="U359" s="8">
        <f t="shared" si="41"/>
        <v>31</v>
      </c>
      <c r="V359" s="7">
        <v>33543</v>
      </c>
      <c r="W359" t="s">
        <v>3276</v>
      </c>
      <c r="X359" s="2">
        <v>2.383</v>
      </c>
      <c r="Y359" s="6">
        <f t="shared" si="46"/>
        <v>6.3612824003630442E-2</v>
      </c>
      <c r="AA359">
        <v>189219</v>
      </c>
      <c r="AB359">
        <v>17915</v>
      </c>
      <c r="AC359">
        <v>15582256</v>
      </c>
      <c r="AD359" t="s">
        <v>5</v>
      </c>
      <c r="AE359">
        <v>79</v>
      </c>
      <c r="AF359">
        <v>11</v>
      </c>
      <c r="AH359" t="s">
        <v>7280</v>
      </c>
      <c r="AI359" t="s">
        <v>7279</v>
      </c>
      <c r="AK359" t="s">
        <v>7278</v>
      </c>
      <c r="AL359">
        <v>169</v>
      </c>
      <c r="AM359" s="5">
        <f t="shared" si="42"/>
        <v>5.4516129032258061</v>
      </c>
      <c r="AN359" s="4">
        <f t="shared" si="47"/>
        <v>8.2568919397588876E-3</v>
      </c>
      <c r="AO359" s="3"/>
      <c r="AP359">
        <v>0</v>
      </c>
      <c r="AQ359" t="s">
        <v>2474</v>
      </c>
      <c r="AR359" t="s">
        <v>0</v>
      </c>
      <c r="AS359" t="s">
        <v>2473</v>
      </c>
      <c r="AT359" s="2">
        <v>10.961</v>
      </c>
      <c r="AU359" s="1">
        <f t="shared" si="43"/>
        <v>4.7006044384468977</v>
      </c>
      <c r="AV359" s="1">
        <f t="shared" si="44"/>
        <v>3.5934857971694663</v>
      </c>
      <c r="AW359" s="1">
        <f t="shared" si="45"/>
        <v>2.4863671558920353</v>
      </c>
    </row>
    <row r="360" spans="1:49" x14ac:dyDescent="0.2">
      <c r="A360">
        <v>358</v>
      </c>
      <c r="B360" t="s">
        <v>7277</v>
      </c>
      <c r="C360" t="s">
        <v>7276</v>
      </c>
      <c r="F360" t="s">
        <v>7275</v>
      </c>
      <c r="G360" t="s">
        <v>16</v>
      </c>
      <c r="H360" t="s">
        <v>15</v>
      </c>
      <c r="I360" t="s">
        <v>7274</v>
      </c>
      <c r="J360" t="s">
        <v>7273</v>
      </c>
      <c r="K360" t="s">
        <v>7272</v>
      </c>
      <c r="L360" t="s">
        <v>7271</v>
      </c>
      <c r="M360" t="s">
        <v>4061</v>
      </c>
      <c r="N360">
        <v>3</v>
      </c>
      <c r="O360" t="s">
        <v>7270</v>
      </c>
      <c r="P360" t="s">
        <v>7269</v>
      </c>
      <c r="Q360" t="s">
        <v>7268</v>
      </c>
      <c r="R360" s="7">
        <v>33239</v>
      </c>
      <c r="S360" s="8">
        <f t="shared" si="40"/>
        <v>1991</v>
      </c>
      <c r="T360" s="8">
        <v>1991</v>
      </c>
      <c r="U360" s="8">
        <f t="shared" si="41"/>
        <v>31</v>
      </c>
      <c r="V360" s="7">
        <v>33543</v>
      </c>
      <c r="W360" t="s">
        <v>4440</v>
      </c>
      <c r="X360" s="2">
        <v>0.94</v>
      </c>
      <c r="Y360" s="6">
        <f t="shared" si="46"/>
        <v>2.5092763140332611E-2</v>
      </c>
      <c r="AA360">
        <v>10518207</v>
      </c>
      <c r="AB360">
        <v>63372</v>
      </c>
      <c r="AD360" t="s">
        <v>5</v>
      </c>
      <c r="AE360">
        <v>1</v>
      </c>
      <c r="AF360">
        <v>11</v>
      </c>
      <c r="AH360" t="s">
        <v>7267</v>
      </c>
      <c r="AI360" t="s">
        <v>7266</v>
      </c>
      <c r="AK360" t="s">
        <v>7265</v>
      </c>
      <c r="AL360">
        <v>1</v>
      </c>
      <c r="AM360" s="5">
        <f t="shared" si="42"/>
        <v>3.2258064516129031E-2</v>
      </c>
      <c r="AN360" s="4">
        <f t="shared" si="47"/>
        <v>4.8857348755969758E-5</v>
      </c>
      <c r="AO360" s="3"/>
      <c r="AP360">
        <v>0</v>
      </c>
      <c r="AR360" t="s">
        <v>0</v>
      </c>
      <c r="AT360" s="2" t="s">
        <v>33</v>
      </c>
      <c r="AU360" s="1">
        <f t="shared" si="43"/>
        <v>1.757959140285962</v>
      </c>
      <c r="AV360" s="1">
        <f t="shared" si="44"/>
        <v>1.257081024454429</v>
      </c>
      <c r="AW360" s="1">
        <f t="shared" si="45"/>
        <v>0.75620290862289619</v>
      </c>
    </row>
    <row r="361" spans="1:49" x14ac:dyDescent="0.2">
      <c r="A361">
        <v>359</v>
      </c>
      <c r="B361" t="s">
        <v>7264</v>
      </c>
      <c r="C361" t="s">
        <v>7263</v>
      </c>
      <c r="F361" t="s">
        <v>7262</v>
      </c>
      <c r="G361" t="s">
        <v>16</v>
      </c>
      <c r="H361" t="s">
        <v>15</v>
      </c>
      <c r="I361" t="s">
        <v>60</v>
      </c>
      <c r="J361">
        <v>60002286</v>
      </c>
      <c r="K361" t="s">
        <v>3817</v>
      </c>
      <c r="L361" t="s">
        <v>904</v>
      </c>
      <c r="M361" t="s">
        <v>272</v>
      </c>
      <c r="N361">
        <v>1</v>
      </c>
      <c r="O361" t="s">
        <v>7261</v>
      </c>
      <c r="P361">
        <v>15034907500</v>
      </c>
      <c r="Q361">
        <v>60002286</v>
      </c>
      <c r="R361" s="7">
        <v>33239</v>
      </c>
      <c r="S361" s="8">
        <f t="shared" si="40"/>
        <v>1991</v>
      </c>
      <c r="T361" s="8">
        <v>1991</v>
      </c>
      <c r="U361" s="8">
        <f t="shared" si="41"/>
        <v>31</v>
      </c>
      <c r="V361" s="7">
        <v>33543</v>
      </c>
      <c r="W361" t="s">
        <v>561</v>
      </c>
      <c r="X361" s="2">
        <v>0.30399999999999999</v>
      </c>
      <c r="Y361" s="6">
        <f t="shared" si="46"/>
        <v>8.115106377299057E-3</v>
      </c>
      <c r="AA361">
        <v>8952477</v>
      </c>
      <c r="AB361">
        <v>12250</v>
      </c>
      <c r="AC361">
        <v>10982760</v>
      </c>
      <c r="AD361" t="s">
        <v>5</v>
      </c>
      <c r="AE361">
        <v>4</v>
      </c>
      <c r="AF361">
        <v>12</v>
      </c>
      <c r="AH361" t="s">
        <v>7260</v>
      </c>
      <c r="AI361" t="s">
        <v>7259</v>
      </c>
      <c r="AJ361" t="s">
        <v>7258</v>
      </c>
      <c r="AK361" t="s">
        <v>7257</v>
      </c>
      <c r="AL361">
        <v>1</v>
      </c>
      <c r="AM361" s="5">
        <f t="shared" si="42"/>
        <v>3.2258064516129031E-2</v>
      </c>
      <c r="AN361" s="4">
        <f t="shared" si="47"/>
        <v>4.8857348755969758E-5</v>
      </c>
      <c r="AO361" s="3"/>
      <c r="AP361">
        <v>0</v>
      </c>
      <c r="AR361" t="s">
        <v>0</v>
      </c>
      <c r="AT361" s="2" t="s">
        <v>33</v>
      </c>
      <c r="AU361" s="1">
        <f t="shared" si="43"/>
        <v>0.56952316687361304</v>
      </c>
      <c r="AV361" s="1">
        <f t="shared" si="44"/>
        <v>0.40819818630275134</v>
      </c>
      <c r="AW361" s="1">
        <f t="shared" si="45"/>
        <v>0.24687320573188962</v>
      </c>
    </row>
    <row r="362" spans="1:49" x14ac:dyDescent="0.2">
      <c r="A362">
        <v>360</v>
      </c>
      <c r="B362" t="s">
        <v>7256</v>
      </c>
      <c r="C362" t="s">
        <v>7255</v>
      </c>
      <c r="F362" t="s">
        <v>7254</v>
      </c>
      <c r="G362" t="s">
        <v>16</v>
      </c>
      <c r="H362" t="s">
        <v>15</v>
      </c>
      <c r="I362" t="s">
        <v>7253</v>
      </c>
      <c r="J362">
        <v>60027682</v>
      </c>
      <c r="K362" t="s">
        <v>7252</v>
      </c>
      <c r="L362" t="s">
        <v>7251</v>
      </c>
      <c r="M362" t="s">
        <v>7250</v>
      </c>
      <c r="N362">
        <v>1</v>
      </c>
      <c r="O362" t="s">
        <v>7249</v>
      </c>
      <c r="P362">
        <v>6602633301</v>
      </c>
      <c r="Q362">
        <v>60027682</v>
      </c>
      <c r="R362" s="7">
        <v>33239</v>
      </c>
      <c r="S362" s="8">
        <f t="shared" si="40"/>
        <v>1991</v>
      </c>
      <c r="T362" s="8">
        <v>1991</v>
      </c>
      <c r="U362" s="8">
        <f t="shared" si="41"/>
        <v>31</v>
      </c>
      <c r="V362" s="7">
        <v>33543</v>
      </c>
      <c r="W362" t="s">
        <v>561</v>
      </c>
      <c r="X362" s="2">
        <v>0.30399999999999999</v>
      </c>
      <c r="Y362" s="6">
        <f t="shared" si="46"/>
        <v>8.115106377299057E-3</v>
      </c>
      <c r="AA362">
        <v>8952477</v>
      </c>
      <c r="AB362">
        <v>12250</v>
      </c>
      <c r="AC362">
        <v>10982760</v>
      </c>
      <c r="AD362" t="s">
        <v>5</v>
      </c>
      <c r="AE362">
        <v>4</v>
      </c>
      <c r="AF362">
        <v>12</v>
      </c>
      <c r="AH362" t="s">
        <v>7248</v>
      </c>
      <c r="AI362" t="s">
        <v>7247</v>
      </c>
      <c r="AJ362" t="s">
        <v>7246</v>
      </c>
      <c r="AK362" t="s">
        <v>7245</v>
      </c>
      <c r="AL362">
        <v>1</v>
      </c>
      <c r="AM362" s="5">
        <f t="shared" si="42"/>
        <v>3.2258064516129031E-2</v>
      </c>
      <c r="AN362" s="4">
        <f t="shared" si="47"/>
        <v>4.8857348755969758E-5</v>
      </c>
      <c r="AO362" s="3"/>
      <c r="AP362">
        <v>0</v>
      </c>
      <c r="AR362" t="s">
        <v>0</v>
      </c>
      <c r="AT362" s="2" t="s">
        <v>33</v>
      </c>
      <c r="AU362" s="1">
        <f t="shared" si="43"/>
        <v>0.56952316687361304</v>
      </c>
      <c r="AV362" s="1">
        <f t="shared" si="44"/>
        <v>0.40819818630275134</v>
      </c>
      <c r="AW362" s="1">
        <f t="shared" si="45"/>
        <v>0.24687320573188962</v>
      </c>
    </row>
    <row r="363" spans="1:49" x14ac:dyDescent="0.2">
      <c r="A363">
        <v>361</v>
      </c>
      <c r="B363" t="s">
        <v>7244</v>
      </c>
      <c r="C363" t="s">
        <v>7243</v>
      </c>
      <c r="F363" t="s">
        <v>7242</v>
      </c>
      <c r="G363" t="s">
        <v>16</v>
      </c>
      <c r="H363" t="s">
        <v>15</v>
      </c>
      <c r="I363" t="s">
        <v>5448</v>
      </c>
      <c r="J363">
        <v>60021902</v>
      </c>
      <c r="K363" t="s">
        <v>4522</v>
      </c>
      <c r="L363" t="s">
        <v>4521</v>
      </c>
      <c r="M363" t="s">
        <v>4520</v>
      </c>
      <c r="N363">
        <v>2</v>
      </c>
      <c r="O363" t="s">
        <v>5447</v>
      </c>
      <c r="P363" t="s">
        <v>5446</v>
      </c>
      <c r="Q363" t="s">
        <v>4517</v>
      </c>
      <c r="R363" s="7">
        <v>33239</v>
      </c>
      <c r="S363" s="8">
        <f t="shared" si="40"/>
        <v>1991</v>
      </c>
      <c r="T363" s="8">
        <v>1991</v>
      </c>
      <c r="U363" s="8">
        <f t="shared" si="41"/>
        <v>31</v>
      </c>
      <c r="V363" s="7">
        <v>33543</v>
      </c>
      <c r="W363" t="s">
        <v>561</v>
      </c>
      <c r="X363" s="2">
        <v>0.30399999999999999</v>
      </c>
      <c r="Y363" s="6">
        <f t="shared" si="46"/>
        <v>8.115106377299057E-3</v>
      </c>
      <c r="AA363">
        <v>8952477</v>
      </c>
      <c r="AB363">
        <v>12250</v>
      </c>
      <c r="AC363">
        <v>10982760</v>
      </c>
      <c r="AD363" t="s">
        <v>5</v>
      </c>
      <c r="AE363">
        <v>4</v>
      </c>
      <c r="AF363">
        <v>12</v>
      </c>
      <c r="AH363" t="s">
        <v>3951</v>
      </c>
      <c r="AI363" t="s">
        <v>7241</v>
      </c>
      <c r="AJ363" t="s">
        <v>7240</v>
      </c>
      <c r="AK363" t="s">
        <v>7239</v>
      </c>
      <c r="AL363">
        <v>2</v>
      </c>
      <c r="AM363" s="5">
        <f t="shared" si="42"/>
        <v>6.4516129032258063E-2</v>
      </c>
      <c r="AN363" s="4">
        <f t="shared" si="47"/>
        <v>9.7714697511939517E-5</v>
      </c>
      <c r="AO363" s="3"/>
      <c r="AP363">
        <v>0</v>
      </c>
      <c r="AR363" t="s">
        <v>0</v>
      </c>
      <c r="AT363" s="2" t="s">
        <v>33</v>
      </c>
      <c r="AU363" s="1">
        <f t="shared" si="43"/>
        <v>0.57098888733629205</v>
      </c>
      <c r="AV363" s="1">
        <f t="shared" si="44"/>
        <v>0.41064105374054982</v>
      </c>
      <c r="AW363" s="1">
        <f t="shared" si="45"/>
        <v>0.25029322014480748</v>
      </c>
    </row>
    <row r="364" spans="1:49" x14ac:dyDescent="0.2">
      <c r="A364">
        <v>362</v>
      </c>
      <c r="B364" t="s">
        <v>7238</v>
      </c>
      <c r="C364" t="s">
        <v>7237</v>
      </c>
      <c r="F364" t="s">
        <v>7236</v>
      </c>
      <c r="G364" t="s">
        <v>16</v>
      </c>
      <c r="H364" t="s">
        <v>15</v>
      </c>
      <c r="I364" t="s">
        <v>7235</v>
      </c>
      <c r="J364">
        <v>60027090</v>
      </c>
      <c r="K364" t="s">
        <v>7234</v>
      </c>
      <c r="L364" t="s">
        <v>7233</v>
      </c>
      <c r="M364" t="s">
        <v>57</v>
      </c>
      <c r="N364">
        <v>1</v>
      </c>
      <c r="O364" t="s">
        <v>7232</v>
      </c>
      <c r="P364">
        <v>7102367440</v>
      </c>
      <c r="Q364">
        <v>60027090</v>
      </c>
      <c r="R364" s="7">
        <v>33239</v>
      </c>
      <c r="S364" s="8">
        <f t="shared" si="40"/>
        <v>1991</v>
      </c>
      <c r="T364" s="8">
        <v>1991</v>
      </c>
      <c r="U364" s="8">
        <f t="shared" si="41"/>
        <v>31</v>
      </c>
      <c r="V364" s="7">
        <v>33543</v>
      </c>
      <c r="W364" t="s">
        <v>7231</v>
      </c>
      <c r="X364" s="2">
        <v>0.82799999999999996</v>
      </c>
      <c r="Y364" s="6">
        <f t="shared" si="46"/>
        <v>2.2102987106590855E-2</v>
      </c>
      <c r="AA364">
        <v>11452</v>
      </c>
      <c r="AB364">
        <v>29964</v>
      </c>
      <c r="AD364" t="s">
        <v>5</v>
      </c>
      <c r="AE364">
        <v>29</v>
      </c>
      <c r="AF364">
        <v>11</v>
      </c>
      <c r="AH364" t="s">
        <v>7230</v>
      </c>
      <c r="AI364" t="s">
        <v>7229</v>
      </c>
      <c r="AK364" t="s">
        <v>7228</v>
      </c>
      <c r="AL364">
        <v>17</v>
      </c>
      <c r="AM364" s="5">
        <f t="shared" si="42"/>
        <v>0.54838709677419351</v>
      </c>
      <c r="AN364" s="4">
        <f t="shared" si="47"/>
        <v>8.3057492885148579E-4</v>
      </c>
      <c r="AO364" s="3"/>
      <c r="AP364">
        <v>0</v>
      </c>
      <c r="AQ364" t="s">
        <v>2474</v>
      </c>
      <c r="AR364" t="s">
        <v>7227</v>
      </c>
      <c r="AS364" t="s">
        <v>2473</v>
      </c>
      <c r="AT364" s="2">
        <v>2.1269999999999998</v>
      </c>
      <c r="AU364" s="1">
        <f t="shared" si="43"/>
        <v>1.5721263453269043</v>
      </c>
      <c r="AV364" s="1">
        <f t="shared" si="44"/>
        <v>1.146678101772117</v>
      </c>
      <c r="AW364" s="1">
        <f t="shared" si="45"/>
        <v>0.72122985821732966</v>
      </c>
    </row>
    <row r="365" spans="1:49" x14ac:dyDescent="0.2">
      <c r="A365">
        <v>363</v>
      </c>
      <c r="B365" t="s">
        <v>7226</v>
      </c>
      <c r="C365" t="s">
        <v>7225</v>
      </c>
      <c r="F365" t="s">
        <v>7224</v>
      </c>
      <c r="G365" t="s">
        <v>16</v>
      </c>
      <c r="H365" t="s">
        <v>15</v>
      </c>
      <c r="I365" t="s">
        <v>7223</v>
      </c>
      <c r="J365">
        <v>60010586</v>
      </c>
      <c r="K365" t="s">
        <v>7222</v>
      </c>
      <c r="L365" t="s">
        <v>7221</v>
      </c>
      <c r="M365" t="s">
        <v>25</v>
      </c>
      <c r="N365">
        <v>2</v>
      </c>
      <c r="O365" t="s">
        <v>7220</v>
      </c>
      <c r="P365" t="s">
        <v>7219</v>
      </c>
      <c r="Q365" t="s">
        <v>7218</v>
      </c>
      <c r="R365" s="7">
        <v>33239</v>
      </c>
      <c r="S365" s="8">
        <f t="shared" si="40"/>
        <v>1991</v>
      </c>
      <c r="T365" s="8">
        <v>1991</v>
      </c>
      <c r="U365" s="8">
        <f t="shared" si="41"/>
        <v>31</v>
      </c>
      <c r="V365" s="7">
        <v>33543</v>
      </c>
      <c r="W365" t="s">
        <v>4440</v>
      </c>
      <c r="X365" s="2">
        <v>0.94</v>
      </c>
      <c r="Y365" s="6">
        <f t="shared" si="46"/>
        <v>2.5092763140332611E-2</v>
      </c>
      <c r="AA365">
        <v>10518207</v>
      </c>
      <c r="AB365">
        <v>63372</v>
      </c>
      <c r="AD365" t="s">
        <v>5</v>
      </c>
      <c r="AE365">
        <v>1</v>
      </c>
      <c r="AF365">
        <v>11</v>
      </c>
      <c r="AH365" t="s">
        <v>7217</v>
      </c>
      <c r="AI365" t="s">
        <v>7216</v>
      </c>
      <c r="AK365" t="s">
        <v>7215</v>
      </c>
      <c r="AL365">
        <v>123</v>
      </c>
      <c r="AM365" s="5">
        <f t="shared" si="42"/>
        <v>3.967741935483871</v>
      </c>
      <c r="AN365" s="4">
        <f t="shared" si="47"/>
        <v>6.0094538969842799E-3</v>
      </c>
      <c r="AO365" s="3"/>
      <c r="AP365">
        <v>0</v>
      </c>
      <c r="AR365" t="s">
        <v>0</v>
      </c>
      <c r="AT365" s="2" t="s">
        <v>33</v>
      </c>
      <c r="AU365" s="1">
        <f t="shared" si="43"/>
        <v>1.9367770367328112</v>
      </c>
      <c r="AV365" s="1">
        <f t="shared" si="44"/>
        <v>1.5551108518658445</v>
      </c>
      <c r="AW365" s="1">
        <f t="shared" si="45"/>
        <v>1.1734446669988778</v>
      </c>
    </row>
    <row r="366" spans="1:49" x14ac:dyDescent="0.2">
      <c r="A366">
        <v>364</v>
      </c>
      <c r="B366" t="s">
        <v>7214</v>
      </c>
      <c r="C366" t="s">
        <v>7213</v>
      </c>
      <c r="F366" t="s">
        <v>7212</v>
      </c>
      <c r="G366" t="s">
        <v>16</v>
      </c>
      <c r="H366" t="s">
        <v>15</v>
      </c>
      <c r="I366" t="s">
        <v>7061</v>
      </c>
      <c r="J366">
        <v>60025555</v>
      </c>
      <c r="K366" t="s">
        <v>2786</v>
      </c>
      <c r="L366" t="s">
        <v>327</v>
      </c>
      <c r="M366" t="s">
        <v>326</v>
      </c>
      <c r="N366">
        <v>1</v>
      </c>
      <c r="O366" t="s">
        <v>7211</v>
      </c>
      <c r="P366">
        <v>7004434439</v>
      </c>
      <c r="Q366">
        <v>60025555</v>
      </c>
      <c r="R366" s="7">
        <v>33239</v>
      </c>
      <c r="S366" s="8">
        <f t="shared" si="40"/>
        <v>1991</v>
      </c>
      <c r="T366" s="8">
        <v>1991</v>
      </c>
      <c r="U366" s="8">
        <f t="shared" si="41"/>
        <v>31</v>
      </c>
      <c r="V366" s="7">
        <v>33543</v>
      </c>
      <c r="W366" t="s">
        <v>2569</v>
      </c>
      <c r="X366" s="2">
        <v>0.111</v>
      </c>
      <c r="Y366" s="6">
        <f t="shared" si="46"/>
        <v>2.9630816048690639E-3</v>
      </c>
      <c r="AA366">
        <v>87566621</v>
      </c>
      <c r="AB366">
        <v>24890</v>
      </c>
      <c r="AC366">
        <v>15206424</v>
      </c>
      <c r="AD366" t="s">
        <v>5</v>
      </c>
      <c r="AE366">
        <v>74</v>
      </c>
      <c r="AF366">
        <v>11</v>
      </c>
      <c r="AH366" t="s">
        <v>7210</v>
      </c>
      <c r="AI366" t="s">
        <v>7209</v>
      </c>
      <c r="AK366" t="s">
        <v>7208</v>
      </c>
      <c r="AL366">
        <v>0</v>
      </c>
      <c r="AM366" s="5">
        <f t="shared" si="42"/>
        <v>0</v>
      </c>
      <c r="AN366" s="4">
        <f t="shared" si="47"/>
        <v>0</v>
      </c>
      <c r="AO366" s="3"/>
      <c r="AP366">
        <v>0</v>
      </c>
      <c r="AR366" t="s">
        <v>0</v>
      </c>
      <c r="AT366" s="2" t="s">
        <v>33</v>
      </c>
      <c r="AU366" s="1">
        <f t="shared" si="43"/>
        <v>0.20741571234083445</v>
      </c>
      <c r="AV366" s="1">
        <f t="shared" si="44"/>
        <v>0.1481540802434532</v>
      </c>
      <c r="AW366" s="1">
        <f t="shared" si="45"/>
        <v>8.8892448146071903E-2</v>
      </c>
    </row>
    <row r="367" spans="1:49" x14ac:dyDescent="0.2">
      <c r="A367">
        <v>365</v>
      </c>
      <c r="B367" t="s">
        <v>7207</v>
      </c>
      <c r="C367" t="s">
        <v>7206</v>
      </c>
      <c r="D367" t="s">
        <v>7205</v>
      </c>
      <c r="F367" t="s">
        <v>7204</v>
      </c>
      <c r="G367" t="s">
        <v>16</v>
      </c>
      <c r="H367" t="s">
        <v>15</v>
      </c>
      <c r="I367" t="s">
        <v>7203</v>
      </c>
      <c r="J367" t="s">
        <v>7202</v>
      </c>
      <c r="K367" t="s">
        <v>7201</v>
      </c>
      <c r="L367" t="s">
        <v>7200</v>
      </c>
      <c r="M367" t="s">
        <v>7199</v>
      </c>
      <c r="N367">
        <v>2</v>
      </c>
      <c r="O367" t="s">
        <v>7198</v>
      </c>
      <c r="P367" t="s">
        <v>7197</v>
      </c>
      <c r="Q367" t="s">
        <v>7196</v>
      </c>
      <c r="R367" s="7">
        <v>33239</v>
      </c>
      <c r="S367" s="8">
        <f t="shared" si="40"/>
        <v>1991</v>
      </c>
      <c r="T367" s="8">
        <v>1991</v>
      </c>
      <c r="U367" s="8">
        <f t="shared" si="41"/>
        <v>31</v>
      </c>
      <c r="V367" s="7">
        <v>33512</v>
      </c>
      <c r="W367" t="s">
        <v>3984</v>
      </c>
      <c r="X367" s="2">
        <v>0.90700000000000003</v>
      </c>
      <c r="Y367" s="6">
        <f t="shared" si="46"/>
        <v>2.4211846987533703E-2</v>
      </c>
      <c r="AA367">
        <v>1651684</v>
      </c>
      <c r="AB367">
        <v>25548</v>
      </c>
      <c r="AD367" t="s">
        <v>5</v>
      </c>
      <c r="AE367">
        <v>25</v>
      </c>
      <c r="AF367">
        <v>1</v>
      </c>
      <c r="AH367" t="s">
        <v>7195</v>
      </c>
      <c r="AI367" t="s">
        <v>7194</v>
      </c>
      <c r="AJ367" t="s">
        <v>7193</v>
      </c>
      <c r="AK367" t="s">
        <v>7192</v>
      </c>
      <c r="AL367">
        <v>8</v>
      </c>
      <c r="AM367" s="5">
        <f t="shared" si="42"/>
        <v>0.25806451612903225</v>
      </c>
      <c r="AN367" s="4">
        <f t="shared" si="47"/>
        <v>3.9085879004775807E-4</v>
      </c>
      <c r="AO367" s="3"/>
      <c r="AP367">
        <v>0</v>
      </c>
      <c r="AR367">
        <v>305.89</v>
      </c>
      <c r="AT367" s="2">
        <v>4.6619999999999999</v>
      </c>
      <c r="AU367" s="1">
        <f t="shared" si="43"/>
        <v>1.7065550528287916</v>
      </c>
      <c r="AV367" s="1">
        <f t="shared" si="44"/>
        <v>1.2301352888790731</v>
      </c>
      <c r="AW367" s="1">
        <f t="shared" si="45"/>
        <v>0.75371552492935412</v>
      </c>
    </row>
    <row r="368" spans="1:49" x14ac:dyDescent="0.2">
      <c r="A368">
        <v>366</v>
      </c>
      <c r="B368" t="s">
        <v>7191</v>
      </c>
      <c r="C368" t="s">
        <v>7190</v>
      </c>
      <c r="F368" t="s">
        <v>7189</v>
      </c>
      <c r="G368" t="s">
        <v>16</v>
      </c>
      <c r="H368" t="s">
        <v>15</v>
      </c>
      <c r="I368" t="s">
        <v>7188</v>
      </c>
      <c r="J368">
        <v>60028186</v>
      </c>
      <c r="K368" t="s">
        <v>7187</v>
      </c>
      <c r="L368" t="s">
        <v>7186</v>
      </c>
      <c r="M368" t="s">
        <v>1765</v>
      </c>
      <c r="N368">
        <v>3</v>
      </c>
      <c r="O368" t="s">
        <v>7185</v>
      </c>
      <c r="P368" t="s">
        <v>7184</v>
      </c>
      <c r="Q368" t="s">
        <v>7183</v>
      </c>
      <c r="R368" s="7">
        <v>33239</v>
      </c>
      <c r="S368" s="8">
        <f t="shared" si="40"/>
        <v>1991</v>
      </c>
      <c r="T368" s="8">
        <v>1991</v>
      </c>
      <c r="U368" s="8">
        <f t="shared" si="41"/>
        <v>31</v>
      </c>
      <c r="V368" s="7" t="s">
        <v>7016</v>
      </c>
      <c r="W368" s="11" t="s">
        <v>2635</v>
      </c>
      <c r="X368" s="2">
        <v>2.383</v>
      </c>
      <c r="Y368" s="6">
        <f t="shared" si="46"/>
        <v>6.3612824003630442E-2</v>
      </c>
      <c r="AA368" t="s">
        <v>2634</v>
      </c>
      <c r="AB368">
        <v>101151</v>
      </c>
      <c r="AD368" t="s">
        <v>5</v>
      </c>
      <c r="AE368">
        <v>138</v>
      </c>
      <c r="AF368">
        <v>5</v>
      </c>
      <c r="AH368" t="s">
        <v>7182</v>
      </c>
      <c r="AI368" t="s">
        <v>7181</v>
      </c>
      <c r="AK368" t="s">
        <v>7180</v>
      </c>
      <c r="AL368">
        <v>2</v>
      </c>
      <c r="AM368" s="5">
        <f t="shared" si="42"/>
        <v>6.4516129032258063E-2</v>
      </c>
      <c r="AN368" s="4">
        <f t="shared" si="47"/>
        <v>9.7714697511939517E-5</v>
      </c>
      <c r="AO368" s="3"/>
      <c r="AP368">
        <v>0</v>
      </c>
      <c r="AR368" t="s">
        <v>0</v>
      </c>
      <c r="AT368" s="2" t="s">
        <v>33</v>
      </c>
      <c r="AU368" s="1">
        <f t="shared" si="43"/>
        <v>4.4558291211794891</v>
      </c>
      <c r="AV368" s="1">
        <f t="shared" si="44"/>
        <v>3.1855269350571187</v>
      </c>
      <c r="AW368" s="1">
        <f t="shared" si="45"/>
        <v>1.9152247489347491</v>
      </c>
    </row>
    <row r="369" spans="1:49" x14ac:dyDescent="0.2">
      <c r="A369">
        <v>367</v>
      </c>
      <c r="B369" t="s">
        <v>7179</v>
      </c>
      <c r="C369" t="s">
        <v>7178</v>
      </c>
      <c r="F369" t="s">
        <v>7177</v>
      </c>
      <c r="G369" t="s">
        <v>16</v>
      </c>
      <c r="H369" t="s">
        <v>15</v>
      </c>
      <c r="I369" t="s">
        <v>5021</v>
      </c>
      <c r="J369">
        <v>60031828</v>
      </c>
      <c r="K369" t="s">
        <v>1545</v>
      </c>
      <c r="L369" t="s">
        <v>1544</v>
      </c>
      <c r="M369" t="s">
        <v>1543</v>
      </c>
      <c r="N369">
        <v>4</v>
      </c>
      <c r="O369" t="s">
        <v>7176</v>
      </c>
      <c r="P369" t="s">
        <v>7175</v>
      </c>
      <c r="Q369" t="s">
        <v>1540</v>
      </c>
      <c r="R369" s="7">
        <v>33239</v>
      </c>
      <c r="S369" s="8">
        <f t="shared" ref="S369:S432" si="48">YEAR(R369)</f>
        <v>1991</v>
      </c>
      <c r="T369" s="8">
        <v>1991</v>
      </c>
      <c r="U369" s="8">
        <f t="shared" ref="U369:U432" si="49">2022-T369</f>
        <v>31</v>
      </c>
      <c r="V369" s="7" t="s">
        <v>7016</v>
      </c>
      <c r="W369" s="11" t="s">
        <v>2635</v>
      </c>
      <c r="X369" s="2">
        <v>2.383</v>
      </c>
      <c r="Y369" s="6">
        <f t="shared" si="46"/>
        <v>6.3612824003630442E-2</v>
      </c>
      <c r="AA369" t="s">
        <v>2634</v>
      </c>
      <c r="AB369">
        <v>101151</v>
      </c>
      <c r="AD369" t="s">
        <v>5</v>
      </c>
      <c r="AE369">
        <v>138</v>
      </c>
      <c r="AF369">
        <v>5</v>
      </c>
      <c r="AH369" t="s">
        <v>7174</v>
      </c>
      <c r="AI369" t="s">
        <v>7173</v>
      </c>
      <c r="AK369" t="s">
        <v>7172</v>
      </c>
      <c r="AL369">
        <v>16</v>
      </c>
      <c r="AM369" s="5">
        <f t="shared" ref="AM369:AM432" si="50">AL369/U369</f>
        <v>0.5161290322580645</v>
      </c>
      <c r="AN369" s="4">
        <f t="shared" si="47"/>
        <v>7.8171758009551613E-4</v>
      </c>
      <c r="AO369" s="3"/>
      <c r="AP369">
        <v>0</v>
      </c>
      <c r="AR369" t="s">
        <v>0</v>
      </c>
      <c r="AT369" s="2" t="s">
        <v>33</v>
      </c>
      <c r="AU369" s="1">
        <f t="shared" ref="AU369:AU432" si="51">(Y369*0.7+AN369*0.3)*100</f>
        <v>4.4763492076569964</v>
      </c>
      <c r="AV369" s="1">
        <f t="shared" ref="AV369:AV432" si="52">(Y369*0.5+AN369*0.5)*100</f>
        <v>3.2197270791862977</v>
      </c>
      <c r="AW369" s="1">
        <f t="shared" ref="AW369:AW432" si="53">(Y369*0.3+AN369*0.7)*100</f>
        <v>1.9631049507155995</v>
      </c>
    </row>
    <row r="370" spans="1:49" x14ac:dyDescent="0.2">
      <c r="A370">
        <v>368</v>
      </c>
      <c r="B370" t="s">
        <v>7171</v>
      </c>
      <c r="C370" t="s">
        <v>7170</v>
      </c>
      <c r="F370" t="s">
        <v>7169</v>
      </c>
      <c r="G370" t="s">
        <v>16</v>
      </c>
      <c r="H370" t="s">
        <v>15</v>
      </c>
      <c r="I370" t="s">
        <v>3342</v>
      </c>
      <c r="J370" t="s">
        <v>7168</v>
      </c>
      <c r="K370" t="s">
        <v>7167</v>
      </c>
      <c r="L370" t="s">
        <v>7166</v>
      </c>
      <c r="M370" t="s">
        <v>7165</v>
      </c>
      <c r="N370">
        <v>3</v>
      </c>
      <c r="O370" t="s">
        <v>7164</v>
      </c>
      <c r="P370" t="s">
        <v>7163</v>
      </c>
      <c r="Q370" t="s">
        <v>7162</v>
      </c>
      <c r="R370" s="7">
        <v>33239</v>
      </c>
      <c r="S370" s="8">
        <f t="shared" si="48"/>
        <v>1991</v>
      </c>
      <c r="T370" s="8">
        <v>1991</v>
      </c>
      <c r="U370" s="8">
        <f t="shared" si="49"/>
        <v>31</v>
      </c>
      <c r="V370" s="7">
        <v>33512</v>
      </c>
      <c r="W370" t="s">
        <v>324</v>
      </c>
      <c r="X370" s="2">
        <v>0.88100000000000001</v>
      </c>
      <c r="Y370" s="6">
        <f t="shared" si="46"/>
        <v>2.3517791836843653E-2</v>
      </c>
      <c r="AA370">
        <v>10459243</v>
      </c>
      <c r="AB370">
        <v>17248</v>
      </c>
      <c r="AD370" t="s">
        <v>5</v>
      </c>
      <c r="AE370">
        <v>33</v>
      </c>
      <c r="AF370">
        <v>5</v>
      </c>
      <c r="AH370" s="10">
        <v>43435</v>
      </c>
      <c r="AI370" t="s">
        <v>7161</v>
      </c>
      <c r="AK370" t="s">
        <v>7160</v>
      </c>
      <c r="AL370">
        <v>12</v>
      </c>
      <c r="AM370" s="5">
        <f t="shared" si="50"/>
        <v>0.38709677419354838</v>
      </c>
      <c r="AN370" s="4">
        <f t="shared" si="47"/>
        <v>5.8628818507163707E-4</v>
      </c>
      <c r="AO370" s="3"/>
      <c r="AP370">
        <v>0</v>
      </c>
      <c r="AR370" t="s">
        <v>0</v>
      </c>
      <c r="AT370" s="2" t="s">
        <v>33</v>
      </c>
      <c r="AU370" s="1">
        <f t="shared" si="51"/>
        <v>1.6638340741312048</v>
      </c>
      <c r="AV370" s="1">
        <f t="shared" si="52"/>
        <v>1.2052040010957645</v>
      </c>
      <c r="AW370" s="1">
        <f t="shared" si="53"/>
        <v>0.74657392806032419</v>
      </c>
    </row>
    <row r="371" spans="1:49" x14ac:dyDescent="0.2">
      <c r="A371">
        <v>369</v>
      </c>
      <c r="B371" t="s">
        <v>7159</v>
      </c>
      <c r="C371" t="s">
        <v>7158</v>
      </c>
      <c r="F371" t="s">
        <v>7157</v>
      </c>
      <c r="G371" t="s">
        <v>16</v>
      </c>
      <c r="H371" t="s">
        <v>15</v>
      </c>
      <c r="I371" t="s">
        <v>4923</v>
      </c>
      <c r="J371">
        <v>60011357</v>
      </c>
      <c r="K371" t="s">
        <v>3956</v>
      </c>
      <c r="L371" t="s">
        <v>3955</v>
      </c>
      <c r="M371" t="s">
        <v>2319</v>
      </c>
      <c r="N371">
        <v>1</v>
      </c>
      <c r="O371" t="s">
        <v>7156</v>
      </c>
      <c r="P371">
        <v>35460663000</v>
      </c>
      <c r="Q371">
        <v>60011357</v>
      </c>
      <c r="R371" s="7">
        <v>33239</v>
      </c>
      <c r="S371" s="8">
        <f t="shared" si="48"/>
        <v>1991</v>
      </c>
      <c r="T371" s="8">
        <v>1991</v>
      </c>
      <c r="U371" s="8">
        <f t="shared" si="49"/>
        <v>31</v>
      </c>
      <c r="V371" s="7" t="s">
        <v>7016</v>
      </c>
      <c r="W371" s="11" t="s">
        <v>2635</v>
      </c>
      <c r="X371" s="2">
        <v>2.383</v>
      </c>
      <c r="Y371" s="6">
        <f t="shared" si="46"/>
        <v>6.3612824003630442E-2</v>
      </c>
      <c r="AA371" t="s">
        <v>2634</v>
      </c>
      <c r="AB371">
        <v>101151</v>
      </c>
      <c r="AD371" t="s">
        <v>5</v>
      </c>
      <c r="AE371">
        <v>138</v>
      </c>
      <c r="AF371">
        <v>5</v>
      </c>
      <c r="AH371" t="s">
        <v>7155</v>
      </c>
      <c r="AI371" t="s">
        <v>7154</v>
      </c>
      <c r="AK371" t="s">
        <v>7153</v>
      </c>
      <c r="AL371">
        <v>0</v>
      </c>
      <c r="AM371" s="5">
        <f t="shared" si="50"/>
        <v>0</v>
      </c>
      <c r="AN371" s="4">
        <f t="shared" si="47"/>
        <v>0</v>
      </c>
      <c r="AO371" s="3"/>
      <c r="AP371">
        <v>0</v>
      </c>
      <c r="AR371" t="s">
        <v>0</v>
      </c>
      <c r="AT371" s="2" t="s">
        <v>33</v>
      </c>
      <c r="AU371" s="1">
        <f t="shared" si="51"/>
        <v>4.4528976802541305</v>
      </c>
      <c r="AV371" s="1">
        <f t="shared" si="52"/>
        <v>3.1806412001815221</v>
      </c>
      <c r="AW371" s="1">
        <f t="shared" si="53"/>
        <v>1.9083847201089132</v>
      </c>
    </row>
    <row r="372" spans="1:49" x14ac:dyDescent="0.2">
      <c r="A372">
        <v>370</v>
      </c>
      <c r="B372" t="s">
        <v>7152</v>
      </c>
      <c r="C372" t="s">
        <v>7151</v>
      </c>
      <c r="F372" t="s">
        <v>7150</v>
      </c>
      <c r="G372" t="s">
        <v>16</v>
      </c>
      <c r="H372" t="s">
        <v>15</v>
      </c>
      <c r="I372" t="s">
        <v>7149</v>
      </c>
      <c r="J372">
        <v>60018352</v>
      </c>
      <c r="K372" t="s">
        <v>7148</v>
      </c>
      <c r="L372" t="s">
        <v>7147</v>
      </c>
      <c r="M372" t="s">
        <v>326</v>
      </c>
      <c r="N372">
        <v>2</v>
      </c>
      <c r="O372" t="s">
        <v>7146</v>
      </c>
      <c r="P372" t="s">
        <v>7145</v>
      </c>
      <c r="Q372" t="s">
        <v>7144</v>
      </c>
      <c r="R372" s="7">
        <v>33239</v>
      </c>
      <c r="S372" s="8">
        <f t="shared" si="48"/>
        <v>1991</v>
      </c>
      <c r="T372" s="8">
        <v>1991</v>
      </c>
      <c r="U372" s="8">
        <f t="shared" si="49"/>
        <v>31</v>
      </c>
      <c r="V372" s="7" t="s">
        <v>7016</v>
      </c>
      <c r="W372" s="11" t="s">
        <v>2635</v>
      </c>
      <c r="X372" s="2">
        <v>2.383</v>
      </c>
      <c r="Y372" s="6">
        <f t="shared" si="46"/>
        <v>6.3612824003630442E-2</v>
      </c>
      <c r="AA372" t="s">
        <v>2634</v>
      </c>
      <c r="AB372">
        <v>101151</v>
      </c>
      <c r="AD372" t="s">
        <v>5</v>
      </c>
      <c r="AE372">
        <v>138</v>
      </c>
      <c r="AF372">
        <v>5</v>
      </c>
      <c r="AH372" t="s">
        <v>7143</v>
      </c>
      <c r="AI372" t="s">
        <v>7142</v>
      </c>
      <c r="AK372" t="s">
        <v>7141</v>
      </c>
      <c r="AL372">
        <v>4</v>
      </c>
      <c r="AM372" s="5">
        <f t="shared" si="50"/>
        <v>0.12903225806451613</v>
      </c>
      <c r="AN372" s="4">
        <f t="shared" si="47"/>
        <v>1.9542939502387903E-4</v>
      </c>
      <c r="AO372" s="3"/>
      <c r="AP372">
        <v>0</v>
      </c>
      <c r="AR372" t="s">
        <v>0</v>
      </c>
      <c r="AT372" s="2" t="s">
        <v>33</v>
      </c>
      <c r="AU372" s="1">
        <f t="shared" si="51"/>
        <v>4.4587605621048469</v>
      </c>
      <c r="AV372" s="1">
        <f t="shared" si="52"/>
        <v>3.1904126699327162</v>
      </c>
      <c r="AW372" s="1">
        <f t="shared" si="53"/>
        <v>1.9220647777605848</v>
      </c>
    </row>
    <row r="373" spans="1:49" x14ac:dyDescent="0.2">
      <c r="A373">
        <v>371</v>
      </c>
      <c r="B373" t="s">
        <v>7140</v>
      </c>
      <c r="C373" t="s">
        <v>7139</v>
      </c>
      <c r="F373" t="s">
        <v>7138</v>
      </c>
      <c r="G373" t="s">
        <v>16</v>
      </c>
      <c r="H373" t="s">
        <v>15</v>
      </c>
      <c r="I373" t="s">
        <v>7137</v>
      </c>
      <c r="J373">
        <v>60013272</v>
      </c>
      <c r="K373" t="s">
        <v>7136</v>
      </c>
      <c r="L373" t="s">
        <v>4521</v>
      </c>
      <c r="M373" t="s">
        <v>4520</v>
      </c>
      <c r="N373">
        <v>2</v>
      </c>
      <c r="O373" t="s">
        <v>7135</v>
      </c>
      <c r="P373" t="s">
        <v>7134</v>
      </c>
      <c r="Q373" t="s">
        <v>7133</v>
      </c>
      <c r="R373" s="7">
        <v>33239</v>
      </c>
      <c r="S373" s="8">
        <f t="shared" si="48"/>
        <v>1991</v>
      </c>
      <c r="T373" s="8">
        <v>1991</v>
      </c>
      <c r="U373" s="8">
        <f t="shared" si="49"/>
        <v>31</v>
      </c>
      <c r="V373" s="7" t="s">
        <v>7016</v>
      </c>
      <c r="W373" s="11" t="s">
        <v>2635</v>
      </c>
      <c r="X373" s="2">
        <v>2.383</v>
      </c>
      <c r="Y373" s="6">
        <f t="shared" si="46"/>
        <v>6.3612824003630442E-2</v>
      </c>
      <c r="AA373" t="s">
        <v>2634</v>
      </c>
      <c r="AB373">
        <v>101151</v>
      </c>
      <c r="AD373" t="s">
        <v>5</v>
      </c>
      <c r="AE373">
        <v>138</v>
      </c>
      <c r="AF373">
        <v>5</v>
      </c>
      <c r="AH373" t="s">
        <v>7132</v>
      </c>
      <c r="AI373" t="s">
        <v>7131</v>
      </c>
      <c r="AK373" t="s">
        <v>7130</v>
      </c>
      <c r="AL373">
        <v>1</v>
      </c>
      <c r="AM373" s="5">
        <f t="shared" si="50"/>
        <v>3.2258064516129031E-2</v>
      </c>
      <c r="AN373" s="4">
        <f t="shared" si="47"/>
        <v>4.8857348755969758E-5</v>
      </c>
      <c r="AO373" s="3"/>
      <c r="AP373">
        <v>0</v>
      </c>
      <c r="AR373" t="s">
        <v>0</v>
      </c>
      <c r="AT373" s="2" t="s">
        <v>33</v>
      </c>
      <c r="AU373" s="1">
        <f t="shared" si="51"/>
        <v>4.4543634007168098</v>
      </c>
      <c r="AV373" s="1">
        <f t="shared" si="52"/>
        <v>3.1830840676193204</v>
      </c>
      <c r="AW373" s="1">
        <f t="shared" si="53"/>
        <v>1.9118047345218312</v>
      </c>
    </row>
    <row r="374" spans="1:49" x14ac:dyDescent="0.2">
      <c r="A374">
        <v>372</v>
      </c>
      <c r="B374" t="s">
        <v>7129</v>
      </c>
      <c r="C374" t="s">
        <v>7128</v>
      </c>
      <c r="D374" t="s">
        <v>7127</v>
      </c>
      <c r="F374" t="s">
        <v>7126</v>
      </c>
      <c r="G374" t="s">
        <v>16</v>
      </c>
      <c r="H374" t="s">
        <v>15</v>
      </c>
      <c r="I374" t="s">
        <v>2445</v>
      </c>
      <c r="J374">
        <v>60017161</v>
      </c>
      <c r="K374" t="s">
        <v>2444</v>
      </c>
      <c r="L374" t="s">
        <v>1408</v>
      </c>
      <c r="M374" t="s">
        <v>1407</v>
      </c>
      <c r="N374">
        <v>1</v>
      </c>
      <c r="O374" t="s">
        <v>2443</v>
      </c>
      <c r="P374">
        <v>7202596473</v>
      </c>
      <c r="Q374">
        <v>60017161</v>
      </c>
      <c r="R374" s="7">
        <v>33239</v>
      </c>
      <c r="S374" s="8">
        <f t="shared" si="48"/>
        <v>1991</v>
      </c>
      <c r="T374" s="8">
        <v>1991</v>
      </c>
      <c r="U374" s="8">
        <f t="shared" si="49"/>
        <v>31</v>
      </c>
      <c r="V374" s="7">
        <v>33512</v>
      </c>
      <c r="W374" t="s">
        <v>3984</v>
      </c>
      <c r="X374" s="2">
        <v>0.90700000000000003</v>
      </c>
      <c r="Y374" s="6">
        <f t="shared" si="46"/>
        <v>2.4211846987533703E-2</v>
      </c>
      <c r="AA374">
        <v>1651684</v>
      </c>
      <c r="AB374">
        <v>25548</v>
      </c>
      <c r="AD374" t="s">
        <v>5</v>
      </c>
      <c r="AE374">
        <v>25</v>
      </c>
      <c r="AF374">
        <v>1</v>
      </c>
      <c r="AH374" s="10">
        <v>44866</v>
      </c>
      <c r="AI374" t="s">
        <v>7125</v>
      </c>
      <c r="AJ374" t="s">
        <v>3981</v>
      </c>
      <c r="AK374" t="s">
        <v>7124</v>
      </c>
      <c r="AL374">
        <v>2</v>
      </c>
      <c r="AM374" s="5">
        <f t="shared" si="50"/>
        <v>6.4516129032258063E-2</v>
      </c>
      <c r="AN374" s="4">
        <f t="shared" si="47"/>
        <v>9.7714697511939517E-5</v>
      </c>
      <c r="AO374" s="3"/>
      <c r="AP374">
        <v>0</v>
      </c>
      <c r="AR374" t="s">
        <v>0</v>
      </c>
      <c r="AT374" s="2">
        <v>4.6619999999999999</v>
      </c>
      <c r="AU374" s="1">
        <f t="shared" si="51"/>
        <v>1.6977607300527171</v>
      </c>
      <c r="AV374" s="1">
        <f t="shared" si="52"/>
        <v>1.2154780842522821</v>
      </c>
      <c r="AW374" s="1">
        <f t="shared" si="53"/>
        <v>0.73319543845184687</v>
      </c>
    </row>
    <row r="375" spans="1:49" x14ac:dyDescent="0.2">
      <c r="A375">
        <v>373</v>
      </c>
      <c r="B375" t="s">
        <v>7123</v>
      </c>
      <c r="C375" t="s">
        <v>7122</v>
      </c>
      <c r="F375" t="s">
        <v>7121</v>
      </c>
      <c r="G375" t="s">
        <v>16</v>
      </c>
      <c r="H375" t="s">
        <v>15</v>
      </c>
      <c r="I375" t="s">
        <v>7120</v>
      </c>
      <c r="J375">
        <v>60010818</v>
      </c>
      <c r="K375" t="s">
        <v>7119</v>
      </c>
      <c r="L375" t="s">
        <v>7118</v>
      </c>
      <c r="M375" t="s">
        <v>117</v>
      </c>
      <c r="N375">
        <v>3</v>
      </c>
      <c r="O375" t="s">
        <v>7117</v>
      </c>
      <c r="P375" t="s">
        <v>7116</v>
      </c>
      <c r="Q375" t="s">
        <v>7115</v>
      </c>
      <c r="R375" s="7">
        <v>33239</v>
      </c>
      <c r="S375" s="8">
        <f t="shared" si="48"/>
        <v>1991</v>
      </c>
      <c r="T375" s="8">
        <v>1991</v>
      </c>
      <c r="U375" s="8">
        <f t="shared" si="49"/>
        <v>31</v>
      </c>
      <c r="V375" s="7" t="s">
        <v>7016</v>
      </c>
      <c r="W375" s="11" t="s">
        <v>2635</v>
      </c>
      <c r="X375" s="2">
        <v>2.383</v>
      </c>
      <c r="Y375" s="6">
        <f t="shared" si="46"/>
        <v>6.3612824003630442E-2</v>
      </c>
      <c r="AA375" t="s">
        <v>2634</v>
      </c>
      <c r="AB375">
        <v>101151</v>
      </c>
      <c r="AD375" t="s">
        <v>5</v>
      </c>
      <c r="AE375">
        <v>138</v>
      </c>
      <c r="AF375">
        <v>5</v>
      </c>
      <c r="AH375" t="s">
        <v>7114</v>
      </c>
      <c r="AI375" t="s">
        <v>7113</v>
      </c>
      <c r="AK375" t="s">
        <v>7112</v>
      </c>
      <c r="AL375">
        <v>99</v>
      </c>
      <c r="AM375" s="5">
        <f t="shared" si="50"/>
        <v>3.193548387096774</v>
      </c>
      <c r="AN375" s="4">
        <f t="shared" si="47"/>
        <v>4.8368775268410056E-3</v>
      </c>
      <c r="AO375" s="3"/>
      <c r="AP375">
        <v>0</v>
      </c>
      <c r="AR375" t="s">
        <v>0</v>
      </c>
      <c r="AT375" s="2" t="s">
        <v>33</v>
      </c>
      <c r="AU375" s="1">
        <f t="shared" si="51"/>
        <v>4.5980040060593614</v>
      </c>
      <c r="AV375" s="1">
        <f t="shared" si="52"/>
        <v>3.4224850765235724</v>
      </c>
      <c r="AW375" s="1">
        <f t="shared" si="53"/>
        <v>2.2469661469877837</v>
      </c>
    </row>
    <row r="376" spans="1:49" x14ac:dyDescent="0.2">
      <c r="A376">
        <v>374</v>
      </c>
      <c r="B376" t="s">
        <v>7111</v>
      </c>
      <c r="C376" t="s">
        <v>7110</v>
      </c>
      <c r="F376" t="s">
        <v>7109</v>
      </c>
      <c r="G376" t="s">
        <v>16</v>
      </c>
      <c r="H376" t="s">
        <v>15</v>
      </c>
      <c r="I376" t="s">
        <v>7108</v>
      </c>
      <c r="J376">
        <v>60025555</v>
      </c>
      <c r="K376" t="s">
        <v>2786</v>
      </c>
      <c r="L376" t="s">
        <v>327</v>
      </c>
      <c r="M376" t="s">
        <v>326</v>
      </c>
      <c r="N376">
        <v>2</v>
      </c>
      <c r="O376" t="s">
        <v>7107</v>
      </c>
      <c r="P376" t="s">
        <v>7106</v>
      </c>
      <c r="Q376" t="s">
        <v>2783</v>
      </c>
      <c r="R376" s="7">
        <v>33239</v>
      </c>
      <c r="S376" s="8">
        <f t="shared" si="48"/>
        <v>1991</v>
      </c>
      <c r="T376" s="8">
        <v>1991</v>
      </c>
      <c r="U376" s="8">
        <f t="shared" si="49"/>
        <v>31</v>
      </c>
      <c r="V376" s="7">
        <v>33512</v>
      </c>
      <c r="W376" t="s">
        <v>2569</v>
      </c>
      <c r="X376" s="2">
        <v>0.111</v>
      </c>
      <c r="Y376" s="6">
        <f t="shared" si="46"/>
        <v>2.9630816048690639E-3</v>
      </c>
      <c r="AA376">
        <v>87566621</v>
      </c>
      <c r="AB376">
        <v>24890</v>
      </c>
      <c r="AC376">
        <v>15206424</v>
      </c>
      <c r="AD376" t="s">
        <v>5</v>
      </c>
      <c r="AE376">
        <v>74</v>
      </c>
      <c r="AF376">
        <v>10</v>
      </c>
      <c r="AH376" t="s">
        <v>7105</v>
      </c>
      <c r="AI376" t="s">
        <v>7104</v>
      </c>
      <c r="AK376" t="s">
        <v>7103</v>
      </c>
      <c r="AL376">
        <v>7</v>
      </c>
      <c r="AM376" s="5">
        <f t="shared" si="50"/>
        <v>0.22580645161290322</v>
      </c>
      <c r="AN376" s="4">
        <f t="shared" si="47"/>
        <v>3.420014412917883E-4</v>
      </c>
      <c r="AO376" s="3"/>
      <c r="AP376">
        <v>0</v>
      </c>
      <c r="AR376" t="s">
        <v>0</v>
      </c>
      <c r="AT376" s="2" t="s">
        <v>33</v>
      </c>
      <c r="AU376" s="1">
        <f t="shared" si="51"/>
        <v>0.21767575557958807</v>
      </c>
      <c r="AV376" s="1">
        <f t="shared" si="52"/>
        <v>0.16525415230804261</v>
      </c>
      <c r="AW376" s="1">
        <f t="shared" si="53"/>
        <v>0.1128325490364971</v>
      </c>
    </row>
    <row r="377" spans="1:49" x14ac:dyDescent="0.2">
      <c r="A377">
        <v>375</v>
      </c>
      <c r="B377" t="s">
        <v>7102</v>
      </c>
      <c r="C377" t="s">
        <v>7101</v>
      </c>
      <c r="F377" t="s">
        <v>7100</v>
      </c>
      <c r="G377" t="s">
        <v>16</v>
      </c>
      <c r="H377" t="s">
        <v>15</v>
      </c>
      <c r="I377" t="s">
        <v>7099</v>
      </c>
      <c r="J377">
        <v>60005681</v>
      </c>
      <c r="K377" t="s">
        <v>7098</v>
      </c>
      <c r="L377" t="s">
        <v>4224</v>
      </c>
      <c r="M377" t="s">
        <v>4223</v>
      </c>
      <c r="N377">
        <v>2</v>
      </c>
      <c r="O377" t="s">
        <v>7097</v>
      </c>
      <c r="P377" t="s">
        <v>7096</v>
      </c>
      <c r="Q377" t="s">
        <v>7095</v>
      </c>
      <c r="R377" s="7">
        <v>33239</v>
      </c>
      <c r="S377" s="8">
        <f t="shared" si="48"/>
        <v>1991</v>
      </c>
      <c r="T377" s="8">
        <v>1991</v>
      </c>
      <c r="U377" s="8">
        <f t="shared" si="49"/>
        <v>31</v>
      </c>
      <c r="V377" s="7" t="s">
        <v>7016</v>
      </c>
      <c r="W377" s="11" t="s">
        <v>2635</v>
      </c>
      <c r="X377" s="2">
        <v>2.383</v>
      </c>
      <c r="Y377" s="6">
        <f t="shared" si="46"/>
        <v>6.3612824003630442E-2</v>
      </c>
      <c r="AA377" t="s">
        <v>2634</v>
      </c>
      <c r="AB377">
        <v>101151</v>
      </c>
      <c r="AD377" t="s">
        <v>5</v>
      </c>
      <c r="AE377">
        <v>138</v>
      </c>
      <c r="AF377">
        <v>5</v>
      </c>
      <c r="AH377" t="s">
        <v>7094</v>
      </c>
      <c r="AI377" t="s">
        <v>7093</v>
      </c>
      <c r="AK377" t="s">
        <v>7092</v>
      </c>
      <c r="AL377">
        <v>5</v>
      </c>
      <c r="AM377" s="5">
        <f t="shared" si="50"/>
        <v>0.16129032258064516</v>
      </c>
      <c r="AN377" s="4">
        <f t="shared" si="47"/>
        <v>2.4428674377984877E-4</v>
      </c>
      <c r="AO377" s="3"/>
      <c r="AP377">
        <v>0</v>
      </c>
      <c r="AR377" t="s">
        <v>0</v>
      </c>
      <c r="AT377" s="2" t="s">
        <v>33</v>
      </c>
      <c r="AU377" s="1">
        <f t="shared" si="51"/>
        <v>4.4602262825675263</v>
      </c>
      <c r="AV377" s="1">
        <f t="shared" si="52"/>
        <v>3.192855537370515</v>
      </c>
      <c r="AW377" s="1">
        <f t="shared" si="53"/>
        <v>1.9254847921735028</v>
      </c>
    </row>
    <row r="378" spans="1:49" x14ac:dyDescent="0.2">
      <c r="A378">
        <v>376</v>
      </c>
      <c r="B378" t="s">
        <v>7091</v>
      </c>
      <c r="C378" t="s">
        <v>7090</v>
      </c>
      <c r="F378" t="s">
        <v>7089</v>
      </c>
      <c r="G378" t="s">
        <v>16</v>
      </c>
      <c r="H378" t="s">
        <v>15</v>
      </c>
      <c r="I378" t="s">
        <v>5943</v>
      </c>
      <c r="J378">
        <v>60029428</v>
      </c>
      <c r="K378" t="s">
        <v>5942</v>
      </c>
      <c r="L378" t="s">
        <v>5941</v>
      </c>
      <c r="M378" t="s">
        <v>25</v>
      </c>
      <c r="N378">
        <v>2</v>
      </c>
      <c r="O378" t="s">
        <v>7088</v>
      </c>
      <c r="P378" t="s">
        <v>7087</v>
      </c>
      <c r="Q378" t="s">
        <v>5938</v>
      </c>
      <c r="R378" s="7">
        <v>33239</v>
      </c>
      <c r="S378" s="8">
        <f t="shared" si="48"/>
        <v>1991</v>
      </c>
      <c r="T378" s="8">
        <v>1991</v>
      </c>
      <c r="U378" s="8">
        <f t="shared" si="49"/>
        <v>31</v>
      </c>
      <c r="V378" s="7">
        <v>33512</v>
      </c>
      <c r="W378" t="s">
        <v>3276</v>
      </c>
      <c r="X378" s="2">
        <v>2.383</v>
      </c>
      <c r="Y378" s="6">
        <f t="shared" si="46"/>
        <v>6.3612824003630442E-2</v>
      </c>
      <c r="AA378">
        <v>189219</v>
      </c>
      <c r="AB378">
        <v>17915</v>
      </c>
      <c r="AC378">
        <v>15582256</v>
      </c>
      <c r="AD378" t="s">
        <v>5</v>
      </c>
      <c r="AE378">
        <v>79</v>
      </c>
      <c r="AF378">
        <v>10</v>
      </c>
      <c r="AH378" t="s">
        <v>7086</v>
      </c>
      <c r="AL378">
        <v>96</v>
      </c>
      <c r="AM378" s="5">
        <f t="shared" si="50"/>
        <v>3.096774193548387</v>
      </c>
      <c r="AN378" s="4">
        <f t="shared" si="47"/>
        <v>4.6903054805730966E-3</v>
      </c>
      <c r="AO378" s="3"/>
      <c r="AP378">
        <v>0</v>
      </c>
      <c r="AR378" t="s">
        <v>0</v>
      </c>
      <c r="AT378" s="2">
        <v>10.961</v>
      </c>
      <c r="AU378" s="1">
        <f t="shared" si="51"/>
        <v>4.5936068446713243</v>
      </c>
      <c r="AV378" s="1">
        <f t="shared" si="52"/>
        <v>3.415156474210177</v>
      </c>
      <c r="AW378" s="1">
        <f t="shared" si="53"/>
        <v>2.2367061037490301</v>
      </c>
    </row>
    <row r="379" spans="1:49" x14ac:dyDescent="0.2">
      <c r="A379">
        <v>377</v>
      </c>
      <c r="B379" t="s">
        <v>7085</v>
      </c>
      <c r="C379" t="s">
        <v>7084</v>
      </c>
      <c r="F379" t="s">
        <v>7083</v>
      </c>
      <c r="G379" t="s">
        <v>16</v>
      </c>
      <c r="H379" t="s">
        <v>15</v>
      </c>
      <c r="I379" t="s">
        <v>5775</v>
      </c>
      <c r="J379">
        <v>60005465</v>
      </c>
      <c r="K379" t="s">
        <v>1642</v>
      </c>
      <c r="L379" t="s">
        <v>1641</v>
      </c>
      <c r="M379" t="s">
        <v>1468</v>
      </c>
      <c r="N379">
        <v>3</v>
      </c>
      <c r="O379" t="s">
        <v>7082</v>
      </c>
      <c r="P379" t="s">
        <v>7081</v>
      </c>
      <c r="Q379" t="s">
        <v>1638</v>
      </c>
      <c r="R379" s="7">
        <v>33239</v>
      </c>
      <c r="S379" s="8">
        <f t="shared" si="48"/>
        <v>1991</v>
      </c>
      <c r="T379" s="8">
        <v>1991</v>
      </c>
      <c r="U379" s="8">
        <f t="shared" si="49"/>
        <v>31</v>
      </c>
      <c r="V379" s="7" t="s">
        <v>7016</v>
      </c>
      <c r="W379" s="11" t="s">
        <v>4011</v>
      </c>
      <c r="X379" s="2">
        <v>2.383</v>
      </c>
      <c r="Y379" s="6">
        <f t="shared" si="46"/>
        <v>6.3612824003630442E-2</v>
      </c>
      <c r="AA379" t="s">
        <v>4010</v>
      </c>
      <c r="AB379">
        <v>96433</v>
      </c>
      <c r="AD379" t="s">
        <v>5</v>
      </c>
      <c r="AE379">
        <v>138</v>
      </c>
      <c r="AF379">
        <v>5</v>
      </c>
      <c r="AH379" t="s">
        <v>3483</v>
      </c>
      <c r="AI379" t="s">
        <v>7080</v>
      </c>
      <c r="AK379" t="s">
        <v>7079</v>
      </c>
      <c r="AL379">
        <v>8</v>
      </c>
      <c r="AM379" s="5">
        <f t="shared" si="50"/>
        <v>0.25806451612903225</v>
      </c>
      <c r="AN379" s="4">
        <f t="shared" si="47"/>
        <v>3.9085879004775807E-4</v>
      </c>
      <c r="AO379" s="3"/>
      <c r="AP379">
        <v>0</v>
      </c>
      <c r="AR379" t="s">
        <v>0</v>
      </c>
      <c r="AT379" s="2" t="s">
        <v>33</v>
      </c>
      <c r="AU379" s="1">
        <f t="shared" si="51"/>
        <v>4.4646234439555634</v>
      </c>
      <c r="AV379" s="1">
        <f t="shared" si="52"/>
        <v>3.2001841396839099</v>
      </c>
      <c r="AW379" s="1">
        <f t="shared" si="53"/>
        <v>1.9357448354122564</v>
      </c>
    </row>
    <row r="380" spans="1:49" x14ac:dyDescent="0.2">
      <c r="A380">
        <v>378</v>
      </c>
      <c r="B380" t="s">
        <v>7078</v>
      </c>
      <c r="C380" t="s">
        <v>7077</v>
      </c>
      <c r="F380" t="s">
        <v>7076</v>
      </c>
      <c r="G380" t="s">
        <v>16</v>
      </c>
      <c r="H380" t="s">
        <v>15</v>
      </c>
      <c r="I380" t="s">
        <v>7075</v>
      </c>
      <c r="J380" t="s">
        <v>7074</v>
      </c>
      <c r="K380" t="s">
        <v>7073</v>
      </c>
      <c r="L380" t="s">
        <v>7072</v>
      </c>
      <c r="M380" t="s">
        <v>4429</v>
      </c>
      <c r="N380">
        <v>3</v>
      </c>
      <c r="O380" t="s">
        <v>7071</v>
      </c>
      <c r="P380" t="s">
        <v>7070</v>
      </c>
      <c r="Q380" t="s">
        <v>7069</v>
      </c>
      <c r="R380" s="7">
        <v>33239</v>
      </c>
      <c r="S380" s="8">
        <f t="shared" si="48"/>
        <v>1991</v>
      </c>
      <c r="T380" s="8">
        <v>1991</v>
      </c>
      <c r="U380" s="8">
        <f t="shared" si="49"/>
        <v>31</v>
      </c>
      <c r="V380" s="7">
        <v>33512</v>
      </c>
      <c r="W380" t="s">
        <v>3276</v>
      </c>
      <c r="X380" s="2">
        <v>2.383</v>
      </c>
      <c r="Y380" s="6">
        <f t="shared" si="46"/>
        <v>6.3612824003630442E-2</v>
      </c>
      <c r="AA380">
        <v>189219</v>
      </c>
      <c r="AB380">
        <v>17915</v>
      </c>
      <c r="AC380">
        <v>15582256</v>
      </c>
      <c r="AD380" t="s">
        <v>5</v>
      </c>
      <c r="AE380">
        <v>79</v>
      </c>
      <c r="AF380">
        <v>10</v>
      </c>
      <c r="AH380" t="s">
        <v>7068</v>
      </c>
      <c r="AI380" t="s">
        <v>7067</v>
      </c>
      <c r="AK380" t="s">
        <v>7066</v>
      </c>
      <c r="AL380">
        <v>22</v>
      </c>
      <c r="AM380" s="5">
        <f t="shared" si="50"/>
        <v>0.70967741935483875</v>
      </c>
      <c r="AN380" s="4">
        <f t="shared" si="47"/>
        <v>1.0748616726313346E-3</v>
      </c>
      <c r="AO380" s="3"/>
      <c r="AP380">
        <v>0</v>
      </c>
      <c r="AQ380" t="s">
        <v>508</v>
      </c>
      <c r="AR380" t="s">
        <v>7065</v>
      </c>
      <c r="AS380" t="s">
        <v>507</v>
      </c>
      <c r="AT380" s="2">
        <v>10.961</v>
      </c>
      <c r="AU380" s="1">
        <f t="shared" si="51"/>
        <v>4.4851435304330707</v>
      </c>
      <c r="AV380" s="1">
        <f t="shared" si="52"/>
        <v>3.234384283813089</v>
      </c>
      <c r="AW380" s="1">
        <f t="shared" si="53"/>
        <v>1.9836250371931066</v>
      </c>
    </row>
    <row r="381" spans="1:49" x14ac:dyDescent="0.2">
      <c r="A381">
        <v>379</v>
      </c>
      <c r="B381" t="s">
        <v>7064</v>
      </c>
      <c r="C381" t="s">
        <v>7063</v>
      </c>
      <c r="F381" t="s">
        <v>7062</v>
      </c>
      <c r="G381" t="s">
        <v>16</v>
      </c>
      <c r="H381" t="s">
        <v>15</v>
      </c>
      <c r="I381" t="s">
        <v>7061</v>
      </c>
      <c r="J381">
        <v>60025555</v>
      </c>
      <c r="K381" t="s">
        <v>2786</v>
      </c>
      <c r="L381" t="s">
        <v>327</v>
      </c>
      <c r="M381" t="s">
        <v>326</v>
      </c>
      <c r="N381">
        <v>3</v>
      </c>
      <c r="O381" t="s">
        <v>7060</v>
      </c>
      <c r="P381" t="s">
        <v>7059</v>
      </c>
      <c r="Q381" t="s">
        <v>5632</v>
      </c>
      <c r="R381" s="7">
        <v>33239</v>
      </c>
      <c r="S381" s="8">
        <f t="shared" si="48"/>
        <v>1991</v>
      </c>
      <c r="T381" s="8">
        <v>1991</v>
      </c>
      <c r="U381" s="8">
        <f t="shared" si="49"/>
        <v>31</v>
      </c>
      <c r="V381" s="7">
        <v>33512</v>
      </c>
      <c r="W381" t="s">
        <v>2569</v>
      </c>
      <c r="X381" s="2">
        <v>0.111</v>
      </c>
      <c r="Y381" s="6">
        <f t="shared" si="46"/>
        <v>2.9630816048690639E-3</v>
      </c>
      <c r="AA381">
        <v>87566621</v>
      </c>
      <c r="AB381">
        <v>24890</v>
      </c>
      <c r="AC381">
        <v>15206424</v>
      </c>
      <c r="AD381" t="s">
        <v>5</v>
      </c>
      <c r="AE381">
        <v>74</v>
      </c>
      <c r="AF381">
        <v>10</v>
      </c>
      <c r="AH381" t="s">
        <v>7058</v>
      </c>
      <c r="AI381" t="s">
        <v>7057</v>
      </c>
      <c r="AK381" t="s">
        <v>7056</v>
      </c>
      <c r="AL381">
        <v>9</v>
      </c>
      <c r="AM381" s="5">
        <f t="shared" si="50"/>
        <v>0.29032258064516131</v>
      </c>
      <c r="AN381" s="4">
        <f t="shared" si="47"/>
        <v>4.3971613880372783E-4</v>
      </c>
      <c r="AO381" s="3"/>
      <c r="AP381">
        <v>0</v>
      </c>
      <c r="AR381" t="s">
        <v>0</v>
      </c>
      <c r="AT381" s="2" t="s">
        <v>33</v>
      </c>
      <c r="AU381" s="1">
        <f t="shared" si="51"/>
        <v>0.22060719650494626</v>
      </c>
      <c r="AV381" s="1">
        <f t="shared" si="52"/>
        <v>0.17013988718363959</v>
      </c>
      <c r="AW381" s="1">
        <f t="shared" si="53"/>
        <v>0.11967257786233286</v>
      </c>
    </row>
    <row r="382" spans="1:49" x14ac:dyDescent="0.2">
      <c r="A382">
        <v>380</v>
      </c>
      <c r="B382" t="s">
        <v>7055</v>
      </c>
      <c r="C382" t="s">
        <v>7054</v>
      </c>
      <c r="F382" t="s">
        <v>7053</v>
      </c>
      <c r="G382" t="s">
        <v>16</v>
      </c>
      <c r="H382" t="s">
        <v>15</v>
      </c>
      <c r="I382" t="s">
        <v>6185</v>
      </c>
      <c r="J382">
        <v>60013141</v>
      </c>
      <c r="K382" t="s">
        <v>7052</v>
      </c>
      <c r="L382" t="s">
        <v>5510</v>
      </c>
      <c r="M382" t="s">
        <v>5509</v>
      </c>
      <c r="N382">
        <v>2</v>
      </c>
      <c r="O382" t="s">
        <v>7051</v>
      </c>
      <c r="P382" t="s">
        <v>7050</v>
      </c>
      <c r="Q382" t="s">
        <v>7049</v>
      </c>
      <c r="R382" s="7">
        <v>33239</v>
      </c>
      <c r="S382" s="8">
        <f t="shared" si="48"/>
        <v>1991</v>
      </c>
      <c r="T382" s="8">
        <v>1991</v>
      </c>
      <c r="U382" s="8">
        <f t="shared" si="49"/>
        <v>31</v>
      </c>
      <c r="V382" s="7" t="s">
        <v>7016</v>
      </c>
      <c r="W382" s="11" t="s">
        <v>2635</v>
      </c>
      <c r="X382" s="2">
        <v>2.383</v>
      </c>
      <c r="Y382" s="6">
        <f t="shared" si="46"/>
        <v>6.3612824003630442E-2</v>
      </c>
      <c r="AA382" t="s">
        <v>2634</v>
      </c>
      <c r="AB382">
        <v>101151</v>
      </c>
      <c r="AD382" t="s">
        <v>5</v>
      </c>
      <c r="AE382">
        <v>138</v>
      </c>
      <c r="AF382">
        <v>5</v>
      </c>
      <c r="AH382" t="s">
        <v>7048</v>
      </c>
      <c r="AI382" t="s">
        <v>7047</v>
      </c>
      <c r="AK382" t="s">
        <v>7046</v>
      </c>
      <c r="AL382">
        <v>5</v>
      </c>
      <c r="AM382" s="5">
        <f t="shared" si="50"/>
        <v>0.16129032258064516</v>
      </c>
      <c r="AN382" s="4">
        <f t="shared" si="47"/>
        <v>2.4428674377984877E-4</v>
      </c>
      <c r="AO382" s="3"/>
      <c r="AP382">
        <v>0</v>
      </c>
      <c r="AR382" t="s">
        <v>0</v>
      </c>
      <c r="AT382" s="2" t="s">
        <v>33</v>
      </c>
      <c r="AU382" s="1">
        <f t="shared" si="51"/>
        <v>4.4602262825675263</v>
      </c>
      <c r="AV382" s="1">
        <f t="shared" si="52"/>
        <v>3.192855537370515</v>
      </c>
      <c r="AW382" s="1">
        <f t="shared" si="53"/>
        <v>1.9254847921735028</v>
      </c>
    </row>
    <row r="383" spans="1:49" x14ac:dyDescent="0.2">
      <c r="A383">
        <v>381</v>
      </c>
      <c r="B383" t="s">
        <v>7045</v>
      </c>
      <c r="C383" t="s">
        <v>7044</v>
      </c>
      <c r="F383" t="s">
        <v>7043</v>
      </c>
      <c r="G383" t="s">
        <v>16</v>
      </c>
      <c r="H383" t="s">
        <v>15</v>
      </c>
      <c r="I383" t="s">
        <v>7042</v>
      </c>
      <c r="J383">
        <v>60020547</v>
      </c>
      <c r="K383" t="s">
        <v>416</v>
      </c>
      <c r="L383" t="s">
        <v>415</v>
      </c>
      <c r="M383" t="s">
        <v>57</v>
      </c>
      <c r="N383">
        <v>3</v>
      </c>
      <c r="O383" t="s">
        <v>7041</v>
      </c>
      <c r="P383" t="s">
        <v>7040</v>
      </c>
      <c r="Q383" t="s">
        <v>5886</v>
      </c>
      <c r="R383" s="7">
        <v>33239</v>
      </c>
      <c r="S383" s="8">
        <f t="shared" si="48"/>
        <v>1991</v>
      </c>
      <c r="T383" s="8">
        <v>1991</v>
      </c>
      <c r="U383" s="8">
        <f t="shared" si="49"/>
        <v>31</v>
      </c>
      <c r="V383" s="7" t="s">
        <v>7016</v>
      </c>
      <c r="W383" s="11" t="s">
        <v>2635</v>
      </c>
      <c r="X383" s="2">
        <v>2.383</v>
      </c>
      <c r="Y383" s="6">
        <f t="shared" si="46"/>
        <v>6.3612824003630442E-2</v>
      </c>
      <c r="AA383" t="s">
        <v>2634</v>
      </c>
      <c r="AB383">
        <v>101151</v>
      </c>
      <c r="AD383" t="s">
        <v>5</v>
      </c>
      <c r="AE383">
        <v>138</v>
      </c>
      <c r="AF383">
        <v>5</v>
      </c>
      <c r="AH383" t="s">
        <v>7039</v>
      </c>
      <c r="AI383" t="s">
        <v>7038</v>
      </c>
      <c r="AK383" t="s">
        <v>7037</v>
      </c>
      <c r="AL383">
        <v>1</v>
      </c>
      <c r="AM383" s="5">
        <f t="shared" si="50"/>
        <v>3.2258064516129031E-2</v>
      </c>
      <c r="AN383" s="4">
        <f t="shared" si="47"/>
        <v>4.8857348755969758E-5</v>
      </c>
      <c r="AO383" s="3"/>
      <c r="AP383">
        <v>0</v>
      </c>
      <c r="AR383" t="s">
        <v>0</v>
      </c>
      <c r="AT383" s="2" t="s">
        <v>33</v>
      </c>
      <c r="AU383" s="1">
        <f t="shared" si="51"/>
        <v>4.4543634007168098</v>
      </c>
      <c r="AV383" s="1">
        <f t="shared" si="52"/>
        <v>3.1830840676193204</v>
      </c>
      <c r="AW383" s="1">
        <f t="shared" si="53"/>
        <v>1.9118047345218312</v>
      </c>
    </row>
    <row r="384" spans="1:49" x14ac:dyDescent="0.2">
      <c r="A384">
        <v>382</v>
      </c>
      <c r="B384" t="s">
        <v>7036</v>
      </c>
      <c r="C384" t="s">
        <v>7035</v>
      </c>
      <c r="F384" t="s">
        <v>7034</v>
      </c>
      <c r="G384" t="s">
        <v>16</v>
      </c>
      <c r="H384" t="s">
        <v>15</v>
      </c>
      <c r="I384" t="s">
        <v>7033</v>
      </c>
      <c r="J384">
        <v>60028897</v>
      </c>
      <c r="K384" t="s">
        <v>3996</v>
      </c>
      <c r="L384" t="s">
        <v>3995</v>
      </c>
      <c r="M384" t="s">
        <v>1543</v>
      </c>
      <c r="N384">
        <v>3</v>
      </c>
      <c r="O384" t="s">
        <v>7032</v>
      </c>
      <c r="P384" t="s">
        <v>7031</v>
      </c>
      <c r="Q384" t="s">
        <v>7030</v>
      </c>
      <c r="R384" s="7">
        <v>33239</v>
      </c>
      <c r="S384" s="8">
        <f t="shared" si="48"/>
        <v>1991</v>
      </c>
      <c r="T384" s="8">
        <v>1991</v>
      </c>
      <c r="U384" s="8">
        <f t="shared" si="49"/>
        <v>31</v>
      </c>
      <c r="V384" s="7" t="s">
        <v>7016</v>
      </c>
      <c r="W384" t="s">
        <v>7029</v>
      </c>
      <c r="X384" s="2">
        <v>0.46400000000000002</v>
      </c>
      <c r="Y384" s="6">
        <f t="shared" si="46"/>
        <v>1.2386214996930142E-2</v>
      </c>
      <c r="AA384">
        <v>8408688</v>
      </c>
      <c r="AB384">
        <v>26200</v>
      </c>
      <c r="AD384" t="s">
        <v>5</v>
      </c>
      <c r="AE384">
        <v>16</v>
      </c>
      <c r="AF384">
        <v>4</v>
      </c>
      <c r="AH384" t="s">
        <v>7028</v>
      </c>
      <c r="AI384" t="s">
        <v>7027</v>
      </c>
      <c r="AK384" t="s">
        <v>7026</v>
      </c>
      <c r="AL384">
        <v>5</v>
      </c>
      <c r="AM384" s="5">
        <f t="shared" si="50"/>
        <v>0.16129032258064516</v>
      </c>
      <c r="AN384" s="4">
        <f t="shared" si="47"/>
        <v>2.4428674377984877E-4</v>
      </c>
      <c r="AO384" s="3"/>
      <c r="AP384">
        <v>0</v>
      </c>
      <c r="AR384" t="s">
        <v>0</v>
      </c>
      <c r="AT384" s="2" t="s">
        <v>33</v>
      </c>
      <c r="AU384" s="1">
        <f t="shared" si="51"/>
        <v>0.87436365209850542</v>
      </c>
      <c r="AV384" s="1">
        <f t="shared" si="52"/>
        <v>0.63152508703549948</v>
      </c>
      <c r="AW384" s="1">
        <f t="shared" si="53"/>
        <v>0.3886865219724937</v>
      </c>
    </row>
    <row r="385" spans="1:49" x14ac:dyDescent="0.2">
      <c r="A385">
        <v>383</v>
      </c>
      <c r="B385" t="s">
        <v>7025</v>
      </c>
      <c r="C385" t="s">
        <v>7024</v>
      </c>
      <c r="F385" t="s">
        <v>7023</v>
      </c>
      <c r="G385" t="s">
        <v>16</v>
      </c>
      <c r="H385" t="s">
        <v>15</v>
      </c>
      <c r="I385" t="s">
        <v>7022</v>
      </c>
      <c r="J385">
        <v>60002306</v>
      </c>
      <c r="K385" t="s">
        <v>7021</v>
      </c>
      <c r="L385" t="s">
        <v>7020</v>
      </c>
      <c r="M385" t="s">
        <v>1543</v>
      </c>
      <c r="N385">
        <v>3</v>
      </c>
      <c r="O385" t="s">
        <v>7019</v>
      </c>
      <c r="P385" t="s">
        <v>7018</v>
      </c>
      <c r="Q385" t="s">
        <v>7017</v>
      </c>
      <c r="R385" s="7">
        <v>33239</v>
      </c>
      <c r="S385" s="8">
        <f t="shared" si="48"/>
        <v>1991</v>
      </c>
      <c r="T385" s="8">
        <v>1991</v>
      </c>
      <c r="U385" s="8">
        <f t="shared" si="49"/>
        <v>31</v>
      </c>
      <c r="V385" s="7" t="s">
        <v>7016</v>
      </c>
      <c r="W385" s="11" t="s">
        <v>2635</v>
      </c>
      <c r="X385" s="2">
        <v>2.383</v>
      </c>
      <c r="Y385" s="6">
        <f t="shared" si="46"/>
        <v>6.3612824003630442E-2</v>
      </c>
      <c r="AA385" t="s">
        <v>2634</v>
      </c>
      <c r="AB385">
        <v>101151</v>
      </c>
      <c r="AD385" t="s">
        <v>5</v>
      </c>
      <c r="AE385">
        <v>138</v>
      </c>
      <c r="AF385">
        <v>5</v>
      </c>
      <c r="AH385" t="s">
        <v>7015</v>
      </c>
      <c r="AI385" t="s">
        <v>7014</v>
      </c>
      <c r="AK385" t="s">
        <v>7013</v>
      </c>
      <c r="AL385">
        <v>13</v>
      </c>
      <c r="AM385" s="5">
        <f t="shared" si="50"/>
        <v>0.41935483870967744</v>
      </c>
      <c r="AN385" s="4">
        <f t="shared" si="47"/>
        <v>6.3514553382760684E-4</v>
      </c>
      <c r="AO385" s="3"/>
      <c r="AP385">
        <v>0</v>
      </c>
      <c r="AR385" t="s">
        <v>0</v>
      </c>
      <c r="AT385" s="2" t="s">
        <v>33</v>
      </c>
      <c r="AU385" s="1">
        <f t="shared" si="51"/>
        <v>4.4719520462689593</v>
      </c>
      <c r="AV385" s="1">
        <f t="shared" si="52"/>
        <v>3.2123984768729028</v>
      </c>
      <c r="AW385" s="1">
        <f t="shared" si="53"/>
        <v>1.9528449074768459</v>
      </c>
    </row>
    <row r="386" spans="1:49" x14ac:dyDescent="0.2">
      <c r="A386">
        <v>384</v>
      </c>
      <c r="B386" t="s">
        <v>7012</v>
      </c>
      <c r="C386" t="s">
        <v>7011</v>
      </c>
      <c r="D386" t="s">
        <v>7010</v>
      </c>
      <c r="F386" t="s">
        <v>7009</v>
      </c>
      <c r="G386" t="s">
        <v>16</v>
      </c>
      <c r="H386" t="s">
        <v>15</v>
      </c>
      <c r="I386" t="s">
        <v>7008</v>
      </c>
      <c r="J386">
        <v>60028868</v>
      </c>
      <c r="K386" t="s">
        <v>7007</v>
      </c>
      <c r="L386" t="s">
        <v>7006</v>
      </c>
      <c r="M386" t="s">
        <v>341</v>
      </c>
      <c r="N386">
        <v>1</v>
      </c>
      <c r="O386" t="s">
        <v>7005</v>
      </c>
      <c r="P386">
        <v>7202583008</v>
      </c>
      <c r="Q386">
        <v>60028868</v>
      </c>
      <c r="R386" s="7">
        <v>33239</v>
      </c>
      <c r="S386" s="8">
        <f t="shared" si="48"/>
        <v>1991</v>
      </c>
      <c r="T386" s="8">
        <v>1991</v>
      </c>
      <c r="U386" s="8">
        <f t="shared" si="49"/>
        <v>31</v>
      </c>
      <c r="V386" s="7">
        <v>33512</v>
      </c>
      <c r="W386" t="s">
        <v>7004</v>
      </c>
      <c r="X386" s="2">
        <v>1.5669999999999999</v>
      </c>
      <c r="Y386" s="6">
        <f t="shared" ref="Y386:Y449" si="54">(X386-$Z$4)/($Z$3-$Z$4)</f>
        <v>4.1830170043511916E-2</v>
      </c>
      <c r="AA386">
        <v>1410296</v>
      </c>
      <c r="AB386">
        <v>15652</v>
      </c>
      <c r="AD386" t="s">
        <v>5</v>
      </c>
      <c r="AE386">
        <v>13</v>
      </c>
      <c r="AF386">
        <v>4</v>
      </c>
      <c r="AH386" t="s">
        <v>7003</v>
      </c>
      <c r="AI386" t="s">
        <v>7002</v>
      </c>
      <c r="AJ386" t="s">
        <v>7001</v>
      </c>
      <c r="AK386" t="s">
        <v>7000</v>
      </c>
      <c r="AL386">
        <v>4</v>
      </c>
      <c r="AM386" s="5">
        <f t="shared" si="50"/>
        <v>0.12903225806451613</v>
      </c>
      <c r="AN386" s="4">
        <f t="shared" ref="AN386:AN449" si="55">(AM386-$AO$4)/($AO$3-$AO$4)</f>
        <v>1.9542939502387903E-4</v>
      </c>
      <c r="AO386" s="3"/>
      <c r="AP386">
        <v>0</v>
      </c>
      <c r="AR386" t="s">
        <v>0</v>
      </c>
      <c r="AT386" s="2">
        <v>4.4710000000000001</v>
      </c>
      <c r="AU386" s="1">
        <f t="shared" si="51"/>
        <v>2.9339747848965501</v>
      </c>
      <c r="AV386" s="1">
        <f t="shared" si="52"/>
        <v>2.1012799719267896</v>
      </c>
      <c r="AW386" s="1">
        <f t="shared" si="53"/>
        <v>1.2685851589570289</v>
      </c>
    </row>
    <row r="387" spans="1:49" x14ac:dyDescent="0.2">
      <c r="A387">
        <v>385</v>
      </c>
      <c r="B387" t="s">
        <v>6999</v>
      </c>
      <c r="C387" t="s">
        <v>6998</v>
      </c>
      <c r="F387" t="s">
        <v>6997</v>
      </c>
      <c r="G387" t="s">
        <v>16</v>
      </c>
      <c r="H387" t="s">
        <v>15</v>
      </c>
      <c r="I387" t="s">
        <v>6996</v>
      </c>
      <c r="J387" t="s">
        <v>6995</v>
      </c>
      <c r="K387" t="s">
        <v>6994</v>
      </c>
      <c r="L387" t="s">
        <v>6993</v>
      </c>
      <c r="M387" t="s">
        <v>364</v>
      </c>
      <c r="N387">
        <v>2</v>
      </c>
      <c r="O387" t="s">
        <v>6992</v>
      </c>
      <c r="P387" t="s">
        <v>6991</v>
      </c>
      <c r="Q387" t="s">
        <v>6990</v>
      </c>
      <c r="R387" s="7">
        <v>33239</v>
      </c>
      <c r="S387" s="8">
        <f t="shared" si="48"/>
        <v>1991</v>
      </c>
      <c r="T387" s="8">
        <v>1991</v>
      </c>
      <c r="U387" s="8">
        <f t="shared" si="49"/>
        <v>31</v>
      </c>
      <c r="V387" s="7">
        <v>33512</v>
      </c>
      <c r="W387" t="s">
        <v>731</v>
      </c>
      <c r="X387" s="2">
        <v>1.3720000000000001</v>
      </c>
      <c r="Y387" s="6">
        <f t="shared" si="54"/>
        <v>3.662475641333654E-2</v>
      </c>
      <c r="AA387">
        <v>189480</v>
      </c>
      <c r="AB387">
        <v>17366</v>
      </c>
      <c r="AC387">
        <v>15579670</v>
      </c>
      <c r="AD387" t="s">
        <v>5</v>
      </c>
      <c r="AE387">
        <v>39</v>
      </c>
      <c r="AF387">
        <v>10</v>
      </c>
      <c r="AH387" t="s">
        <v>6989</v>
      </c>
      <c r="AI387" t="s">
        <v>6988</v>
      </c>
      <c r="AK387" t="s">
        <v>6987</v>
      </c>
      <c r="AL387">
        <v>0</v>
      </c>
      <c r="AM387" s="5">
        <f t="shared" si="50"/>
        <v>0</v>
      </c>
      <c r="AN387" s="4">
        <f t="shared" si="55"/>
        <v>0</v>
      </c>
      <c r="AO387" s="3"/>
      <c r="AP387">
        <v>0</v>
      </c>
      <c r="AR387" t="s">
        <v>0</v>
      </c>
      <c r="AT387" s="2" t="s">
        <v>33</v>
      </c>
      <c r="AU387" s="1">
        <f t="shared" si="51"/>
        <v>2.5637329489335574</v>
      </c>
      <c r="AV387" s="1">
        <f t="shared" si="52"/>
        <v>1.8312378206668269</v>
      </c>
      <c r="AW387" s="1">
        <f t="shared" si="53"/>
        <v>1.0987426924000963</v>
      </c>
    </row>
    <row r="388" spans="1:49" x14ac:dyDescent="0.2">
      <c r="A388">
        <v>386</v>
      </c>
      <c r="B388" t="s">
        <v>6986</v>
      </c>
      <c r="C388" t="s">
        <v>6985</v>
      </c>
      <c r="F388" t="s">
        <v>6984</v>
      </c>
      <c r="G388" t="s">
        <v>16</v>
      </c>
      <c r="H388" t="s">
        <v>15</v>
      </c>
      <c r="I388" t="s">
        <v>6983</v>
      </c>
      <c r="J388">
        <v>60032179</v>
      </c>
      <c r="K388" t="s">
        <v>4971</v>
      </c>
      <c r="L388" t="s">
        <v>4970</v>
      </c>
      <c r="M388" t="s">
        <v>57</v>
      </c>
      <c r="N388">
        <v>2</v>
      </c>
      <c r="O388" t="s">
        <v>6982</v>
      </c>
      <c r="P388" t="s">
        <v>6981</v>
      </c>
      <c r="Q388" t="s">
        <v>6980</v>
      </c>
      <c r="R388" s="7">
        <v>33239</v>
      </c>
      <c r="S388" s="8">
        <f t="shared" si="48"/>
        <v>1991</v>
      </c>
      <c r="T388" s="8">
        <v>1991</v>
      </c>
      <c r="U388" s="8">
        <f t="shared" si="49"/>
        <v>31</v>
      </c>
      <c r="V388" s="7">
        <v>33512</v>
      </c>
      <c r="W388" t="s">
        <v>2747</v>
      </c>
      <c r="X388" s="2">
        <v>1.6379999999999999</v>
      </c>
      <c r="Y388" s="6">
        <f t="shared" si="54"/>
        <v>4.3725474493473214E-2</v>
      </c>
      <c r="AA388" t="s">
        <v>2746</v>
      </c>
      <c r="AB388">
        <v>17391</v>
      </c>
      <c r="AC388">
        <v>19410476</v>
      </c>
      <c r="AD388" t="s">
        <v>5</v>
      </c>
      <c r="AE388">
        <v>39</v>
      </c>
      <c r="AF388">
        <v>10</v>
      </c>
      <c r="AH388" t="s">
        <v>6979</v>
      </c>
      <c r="AI388" t="s">
        <v>6978</v>
      </c>
      <c r="AK388" t="s">
        <v>6977</v>
      </c>
      <c r="AL388">
        <v>18</v>
      </c>
      <c r="AM388" s="5">
        <f t="shared" si="50"/>
        <v>0.58064516129032262</v>
      </c>
      <c r="AN388" s="4">
        <f t="shared" si="55"/>
        <v>8.7943227760745566E-4</v>
      </c>
      <c r="AO388" s="3"/>
      <c r="AP388">
        <v>0</v>
      </c>
      <c r="AR388" t="s">
        <v>0</v>
      </c>
      <c r="AT388" s="2">
        <v>4.931</v>
      </c>
      <c r="AU388" s="1">
        <f t="shared" si="51"/>
        <v>3.0871661828713486</v>
      </c>
      <c r="AV388" s="1">
        <f t="shared" si="52"/>
        <v>2.2302453385540337</v>
      </c>
      <c r="AW388" s="1">
        <f t="shared" si="53"/>
        <v>1.3733244942367182</v>
      </c>
    </row>
    <row r="389" spans="1:49" x14ac:dyDescent="0.2">
      <c r="A389">
        <v>387</v>
      </c>
      <c r="B389" t="s">
        <v>6976</v>
      </c>
      <c r="C389" t="s">
        <v>6975</v>
      </c>
      <c r="F389" t="s">
        <v>6974</v>
      </c>
      <c r="G389" t="s">
        <v>16</v>
      </c>
      <c r="H389" t="s">
        <v>15</v>
      </c>
      <c r="I389" t="s">
        <v>6973</v>
      </c>
      <c r="J389">
        <v>60029575</v>
      </c>
      <c r="K389" t="s">
        <v>4026</v>
      </c>
      <c r="L389" t="s">
        <v>4025</v>
      </c>
      <c r="M389" t="s">
        <v>57</v>
      </c>
      <c r="N389">
        <v>1</v>
      </c>
      <c r="O389" t="s">
        <v>6972</v>
      </c>
      <c r="P389">
        <v>57198673311</v>
      </c>
      <c r="Q389">
        <v>60029575</v>
      </c>
      <c r="R389" s="7">
        <v>33239</v>
      </c>
      <c r="S389" s="8">
        <f t="shared" si="48"/>
        <v>1991</v>
      </c>
      <c r="T389" s="8">
        <v>1991</v>
      </c>
      <c r="U389" s="8">
        <f t="shared" si="49"/>
        <v>31</v>
      </c>
      <c r="V389" s="7">
        <v>33512</v>
      </c>
      <c r="W389" t="s">
        <v>1807</v>
      </c>
      <c r="X389" s="2">
        <v>1.6519999999999999</v>
      </c>
      <c r="Y389" s="6">
        <f t="shared" si="54"/>
        <v>4.409919649769093E-2</v>
      </c>
      <c r="AA389" t="s">
        <v>1806</v>
      </c>
      <c r="AB389">
        <v>17337</v>
      </c>
      <c r="AC389">
        <v>15582221</v>
      </c>
      <c r="AD389" t="s">
        <v>5</v>
      </c>
      <c r="AE389">
        <v>39</v>
      </c>
      <c r="AF389">
        <v>10</v>
      </c>
      <c r="AH389" t="s">
        <v>6971</v>
      </c>
      <c r="AI389" t="s">
        <v>6970</v>
      </c>
      <c r="AK389" t="s">
        <v>6969</v>
      </c>
      <c r="AL389">
        <v>90</v>
      </c>
      <c r="AM389" s="5">
        <f t="shared" si="50"/>
        <v>2.903225806451613</v>
      </c>
      <c r="AN389" s="4">
        <f t="shared" si="55"/>
        <v>4.3971613880372786E-3</v>
      </c>
      <c r="AO389" s="3"/>
      <c r="AP389">
        <v>0</v>
      </c>
      <c r="AR389" t="s">
        <v>0</v>
      </c>
      <c r="AT389" s="2" t="s">
        <v>33</v>
      </c>
      <c r="AU389" s="1">
        <f t="shared" si="51"/>
        <v>3.2188585964794831</v>
      </c>
      <c r="AV389" s="1">
        <f t="shared" si="52"/>
        <v>2.4248178942864107</v>
      </c>
      <c r="AW389" s="1">
        <f t="shared" si="53"/>
        <v>1.6307771920933374</v>
      </c>
    </row>
    <row r="390" spans="1:49" x14ac:dyDescent="0.2">
      <c r="A390">
        <v>388</v>
      </c>
      <c r="B390" t="s">
        <v>6968</v>
      </c>
      <c r="C390" t="s">
        <v>6967</v>
      </c>
      <c r="D390" t="s">
        <v>6966</v>
      </c>
      <c r="F390" t="s">
        <v>6965</v>
      </c>
      <c r="G390" t="s">
        <v>16</v>
      </c>
      <c r="H390" t="s">
        <v>15</v>
      </c>
      <c r="I390" t="s">
        <v>6964</v>
      </c>
      <c r="J390">
        <v>60085149</v>
      </c>
      <c r="K390" t="s">
        <v>6963</v>
      </c>
      <c r="L390" t="s">
        <v>6962</v>
      </c>
      <c r="M390" t="s">
        <v>25</v>
      </c>
      <c r="N390">
        <v>5</v>
      </c>
      <c r="O390" t="s">
        <v>6961</v>
      </c>
      <c r="P390" t="s">
        <v>6960</v>
      </c>
      <c r="Q390" t="s">
        <v>6959</v>
      </c>
      <c r="R390" s="7">
        <v>33239</v>
      </c>
      <c r="S390" s="8">
        <f t="shared" si="48"/>
        <v>1991</v>
      </c>
      <c r="T390" s="8">
        <v>1991</v>
      </c>
      <c r="U390" s="8">
        <f t="shared" si="49"/>
        <v>31</v>
      </c>
      <c r="V390" s="7">
        <v>33512</v>
      </c>
      <c r="W390" t="s">
        <v>6958</v>
      </c>
      <c r="X390" s="2">
        <v>0.55300000000000005</v>
      </c>
      <c r="Y390" s="6">
        <f t="shared" si="54"/>
        <v>1.4762019166599933E-2</v>
      </c>
      <c r="AA390">
        <v>1679317</v>
      </c>
      <c r="AB390">
        <v>26696</v>
      </c>
      <c r="AD390" t="s">
        <v>5</v>
      </c>
      <c r="AE390">
        <v>15</v>
      </c>
      <c r="AF390" s="9">
        <v>44287</v>
      </c>
      <c r="AH390" t="s">
        <v>6957</v>
      </c>
      <c r="AI390" t="s">
        <v>6956</v>
      </c>
      <c r="AK390" t="s">
        <v>6955</v>
      </c>
      <c r="AL390">
        <v>4</v>
      </c>
      <c r="AM390" s="5">
        <f t="shared" si="50"/>
        <v>0.12903225806451613</v>
      </c>
      <c r="AN390" s="4">
        <f t="shared" si="55"/>
        <v>1.9542939502387903E-4</v>
      </c>
      <c r="AO390" s="3"/>
      <c r="AP390">
        <v>0</v>
      </c>
      <c r="AR390" t="s">
        <v>0</v>
      </c>
      <c r="AT390" s="2">
        <v>2.5230000000000001</v>
      </c>
      <c r="AU390" s="1">
        <f t="shared" si="51"/>
        <v>1.0392042235127115</v>
      </c>
      <c r="AV390" s="1">
        <f t="shared" si="52"/>
        <v>0.74787242808119059</v>
      </c>
      <c r="AW390" s="1">
        <f t="shared" si="53"/>
        <v>0.45654063264966954</v>
      </c>
    </row>
    <row r="391" spans="1:49" x14ac:dyDescent="0.2">
      <c r="A391">
        <v>389</v>
      </c>
      <c r="B391" t="s">
        <v>6954</v>
      </c>
      <c r="C391" t="s">
        <v>6953</v>
      </c>
      <c r="D391" t="s">
        <v>6952</v>
      </c>
      <c r="F391" t="s">
        <v>6951</v>
      </c>
      <c r="G391" t="s">
        <v>16</v>
      </c>
      <c r="H391" t="s">
        <v>15</v>
      </c>
      <c r="I391" t="s">
        <v>6950</v>
      </c>
      <c r="J391" t="s">
        <v>6949</v>
      </c>
      <c r="K391" t="s">
        <v>6948</v>
      </c>
      <c r="L391" t="s">
        <v>6947</v>
      </c>
      <c r="M391" t="s">
        <v>6946</v>
      </c>
      <c r="N391">
        <v>6</v>
      </c>
      <c r="O391" t="s">
        <v>6945</v>
      </c>
      <c r="P391" t="s">
        <v>6944</v>
      </c>
      <c r="Q391" t="s">
        <v>6943</v>
      </c>
      <c r="R391" s="7">
        <v>33239</v>
      </c>
      <c r="S391" s="8">
        <f t="shared" si="48"/>
        <v>1991</v>
      </c>
      <c r="T391" s="8">
        <v>1991</v>
      </c>
      <c r="U391" s="8">
        <f t="shared" si="49"/>
        <v>31</v>
      </c>
      <c r="V391" s="7">
        <v>33512</v>
      </c>
      <c r="W391" t="s">
        <v>3813</v>
      </c>
      <c r="X391" s="2">
        <v>0.66900000000000004</v>
      </c>
      <c r="Y391" s="6">
        <f t="shared" si="54"/>
        <v>1.7858572915832469E-2</v>
      </c>
      <c r="AA391">
        <v>112275</v>
      </c>
      <c r="AB391">
        <v>13713</v>
      </c>
      <c r="AD391" t="s">
        <v>5</v>
      </c>
      <c r="AE391">
        <v>31</v>
      </c>
      <c r="AF391">
        <v>10</v>
      </c>
      <c r="AH391" t="s">
        <v>6942</v>
      </c>
      <c r="AI391" t="s">
        <v>6941</v>
      </c>
      <c r="AJ391" t="s">
        <v>6940</v>
      </c>
      <c r="AK391" t="s">
        <v>6939</v>
      </c>
      <c r="AL391">
        <v>0</v>
      </c>
      <c r="AM391" s="5">
        <f t="shared" si="50"/>
        <v>0</v>
      </c>
      <c r="AN391" s="4">
        <f t="shared" si="55"/>
        <v>0</v>
      </c>
      <c r="AO391" s="3"/>
      <c r="AP391">
        <v>0</v>
      </c>
      <c r="AR391" t="s">
        <v>0</v>
      </c>
      <c r="AT391" s="2">
        <v>2.226</v>
      </c>
      <c r="AU391" s="1">
        <f t="shared" si="51"/>
        <v>1.2501001041082727</v>
      </c>
      <c r="AV391" s="1">
        <f t="shared" si="52"/>
        <v>0.89292864579162345</v>
      </c>
      <c r="AW391" s="1">
        <f t="shared" si="53"/>
        <v>0.53575718747497403</v>
      </c>
    </row>
    <row r="392" spans="1:49" x14ac:dyDescent="0.2">
      <c r="A392">
        <v>390</v>
      </c>
      <c r="B392" t="s">
        <v>6938</v>
      </c>
      <c r="C392" t="s">
        <v>6937</v>
      </c>
      <c r="F392" t="s">
        <v>6936</v>
      </c>
      <c r="G392" t="s">
        <v>16</v>
      </c>
      <c r="H392" t="s">
        <v>15</v>
      </c>
      <c r="I392" t="s">
        <v>6935</v>
      </c>
      <c r="J392">
        <v>60019106</v>
      </c>
      <c r="K392" t="s">
        <v>6934</v>
      </c>
      <c r="L392" t="s">
        <v>6933</v>
      </c>
      <c r="M392" t="s">
        <v>1207</v>
      </c>
      <c r="N392">
        <v>3</v>
      </c>
      <c r="O392" t="s">
        <v>6932</v>
      </c>
      <c r="P392" t="s">
        <v>6931</v>
      </c>
      <c r="Q392" t="s">
        <v>6930</v>
      </c>
      <c r="R392" s="7">
        <v>33239</v>
      </c>
      <c r="S392" s="8">
        <f t="shared" si="48"/>
        <v>1991</v>
      </c>
      <c r="T392" s="8">
        <v>1991</v>
      </c>
      <c r="U392" s="8">
        <f t="shared" si="49"/>
        <v>31</v>
      </c>
      <c r="V392" s="7">
        <v>33512</v>
      </c>
      <c r="W392" t="s">
        <v>3695</v>
      </c>
      <c r="X392" s="2">
        <v>0.251</v>
      </c>
      <c r="Y392" s="6">
        <f t="shared" si="54"/>
        <v>6.7003016470462617E-3</v>
      </c>
      <c r="AA392">
        <v>207217</v>
      </c>
      <c r="AB392">
        <v>26145</v>
      </c>
      <c r="AC392">
        <v>13623060</v>
      </c>
      <c r="AD392" t="s">
        <v>5</v>
      </c>
      <c r="AE392">
        <v>71</v>
      </c>
      <c r="AF392">
        <v>4</v>
      </c>
      <c r="AH392" t="s">
        <v>6929</v>
      </c>
      <c r="AI392" t="s">
        <v>6928</v>
      </c>
      <c r="AK392" t="s">
        <v>6927</v>
      </c>
      <c r="AL392">
        <v>4</v>
      </c>
      <c r="AM392" s="5">
        <f t="shared" si="50"/>
        <v>0.12903225806451613</v>
      </c>
      <c r="AN392" s="4">
        <f t="shared" si="55"/>
        <v>1.9542939502387903E-4</v>
      </c>
      <c r="AO392" s="3"/>
      <c r="AP392">
        <v>0</v>
      </c>
      <c r="AR392" t="s">
        <v>0</v>
      </c>
      <c r="AT392" s="2">
        <v>1.3360000000000001</v>
      </c>
      <c r="AU392" s="1">
        <f t="shared" si="51"/>
        <v>0.47488399714395463</v>
      </c>
      <c r="AV392" s="1">
        <f t="shared" si="52"/>
        <v>0.344786552103507</v>
      </c>
      <c r="AW392" s="1">
        <f t="shared" si="53"/>
        <v>0.21468910706305935</v>
      </c>
    </row>
    <row r="393" spans="1:49" x14ac:dyDescent="0.2">
      <c r="A393">
        <v>391</v>
      </c>
      <c r="B393" t="s">
        <v>6926</v>
      </c>
      <c r="C393" t="s">
        <v>6925</v>
      </c>
      <c r="F393" t="s">
        <v>6924</v>
      </c>
      <c r="G393" t="s">
        <v>16</v>
      </c>
      <c r="H393" t="s">
        <v>15</v>
      </c>
      <c r="I393" t="s">
        <v>6923</v>
      </c>
      <c r="J393">
        <v>115993634</v>
      </c>
      <c r="K393" t="s">
        <v>6922</v>
      </c>
      <c r="M393" t="s">
        <v>57</v>
      </c>
      <c r="N393">
        <v>2</v>
      </c>
      <c r="O393" t="s">
        <v>6921</v>
      </c>
      <c r="P393" t="s">
        <v>6920</v>
      </c>
      <c r="Q393" t="s">
        <v>6919</v>
      </c>
      <c r="R393" s="7">
        <v>33239</v>
      </c>
      <c r="S393" s="8">
        <f t="shared" si="48"/>
        <v>1991</v>
      </c>
      <c r="T393" s="8">
        <v>1991</v>
      </c>
      <c r="U393" s="8">
        <f t="shared" si="49"/>
        <v>31</v>
      </c>
      <c r="V393" s="7">
        <v>33512</v>
      </c>
      <c r="W393" t="s">
        <v>4440</v>
      </c>
      <c r="X393" s="2">
        <v>0.94</v>
      </c>
      <c r="Y393" s="6">
        <f t="shared" si="54"/>
        <v>2.5092763140332611E-2</v>
      </c>
      <c r="AA393">
        <v>10518207</v>
      </c>
      <c r="AB393">
        <v>63372</v>
      </c>
      <c r="AD393" t="s">
        <v>5</v>
      </c>
      <c r="AE393">
        <v>1</v>
      </c>
      <c r="AF393">
        <v>10</v>
      </c>
      <c r="AH393" t="s">
        <v>6918</v>
      </c>
      <c r="AI393" t="s">
        <v>6917</v>
      </c>
      <c r="AK393" t="s">
        <v>6916</v>
      </c>
      <c r="AL393">
        <v>4</v>
      </c>
      <c r="AM393" s="5">
        <f t="shared" si="50"/>
        <v>0.12903225806451613</v>
      </c>
      <c r="AN393" s="4">
        <f t="shared" si="55"/>
        <v>1.9542939502387903E-4</v>
      </c>
      <c r="AO393" s="3"/>
      <c r="AP393">
        <v>0</v>
      </c>
      <c r="AR393" t="s">
        <v>0</v>
      </c>
      <c r="AT393" s="2" t="s">
        <v>33</v>
      </c>
      <c r="AU393" s="1">
        <f t="shared" si="51"/>
        <v>1.7623563016739989</v>
      </c>
      <c r="AV393" s="1">
        <f t="shared" si="52"/>
        <v>1.2644096267678244</v>
      </c>
      <c r="AW393" s="1">
        <f t="shared" si="53"/>
        <v>0.76646295186164992</v>
      </c>
    </row>
    <row r="394" spans="1:49" x14ac:dyDescent="0.2">
      <c r="A394">
        <v>392</v>
      </c>
      <c r="B394" t="s">
        <v>6915</v>
      </c>
      <c r="C394" t="s">
        <v>6914</v>
      </c>
      <c r="F394" t="s">
        <v>6913</v>
      </c>
      <c r="G394" t="s">
        <v>16</v>
      </c>
      <c r="H394" t="s">
        <v>15</v>
      </c>
      <c r="I394" t="s">
        <v>6912</v>
      </c>
      <c r="J394">
        <v>60014256</v>
      </c>
      <c r="K394" t="s">
        <v>5931</v>
      </c>
      <c r="L394" t="s">
        <v>3012</v>
      </c>
      <c r="M394" t="s">
        <v>326</v>
      </c>
      <c r="N394">
        <v>3</v>
      </c>
      <c r="O394" t="s">
        <v>6911</v>
      </c>
      <c r="P394" t="s">
        <v>6910</v>
      </c>
      <c r="Q394" t="s">
        <v>5928</v>
      </c>
      <c r="R394" s="7">
        <v>33239</v>
      </c>
      <c r="S394" s="8">
        <f t="shared" si="48"/>
        <v>1991</v>
      </c>
      <c r="T394" s="8">
        <v>1991</v>
      </c>
      <c r="U394" s="8">
        <f t="shared" si="49"/>
        <v>31</v>
      </c>
      <c r="V394" s="7">
        <v>33512</v>
      </c>
      <c r="W394" t="s">
        <v>1807</v>
      </c>
      <c r="X394" s="2">
        <v>1.6519999999999999</v>
      </c>
      <c r="Y394" s="6">
        <f t="shared" si="54"/>
        <v>4.409919649769093E-2</v>
      </c>
      <c r="AA394" t="s">
        <v>1806</v>
      </c>
      <c r="AB394">
        <v>17337</v>
      </c>
      <c r="AC394">
        <v>15582221</v>
      </c>
      <c r="AD394" t="s">
        <v>5</v>
      </c>
      <c r="AE394">
        <v>39</v>
      </c>
      <c r="AF394">
        <v>10</v>
      </c>
      <c r="AH394" t="s">
        <v>6909</v>
      </c>
      <c r="AI394" t="s">
        <v>6908</v>
      </c>
      <c r="AK394" t="s">
        <v>6907</v>
      </c>
      <c r="AL394">
        <v>93</v>
      </c>
      <c r="AM394" s="5">
        <f t="shared" si="50"/>
        <v>3</v>
      </c>
      <c r="AN394" s="4">
        <f t="shared" si="55"/>
        <v>4.5437334343051876E-3</v>
      </c>
      <c r="AO394" s="3"/>
      <c r="AP394">
        <v>0</v>
      </c>
      <c r="AR394" t="s">
        <v>0</v>
      </c>
      <c r="AT394" s="2" t="s">
        <v>33</v>
      </c>
      <c r="AU394" s="1">
        <f t="shared" si="51"/>
        <v>3.2232557578675207</v>
      </c>
      <c r="AV394" s="1">
        <f t="shared" si="52"/>
        <v>2.4321464965998061</v>
      </c>
      <c r="AW394" s="1">
        <f t="shared" si="53"/>
        <v>1.641037235332091</v>
      </c>
    </row>
    <row r="395" spans="1:49" x14ac:dyDescent="0.2">
      <c r="A395">
        <v>393</v>
      </c>
      <c r="B395" t="s">
        <v>6906</v>
      </c>
      <c r="C395" t="s">
        <v>6905</v>
      </c>
      <c r="F395" t="s">
        <v>6904</v>
      </c>
      <c r="G395" t="s">
        <v>16</v>
      </c>
      <c r="H395" t="s">
        <v>15</v>
      </c>
      <c r="I395" t="s">
        <v>6903</v>
      </c>
      <c r="J395">
        <v>60011170</v>
      </c>
      <c r="K395" t="s">
        <v>6902</v>
      </c>
      <c r="L395" t="s">
        <v>6901</v>
      </c>
      <c r="M395" t="s">
        <v>173</v>
      </c>
      <c r="N395">
        <v>3</v>
      </c>
      <c r="O395" t="s">
        <v>6900</v>
      </c>
      <c r="P395" t="s">
        <v>6899</v>
      </c>
      <c r="Q395" t="s">
        <v>6898</v>
      </c>
      <c r="R395" s="7">
        <v>33239</v>
      </c>
      <c r="S395" s="8">
        <f t="shared" si="48"/>
        <v>1991</v>
      </c>
      <c r="T395" s="8">
        <v>1991</v>
      </c>
      <c r="U395" s="8">
        <f t="shared" si="49"/>
        <v>31</v>
      </c>
      <c r="V395" s="7">
        <v>33512</v>
      </c>
      <c r="W395" t="s">
        <v>6897</v>
      </c>
      <c r="X395" s="2">
        <v>1.57</v>
      </c>
      <c r="Y395" s="6">
        <f t="shared" si="54"/>
        <v>4.1910253330130008E-2</v>
      </c>
      <c r="AA395">
        <v>8858977</v>
      </c>
      <c r="AB395">
        <v>17370</v>
      </c>
      <c r="AC395">
        <v>19374208</v>
      </c>
      <c r="AD395" t="s">
        <v>5</v>
      </c>
      <c r="AE395">
        <v>6</v>
      </c>
      <c r="AF395">
        <v>4</v>
      </c>
      <c r="AH395" t="s">
        <v>6896</v>
      </c>
      <c r="AI395" t="s">
        <v>6895</v>
      </c>
      <c r="AJ395" t="s">
        <v>6894</v>
      </c>
      <c r="AK395" t="s">
        <v>6893</v>
      </c>
      <c r="AL395">
        <v>6</v>
      </c>
      <c r="AM395" s="5">
        <f t="shared" si="50"/>
        <v>0.19354838709677419</v>
      </c>
      <c r="AN395" s="4">
        <f t="shared" si="55"/>
        <v>2.9314409253581854E-4</v>
      </c>
      <c r="AO395" s="3"/>
      <c r="AP395">
        <v>0</v>
      </c>
      <c r="AR395" t="s">
        <v>0</v>
      </c>
      <c r="AT395" s="2">
        <v>4.1310000000000002</v>
      </c>
      <c r="AU395" s="1">
        <f t="shared" si="51"/>
        <v>2.9425120558851749</v>
      </c>
      <c r="AV395" s="1">
        <f t="shared" si="52"/>
        <v>2.1101698711332917</v>
      </c>
      <c r="AW395" s="1">
        <f t="shared" si="53"/>
        <v>1.2778276863814075</v>
      </c>
    </row>
    <row r="396" spans="1:49" x14ac:dyDescent="0.2">
      <c r="A396">
        <v>394</v>
      </c>
      <c r="B396" t="s">
        <v>6892</v>
      </c>
      <c r="C396" t="s">
        <v>6891</v>
      </c>
      <c r="F396" t="s">
        <v>6890</v>
      </c>
      <c r="G396" t="s">
        <v>16</v>
      </c>
      <c r="H396" t="s">
        <v>15</v>
      </c>
      <c r="I396" t="s">
        <v>6889</v>
      </c>
      <c r="J396">
        <v>60009037</v>
      </c>
      <c r="K396" t="s">
        <v>375</v>
      </c>
      <c r="L396" t="s">
        <v>374</v>
      </c>
      <c r="M396" t="s">
        <v>57</v>
      </c>
      <c r="N396">
        <v>3</v>
      </c>
      <c r="O396" t="s">
        <v>6888</v>
      </c>
      <c r="P396" t="s">
        <v>6887</v>
      </c>
      <c r="Q396" t="s">
        <v>5123</v>
      </c>
      <c r="R396" s="7">
        <v>33239</v>
      </c>
      <c r="S396" s="8">
        <f t="shared" si="48"/>
        <v>1991</v>
      </c>
      <c r="T396" s="8">
        <v>1991</v>
      </c>
      <c r="U396" s="8">
        <f t="shared" si="49"/>
        <v>31</v>
      </c>
      <c r="V396" s="7">
        <v>33512</v>
      </c>
      <c r="W396" t="s">
        <v>1807</v>
      </c>
      <c r="X396" s="2">
        <v>1.6519999999999999</v>
      </c>
      <c r="Y396" s="6">
        <f t="shared" si="54"/>
        <v>4.409919649769093E-2</v>
      </c>
      <c r="AA396" t="s">
        <v>1806</v>
      </c>
      <c r="AB396">
        <v>17337</v>
      </c>
      <c r="AC396">
        <v>15582221</v>
      </c>
      <c r="AD396" t="s">
        <v>5</v>
      </c>
      <c r="AE396">
        <v>39</v>
      </c>
      <c r="AF396">
        <v>10</v>
      </c>
      <c r="AH396" t="s">
        <v>6886</v>
      </c>
      <c r="AI396" t="s">
        <v>6885</v>
      </c>
      <c r="AK396" t="s">
        <v>6884</v>
      </c>
      <c r="AL396">
        <v>8</v>
      </c>
      <c r="AM396" s="5">
        <f t="shared" si="50"/>
        <v>0.25806451612903225</v>
      </c>
      <c r="AN396" s="4">
        <f t="shared" si="55"/>
        <v>3.9085879004775807E-4</v>
      </c>
      <c r="AO396" s="3"/>
      <c r="AP396">
        <v>0</v>
      </c>
      <c r="AR396" t="s">
        <v>0</v>
      </c>
      <c r="AT396" s="2" t="s">
        <v>33</v>
      </c>
      <c r="AU396" s="1">
        <f t="shared" si="51"/>
        <v>3.0986695185397974</v>
      </c>
      <c r="AV396" s="1">
        <f t="shared" si="52"/>
        <v>2.2245027643869344</v>
      </c>
      <c r="AW396" s="1">
        <f t="shared" si="53"/>
        <v>1.3503360102340709</v>
      </c>
    </row>
    <row r="397" spans="1:49" x14ac:dyDescent="0.2">
      <c r="A397">
        <v>395</v>
      </c>
      <c r="B397" t="s">
        <v>6883</v>
      </c>
      <c r="C397" t="s">
        <v>6882</v>
      </c>
      <c r="F397" t="s">
        <v>6881</v>
      </c>
      <c r="G397" t="s">
        <v>16</v>
      </c>
      <c r="H397" t="s">
        <v>15</v>
      </c>
      <c r="I397" t="s">
        <v>6880</v>
      </c>
      <c r="J397">
        <v>60110693</v>
      </c>
      <c r="K397" t="s">
        <v>6879</v>
      </c>
      <c r="L397" t="s">
        <v>6878</v>
      </c>
      <c r="M397" t="s">
        <v>213</v>
      </c>
      <c r="N397">
        <v>2</v>
      </c>
      <c r="O397" t="s">
        <v>6877</v>
      </c>
      <c r="P397" t="s">
        <v>6876</v>
      </c>
      <c r="Q397" t="s">
        <v>6875</v>
      </c>
      <c r="R397" s="7">
        <v>33239</v>
      </c>
      <c r="S397" s="8">
        <f t="shared" si="48"/>
        <v>1991</v>
      </c>
      <c r="T397" s="8">
        <v>1991</v>
      </c>
      <c r="U397" s="8">
        <f t="shared" si="49"/>
        <v>31</v>
      </c>
      <c r="V397" s="7">
        <v>33512</v>
      </c>
      <c r="W397" t="s">
        <v>4440</v>
      </c>
      <c r="X397" s="2">
        <v>0.94</v>
      </c>
      <c r="Y397" s="6">
        <f t="shared" si="54"/>
        <v>2.5092763140332611E-2</v>
      </c>
      <c r="AA397">
        <v>10518207</v>
      </c>
      <c r="AB397">
        <v>63372</v>
      </c>
      <c r="AD397" t="s">
        <v>5</v>
      </c>
      <c r="AE397">
        <v>1</v>
      </c>
      <c r="AF397">
        <v>10</v>
      </c>
      <c r="AH397" t="s">
        <v>6874</v>
      </c>
      <c r="AI397" t="s">
        <v>6873</v>
      </c>
      <c r="AK397" t="s">
        <v>6872</v>
      </c>
      <c r="AL397">
        <v>65</v>
      </c>
      <c r="AM397" s="5">
        <f t="shared" si="50"/>
        <v>2.096774193548387</v>
      </c>
      <c r="AN397" s="4">
        <f t="shared" si="55"/>
        <v>3.1757276691380342E-3</v>
      </c>
      <c r="AO397" s="3"/>
      <c r="AP397">
        <v>0</v>
      </c>
      <c r="AR397" t="s">
        <v>0</v>
      </c>
      <c r="AT397" s="2" t="s">
        <v>33</v>
      </c>
      <c r="AU397" s="1">
        <f t="shared" si="51"/>
        <v>1.8517652498974235</v>
      </c>
      <c r="AV397" s="1">
        <f t="shared" si="52"/>
        <v>1.4134245404735322</v>
      </c>
      <c r="AW397" s="1">
        <f t="shared" si="53"/>
        <v>0.9750838310496408</v>
      </c>
    </row>
    <row r="398" spans="1:49" x14ac:dyDescent="0.2">
      <c r="A398">
        <v>396</v>
      </c>
      <c r="B398" t="s">
        <v>6871</v>
      </c>
      <c r="C398" t="s">
        <v>6870</v>
      </c>
      <c r="F398" t="s">
        <v>6869</v>
      </c>
      <c r="G398" t="s">
        <v>16</v>
      </c>
      <c r="H398" t="s">
        <v>15</v>
      </c>
      <c r="I398" t="s">
        <v>6868</v>
      </c>
      <c r="J398">
        <v>60011373</v>
      </c>
      <c r="K398" t="s">
        <v>6867</v>
      </c>
      <c r="L398" t="s">
        <v>6866</v>
      </c>
      <c r="M398" t="s">
        <v>6865</v>
      </c>
      <c r="N398">
        <v>1</v>
      </c>
      <c r="O398" t="s">
        <v>6864</v>
      </c>
      <c r="P398">
        <v>6701736709</v>
      </c>
      <c r="Q398">
        <v>60011373</v>
      </c>
      <c r="R398" s="7">
        <v>33239</v>
      </c>
      <c r="S398" s="8">
        <f t="shared" si="48"/>
        <v>1991</v>
      </c>
      <c r="T398" s="8">
        <v>1991</v>
      </c>
      <c r="U398" s="8">
        <f t="shared" si="49"/>
        <v>31</v>
      </c>
      <c r="V398" s="7">
        <v>33512</v>
      </c>
      <c r="W398" t="s">
        <v>1807</v>
      </c>
      <c r="X398" s="2">
        <v>1.6519999999999999</v>
      </c>
      <c r="Y398" s="6">
        <f t="shared" si="54"/>
        <v>4.409919649769093E-2</v>
      </c>
      <c r="AA398" t="s">
        <v>1806</v>
      </c>
      <c r="AB398">
        <v>17337</v>
      </c>
      <c r="AC398">
        <v>15582221</v>
      </c>
      <c r="AD398" t="s">
        <v>5</v>
      </c>
      <c r="AE398">
        <v>39</v>
      </c>
      <c r="AF398">
        <v>10</v>
      </c>
      <c r="AH398" t="s">
        <v>6863</v>
      </c>
      <c r="AI398" t="s">
        <v>6862</v>
      </c>
      <c r="AK398" t="s">
        <v>6861</v>
      </c>
      <c r="AL398">
        <v>0</v>
      </c>
      <c r="AM398" s="5">
        <f t="shared" si="50"/>
        <v>0</v>
      </c>
      <c r="AN398" s="4">
        <f t="shared" si="55"/>
        <v>0</v>
      </c>
      <c r="AO398" s="3"/>
      <c r="AP398">
        <v>0</v>
      </c>
      <c r="AR398" t="s">
        <v>0</v>
      </c>
      <c r="AT398" s="2" t="s">
        <v>33</v>
      </c>
      <c r="AU398" s="1">
        <f t="shared" si="51"/>
        <v>3.0869437548383649</v>
      </c>
      <c r="AV398" s="1">
        <f t="shared" si="52"/>
        <v>2.2049598248845466</v>
      </c>
      <c r="AW398" s="1">
        <f t="shared" si="53"/>
        <v>1.3229758949307278</v>
      </c>
    </row>
    <row r="399" spans="1:49" x14ac:dyDescent="0.2">
      <c r="A399">
        <v>397</v>
      </c>
      <c r="B399" t="s">
        <v>6860</v>
      </c>
      <c r="C399" t="s">
        <v>6859</v>
      </c>
      <c r="F399" t="s">
        <v>6858</v>
      </c>
      <c r="G399" t="s">
        <v>16</v>
      </c>
      <c r="H399" t="s">
        <v>15</v>
      </c>
      <c r="I399" t="s">
        <v>6857</v>
      </c>
      <c r="J399" t="s">
        <v>6852</v>
      </c>
      <c r="K399" t="s">
        <v>6856</v>
      </c>
      <c r="L399" t="s">
        <v>6855</v>
      </c>
      <c r="M399" t="s">
        <v>4546</v>
      </c>
      <c r="N399">
        <v>2</v>
      </c>
      <c r="O399" t="s">
        <v>6854</v>
      </c>
      <c r="P399" t="s">
        <v>6853</v>
      </c>
      <c r="Q399" t="s">
        <v>6852</v>
      </c>
      <c r="R399" s="7">
        <v>33239</v>
      </c>
      <c r="S399" s="8">
        <f t="shared" si="48"/>
        <v>1991</v>
      </c>
      <c r="T399" s="8">
        <v>1991</v>
      </c>
      <c r="U399" s="8">
        <f t="shared" si="49"/>
        <v>31</v>
      </c>
      <c r="V399" s="7">
        <v>33512</v>
      </c>
      <c r="W399" t="s">
        <v>1807</v>
      </c>
      <c r="X399" s="2">
        <v>1.6519999999999999</v>
      </c>
      <c r="Y399" s="6">
        <f t="shared" si="54"/>
        <v>4.409919649769093E-2</v>
      </c>
      <c r="AA399" t="s">
        <v>1806</v>
      </c>
      <c r="AB399">
        <v>17337</v>
      </c>
      <c r="AC399">
        <v>15582221</v>
      </c>
      <c r="AD399" t="s">
        <v>5</v>
      </c>
      <c r="AE399">
        <v>39</v>
      </c>
      <c r="AF399">
        <v>10</v>
      </c>
      <c r="AH399" t="s">
        <v>251</v>
      </c>
      <c r="AI399" t="s">
        <v>6851</v>
      </c>
      <c r="AK399" t="s">
        <v>6850</v>
      </c>
      <c r="AL399">
        <v>6</v>
      </c>
      <c r="AM399" s="5">
        <f t="shared" si="50"/>
        <v>0.19354838709677419</v>
      </c>
      <c r="AN399" s="4">
        <f t="shared" si="55"/>
        <v>2.9314409253581854E-4</v>
      </c>
      <c r="AO399" s="3"/>
      <c r="AP399">
        <v>0</v>
      </c>
      <c r="AR399" t="s">
        <v>0</v>
      </c>
      <c r="AT399" s="2" t="s">
        <v>33</v>
      </c>
      <c r="AU399" s="1">
        <f t="shared" si="51"/>
        <v>3.0957380776144396</v>
      </c>
      <c r="AV399" s="1">
        <f t="shared" si="52"/>
        <v>2.2196170295113378</v>
      </c>
      <c r="AW399" s="1">
        <f t="shared" si="53"/>
        <v>1.3434959814082352</v>
      </c>
    </row>
    <row r="400" spans="1:49" x14ac:dyDescent="0.2">
      <c r="A400">
        <v>398</v>
      </c>
      <c r="B400" t="s">
        <v>6849</v>
      </c>
      <c r="C400" t="s">
        <v>6848</v>
      </c>
      <c r="F400" t="s">
        <v>6847</v>
      </c>
      <c r="G400" t="s">
        <v>16</v>
      </c>
      <c r="H400" t="s">
        <v>15</v>
      </c>
      <c r="I400" t="s">
        <v>6320</v>
      </c>
      <c r="J400" t="s">
        <v>6844</v>
      </c>
      <c r="K400" t="s">
        <v>6846</v>
      </c>
      <c r="L400" t="s">
        <v>6845</v>
      </c>
      <c r="M400" t="s">
        <v>133</v>
      </c>
      <c r="N400">
        <v>2</v>
      </c>
      <c r="O400" t="s">
        <v>6319</v>
      </c>
      <c r="P400" t="s">
        <v>6318</v>
      </c>
      <c r="Q400" t="s">
        <v>6844</v>
      </c>
      <c r="R400" s="7">
        <v>33239</v>
      </c>
      <c r="S400" s="8">
        <f t="shared" si="48"/>
        <v>1991</v>
      </c>
      <c r="T400" s="8">
        <v>1991</v>
      </c>
      <c r="U400" s="8">
        <f t="shared" si="49"/>
        <v>31</v>
      </c>
      <c r="V400" s="7">
        <v>33512</v>
      </c>
      <c r="W400" t="s">
        <v>1807</v>
      </c>
      <c r="X400" s="2">
        <v>1.6519999999999999</v>
      </c>
      <c r="Y400" s="6">
        <f t="shared" si="54"/>
        <v>4.409919649769093E-2</v>
      </c>
      <c r="AA400" t="s">
        <v>1806</v>
      </c>
      <c r="AB400">
        <v>17337</v>
      </c>
      <c r="AC400">
        <v>15582221</v>
      </c>
      <c r="AD400" t="s">
        <v>5</v>
      </c>
      <c r="AE400">
        <v>39</v>
      </c>
      <c r="AF400">
        <v>10</v>
      </c>
      <c r="AH400" t="s">
        <v>6843</v>
      </c>
      <c r="AI400" t="s">
        <v>6842</v>
      </c>
      <c r="AK400" t="s">
        <v>6841</v>
      </c>
      <c r="AL400">
        <v>42</v>
      </c>
      <c r="AM400" s="5">
        <f t="shared" si="50"/>
        <v>1.3548387096774193</v>
      </c>
      <c r="AN400" s="4">
        <f t="shared" si="55"/>
        <v>2.0520086477507295E-3</v>
      </c>
      <c r="AO400" s="3"/>
      <c r="AP400">
        <v>0</v>
      </c>
      <c r="AR400" t="s">
        <v>0</v>
      </c>
      <c r="AT400" s="2" t="s">
        <v>33</v>
      </c>
      <c r="AU400" s="1">
        <f t="shared" si="51"/>
        <v>3.1485040142708871</v>
      </c>
      <c r="AV400" s="1">
        <f t="shared" si="52"/>
        <v>2.3075602572720828</v>
      </c>
      <c r="AW400" s="1">
        <f t="shared" si="53"/>
        <v>1.4666165002732787</v>
      </c>
    </row>
    <row r="401" spans="1:49" x14ac:dyDescent="0.2">
      <c r="A401">
        <v>399</v>
      </c>
      <c r="B401" t="s">
        <v>6840</v>
      </c>
      <c r="C401" t="s">
        <v>6839</v>
      </c>
      <c r="F401" t="s">
        <v>6838</v>
      </c>
      <c r="G401" t="s">
        <v>16</v>
      </c>
      <c r="H401" t="s">
        <v>15</v>
      </c>
      <c r="I401" t="s">
        <v>6837</v>
      </c>
      <c r="J401">
        <v>60024324</v>
      </c>
      <c r="K401" t="s">
        <v>6836</v>
      </c>
      <c r="L401" t="s">
        <v>6835</v>
      </c>
      <c r="M401" t="s">
        <v>57</v>
      </c>
      <c r="N401">
        <v>1</v>
      </c>
      <c r="O401" t="s">
        <v>6834</v>
      </c>
      <c r="P401">
        <v>7006243174</v>
      </c>
      <c r="Q401">
        <v>60024324</v>
      </c>
      <c r="R401" s="7">
        <v>33239</v>
      </c>
      <c r="S401" s="8">
        <f t="shared" si="48"/>
        <v>1991</v>
      </c>
      <c r="T401" s="8">
        <v>1991</v>
      </c>
      <c r="U401" s="8">
        <f t="shared" si="49"/>
        <v>31</v>
      </c>
      <c r="V401" s="7">
        <v>33512</v>
      </c>
      <c r="W401" t="s">
        <v>561</v>
      </c>
      <c r="X401" s="2">
        <v>0.30399999999999999</v>
      </c>
      <c r="Y401" s="6">
        <f t="shared" si="54"/>
        <v>8.115106377299057E-3</v>
      </c>
      <c r="AA401">
        <v>8952477</v>
      </c>
      <c r="AB401">
        <v>12250</v>
      </c>
      <c r="AC401">
        <v>10982760</v>
      </c>
      <c r="AD401" t="s">
        <v>5</v>
      </c>
      <c r="AE401">
        <v>4</v>
      </c>
      <c r="AF401">
        <v>11</v>
      </c>
      <c r="AH401" t="s">
        <v>6833</v>
      </c>
      <c r="AI401" t="s">
        <v>6832</v>
      </c>
      <c r="AJ401" t="s">
        <v>6831</v>
      </c>
      <c r="AK401" t="s">
        <v>6830</v>
      </c>
      <c r="AL401">
        <v>5</v>
      </c>
      <c r="AM401" s="5">
        <f t="shared" si="50"/>
        <v>0.16129032258064516</v>
      </c>
      <c r="AN401" s="4">
        <f t="shared" si="55"/>
        <v>2.4428674377984877E-4</v>
      </c>
      <c r="AO401" s="3"/>
      <c r="AP401">
        <v>0</v>
      </c>
      <c r="AR401" t="s">
        <v>0</v>
      </c>
      <c r="AT401" s="2" t="s">
        <v>33</v>
      </c>
      <c r="AU401" s="1">
        <f t="shared" si="51"/>
        <v>0.57538604872432941</v>
      </c>
      <c r="AV401" s="1">
        <f t="shared" si="52"/>
        <v>0.41796965605394526</v>
      </c>
      <c r="AW401" s="1">
        <f t="shared" si="53"/>
        <v>0.26055326338356116</v>
      </c>
    </row>
    <row r="402" spans="1:49" x14ac:dyDescent="0.2">
      <c r="A402">
        <v>400</v>
      </c>
      <c r="B402" t="s">
        <v>6829</v>
      </c>
      <c r="C402" t="s">
        <v>6828</v>
      </c>
      <c r="F402" t="s">
        <v>6827</v>
      </c>
      <c r="G402" t="s">
        <v>16</v>
      </c>
      <c r="H402" t="s">
        <v>15</v>
      </c>
      <c r="I402" t="s">
        <v>2739</v>
      </c>
      <c r="J402">
        <v>60015573</v>
      </c>
      <c r="K402" t="s">
        <v>4796</v>
      </c>
      <c r="L402" t="s">
        <v>4795</v>
      </c>
      <c r="M402" t="s">
        <v>57</v>
      </c>
      <c r="N402">
        <v>2</v>
      </c>
      <c r="O402" t="s">
        <v>6826</v>
      </c>
      <c r="P402" t="s">
        <v>6825</v>
      </c>
      <c r="Q402" t="s">
        <v>4792</v>
      </c>
      <c r="R402" s="7">
        <v>33239</v>
      </c>
      <c r="S402" s="8">
        <f t="shared" si="48"/>
        <v>1991</v>
      </c>
      <c r="T402" s="8">
        <v>1991</v>
      </c>
      <c r="U402" s="8">
        <f t="shared" si="49"/>
        <v>31</v>
      </c>
      <c r="V402" s="7">
        <v>33512</v>
      </c>
      <c r="W402" t="s">
        <v>1807</v>
      </c>
      <c r="X402" s="2">
        <v>1.6519999999999999</v>
      </c>
      <c r="Y402" s="6">
        <f t="shared" si="54"/>
        <v>4.409919649769093E-2</v>
      </c>
      <c r="AA402" t="s">
        <v>1806</v>
      </c>
      <c r="AB402">
        <v>17337</v>
      </c>
      <c r="AC402">
        <v>15582221</v>
      </c>
      <c r="AD402" t="s">
        <v>5</v>
      </c>
      <c r="AE402">
        <v>39</v>
      </c>
      <c r="AF402">
        <v>10</v>
      </c>
      <c r="AH402" t="s">
        <v>6824</v>
      </c>
      <c r="AI402" t="s">
        <v>6823</v>
      </c>
      <c r="AK402" t="s">
        <v>6822</v>
      </c>
      <c r="AL402">
        <v>22</v>
      </c>
      <c r="AM402" s="5">
        <f t="shared" si="50"/>
        <v>0.70967741935483875</v>
      </c>
      <c r="AN402" s="4">
        <f t="shared" si="55"/>
        <v>1.0748616726313346E-3</v>
      </c>
      <c r="AO402" s="3"/>
      <c r="AP402">
        <v>0</v>
      </c>
      <c r="AR402" t="s">
        <v>0</v>
      </c>
      <c r="AT402" s="2" t="s">
        <v>33</v>
      </c>
      <c r="AU402" s="1">
        <f t="shared" si="51"/>
        <v>3.1191896050173051</v>
      </c>
      <c r="AV402" s="1">
        <f t="shared" si="52"/>
        <v>2.2587029085161134</v>
      </c>
      <c r="AW402" s="1">
        <f t="shared" si="53"/>
        <v>1.3982162120149213</v>
      </c>
    </row>
    <row r="403" spans="1:49" x14ac:dyDescent="0.2">
      <c r="A403">
        <v>401</v>
      </c>
      <c r="B403" t="s">
        <v>6821</v>
      </c>
      <c r="C403" t="s">
        <v>6820</v>
      </c>
      <c r="E403">
        <v>1743741</v>
      </c>
      <c r="F403" t="s">
        <v>6819</v>
      </c>
      <c r="G403" t="s">
        <v>16</v>
      </c>
      <c r="H403" t="s">
        <v>15</v>
      </c>
      <c r="I403" t="s">
        <v>2202</v>
      </c>
      <c r="J403" t="s">
        <v>2201</v>
      </c>
      <c r="K403" t="s">
        <v>2200</v>
      </c>
      <c r="L403" t="s">
        <v>2199</v>
      </c>
      <c r="M403" t="s">
        <v>1678</v>
      </c>
      <c r="N403">
        <v>4</v>
      </c>
      <c r="O403" t="s">
        <v>6818</v>
      </c>
      <c r="P403" t="s">
        <v>6817</v>
      </c>
      <c r="Q403" t="s">
        <v>6816</v>
      </c>
      <c r="R403" s="7">
        <v>33239</v>
      </c>
      <c r="S403" s="8">
        <f t="shared" si="48"/>
        <v>1991</v>
      </c>
      <c r="T403" s="8">
        <v>1991</v>
      </c>
      <c r="U403" s="8">
        <f t="shared" si="49"/>
        <v>31</v>
      </c>
      <c r="V403" s="7">
        <v>33482</v>
      </c>
      <c r="W403" t="s">
        <v>2188</v>
      </c>
      <c r="X403" s="2">
        <v>1.1479999999999999</v>
      </c>
      <c r="Y403" s="6">
        <f t="shared" si="54"/>
        <v>3.0645204345853019E-2</v>
      </c>
      <c r="AA403">
        <v>189294</v>
      </c>
      <c r="AB403">
        <v>16318</v>
      </c>
      <c r="AC403">
        <v>15582531</v>
      </c>
      <c r="AD403" t="s">
        <v>5</v>
      </c>
      <c r="AE403">
        <v>38</v>
      </c>
      <c r="AF403">
        <v>9</v>
      </c>
      <c r="AH403" t="s">
        <v>6815</v>
      </c>
      <c r="AI403" t="s">
        <v>6814</v>
      </c>
      <c r="AK403" t="s">
        <v>6813</v>
      </c>
      <c r="AL403">
        <v>4</v>
      </c>
      <c r="AM403" s="5">
        <f t="shared" si="50"/>
        <v>0.12903225806451613</v>
      </c>
      <c r="AN403" s="4">
        <f t="shared" si="55"/>
        <v>1.9542939502387903E-4</v>
      </c>
      <c r="AO403" s="3"/>
      <c r="AP403">
        <v>0</v>
      </c>
      <c r="AR403" t="s">
        <v>0</v>
      </c>
      <c r="AT403" s="2" t="s">
        <v>33</v>
      </c>
      <c r="AU403" s="1">
        <f t="shared" si="51"/>
        <v>2.1510271860604275</v>
      </c>
      <c r="AV403" s="1">
        <f t="shared" si="52"/>
        <v>1.5420316870438449</v>
      </c>
      <c r="AW403" s="1">
        <f t="shared" si="53"/>
        <v>0.93303618802726207</v>
      </c>
    </row>
    <row r="404" spans="1:49" x14ac:dyDescent="0.2">
      <c r="A404">
        <v>402</v>
      </c>
      <c r="B404" t="s">
        <v>6812</v>
      </c>
      <c r="C404" t="s">
        <v>6811</v>
      </c>
      <c r="E404">
        <v>1743734</v>
      </c>
      <c r="F404" t="s">
        <v>6810</v>
      </c>
      <c r="G404" t="s">
        <v>16</v>
      </c>
      <c r="H404" t="s">
        <v>15</v>
      </c>
      <c r="I404" t="s">
        <v>6809</v>
      </c>
      <c r="J404">
        <v>60025488</v>
      </c>
      <c r="K404" t="s">
        <v>6808</v>
      </c>
      <c r="L404" t="s">
        <v>6807</v>
      </c>
      <c r="M404" t="s">
        <v>57</v>
      </c>
      <c r="N404">
        <v>3</v>
      </c>
      <c r="O404" t="s">
        <v>6806</v>
      </c>
      <c r="P404" t="s">
        <v>6805</v>
      </c>
      <c r="Q404" t="s">
        <v>6804</v>
      </c>
      <c r="R404" s="7">
        <v>33239</v>
      </c>
      <c r="S404" s="8">
        <f t="shared" si="48"/>
        <v>1991</v>
      </c>
      <c r="T404" s="8">
        <v>1991</v>
      </c>
      <c r="U404" s="8">
        <f t="shared" si="49"/>
        <v>31</v>
      </c>
      <c r="V404" s="7">
        <v>33482</v>
      </c>
      <c r="W404" t="s">
        <v>2188</v>
      </c>
      <c r="X404" s="2">
        <v>1.1479999999999999</v>
      </c>
      <c r="Y404" s="6">
        <f t="shared" si="54"/>
        <v>3.0645204345853019E-2</v>
      </c>
      <c r="AA404">
        <v>189294</v>
      </c>
      <c r="AB404">
        <v>16318</v>
      </c>
      <c r="AC404">
        <v>15582531</v>
      </c>
      <c r="AD404" t="s">
        <v>5</v>
      </c>
      <c r="AE404">
        <v>38</v>
      </c>
      <c r="AF404">
        <v>9</v>
      </c>
      <c r="AH404" t="s">
        <v>6803</v>
      </c>
      <c r="AI404" t="s">
        <v>6802</v>
      </c>
      <c r="AK404" t="s">
        <v>6801</v>
      </c>
      <c r="AL404">
        <v>17</v>
      </c>
      <c r="AM404" s="5">
        <f t="shared" si="50"/>
        <v>0.54838709677419351</v>
      </c>
      <c r="AN404" s="4">
        <f t="shared" si="55"/>
        <v>8.3057492885148579E-4</v>
      </c>
      <c r="AO404" s="3"/>
      <c r="AP404">
        <v>0</v>
      </c>
      <c r="AQ404" t="s">
        <v>1129</v>
      </c>
      <c r="AR404" t="s">
        <v>6800</v>
      </c>
      <c r="AS404" t="s">
        <v>1127</v>
      </c>
      <c r="AT404" s="2" t="s">
        <v>33</v>
      </c>
      <c r="AU404" s="1">
        <f t="shared" si="51"/>
        <v>2.1700815520752559</v>
      </c>
      <c r="AV404" s="1">
        <f t="shared" si="52"/>
        <v>1.5737889637352251</v>
      </c>
      <c r="AW404" s="1">
        <f t="shared" si="53"/>
        <v>0.97749637539519452</v>
      </c>
    </row>
    <row r="405" spans="1:49" x14ac:dyDescent="0.2">
      <c r="A405">
        <v>403</v>
      </c>
      <c r="B405" t="s">
        <v>6799</v>
      </c>
      <c r="C405" t="s">
        <v>6798</v>
      </c>
      <c r="F405" t="s">
        <v>6797</v>
      </c>
      <c r="G405" t="s">
        <v>16</v>
      </c>
      <c r="H405" t="s">
        <v>15</v>
      </c>
      <c r="I405" t="s">
        <v>6796</v>
      </c>
      <c r="J405">
        <v>60006297</v>
      </c>
      <c r="K405" t="s">
        <v>6795</v>
      </c>
      <c r="L405" t="s">
        <v>666</v>
      </c>
      <c r="M405" t="s">
        <v>57</v>
      </c>
      <c r="N405">
        <v>2</v>
      </c>
      <c r="O405" t="s">
        <v>6794</v>
      </c>
      <c r="P405" t="s">
        <v>6793</v>
      </c>
      <c r="Q405" t="s">
        <v>6792</v>
      </c>
      <c r="R405" s="7">
        <v>33239</v>
      </c>
      <c r="S405" s="8">
        <f t="shared" si="48"/>
        <v>1991</v>
      </c>
      <c r="T405" s="8">
        <v>1991</v>
      </c>
      <c r="U405" s="8">
        <f t="shared" si="49"/>
        <v>31</v>
      </c>
      <c r="V405" s="7" t="s">
        <v>6791</v>
      </c>
      <c r="W405" t="s">
        <v>6790</v>
      </c>
      <c r="X405" s="2" t="s">
        <v>33</v>
      </c>
      <c r="Y405" s="6" t="e">
        <f t="shared" si="54"/>
        <v>#VALUE!</v>
      </c>
      <c r="AA405">
        <v>189472</v>
      </c>
      <c r="AB405">
        <v>31882</v>
      </c>
      <c r="AC405">
        <v>21682909</v>
      </c>
      <c r="AD405" t="s">
        <v>5</v>
      </c>
      <c r="AE405">
        <v>21</v>
      </c>
      <c r="AF405">
        <v>5</v>
      </c>
      <c r="AH405" t="s">
        <v>6789</v>
      </c>
      <c r="AI405" t="s">
        <v>6788</v>
      </c>
      <c r="AK405" t="s">
        <v>6787</v>
      </c>
      <c r="AL405">
        <v>18</v>
      </c>
      <c r="AM405" s="5">
        <f t="shared" si="50"/>
        <v>0.58064516129032262</v>
      </c>
      <c r="AN405" s="4">
        <f t="shared" si="55"/>
        <v>8.7943227760745566E-4</v>
      </c>
      <c r="AO405" s="3"/>
      <c r="AP405">
        <v>0</v>
      </c>
      <c r="AQ405" t="s">
        <v>5868</v>
      </c>
      <c r="AR405" t="s">
        <v>6786</v>
      </c>
      <c r="AS405" t="s">
        <v>5866</v>
      </c>
      <c r="AT405" s="2" t="s">
        <v>33</v>
      </c>
      <c r="AU405" s="1" t="e">
        <f t="shared" si="51"/>
        <v>#VALUE!</v>
      </c>
      <c r="AV405" s="1" t="e">
        <f t="shared" si="52"/>
        <v>#VALUE!</v>
      </c>
      <c r="AW405" s="1" t="e">
        <f t="shared" si="53"/>
        <v>#VALUE!</v>
      </c>
    </row>
    <row r="406" spans="1:49" x14ac:dyDescent="0.2">
      <c r="A406">
        <v>404</v>
      </c>
      <c r="B406" t="s">
        <v>6785</v>
      </c>
      <c r="C406" t="s">
        <v>6784</v>
      </c>
      <c r="F406" t="s">
        <v>6783</v>
      </c>
      <c r="G406" t="s">
        <v>16</v>
      </c>
      <c r="H406" t="s">
        <v>15</v>
      </c>
      <c r="I406" t="s">
        <v>6782</v>
      </c>
      <c r="J406">
        <v>60027960</v>
      </c>
      <c r="K406" t="s">
        <v>6781</v>
      </c>
      <c r="L406" t="s">
        <v>6780</v>
      </c>
      <c r="M406" t="s">
        <v>57</v>
      </c>
      <c r="N406">
        <v>3</v>
      </c>
      <c r="O406" t="s">
        <v>6779</v>
      </c>
      <c r="P406" t="s">
        <v>6778</v>
      </c>
      <c r="Q406" t="s">
        <v>6777</v>
      </c>
      <c r="R406" s="7">
        <v>33239</v>
      </c>
      <c r="S406" s="8">
        <f t="shared" si="48"/>
        <v>1991</v>
      </c>
      <c r="T406" s="8">
        <v>1991</v>
      </c>
      <c r="U406" s="8">
        <f t="shared" si="49"/>
        <v>31</v>
      </c>
      <c r="V406" s="7">
        <v>33482</v>
      </c>
      <c r="W406" t="s">
        <v>3201</v>
      </c>
      <c r="X406" s="2">
        <v>0.62</v>
      </c>
      <c r="Y406" s="6">
        <f t="shared" si="54"/>
        <v>1.6550545901070447E-2</v>
      </c>
      <c r="AA406">
        <v>189464</v>
      </c>
      <c r="AB406">
        <v>17364</v>
      </c>
      <c r="AC406">
        <v>19410069</v>
      </c>
      <c r="AD406" t="s">
        <v>5</v>
      </c>
      <c r="AE406">
        <v>27</v>
      </c>
      <c r="AF406">
        <v>5</v>
      </c>
      <c r="AH406" t="s">
        <v>6776</v>
      </c>
      <c r="AI406" t="s">
        <v>6775</v>
      </c>
      <c r="AK406" t="s">
        <v>6774</v>
      </c>
      <c r="AL406">
        <v>8</v>
      </c>
      <c r="AM406" s="5">
        <f t="shared" si="50"/>
        <v>0.25806451612903225</v>
      </c>
      <c r="AN406" s="4">
        <f t="shared" si="55"/>
        <v>3.9085879004775807E-4</v>
      </c>
      <c r="AO406" s="3"/>
      <c r="AP406">
        <v>0</v>
      </c>
      <c r="AR406" t="s">
        <v>0</v>
      </c>
      <c r="AT406" s="2">
        <v>1.7</v>
      </c>
      <c r="AU406" s="1">
        <f t="shared" si="51"/>
        <v>1.1702639767763641</v>
      </c>
      <c r="AV406" s="1">
        <f t="shared" si="52"/>
        <v>0.84707023455591024</v>
      </c>
      <c r="AW406" s="1">
        <f t="shared" si="53"/>
        <v>0.52387649233545641</v>
      </c>
    </row>
    <row r="407" spans="1:49" x14ac:dyDescent="0.2">
      <c r="A407">
        <v>405</v>
      </c>
      <c r="B407" t="s">
        <v>6773</v>
      </c>
      <c r="C407" t="s">
        <v>6772</v>
      </c>
      <c r="F407" t="s">
        <v>6771</v>
      </c>
      <c r="G407" t="s">
        <v>16</v>
      </c>
      <c r="H407" t="s">
        <v>15</v>
      </c>
      <c r="I407" t="s">
        <v>6770</v>
      </c>
      <c r="J407" t="s">
        <v>4077</v>
      </c>
      <c r="K407" t="s">
        <v>4076</v>
      </c>
      <c r="L407" t="s">
        <v>4075</v>
      </c>
      <c r="M407" t="s">
        <v>4074</v>
      </c>
      <c r="N407">
        <v>4</v>
      </c>
      <c r="O407" t="s">
        <v>6769</v>
      </c>
      <c r="P407" t="s">
        <v>6768</v>
      </c>
      <c r="Q407" t="s">
        <v>6767</v>
      </c>
      <c r="R407" s="7">
        <v>33239</v>
      </c>
      <c r="S407" s="8">
        <f t="shared" si="48"/>
        <v>1991</v>
      </c>
      <c r="T407" s="8">
        <v>1991</v>
      </c>
      <c r="U407" s="8">
        <f t="shared" si="49"/>
        <v>31</v>
      </c>
      <c r="V407" s="7">
        <v>33482</v>
      </c>
      <c r="W407" t="s">
        <v>3201</v>
      </c>
      <c r="X407" s="2">
        <v>0.62</v>
      </c>
      <c r="Y407" s="6">
        <f t="shared" si="54"/>
        <v>1.6550545901070447E-2</v>
      </c>
      <c r="AA407">
        <v>189464</v>
      </c>
      <c r="AB407">
        <v>17364</v>
      </c>
      <c r="AC407">
        <v>19410069</v>
      </c>
      <c r="AD407" t="s">
        <v>5</v>
      </c>
      <c r="AE407">
        <v>27</v>
      </c>
      <c r="AF407">
        <v>5</v>
      </c>
      <c r="AH407" t="s">
        <v>6766</v>
      </c>
      <c r="AI407" t="s">
        <v>6765</v>
      </c>
      <c r="AK407" t="s">
        <v>6764</v>
      </c>
      <c r="AL407">
        <v>4</v>
      </c>
      <c r="AM407" s="5">
        <f t="shared" si="50"/>
        <v>0.12903225806451613</v>
      </c>
      <c r="AN407" s="4">
        <f t="shared" si="55"/>
        <v>1.9542939502387903E-4</v>
      </c>
      <c r="AO407" s="3"/>
      <c r="AP407">
        <v>0</v>
      </c>
      <c r="AQ407" t="s">
        <v>508</v>
      </c>
      <c r="AR407" t="s">
        <v>6763</v>
      </c>
      <c r="AS407" t="s">
        <v>507</v>
      </c>
      <c r="AT407" s="2">
        <v>1.7</v>
      </c>
      <c r="AU407" s="1">
        <f t="shared" si="51"/>
        <v>1.1644010949256476</v>
      </c>
      <c r="AV407" s="1">
        <f t="shared" si="52"/>
        <v>0.83729876480471632</v>
      </c>
      <c r="AW407" s="1">
        <f t="shared" si="53"/>
        <v>0.51019643468378495</v>
      </c>
    </row>
    <row r="408" spans="1:49" x14ac:dyDescent="0.2">
      <c r="A408">
        <v>406</v>
      </c>
      <c r="B408" t="s">
        <v>6762</v>
      </c>
      <c r="C408" t="s">
        <v>6761</v>
      </c>
      <c r="F408" t="s">
        <v>6760</v>
      </c>
      <c r="G408" t="s">
        <v>16</v>
      </c>
      <c r="H408" t="s">
        <v>15</v>
      </c>
      <c r="I408" t="s">
        <v>6759</v>
      </c>
      <c r="J408">
        <v>60021211</v>
      </c>
      <c r="K408" t="s">
        <v>6758</v>
      </c>
      <c r="L408" t="s">
        <v>6757</v>
      </c>
      <c r="M408" t="s">
        <v>57</v>
      </c>
      <c r="N408">
        <v>3</v>
      </c>
      <c r="O408" t="s">
        <v>6756</v>
      </c>
      <c r="P408" t="s">
        <v>6755</v>
      </c>
      <c r="Q408" t="s">
        <v>6754</v>
      </c>
      <c r="R408" s="7">
        <v>33239</v>
      </c>
      <c r="S408" s="8">
        <f t="shared" si="48"/>
        <v>1991</v>
      </c>
      <c r="T408" s="8">
        <v>1991</v>
      </c>
      <c r="U408" s="8">
        <f t="shared" si="49"/>
        <v>31</v>
      </c>
      <c r="V408" s="7">
        <v>33482</v>
      </c>
      <c r="W408" t="s">
        <v>3201</v>
      </c>
      <c r="X408" s="2">
        <v>0.62</v>
      </c>
      <c r="Y408" s="6">
        <f t="shared" si="54"/>
        <v>1.6550545901070447E-2</v>
      </c>
      <c r="AA408">
        <v>189464</v>
      </c>
      <c r="AB408">
        <v>17364</v>
      </c>
      <c r="AC408">
        <v>19410069</v>
      </c>
      <c r="AD408" t="s">
        <v>5</v>
      </c>
      <c r="AE408">
        <v>27</v>
      </c>
      <c r="AF408">
        <v>5</v>
      </c>
      <c r="AH408" t="s">
        <v>6753</v>
      </c>
      <c r="AI408" t="s">
        <v>6752</v>
      </c>
      <c r="AK408" t="s">
        <v>6751</v>
      </c>
      <c r="AL408">
        <v>2</v>
      </c>
      <c r="AM408" s="5">
        <f t="shared" si="50"/>
        <v>6.4516129032258063E-2</v>
      </c>
      <c r="AN408" s="4">
        <f t="shared" si="55"/>
        <v>9.7714697511939517E-5</v>
      </c>
      <c r="AO408" s="3"/>
      <c r="AP408">
        <v>0</v>
      </c>
      <c r="AR408" t="s">
        <v>0</v>
      </c>
      <c r="AT408" s="2">
        <v>1.7</v>
      </c>
      <c r="AU408" s="1">
        <f t="shared" si="51"/>
        <v>1.1614696540002893</v>
      </c>
      <c r="AV408" s="1">
        <f t="shared" si="52"/>
        <v>0.83241302992911936</v>
      </c>
      <c r="AW408" s="1">
        <f t="shared" si="53"/>
        <v>0.50335640585794916</v>
      </c>
    </row>
    <row r="409" spans="1:49" x14ac:dyDescent="0.2">
      <c r="A409">
        <v>407</v>
      </c>
      <c r="B409" t="s">
        <v>6750</v>
      </c>
      <c r="C409" t="s">
        <v>6749</v>
      </c>
      <c r="F409" t="s">
        <v>6748</v>
      </c>
      <c r="G409" t="s">
        <v>16</v>
      </c>
      <c r="H409" t="s">
        <v>15</v>
      </c>
      <c r="I409" t="s">
        <v>6747</v>
      </c>
      <c r="J409" t="s">
        <v>6746</v>
      </c>
      <c r="K409" t="s">
        <v>6745</v>
      </c>
      <c r="L409" t="s">
        <v>6744</v>
      </c>
      <c r="M409" t="s">
        <v>821</v>
      </c>
      <c r="N409">
        <v>3</v>
      </c>
      <c r="O409" t="s">
        <v>6743</v>
      </c>
      <c r="P409" t="s">
        <v>6742</v>
      </c>
      <c r="Q409" t="s">
        <v>6741</v>
      </c>
      <c r="R409" s="7">
        <v>33239</v>
      </c>
      <c r="S409" s="8">
        <f t="shared" si="48"/>
        <v>1991</v>
      </c>
      <c r="T409" s="8">
        <v>1991</v>
      </c>
      <c r="U409" s="8">
        <f t="shared" si="49"/>
        <v>31</v>
      </c>
      <c r="V409" s="7">
        <v>33482</v>
      </c>
      <c r="W409" t="s">
        <v>2569</v>
      </c>
      <c r="X409" s="2">
        <v>0.111</v>
      </c>
      <c r="Y409" s="6">
        <f t="shared" si="54"/>
        <v>2.9630816048690639E-3</v>
      </c>
      <c r="AA409">
        <v>87566621</v>
      </c>
      <c r="AB409">
        <v>24890</v>
      </c>
      <c r="AC409">
        <v>15206424</v>
      </c>
      <c r="AD409" t="s">
        <v>5</v>
      </c>
      <c r="AE409">
        <v>74</v>
      </c>
      <c r="AF409">
        <v>9</v>
      </c>
      <c r="AH409" t="s">
        <v>6740</v>
      </c>
      <c r="AI409" t="s">
        <v>6739</v>
      </c>
      <c r="AK409" t="s">
        <v>6738</v>
      </c>
      <c r="AL409">
        <v>0</v>
      </c>
      <c r="AM409" s="5">
        <f t="shared" si="50"/>
        <v>0</v>
      </c>
      <c r="AN409" s="4">
        <f t="shared" si="55"/>
        <v>0</v>
      </c>
      <c r="AO409" s="3"/>
      <c r="AP409">
        <v>0</v>
      </c>
      <c r="AR409" t="s">
        <v>0</v>
      </c>
      <c r="AT409" s="2" t="s">
        <v>33</v>
      </c>
      <c r="AU409" s="1">
        <f t="shared" si="51"/>
        <v>0.20741571234083445</v>
      </c>
      <c r="AV409" s="1">
        <f t="shared" si="52"/>
        <v>0.1481540802434532</v>
      </c>
      <c r="AW409" s="1">
        <f t="shared" si="53"/>
        <v>8.8892448146071903E-2</v>
      </c>
    </row>
    <row r="410" spans="1:49" x14ac:dyDescent="0.2">
      <c r="A410">
        <v>408</v>
      </c>
      <c r="B410" t="s">
        <v>6737</v>
      </c>
      <c r="C410" t="s">
        <v>6736</v>
      </c>
      <c r="F410" t="s">
        <v>6735</v>
      </c>
      <c r="G410" t="s">
        <v>16</v>
      </c>
      <c r="H410" t="s">
        <v>15</v>
      </c>
      <c r="I410" t="s">
        <v>6734</v>
      </c>
      <c r="J410">
        <v>60025555</v>
      </c>
      <c r="K410" t="s">
        <v>2786</v>
      </c>
      <c r="L410" t="s">
        <v>327</v>
      </c>
      <c r="M410" t="s">
        <v>326</v>
      </c>
      <c r="N410">
        <v>1</v>
      </c>
      <c r="O410" t="s">
        <v>6733</v>
      </c>
      <c r="P410">
        <v>7102399345</v>
      </c>
      <c r="Q410">
        <v>60025555</v>
      </c>
      <c r="R410" s="7">
        <v>33239</v>
      </c>
      <c r="S410" s="8">
        <f t="shared" si="48"/>
        <v>1991</v>
      </c>
      <c r="T410" s="8">
        <v>1991</v>
      </c>
      <c r="U410" s="8">
        <f t="shared" si="49"/>
        <v>31</v>
      </c>
      <c r="V410" s="7">
        <v>33482</v>
      </c>
      <c r="W410" t="s">
        <v>2569</v>
      </c>
      <c r="X410" s="2">
        <v>0.111</v>
      </c>
      <c r="Y410" s="6">
        <f t="shared" si="54"/>
        <v>2.9630816048690639E-3</v>
      </c>
      <c r="AA410">
        <v>87566621</v>
      </c>
      <c r="AB410">
        <v>24890</v>
      </c>
      <c r="AC410">
        <v>15206424</v>
      </c>
      <c r="AD410" t="s">
        <v>5</v>
      </c>
      <c r="AE410">
        <v>74</v>
      </c>
      <c r="AF410">
        <v>9</v>
      </c>
      <c r="AH410" t="s">
        <v>6732</v>
      </c>
      <c r="AI410" t="s">
        <v>6731</v>
      </c>
      <c r="AK410" t="s">
        <v>6730</v>
      </c>
      <c r="AL410">
        <v>1</v>
      </c>
      <c r="AM410" s="5">
        <f t="shared" si="50"/>
        <v>3.2258064516129031E-2</v>
      </c>
      <c r="AN410" s="4">
        <f t="shared" si="55"/>
        <v>4.8857348755969758E-5</v>
      </c>
      <c r="AO410" s="3"/>
      <c r="AP410">
        <v>0</v>
      </c>
      <c r="AR410" t="s">
        <v>0</v>
      </c>
      <c r="AT410" s="2" t="s">
        <v>33</v>
      </c>
      <c r="AU410" s="1">
        <f t="shared" si="51"/>
        <v>0.20888143280351351</v>
      </c>
      <c r="AV410" s="1">
        <f t="shared" si="52"/>
        <v>0.15059694768125167</v>
      </c>
      <c r="AW410" s="1">
        <f t="shared" si="53"/>
        <v>9.2312462558989797E-2</v>
      </c>
    </row>
    <row r="411" spans="1:49" x14ac:dyDescent="0.2">
      <c r="A411">
        <v>409</v>
      </c>
      <c r="B411" t="s">
        <v>6729</v>
      </c>
      <c r="C411" t="s">
        <v>6728</v>
      </c>
      <c r="F411" t="s">
        <v>6727</v>
      </c>
      <c r="G411" t="s">
        <v>16</v>
      </c>
      <c r="H411" t="s">
        <v>15</v>
      </c>
      <c r="I411" t="s">
        <v>6726</v>
      </c>
      <c r="J411" t="s">
        <v>6721</v>
      </c>
      <c r="K411" t="s">
        <v>6725</v>
      </c>
      <c r="L411" t="s">
        <v>6724</v>
      </c>
      <c r="M411" t="s">
        <v>133</v>
      </c>
      <c r="N411">
        <v>2</v>
      </c>
      <c r="O411" t="s">
        <v>6723</v>
      </c>
      <c r="P411" t="s">
        <v>6722</v>
      </c>
      <c r="Q411" t="s">
        <v>6721</v>
      </c>
      <c r="R411" s="7">
        <v>33239</v>
      </c>
      <c r="S411" s="8">
        <f t="shared" si="48"/>
        <v>1991</v>
      </c>
      <c r="T411" s="8">
        <v>1991</v>
      </c>
      <c r="U411" s="8">
        <f t="shared" si="49"/>
        <v>31</v>
      </c>
      <c r="V411" s="7">
        <v>33482</v>
      </c>
      <c r="W411" t="s">
        <v>3201</v>
      </c>
      <c r="X411" s="2">
        <v>0.62</v>
      </c>
      <c r="Y411" s="6">
        <f t="shared" si="54"/>
        <v>1.6550545901070447E-2</v>
      </c>
      <c r="AA411">
        <v>189464</v>
      </c>
      <c r="AB411">
        <v>17364</v>
      </c>
      <c r="AC411">
        <v>19410069</v>
      </c>
      <c r="AD411" t="s">
        <v>5</v>
      </c>
      <c r="AE411">
        <v>27</v>
      </c>
      <c r="AF411">
        <v>5</v>
      </c>
      <c r="AH411" t="s">
        <v>6720</v>
      </c>
      <c r="AI411" t="s">
        <v>6719</v>
      </c>
      <c r="AK411" t="s">
        <v>6718</v>
      </c>
      <c r="AL411">
        <v>10</v>
      </c>
      <c r="AM411" s="5">
        <f t="shared" si="50"/>
        <v>0.32258064516129031</v>
      </c>
      <c r="AN411" s="4">
        <f t="shared" si="55"/>
        <v>4.8857348755969754E-4</v>
      </c>
      <c r="AO411" s="3"/>
      <c r="AP411">
        <v>0</v>
      </c>
      <c r="AR411" t="s">
        <v>0</v>
      </c>
      <c r="AT411" s="2">
        <v>1.7</v>
      </c>
      <c r="AU411" s="1">
        <f t="shared" si="51"/>
        <v>1.1731954177017221</v>
      </c>
      <c r="AV411" s="1">
        <f t="shared" si="52"/>
        <v>0.8519559694315072</v>
      </c>
      <c r="AW411" s="1">
        <f t="shared" si="53"/>
        <v>0.5307165211612922</v>
      </c>
    </row>
    <row r="412" spans="1:49" x14ac:dyDescent="0.2">
      <c r="A412">
        <v>410</v>
      </c>
      <c r="B412" t="s">
        <v>6717</v>
      </c>
      <c r="C412" t="s">
        <v>6716</v>
      </c>
      <c r="F412" t="s">
        <v>6715</v>
      </c>
      <c r="G412" t="s">
        <v>16</v>
      </c>
      <c r="H412" t="s">
        <v>15</v>
      </c>
      <c r="I412" t="s">
        <v>750</v>
      </c>
      <c r="J412">
        <v>60009697</v>
      </c>
      <c r="K412" t="s">
        <v>6714</v>
      </c>
      <c r="L412" t="s">
        <v>6713</v>
      </c>
      <c r="M412" t="s">
        <v>1543</v>
      </c>
      <c r="N412">
        <v>2</v>
      </c>
      <c r="O412" t="s">
        <v>6712</v>
      </c>
      <c r="P412" t="s">
        <v>6711</v>
      </c>
      <c r="Q412" t="s">
        <v>6710</v>
      </c>
      <c r="R412" s="7">
        <v>33239</v>
      </c>
      <c r="S412" s="8">
        <f t="shared" si="48"/>
        <v>1991</v>
      </c>
      <c r="T412" s="8">
        <v>1991</v>
      </c>
      <c r="U412" s="8">
        <f t="shared" si="49"/>
        <v>31</v>
      </c>
      <c r="V412" s="7">
        <v>33482</v>
      </c>
      <c r="W412" t="s">
        <v>3201</v>
      </c>
      <c r="X412" s="2">
        <v>0.62</v>
      </c>
      <c r="Y412" s="6">
        <f t="shared" si="54"/>
        <v>1.6550545901070447E-2</v>
      </c>
      <c r="AA412">
        <v>189464</v>
      </c>
      <c r="AB412">
        <v>17364</v>
      </c>
      <c r="AC412">
        <v>19410069</v>
      </c>
      <c r="AD412" t="s">
        <v>5</v>
      </c>
      <c r="AE412">
        <v>27</v>
      </c>
      <c r="AF412">
        <v>5</v>
      </c>
      <c r="AH412" t="s">
        <v>6709</v>
      </c>
      <c r="AI412" t="s">
        <v>6708</v>
      </c>
      <c r="AK412" t="s">
        <v>6707</v>
      </c>
      <c r="AL412">
        <v>0</v>
      </c>
      <c r="AM412" s="5">
        <f t="shared" si="50"/>
        <v>0</v>
      </c>
      <c r="AN412" s="4">
        <f t="shared" si="55"/>
        <v>0</v>
      </c>
      <c r="AO412" s="3"/>
      <c r="AP412">
        <v>0</v>
      </c>
      <c r="AR412" t="s">
        <v>0</v>
      </c>
      <c r="AT412" s="2">
        <v>1.7</v>
      </c>
      <c r="AU412" s="1">
        <f t="shared" si="51"/>
        <v>1.1585382130749313</v>
      </c>
      <c r="AV412" s="1">
        <f t="shared" si="52"/>
        <v>0.8275272950535224</v>
      </c>
      <c r="AW412" s="1">
        <f t="shared" si="53"/>
        <v>0.49651637703211338</v>
      </c>
    </row>
    <row r="413" spans="1:49" x14ac:dyDescent="0.2">
      <c r="A413">
        <v>411</v>
      </c>
      <c r="B413" t="s">
        <v>6706</v>
      </c>
      <c r="C413" t="s">
        <v>6705</v>
      </c>
      <c r="F413" t="s">
        <v>6704</v>
      </c>
      <c r="G413" t="s">
        <v>16</v>
      </c>
      <c r="H413" t="s">
        <v>15</v>
      </c>
      <c r="I413" t="s">
        <v>6703</v>
      </c>
      <c r="J413">
        <v>60025555</v>
      </c>
      <c r="K413" t="s">
        <v>2786</v>
      </c>
      <c r="L413" t="s">
        <v>327</v>
      </c>
      <c r="M413" t="s">
        <v>326</v>
      </c>
      <c r="N413">
        <v>2</v>
      </c>
      <c r="O413" t="s">
        <v>6702</v>
      </c>
      <c r="P413" t="s">
        <v>6701</v>
      </c>
      <c r="Q413" t="s">
        <v>2783</v>
      </c>
      <c r="R413" s="7">
        <v>33239</v>
      </c>
      <c r="S413" s="8">
        <f t="shared" si="48"/>
        <v>1991</v>
      </c>
      <c r="T413" s="8">
        <v>1991</v>
      </c>
      <c r="U413" s="8">
        <f t="shared" si="49"/>
        <v>31</v>
      </c>
      <c r="V413" s="7">
        <v>33482</v>
      </c>
      <c r="W413" t="s">
        <v>2569</v>
      </c>
      <c r="X413" s="2">
        <v>0.111</v>
      </c>
      <c r="Y413" s="6">
        <f t="shared" si="54"/>
        <v>2.9630816048690639E-3</v>
      </c>
      <c r="AA413">
        <v>87566621</v>
      </c>
      <c r="AB413">
        <v>24890</v>
      </c>
      <c r="AC413">
        <v>15206424</v>
      </c>
      <c r="AD413" t="s">
        <v>5</v>
      </c>
      <c r="AE413">
        <v>74</v>
      </c>
      <c r="AF413">
        <v>9</v>
      </c>
      <c r="AH413" t="s">
        <v>6700</v>
      </c>
      <c r="AI413" t="s">
        <v>6699</v>
      </c>
      <c r="AK413" t="s">
        <v>6698</v>
      </c>
      <c r="AL413">
        <v>0</v>
      </c>
      <c r="AM413" s="5">
        <f t="shared" si="50"/>
        <v>0</v>
      </c>
      <c r="AN413" s="4">
        <f t="shared" si="55"/>
        <v>0</v>
      </c>
      <c r="AO413" s="3"/>
      <c r="AP413">
        <v>0</v>
      </c>
      <c r="AR413" t="s">
        <v>0</v>
      </c>
      <c r="AT413" s="2" t="s">
        <v>33</v>
      </c>
      <c r="AU413" s="1">
        <f t="shared" si="51"/>
        <v>0.20741571234083445</v>
      </c>
      <c r="AV413" s="1">
        <f t="shared" si="52"/>
        <v>0.1481540802434532</v>
      </c>
      <c r="AW413" s="1">
        <f t="shared" si="53"/>
        <v>8.8892448146071903E-2</v>
      </c>
    </row>
    <row r="414" spans="1:49" x14ac:dyDescent="0.2">
      <c r="A414">
        <v>412</v>
      </c>
      <c r="B414" t="s">
        <v>6697</v>
      </c>
      <c r="C414" t="s">
        <v>6696</v>
      </c>
      <c r="F414" t="s">
        <v>6695</v>
      </c>
      <c r="G414" t="s">
        <v>16</v>
      </c>
      <c r="H414" t="s">
        <v>15</v>
      </c>
      <c r="I414" t="s">
        <v>6694</v>
      </c>
      <c r="J414">
        <v>60092258</v>
      </c>
      <c r="K414" t="s">
        <v>2841</v>
      </c>
      <c r="L414" t="s">
        <v>2840</v>
      </c>
      <c r="M414" t="s">
        <v>326</v>
      </c>
      <c r="N414">
        <v>1</v>
      </c>
      <c r="O414" t="s">
        <v>6693</v>
      </c>
      <c r="P414">
        <v>7003280529</v>
      </c>
      <c r="Q414">
        <v>60092258</v>
      </c>
      <c r="R414" s="7">
        <v>33239</v>
      </c>
      <c r="S414" s="8">
        <f t="shared" si="48"/>
        <v>1991</v>
      </c>
      <c r="T414" s="8">
        <v>1991</v>
      </c>
      <c r="U414" s="8">
        <f t="shared" si="49"/>
        <v>31</v>
      </c>
      <c r="V414" s="7">
        <v>33482</v>
      </c>
      <c r="W414" t="s">
        <v>2569</v>
      </c>
      <c r="X414" s="2">
        <v>0.111</v>
      </c>
      <c r="Y414" s="6">
        <f t="shared" si="54"/>
        <v>2.9630816048690639E-3</v>
      </c>
      <c r="AA414">
        <v>87566621</v>
      </c>
      <c r="AB414">
        <v>24890</v>
      </c>
      <c r="AC414">
        <v>15206424</v>
      </c>
      <c r="AD414" t="s">
        <v>5</v>
      </c>
      <c r="AE414">
        <v>74</v>
      </c>
      <c r="AF414">
        <v>9</v>
      </c>
      <c r="AH414" t="s">
        <v>6692</v>
      </c>
      <c r="AI414" t="s">
        <v>6691</v>
      </c>
      <c r="AK414" t="s">
        <v>6690</v>
      </c>
      <c r="AL414">
        <v>25</v>
      </c>
      <c r="AM414" s="5">
        <f t="shared" si="50"/>
        <v>0.80645161290322576</v>
      </c>
      <c r="AN414" s="4">
        <f t="shared" si="55"/>
        <v>1.2214337188992438E-3</v>
      </c>
      <c r="AO414" s="3"/>
      <c r="AP414">
        <v>0</v>
      </c>
      <c r="AR414" t="s">
        <v>0</v>
      </c>
      <c r="AT414" s="2" t="s">
        <v>33</v>
      </c>
      <c r="AU414" s="1">
        <f t="shared" si="51"/>
        <v>0.24405872390781178</v>
      </c>
      <c r="AV414" s="1">
        <f t="shared" si="52"/>
        <v>0.2092257661884154</v>
      </c>
      <c r="AW414" s="1">
        <f t="shared" si="53"/>
        <v>0.17439280846901897</v>
      </c>
    </row>
    <row r="415" spans="1:49" x14ac:dyDescent="0.2">
      <c r="A415">
        <v>413</v>
      </c>
      <c r="B415" t="s">
        <v>6689</v>
      </c>
      <c r="C415" t="s">
        <v>6688</v>
      </c>
      <c r="F415" t="s">
        <v>6687</v>
      </c>
      <c r="G415" t="s">
        <v>16</v>
      </c>
      <c r="H415" t="s">
        <v>15</v>
      </c>
      <c r="I415" t="s">
        <v>6686</v>
      </c>
      <c r="J415">
        <v>60030551</v>
      </c>
      <c r="K415" t="s">
        <v>736</v>
      </c>
      <c r="L415" t="s">
        <v>735</v>
      </c>
      <c r="M415" t="s">
        <v>57</v>
      </c>
      <c r="N415">
        <v>2</v>
      </c>
      <c r="O415" t="s">
        <v>6685</v>
      </c>
      <c r="P415" t="s">
        <v>6684</v>
      </c>
      <c r="Q415" t="s">
        <v>6683</v>
      </c>
      <c r="R415" s="7">
        <v>33239</v>
      </c>
      <c r="S415" s="8">
        <f t="shared" si="48"/>
        <v>1991</v>
      </c>
      <c r="T415" s="8">
        <v>1991</v>
      </c>
      <c r="U415" s="8">
        <f t="shared" si="49"/>
        <v>31</v>
      </c>
      <c r="V415" s="7">
        <v>33482</v>
      </c>
      <c r="W415" t="s">
        <v>3201</v>
      </c>
      <c r="X415" s="2">
        <v>0.62</v>
      </c>
      <c r="Y415" s="6">
        <f t="shared" si="54"/>
        <v>1.6550545901070447E-2</v>
      </c>
      <c r="AA415">
        <v>189464</v>
      </c>
      <c r="AB415">
        <v>17364</v>
      </c>
      <c r="AC415">
        <v>19410069</v>
      </c>
      <c r="AD415" t="s">
        <v>5</v>
      </c>
      <c r="AE415">
        <v>27</v>
      </c>
      <c r="AF415">
        <v>5</v>
      </c>
      <c r="AH415" t="s">
        <v>6682</v>
      </c>
      <c r="AI415" t="s">
        <v>6681</v>
      </c>
      <c r="AK415" t="s">
        <v>6680</v>
      </c>
      <c r="AL415">
        <v>1</v>
      </c>
      <c r="AM415" s="5">
        <f t="shared" si="50"/>
        <v>3.2258064516129031E-2</v>
      </c>
      <c r="AN415" s="4">
        <f t="shared" si="55"/>
        <v>4.8857348755969758E-5</v>
      </c>
      <c r="AO415" s="3"/>
      <c r="AP415">
        <v>0</v>
      </c>
      <c r="AR415" t="s">
        <v>0</v>
      </c>
      <c r="AT415" s="2">
        <v>1.7</v>
      </c>
      <c r="AU415" s="1">
        <f t="shared" si="51"/>
        <v>1.1600039335376102</v>
      </c>
      <c r="AV415" s="1">
        <f t="shared" si="52"/>
        <v>0.82997016249132094</v>
      </c>
      <c r="AW415" s="1">
        <f t="shared" si="53"/>
        <v>0.49993639144503127</v>
      </c>
    </row>
    <row r="416" spans="1:49" x14ac:dyDescent="0.2">
      <c r="A416">
        <v>414</v>
      </c>
      <c r="B416" t="s">
        <v>6679</v>
      </c>
      <c r="C416" t="s">
        <v>6678</v>
      </c>
      <c r="F416" t="s">
        <v>6677</v>
      </c>
      <c r="G416" t="s">
        <v>16</v>
      </c>
      <c r="H416" t="s">
        <v>15</v>
      </c>
      <c r="I416" t="s">
        <v>6676</v>
      </c>
      <c r="J416">
        <v>60005429</v>
      </c>
      <c r="K416" t="s">
        <v>2321</v>
      </c>
      <c r="L416" t="s">
        <v>2320</v>
      </c>
      <c r="M416" t="s">
        <v>2319</v>
      </c>
      <c r="N416">
        <v>2</v>
      </c>
      <c r="O416" t="s">
        <v>6675</v>
      </c>
      <c r="P416" t="s">
        <v>6674</v>
      </c>
      <c r="Q416" t="s">
        <v>6673</v>
      </c>
      <c r="R416" s="7">
        <v>33239</v>
      </c>
      <c r="S416" s="8">
        <f t="shared" si="48"/>
        <v>1991</v>
      </c>
      <c r="T416" s="8">
        <v>1991</v>
      </c>
      <c r="U416" s="8">
        <f t="shared" si="49"/>
        <v>31</v>
      </c>
      <c r="V416" s="7">
        <v>33482</v>
      </c>
      <c r="W416" t="s">
        <v>3201</v>
      </c>
      <c r="X416" s="2">
        <v>0.62</v>
      </c>
      <c r="Y416" s="6">
        <f t="shared" si="54"/>
        <v>1.6550545901070447E-2</v>
      </c>
      <c r="AA416">
        <v>189464</v>
      </c>
      <c r="AB416">
        <v>17364</v>
      </c>
      <c r="AC416">
        <v>19410069</v>
      </c>
      <c r="AD416" t="s">
        <v>5</v>
      </c>
      <c r="AE416">
        <v>27</v>
      </c>
      <c r="AF416">
        <v>5</v>
      </c>
      <c r="AH416" t="s">
        <v>6672</v>
      </c>
      <c r="AI416" t="s">
        <v>6671</v>
      </c>
      <c r="AK416" t="s">
        <v>6670</v>
      </c>
      <c r="AL416">
        <v>6</v>
      </c>
      <c r="AM416" s="5">
        <f t="shared" si="50"/>
        <v>0.19354838709677419</v>
      </c>
      <c r="AN416" s="4">
        <f t="shared" si="55"/>
        <v>2.9314409253581854E-4</v>
      </c>
      <c r="AO416" s="3"/>
      <c r="AP416">
        <v>0</v>
      </c>
      <c r="AR416" t="s">
        <v>0</v>
      </c>
      <c r="AT416" s="2">
        <v>1.7</v>
      </c>
      <c r="AU416" s="1">
        <f t="shared" si="51"/>
        <v>1.1673325358510058</v>
      </c>
      <c r="AV416" s="1">
        <f t="shared" si="52"/>
        <v>0.84218449968031328</v>
      </c>
      <c r="AW416" s="1">
        <f t="shared" si="53"/>
        <v>0.51703646350962063</v>
      </c>
    </row>
    <row r="417" spans="1:49" x14ac:dyDescent="0.2">
      <c r="A417">
        <v>415</v>
      </c>
      <c r="B417" t="s">
        <v>6669</v>
      </c>
      <c r="C417" t="s">
        <v>6668</v>
      </c>
      <c r="F417" t="s">
        <v>6667</v>
      </c>
      <c r="G417" t="s">
        <v>16</v>
      </c>
      <c r="H417" t="s">
        <v>15</v>
      </c>
      <c r="I417" t="s">
        <v>6666</v>
      </c>
      <c r="J417">
        <v>60022225</v>
      </c>
      <c r="K417" t="s">
        <v>6665</v>
      </c>
      <c r="L417" t="s">
        <v>5785</v>
      </c>
      <c r="M417" t="s">
        <v>57</v>
      </c>
      <c r="N417">
        <v>2</v>
      </c>
      <c r="O417" t="s">
        <v>6664</v>
      </c>
      <c r="P417" t="s">
        <v>6663</v>
      </c>
      <c r="Q417" t="s">
        <v>6662</v>
      </c>
      <c r="R417" s="7">
        <v>33239</v>
      </c>
      <c r="S417" s="8">
        <f t="shared" si="48"/>
        <v>1991</v>
      </c>
      <c r="T417" s="8">
        <v>1991</v>
      </c>
      <c r="U417" s="8">
        <f t="shared" si="49"/>
        <v>31</v>
      </c>
      <c r="V417" s="7">
        <v>33482</v>
      </c>
      <c r="W417" t="s">
        <v>3201</v>
      </c>
      <c r="X417" s="2">
        <v>0.62</v>
      </c>
      <c r="Y417" s="6">
        <f t="shared" si="54"/>
        <v>1.6550545901070447E-2</v>
      </c>
      <c r="AA417">
        <v>189464</v>
      </c>
      <c r="AB417">
        <v>17364</v>
      </c>
      <c r="AC417">
        <v>19410069</v>
      </c>
      <c r="AD417" t="s">
        <v>5</v>
      </c>
      <c r="AE417">
        <v>27</v>
      </c>
      <c r="AF417">
        <v>5</v>
      </c>
      <c r="AH417" t="s">
        <v>6661</v>
      </c>
      <c r="AI417" t="s">
        <v>6660</v>
      </c>
      <c r="AK417" t="s">
        <v>6659</v>
      </c>
      <c r="AL417">
        <v>4</v>
      </c>
      <c r="AM417" s="5">
        <f t="shared" si="50"/>
        <v>0.12903225806451613</v>
      </c>
      <c r="AN417" s="4">
        <f t="shared" si="55"/>
        <v>1.9542939502387903E-4</v>
      </c>
      <c r="AO417" s="3"/>
      <c r="AP417">
        <v>0</v>
      </c>
      <c r="AR417" t="s">
        <v>0</v>
      </c>
      <c r="AT417" s="2">
        <v>1.7</v>
      </c>
      <c r="AU417" s="1">
        <f t="shared" si="51"/>
        <v>1.1644010949256476</v>
      </c>
      <c r="AV417" s="1">
        <f t="shared" si="52"/>
        <v>0.83729876480471632</v>
      </c>
      <c r="AW417" s="1">
        <f t="shared" si="53"/>
        <v>0.51019643468378495</v>
      </c>
    </row>
    <row r="418" spans="1:49" x14ac:dyDescent="0.2">
      <c r="A418">
        <v>416</v>
      </c>
      <c r="B418" t="s">
        <v>6658</v>
      </c>
      <c r="C418" t="s">
        <v>6657</v>
      </c>
      <c r="F418" t="s">
        <v>6656</v>
      </c>
      <c r="G418" t="s">
        <v>16</v>
      </c>
      <c r="H418" t="s">
        <v>15</v>
      </c>
      <c r="I418" t="s">
        <v>6572</v>
      </c>
      <c r="J418">
        <v>60030480</v>
      </c>
      <c r="K418" t="s">
        <v>6571</v>
      </c>
      <c r="L418" t="s">
        <v>6570</v>
      </c>
      <c r="M418" t="s">
        <v>117</v>
      </c>
      <c r="N418">
        <v>2</v>
      </c>
      <c r="O418" t="s">
        <v>6569</v>
      </c>
      <c r="P418" t="s">
        <v>6568</v>
      </c>
      <c r="Q418" t="s">
        <v>6567</v>
      </c>
      <c r="R418" s="7">
        <v>33239</v>
      </c>
      <c r="S418" s="8">
        <f t="shared" si="48"/>
        <v>1991</v>
      </c>
      <c r="T418" s="8">
        <v>1991</v>
      </c>
      <c r="U418" s="8">
        <f t="shared" si="49"/>
        <v>31</v>
      </c>
      <c r="V418" s="7">
        <v>33482</v>
      </c>
      <c r="W418" t="s">
        <v>1807</v>
      </c>
      <c r="X418" s="2">
        <v>1.6519999999999999</v>
      </c>
      <c r="Y418" s="6">
        <f t="shared" si="54"/>
        <v>4.409919649769093E-2</v>
      </c>
      <c r="AA418" t="s">
        <v>1806</v>
      </c>
      <c r="AB418">
        <v>17337</v>
      </c>
      <c r="AC418">
        <v>15582221</v>
      </c>
      <c r="AD418" t="s">
        <v>5</v>
      </c>
      <c r="AE418">
        <v>39</v>
      </c>
      <c r="AF418">
        <v>9</v>
      </c>
      <c r="AH418" t="s">
        <v>6655</v>
      </c>
      <c r="AI418" t="s">
        <v>6654</v>
      </c>
      <c r="AK418" t="s">
        <v>6653</v>
      </c>
      <c r="AL418">
        <v>10</v>
      </c>
      <c r="AM418" s="5">
        <f t="shared" si="50"/>
        <v>0.32258064516129031</v>
      </c>
      <c r="AN418" s="4">
        <f t="shared" si="55"/>
        <v>4.8857348755969754E-4</v>
      </c>
      <c r="AO418" s="3"/>
      <c r="AP418">
        <v>0</v>
      </c>
      <c r="AR418" t="s">
        <v>0</v>
      </c>
      <c r="AT418" s="2" t="s">
        <v>33</v>
      </c>
      <c r="AU418" s="1">
        <f t="shared" si="51"/>
        <v>3.1016009594651561</v>
      </c>
      <c r="AV418" s="1">
        <f t="shared" si="52"/>
        <v>2.2293884992625315</v>
      </c>
      <c r="AW418" s="1">
        <f t="shared" si="53"/>
        <v>1.3571760390599066</v>
      </c>
    </row>
    <row r="419" spans="1:49" x14ac:dyDescent="0.2">
      <c r="A419">
        <v>417</v>
      </c>
      <c r="B419" t="s">
        <v>6652</v>
      </c>
      <c r="C419" t="s">
        <v>6651</v>
      </c>
      <c r="F419" t="s">
        <v>6650</v>
      </c>
      <c r="G419" t="s">
        <v>16</v>
      </c>
      <c r="H419" t="s">
        <v>15</v>
      </c>
      <c r="I419" t="s">
        <v>6649</v>
      </c>
      <c r="J419" t="s">
        <v>6648</v>
      </c>
      <c r="K419" t="s">
        <v>6647</v>
      </c>
      <c r="L419" t="s">
        <v>6646</v>
      </c>
      <c r="M419" t="s">
        <v>133</v>
      </c>
      <c r="N419">
        <v>5</v>
      </c>
      <c r="O419" t="s">
        <v>6645</v>
      </c>
      <c r="P419" t="s">
        <v>6644</v>
      </c>
      <c r="Q419" t="s">
        <v>6643</v>
      </c>
      <c r="R419" s="7">
        <v>33239</v>
      </c>
      <c r="S419" s="8">
        <f t="shared" si="48"/>
        <v>1991</v>
      </c>
      <c r="T419" s="8">
        <v>1991</v>
      </c>
      <c r="U419" s="8">
        <f t="shared" si="49"/>
        <v>31</v>
      </c>
      <c r="V419" s="7">
        <v>33482</v>
      </c>
      <c r="W419" t="s">
        <v>1807</v>
      </c>
      <c r="X419" s="2">
        <v>1.6519999999999999</v>
      </c>
      <c r="Y419" s="6">
        <f t="shared" si="54"/>
        <v>4.409919649769093E-2</v>
      </c>
      <c r="AA419" t="s">
        <v>1806</v>
      </c>
      <c r="AB419">
        <v>17337</v>
      </c>
      <c r="AC419">
        <v>15582221</v>
      </c>
      <c r="AD419" t="s">
        <v>5</v>
      </c>
      <c r="AE419">
        <v>39</v>
      </c>
      <c r="AF419">
        <v>9</v>
      </c>
      <c r="AH419" t="s">
        <v>6642</v>
      </c>
      <c r="AI419" t="s">
        <v>6641</v>
      </c>
      <c r="AK419" t="s">
        <v>6640</v>
      </c>
      <c r="AL419">
        <v>21</v>
      </c>
      <c r="AM419" s="5">
        <f t="shared" si="50"/>
        <v>0.67741935483870963</v>
      </c>
      <c r="AN419" s="4">
        <f t="shared" si="55"/>
        <v>1.0260043238753647E-3</v>
      </c>
      <c r="AO419" s="3"/>
      <c r="AP419">
        <v>0</v>
      </c>
      <c r="AR419" t="s">
        <v>0</v>
      </c>
      <c r="AT419" s="2" t="s">
        <v>33</v>
      </c>
      <c r="AU419" s="1">
        <f t="shared" si="51"/>
        <v>3.1177238845546262</v>
      </c>
      <c r="AV419" s="1">
        <f t="shared" si="52"/>
        <v>2.2562600410783151</v>
      </c>
      <c r="AW419" s="1">
        <f t="shared" si="53"/>
        <v>1.3947961976020034</v>
      </c>
    </row>
    <row r="420" spans="1:49" x14ac:dyDescent="0.2">
      <c r="A420">
        <v>418</v>
      </c>
      <c r="B420" t="s">
        <v>6639</v>
      </c>
      <c r="C420" t="s">
        <v>6638</v>
      </c>
      <c r="F420" t="s">
        <v>6637</v>
      </c>
      <c r="G420" t="s">
        <v>16</v>
      </c>
      <c r="H420" t="s">
        <v>15</v>
      </c>
      <c r="I420" t="s">
        <v>2202</v>
      </c>
      <c r="J420" t="s">
        <v>6636</v>
      </c>
      <c r="K420" t="s">
        <v>6635</v>
      </c>
      <c r="L420" t="s">
        <v>6634</v>
      </c>
      <c r="M420" t="s">
        <v>1678</v>
      </c>
      <c r="N420">
        <v>4</v>
      </c>
      <c r="O420" t="s">
        <v>6633</v>
      </c>
      <c r="P420" t="s">
        <v>6632</v>
      </c>
      <c r="Q420" t="s">
        <v>6631</v>
      </c>
      <c r="R420" s="7">
        <v>33239</v>
      </c>
      <c r="S420" s="8">
        <f t="shared" si="48"/>
        <v>1991</v>
      </c>
      <c r="T420" s="8">
        <v>1991</v>
      </c>
      <c r="U420" s="8">
        <f t="shared" si="49"/>
        <v>31</v>
      </c>
      <c r="V420" s="7">
        <v>33482</v>
      </c>
      <c r="W420" t="s">
        <v>561</v>
      </c>
      <c r="X420" s="2">
        <v>0.30399999999999999</v>
      </c>
      <c r="Y420" s="6">
        <f t="shared" si="54"/>
        <v>8.115106377299057E-3</v>
      </c>
      <c r="AA420">
        <v>8952477</v>
      </c>
      <c r="AB420">
        <v>12250</v>
      </c>
      <c r="AC420">
        <v>10982760</v>
      </c>
      <c r="AD420" t="s">
        <v>5</v>
      </c>
      <c r="AE420">
        <v>4</v>
      </c>
      <c r="AF420">
        <v>10</v>
      </c>
      <c r="AH420" t="s">
        <v>6630</v>
      </c>
      <c r="AI420" t="s">
        <v>6629</v>
      </c>
      <c r="AJ420" t="s">
        <v>6628</v>
      </c>
      <c r="AK420" t="s">
        <v>6627</v>
      </c>
      <c r="AL420">
        <v>1</v>
      </c>
      <c r="AM420" s="5">
        <f t="shared" si="50"/>
        <v>3.2258064516129031E-2</v>
      </c>
      <c r="AN420" s="4">
        <f t="shared" si="55"/>
        <v>4.8857348755969758E-5</v>
      </c>
      <c r="AO420" s="3"/>
      <c r="AP420">
        <v>0</v>
      </c>
      <c r="AR420" t="s">
        <v>0</v>
      </c>
      <c r="AT420" s="2" t="s">
        <v>33</v>
      </c>
      <c r="AU420" s="1">
        <f t="shared" si="51"/>
        <v>0.56952316687361304</v>
      </c>
      <c r="AV420" s="1">
        <f t="shared" si="52"/>
        <v>0.40819818630275134</v>
      </c>
      <c r="AW420" s="1">
        <f t="shared" si="53"/>
        <v>0.24687320573188962</v>
      </c>
    </row>
    <row r="421" spans="1:49" x14ac:dyDescent="0.2">
      <c r="A421">
        <v>419</v>
      </c>
      <c r="B421" t="s">
        <v>6626</v>
      </c>
      <c r="C421" t="s">
        <v>6625</v>
      </c>
      <c r="F421" t="s">
        <v>6624</v>
      </c>
      <c r="G421" t="s">
        <v>16</v>
      </c>
      <c r="H421" t="s">
        <v>15</v>
      </c>
      <c r="I421" t="s">
        <v>6623</v>
      </c>
      <c r="J421" t="s">
        <v>6622</v>
      </c>
      <c r="K421" t="s">
        <v>6621</v>
      </c>
      <c r="L421" t="s">
        <v>6620</v>
      </c>
      <c r="M421" t="s">
        <v>6619</v>
      </c>
      <c r="N421">
        <v>4</v>
      </c>
      <c r="O421" t="s">
        <v>6618</v>
      </c>
      <c r="P421" t="s">
        <v>6617</v>
      </c>
      <c r="Q421" t="s">
        <v>6616</v>
      </c>
      <c r="R421" s="7">
        <v>33239</v>
      </c>
      <c r="S421" s="8">
        <f t="shared" si="48"/>
        <v>1991</v>
      </c>
      <c r="T421" s="8">
        <v>1991</v>
      </c>
      <c r="U421" s="8">
        <f t="shared" si="49"/>
        <v>31</v>
      </c>
      <c r="V421" s="7">
        <v>33482</v>
      </c>
      <c r="W421" t="s">
        <v>1807</v>
      </c>
      <c r="X421" s="2">
        <v>1.6519999999999999</v>
      </c>
      <c r="Y421" s="6">
        <f t="shared" si="54"/>
        <v>4.409919649769093E-2</v>
      </c>
      <c r="AA421" t="s">
        <v>1806</v>
      </c>
      <c r="AB421">
        <v>17337</v>
      </c>
      <c r="AC421">
        <v>15582221</v>
      </c>
      <c r="AD421" t="s">
        <v>5</v>
      </c>
      <c r="AE421">
        <v>39</v>
      </c>
      <c r="AF421">
        <v>9</v>
      </c>
      <c r="AH421" t="s">
        <v>6615</v>
      </c>
      <c r="AI421" t="s">
        <v>6614</v>
      </c>
      <c r="AK421" t="s">
        <v>6613</v>
      </c>
      <c r="AL421">
        <v>68</v>
      </c>
      <c r="AM421" s="5">
        <f t="shared" si="50"/>
        <v>2.193548387096774</v>
      </c>
      <c r="AN421" s="4">
        <f t="shared" si="55"/>
        <v>3.3222997154059432E-3</v>
      </c>
      <c r="AO421" s="3"/>
      <c r="AP421">
        <v>0</v>
      </c>
      <c r="AR421" t="s">
        <v>0</v>
      </c>
      <c r="AT421" s="2" t="s">
        <v>33</v>
      </c>
      <c r="AU421" s="1">
        <f t="shared" si="51"/>
        <v>3.1866127463005434</v>
      </c>
      <c r="AV421" s="1">
        <f t="shared" si="52"/>
        <v>2.3710748106548438</v>
      </c>
      <c r="AW421" s="1">
        <f t="shared" si="53"/>
        <v>1.5555368750091438</v>
      </c>
    </row>
    <row r="422" spans="1:49" x14ac:dyDescent="0.2">
      <c r="A422">
        <v>420</v>
      </c>
      <c r="B422" t="s">
        <v>6612</v>
      </c>
      <c r="C422" t="s">
        <v>6611</v>
      </c>
      <c r="F422" t="s">
        <v>6610</v>
      </c>
      <c r="G422" t="s">
        <v>16</v>
      </c>
      <c r="H422" t="s">
        <v>15</v>
      </c>
      <c r="I422" t="s">
        <v>6609</v>
      </c>
      <c r="J422">
        <v>60022403</v>
      </c>
      <c r="K422" t="s">
        <v>5322</v>
      </c>
      <c r="L422" t="s">
        <v>5321</v>
      </c>
      <c r="M422" t="s">
        <v>4223</v>
      </c>
      <c r="N422">
        <v>3</v>
      </c>
      <c r="O422" t="s">
        <v>6608</v>
      </c>
      <c r="P422" t="s">
        <v>6607</v>
      </c>
      <c r="Q422" t="s">
        <v>6606</v>
      </c>
      <c r="R422" s="7">
        <v>33239</v>
      </c>
      <c r="S422" s="8">
        <f t="shared" si="48"/>
        <v>1991</v>
      </c>
      <c r="T422" s="8">
        <v>1991</v>
      </c>
      <c r="U422" s="8">
        <f t="shared" si="49"/>
        <v>31</v>
      </c>
      <c r="V422" s="7">
        <v>33482</v>
      </c>
      <c r="W422" t="s">
        <v>1807</v>
      </c>
      <c r="X422" s="2">
        <v>1.6519999999999999</v>
      </c>
      <c r="Y422" s="6">
        <f t="shared" si="54"/>
        <v>4.409919649769093E-2</v>
      </c>
      <c r="AA422" t="s">
        <v>1806</v>
      </c>
      <c r="AB422">
        <v>17337</v>
      </c>
      <c r="AC422">
        <v>15582221</v>
      </c>
      <c r="AD422" t="s">
        <v>5</v>
      </c>
      <c r="AE422">
        <v>39</v>
      </c>
      <c r="AF422">
        <v>9</v>
      </c>
      <c r="AH422" t="s">
        <v>6605</v>
      </c>
      <c r="AI422" t="s">
        <v>6604</v>
      </c>
      <c r="AK422" t="s">
        <v>6603</v>
      </c>
      <c r="AL422">
        <v>15</v>
      </c>
      <c r="AM422" s="5">
        <f t="shared" si="50"/>
        <v>0.4838709677419355</v>
      </c>
      <c r="AN422" s="4">
        <f t="shared" si="55"/>
        <v>7.3286023133954637E-4</v>
      </c>
      <c r="AO422" s="3"/>
      <c r="AP422">
        <v>0</v>
      </c>
      <c r="AR422" t="s">
        <v>0</v>
      </c>
      <c r="AT422" s="2" t="s">
        <v>33</v>
      </c>
      <c r="AU422" s="1">
        <f t="shared" si="51"/>
        <v>3.1089295617785515</v>
      </c>
      <c r="AV422" s="1">
        <f t="shared" si="52"/>
        <v>2.2416028364515239</v>
      </c>
      <c r="AW422" s="1">
        <f t="shared" si="53"/>
        <v>1.3742761111244961</v>
      </c>
    </row>
    <row r="423" spans="1:49" x14ac:dyDescent="0.2">
      <c r="A423">
        <v>421</v>
      </c>
      <c r="B423" t="s">
        <v>6602</v>
      </c>
      <c r="C423" t="s">
        <v>6601</v>
      </c>
      <c r="F423" t="s">
        <v>6600</v>
      </c>
      <c r="G423" t="s">
        <v>16</v>
      </c>
      <c r="H423" t="s">
        <v>15</v>
      </c>
      <c r="I423" t="s">
        <v>6599</v>
      </c>
      <c r="N423">
        <v>2</v>
      </c>
      <c r="O423" t="s">
        <v>6598</v>
      </c>
      <c r="P423" t="s">
        <v>6597</v>
      </c>
      <c r="Q423" t="s">
        <v>592</v>
      </c>
      <c r="R423" s="7">
        <v>33239</v>
      </c>
      <c r="S423" s="8">
        <f t="shared" si="48"/>
        <v>1991</v>
      </c>
      <c r="T423" s="8">
        <v>1991</v>
      </c>
      <c r="U423" s="8">
        <f t="shared" si="49"/>
        <v>31</v>
      </c>
      <c r="V423" s="7" t="s">
        <v>6557</v>
      </c>
      <c r="W423" t="s">
        <v>779</v>
      </c>
      <c r="X423" s="2">
        <v>0.371</v>
      </c>
      <c r="Y423" s="6">
        <f t="shared" si="54"/>
        <v>9.9036331117695747E-3</v>
      </c>
      <c r="AA423">
        <v>486604</v>
      </c>
      <c r="AB423">
        <v>28580</v>
      </c>
      <c r="AC423" t="s">
        <v>778</v>
      </c>
      <c r="AD423" t="s">
        <v>5</v>
      </c>
      <c r="AE423">
        <v>26</v>
      </c>
      <c r="AF423">
        <v>5</v>
      </c>
      <c r="AH423" t="s">
        <v>6596</v>
      </c>
      <c r="AI423" t="s">
        <v>6595</v>
      </c>
      <c r="AK423" t="s">
        <v>6594</v>
      </c>
      <c r="AL423">
        <v>3</v>
      </c>
      <c r="AM423" s="5">
        <f t="shared" si="50"/>
        <v>9.6774193548387094E-2</v>
      </c>
      <c r="AN423" s="4">
        <f t="shared" si="55"/>
        <v>1.4657204626790927E-4</v>
      </c>
      <c r="AO423" s="3"/>
      <c r="AP423">
        <v>0</v>
      </c>
      <c r="AR423" t="s">
        <v>0</v>
      </c>
      <c r="AT423" s="2">
        <v>1.431</v>
      </c>
      <c r="AU423" s="1">
        <f t="shared" si="51"/>
        <v>0.69765147921190751</v>
      </c>
      <c r="AV423" s="1">
        <f t="shared" si="52"/>
        <v>0.5025102579018742</v>
      </c>
      <c r="AW423" s="1">
        <f t="shared" si="53"/>
        <v>0.30736903659184089</v>
      </c>
    </row>
    <row r="424" spans="1:49" x14ac:dyDescent="0.2">
      <c r="A424">
        <v>422</v>
      </c>
      <c r="B424" t="s">
        <v>6593</v>
      </c>
      <c r="C424" t="s">
        <v>6592</v>
      </c>
      <c r="F424" t="s">
        <v>6591</v>
      </c>
      <c r="G424" t="s">
        <v>16</v>
      </c>
      <c r="H424" t="s">
        <v>15</v>
      </c>
      <c r="I424" t="s">
        <v>6590</v>
      </c>
      <c r="J424" t="s">
        <v>5419</v>
      </c>
      <c r="K424" t="s">
        <v>5418</v>
      </c>
      <c r="L424" t="s">
        <v>5417</v>
      </c>
      <c r="M424" t="s">
        <v>133</v>
      </c>
      <c r="N424">
        <v>3</v>
      </c>
      <c r="O424" t="s">
        <v>6589</v>
      </c>
      <c r="P424" t="s">
        <v>6588</v>
      </c>
      <c r="Q424" t="s">
        <v>6587</v>
      </c>
      <c r="R424" s="7">
        <v>33239</v>
      </c>
      <c r="S424" s="8">
        <f t="shared" si="48"/>
        <v>1991</v>
      </c>
      <c r="T424" s="8">
        <v>1991</v>
      </c>
      <c r="U424" s="8">
        <f t="shared" si="49"/>
        <v>31</v>
      </c>
      <c r="V424" s="7">
        <v>33482</v>
      </c>
      <c r="W424" t="s">
        <v>1807</v>
      </c>
      <c r="X424" s="2">
        <v>1.6519999999999999</v>
      </c>
      <c r="Y424" s="6">
        <f t="shared" si="54"/>
        <v>4.409919649769093E-2</v>
      </c>
      <c r="AA424" t="s">
        <v>1806</v>
      </c>
      <c r="AB424">
        <v>17337</v>
      </c>
      <c r="AC424">
        <v>15582221</v>
      </c>
      <c r="AD424" t="s">
        <v>5</v>
      </c>
      <c r="AE424">
        <v>39</v>
      </c>
      <c r="AF424">
        <v>9</v>
      </c>
      <c r="AH424" t="s">
        <v>6586</v>
      </c>
      <c r="AI424" t="s">
        <v>6585</v>
      </c>
      <c r="AK424" t="s">
        <v>6584</v>
      </c>
      <c r="AL424">
        <v>30</v>
      </c>
      <c r="AM424" s="5">
        <f t="shared" si="50"/>
        <v>0.967741935483871</v>
      </c>
      <c r="AN424" s="4">
        <f t="shared" si="55"/>
        <v>1.4657204626790927E-3</v>
      </c>
      <c r="AO424" s="3"/>
      <c r="AP424">
        <v>0</v>
      </c>
      <c r="AR424" t="s">
        <v>0</v>
      </c>
      <c r="AT424" s="2" t="s">
        <v>33</v>
      </c>
      <c r="AU424" s="1">
        <f t="shared" si="51"/>
        <v>3.1309153687187377</v>
      </c>
      <c r="AV424" s="1">
        <f t="shared" si="52"/>
        <v>2.2782458480185013</v>
      </c>
      <c r="AW424" s="1">
        <f t="shared" si="53"/>
        <v>1.4255763273182642</v>
      </c>
    </row>
    <row r="425" spans="1:49" x14ac:dyDescent="0.2">
      <c r="A425">
        <v>423</v>
      </c>
      <c r="B425" t="s">
        <v>6583</v>
      </c>
      <c r="C425" t="s">
        <v>6582</v>
      </c>
      <c r="F425" t="s">
        <v>6581</v>
      </c>
      <c r="G425" t="s">
        <v>16</v>
      </c>
      <c r="H425" t="s">
        <v>15</v>
      </c>
      <c r="I425" t="s">
        <v>6580</v>
      </c>
      <c r="N425">
        <v>1</v>
      </c>
      <c r="O425" t="s">
        <v>6579</v>
      </c>
      <c r="P425">
        <v>7402901490</v>
      </c>
      <c r="R425" s="7">
        <v>33239</v>
      </c>
      <c r="S425" s="8">
        <f t="shared" si="48"/>
        <v>1991</v>
      </c>
      <c r="T425" s="8">
        <v>1991</v>
      </c>
      <c r="U425" s="8">
        <f t="shared" si="49"/>
        <v>31</v>
      </c>
      <c r="V425" s="7">
        <v>33482</v>
      </c>
      <c r="W425" t="s">
        <v>1807</v>
      </c>
      <c r="X425" s="2">
        <v>1.6519999999999999</v>
      </c>
      <c r="Y425" s="6">
        <f t="shared" si="54"/>
        <v>4.409919649769093E-2</v>
      </c>
      <c r="AA425" t="s">
        <v>1806</v>
      </c>
      <c r="AB425">
        <v>17337</v>
      </c>
      <c r="AC425">
        <v>15582221</v>
      </c>
      <c r="AD425" t="s">
        <v>5</v>
      </c>
      <c r="AE425">
        <v>39</v>
      </c>
      <c r="AF425">
        <v>9</v>
      </c>
      <c r="AH425" t="s">
        <v>6578</v>
      </c>
      <c r="AI425" t="s">
        <v>6577</v>
      </c>
      <c r="AK425" t="s">
        <v>6576</v>
      </c>
      <c r="AL425">
        <v>2</v>
      </c>
      <c r="AM425" s="5">
        <f t="shared" si="50"/>
        <v>6.4516129032258063E-2</v>
      </c>
      <c r="AN425" s="4">
        <f t="shared" si="55"/>
        <v>9.7714697511939517E-5</v>
      </c>
      <c r="AO425" s="3"/>
      <c r="AP425">
        <v>0</v>
      </c>
      <c r="AR425" t="s">
        <v>0</v>
      </c>
      <c r="AT425" s="2" t="s">
        <v>33</v>
      </c>
      <c r="AU425" s="1">
        <f t="shared" si="51"/>
        <v>3.0898751957637232</v>
      </c>
      <c r="AV425" s="1">
        <f t="shared" si="52"/>
        <v>2.2098455597601436</v>
      </c>
      <c r="AW425" s="1">
        <f t="shared" si="53"/>
        <v>1.3298159237565637</v>
      </c>
    </row>
    <row r="426" spans="1:49" x14ac:dyDescent="0.2">
      <c r="A426">
        <v>424</v>
      </c>
      <c r="B426" t="s">
        <v>6575</v>
      </c>
      <c r="C426" t="s">
        <v>6574</v>
      </c>
      <c r="F426" t="s">
        <v>6573</v>
      </c>
      <c r="G426" t="s">
        <v>16</v>
      </c>
      <c r="H426" t="s">
        <v>15</v>
      </c>
      <c r="I426" t="s">
        <v>6572</v>
      </c>
      <c r="J426">
        <v>60030480</v>
      </c>
      <c r="K426" t="s">
        <v>6571</v>
      </c>
      <c r="L426" t="s">
        <v>6570</v>
      </c>
      <c r="M426" t="s">
        <v>117</v>
      </c>
      <c r="N426">
        <v>2</v>
      </c>
      <c r="O426" t="s">
        <v>6569</v>
      </c>
      <c r="P426" t="s">
        <v>6568</v>
      </c>
      <c r="Q426" t="s">
        <v>6567</v>
      </c>
      <c r="R426" s="7">
        <v>33239</v>
      </c>
      <c r="S426" s="8">
        <f t="shared" si="48"/>
        <v>1991</v>
      </c>
      <c r="T426" s="8">
        <v>1991</v>
      </c>
      <c r="U426" s="8">
        <f t="shared" si="49"/>
        <v>31</v>
      </c>
      <c r="V426" s="7">
        <v>33482</v>
      </c>
      <c r="W426" t="s">
        <v>1807</v>
      </c>
      <c r="X426" s="2">
        <v>1.6519999999999999</v>
      </c>
      <c r="Y426" s="6">
        <f t="shared" si="54"/>
        <v>4.409919649769093E-2</v>
      </c>
      <c r="AA426" t="s">
        <v>1806</v>
      </c>
      <c r="AB426">
        <v>17337</v>
      </c>
      <c r="AC426">
        <v>15582221</v>
      </c>
      <c r="AD426" t="s">
        <v>5</v>
      </c>
      <c r="AE426">
        <v>39</v>
      </c>
      <c r="AF426">
        <v>9</v>
      </c>
      <c r="AH426" t="s">
        <v>6566</v>
      </c>
      <c r="AI426" t="s">
        <v>6565</v>
      </c>
      <c r="AK426" t="s">
        <v>6564</v>
      </c>
      <c r="AL426">
        <v>12</v>
      </c>
      <c r="AM426" s="5">
        <f t="shared" si="50"/>
        <v>0.38709677419354838</v>
      </c>
      <c r="AN426" s="4">
        <f t="shared" si="55"/>
        <v>5.8628818507163707E-4</v>
      </c>
      <c r="AO426" s="3"/>
      <c r="AP426">
        <v>0</v>
      </c>
      <c r="AR426" t="s">
        <v>0</v>
      </c>
      <c r="AT426" s="2" t="s">
        <v>33</v>
      </c>
      <c r="AU426" s="1">
        <f t="shared" si="51"/>
        <v>3.1045324003905144</v>
      </c>
      <c r="AV426" s="1">
        <f t="shared" si="52"/>
        <v>2.2342742341381285</v>
      </c>
      <c r="AW426" s="1">
        <f t="shared" si="53"/>
        <v>1.3640160678857423</v>
      </c>
    </row>
    <row r="427" spans="1:49" x14ac:dyDescent="0.2">
      <c r="A427">
        <v>425</v>
      </c>
      <c r="B427" t="s">
        <v>6563</v>
      </c>
      <c r="C427" t="s">
        <v>6562</v>
      </c>
      <c r="F427" t="s">
        <v>6561</v>
      </c>
      <c r="G427" t="s">
        <v>16</v>
      </c>
      <c r="H427" t="s">
        <v>15</v>
      </c>
      <c r="I427" t="s">
        <v>6560</v>
      </c>
      <c r="N427">
        <v>4</v>
      </c>
      <c r="O427" t="s">
        <v>6559</v>
      </c>
      <c r="P427" t="s">
        <v>6558</v>
      </c>
      <c r="Q427" t="s">
        <v>1517</v>
      </c>
      <c r="R427" s="7">
        <v>33239</v>
      </c>
      <c r="S427" s="8">
        <f t="shared" si="48"/>
        <v>1991</v>
      </c>
      <c r="T427" s="8">
        <v>1991</v>
      </c>
      <c r="U427" s="8">
        <f t="shared" si="49"/>
        <v>31</v>
      </c>
      <c r="V427" s="7" t="s">
        <v>6557</v>
      </c>
      <c r="W427" t="s">
        <v>779</v>
      </c>
      <c r="X427" s="2">
        <v>0.371</v>
      </c>
      <c r="Y427" s="6">
        <f t="shared" si="54"/>
        <v>9.9036331117695747E-3</v>
      </c>
      <c r="AA427">
        <v>486604</v>
      </c>
      <c r="AB427">
        <v>28580</v>
      </c>
      <c r="AC427" t="s">
        <v>778</v>
      </c>
      <c r="AD427" t="s">
        <v>5</v>
      </c>
      <c r="AE427">
        <v>26</v>
      </c>
      <c r="AF427">
        <v>5</v>
      </c>
      <c r="AH427" t="s">
        <v>6556</v>
      </c>
      <c r="AI427" t="s">
        <v>6555</v>
      </c>
      <c r="AK427" t="s">
        <v>6554</v>
      </c>
      <c r="AL427">
        <v>8</v>
      </c>
      <c r="AM427" s="5">
        <f t="shared" si="50"/>
        <v>0.25806451612903225</v>
      </c>
      <c r="AN427" s="4">
        <f t="shared" si="55"/>
        <v>3.9085879004775807E-4</v>
      </c>
      <c r="AO427" s="3"/>
      <c r="AP427">
        <v>0</v>
      </c>
      <c r="AR427" t="s">
        <v>0</v>
      </c>
      <c r="AT427" s="2">
        <v>1.431</v>
      </c>
      <c r="AU427" s="1">
        <f t="shared" si="51"/>
        <v>0.70498008152530289</v>
      </c>
      <c r="AV427" s="1">
        <f t="shared" si="52"/>
        <v>0.51472459509086654</v>
      </c>
      <c r="AW427" s="1">
        <f t="shared" si="53"/>
        <v>0.32446910865643031</v>
      </c>
    </row>
    <row r="428" spans="1:49" x14ac:dyDescent="0.2">
      <c r="A428">
        <v>426</v>
      </c>
      <c r="B428" t="s">
        <v>6553</v>
      </c>
      <c r="C428" t="s">
        <v>6552</v>
      </c>
      <c r="F428" t="s">
        <v>6551</v>
      </c>
      <c r="G428" t="s">
        <v>16</v>
      </c>
      <c r="H428" t="s">
        <v>15</v>
      </c>
      <c r="I428" t="s">
        <v>6550</v>
      </c>
      <c r="J428">
        <v>60031544</v>
      </c>
      <c r="K428" t="s">
        <v>6549</v>
      </c>
      <c r="L428" t="s">
        <v>6548</v>
      </c>
      <c r="M428" t="s">
        <v>1207</v>
      </c>
      <c r="N428">
        <v>5</v>
      </c>
      <c r="O428" t="s">
        <v>6547</v>
      </c>
      <c r="P428" t="s">
        <v>6546</v>
      </c>
      <c r="Q428" t="s">
        <v>6545</v>
      </c>
      <c r="R428" s="7">
        <v>33239</v>
      </c>
      <c r="S428" s="8">
        <f t="shared" si="48"/>
        <v>1991</v>
      </c>
      <c r="T428" s="8">
        <v>1991</v>
      </c>
      <c r="U428" s="8">
        <f t="shared" si="49"/>
        <v>31</v>
      </c>
      <c r="V428" s="7">
        <v>33482</v>
      </c>
      <c r="W428" t="s">
        <v>561</v>
      </c>
      <c r="X428" s="2">
        <v>0.30399999999999999</v>
      </c>
      <c r="Y428" s="6">
        <f t="shared" si="54"/>
        <v>8.115106377299057E-3</v>
      </c>
      <c r="AA428">
        <v>8952477</v>
      </c>
      <c r="AB428">
        <v>12250</v>
      </c>
      <c r="AC428">
        <v>10982760</v>
      </c>
      <c r="AD428" t="s">
        <v>5</v>
      </c>
      <c r="AE428">
        <v>4</v>
      </c>
      <c r="AF428">
        <v>10</v>
      </c>
      <c r="AH428" t="s">
        <v>6544</v>
      </c>
      <c r="AI428" t="s">
        <v>6543</v>
      </c>
      <c r="AJ428" t="s">
        <v>6542</v>
      </c>
      <c r="AK428" t="s">
        <v>6541</v>
      </c>
      <c r="AL428">
        <v>9</v>
      </c>
      <c r="AM428" s="5">
        <f t="shared" si="50"/>
        <v>0.29032258064516131</v>
      </c>
      <c r="AN428" s="4">
        <f t="shared" si="55"/>
        <v>4.3971613880372783E-4</v>
      </c>
      <c r="AO428" s="3"/>
      <c r="AP428">
        <v>0</v>
      </c>
      <c r="AR428" t="s">
        <v>0</v>
      </c>
      <c r="AT428" s="2" t="s">
        <v>33</v>
      </c>
      <c r="AU428" s="1">
        <f t="shared" si="51"/>
        <v>0.58124893057504579</v>
      </c>
      <c r="AV428" s="1">
        <f t="shared" si="52"/>
        <v>0.42774112580513929</v>
      </c>
      <c r="AW428" s="1">
        <f t="shared" si="53"/>
        <v>0.27423332103523268</v>
      </c>
    </row>
    <row r="429" spans="1:49" x14ac:dyDescent="0.2">
      <c r="A429">
        <v>427</v>
      </c>
      <c r="B429" t="s">
        <v>6540</v>
      </c>
      <c r="C429" t="s">
        <v>6539</v>
      </c>
      <c r="F429" t="s">
        <v>6538</v>
      </c>
      <c r="G429" t="s">
        <v>16</v>
      </c>
      <c r="H429" t="s">
        <v>15</v>
      </c>
      <c r="I429" t="s">
        <v>6537</v>
      </c>
      <c r="J429">
        <v>60019656</v>
      </c>
      <c r="K429" t="s">
        <v>6536</v>
      </c>
      <c r="L429" t="s">
        <v>1394</v>
      </c>
      <c r="M429" t="s">
        <v>117</v>
      </c>
      <c r="N429">
        <v>1</v>
      </c>
      <c r="O429" t="s">
        <v>6535</v>
      </c>
      <c r="P429">
        <v>7007049394</v>
      </c>
      <c r="Q429">
        <v>60019656</v>
      </c>
      <c r="R429" s="7">
        <v>33239</v>
      </c>
      <c r="S429" s="8">
        <f t="shared" si="48"/>
        <v>1991</v>
      </c>
      <c r="T429" s="8">
        <v>1991</v>
      </c>
      <c r="U429" s="8">
        <f t="shared" si="49"/>
        <v>31</v>
      </c>
      <c r="V429" s="7">
        <v>33482</v>
      </c>
      <c r="W429" t="s">
        <v>561</v>
      </c>
      <c r="X429" s="2">
        <v>0.30399999999999999</v>
      </c>
      <c r="Y429" s="6">
        <f t="shared" si="54"/>
        <v>8.115106377299057E-3</v>
      </c>
      <c r="AA429">
        <v>8952477</v>
      </c>
      <c r="AB429">
        <v>12250</v>
      </c>
      <c r="AC429">
        <v>10982760</v>
      </c>
      <c r="AD429" t="s">
        <v>5</v>
      </c>
      <c r="AE429">
        <v>4</v>
      </c>
      <c r="AF429">
        <v>10</v>
      </c>
      <c r="AH429" t="s">
        <v>6534</v>
      </c>
      <c r="AI429" t="s">
        <v>6533</v>
      </c>
      <c r="AK429" t="s">
        <v>6532</v>
      </c>
      <c r="AL429">
        <v>2</v>
      </c>
      <c r="AM429" s="5">
        <f t="shared" si="50"/>
        <v>6.4516129032258063E-2</v>
      </c>
      <c r="AN429" s="4">
        <f t="shared" si="55"/>
        <v>9.7714697511939517E-5</v>
      </c>
      <c r="AO429" s="3"/>
      <c r="AP429">
        <v>0</v>
      </c>
      <c r="AR429" t="s">
        <v>0</v>
      </c>
      <c r="AT429" s="2" t="s">
        <v>33</v>
      </c>
      <c r="AU429" s="1">
        <f t="shared" si="51"/>
        <v>0.57098888733629205</v>
      </c>
      <c r="AV429" s="1">
        <f t="shared" si="52"/>
        <v>0.41064105374054982</v>
      </c>
      <c r="AW429" s="1">
        <f t="shared" si="53"/>
        <v>0.25029322014480748</v>
      </c>
    </row>
    <row r="430" spans="1:49" x14ac:dyDescent="0.2">
      <c r="A430">
        <v>428</v>
      </c>
      <c r="B430" t="s">
        <v>6531</v>
      </c>
      <c r="C430" t="s">
        <v>6530</v>
      </c>
      <c r="F430" t="s">
        <v>6529</v>
      </c>
      <c r="G430" t="s">
        <v>16</v>
      </c>
      <c r="H430" t="s">
        <v>15</v>
      </c>
      <c r="I430" t="s">
        <v>6528</v>
      </c>
      <c r="J430" t="s">
        <v>6523</v>
      </c>
      <c r="K430" t="s">
        <v>6527</v>
      </c>
      <c r="L430" t="s">
        <v>6526</v>
      </c>
      <c r="M430" t="s">
        <v>133</v>
      </c>
      <c r="N430">
        <v>2</v>
      </c>
      <c r="O430" t="s">
        <v>6525</v>
      </c>
      <c r="P430" t="s">
        <v>6524</v>
      </c>
      <c r="Q430" t="s">
        <v>6523</v>
      </c>
      <c r="R430" s="7">
        <v>33239</v>
      </c>
      <c r="S430" s="8">
        <f t="shared" si="48"/>
        <v>1991</v>
      </c>
      <c r="T430" s="8">
        <v>1991</v>
      </c>
      <c r="U430" s="8">
        <f t="shared" si="49"/>
        <v>31</v>
      </c>
      <c r="V430" s="7">
        <v>33482</v>
      </c>
      <c r="W430" t="s">
        <v>1807</v>
      </c>
      <c r="X430" s="2">
        <v>1.6519999999999999</v>
      </c>
      <c r="Y430" s="6">
        <f t="shared" si="54"/>
        <v>4.409919649769093E-2</v>
      </c>
      <c r="AA430" t="s">
        <v>1806</v>
      </c>
      <c r="AB430">
        <v>17337</v>
      </c>
      <c r="AC430">
        <v>15582221</v>
      </c>
      <c r="AD430" t="s">
        <v>5</v>
      </c>
      <c r="AE430">
        <v>39</v>
      </c>
      <c r="AF430">
        <v>9</v>
      </c>
      <c r="AH430" t="s">
        <v>6522</v>
      </c>
      <c r="AI430" t="s">
        <v>6521</v>
      </c>
      <c r="AK430" t="s">
        <v>6520</v>
      </c>
      <c r="AL430">
        <v>7</v>
      </c>
      <c r="AM430" s="5">
        <f t="shared" si="50"/>
        <v>0.22580645161290322</v>
      </c>
      <c r="AN430" s="4">
        <f t="shared" si="55"/>
        <v>3.420014412917883E-4</v>
      </c>
      <c r="AO430" s="3"/>
      <c r="AP430">
        <v>0</v>
      </c>
      <c r="AR430" t="s">
        <v>0</v>
      </c>
      <c r="AT430" s="2" t="s">
        <v>33</v>
      </c>
      <c r="AU430" s="1">
        <f t="shared" si="51"/>
        <v>3.0972037980771185</v>
      </c>
      <c r="AV430" s="1">
        <f t="shared" si="52"/>
        <v>2.2220598969491361</v>
      </c>
      <c r="AW430" s="1">
        <f t="shared" si="53"/>
        <v>1.346915995821153</v>
      </c>
    </row>
    <row r="431" spans="1:49" x14ac:dyDescent="0.2">
      <c r="A431">
        <v>429</v>
      </c>
      <c r="B431" t="s">
        <v>6519</v>
      </c>
      <c r="C431" t="s">
        <v>6518</v>
      </c>
      <c r="F431" t="s">
        <v>6517</v>
      </c>
      <c r="G431" t="s">
        <v>16</v>
      </c>
      <c r="H431" t="s">
        <v>15</v>
      </c>
      <c r="I431" t="s">
        <v>6516</v>
      </c>
      <c r="J431">
        <v>60085421</v>
      </c>
      <c r="K431" t="s">
        <v>6515</v>
      </c>
      <c r="L431" t="s">
        <v>6514</v>
      </c>
      <c r="M431" t="s">
        <v>272</v>
      </c>
      <c r="N431">
        <v>1</v>
      </c>
      <c r="O431" t="s">
        <v>6513</v>
      </c>
      <c r="P431">
        <v>6602878938</v>
      </c>
      <c r="Q431">
        <v>60085421</v>
      </c>
      <c r="R431" s="7">
        <v>33239</v>
      </c>
      <c r="S431" s="8">
        <f t="shared" si="48"/>
        <v>1991</v>
      </c>
      <c r="T431" s="8">
        <v>1991</v>
      </c>
      <c r="U431" s="8">
        <f t="shared" si="49"/>
        <v>31</v>
      </c>
      <c r="V431" s="7">
        <v>33482</v>
      </c>
      <c r="W431" t="s">
        <v>1807</v>
      </c>
      <c r="X431" s="2">
        <v>1.6519999999999999</v>
      </c>
      <c r="Y431" s="6">
        <f t="shared" si="54"/>
        <v>4.409919649769093E-2</v>
      </c>
      <c r="AA431" t="s">
        <v>1806</v>
      </c>
      <c r="AB431">
        <v>17337</v>
      </c>
      <c r="AC431">
        <v>15582221</v>
      </c>
      <c r="AD431" t="s">
        <v>5</v>
      </c>
      <c r="AE431">
        <v>39</v>
      </c>
      <c r="AF431">
        <v>9</v>
      </c>
      <c r="AH431" t="s">
        <v>6512</v>
      </c>
      <c r="AI431" t="s">
        <v>6511</v>
      </c>
      <c r="AK431" t="s">
        <v>6510</v>
      </c>
      <c r="AL431">
        <v>35</v>
      </c>
      <c r="AM431" s="5">
        <f t="shared" si="50"/>
        <v>1.1290322580645162</v>
      </c>
      <c r="AN431" s="4">
        <f t="shared" si="55"/>
        <v>1.7100072064589417E-3</v>
      </c>
      <c r="AO431" s="3"/>
      <c r="AP431">
        <v>0</v>
      </c>
      <c r="AR431" t="s">
        <v>0</v>
      </c>
      <c r="AT431" s="2" t="s">
        <v>33</v>
      </c>
      <c r="AU431" s="1">
        <f t="shared" si="51"/>
        <v>3.1382439710321335</v>
      </c>
      <c r="AV431" s="1">
        <f t="shared" si="52"/>
        <v>2.2904601852074933</v>
      </c>
      <c r="AW431" s="1">
        <f t="shared" si="53"/>
        <v>1.4426763993828537</v>
      </c>
    </row>
    <row r="432" spans="1:49" x14ac:dyDescent="0.2">
      <c r="A432">
        <v>430</v>
      </c>
      <c r="B432" t="s">
        <v>6509</v>
      </c>
      <c r="C432" t="s">
        <v>6508</v>
      </c>
      <c r="F432" t="s">
        <v>6507</v>
      </c>
      <c r="G432" t="s">
        <v>16</v>
      </c>
      <c r="H432" t="s">
        <v>15</v>
      </c>
      <c r="I432" t="s">
        <v>6506</v>
      </c>
      <c r="N432">
        <v>1</v>
      </c>
      <c r="O432" t="s">
        <v>6505</v>
      </c>
      <c r="P432">
        <v>7006486806</v>
      </c>
      <c r="R432" s="7">
        <v>33239</v>
      </c>
      <c r="S432" s="8">
        <f t="shared" si="48"/>
        <v>1991</v>
      </c>
      <c r="T432" s="8">
        <v>1991</v>
      </c>
      <c r="U432" s="8">
        <f t="shared" si="49"/>
        <v>31</v>
      </c>
      <c r="V432" s="7">
        <v>1991</v>
      </c>
      <c r="W432" t="s">
        <v>6504</v>
      </c>
      <c r="X432" s="2">
        <v>0.2</v>
      </c>
      <c r="Y432" s="6">
        <f t="shared" si="54"/>
        <v>5.3388857745388539E-3</v>
      </c>
      <c r="AA432">
        <v>161136</v>
      </c>
      <c r="AB432">
        <v>16718</v>
      </c>
      <c r="AC432">
        <v>21916349</v>
      </c>
      <c r="AD432" t="s">
        <v>5</v>
      </c>
      <c r="AE432">
        <v>45</v>
      </c>
      <c r="AF432" s="9">
        <v>44478</v>
      </c>
      <c r="AH432" t="s">
        <v>6503</v>
      </c>
      <c r="AI432" t="s">
        <v>6502</v>
      </c>
      <c r="AK432" t="s">
        <v>6501</v>
      </c>
      <c r="AL432">
        <v>0</v>
      </c>
      <c r="AM432" s="5">
        <f t="shared" si="50"/>
        <v>0</v>
      </c>
      <c r="AN432" s="4">
        <f t="shared" si="55"/>
        <v>0</v>
      </c>
      <c r="AO432" s="3"/>
      <c r="AP432">
        <v>0</v>
      </c>
      <c r="AR432" t="s">
        <v>0</v>
      </c>
      <c r="AT432" s="2">
        <v>0.72599999999999998</v>
      </c>
      <c r="AU432" s="1">
        <f t="shared" si="51"/>
        <v>0.37372200421771973</v>
      </c>
      <c r="AV432" s="1">
        <f t="shared" si="52"/>
        <v>0.2669442887269427</v>
      </c>
      <c r="AW432" s="1">
        <f t="shared" si="53"/>
        <v>0.16016657323616562</v>
      </c>
    </row>
    <row r="433" spans="1:49" x14ac:dyDescent="0.2">
      <c r="A433">
        <v>431</v>
      </c>
      <c r="B433" t="s">
        <v>6500</v>
      </c>
      <c r="C433" t="s">
        <v>6499</v>
      </c>
      <c r="F433" t="s">
        <v>6498</v>
      </c>
      <c r="G433" t="s">
        <v>16</v>
      </c>
      <c r="H433" t="s">
        <v>15</v>
      </c>
      <c r="I433" t="s">
        <v>6497</v>
      </c>
      <c r="J433">
        <v>60032315</v>
      </c>
      <c r="K433" t="s">
        <v>6496</v>
      </c>
      <c r="L433" t="s">
        <v>5179</v>
      </c>
      <c r="M433" t="s">
        <v>326</v>
      </c>
      <c r="N433">
        <v>2</v>
      </c>
      <c r="O433" t="s">
        <v>6495</v>
      </c>
      <c r="P433" t="s">
        <v>6494</v>
      </c>
      <c r="Q433" t="s">
        <v>6493</v>
      </c>
      <c r="R433" s="7">
        <v>33239</v>
      </c>
      <c r="S433" s="8">
        <f t="shared" ref="S433:S496" si="56">YEAR(R433)</f>
        <v>1991</v>
      </c>
      <c r="T433" s="8">
        <v>1991</v>
      </c>
      <c r="U433" s="8">
        <f t="shared" ref="U433:U496" si="57">2022-T433</f>
        <v>31</v>
      </c>
      <c r="V433" s="7">
        <v>33482</v>
      </c>
      <c r="W433" t="s">
        <v>1807</v>
      </c>
      <c r="X433" s="2">
        <v>1.6519999999999999</v>
      </c>
      <c r="Y433" s="6">
        <f t="shared" si="54"/>
        <v>4.409919649769093E-2</v>
      </c>
      <c r="AA433" t="s">
        <v>1806</v>
      </c>
      <c r="AB433">
        <v>17337</v>
      </c>
      <c r="AC433">
        <v>15582221</v>
      </c>
      <c r="AD433" t="s">
        <v>5</v>
      </c>
      <c r="AE433">
        <v>39</v>
      </c>
      <c r="AF433">
        <v>9</v>
      </c>
      <c r="AH433" t="s">
        <v>6492</v>
      </c>
      <c r="AI433" t="s">
        <v>6491</v>
      </c>
      <c r="AK433" t="s">
        <v>6490</v>
      </c>
      <c r="AL433">
        <v>6</v>
      </c>
      <c r="AM433" s="5">
        <f t="shared" ref="AM433:AM496" si="58">AL433/U433</f>
        <v>0.19354838709677419</v>
      </c>
      <c r="AN433" s="4">
        <f t="shared" si="55"/>
        <v>2.9314409253581854E-4</v>
      </c>
      <c r="AO433" s="3"/>
      <c r="AP433">
        <v>0</v>
      </c>
      <c r="AR433" t="s">
        <v>0</v>
      </c>
      <c r="AT433" s="2" t="s">
        <v>33</v>
      </c>
      <c r="AU433" s="1">
        <f t="shared" ref="AU433:AU496" si="59">(Y433*0.7+AN433*0.3)*100</f>
        <v>3.0957380776144396</v>
      </c>
      <c r="AV433" s="1">
        <f t="shared" ref="AV433:AV496" si="60">(Y433*0.5+AN433*0.5)*100</f>
        <v>2.2196170295113378</v>
      </c>
      <c r="AW433" s="1">
        <f t="shared" ref="AW433:AW496" si="61">(Y433*0.3+AN433*0.7)*100</f>
        <v>1.3434959814082352</v>
      </c>
    </row>
    <row r="434" spans="1:49" x14ac:dyDescent="0.2">
      <c r="A434">
        <v>432</v>
      </c>
      <c r="B434" t="s">
        <v>6489</v>
      </c>
      <c r="C434" t="s">
        <v>6488</v>
      </c>
      <c r="F434" t="s">
        <v>6487</v>
      </c>
      <c r="G434" t="s">
        <v>16</v>
      </c>
      <c r="H434" t="s">
        <v>15</v>
      </c>
      <c r="I434" t="s">
        <v>4972</v>
      </c>
      <c r="J434">
        <v>60032179</v>
      </c>
      <c r="K434" t="s">
        <v>4971</v>
      </c>
      <c r="L434" t="s">
        <v>4970</v>
      </c>
      <c r="M434" t="s">
        <v>57</v>
      </c>
      <c r="N434">
        <v>1</v>
      </c>
      <c r="O434" t="s">
        <v>4969</v>
      </c>
      <c r="P434">
        <v>7006765697</v>
      </c>
      <c r="Q434">
        <v>60032179</v>
      </c>
      <c r="R434" s="7">
        <v>33239</v>
      </c>
      <c r="S434" s="8">
        <f t="shared" si="56"/>
        <v>1991</v>
      </c>
      <c r="T434" s="8">
        <v>1991</v>
      </c>
      <c r="U434" s="8">
        <f t="shared" si="57"/>
        <v>31</v>
      </c>
      <c r="V434" s="7">
        <v>33482</v>
      </c>
      <c r="W434" t="s">
        <v>2747</v>
      </c>
      <c r="X434" s="2">
        <v>1.6379999999999999</v>
      </c>
      <c r="Y434" s="6">
        <f t="shared" si="54"/>
        <v>4.3725474493473214E-2</v>
      </c>
      <c r="AA434" t="s">
        <v>2746</v>
      </c>
      <c r="AB434">
        <v>17391</v>
      </c>
      <c r="AC434">
        <v>19410476</v>
      </c>
      <c r="AD434" t="s">
        <v>5</v>
      </c>
      <c r="AE434">
        <v>39</v>
      </c>
      <c r="AF434">
        <v>9</v>
      </c>
      <c r="AH434" t="s">
        <v>6486</v>
      </c>
      <c r="AI434" t="s">
        <v>6485</v>
      </c>
      <c r="AK434" t="s">
        <v>6484</v>
      </c>
      <c r="AL434">
        <v>74</v>
      </c>
      <c r="AM434" s="5">
        <f t="shared" si="58"/>
        <v>2.3870967741935485</v>
      </c>
      <c r="AN434" s="4">
        <f t="shared" si="55"/>
        <v>3.6154438079417624E-3</v>
      </c>
      <c r="AO434" s="3"/>
      <c r="AP434">
        <v>0</v>
      </c>
      <c r="AR434" t="s">
        <v>0</v>
      </c>
      <c r="AT434" s="2">
        <v>4.931</v>
      </c>
      <c r="AU434" s="1">
        <f t="shared" si="59"/>
        <v>3.1692465287813776</v>
      </c>
      <c r="AV434" s="1">
        <f t="shared" si="60"/>
        <v>2.367045915070749</v>
      </c>
      <c r="AW434" s="1">
        <f t="shared" si="61"/>
        <v>1.5648453013601196</v>
      </c>
    </row>
    <row r="435" spans="1:49" x14ac:dyDescent="0.2">
      <c r="A435">
        <v>433</v>
      </c>
      <c r="B435" t="s">
        <v>6483</v>
      </c>
      <c r="C435" t="s">
        <v>6482</v>
      </c>
      <c r="F435" t="s">
        <v>6481</v>
      </c>
      <c r="G435" t="s">
        <v>16</v>
      </c>
      <c r="H435" t="s">
        <v>15</v>
      </c>
      <c r="I435" t="s">
        <v>6480</v>
      </c>
      <c r="J435">
        <v>60022195</v>
      </c>
      <c r="K435" t="s">
        <v>790</v>
      </c>
      <c r="L435" t="s">
        <v>789</v>
      </c>
      <c r="M435" t="s">
        <v>57</v>
      </c>
      <c r="N435">
        <v>3</v>
      </c>
      <c r="O435" t="s">
        <v>6479</v>
      </c>
      <c r="P435" t="s">
        <v>6478</v>
      </c>
      <c r="Q435" t="s">
        <v>6477</v>
      </c>
      <c r="R435" s="7">
        <v>33239</v>
      </c>
      <c r="S435" s="8">
        <f t="shared" si="56"/>
        <v>1991</v>
      </c>
      <c r="T435" s="8">
        <v>1991</v>
      </c>
      <c r="U435" s="8">
        <f t="shared" si="57"/>
        <v>31</v>
      </c>
      <c r="V435" s="7">
        <v>33482</v>
      </c>
      <c r="W435" t="s">
        <v>1807</v>
      </c>
      <c r="X435" s="2">
        <v>1.6519999999999999</v>
      </c>
      <c r="Y435" s="6">
        <f t="shared" si="54"/>
        <v>4.409919649769093E-2</v>
      </c>
      <c r="AA435" t="s">
        <v>1806</v>
      </c>
      <c r="AB435">
        <v>17337</v>
      </c>
      <c r="AC435">
        <v>15582221</v>
      </c>
      <c r="AD435" t="s">
        <v>5</v>
      </c>
      <c r="AE435">
        <v>39</v>
      </c>
      <c r="AF435">
        <v>9</v>
      </c>
      <c r="AH435" t="s">
        <v>6476</v>
      </c>
      <c r="AI435" t="s">
        <v>6475</v>
      </c>
      <c r="AK435" t="s">
        <v>6474</v>
      </c>
      <c r="AL435">
        <v>5</v>
      </c>
      <c r="AM435" s="5">
        <f t="shared" si="58"/>
        <v>0.16129032258064516</v>
      </c>
      <c r="AN435" s="4">
        <f t="shared" si="55"/>
        <v>2.4428674377984877E-4</v>
      </c>
      <c r="AO435" s="3"/>
      <c r="AP435">
        <v>0</v>
      </c>
      <c r="AR435" t="s">
        <v>0</v>
      </c>
      <c r="AT435" s="2" t="s">
        <v>33</v>
      </c>
      <c r="AU435" s="1">
        <f t="shared" si="59"/>
        <v>3.0942723571517607</v>
      </c>
      <c r="AV435" s="1">
        <f t="shared" si="60"/>
        <v>2.217174162073539</v>
      </c>
      <c r="AW435" s="1">
        <f t="shared" si="61"/>
        <v>1.3400759669953173</v>
      </c>
    </row>
    <row r="436" spans="1:49" x14ac:dyDescent="0.2">
      <c r="A436">
        <v>434</v>
      </c>
      <c r="B436" t="s">
        <v>6473</v>
      </c>
      <c r="C436" t="s">
        <v>6472</v>
      </c>
      <c r="F436" t="s">
        <v>6471</v>
      </c>
      <c r="G436" t="s">
        <v>16</v>
      </c>
      <c r="H436" t="s">
        <v>15</v>
      </c>
      <c r="I436" t="s">
        <v>6470</v>
      </c>
      <c r="N436">
        <v>1</v>
      </c>
      <c r="O436" t="s">
        <v>3463</v>
      </c>
      <c r="P436">
        <v>24512080300</v>
      </c>
      <c r="R436" s="7">
        <v>33239</v>
      </c>
      <c r="S436" s="8">
        <f t="shared" si="56"/>
        <v>1991</v>
      </c>
      <c r="T436" s="8">
        <v>1991</v>
      </c>
      <c r="U436" s="8">
        <f t="shared" si="57"/>
        <v>31</v>
      </c>
      <c r="V436" s="7">
        <v>33482</v>
      </c>
      <c r="W436" t="s">
        <v>731</v>
      </c>
      <c r="X436" s="2">
        <v>1.3720000000000001</v>
      </c>
      <c r="Y436" s="6">
        <f t="shared" si="54"/>
        <v>3.662475641333654E-2</v>
      </c>
      <c r="AA436">
        <v>189480</v>
      </c>
      <c r="AB436">
        <v>17366</v>
      </c>
      <c r="AC436">
        <v>15579670</v>
      </c>
      <c r="AD436" t="s">
        <v>5</v>
      </c>
      <c r="AE436">
        <v>39</v>
      </c>
      <c r="AF436">
        <v>9</v>
      </c>
      <c r="AH436" t="s">
        <v>6469</v>
      </c>
      <c r="AI436" t="s">
        <v>6468</v>
      </c>
      <c r="AK436" t="s">
        <v>6467</v>
      </c>
      <c r="AL436">
        <v>37</v>
      </c>
      <c r="AM436" s="5">
        <f t="shared" si="58"/>
        <v>1.1935483870967742</v>
      </c>
      <c r="AN436" s="4">
        <f t="shared" si="55"/>
        <v>1.8077219039708812E-3</v>
      </c>
      <c r="AO436" s="3"/>
      <c r="AP436">
        <v>0</v>
      </c>
      <c r="AR436" t="s">
        <v>0</v>
      </c>
      <c r="AT436" s="2" t="s">
        <v>33</v>
      </c>
      <c r="AU436" s="1">
        <f t="shared" si="59"/>
        <v>2.6179646060526842</v>
      </c>
      <c r="AV436" s="1">
        <f t="shared" si="60"/>
        <v>1.9216239158653712</v>
      </c>
      <c r="AW436" s="1">
        <f t="shared" si="61"/>
        <v>1.2252832256780579</v>
      </c>
    </row>
    <row r="437" spans="1:49" x14ac:dyDescent="0.2">
      <c r="A437">
        <v>435</v>
      </c>
      <c r="B437" t="s">
        <v>6466</v>
      </c>
      <c r="C437" t="s">
        <v>6465</v>
      </c>
      <c r="F437" t="s">
        <v>6464</v>
      </c>
      <c r="G437" t="s">
        <v>16</v>
      </c>
      <c r="H437" t="s">
        <v>15</v>
      </c>
      <c r="I437" t="s">
        <v>6463</v>
      </c>
      <c r="J437">
        <v>60000617</v>
      </c>
      <c r="K437" t="s">
        <v>6462</v>
      </c>
      <c r="L437" t="s">
        <v>6461</v>
      </c>
      <c r="M437" t="s">
        <v>6460</v>
      </c>
      <c r="N437">
        <v>1</v>
      </c>
      <c r="O437" t="s">
        <v>6459</v>
      </c>
      <c r="P437">
        <v>35936069800</v>
      </c>
      <c r="Q437">
        <v>60000617</v>
      </c>
      <c r="R437" s="7">
        <v>33239</v>
      </c>
      <c r="S437" s="8">
        <f t="shared" si="56"/>
        <v>1991</v>
      </c>
      <c r="T437" s="8">
        <v>1991</v>
      </c>
      <c r="U437" s="8">
        <f t="shared" si="57"/>
        <v>31</v>
      </c>
      <c r="V437" s="7">
        <v>33482</v>
      </c>
      <c r="W437" t="s">
        <v>3695</v>
      </c>
      <c r="X437" s="2">
        <v>0.251</v>
      </c>
      <c r="Y437" s="6">
        <f t="shared" si="54"/>
        <v>6.7003016470462617E-3</v>
      </c>
      <c r="AA437">
        <v>207217</v>
      </c>
      <c r="AB437">
        <v>26145</v>
      </c>
      <c r="AC437">
        <v>13623060</v>
      </c>
      <c r="AD437" t="s">
        <v>5</v>
      </c>
      <c r="AE437">
        <v>71</v>
      </c>
      <c r="AF437">
        <v>3</v>
      </c>
      <c r="AH437" t="s">
        <v>6458</v>
      </c>
      <c r="AI437" t="s">
        <v>6457</v>
      </c>
      <c r="AK437" t="s">
        <v>6456</v>
      </c>
      <c r="AL437">
        <v>0</v>
      </c>
      <c r="AM437" s="5">
        <f t="shared" si="58"/>
        <v>0</v>
      </c>
      <c r="AN437" s="4">
        <f t="shared" si="55"/>
        <v>0</v>
      </c>
      <c r="AO437" s="3"/>
      <c r="AP437">
        <v>0</v>
      </c>
      <c r="AR437" t="s">
        <v>0</v>
      </c>
      <c r="AT437" s="2">
        <v>1.3360000000000001</v>
      </c>
      <c r="AU437" s="1">
        <f t="shared" si="59"/>
        <v>0.46902111529323826</v>
      </c>
      <c r="AV437" s="1">
        <f t="shared" si="60"/>
        <v>0.33501508235231309</v>
      </c>
      <c r="AW437" s="1">
        <f t="shared" si="61"/>
        <v>0.20100904941138784</v>
      </c>
    </row>
    <row r="438" spans="1:49" x14ac:dyDescent="0.2">
      <c r="A438">
        <v>436</v>
      </c>
      <c r="B438" t="s">
        <v>6455</v>
      </c>
      <c r="C438" t="s">
        <v>6454</v>
      </c>
      <c r="F438" t="s">
        <v>6453</v>
      </c>
      <c r="G438" t="s">
        <v>16</v>
      </c>
      <c r="H438" t="s">
        <v>15</v>
      </c>
      <c r="I438" t="s">
        <v>6452</v>
      </c>
      <c r="J438" t="s">
        <v>6451</v>
      </c>
      <c r="K438" t="s">
        <v>6450</v>
      </c>
      <c r="L438" t="s">
        <v>6449</v>
      </c>
      <c r="M438" t="s">
        <v>133</v>
      </c>
      <c r="N438">
        <v>4</v>
      </c>
      <c r="O438" t="s">
        <v>6448</v>
      </c>
      <c r="P438" t="s">
        <v>6447</v>
      </c>
      <c r="Q438" t="s">
        <v>6446</v>
      </c>
      <c r="R438" s="7">
        <v>33239</v>
      </c>
      <c r="S438" s="8">
        <f t="shared" si="56"/>
        <v>1991</v>
      </c>
      <c r="T438" s="8">
        <v>1991</v>
      </c>
      <c r="U438" s="8">
        <f t="shared" si="57"/>
        <v>31</v>
      </c>
      <c r="V438" s="7">
        <v>33482</v>
      </c>
      <c r="W438" t="s">
        <v>743</v>
      </c>
      <c r="X438" s="2">
        <v>2.141</v>
      </c>
      <c r="Y438" s="6">
        <f t="shared" si="54"/>
        <v>5.7152772216438434E-2</v>
      </c>
      <c r="AA438">
        <v>1962892</v>
      </c>
      <c r="AB438">
        <v>17360</v>
      </c>
      <c r="AC438">
        <v>15580644</v>
      </c>
      <c r="AD438" t="s">
        <v>5</v>
      </c>
      <c r="AE438">
        <v>29</v>
      </c>
      <c r="AF438">
        <v>5</v>
      </c>
      <c r="AH438" t="s">
        <v>6445</v>
      </c>
      <c r="AI438" t="s">
        <v>6444</v>
      </c>
      <c r="AK438" t="s">
        <v>6443</v>
      </c>
      <c r="AL438">
        <v>34</v>
      </c>
      <c r="AM438" s="5">
        <f t="shared" si="58"/>
        <v>1.096774193548387</v>
      </c>
      <c r="AN438" s="4">
        <f t="shared" si="55"/>
        <v>1.6611498577029716E-3</v>
      </c>
      <c r="AO438" s="3"/>
      <c r="AP438">
        <v>0</v>
      </c>
      <c r="AR438" t="s">
        <v>0</v>
      </c>
      <c r="AT438" s="2" t="s">
        <v>33</v>
      </c>
      <c r="AU438" s="1">
        <f t="shared" si="59"/>
        <v>4.0505285508817792</v>
      </c>
      <c r="AV438" s="1">
        <f t="shared" si="60"/>
        <v>2.9406961037070705</v>
      </c>
      <c r="AW438" s="1">
        <f t="shared" si="61"/>
        <v>1.8308636565323611</v>
      </c>
    </row>
    <row r="439" spans="1:49" x14ac:dyDescent="0.2">
      <c r="A439">
        <v>437</v>
      </c>
      <c r="B439" t="s">
        <v>6442</v>
      </c>
      <c r="C439" t="s">
        <v>6441</v>
      </c>
      <c r="F439" t="s">
        <v>6440</v>
      </c>
      <c r="G439" t="s">
        <v>16</v>
      </c>
      <c r="H439" t="s">
        <v>15</v>
      </c>
      <c r="I439" t="s">
        <v>6439</v>
      </c>
      <c r="J439">
        <v>60033461</v>
      </c>
      <c r="K439" t="s">
        <v>4499</v>
      </c>
      <c r="L439" t="s">
        <v>4498</v>
      </c>
      <c r="M439" t="s">
        <v>57</v>
      </c>
      <c r="N439">
        <v>1</v>
      </c>
      <c r="O439" t="s">
        <v>6438</v>
      </c>
      <c r="P439">
        <v>24295974500</v>
      </c>
      <c r="Q439">
        <v>60033461</v>
      </c>
      <c r="R439" s="7">
        <v>33239</v>
      </c>
      <c r="S439" s="8">
        <f t="shared" si="56"/>
        <v>1991</v>
      </c>
      <c r="T439" s="8">
        <v>1991</v>
      </c>
      <c r="U439" s="8">
        <f t="shared" si="57"/>
        <v>31</v>
      </c>
      <c r="V439" s="7">
        <v>33482</v>
      </c>
      <c r="W439" t="s">
        <v>1807</v>
      </c>
      <c r="X439" s="2">
        <v>1.6519999999999999</v>
      </c>
      <c r="Y439" s="6">
        <f t="shared" si="54"/>
        <v>4.409919649769093E-2</v>
      </c>
      <c r="AA439" t="s">
        <v>1806</v>
      </c>
      <c r="AB439">
        <v>17337</v>
      </c>
      <c r="AC439">
        <v>15582221</v>
      </c>
      <c r="AD439" t="s">
        <v>5</v>
      </c>
      <c r="AE439">
        <v>39</v>
      </c>
      <c r="AF439">
        <v>9</v>
      </c>
      <c r="AH439" t="s">
        <v>6437</v>
      </c>
      <c r="AI439" t="s">
        <v>6436</v>
      </c>
      <c r="AK439" t="s">
        <v>6435</v>
      </c>
      <c r="AL439">
        <v>0</v>
      </c>
      <c r="AM439" s="5">
        <f t="shared" si="58"/>
        <v>0</v>
      </c>
      <c r="AN439" s="4">
        <f t="shared" si="55"/>
        <v>0</v>
      </c>
      <c r="AO439" s="3"/>
      <c r="AP439">
        <v>0</v>
      </c>
      <c r="AR439" t="s">
        <v>0</v>
      </c>
      <c r="AT439" s="2" t="s">
        <v>33</v>
      </c>
      <c r="AU439" s="1">
        <f t="shared" si="59"/>
        <v>3.0869437548383649</v>
      </c>
      <c r="AV439" s="1">
        <f t="shared" si="60"/>
        <v>2.2049598248845466</v>
      </c>
      <c r="AW439" s="1">
        <f t="shared" si="61"/>
        <v>1.3229758949307278</v>
      </c>
    </row>
    <row r="440" spans="1:49" x14ac:dyDescent="0.2">
      <c r="A440">
        <v>438</v>
      </c>
      <c r="B440" t="s">
        <v>6434</v>
      </c>
      <c r="C440" t="s">
        <v>6433</v>
      </c>
      <c r="F440" t="s">
        <v>6432</v>
      </c>
      <c r="G440" t="s">
        <v>16</v>
      </c>
      <c r="H440" t="s">
        <v>15</v>
      </c>
      <c r="I440" t="s">
        <v>6431</v>
      </c>
      <c r="N440">
        <v>1</v>
      </c>
      <c r="O440" t="s">
        <v>6430</v>
      </c>
      <c r="P440">
        <v>35618021600</v>
      </c>
      <c r="R440" s="7">
        <v>33239</v>
      </c>
      <c r="S440" s="8">
        <f t="shared" si="56"/>
        <v>1991</v>
      </c>
      <c r="T440" s="8">
        <v>1991</v>
      </c>
      <c r="U440" s="8">
        <f t="shared" si="57"/>
        <v>31</v>
      </c>
      <c r="V440" s="7">
        <v>33482</v>
      </c>
      <c r="W440" t="s">
        <v>6326</v>
      </c>
      <c r="X440" s="2">
        <v>0.78200000000000003</v>
      </c>
      <c r="Y440" s="6">
        <f t="shared" si="54"/>
        <v>2.0875043378446919E-2</v>
      </c>
      <c r="AA440">
        <v>189316</v>
      </c>
      <c r="AB440">
        <v>19901</v>
      </c>
      <c r="AC440">
        <v>15579611</v>
      </c>
      <c r="AD440" t="s">
        <v>5</v>
      </c>
      <c r="AE440">
        <v>37</v>
      </c>
      <c r="AF440">
        <v>3</v>
      </c>
      <c r="AH440" t="s">
        <v>6429</v>
      </c>
      <c r="AI440" t="s">
        <v>6428</v>
      </c>
      <c r="AK440" t="s">
        <v>6427</v>
      </c>
      <c r="AL440">
        <v>6</v>
      </c>
      <c r="AM440" s="5">
        <f t="shared" si="58"/>
        <v>0.19354838709677419</v>
      </c>
      <c r="AN440" s="4">
        <f t="shared" si="55"/>
        <v>2.9314409253581854E-4</v>
      </c>
      <c r="AO440" s="3"/>
      <c r="AP440">
        <v>0</v>
      </c>
      <c r="AR440" t="s">
        <v>0</v>
      </c>
      <c r="AT440" s="2">
        <v>3.863</v>
      </c>
      <c r="AU440" s="1">
        <f t="shared" si="59"/>
        <v>1.4700473592673589</v>
      </c>
      <c r="AV440" s="1">
        <f t="shared" si="60"/>
        <v>1.0584093735491369</v>
      </c>
      <c r="AW440" s="1">
        <f t="shared" si="61"/>
        <v>0.64677138783091481</v>
      </c>
    </row>
    <row r="441" spans="1:49" x14ac:dyDescent="0.2">
      <c r="A441">
        <v>439</v>
      </c>
      <c r="B441" t="s">
        <v>6426</v>
      </c>
      <c r="C441" t="s">
        <v>6425</v>
      </c>
      <c r="F441" t="s">
        <v>6424</v>
      </c>
      <c r="G441" t="s">
        <v>16</v>
      </c>
      <c r="H441" t="s">
        <v>15</v>
      </c>
      <c r="I441" t="s">
        <v>6423</v>
      </c>
      <c r="J441">
        <v>60015138</v>
      </c>
      <c r="K441" t="s">
        <v>4775</v>
      </c>
      <c r="L441" t="s">
        <v>4774</v>
      </c>
      <c r="M441" t="s">
        <v>117</v>
      </c>
      <c r="N441">
        <v>3</v>
      </c>
      <c r="O441" t="s">
        <v>6422</v>
      </c>
      <c r="P441" t="s">
        <v>6421</v>
      </c>
      <c r="Q441" t="s">
        <v>4771</v>
      </c>
      <c r="R441" s="7">
        <v>33239</v>
      </c>
      <c r="S441" s="8">
        <f t="shared" si="56"/>
        <v>1991</v>
      </c>
      <c r="T441" s="8">
        <v>1991</v>
      </c>
      <c r="U441" s="8">
        <f t="shared" si="57"/>
        <v>31</v>
      </c>
      <c r="V441" s="7">
        <v>33482</v>
      </c>
      <c r="W441" t="s">
        <v>3552</v>
      </c>
      <c r="X441" s="2">
        <v>0.249</v>
      </c>
      <c r="Y441" s="6">
        <f t="shared" si="54"/>
        <v>6.6469127893008734E-3</v>
      </c>
      <c r="AA441">
        <v>8943370</v>
      </c>
      <c r="AB441">
        <v>18200</v>
      </c>
      <c r="AC441">
        <v>10991204</v>
      </c>
      <c r="AD441" t="s">
        <v>5</v>
      </c>
      <c r="AE441">
        <v>4</v>
      </c>
      <c r="AF441">
        <v>3</v>
      </c>
      <c r="AH441" t="s">
        <v>6420</v>
      </c>
      <c r="AI441" t="s">
        <v>6419</v>
      </c>
      <c r="AK441" t="s">
        <v>6418</v>
      </c>
      <c r="AL441">
        <v>12</v>
      </c>
      <c r="AM441" s="5">
        <f t="shared" si="58"/>
        <v>0.38709677419354838</v>
      </c>
      <c r="AN441" s="4">
        <f t="shared" si="55"/>
        <v>5.8628818507163707E-4</v>
      </c>
      <c r="AO441" s="3"/>
      <c r="AP441">
        <v>0</v>
      </c>
      <c r="AR441" t="s">
        <v>0</v>
      </c>
      <c r="AT441" s="2" t="s">
        <v>33</v>
      </c>
      <c r="AU441" s="1">
        <f t="shared" si="59"/>
        <v>0.48287254080321029</v>
      </c>
      <c r="AV441" s="1">
        <f t="shared" si="60"/>
        <v>0.3616600487186255</v>
      </c>
      <c r="AW441" s="1">
        <f t="shared" si="61"/>
        <v>0.24044755663404077</v>
      </c>
    </row>
    <row r="442" spans="1:49" x14ac:dyDescent="0.2">
      <c r="A442">
        <v>440</v>
      </c>
      <c r="B442" t="s">
        <v>6417</v>
      </c>
      <c r="C442" t="s">
        <v>6416</v>
      </c>
      <c r="F442" t="s">
        <v>6415</v>
      </c>
      <c r="G442" t="s">
        <v>16</v>
      </c>
      <c r="H442" t="s">
        <v>15</v>
      </c>
      <c r="I442" t="s">
        <v>6414</v>
      </c>
      <c r="J442" t="s">
        <v>6408</v>
      </c>
      <c r="K442" t="s">
        <v>6413</v>
      </c>
      <c r="L442" t="s">
        <v>6412</v>
      </c>
      <c r="M442" t="s">
        <v>6411</v>
      </c>
      <c r="N442">
        <v>2</v>
      </c>
      <c r="O442" t="s">
        <v>6410</v>
      </c>
      <c r="P442" t="s">
        <v>6409</v>
      </c>
      <c r="Q442" t="s">
        <v>6408</v>
      </c>
      <c r="R442" s="7">
        <v>33239</v>
      </c>
      <c r="S442" s="8">
        <f t="shared" si="56"/>
        <v>1991</v>
      </c>
      <c r="T442" s="8">
        <v>1991</v>
      </c>
      <c r="U442" s="8">
        <f t="shared" si="57"/>
        <v>31</v>
      </c>
      <c r="V442" s="7">
        <v>33482</v>
      </c>
      <c r="W442" t="s">
        <v>1807</v>
      </c>
      <c r="X442" s="2">
        <v>1.6519999999999999</v>
      </c>
      <c r="Y442" s="6">
        <f t="shared" si="54"/>
        <v>4.409919649769093E-2</v>
      </c>
      <c r="AA442" t="s">
        <v>1806</v>
      </c>
      <c r="AB442">
        <v>17337</v>
      </c>
      <c r="AC442">
        <v>15582221</v>
      </c>
      <c r="AD442" t="s">
        <v>5</v>
      </c>
      <c r="AE442">
        <v>39</v>
      </c>
      <c r="AF442">
        <v>9</v>
      </c>
      <c r="AH442" t="s">
        <v>6407</v>
      </c>
      <c r="AI442" t="s">
        <v>6406</v>
      </c>
      <c r="AK442" t="s">
        <v>6405</v>
      </c>
      <c r="AL442">
        <v>98</v>
      </c>
      <c r="AM442" s="5">
        <f t="shared" si="58"/>
        <v>3.161290322580645</v>
      </c>
      <c r="AN442" s="4">
        <f t="shared" si="55"/>
        <v>4.7880201780850359E-3</v>
      </c>
      <c r="AO442" s="3"/>
      <c r="AP442">
        <v>0</v>
      </c>
      <c r="AR442" t="s">
        <v>0</v>
      </c>
      <c r="AT442" s="2" t="s">
        <v>33</v>
      </c>
      <c r="AU442" s="1">
        <f t="shared" si="59"/>
        <v>3.2305843601809157</v>
      </c>
      <c r="AV442" s="1">
        <f t="shared" si="60"/>
        <v>2.4443608337887985</v>
      </c>
      <c r="AW442" s="1">
        <f t="shared" si="61"/>
        <v>1.6581373073966801</v>
      </c>
    </row>
    <row r="443" spans="1:49" x14ac:dyDescent="0.2">
      <c r="A443">
        <v>441</v>
      </c>
      <c r="B443" t="s">
        <v>6404</v>
      </c>
      <c r="C443" t="s">
        <v>6403</v>
      </c>
      <c r="D443" t="s">
        <v>6402</v>
      </c>
      <c r="F443" t="s">
        <v>6401</v>
      </c>
      <c r="G443" t="s">
        <v>16</v>
      </c>
      <c r="H443" t="s">
        <v>15</v>
      </c>
      <c r="I443" t="s">
        <v>5275</v>
      </c>
      <c r="J443">
        <v>60019702</v>
      </c>
      <c r="K443" t="s">
        <v>6400</v>
      </c>
      <c r="L443" t="s">
        <v>6399</v>
      </c>
      <c r="M443" t="s">
        <v>117</v>
      </c>
      <c r="N443">
        <v>5</v>
      </c>
      <c r="O443" t="s">
        <v>6398</v>
      </c>
      <c r="P443" t="s">
        <v>6397</v>
      </c>
      <c r="Q443" t="s">
        <v>6396</v>
      </c>
      <c r="R443" s="7">
        <v>33239</v>
      </c>
      <c r="S443" s="8">
        <f t="shared" si="56"/>
        <v>1991</v>
      </c>
      <c r="T443" s="8">
        <v>1991</v>
      </c>
      <c r="U443" s="8">
        <f t="shared" si="57"/>
        <v>31</v>
      </c>
      <c r="V443" s="7">
        <v>33482</v>
      </c>
      <c r="W443" t="s">
        <v>6364</v>
      </c>
      <c r="X443" s="2" t="s">
        <v>33</v>
      </c>
      <c r="Y443" s="6" t="e">
        <f t="shared" si="54"/>
        <v>#VALUE!</v>
      </c>
      <c r="AA443">
        <v>9214534</v>
      </c>
      <c r="AB443">
        <v>29119</v>
      </c>
      <c r="AD443" t="s">
        <v>5</v>
      </c>
      <c r="AE443">
        <v>180</v>
      </c>
      <c r="AF443" s="9">
        <v>44287</v>
      </c>
      <c r="AH443" t="s">
        <v>6395</v>
      </c>
      <c r="AI443" t="s">
        <v>6394</v>
      </c>
      <c r="AK443" t="s">
        <v>6393</v>
      </c>
      <c r="AL443">
        <v>9</v>
      </c>
      <c r="AM443" s="5">
        <f t="shared" si="58"/>
        <v>0.29032258064516131</v>
      </c>
      <c r="AN443" s="4">
        <f t="shared" si="55"/>
        <v>4.3971613880372783E-4</v>
      </c>
      <c r="AO443" s="3"/>
      <c r="AP443">
        <v>0</v>
      </c>
      <c r="AR443" t="s">
        <v>0</v>
      </c>
      <c r="AT443" s="2" t="s">
        <v>33</v>
      </c>
      <c r="AU443" s="1" t="e">
        <f t="shared" si="59"/>
        <v>#VALUE!</v>
      </c>
      <c r="AV443" s="1" t="e">
        <f t="shared" si="60"/>
        <v>#VALUE!</v>
      </c>
      <c r="AW443" s="1" t="e">
        <f t="shared" si="61"/>
        <v>#VALUE!</v>
      </c>
    </row>
    <row r="444" spans="1:49" x14ac:dyDescent="0.2">
      <c r="A444">
        <v>442</v>
      </c>
      <c r="B444" t="s">
        <v>6392</v>
      </c>
      <c r="C444" t="s">
        <v>6391</v>
      </c>
      <c r="F444" t="s">
        <v>6390</v>
      </c>
      <c r="G444" t="s">
        <v>16</v>
      </c>
      <c r="H444" t="s">
        <v>15</v>
      </c>
      <c r="I444" t="s">
        <v>6389</v>
      </c>
      <c r="J444">
        <v>60005244</v>
      </c>
      <c r="K444" t="s">
        <v>6388</v>
      </c>
      <c r="L444" t="s">
        <v>6387</v>
      </c>
      <c r="M444" t="s">
        <v>1468</v>
      </c>
      <c r="N444">
        <v>2</v>
      </c>
      <c r="O444" t="s">
        <v>6386</v>
      </c>
      <c r="P444" t="s">
        <v>6385</v>
      </c>
      <c r="Q444" t="s">
        <v>6384</v>
      </c>
      <c r="R444" s="7">
        <v>33239</v>
      </c>
      <c r="S444" s="8">
        <f t="shared" si="56"/>
        <v>1991</v>
      </c>
      <c r="T444" s="8">
        <v>1991</v>
      </c>
      <c r="U444" s="8">
        <f t="shared" si="57"/>
        <v>31</v>
      </c>
      <c r="V444" s="7">
        <v>33482</v>
      </c>
      <c r="W444" t="s">
        <v>1807</v>
      </c>
      <c r="X444" s="2">
        <v>1.6519999999999999</v>
      </c>
      <c r="Y444" s="6">
        <f t="shared" si="54"/>
        <v>4.409919649769093E-2</v>
      </c>
      <c r="AA444" t="s">
        <v>1806</v>
      </c>
      <c r="AB444">
        <v>17337</v>
      </c>
      <c r="AC444">
        <v>15582221</v>
      </c>
      <c r="AD444" t="s">
        <v>5</v>
      </c>
      <c r="AE444">
        <v>39</v>
      </c>
      <c r="AF444">
        <v>9</v>
      </c>
      <c r="AH444" t="s">
        <v>6383</v>
      </c>
      <c r="AI444" t="s">
        <v>6382</v>
      </c>
      <c r="AK444" t="s">
        <v>6381</v>
      </c>
      <c r="AL444">
        <v>5</v>
      </c>
      <c r="AM444" s="5">
        <f t="shared" si="58"/>
        <v>0.16129032258064516</v>
      </c>
      <c r="AN444" s="4">
        <f t="shared" si="55"/>
        <v>2.4428674377984877E-4</v>
      </c>
      <c r="AO444" s="3"/>
      <c r="AP444">
        <v>0</v>
      </c>
      <c r="AR444" t="s">
        <v>0</v>
      </c>
      <c r="AT444" s="2" t="s">
        <v>33</v>
      </c>
      <c r="AU444" s="1">
        <f t="shared" si="59"/>
        <v>3.0942723571517607</v>
      </c>
      <c r="AV444" s="1">
        <f t="shared" si="60"/>
        <v>2.217174162073539</v>
      </c>
      <c r="AW444" s="1">
        <f t="shared" si="61"/>
        <v>1.3400759669953173</v>
      </c>
    </row>
    <row r="445" spans="1:49" x14ac:dyDescent="0.2">
      <c r="A445">
        <v>443</v>
      </c>
      <c r="B445" t="s">
        <v>6380</v>
      </c>
      <c r="C445" t="s">
        <v>6379</v>
      </c>
      <c r="F445" t="s">
        <v>6378</v>
      </c>
      <c r="G445" t="s">
        <v>16</v>
      </c>
      <c r="H445" t="s">
        <v>15</v>
      </c>
      <c r="I445" t="s">
        <v>6377</v>
      </c>
      <c r="J445">
        <v>60026415</v>
      </c>
      <c r="K445" t="s">
        <v>5274</v>
      </c>
      <c r="L445" t="s">
        <v>5273</v>
      </c>
      <c r="M445" t="s">
        <v>57</v>
      </c>
      <c r="N445">
        <v>2</v>
      </c>
      <c r="O445" t="s">
        <v>5272</v>
      </c>
      <c r="P445" t="s">
        <v>5271</v>
      </c>
      <c r="Q445" t="s">
        <v>5270</v>
      </c>
      <c r="R445" s="7">
        <v>33239</v>
      </c>
      <c r="S445" s="8">
        <f t="shared" si="56"/>
        <v>1991</v>
      </c>
      <c r="T445" s="8">
        <v>1991</v>
      </c>
      <c r="U445" s="8">
        <f t="shared" si="57"/>
        <v>31</v>
      </c>
      <c r="V445" s="7">
        <v>33482</v>
      </c>
      <c r="W445" t="s">
        <v>1807</v>
      </c>
      <c r="X445" s="2">
        <v>1.6519999999999999</v>
      </c>
      <c r="Y445" s="6">
        <f t="shared" si="54"/>
        <v>4.409919649769093E-2</v>
      </c>
      <c r="AA445" t="s">
        <v>1806</v>
      </c>
      <c r="AB445">
        <v>17337</v>
      </c>
      <c r="AC445">
        <v>15582221</v>
      </c>
      <c r="AD445" t="s">
        <v>5</v>
      </c>
      <c r="AE445">
        <v>39</v>
      </c>
      <c r="AF445">
        <v>9</v>
      </c>
      <c r="AH445" t="s">
        <v>6376</v>
      </c>
      <c r="AI445" t="s">
        <v>6375</v>
      </c>
      <c r="AK445" t="s">
        <v>6374</v>
      </c>
      <c r="AL445">
        <v>4</v>
      </c>
      <c r="AM445" s="5">
        <f t="shared" si="58"/>
        <v>0.12903225806451613</v>
      </c>
      <c r="AN445" s="4">
        <f t="shared" si="55"/>
        <v>1.9542939502387903E-4</v>
      </c>
      <c r="AO445" s="3"/>
      <c r="AP445">
        <v>0</v>
      </c>
      <c r="AR445" t="s">
        <v>0</v>
      </c>
      <c r="AT445" s="2" t="s">
        <v>33</v>
      </c>
      <c r="AU445" s="1">
        <f t="shared" si="59"/>
        <v>3.0928066366890814</v>
      </c>
      <c r="AV445" s="1">
        <f t="shared" si="60"/>
        <v>2.2147312946357403</v>
      </c>
      <c r="AW445" s="1">
        <f t="shared" si="61"/>
        <v>1.3366559525823993</v>
      </c>
    </row>
    <row r="446" spans="1:49" x14ac:dyDescent="0.2">
      <c r="A446">
        <v>444</v>
      </c>
      <c r="B446" t="s">
        <v>6373</v>
      </c>
      <c r="C446" t="s">
        <v>6372</v>
      </c>
      <c r="D446" t="s">
        <v>6371</v>
      </c>
      <c r="F446" t="s">
        <v>6370</v>
      </c>
      <c r="G446" t="s">
        <v>16</v>
      </c>
      <c r="H446" t="s">
        <v>15</v>
      </c>
      <c r="I446" t="s">
        <v>6298</v>
      </c>
      <c r="J446">
        <v>60022995</v>
      </c>
      <c r="K446" t="s">
        <v>6369</v>
      </c>
      <c r="L446" t="s">
        <v>6368</v>
      </c>
      <c r="M446" t="s">
        <v>25</v>
      </c>
      <c r="N446">
        <v>2</v>
      </c>
      <c r="O446" t="s">
        <v>6367</v>
      </c>
      <c r="P446" t="s">
        <v>6366</v>
      </c>
      <c r="Q446" t="s">
        <v>6365</v>
      </c>
      <c r="R446" s="7">
        <v>33239</v>
      </c>
      <c r="S446" s="8">
        <f t="shared" si="56"/>
        <v>1991</v>
      </c>
      <c r="T446" s="8">
        <v>1991</v>
      </c>
      <c r="U446" s="8">
        <f t="shared" si="57"/>
        <v>31</v>
      </c>
      <c r="V446" s="7">
        <v>33482</v>
      </c>
      <c r="W446" t="s">
        <v>6364</v>
      </c>
      <c r="X446" s="2" t="s">
        <v>33</v>
      </c>
      <c r="Y446" s="6" t="e">
        <f t="shared" si="54"/>
        <v>#VALUE!</v>
      </c>
      <c r="AA446">
        <v>9214534</v>
      </c>
      <c r="AB446">
        <v>29119</v>
      </c>
      <c r="AD446" t="s">
        <v>5</v>
      </c>
      <c r="AE446">
        <v>180</v>
      </c>
      <c r="AF446" s="9">
        <v>44287</v>
      </c>
      <c r="AH446" t="s">
        <v>6363</v>
      </c>
      <c r="AI446" t="s">
        <v>6362</v>
      </c>
      <c r="AK446" t="s">
        <v>6361</v>
      </c>
      <c r="AL446">
        <v>7</v>
      </c>
      <c r="AM446" s="5">
        <f t="shared" si="58"/>
        <v>0.22580645161290322</v>
      </c>
      <c r="AN446" s="4">
        <f t="shared" si="55"/>
        <v>3.420014412917883E-4</v>
      </c>
      <c r="AO446" s="3"/>
      <c r="AP446">
        <v>0</v>
      </c>
      <c r="AQ446" t="s">
        <v>6287</v>
      </c>
      <c r="AR446" t="s">
        <v>6286</v>
      </c>
      <c r="AS446" t="s">
        <v>6285</v>
      </c>
      <c r="AT446" s="2" t="s">
        <v>33</v>
      </c>
      <c r="AU446" s="1" t="e">
        <f t="shared" si="59"/>
        <v>#VALUE!</v>
      </c>
      <c r="AV446" s="1" t="e">
        <f t="shared" si="60"/>
        <v>#VALUE!</v>
      </c>
      <c r="AW446" s="1" t="e">
        <f t="shared" si="61"/>
        <v>#VALUE!</v>
      </c>
    </row>
    <row r="447" spans="1:49" x14ac:dyDescent="0.2">
      <c r="A447">
        <v>445</v>
      </c>
      <c r="B447" t="s">
        <v>6360</v>
      </c>
      <c r="C447" t="s">
        <v>6359</v>
      </c>
      <c r="F447" t="s">
        <v>6358</v>
      </c>
      <c r="G447" t="s">
        <v>16</v>
      </c>
      <c r="H447" t="s">
        <v>15</v>
      </c>
      <c r="I447" t="s">
        <v>6357</v>
      </c>
      <c r="J447">
        <v>60015457</v>
      </c>
      <c r="K447" t="s">
        <v>6356</v>
      </c>
      <c r="L447" t="s">
        <v>1420</v>
      </c>
      <c r="M447" t="s">
        <v>57</v>
      </c>
      <c r="N447">
        <v>2</v>
      </c>
      <c r="O447" t="s">
        <v>6355</v>
      </c>
      <c r="P447" t="s">
        <v>6354</v>
      </c>
      <c r="Q447" t="s">
        <v>6353</v>
      </c>
      <c r="R447" s="7">
        <v>33239</v>
      </c>
      <c r="S447" s="8">
        <f t="shared" si="56"/>
        <v>1991</v>
      </c>
      <c r="T447" s="8">
        <v>1991</v>
      </c>
      <c r="U447" s="8">
        <f t="shared" si="57"/>
        <v>31</v>
      </c>
      <c r="V447" s="7">
        <v>33482</v>
      </c>
      <c r="W447" t="s">
        <v>743</v>
      </c>
      <c r="X447" s="2">
        <v>2.141</v>
      </c>
      <c r="Y447" s="6">
        <f t="shared" si="54"/>
        <v>5.7152772216438434E-2</v>
      </c>
      <c r="AA447">
        <v>1962892</v>
      </c>
      <c r="AB447">
        <v>17360</v>
      </c>
      <c r="AC447">
        <v>15580644</v>
      </c>
      <c r="AD447" t="s">
        <v>5</v>
      </c>
      <c r="AE447">
        <v>29</v>
      </c>
      <c r="AF447">
        <v>5</v>
      </c>
      <c r="AH447" t="s">
        <v>6352</v>
      </c>
      <c r="AI447" t="s">
        <v>6351</v>
      </c>
      <c r="AK447" t="s">
        <v>6350</v>
      </c>
      <c r="AL447">
        <v>10</v>
      </c>
      <c r="AM447" s="5">
        <f t="shared" si="58"/>
        <v>0.32258064516129031</v>
      </c>
      <c r="AN447" s="4">
        <f t="shared" si="55"/>
        <v>4.8857348755969754E-4</v>
      </c>
      <c r="AO447" s="3"/>
      <c r="AP447">
        <v>0</v>
      </c>
      <c r="AQ447" t="s">
        <v>5868</v>
      </c>
      <c r="AR447" t="s">
        <v>6349</v>
      </c>
      <c r="AS447" t="s">
        <v>5866</v>
      </c>
      <c r="AT447" s="2" t="s">
        <v>33</v>
      </c>
      <c r="AU447" s="1">
        <f t="shared" si="59"/>
        <v>4.0153512597774812</v>
      </c>
      <c r="AV447" s="1">
        <f t="shared" si="60"/>
        <v>2.8820672851999065</v>
      </c>
      <c r="AW447" s="1">
        <f t="shared" si="61"/>
        <v>1.7487833106223321</v>
      </c>
    </row>
    <row r="448" spans="1:49" x14ac:dyDescent="0.2">
      <c r="A448">
        <v>446</v>
      </c>
      <c r="B448" t="s">
        <v>6348</v>
      </c>
      <c r="C448" t="s">
        <v>6347</v>
      </c>
      <c r="F448" t="s">
        <v>6346</v>
      </c>
      <c r="G448" t="s">
        <v>16</v>
      </c>
      <c r="H448" t="s">
        <v>15</v>
      </c>
      <c r="I448" t="s">
        <v>6345</v>
      </c>
      <c r="J448">
        <v>60021080</v>
      </c>
      <c r="K448" t="s">
        <v>6344</v>
      </c>
      <c r="L448" t="s">
        <v>6343</v>
      </c>
      <c r="M448" t="s">
        <v>57</v>
      </c>
      <c r="N448">
        <v>3</v>
      </c>
      <c r="O448" t="s">
        <v>6342</v>
      </c>
      <c r="P448" t="s">
        <v>6341</v>
      </c>
      <c r="Q448" t="s">
        <v>6340</v>
      </c>
      <c r="R448" s="7">
        <v>33239</v>
      </c>
      <c r="S448" s="8">
        <f t="shared" si="56"/>
        <v>1991</v>
      </c>
      <c r="T448" s="8">
        <v>1991</v>
      </c>
      <c r="U448" s="8">
        <f t="shared" si="57"/>
        <v>31</v>
      </c>
      <c r="V448" s="7">
        <v>33482</v>
      </c>
      <c r="W448" t="s">
        <v>731</v>
      </c>
      <c r="X448" s="2">
        <v>1.3720000000000001</v>
      </c>
      <c r="Y448" s="6">
        <f t="shared" si="54"/>
        <v>3.662475641333654E-2</v>
      </c>
      <c r="AA448">
        <v>189480</v>
      </c>
      <c r="AB448">
        <v>17366</v>
      </c>
      <c r="AC448">
        <v>15579670</v>
      </c>
      <c r="AD448" t="s">
        <v>5</v>
      </c>
      <c r="AE448">
        <v>39</v>
      </c>
      <c r="AF448">
        <v>9</v>
      </c>
      <c r="AH448" t="s">
        <v>6339</v>
      </c>
      <c r="AI448" t="s">
        <v>6338</v>
      </c>
      <c r="AJ448" t="s">
        <v>6337</v>
      </c>
      <c r="AK448" t="s">
        <v>6336</v>
      </c>
      <c r="AL448">
        <v>47</v>
      </c>
      <c r="AM448" s="5">
        <f t="shared" si="58"/>
        <v>1.5161290322580645</v>
      </c>
      <c r="AN448" s="4">
        <f t="shared" si="55"/>
        <v>2.2962953915305786E-3</v>
      </c>
      <c r="AO448" s="3"/>
      <c r="AP448">
        <v>0</v>
      </c>
      <c r="AQ448" t="s">
        <v>5868</v>
      </c>
      <c r="AR448" t="s">
        <v>0</v>
      </c>
      <c r="AS448" t="s">
        <v>5866</v>
      </c>
      <c r="AT448" s="2" t="s">
        <v>33</v>
      </c>
      <c r="AU448" s="1">
        <f t="shared" si="59"/>
        <v>2.632621810679475</v>
      </c>
      <c r="AV448" s="1">
        <f t="shared" si="60"/>
        <v>1.9460525902433559</v>
      </c>
      <c r="AW448" s="1">
        <f t="shared" si="61"/>
        <v>1.2594833698072367</v>
      </c>
    </row>
    <row r="449" spans="1:49" x14ac:dyDescent="0.2">
      <c r="A449">
        <v>447</v>
      </c>
      <c r="B449" t="s">
        <v>6335</v>
      </c>
      <c r="C449" t="s">
        <v>6334</v>
      </c>
      <c r="F449" t="s">
        <v>6333</v>
      </c>
      <c r="G449" t="s">
        <v>16</v>
      </c>
      <c r="H449" t="s">
        <v>15</v>
      </c>
      <c r="I449" t="s">
        <v>6332</v>
      </c>
      <c r="J449" t="s">
        <v>6327</v>
      </c>
      <c r="K449" t="s">
        <v>6331</v>
      </c>
      <c r="L449" t="s">
        <v>6330</v>
      </c>
      <c r="M449" t="s">
        <v>133</v>
      </c>
      <c r="N449">
        <v>2</v>
      </c>
      <c r="O449" t="s">
        <v>6329</v>
      </c>
      <c r="P449" t="s">
        <v>6328</v>
      </c>
      <c r="Q449" t="s">
        <v>6327</v>
      </c>
      <c r="R449" s="7">
        <v>33239</v>
      </c>
      <c r="S449" s="8">
        <f t="shared" si="56"/>
        <v>1991</v>
      </c>
      <c r="T449" s="8">
        <v>1991</v>
      </c>
      <c r="U449" s="8">
        <f t="shared" si="57"/>
        <v>31</v>
      </c>
      <c r="V449" s="7">
        <v>33482</v>
      </c>
      <c r="W449" t="s">
        <v>6326</v>
      </c>
      <c r="X449" s="2">
        <v>0.78200000000000003</v>
      </c>
      <c r="Y449" s="6">
        <f t="shared" si="54"/>
        <v>2.0875043378446919E-2</v>
      </c>
      <c r="AA449">
        <v>189316</v>
      </c>
      <c r="AB449">
        <v>19901</v>
      </c>
      <c r="AC449">
        <v>15579611</v>
      </c>
      <c r="AD449" t="s">
        <v>5</v>
      </c>
      <c r="AE449">
        <v>37</v>
      </c>
      <c r="AF449">
        <v>3</v>
      </c>
      <c r="AH449" t="s">
        <v>1249</v>
      </c>
      <c r="AI449" t="s">
        <v>6325</v>
      </c>
      <c r="AK449" t="s">
        <v>6324</v>
      </c>
      <c r="AL449">
        <v>2</v>
      </c>
      <c r="AM449" s="5">
        <f t="shared" si="58"/>
        <v>6.4516129032258063E-2</v>
      </c>
      <c r="AN449" s="4">
        <f t="shared" si="55"/>
        <v>9.7714697511939517E-5</v>
      </c>
      <c r="AO449" s="3"/>
      <c r="AP449">
        <v>0</v>
      </c>
      <c r="AR449" t="s">
        <v>0</v>
      </c>
      <c r="AT449" s="2">
        <v>3.863</v>
      </c>
      <c r="AU449" s="1">
        <f t="shared" si="59"/>
        <v>1.4641844774166424</v>
      </c>
      <c r="AV449" s="1">
        <f t="shared" si="60"/>
        <v>1.048637903797943</v>
      </c>
      <c r="AW449" s="1">
        <f t="shared" si="61"/>
        <v>0.63309133017924335</v>
      </c>
    </row>
    <row r="450" spans="1:49" x14ac:dyDescent="0.2">
      <c r="A450">
        <v>448</v>
      </c>
      <c r="B450" t="s">
        <v>6323</v>
      </c>
      <c r="C450" t="s">
        <v>6322</v>
      </c>
      <c r="F450" t="s">
        <v>6321</v>
      </c>
      <c r="G450" t="s">
        <v>16</v>
      </c>
      <c r="H450" t="s">
        <v>15</v>
      </c>
      <c r="I450" t="s">
        <v>6320</v>
      </c>
      <c r="J450">
        <v>60003500</v>
      </c>
      <c r="K450" t="s">
        <v>1115</v>
      </c>
      <c r="L450" t="s">
        <v>1114</v>
      </c>
      <c r="M450" t="s">
        <v>57</v>
      </c>
      <c r="N450">
        <v>2</v>
      </c>
      <c r="O450" t="s">
        <v>6319</v>
      </c>
      <c r="P450" t="s">
        <v>6318</v>
      </c>
      <c r="Q450" t="s">
        <v>2990</v>
      </c>
      <c r="R450" s="7">
        <v>33239</v>
      </c>
      <c r="S450" s="8">
        <f t="shared" si="56"/>
        <v>1991</v>
      </c>
      <c r="T450" s="8">
        <v>1991</v>
      </c>
      <c r="U450" s="8">
        <f t="shared" si="57"/>
        <v>31</v>
      </c>
      <c r="V450" s="7">
        <v>33482</v>
      </c>
      <c r="W450" t="s">
        <v>1807</v>
      </c>
      <c r="X450" s="2">
        <v>1.6519999999999999</v>
      </c>
      <c r="Y450" s="6">
        <f t="shared" ref="Y450:Y513" si="62">(X450-$Z$4)/($Z$3-$Z$4)</f>
        <v>4.409919649769093E-2</v>
      </c>
      <c r="AA450" t="s">
        <v>1806</v>
      </c>
      <c r="AB450">
        <v>17337</v>
      </c>
      <c r="AC450">
        <v>15582221</v>
      </c>
      <c r="AD450" t="s">
        <v>5</v>
      </c>
      <c r="AE450">
        <v>39</v>
      </c>
      <c r="AF450">
        <v>9</v>
      </c>
      <c r="AH450" t="s">
        <v>6317</v>
      </c>
      <c r="AI450" t="s">
        <v>6316</v>
      </c>
      <c r="AK450" t="s">
        <v>6315</v>
      </c>
      <c r="AL450">
        <v>218</v>
      </c>
      <c r="AM450" s="5">
        <f t="shared" si="58"/>
        <v>7.032258064516129</v>
      </c>
      <c r="AN450" s="4">
        <f t="shared" ref="AN450:AN513" si="63">(AM450-$AO$4)/($AO$3-$AO$4)</f>
        <v>1.0650902028801408E-2</v>
      </c>
      <c r="AO450" s="3"/>
      <c r="AP450">
        <v>0</v>
      </c>
      <c r="AR450" t="s">
        <v>0</v>
      </c>
      <c r="AT450" s="2" t="s">
        <v>33</v>
      </c>
      <c r="AU450" s="1">
        <f t="shared" si="59"/>
        <v>3.4064708157024075</v>
      </c>
      <c r="AV450" s="1">
        <f t="shared" si="60"/>
        <v>2.7375049263246169</v>
      </c>
      <c r="AW450" s="1">
        <f t="shared" si="61"/>
        <v>2.0685390369468264</v>
      </c>
    </row>
    <row r="451" spans="1:49" x14ac:dyDescent="0.2">
      <c r="A451">
        <v>449</v>
      </c>
      <c r="B451" t="s">
        <v>6314</v>
      </c>
      <c r="C451" t="s">
        <v>6313</v>
      </c>
      <c r="F451" t="s">
        <v>6312</v>
      </c>
      <c r="G451" t="s">
        <v>16</v>
      </c>
      <c r="H451" t="s">
        <v>15</v>
      </c>
      <c r="I451" t="s">
        <v>6311</v>
      </c>
      <c r="J451" t="s">
        <v>6306</v>
      </c>
      <c r="K451" t="s">
        <v>6310</v>
      </c>
      <c r="L451" t="s">
        <v>6309</v>
      </c>
      <c r="M451" t="s">
        <v>133</v>
      </c>
      <c r="N451">
        <v>2</v>
      </c>
      <c r="O451" t="s">
        <v>6308</v>
      </c>
      <c r="P451" t="s">
        <v>6307</v>
      </c>
      <c r="Q451" t="s">
        <v>6306</v>
      </c>
      <c r="R451" s="7">
        <v>33239</v>
      </c>
      <c r="S451" s="8">
        <f t="shared" si="56"/>
        <v>1991</v>
      </c>
      <c r="T451" s="8">
        <v>1991</v>
      </c>
      <c r="U451" s="8">
        <f t="shared" si="57"/>
        <v>31</v>
      </c>
      <c r="V451" s="7">
        <v>33482</v>
      </c>
      <c r="W451" t="s">
        <v>5004</v>
      </c>
      <c r="X451" s="2">
        <v>1.3460000000000001</v>
      </c>
      <c r="Y451" s="6">
        <f t="shared" si="62"/>
        <v>3.593070126264649E-2</v>
      </c>
      <c r="AA451">
        <v>7338724</v>
      </c>
      <c r="AB451">
        <v>12178</v>
      </c>
      <c r="AC451">
        <v>15582213</v>
      </c>
      <c r="AD451" t="s">
        <v>5</v>
      </c>
      <c r="AE451">
        <v>9</v>
      </c>
      <c r="AF451">
        <v>9</v>
      </c>
      <c r="AH451" t="s">
        <v>6305</v>
      </c>
      <c r="AI451" t="s">
        <v>6304</v>
      </c>
      <c r="AK451" t="s">
        <v>6303</v>
      </c>
      <c r="AL451">
        <v>353</v>
      </c>
      <c r="AM451" s="5">
        <f t="shared" si="58"/>
        <v>11.387096774193548</v>
      </c>
      <c r="AN451" s="4">
        <f t="shared" si="63"/>
        <v>1.7246644110857325E-2</v>
      </c>
      <c r="AO451" s="3"/>
      <c r="AP451">
        <v>0</v>
      </c>
      <c r="AR451" t="s">
        <v>6302</v>
      </c>
      <c r="AT451" s="2">
        <v>4.1420000000000003</v>
      </c>
      <c r="AU451" s="1">
        <f t="shared" si="59"/>
        <v>3.032548411710974</v>
      </c>
      <c r="AV451" s="1">
        <f t="shared" si="60"/>
        <v>2.6588672686751904</v>
      </c>
      <c r="AW451" s="1">
        <f t="shared" si="61"/>
        <v>2.2851861256394073</v>
      </c>
    </row>
    <row r="452" spans="1:49" x14ac:dyDescent="0.2">
      <c r="A452">
        <v>450</v>
      </c>
      <c r="B452" t="s">
        <v>6301</v>
      </c>
      <c r="C452" t="s">
        <v>6300</v>
      </c>
      <c r="F452" t="s">
        <v>6299</v>
      </c>
      <c r="G452" t="s">
        <v>16</v>
      </c>
      <c r="H452" t="s">
        <v>15</v>
      </c>
      <c r="I452" t="s">
        <v>6298</v>
      </c>
      <c r="J452" t="s">
        <v>6297</v>
      </c>
      <c r="K452" t="s">
        <v>6296</v>
      </c>
      <c r="L452" t="s">
        <v>6295</v>
      </c>
      <c r="M452" t="s">
        <v>6294</v>
      </c>
      <c r="N452">
        <v>3</v>
      </c>
      <c r="O452" t="s">
        <v>6293</v>
      </c>
      <c r="P452" t="s">
        <v>6292</v>
      </c>
      <c r="Q452" t="s">
        <v>6291</v>
      </c>
      <c r="R452" s="7">
        <v>33239</v>
      </c>
      <c r="S452" s="8">
        <f t="shared" si="56"/>
        <v>1991</v>
      </c>
      <c r="T452" s="8">
        <v>1991</v>
      </c>
      <c r="U452" s="8">
        <f t="shared" si="57"/>
        <v>31</v>
      </c>
      <c r="V452" s="7">
        <v>33482</v>
      </c>
      <c r="W452" t="s">
        <v>731</v>
      </c>
      <c r="X452" s="2">
        <v>1.3720000000000001</v>
      </c>
      <c r="Y452" s="6">
        <f t="shared" si="62"/>
        <v>3.662475641333654E-2</v>
      </c>
      <c r="AA452">
        <v>189480</v>
      </c>
      <c r="AB452">
        <v>17366</v>
      </c>
      <c r="AC452">
        <v>15579670</v>
      </c>
      <c r="AD452" t="s">
        <v>5</v>
      </c>
      <c r="AE452">
        <v>39</v>
      </c>
      <c r="AF452">
        <v>9</v>
      </c>
      <c r="AH452" t="s">
        <v>6290</v>
      </c>
      <c r="AI452" t="s">
        <v>6289</v>
      </c>
      <c r="AK452" t="s">
        <v>6288</v>
      </c>
      <c r="AL452">
        <v>61</v>
      </c>
      <c r="AM452" s="5">
        <f t="shared" si="58"/>
        <v>1.967741935483871</v>
      </c>
      <c r="AN452" s="4">
        <f t="shared" si="63"/>
        <v>2.9802982741141551E-3</v>
      </c>
      <c r="AO452" s="3"/>
      <c r="AP452">
        <v>0</v>
      </c>
      <c r="AQ452" t="s">
        <v>6287</v>
      </c>
      <c r="AR452" t="s">
        <v>6286</v>
      </c>
      <c r="AS452" t="s">
        <v>6285</v>
      </c>
      <c r="AT452" s="2" t="s">
        <v>33</v>
      </c>
      <c r="AU452" s="1">
        <f t="shared" si="59"/>
        <v>2.6531418971569822</v>
      </c>
      <c r="AV452" s="1">
        <f t="shared" si="60"/>
        <v>1.9802527343725347</v>
      </c>
      <c r="AW452" s="1">
        <f t="shared" si="61"/>
        <v>1.3073635715880871</v>
      </c>
    </row>
    <row r="453" spans="1:49" x14ac:dyDescent="0.2">
      <c r="A453">
        <v>451</v>
      </c>
      <c r="B453" t="s">
        <v>6284</v>
      </c>
      <c r="C453" t="s">
        <v>6283</v>
      </c>
      <c r="F453" t="s">
        <v>6282</v>
      </c>
      <c r="G453" t="s">
        <v>16</v>
      </c>
      <c r="H453" t="s">
        <v>15</v>
      </c>
      <c r="I453" t="s">
        <v>5962</v>
      </c>
      <c r="J453">
        <v>60008447</v>
      </c>
      <c r="K453" t="s">
        <v>6281</v>
      </c>
      <c r="L453" t="s">
        <v>6280</v>
      </c>
      <c r="M453" t="s">
        <v>213</v>
      </c>
      <c r="N453">
        <v>3</v>
      </c>
      <c r="O453" t="s">
        <v>6279</v>
      </c>
      <c r="P453" t="s">
        <v>6278</v>
      </c>
      <c r="Q453" t="s">
        <v>6277</v>
      </c>
      <c r="R453" s="7">
        <v>33239</v>
      </c>
      <c r="S453" s="8">
        <f t="shared" si="56"/>
        <v>1991</v>
      </c>
      <c r="T453" s="8">
        <v>1991</v>
      </c>
      <c r="U453" s="8">
        <f t="shared" si="57"/>
        <v>31</v>
      </c>
      <c r="V453" s="7">
        <v>33482</v>
      </c>
      <c r="W453" t="s">
        <v>561</v>
      </c>
      <c r="X453" s="2">
        <v>0.30399999999999999</v>
      </c>
      <c r="Y453" s="6">
        <f t="shared" si="62"/>
        <v>8.115106377299057E-3</v>
      </c>
      <c r="AA453">
        <v>8952477</v>
      </c>
      <c r="AB453">
        <v>12250</v>
      </c>
      <c r="AC453">
        <v>10982760</v>
      </c>
      <c r="AD453" t="s">
        <v>5</v>
      </c>
      <c r="AE453">
        <v>4</v>
      </c>
      <c r="AF453">
        <v>10</v>
      </c>
      <c r="AH453" t="s">
        <v>6276</v>
      </c>
      <c r="AI453" t="s">
        <v>6275</v>
      </c>
      <c r="AJ453" t="s">
        <v>6274</v>
      </c>
      <c r="AK453" t="s">
        <v>6273</v>
      </c>
      <c r="AL453">
        <v>0</v>
      </c>
      <c r="AM453" s="5">
        <f t="shared" si="58"/>
        <v>0</v>
      </c>
      <c r="AN453" s="4">
        <f t="shared" si="63"/>
        <v>0</v>
      </c>
      <c r="AO453" s="3"/>
      <c r="AP453">
        <v>0</v>
      </c>
      <c r="AR453" t="s">
        <v>0</v>
      </c>
      <c r="AT453" s="2" t="s">
        <v>33</v>
      </c>
      <c r="AU453" s="1">
        <f t="shared" si="59"/>
        <v>0.56805744641093392</v>
      </c>
      <c r="AV453" s="1">
        <f t="shared" si="60"/>
        <v>0.40575531886495286</v>
      </c>
      <c r="AW453" s="1">
        <f t="shared" si="61"/>
        <v>0.24345319131897172</v>
      </c>
    </row>
    <row r="454" spans="1:49" x14ac:dyDescent="0.2">
      <c r="A454">
        <v>452</v>
      </c>
      <c r="B454" t="s">
        <v>6272</v>
      </c>
      <c r="C454" t="s">
        <v>6271</v>
      </c>
      <c r="F454" t="s">
        <v>6270</v>
      </c>
      <c r="G454" t="s">
        <v>16</v>
      </c>
      <c r="H454" t="s">
        <v>15</v>
      </c>
      <c r="I454" t="s">
        <v>6269</v>
      </c>
      <c r="J454">
        <v>60000745</v>
      </c>
      <c r="K454" t="s">
        <v>2506</v>
      </c>
      <c r="L454" t="s">
        <v>2505</v>
      </c>
      <c r="M454" t="s">
        <v>57</v>
      </c>
      <c r="N454">
        <v>4</v>
      </c>
      <c r="O454" t="s">
        <v>6268</v>
      </c>
      <c r="P454" t="s">
        <v>6267</v>
      </c>
      <c r="Q454" t="s">
        <v>3936</v>
      </c>
      <c r="R454" s="7">
        <v>33239</v>
      </c>
      <c r="S454" s="8">
        <f t="shared" si="56"/>
        <v>1991</v>
      </c>
      <c r="T454" s="8">
        <v>1991</v>
      </c>
      <c r="U454" s="8">
        <f t="shared" si="57"/>
        <v>31</v>
      </c>
      <c r="V454" s="7">
        <v>33451</v>
      </c>
      <c r="W454" t="s">
        <v>561</v>
      </c>
      <c r="X454" s="2">
        <v>0.30399999999999999</v>
      </c>
      <c r="Y454" s="6">
        <f t="shared" si="62"/>
        <v>8.115106377299057E-3</v>
      </c>
      <c r="AA454">
        <v>8952477</v>
      </c>
      <c r="AB454">
        <v>12250</v>
      </c>
      <c r="AC454">
        <v>10982760</v>
      </c>
      <c r="AD454" t="s">
        <v>5</v>
      </c>
      <c r="AE454">
        <v>4</v>
      </c>
      <c r="AF454">
        <v>9</v>
      </c>
      <c r="AH454" t="s">
        <v>6266</v>
      </c>
      <c r="AI454" t="s">
        <v>6265</v>
      </c>
      <c r="AJ454" t="s">
        <v>6264</v>
      </c>
      <c r="AK454" t="s">
        <v>6263</v>
      </c>
      <c r="AL454">
        <v>0</v>
      </c>
      <c r="AM454" s="5">
        <f t="shared" si="58"/>
        <v>0</v>
      </c>
      <c r="AN454" s="4">
        <f t="shared" si="63"/>
        <v>0</v>
      </c>
      <c r="AO454" s="3"/>
      <c r="AP454">
        <v>0</v>
      </c>
      <c r="AR454" t="s">
        <v>0</v>
      </c>
      <c r="AT454" s="2" t="s">
        <v>33</v>
      </c>
      <c r="AU454" s="1">
        <f t="shared" si="59"/>
        <v>0.56805744641093392</v>
      </c>
      <c r="AV454" s="1">
        <f t="shared" si="60"/>
        <v>0.40575531886495286</v>
      </c>
      <c r="AW454" s="1">
        <f t="shared" si="61"/>
        <v>0.24345319131897172</v>
      </c>
    </row>
    <row r="455" spans="1:49" x14ac:dyDescent="0.2">
      <c r="A455">
        <v>453</v>
      </c>
      <c r="B455" t="s">
        <v>6262</v>
      </c>
      <c r="C455" t="s">
        <v>6261</v>
      </c>
      <c r="F455" t="s">
        <v>6260</v>
      </c>
      <c r="G455" t="s">
        <v>16</v>
      </c>
      <c r="H455" t="s">
        <v>15</v>
      </c>
      <c r="I455" t="s">
        <v>6259</v>
      </c>
      <c r="J455">
        <v>100446436</v>
      </c>
      <c r="K455" t="s">
        <v>6258</v>
      </c>
      <c r="M455" t="s">
        <v>57</v>
      </c>
      <c r="N455">
        <v>4</v>
      </c>
      <c r="O455" t="s">
        <v>6257</v>
      </c>
      <c r="P455" t="s">
        <v>6256</v>
      </c>
      <c r="Q455" t="s">
        <v>6255</v>
      </c>
      <c r="R455" s="7">
        <v>33239</v>
      </c>
      <c r="S455" s="8">
        <f t="shared" si="56"/>
        <v>1991</v>
      </c>
      <c r="T455" s="8">
        <v>1991</v>
      </c>
      <c r="U455" s="8">
        <f t="shared" si="57"/>
        <v>31</v>
      </c>
      <c r="V455" s="7" t="s">
        <v>6151</v>
      </c>
      <c r="W455" s="11" t="s">
        <v>2635</v>
      </c>
      <c r="X455" s="2">
        <v>2.383</v>
      </c>
      <c r="Y455" s="6">
        <f t="shared" si="62"/>
        <v>6.3612824003630442E-2</v>
      </c>
      <c r="AA455" t="s">
        <v>2634</v>
      </c>
      <c r="AB455">
        <v>101151</v>
      </c>
      <c r="AD455" t="s">
        <v>5</v>
      </c>
      <c r="AE455">
        <v>138</v>
      </c>
      <c r="AF455">
        <v>4</v>
      </c>
      <c r="AH455" t="s">
        <v>6254</v>
      </c>
      <c r="AI455" t="s">
        <v>6253</v>
      </c>
      <c r="AK455" t="s">
        <v>6252</v>
      </c>
      <c r="AL455">
        <v>50</v>
      </c>
      <c r="AM455" s="5">
        <f t="shared" si="58"/>
        <v>1.6129032258064515</v>
      </c>
      <c r="AN455" s="4">
        <f t="shared" si="63"/>
        <v>2.4428674377984876E-3</v>
      </c>
      <c r="AO455" s="3"/>
      <c r="AP455">
        <v>0</v>
      </c>
      <c r="AR455" t="s">
        <v>0</v>
      </c>
      <c r="AT455" s="2" t="s">
        <v>33</v>
      </c>
      <c r="AU455" s="1">
        <f t="shared" si="59"/>
        <v>4.5261837033880852</v>
      </c>
      <c r="AV455" s="1">
        <f t="shared" si="60"/>
        <v>3.3027845720714466</v>
      </c>
      <c r="AW455" s="1">
        <f t="shared" si="61"/>
        <v>2.0793854407548071</v>
      </c>
    </row>
    <row r="456" spans="1:49" x14ac:dyDescent="0.2">
      <c r="A456">
        <v>454</v>
      </c>
      <c r="B456" t="s">
        <v>6251</v>
      </c>
      <c r="C456" t="s">
        <v>6250</v>
      </c>
      <c r="F456" t="s">
        <v>6249</v>
      </c>
      <c r="G456" t="s">
        <v>16</v>
      </c>
      <c r="H456" t="s">
        <v>15</v>
      </c>
      <c r="I456" t="s">
        <v>6248</v>
      </c>
      <c r="J456">
        <v>60014171</v>
      </c>
      <c r="K456" t="s">
        <v>6247</v>
      </c>
      <c r="L456" t="s">
        <v>6246</v>
      </c>
      <c r="M456" t="s">
        <v>1543</v>
      </c>
      <c r="N456">
        <v>3</v>
      </c>
      <c r="O456" t="s">
        <v>6245</v>
      </c>
      <c r="P456" t="s">
        <v>6244</v>
      </c>
      <c r="Q456" t="s">
        <v>6243</v>
      </c>
      <c r="R456" s="7">
        <v>33239</v>
      </c>
      <c r="S456" s="8">
        <f t="shared" si="56"/>
        <v>1991</v>
      </c>
      <c r="T456" s="8">
        <v>1991</v>
      </c>
      <c r="U456" s="8">
        <f t="shared" si="57"/>
        <v>31</v>
      </c>
      <c r="V456" s="7" t="s">
        <v>6151</v>
      </c>
      <c r="W456" s="11" t="s">
        <v>2635</v>
      </c>
      <c r="X456" s="2">
        <v>2.383</v>
      </c>
      <c r="Y456" s="6">
        <f t="shared" si="62"/>
        <v>6.3612824003630442E-2</v>
      </c>
      <c r="AA456" t="s">
        <v>2634</v>
      </c>
      <c r="AB456">
        <v>101151</v>
      </c>
      <c r="AD456" t="s">
        <v>5</v>
      </c>
      <c r="AE456">
        <v>138</v>
      </c>
      <c r="AF456">
        <v>4</v>
      </c>
      <c r="AH456" t="s">
        <v>6242</v>
      </c>
      <c r="AI456" t="s">
        <v>6241</v>
      </c>
      <c r="AK456" t="s">
        <v>6240</v>
      </c>
      <c r="AL456">
        <v>90</v>
      </c>
      <c r="AM456" s="5">
        <f t="shared" si="58"/>
        <v>2.903225806451613</v>
      </c>
      <c r="AN456" s="4">
        <f t="shared" si="63"/>
        <v>4.3971613880372786E-3</v>
      </c>
      <c r="AO456" s="3"/>
      <c r="AP456">
        <v>0</v>
      </c>
      <c r="AR456" t="s">
        <v>0</v>
      </c>
      <c r="AT456" s="2" t="s">
        <v>33</v>
      </c>
      <c r="AU456" s="1">
        <f t="shared" si="59"/>
        <v>4.5848125218952491</v>
      </c>
      <c r="AV456" s="1">
        <f t="shared" si="60"/>
        <v>3.4004992695833862</v>
      </c>
      <c r="AW456" s="1">
        <f t="shared" si="61"/>
        <v>2.2161860172715224</v>
      </c>
    </row>
    <row r="457" spans="1:49" x14ac:dyDescent="0.2">
      <c r="A457">
        <v>455</v>
      </c>
      <c r="B457" t="s">
        <v>6239</v>
      </c>
      <c r="C457" t="s">
        <v>6238</v>
      </c>
      <c r="F457" t="s">
        <v>6237</v>
      </c>
      <c r="G457" t="s">
        <v>16</v>
      </c>
      <c r="H457" t="s">
        <v>15</v>
      </c>
      <c r="I457" t="s">
        <v>6236</v>
      </c>
      <c r="J457">
        <v>60032503</v>
      </c>
      <c r="K457" t="s">
        <v>6235</v>
      </c>
      <c r="L457" t="s">
        <v>6234</v>
      </c>
      <c r="M457" t="s">
        <v>57</v>
      </c>
      <c r="N457">
        <v>3</v>
      </c>
      <c r="O457" t="s">
        <v>6233</v>
      </c>
      <c r="P457" t="s">
        <v>6232</v>
      </c>
      <c r="Q457" t="s">
        <v>6231</v>
      </c>
      <c r="R457" s="7">
        <v>33239</v>
      </c>
      <c r="S457" s="8">
        <f t="shared" si="56"/>
        <v>1991</v>
      </c>
      <c r="T457" s="8">
        <v>1991</v>
      </c>
      <c r="U457" s="8">
        <f t="shared" si="57"/>
        <v>31</v>
      </c>
      <c r="V457" s="7" t="s">
        <v>6230</v>
      </c>
      <c r="W457" t="s">
        <v>6229</v>
      </c>
      <c r="X457" s="2" t="s">
        <v>33</v>
      </c>
      <c r="Y457" s="6" t="e">
        <f t="shared" si="62"/>
        <v>#VALUE!</v>
      </c>
      <c r="AA457">
        <v>84204</v>
      </c>
      <c r="AB457">
        <v>27420</v>
      </c>
      <c r="AD457" t="s">
        <v>5</v>
      </c>
      <c r="AE457">
        <v>69</v>
      </c>
      <c r="AF457" s="9">
        <v>44447</v>
      </c>
      <c r="AH457" t="s">
        <v>6228</v>
      </c>
      <c r="AI457" t="s">
        <v>6227</v>
      </c>
      <c r="AK457" t="s">
        <v>6226</v>
      </c>
      <c r="AL457">
        <v>23</v>
      </c>
      <c r="AM457" s="5">
        <f t="shared" si="58"/>
        <v>0.74193548387096775</v>
      </c>
      <c r="AN457" s="4">
        <f t="shared" si="63"/>
        <v>1.1237190213873045E-3</v>
      </c>
      <c r="AO457" s="3"/>
      <c r="AP457">
        <v>0</v>
      </c>
      <c r="AR457" t="s">
        <v>0</v>
      </c>
      <c r="AT457" s="2">
        <v>1.24</v>
      </c>
      <c r="AU457" s="1" t="e">
        <f t="shared" si="59"/>
        <v>#VALUE!</v>
      </c>
      <c r="AV457" s="1" t="e">
        <f t="shared" si="60"/>
        <v>#VALUE!</v>
      </c>
      <c r="AW457" s="1" t="e">
        <f t="shared" si="61"/>
        <v>#VALUE!</v>
      </c>
    </row>
    <row r="458" spans="1:49" x14ac:dyDescent="0.2">
      <c r="A458">
        <v>456</v>
      </c>
      <c r="B458" t="s">
        <v>6225</v>
      </c>
      <c r="C458" t="s">
        <v>6224</v>
      </c>
      <c r="F458" t="s">
        <v>6223</v>
      </c>
      <c r="G458" t="s">
        <v>16</v>
      </c>
      <c r="H458" t="s">
        <v>15</v>
      </c>
      <c r="I458" t="s">
        <v>6222</v>
      </c>
      <c r="J458">
        <v>60031126</v>
      </c>
      <c r="K458" t="s">
        <v>3512</v>
      </c>
      <c r="L458" t="s">
        <v>327</v>
      </c>
      <c r="M458" t="s">
        <v>326</v>
      </c>
      <c r="N458">
        <v>3</v>
      </c>
      <c r="O458" t="s">
        <v>6221</v>
      </c>
      <c r="P458" t="s">
        <v>6220</v>
      </c>
      <c r="Q458" t="s">
        <v>6219</v>
      </c>
      <c r="R458" s="7">
        <v>33239</v>
      </c>
      <c r="S458" s="8">
        <f t="shared" si="56"/>
        <v>1991</v>
      </c>
      <c r="T458" s="8">
        <v>1991</v>
      </c>
      <c r="U458" s="8">
        <f t="shared" si="57"/>
        <v>31</v>
      </c>
      <c r="V458" s="7" t="s">
        <v>6151</v>
      </c>
      <c r="W458" s="11" t="s">
        <v>2635</v>
      </c>
      <c r="X458" s="2">
        <v>2.383</v>
      </c>
      <c r="Y458" s="6">
        <f t="shared" si="62"/>
        <v>6.3612824003630442E-2</v>
      </c>
      <c r="AA458" t="s">
        <v>2634</v>
      </c>
      <c r="AB458">
        <v>101151</v>
      </c>
      <c r="AD458" t="s">
        <v>5</v>
      </c>
      <c r="AE458">
        <v>138</v>
      </c>
      <c r="AF458">
        <v>4</v>
      </c>
      <c r="AH458" t="s">
        <v>6218</v>
      </c>
      <c r="AI458" t="s">
        <v>6217</v>
      </c>
      <c r="AK458" t="s">
        <v>6216</v>
      </c>
      <c r="AL458">
        <v>29</v>
      </c>
      <c r="AM458" s="5">
        <f t="shared" si="58"/>
        <v>0.93548387096774188</v>
      </c>
      <c r="AN458" s="4">
        <f t="shared" si="63"/>
        <v>1.4168631139231229E-3</v>
      </c>
      <c r="AO458" s="3"/>
      <c r="AP458">
        <v>0</v>
      </c>
      <c r="AR458" t="s">
        <v>0</v>
      </c>
      <c r="AT458" s="2" t="s">
        <v>33</v>
      </c>
      <c r="AU458" s="1">
        <f t="shared" si="59"/>
        <v>4.4954035736718243</v>
      </c>
      <c r="AV458" s="1">
        <f t="shared" si="60"/>
        <v>3.2514843558776785</v>
      </c>
      <c r="AW458" s="1">
        <f t="shared" si="61"/>
        <v>2.0075651380835318</v>
      </c>
    </row>
    <row r="459" spans="1:49" x14ac:dyDescent="0.2">
      <c r="A459">
        <v>457</v>
      </c>
      <c r="B459" t="s">
        <v>6215</v>
      </c>
      <c r="C459" t="s">
        <v>6214</v>
      </c>
      <c r="F459" t="s">
        <v>6213</v>
      </c>
      <c r="G459" t="s">
        <v>16</v>
      </c>
      <c r="H459" t="s">
        <v>15</v>
      </c>
      <c r="I459" t="s">
        <v>6212</v>
      </c>
      <c r="J459">
        <v>60022148</v>
      </c>
      <c r="K459" t="s">
        <v>4154</v>
      </c>
      <c r="L459" t="s">
        <v>118</v>
      </c>
      <c r="M459" t="s">
        <v>117</v>
      </c>
      <c r="N459">
        <v>4</v>
      </c>
      <c r="O459" t="s">
        <v>6211</v>
      </c>
      <c r="P459" t="s">
        <v>6210</v>
      </c>
      <c r="Q459" t="s">
        <v>6209</v>
      </c>
      <c r="R459" s="7">
        <v>33239</v>
      </c>
      <c r="S459" s="8">
        <f t="shared" si="56"/>
        <v>1991</v>
      </c>
      <c r="T459" s="8">
        <v>1991</v>
      </c>
      <c r="U459" s="8">
        <f t="shared" si="57"/>
        <v>31</v>
      </c>
      <c r="V459" s="7" t="s">
        <v>6151</v>
      </c>
      <c r="W459" s="11" t="s">
        <v>2635</v>
      </c>
      <c r="X459" s="2">
        <v>2.383</v>
      </c>
      <c r="Y459" s="6">
        <f t="shared" si="62"/>
        <v>6.3612824003630442E-2</v>
      </c>
      <c r="AA459" t="s">
        <v>2634</v>
      </c>
      <c r="AB459">
        <v>101151</v>
      </c>
      <c r="AD459" t="s">
        <v>5</v>
      </c>
      <c r="AE459">
        <v>138</v>
      </c>
      <c r="AF459">
        <v>4</v>
      </c>
      <c r="AH459" t="s">
        <v>6208</v>
      </c>
      <c r="AI459" t="s">
        <v>6207</v>
      </c>
      <c r="AK459" t="s">
        <v>6206</v>
      </c>
      <c r="AL459">
        <v>0</v>
      </c>
      <c r="AM459" s="5">
        <f t="shared" si="58"/>
        <v>0</v>
      </c>
      <c r="AN459" s="4">
        <f t="shared" si="63"/>
        <v>0</v>
      </c>
      <c r="AO459" s="3"/>
      <c r="AP459">
        <v>0</v>
      </c>
      <c r="AR459" t="s">
        <v>0</v>
      </c>
      <c r="AT459" s="2" t="s">
        <v>33</v>
      </c>
      <c r="AU459" s="1">
        <f t="shared" si="59"/>
        <v>4.4528976802541305</v>
      </c>
      <c r="AV459" s="1">
        <f t="shared" si="60"/>
        <v>3.1806412001815221</v>
      </c>
      <c r="AW459" s="1">
        <f t="shared" si="61"/>
        <v>1.9083847201089132</v>
      </c>
    </row>
    <row r="460" spans="1:49" x14ac:dyDescent="0.2">
      <c r="A460">
        <v>458</v>
      </c>
      <c r="B460" t="s">
        <v>6205</v>
      </c>
      <c r="C460" t="s">
        <v>6204</v>
      </c>
      <c r="F460" t="s">
        <v>6203</v>
      </c>
      <c r="G460" t="s">
        <v>16</v>
      </c>
      <c r="H460" t="s">
        <v>15</v>
      </c>
      <c r="I460" t="s">
        <v>5067</v>
      </c>
      <c r="J460">
        <v>60030526</v>
      </c>
      <c r="K460" t="s">
        <v>3003</v>
      </c>
      <c r="L460" t="s">
        <v>327</v>
      </c>
      <c r="M460" t="s">
        <v>326</v>
      </c>
      <c r="N460">
        <v>4</v>
      </c>
      <c r="O460" t="s">
        <v>6202</v>
      </c>
      <c r="P460" t="s">
        <v>6201</v>
      </c>
      <c r="Q460" t="s">
        <v>6200</v>
      </c>
      <c r="R460" s="7">
        <v>33239</v>
      </c>
      <c r="S460" s="8">
        <f t="shared" si="56"/>
        <v>1991</v>
      </c>
      <c r="T460" s="8">
        <v>1991</v>
      </c>
      <c r="U460" s="8">
        <f t="shared" si="57"/>
        <v>31</v>
      </c>
      <c r="V460" s="7" t="s">
        <v>6151</v>
      </c>
      <c r="W460" s="11" t="s">
        <v>2635</v>
      </c>
      <c r="X460" s="2">
        <v>2.383</v>
      </c>
      <c r="Y460" s="6">
        <f t="shared" si="62"/>
        <v>6.3612824003630442E-2</v>
      </c>
      <c r="AA460" t="s">
        <v>2634</v>
      </c>
      <c r="AB460">
        <v>101151</v>
      </c>
      <c r="AD460" t="s">
        <v>5</v>
      </c>
      <c r="AE460">
        <v>138</v>
      </c>
      <c r="AF460">
        <v>4</v>
      </c>
      <c r="AH460" t="s">
        <v>6199</v>
      </c>
      <c r="AI460" t="s">
        <v>6198</v>
      </c>
      <c r="AK460" t="s">
        <v>6197</v>
      </c>
      <c r="AL460">
        <v>6</v>
      </c>
      <c r="AM460" s="5">
        <f t="shared" si="58"/>
        <v>0.19354838709677419</v>
      </c>
      <c r="AN460" s="4">
        <f t="shared" si="63"/>
        <v>2.9314409253581854E-4</v>
      </c>
      <c r="AO460" s="3"/>
      <c r="AP460">
        <v>0</v>
      </c>
      <c r="AR460" t="s">
        <v>0</v>
      </c>
      <c r="AT460" s="2" t="s">
        <v>33</v>
      </c>
      <c r="AU460" s="1">
        <f t="shared" si="59"/>
        <v>4.4616920030302056</v>
      </c>
      <c r="AV460" s="1">
        <f t="shared" si="60"/>
        <v>3.1952984048083133</v>
      </c>
      <c r="AW460" s="1">
        <f t="shared" si="61"/>
        <v>1.9289048065864205</v>
      </c>
    </row>
    <row r="461" spans="1:49" x14ac:dyDescent="0.2">
      <c r="A461">
        <v>459</v>
      </c>
      <c r="B461" t="s">
        <v>6196</v>
      </c>
      <c r="C461" t="s">
        <v>6195</v>
      </c>
      <c r="F461" t="s">
        <v>6194</v>
      </c>
      <c r="G461" t="s">
        <v>16</v>
      </c>
      <c r="H461" t="s">
        <v>15</v>
      </c>
      <c r="I461" t="s">
        <v>6193</v>
      </c>
      <c r="J461">
        <v>60021902</v>
      </c>
      <c r="K461" t="s">
        <v>4522</v>
      </c>
      <c r="L461" t="s">
        <v>4521</v>
      </c>
      <c r="M461" t="s">
        <v>4520</v>
      </c>
      <c r="N461">
        <v>1</v>
      </c>
      <c r="O461" t="s">
        <v>6192</v>
      </c>
      <c r="P461">
        <v>36641201700</v>
      </c>
      <c r="Q461">
        <v>60021902</v>
      </c>
      <c r="R461" s="7">
        <v>33239</v>
      </c>
      <c r="S461" s="8">
        <f t="shared" si="56"/>
        <v>1991</v>
      </c>
      <c r="T461" s="8">
        <v>1991</v>
      </c>
      <c r="U461" s="8">
        <f t="shared" si="57"/>
        <v>31</v>
      </c>
      <c r="V461" s="7" t="s">
        <v>6151</v>
      </c>
      <c r="W461" s="11" t="s">
        <v>2635</v>
      </c>
      <c r="X461" s="2">
        <v>2.383</v>
      </c>
      <c r="Y461" s="6">
        <f t="shared" si="62"/>
        <v>6.3612824003630442E-2</v>
      </c>
      <c r="AA461" t="s">
        <v>2634</v>
      </c>
      <c r="AB461">
        <v>101151</v>
      </c>
      <c r="AD461" t="s">
        <v>5</v>
      </c>
      <c r="AE461">
        <v>138</v>
      </c>
      <c r="AF461">
        <v>4</v>
      </c>
      <c r="AH461" t="s">
        <v>6191</v>
      </c>
      <c r="AI461" t="s">
        <v>6190</v>
      </c>
      <c r="AK461" t="s">
        <v>6189</v>
      </c>
      <c r="AL461">
        <v>0</v>
      </c>
      <c r="AM461" s="5">
        <f t="shared" si="58"/>
        <v>0</v>
      </c>
      <c r="AN461" s="4">
        <f t="shared" si="63"/>
        <v>0</v>
      </c>
      <c r="AO461" s="3"/>
      <c r="AP461">
        <v>0</v>
      </c>
      <c r="AR461" t="s">
        <v>0</v>
      </c>
      <c r="AT461" s="2" t="s">
        <v>33</v>
      </c>
      <c r="AU461" s="1">
        <f t="shared" si="59"/>
        <v>4.4528976802541305</v>
      </c>
      <c r="AV461" s="1">
        <f t="shared" si="60"/>
        <v>3.1806412001815221</v>
      </c>
      <c r="AW461" s="1">
        <f t="shared" si="61"/>
        <v>1.9083847201089132</v>
      </c>
    </row>
    <row r="462" spans="1:49" x14ac:dyDescent="0.2">
      <c r="A462">
        <v>460</v>
      </c>
      <c r="B462" t="s">
        <v>6188</v>
      </c>
      <c r="C462" t="s">
        <v>6187</v>
      </c>
      <c r="F462" t="s">
        <v>6186</v>
      </c>
      <c r="G462" t="s">
        <v>16</v>
      </c>
      <c r="H462" t="s">
        <v>15</v>
      </c>
      <c r="I462" t="s">
        <v>6185</v>
      </c>
      <c r="J462">
        <v>106790627</v>
      </c>
      <c r="K462" t="s">
        <v>6184</v>
      </c>
      <c r="L462" t="s">
        <v>4583</v>
      </c>
      <c r="M462" t="s">
        <v>57</v>
      </c>
      <c r="N462">
        <v>3</v>
      </c>
      <c r="O462" t="s">
        <v>6183</v>
      </c>
      <c r="P462" t="s">
        <v>6182</v>
      </c>
      <c r="Q462" t="s">
        <v>6181</v>
      </c>
      <c r="R462" s="7">
        <v>33239</v>
      </c>
      <c r="S462" s="8">
        <f t="shared" si="56"/>
        <v>1991</v>
      </c>
      <c r="T462" s="8">
        <v>1991</v>
      </c>
      <c r="U462" s="8">
        <f t="shared" si="57"/>
        <v>31</v>
      </c>
      <c r="V462" s="7" t="s">
        <v>6151</v>
      </c>
      <c r="W462" s="11" t="s">
        <v>2635</v>
      </c>
      <c r="X462" s="2">
        <v>2.383</v>
      </c>
      <c r="Y462" s="6">
        <f t="shared" si="62"/>
        <v>6.3612824003630442E-2</v>
      </c>
      <c r="AA462" t="s">
        <v>2634</v>
      </c>
      <c r="AB462">
        <v>101151</v>
      </c>
      <c r="AD462" t="s">
        <v>5</v>
      </c>
      <c r="AE462">
        <v>138</v>
      </c>
      <c r="AF462">
        <v>4</v>
      </c>
      <c r="AH462" t="s">
        <v>6180</v>
      </c>
      <c r="AI462" t="s">
        <v>6179</v>
      </c>
      <c r="AK462" t="s">
        <v>6178</v>
      </c>
      <c r="AL462">
        <v>2</v>
      </c>
      <c r="AM462" s="5">
        <f t="shared" si="58"/>
        <v>6.4516129032258063E-2</v>
      </c>
      <c r="AN462" s="4">
        <f t="shared" si="63"/>
        <v>9.7714697511939517E-5</v>
      </c>
      <c r="AO462" s="3"/>
      <c r="AP462">
        <v>0</v>
      </c>
      <c r="AR462" t="s">
        <v>0</v>
      </c>
      <c r="AT462" s="2" t="s">
        <v>33</v>
      </c>
      <c r="AU462" s="1">
        <f t="shared" si="59"/>
        <v>4.4558291211794891</v>
      </c>
      <c r="AV462" s="1">
        <f t="shared" si="60"/>
        <v>3.1855269350571187</v>
      </c>
      <c r="AW462" s="1">
        <f t="shared" si="61"/>
        <v>1.9152247489347491</v>
      </c>
    </row>
    <row r="463" spans="1:49" x14ac:dyDescent="0.2">
      <c r="A463">
        <v>461</v>
      </c>
      <c r="B463" t="s">
        <v>6177</v>
      </c>
      <c r="C463" t="s">
        <v>6176</v>
      </c>
      <c r="F463" t="s">
        <v>6175</v>
      </c>
      <c r="G463" t="s">
        <v>16</v>
      </c>
      <c r="H463" t="s">
        <v>15</v>
      </c>
      <c r="I463" t="s">
        <v>4722</v>
      </c>
      <c r="J463">
        <v>60001271</v>
      </c>
      <c r="K463" t="s">
        <v>3638</v>
      </c>
      <c r="L463" t="s">
        <v>2922</v>
      </c>
      <c r="M463" t="s">
        <v>326</v>
      </c>
      <c r="N463">
        <v>1</v>
      </c>
      <c r="O463" t="s">
        <v>4721</v>
      </c>
      <c r="P463">
        <v>7102629706</v>
      </c>
      <c r="Q463">
        <v>60001271</v>
      </c>
      <c r="R463" s="7">
        <v>33239</v>
      </c>
      <c r="S463" s="8">
        <f t="shared" si="56"/>
        <v>1991</v>
      </c>
      <c r="T463" s="8">
        <v>1991</v>
      </c>
      <c r="U463" s="8">
        <f t="shared" si="57"/>
        <v>31</v>
      </c>
      <c r="V463" s="7">
        <v>33451</v>
      </c>
      <c r="W463" t="s">
        <v>2569</v>
      </c>
      <c r="X463" s="2">
        <v>0.111</v>
      </c>
      <c r="Y463" s="6">
        <f t="shared" si="62"/>
        <v>2.9630816048690639E-3</v>
      </c>
      <c r="AA463">
        <v>87566621</v>
      </c>
      <c r="AB463">
        <v>24890</v>
      </c>
      <c r="AC463">
        <v>15206424</v>
      </c>
      <c r="AD463" t="s">
        <v>5</v>
      </c>
      <c r="AE463">
        <v>74</v>
      </c>
      <c r="AF463">
        <v>8</v>
      </c>
      <c r="AH463" t="s">
        <v>6174</v>
      </c>
      <c r="AI463" t="s">
        <v>6173</v>
      </c>
      <c r="AK463" t="s">
        <v>6172</v>
      </c>
      <c r="AL463">
        <v>14</v>
      </c>
      <c r="AM463" s="5">
        <f t="shared" si="58"/>
        <v>0.45161290322580644</v>
      </c>
      <c r="AN463" s="4">
        <f t="shared" si="63"/>
        <v>6.840028825835766E-4</v>
      </c>
      <c r="AO463" s="3"/>
      <c r="AP463">
        <v>0</v>
      </c>
      <c r="AR463" t="s">
        <v>0</v>
      </c>
      <c r="AT463" s="2" t="s">
        <v>33</v>
      </c>
      <c r="AU463" s="1">
        <f t="shared" si="59"/>
        <v>0.22793579881834175</v>
      </c>
      <c r="AV463" s="1">
        <f t="shared" si="60"/>
        <v>0.18235422437263202</v>
      </c>
      <c r="AW463" s="1">
        <f t="shared" si="61"/>
        <v>0.13677264992692226</v>
      </c>
    </row>
    <row r="464" spans="1:49" x14ac:dyDescent="0.2">
      <c r="A464">
        <v>462</v>
      </c>
      <c r="B464" t="s">
        <v>6171</v>
      </c>
      <c r="C464" t="s">
        <v>6170</v>
      </c>
      <c r="F464" t="s">
        <v>6169</v>
      </c>
      <c r="G464" t="s">
        <v>16</v>
      </c>
      <c r="H464" t="s">
        <v>15</v>
      </c>
      <c r="I464" t="s">
        <v>6168</v>
      </c>
      <c r="J464">
        <v>60029570</v>
      </c>
      <c r="K464" t="s">
        <v>6167</v>
      </c>
      <c r="L464" t="s">
        <v>6166</v>
      </c>
      <c r="M464" t="s">
        <v>6165</v>
      </c>
      <c r="N464">
        <v>2</v>
      </c>
      <c r="O464" t="s">
        <v>6164</v>
      </c>
      <c r="P464" t="s">
        <v>6163</v>
      </c>
      <c r="Q464" t="s">
        <v>6162</v>
      </c>
      <c r="R464" s="7">
        <v>33239</v>
      </c>
      <c r="S464" s="8">
        <f t="shared" si="56"/>
        <v>1991</v>
      </c>
      <c r="T464" s="8">
        <v>1991</v>
      </c>
      <c r="U464" s="8">
        <f t="shared" si="57"/>
        <v>31</v>
      </c>
      <c r="V464" s="7">
        <v>33451</v>
      </c>
      <c r="W464" t="s">
        <v>561</v>
      </c>
      <c r="X464" s="2">
        <v>0.30399999999999999</v>
      </c>
      <c r="Y464" s="6">
        <f t="shared" si="62"/>
        <v>8.115106377299057E-3</v>
      </c>
      <c r="AA464">
        <v>8952477</v>
      </c>
      <c r="AB464">
        <v>12250</v>
      </c>
      <c r="AC464">
        <v>10982760</v>
      </c>
      <c r="AD464" t="s">
        <v>5</v>
      </c>
      <c r="AE464">
        <v>4</v>
      </c>
      <c r="AF464">
        <v>9</v>
      </c>
      <c r="AH464" t="s">
        <v>6161</v>
      </c>
      <c r="AI464" t="s">
        <v>6160</v>
      </c>
      <c r="AJ464" t="s">
        <v>6159</v>
      </c>
      <c r="AK464" t="s">
        <v>6158</v>
      </c>
      <c r="AL464">
        <v>0</v>
      </c>
      <c r="AM464" s="5">
        <f t="shared" si="58"/>
        <v>0</v>
      </c>
      <c r="AN464" s="4">
        <f t="shared" si="63"/>
        <v>0</v>
      </c>
      <c r="AO464" s="3"/>
      <c r="AP464">
        <v>0</v>
      </c>
      <c r="AR464" t="s">
        <v>0</v>
      </c>
      <c r="AT464" s="2" t="s">
        <v>33</v>
      </c>
      <c r="AU464" s="1">
        <f t="shared" si="59"/>
        <v>0.56805744641093392</v>
      </c>
      <c r="AV464" s="1">
        <f t="shared" si="60"/>
        <v>0.40575531886495286</v>
      </c>
      <c r="AW464" s="1">
        <f t="shared" si="61"/>
        <v>0.24345319131897172</v>
      </c>
    </row>
    <row r="465" spans="1:49" x14ac:dyDescent="0.2">
      <c r="A465">
        <v>463</v>
      </c>
      <c r="B465" t="s">
        <v>6157</v>
      </c>
      <c r="C465" t="s">
        <v>6156</v>
      </c>
      <c r="F465" t="s">
        <v>6155</v>
      </c>
      <c r="G465" t="s">
        <v>16</v>
      </c>
      <c r="H465" t="s">
        <v>15</v>
      </c>
      <c r="I465" t="s">
        <v>6154</v>
      </c>
      <c r="J465">
        <v>60000990</v>
      </c>
      <c r="K465" t="s">
        <v>6153</v>
      </c>
      <c r="L465" t="s">
        <v>147</v>
      </c>
      <c r="M465" t="s">
        <v>146</v>
      </c>
      <c r="N465">
        <v>1</v>
      </c>
      <c r="O465" t="s">
        <v>6152</v>
      </c>
      <c r="P465">
        <v>57188535248</v>
      </c>
      <c r="Q465">
        <v>60000990</v>
      </c>
      <c r="R465" s="7">
        <v>33239</v>
      </c>
      <c r="S465" s="8">
        <f t="shared" si="56"/>
        <v>1991</v>
      </c>
      <c r="T465" s="8">
        <v>1991</v>
      </c>
      <c r="U465" s="8">
        <f t="shared" si="57"/>
        <v>31</v>
      </c>
      <c r="V465" s="7" t="s">
        <v>6151</v>
      </c>
      <c r="W465" s="11" t="s">
        <v>2635</v>
      </c>
      <c r="X465" s="2">
        <v>2.383</v>
      </c>
      <c r="Y465" s="6">
        <f t="shared" si="62"/>
        <v>6.3612824003630442E-2</v>
      </c>
      <c r="AA465" t="s">
        <v>2634</v>
      </c>
      <c r="AB465">
        <v>101151</v>
      </c>
      <c r="AD465" t="s">
        <v>5</v>
      </c>
      <c r="AE465">
        <v>138</v>
      </c>
      <c r="AF465">
        <v>4</v>
      </c>
      <c r="AH465" t="s">
        <v>6150</v>
      </c>
      <c r="AI465" t="s">
        <v>6149</v>
      </c>
      <c r="AK465" t="s">
        <v>6148</v>
      </c>
      <c r="AL465">
        <v>10</v>
      </c>
      <c r="AM465" s="5">
        <f t="shared" si="58"/>
        <v>0.32258064516129031</v>
      </c>
      <c r="AN465" s="4">
        <f t="shared" si="63"/>
        <v>4.8857348755969754E-4</v>
      </c>
      <c r="AO465" s="3"/>
      <c r="AP465">
        <v>0</v>
      </c>
      <c r="AR465" t="s">
        <v>0</v>
      </c>
      <c r="AT465" s="2" t="s">
        <v>33</v>
      </c>
      <c r="AU465" s="1">
        <f t="shared" si="59"/>
        <v>4.4675548848809221</v>
      </c>
      <c r="AV465" s="1">
        <f t="shared" si="60"/>
        <v>3.2050698745595065</v>
      </c>
      <c r="AW465" s="1">
        <f t="shared" si="61"/>
        <v>1.9425848642380923</v>
      </c>
    </row>
    <row r="466" spans="1:49" x14ac:dyDescent="0.2">
      <c r="A466">
        <v>464</v>
      </c>
      <c r="B466" t="s">
        <v>6147</v>
      </c>
      <c r="C466" t="s">
        <v>6146</v>
      </c>
      <c r="F466" t="s">
        <v>6145</v>
      </c>
      <c r="G466" t="s">
        <v>16</v>
      </c>
      <c r="H466" t="s">
        <v>15</v>
      </c>
      <c r="I466" t="s">
        <v>6144</v>
      </c>
      <c r="J466">
        <v>60103653</v>
      </c>
      <c r="K466" t="s">
        <v>2700</v>
      </c>
      <c r="L466" t="s">
        <v>2699</v>
      </c>
      <c r="M466" t="s">
        <v>173</v>
      </c>
      <c r="N466">
        <v>3</v>
      </c>
      <c r="O466" t="s">
        <v>6143</v>
      </c>
      <c r="P466" t="s">
        <v>6142</v>
      </c>
      <c r="Q466" t="s">
        <v>2696</v>
      </c>
      <c r="R466" s="7">
        <v>33239</v>
      </c>
      <c r="S466" s="8">
        <f t="shared" si="56"/>
        <v>1991</v>
      </c>
      <c r="T466" s="8">
        <v>1991</v>
      </c>
      <c r="U466" s="8">
        <f t="shared" si="57"/>
        <v>31</v>
      </c>
      <c r="V466" s="7">
        <v>33451</v>
      </c>
      <c r="W466" t="s">
        <v>561</v>
      </c>
      <c r="X466" s="2">
        <v>0.30399999999999999</v>
      </c>
      <c r="Y466" s="6">
        <f t="shared" si="62"/>
        <v>8.115106377299057E-3</v>
      </c>
      <c r="AA466">
        <v>8952477</v>
      </c>
      <c r="AB466">
        <v>12250</v>
      </c>
      <c r="AC466">
        <v>10982760</v>
      </c>
      <c r="AD466" t="s">
        <v>5</v>
      </c>
      <c r="AE466">
        <v>4</v>
      </c>
      <c r="AF466">
        <v>9</v>
      </c>
      <c r="AH466" t="s">
        <v>6141</v>
      </c>
      <c r="AI466" t="s">
        <v>6140</v>
      </c>
      <c r="AJ466" t="s">
        <v>6139</v>
      </c>
      <c r="AK466" t="s">
        <v>6138</v>
      </c>
      <c r="AL466">
        <v>4</v>
      </c>
      <c r="AM466" s="5">
        <f t="shared" si="58"/>
        <v>0.12903225806451613</v>
      </c>
      <c r="AN466" s="4">
        <f t="shared" si="63"/>
        <v>1.9542939502387903E-4</v>
      </c>
      <c r="AO466" s="3"/>
      <c r="AP466">
        <v>0</v>
      </c>
      <c r="AR466" t="s">
        <v>0</v>
      </c>
      <c r="AT466" s="2" t="s">
        <v>33</v>
      </c>
      <c r="AU466" s="1">
        <f t="shared" si="59"/>
        <v>0.57392032826165029</v>
      </c>
      <c r="AV466" s="1">
        <f t="shared" si="60"/>
        <v>0.41552678861614678</v>
      </c>
      <c r="AW466" s="1">
        <f t="shared" si="61"/>
        <v>0.25713324897064327</v>
      </c>
    </row>
    <row r="467" spans="1:49" x14ac:dyDescent="0.2">
      <c r="A467">
        <v>465</v>
      </c>
      <c r="B467" t="s">
        <v>6137</v>
      </c>
      <c r="C467" t="s">
        <v>6136</v>
      </c>
      <c r="F467" t="s">
        <v>6135</v>
      </c>
      <c r="G467" t="s">
        <v>16</v>
      </c>
      <c r="H467" t="s">
        <v>15</v>
      </c>
      <c r="I467" t="s">
        <v>6134</v>
      </c>
      <c r="J467">
        <v>60104081</v>
      </c>
      <c r="K467" t="s">
        <v>6133</v>
      </c>
      <c r="L467" t="s">
        <v>6132</v>
      </c>
      <c r="M467" t="s">
        <v>213</v>
      </c>
      <c r="N467">
        <v>2</v>
      </c>
      <c r="O467" t="s">
        <v>6131</v>
      </c>
      <c r="P467" t="s">
        <v>6130</v>
      </c>
      <c r="Q467" t="s">
        <v>6129</v>
      </c>
      <c r="R467" s="7">
        <v>33239</v>
      </c>
      <c r="S467" s="8">
        <f t="shared" si="56"/>
        <v>1991</v>
      </c>
      <c r="T467" s="8">
        <v>1991</v>
      </c>
      <c r="U467" s="8">
        <f t="shared" si="57"/>
        <v>31</v>
      </c>
      <c r="V467" s="7">
        <v>33451</v>
      </c>
      <c r="W467" t="s">
        <v>1807</v>
      </c>
      <c r="X467" s="2">
        <v>1.6519999999999999</v>
      </c>
      <c r="Y467" s="6">
        <f t="shared" si="62"/>
        <v>4.409919649769093E-2</v>
      </c>
      <c r="AA467" t="s">
        <v>1806</v>
      </c>
      <c r="AB467">
        <v>17337</v>
      </c>
      <c r="AC467">
        <v>15582221</v>
      </c>
      <c r="AD467" t="s">
        <v>5</v>
      </c>
      <c r="AE467">
        <v>39</v>
      </c>
      <c r="AF467">
        <v>8</v>
      </c>
      <c r="AH467" t="s">
        <v>6128</v>
      </c>
      <c r="AI467" t="s">
        <v>6127</v>
      </c>
      <c r="AK467" t="s">
        <v>6126</v>
      </c>
      <c r="AL467">
        <v>60</v>
      </c>
      <c r="AM467" s="5">
        <f t="shared" si="58"/>
        <v>1.935483870967742</v>
      </c>
      <c r="AN467" s="4">
        <f t="shared" si="63"/>
        <v>2.9314409253581855E-3</v>
      </c>
      <c r="AO467" s="3"/>
      <c r="AP467">
        <v>0</v>
      </c>
      <c r="AR467" t="s">
        <v>0</v>
      </c>
      <c r="AT467" s="2" t="s">
        <v>33</v>
      </c>
      <c r="AU467" s="1">
        <f t="shared" si="59"/>
        <v>3.1748869825991108</v>
      </c>
      <c r="AV467" s="1">
        <f t="shared" si="60"/>
        <v>2.351531871152456</v>
      </c>
      <c r="AW467" s="1">
        <f t="shared" si="61"/>
        <v>1.5281767597058007</v>
      </c>
    </row>
    <row r="468" spans="1:49" x14ac:dyDescent="0.2">
      <c r="A468">
        <v>466</v>
      </c>
      <c r="B468" t="s">
        <v>6125</v>
      </c>
      <c r="C468" t="s">
        <v>6124</v>
      </c>
      <c r="F468" t="s">
        <v>6123</v>
      </c>
      <c r="G468" t="s">
        <v>16</v>
      </c>
      <c r="H468" t="s">
        <v>15</v>
      </c>
      <c r="I468" t="s">
        <v>6122</v>
      </c>
      <c r="J468">
        <v>60002798</v>
      </c>
      <c r="K468" t="s">
        <v>2662</v>
      </c>
      <c r="L468" t="s">
        <v>2661</v>
      </c>
      <c r="M468" t="s">
        <v>2661</v>
      </c>
      <c r="N468">
        <v>2</v>
      </c>
      <c r="O468" t="s">
        <v>6121</v>
      </c>
      <c r="P468" t="s">
        <v>6120</v>
      </c>
      <c r="Q468" t="s">
        <v>2658</v>
      </c>
      <c r="R468" s="7">
        <v>33239</v>
      </c>
      <c r="S468" s="8">
        <f t="shared" si="56"/>
        <v>1991</v>
      </c>
      <c r="T468" s="8">
        <v>1991</v>
      </c>
      <c r="U468" s="8">
        <f t="shared" si="57"/>
        <v>31</v>
      </c>
      <c r="V468" s="7">
        <v>33451</v>
      </c>
      <c r="W468" t="s">
        <v>1807</v>
      </c>
      <c r="X468" s="2">
        <v>1.6519999999999999</v>
      </c>
      <c r="Y468" s="6">
        <f t="shared" si="62"/>
        <v>4.409919649769093E-2</v>
      </c>
      <c r="AA468" t="s">
        <v>1806</v>
      </c>
      <c r="AB468">
        <v>17337</v>
      </c>
      <c r="AC468">
        <v>15582221</v>
      </c>
      <c r="AD468" t="s">
        <v>5</v>
      </c>
      <c r="AE468">
        <v>39</v>
      </c>
      <c r="AF468">
        <v>8</v>
      </c>
      <c r="AH468" t="s">
        <v>6119</v>
      </c>
      <c r="AI468" t="s">
        <v>6118</v>
      </c>
      <c r="AK468" t="s">
        <v>6117</v>
      </c>
      <c r="AL468">
        <v>44</v>
      </c>
      <c r="AM468" s="5">
        <f t="shared" si="58"/>
        <v>1.4193548387096775</v>
      </c>
      <c r="AN468" s="4">
        <f t="shared" si="63"/>
        <v>2.1497233452626692E-3</v>
      </c>
      <c r="AO468" s="3"/>
      <c r="AP468">
        <v>0</v>
      </c>
      <c r="AR468" t="s">
        <v>0</v>
      </c>
      <c r="AT468" s="2" t="s">
        <v>33</v>
      </c>
      <c r="AU468" s="1">
        <f t="shared" si="59"/>
        <v>3.1514354551962449</v>
      </c>
      <c r="AV468" s="1">
        <f t="shared" si="60"/>
        <v>2.3124459921476803</v>
      </c>
      <c r="AW468" s="1">
        <f t="shared" si="61"/>
        <v>1.4734565290991146</v>
      </c>
    </row>
    <row r="469" spans="1:49" x14ac:dyDescent="0.2">
      <c r="A469">
        <v>467</v>
      </c>
      <c r="B469" t="s">
        <v>6116</v>
      </c>
      <c r="C469" t="s">
        <v>6115</v>
      </c>
      <c r="F469" t="s">
        <v>6114</v>
      </c>
      <c r="G469" t="s">
        <v>16</v>
      </c>
      <c r="H469" t="s">
        <v>15</v>
      </c>
      <c r="I469" t="s">
        <v>4270</v>
      </c>
      <c r="J469">
        <v>60003500</v>
      </c>
      <c r="K469" t="s">
        <v>1115</v>
      </c>
      <c r="L469" t="s">
        <v>1114</v>
      </c>
      <c r="M469" t="s">
        <v>57</v>
      </c>
      <c r="N469">
        <v>4</v>
      </c>
      <c r="O469" t="s">
        <v>6113</v>
      </c>
      <c r="P469" t="s">
        <v>6112</v>
      </c>
      <c r="Q469" t="s">
        <v>6111</v>
      </c>
      <c r="R469" s="7">
        <v>33239</v>
      </c>
      <c r="S469" s="8">
        <f t="shared" si="56"/>
        <v>1991</v>
      </c>
      <c r="T469" s="8">
        <v>1991</v>
      </c>
      <c r="U469" s="8">
        <f t="shared" si="57"/>
        <v>31</v>
      </c>
      <c r="V469" s="7">
        <v>33451</v>
      </c>
      <c r="W469" t="s">
        <v>1807</v>
      </c>
      <c r="X469" s="2">
        <v>1.6519999999999999</v>
      </c>
      <c r="Y469" s="6">
        <f t="shared" si="62"/>
        <v>4.409919649769093E-2</v>
      </c>
      <c r="AA469" t="s">
        <v>1806</v>
      </c>
      <c r="AB469">
        <v>17337</v>
      </c>
      <c r="AC469">
        <v>15582221</v>
      </c>
      <c r="AD469" t="s">
        <v>5</v>
      </c>
      <c r="AE469">
        <v>39</v>
      </c>
      <c r="AF469">
        <v>8</v>
      </c>
      <c r="AH469" t="s">
        <v>6110</v>
      </c>
      <c r="AI469" t="s">
        <v>6109</v>
      </c>
      <c r="AK469" t="s">
        <v>6108</v>
      </c>
      <c r="AL469">
        <v>2</v>
      </c>
      <c r="AM469" s="5">
        <f t="shared" si="58"/>
        <v>6.4516129032258063E-2</v>
      </c>
      <c r="AN469" s="4">
        <f t="shared" si="63"/>
        <v>9.7714697511939517E-5</v>
      </c>
      <c r="AO469" s="3"/>
      <c r="AP469">
        <v>0</v>
      </c>
      <c r="AR469" t="s">
        <v>0</v>
      </c>
      <c r="AT469" s="2" t="s">
        <v>33</v>
      </c>
      <c r="AU469" s="1">
        <f t="shared" si="59"/>
        <v>3.0898751957637232</v>
      </c>
      <c r="AV469" s="1">
        <f t="shared" si="60"/>
        <v>2.2098455597601436</v>
      </c>
      <c r="AW469" s="1">
        <f t="shared" si="61"/>
        <v>1.3298159237565637</v>
      </c>
    </row>
    <row r="470" spans="1:49" x14ac:dyDescent="0.2">
      <c r="A470">
        <v>468</v>
      </c>
      <c r="B470" t="s">
        <v>6107</v>
      </c>
      <c r="C470" t="s">
        <v>6106</v>
      </c>
      <c r="F470" t="s">
        <v>6105</v>
      </c>
      <c r="G470" t="s">
        <v>16</v>
      </c>
      <c r="H470" t="s">
        <v>15</v>
      </c>
      <c r="I470" t="s">
        <v>6104</v>
      </c>
      <c r="J470" t="s">
        <v>6098</v>
      </c>
      <c r="K470" t="s">
        <v>6103</v>
      </c>
      <c r="L470" t="s">
        <v>6102</v>
      </c>
      <c r="M470" t="s">
        <v>6101</v>
      </c>
      <c r="N470">
        <v>2</v>
      </c>
      <c r="O470" t="s">
        <v>6100</v>
      </c>
      <c r="P470" t="s">
        <v>6099</v>
      </c>
      <c r="Q470" t="s">
        <v>6098</v>
      </c>
      <c r="R470" s="7">
        <v>33239</v>
      </c>
      <c r="S470" s="8">
        <f t="shared" si="56"/>
        <v>1991</v>
      </c>
      <c r="T470" s="8">
        <v>1991</v>
      </c>
      <c r="U470" s="8">
        <f t="shared" si="57"/>
        <v>31</v>
      </c>
      <c r="V470" s="7">
        <v>33451</v>
      </c>
      <c r="W470" t="s">
        <v>2685</v>
      </c>
      <c r="X470" s="2">
        <v>0.65500000000000003</v>
      </c>
      <c r="Y470" s="6">
        <f t="shared" si="62"/>
        <v>1.7484850911614749E-2</v>
      </c>
      <c r="AA470">
        <v>189375</v>
      </c>
      <c r="AB470">
        <v>26051</v>
      </c>
      <c r="AC470" t="s">
        <v>2684</v>
      </c>
      <c r="AD470" t="s">
        <v>5</v>
      </c>
      <c r="AE470">
        <v>33</v>
      </c>
      <c r="AF470">
        <v>3</v>
      </c>
      <c r="AH470" t="s">
        <v>6097</v>
      </c>
      <c r="AI470" t="s">
        <v>6096</v>
      </c>
      <c r="AK470" t="s">
        <v>6095</v>
      </c>
      <c r="AL470">
        <v>14</v>
      </c>
      <c r="AM470" s="5">
        <f t="shared" si="58"/>
        <v>0.45161290322580644</v>
      </c>
      <c r="AN470" s="4">
        <f t="shared" si="63"/>
        <v>6.840028825835766E-4</v>
      </c>
      <c r="AO470" s="3"/>
      <c r="AP470">
        <v>0</v>
      </c>
      <c r="AQ470" t="s">
        <v>6094</v>
      </c>
      <c r="AR470" t="s">
        <v>0</v>
      </c>
      <c r="AS470" t="s">
        <v>6093</v>
      </c>
      <c r="AT470" s="2" t="s">
        <v>33</v>
      </c>
      <c r="AU470" s="1">
        <f t="shared" si="59"/>
        <v>1.2444596502905396</v>
      </c>
      <c r="AV470" s="1">
        <f t="shared" si="60"/>
        <v>0.90844268970991615</v>
      </c>
      <c r="AW470" s="1">
        <f t="shared" si="61"/>
        <v>0.57242572912929279</v>
      </c>
    </row>
    <row r="471" spans="1:49" x14ac:dyDescent="0.2">
      <c r="A471">
        <v>469</v>
      </c>
      <c r="B471" t="s">
        <v>6092</v>
      </c>
      <c r="C471" t="s">
        <v>6091</v>
      </c>
      <c r="F471" t="s">
        <v>6090</v>
      </c>
      <c r="G471" t="s">
        <v>16</v>
      </c>
      <c r="H471" t="s">
        <v>15</v>
      </c>
      <c r="I471" t="s">
        <v>6089</v>
      </c>
      <c r="J471">
        <v>60020583</v>
      </c>
      <c r="K471" t="s">
        <v>6088</v>
      </c>
      <c r="L471" t="s">
        <v>6087</v>
      </c>
      <c r="M471" t="s">
        <v>57</v>
      </c>
      <c r="N471">
        <v>1</v>
      </c>
      <c r="O471" t="s">
        <v>6086</v>
      </c>
      <c r="P471">
        <v>7006776374</v>
      </c>
      <c r="Q471">
        <v>60020583</v>
      </c>
      <c r="R471" s="7">
        <v>33239</v>
      </c>
      <c r="S471" s="8">
        <f t="shared" si="56"/>
        <v>1991</v>
      </c>
      <c r="T471" s="8">
        <v>1991</v>
      </c>
      <c r="U471" s="8">
        <f t="shared" si="57"/>
        <v>31</v>
      </c>
      <c r="V471" s="7">
        <v>33451</v>
      </c>
      <c r="W471" t="s">
        <v>2685</v>
      </c>
      <c r="X471" s="2">
        <v>0.65500000000000003</v>
      </c>
      <c r="Y471" s="6">
        <f t="shared" si="62"/>
        <v>1.7484850911614749E-2</v>
      </c>
      <c r="AA471">
        <v>189375</v>
      </c>
      <c r="AB471">
        <v>26051</v>
      </c>
      <c r="AC471" t="s">
        <v>2684</v>
      </c>
      <c r="AD471" t="s">
        <v>5</v>
      </c>
      <c r="AE471">
        <v>33</v>
      </c>
      <c r="AF471">
        <v>3</v>
      </c>
      <c r="AH471" t="s">
        <v>6085</v>
      </c>
      <c r="AI471" t="s">
        <v>6084</v>
      </c>
      <c r="AK471" t="s">
        <v>6083</v>
      </c>
      <c r="AL471">
        <v>1</v>
      </c>
      <c r="AM471" s="5">
        <f t="shared" si="58"/>
        <v>3.2258064516129031E-2</v>
      </c>
      <c r="AN471" s="4">
        <f t="shared" si="63"/>
        <v>4.8857348755969758E-5</v>
      </c>
      <c r="AO471" s="3"/>
      <c r="AP471">
        <v>0</v>
      </c>
      <c r="AR471" t="s">
        <v>0</v>
      </c>
      <c r="AT471" s="2" t="s">
        <v>33</v>
      </c>
      <c r="AU471" s="1">
        <f t="shared" si="59"/>
        <v>1.2254052842757113</v>
      </c>
      <c r="AV471" s="1">
        <f t="shared" si="60"/>
        <v>0.87668541301853598</v>
      </c>
      <c r="AW471" s="1">
        <f t="shared" si="61"/>
        <v>0.52796554176136035</v>
      </c>
    </row>
    <row r="472" spans="1:49" x14ac:dyDescent="0.2">
      <c r="A472">
        <v>470</v>
      </c>
      <c r="B472" t="s">
        <v>6082</v>
      </c>
      <c r="C472" t="s">
        <v>6081</v>
      </c>
      <c r="F472" t="s">
        <v>6080</v>
      </c>
      <c r="G472" t="s">
        <v>16</v>
      </c>
      <c r="H472" t="s">
        <v>15</v>
      </c>
      <c r="I472" t="s">
        <v>6079</v>
      </c>
      <c r="J472" t="s">
        <v>6078</v>
      </c>
      <c r="K472" t="s">
        <v>6077</v>
      </c>
      <c r="L472" t="s">
        <v>6076</v>
      </c>
      <c r="M472" t="s">
        <v>4074</v>
      </c>
      <c r="N472">
        <v>1</v>
      </c>
      <c r="O472" t="s">
        <v>6075</v>
      </c>
      <c r="P472">
        <v>7403025506</v>
      </c>
      <c r="Q472" t="s">
        <v>6074</v>
      </c>
      <c r="R472" s="7">
        <v>33239</v>
      </c>
      <c r="S472" s="8">
        <f t="shared" si="56"/>
        <v>1991</v>
      </c>
      <c r="T472" s="8">
        <v>1991</v>
      </c>
      <c r="U472" s="8">
        <f t="shared" si="57"/>
        <v>31</v>
      </c>
      <c r="V472" s="7">
        <v>33451</v>
      </c>
      <c r="W472" t="s">
        <v>1807</v>
      </c>
      <c r="X472" s="2">
        <v>1.6519999999999999</v>
      </c>
      <c r="Y472" s="6">
        <f t="shared" si="62"/>
        <v>4.409919649769093E-2</v>
      </c>
      <c r="AA472" t="s">
        <v>1806</v>
      </c>
      <c r="AB472">
        <v>17337</v>
      </c>
      <c r="AC472">
        <v>15582221</v>
      </c>
      <c r="AD472" t="s">
        <v>5</v>
      </c>
      <c r="AE472">
        <v>39</v>
      </c>
      <c r="AF472">
        <v>8</v>
      </c>
      <c r="AH472" t="s">
        <v>6073</v>
      </c>
      <c r="AI472" t="s">
        <v>6072</v>
      </c>
      <c r="AK472" t="s">
        <v>6071</v>
      </c>
      <c r="AL472">
        <v>6</v>
      </c>
      <c r="AM472" s="5">
        <f t="shared" si="58"/>
        <v>0.19354838709677419</v>
      </c>
      <c r="AN472" s="4">
        <f t="shared" si="63"/>
        <v>2.9314409253581854E-4</v>
      </c>
      <c r="AO472" s="3"/>
      <c r="AP472">
        <v>0</v>
      </c>
      <c r="AR472" t="s">
        <v>0</v>
      </c>
      <c r="AT472" s="2" t="s">
        <v>33</v>
      </c>
      <c r="AU472" s="1">
        <f t="shared" si="59"/>
        <v>3.0957380776144396</v>
      </c>
      <c r="AV472" s="1">
        <f t="shared" si="60"/>
        <v>2.2196170295113378</v>
      </c>
      <c r="AW472" s="1">
        <f t="shared" si="61"/>
        <v>1.3434959814082352</v>
      </c>
    </row>
    <row r="473" spans="1:49" x14ac:dyDescent="0.2">
      <c r="A473">
        <v>471</v>
      </c>
      <c r="B473" t="s">
        <v>6070</v>
      </c>
      <c r="C473" t="s">
        <v>6069</v>
      </c>
      <c r="F473" t="s">
        <v>6068</v>
      </c>
      <c r="G473" t="s">
        <v>16</v>
      </c>
      <c r="H473" t="s">
        <v>15</v>
      </c>
      <c r="I473" t="s">
        <v>6067</v>
      </c>
      <c r="J473" t="s">
        <v>6066</v>
      </c>
      <c r="K473" t="s">
        <v>6065</v>
      </c>
      <c r="L473" t="s">
        <v>6064</v>
      </c>
      <c r="M473" t="s">
        <v>133</v>
      </c>
      <c r="N473">
        <v>2</v>
      </c>
      <c r="O473" t="s">
        <v>6063</v>
      </c>
      <c r="P473" t="s">
        <v>6062</v>
      </c>
      <c r="Q473" t="s">
        <v>6061</v>
      </c>
      <c r="R473" s="7">
        <v>33239</v>
      </c>
      <c r="S473" s="8">
        <f t="shared" si="56"/>
        <v>1991</v>
      </c>
      <c r="T473" s="8">
        <v>1991</v>
      </c>
      <c r="U473" s="8">
        <f t="shared" si="57"/>
        <v>31</v>
      </c>
      <c r="V473" s="7">
        <v>33451</v>
      </c>
      <c r="W473" t="s">
        <v>2685</v>
      </c>
      <c r="X473" s="2">
        <v>0.65500000000000003</v>
      </c>
      <c r="Y473" s="6">
        <f t="shared" si="62"/>
        <v>1.7484850911614749E-2</v>
      </c>
      <c r="AA473">
        <v>189375</v>
      </c>
      <c r="AB473">
        <v>26051</v>
      </c>
      <c r="AC473" t="s">
        <v>2684</v>
      </c>
      <c r="AD473" t="s">
        <v>5</v>
      </c>
      <c r="AE473">
        <v>33</v>
      </c>
      <c r="AF473">
        <v>3</v>
      </c>
      <c r="AH473" t="s">
        <v>6060</v>
      </c>
      <c r="AI473" t="s">
        <v>6059</v>
      </c>
      <c r="AK473" t="s">
        <v>6058</v>
      </c>
      <c r="AL473">
        <v>7</v>
      </c>
      <c r="AM473" s="5">
        <f t="shared" si="58"/>
        <v>0.22580645161290322</v>
      </c>
      <c r="AN473" s="4">
        <f t="shared" si="63"/>
        <v>3.420014412917883E-4</v>
      </c>
      <c r="AO473" s="3"/>
      <c r="AP473">
        <v>0</v>
      </c>
      <c r="AR473" t="s">
        <v>0</v>
      </c>
      <c r="AT473" s="2" t="s">
        <v>33</v>
      </c>
      <c r="AU473" s="1">
        <f t="shared" si="59"/>
        <v>1.234199607051786</v>
      </c>
      <c r="AV473" s="1">
        <f t="shared" si="60"/>
        <v>0.89134261764532685</v>
      </c>
      <c r="AW473" s="1">
        <f t="shared" si="61"/>
        <v>0.5484856282388676</v>
      </c>
    </row>
    <row r="474" spans="1:49" x14ac:dyDescent="0.2">
      <c r="A474">
        <v>472</v>
      </c>
      <c r="B474" t="s">
        <v>6057</v>
      </c>
      <c r="C474" t="s">
        <v>6056</v>
      </c>
      <c r="F474" t="s">
        <v>6055</v>
      </c>
      <c r="G474" t="s">
        <v>16</v>
      </c>
      <c r="H474" t="s">
        <v>15</v>
      </c>
      <c r="I474" t="s">
        <v>6054</v>
      </c>
      <c r="J474">
        <v>60026415</v>
      </c>
      <c r="K474" t="s">
        <v>5274</v>
      </c>
      <c r="L474" t="s">
        <v>5273</v>
      </c>
      <c r="M474" t="s">
        <v>57</v>
      </c>
      <c r="N474">
        <v>2</v>
      </c>
      <c r="O474" t="s">
        <v>6053</v>
      </c>
      <c r="P474" t="s">
        <v>6052</v>
      </c>
      <c r="Q474" t="s">
        <v>5270</v>
      </c>
      <c r="R474" s="7">
        <v>33239</v>
      </c>
      <c r="S474" s="8">
        <f t="shared" si="56"/>
        <v>1991</v>
      </c>
      <c r="T474" s="8">
        <v>1991</v>
      </c>
      <c r="U474" s="8">
        <f t="shared" si="57"/>
        <v>31</v>
      </c>
      <c r="V474" s="7">
        <v>33451</v>
      </c>
      <c r="W474" t="s">
        <v>1807</v>
      </c>
      <c r="X474" s="2">
        <v>1.6519999999999999</v>
      </c>
      <c r="Y474" s="6">
        <f t="shared" si="62"/>
        <v>4.409919649769093E-2</v>
      </c>
      <c r="AA474" t="s">
        <v>1806</v>
      </c>
      <c r="AB474">
        <v>17337</v>
      </c>
      <c r="AC474">
        <v>15582221</v>
      </c>
      <c r="AD474" t="s">
        <v>5</v>
      </c>
      <c r="AE474">
        <v>39</v>
      </c>
      <c r="AF474">
        <v>8</v>
      </c>
      <c r="AH474" t="s">
        <v>6051</v>
      </c>
      <c r="AI474" t="s">
        <v>6050</v>
      </c>
      <c r="AK474" t="s">
        <v>6049</v>
      </c>
      <c r="AL474">
        <v>3</v>
      </c>
      <c r="AM474" s="5">
        <f t="shared" si="58"/>
        <v>9.6774193548387094E-2</v>
      </c>
      <c r="AN474" s="4">
        <f t="shared" si="63"/>
        <v>1.4657204626790927E-4</v>
      </c>
      <c r="AO474" s="3"/>
      <c r="AP474">
        <v>0</v>
      </c>
      <c r="AR474" t="s">
        <v>0</v>
      </c>
      <c r="AT474" s="2" t="s">
        <v>33</v>
      </c>
      <c r="AU474" s="1">
        <f t="shared" si="59"/>
        <v>3.0913409162264025</v>
      </c>
      <c r="AV474" s="1">
        <f t="shared" si="60"/>
        <v>2.2122884271979419</v>
      </c>
      <c r="AW474" s="1">
        <f t="shared" si="61"/>
        <v>1.3332359381694814</v>
      </c>
    </row>
    <row r="475" spans="1:49" x14ac:dyDescent="0.2">
      <c r="A475">
        <v>473</v>
      </c>
      <c r="B475" t="s">
        <v>6048</v>
      </c>
      <c r="C475" t="s">
        <v>6047</v>
      </c>
      <c r="F475" t="s">
        <v>6046</v>
      </c>
      <c r="G475" t="s">
        <v>16</v>
      </c>
      <c r="H475" t="s">
        <v>15</v>
      </c>
      <c r="I475" t="s">
        <v>6045</v>
      </c>
      <c r="J475" t="s">
        <v>6044</v>
      </c>
      <c r="K475" t="s">
        <v>6043</v>
      </c>
      <c r="L475" t="s">
        <v>6042</v>
      </c>
      <c r="M475" t="s">
        <v>821</v>
      </c>
      <c r="N475">
        <v>1</v>
      </c>
      <c r="O475" t="s">
        <v>6041</v>
      </c>
      <c r="P475">
        <v>57217837814</v>
      </c>
      <c r="Q475" t="s">
        <v>6040</v>
      </c>
      <c r="R475" s="7">
        <v>33239</v>
      </c>
      <c r="S475" s="8">
        <f t="shared" si="56"/>
        <v>1991</v>
      </c>
      <c r="T475" s="8">
        <v>1991</v>
      </c>
      <c r="U475" s="8">
        <f t="shared" si="57"/>
        <v>31</v>
      </c>
      <c r="V475" s="7">
        <v>33451</v>
      </c>
      <c r="W475" t="s">
        <v>1807</v>
      </c>
      <c r="X475" s="2">
        <v>1.6519999999999999</v>
      </c>
      <c r="Y475" s="6">
        <f t="shared" si="62"/>
        <v>4.409919649769093E-2</v>
      </c>
      <c r="AA475" t="s">
        <v>1806</v>
      </c>
      <c r="AB475">
        <v>17337</v>
      </c>
      <c r="AC475">
        <v>15582221</v>
      </c>
      <c r="AD475" t="s">
        <v>5</v>
      </c>
      <c r="AE475">
        <v>39</v>
      </c>
      <c r="AF475">
        <v>8</v>
      </c>
      <c r="AH475" t="s">
        <v>6039</v>
      </c>
      <c r="AI475" t="s">
        <v>6038</v>
      </c>
      <c r="AK475" t="s">
        <v>6037</v>
      </c>
      <c r="AL475">
        <v>8</v>
      </c>
      <c r="AM475" s="5">
        <f t="shared" si="58"/>
        <v>0.25806451612903225</v>
      </c>
      <c r="AN475" s="4">
        <f t="shared" si="63"/>
        <v>3.9085879004775807E-4</v>
      </c>
      <c r="AO475" s="3"/>
      <c r="AP475">
        <v>0</v>
      </c>
      <c r="AR475" t="s">
        <v>0</v>
      </c>
      <c r="AT475" s="2" t="s">
        <v>33</v>
      </c>
      <c r="AU475" s="1">
        <f t="shared" si="59"/>
        <v>3.0986695185397974</v>
      </c>
      <c r="AV475" s="1">
        <f t="shared" si="60"/>
        <v>2.2245027643869344</v>
      </c>
      <c r="AW475" s="1">
        <f t="shared" si="61"/>
        <v>1.3503360102340709</v>
      </c>
    </row>
    <row r="476" spans="1:49" x14ac:dyDescent="0.2">
      <c r="A476">
        <v>474</v>
      </c>
      <c r="B476" t="s">
        <v>6036</v>
      </c>
      <c r="C476" t="s">
        <v>6035</v>
      </c>
      <c r="F476" t="s">
        <v>6034</v>
      </c>
      <c r="G476" t="s">
        <v>16</v>
      </c>
      <c r="H476" t="s">
        <v>15</v>
      </c>
      <c r="I476" t="s">
        <v>6033</v>
      </c>
      <c r="N476">
        <v>1</v>
      </c>
      <c r="O476" t="s">
        <v>6032</v>
      </c>
      <c r="P476">
        <v>7402528222</v>
      </c>
      <c r="R476" s="7">
        <v>33239</v>
      </c>
      <c r="S476" s="8">
        <f t="shared" si="56"/>
        <v>1991</v>
      </c>
      <c r="T476" s="8">
        <v>1991</v>
      </c>
      <c r="U476" s="8">
        <f t="shared" si="57"/>
        <v>31</v>
      </c>
      <c r="V476" s="7">
        <v>33451</v>
      </c>
      <c r="W476" t="s">
        <v>2625</v>
      </c>
      <c r="X476" s="2">
        <v>0.76700000000000002</v>
      </c>
      <c r="Y476" s="6">
        <f t="shared" si="62"/>
        <v>2.0474626945356504E-2</v>
      </c>
      <c r="AA476">
        <v>983063</v>
      </c>
      <c r="AB476">
        <v>26048</v>
      </c>
      <c r="AD476" t="s">
        <v>5</v>
      </c>
      <c r="AE476">
        <v>37</v>
      </c>
      <c r="AF476">
        <v>3</v>
      </c>
      <c r="AH476" t="s">
        <v>6031</v>
      </c>
      <c r="AI476" t="s">
        <v>6030</v>
      </c>
      <c r="AK476" t="s">
        <v>6029</v>
      </c>
      <c r="AL476">
        <v>0</v>
      </c>
      <c r="AM476" s="5">
        <f t="shared" si="58"/>
        <v>0</v>
      </c>
      <c r="AN476" s="4">
        <f t="shared" si="63"/>
        <v>0</v>
      </c>
      <c r="AO476" s="3"/>
      <c r="AP476">
        <v>0</v>
      </c>
      <c r="AR476" t="s">
        <v>0</v>
      </c>
      <c r="AT476" s="2" t="s">
        <v>33</v>
      </c>
      <c r="AU476" s="1">
        <f t="shared" si="59"/>
        <v>1.4332238861749553</v>
      </c>
      <c r="AV476" s="1">
        <f t="shared" si="60"/>
        <v>1.0237313472678251</v>
      </c>
      <c r="AW476" s="1">
        <f t="shared" si="61"/>
        <v>0.61423880836069511</v>
      </c>
    </row>
    <row r="477" spans="1:49" x14ac:dyDescent="0.2">
      <c r="A477">
        <v>475</v>
      </c>
      <c r="B477" t="s">
        <v>6028</v>
      </c>
      <c r="C477" t="s">
        <v>6027</v>
      </c>
      <c r="F477" t="s">
        <v>6026</v>
      </c>
      <c r="G477" t="s">
        <v>16</v>
      </c>
      <c r="H477" t="s">
        <v>15</v>
      </c>
      <c r="I477" t="s">
        <v>6025</v>
      </c>
      <c r="J477" t="s">
        <v>6024</v>
      </c>
      <c r="K477" t="s">
        <v>6023</v>
      </c>
      <c r="L477" t="s">
        <v>6022</v>
      </c>
      <c r="M477" t="s">
        <v>133</v>
      </c>
      <c r="N477">
        <v>3</v>
      </c>
      <c r="O477" t="s">
        <v>6021</v>
      </c>
      <c r="P477" t="s">
        <v>6020</v>
      </c>
      <c r="Q477" t="s">
        <v>6019</v>
      </c>
      <c r="R477" s="7">
        <v>33239</v>
      </c>
      <c r="S477" s="8">
        <f t="shared" si="56"/>
        <v>1991</v>
      </c>
      <c r="T477" s="8">
        <v>1991</v>
      </c>
      <c r="U477" s="8">
        <f t="shared" si="57"/>
        <v>31</v>
      </c>
      <c r="V477" s="7">
        <v>33451</v>
      </c>
      <c r="W477" t="s">
        <v>2685</v>
      </c>
      <c r="X477" s="2">
        <v>0.65500000000000003</v>
      </c>
      <c r="Y477" s="6">
        <f t="shared" si="62"/>
        <v>1.7484850911614749E-2</v>
      </c>
      <c r="AA477">
        <v>189375</v>
      </c>
      <c r="AB477">
        <v>26051</v>
      </c>
      <c r="AC477" t="s">
        <v>2684</v>
      </c>
      <c r="AD477" t="s">
        <v>5</v>
      </c>
      <c r="AE477">
        <v>33</v>
      </c>
      <c r="AF477">
        <v>3</v>
      </c>
      <c r="AH477" t="s">
        <v>6018</v>
      </c>
      <c r="AI477" t="s">
        <v>6017</v>
      </c>
      <c r="AK477" t="s">
        <v>6016</v>
      </c>
      <c r="AL477">
        <v>16</v>
      </c>
      <c r="AM477" s="5">
        <f t="shared" si="58"/>
        <v>0.5161290322580645</v>
      </c>
      <c r="AN477" s="4">
        <f t="shared" si="63"/>
        <v>7.8171758009551613E-4</v>
      </c>
      <c r="AO477" s="3"/>
      <c r="AP477">
        <v>0</v>
      </c>
      <c r="AR477" t="s">
        <v>0</v>
      </c>
      <c r="AT477" s="2" t="s">
        <v>33</v>
      </c>
      <c r="AU477" s="1">
        <f t="shared" si="59"/>
        <v>1.2473910912158979</v>
      </c>
      <c r="AV477" s="1">
        <f t="shared" si="60"/>
        <v>0.91332842458551311</v>
      </c>
      <c r="AW477" s="1">
        <f t="shared" si="61"/>
        <v>0.57926575795512858</v>
      </c>
    </row>
    <row r="478" spans="1:49" x14ac:dyDescent="0.2">
      <c r="A478">
        <v>476</v>
      </c>
      <c r="B478" t="s">
        <v>6015</v>
      </c>
      <c r="C478" t="s">
        <v>6014</v>
      </c>
      <c r="F478" t="s">
        <v>6013</v>
      </c>
      <c r="G478" t="s">
        <v>16</v>
      </c>
      <c r="H478" t="s">
        <v>15</v>
      </c>
      <c r="I478" t="s">
        <v>6012</v>
      </c>
      <c r="J478">
        <v>60015099</v>
      </c>
      <c r="K478" t="s">
        <v>3058</v>
      </c>
      <c r="L478" t="s">
        <v>1195</v>
      </c>
      <c r="M478" t="s">
        <v>57</v>
      </c>
      <c r="N478">
        <v>1</v>
      </c>
      <c r="O478" t="s">
        <v>6011</v>
      </c>
      <c r="P478">
        <v>7005304758</v>
      </c>
      <c r="Q478">
        <v>60015099</v>
      </c>
      <c r="R478" s="7">
        <v>33239</v>
      </c>
      <c r="S478" s="8">
        <f t="shared" si="56"/>
        <v>1991</v>
      </c>
      <c r="T478" s="8">
        <v>1991</v>
      </c>
      <c r="U478" s="8">
        <f t="shared" si="57"/>
        <v>31</v>
      </c>
      <c r="V478" s="7">
        <v>33451</v>
      </c>
      <c r="W478" t="s">
        <v>1807</v>
      </c>
      <c r="X478" s="2">
        <v>1.6519999999999999</v>
      </c>
      <c r="Y478" s="6">
        <f t="shared" si="62"/>
        <v>4.409919649769093E-2</v>
      </c>
      <c r="AA478" t="s">
        <v>1806</v>
      </c>
      <c r="AB478">
        <v>17337</v>
      </c>
      <c r="AC478">
        <v>15582221</v>
      </c>
      <c r="AD478" t="s">
        <v>5</v>
      </c>
      <c r="AE478">
        <v>39</v>
      </c>
      <c r="AF478">
        <v>8</v>
      </c>
      <c r="AH478" t="s">
        <v>6010</v>
      </c>
      <c r="AI478" t="s">
        <v>6009</v>
      </c>
      <c r="AK478" t="s">
        <v>6008</v>
      </c>
      <c r="AL478">
        <v>4</v>
      </c>
      <c r="AM478" s="5">
        <f t="shared" si="58"/>
        <v>0.12903225806451613</v>
      </c>
      <c r="AN478" s="4">
        <f t="shared" si="63"/>
        <v>1.9542939502387903E-4</v>
      </c>
      <c r="AO478" s="3"/>
      <c r="AP478">
        <v>0</v>
      </c>
      <c r="AR478" t="s">
        <v>0</v>
      </c>
      <c r="AT478" s="2" t="s">
        <v>33</v>
      </c>
      <c r="AU478" s="1">
        <f t="shared" si="59"/>
        <v>3.0928066366890814</v>
      </c>
      <c r="AV478" s="1">
        <f t="shared" si="60"/>
        <v>2.2147312946357403</v>
      </c>
      <c r="AW478" s="1">
        <f t="shared" si="61"/>
        <v>1.3366559525823993</v>
      </c>
    </row>
    <row r="479" spans="1:49" x14ac:dyDescent="0.2">
      <c r="A479">
        <v>477</v>
      </c>
      <c r="B479" t="s">
        <v>6007</v>
      </c>
      <c r="C479" t="s">
        <v>6006</v>
      </c>
      <c r="F479" t="s">
        <v>6005</v>
      </c>
      <c r="G479" t="s">
        <v>16</v>
      </c>
      <c r="H479" t="s">
        <v>15</v>
      </c>
      <c r="I479" t="s">
        <v>6004</v>
      </c>
      <c r="J479">
        <v>60017592</v>
      </c>
      <c r="K479" t="s">
        <v>6003</v>
      </c>
      <c r="L479" t="s">
        <v>3995</v>
      </c>
      <c r="M479" t="s">
        <v>1543</v>
      </c>
      <c r="N479">
        <v>3</v>
      </c>
      <c r="O479" t="s">
        <v>6002</v>
      </c>
      <c r="P479" t="s">
        <v>6001</v>
      </c>
      <c r="Q479" t="s">
        <v>6000</v>
      </c>
      <c r="R479" s="7">
        <v>33239</v>
      </c>
      <c r="S479" s="8">
        <f t="shared" si="56"/>
        <v>1991</v>
      </c>
      <c r="T479" s="8">
        <v>1991</v>
      </c>
      <c r="U479" s="8">
        <f t="shared" si="57"/>
        <v>31</v>
      </c>
      <c r="V479" s="7">
        <v>33451</v>
      </c>
      <c r="W479" t="s">
        <v>2537</v>
      </c>
      <c r="X479" s="2">
        <v>1.365</v>
      </c>
      <c r="Y479" s="6">
        <f t="shared" si="62"/>
        <v>3.6437895411227675E-2</v>
      </c>
      <c r="AA479">
        <v>189545</v>
      </c>
      <c r="AB479">
        <v>17393</v>
      </c>
      <c r="AC479">
        <v>19399359</v>
      </c>
      <c r="AD479" t="s">
        <v>5</v>
      </c>
      <c r="AE479">
        <v>40</v>
      </c>
      <c r="AF479">
        <v>3</v>
      </c>
      <c r="AH479" t="s">
        <v>5999</v>
      </c>
      <c r="AI479" t="s">
        <v>5998</v>
      </c>
      <c r="AK479" t="s">
        <v>5997</v>
      </c>
      <c r="AL479">
        <v>44</v>
      </c>
      <c r="AM479" s="5">
        <f t="shared" si="58"/>
        <v>1.4193548387096775</v>
      </c>
      <c r="AN479" s="4">
        <f t="shared" si="63"/>
        <v>2.1497233452626692E-3</v>
      </c>
      <c r="AO479" s="3"/>
      <c r="AP479">
        <v>0</v>
      </c>
      <c r="AR479" t="s">
        <v>0</v>
      </c>
      <c r="AT479" s="2" t="s">
        <v>33</v>
      </c>
      <c r="AU479" s="1">
        <f t="shared" si="59"/>
        <v>2.6151443791438171</v>
      </c>
      <c r="AV479" s="1">
        <f t="shared" si="60"/>
        <v>1.9293809378245173</v>
      </c>
      <c r="AW479" s="1">
        <f t="shared" si="61"/>
        <v>1.2436174965052169</v>
      </c>
    </row>
    <row r="480" spans="1:49" x14ac:dyDescent="0.2">
      <c r="A480">
        <v>478</v>
      </c>
      <c r="B480" t="s">
        <v>5996</v>
      </c>
      <c r="C480" t="s">
        <v>5995</v>
      </c>
      <c r="F480" t="s">
        <v>5994</v>
      </c>
      <c r="G480" t="s">
        <v>16</v>
      </c>
      <c r="H480" t="s">
        <v>15</v>
      </c>
      <c r="I480" t="s">
        <v>5993</v>
      </c>
      <c r="J480">
        <v>60019000</v>
      </c>
      <c r="K480" t="s">
        <v>5992</v>
      </c>
      <c r="L480" t="s">
        <v>5991</v>
      </c>
      <c r="M480" t="s">
        <v>1543</v>
      </c>
      <c r="N480">
        <v>1</v>
      </c>
      <c r="O480" t="s">
        <v>5990</v>
      </c>
      <c r="P480">
        <v>6701492696</v>
      </c>
      <c r="Q480">
        <v>60019000</v>
      </c>
      <c r="R480" s="7">
        <v>33239</v>
      </c>
      <c r="S480" s="8">
        <f t="shared" si="56"/>
        <v>1991</v>
      </c>
      <c r="T480" s="8">
        <v>1991</v>
      </c>
      <c r="U480" s="8">
        <f t="shared" si="57"/>
        <v>31</v>
      </c>
      <c r="V480" s="7">
        <v>33451</v>
      </c>
      <c r="W480" t="s">
        <v>1807</v>
      </c>
      <c r="X480" s="2">
        <v>1.6519999999999999</v>
      </c>
      <c r="Y480" s="6">
        <f t="shared" si="62"/>
        <v>4.409919649769093E-2</v>
      </c>
      <c r="AA480" t="s">
        <v>1806</v>
      </c>
      <c r="AB480">
        <v>17337</v>
      </c>
      <c r="AC480">
        <v>15582221</v>
      </c>
      <c r="AD480" t="s">
        <v>5</v>
      </c>
      <c r="AE480">
        <v>39</v>
      </c>
      <c r="AF480">
        <v>8</v>
      </c>
      <c r="AH480" t="s">
        <v>5989</v>
      </c>
      <c r="AI480" t="s">
        <v>5988</v>
      </c>
      <c r="AK480" t="s">
        <v>5987</v>
      </c>
      <c r="AL480">
        <v>5</v>
      </c>
      <c r="AM480" s="5">
        <f t="shared" si="58"/>
        <v>0.16129032258064516</v>
      </c>
      <c r="AN480" s="4">
        <f t="shared" si="63"/>
        <v>2.4428674377984877E-4</v>
      </c>
      <c r="AO480" s="3"/>
      <c r="AP480">
        <v>0</v>
      </c>
      <c r="AR480" t="s">
        <v>0</v>
      </c>
      <c r="AT480" s="2" t="s">
        <v>33</v>
      </c>
      <c r="AU480" s="1">
        <f t="shared" si="59"/>
        <v>3.0942723571517607</v>
      </c>
      <c r="AV480" s="1">
        <f t="shared" si="60"/>
        <v>2.217174162073539</v>
      </c>
      <c r="AW480" s="1">
        <f t="shared" si="61"/>
        <v>1.3400759669953173</v>
      </c>
    </row>
    <row r="481" spans="1:49" x14ac:dyDescent="0.2">
      <c r="A481">
        <v>479</v>
      </c>
      <c r="B481" t="s">
        <v>5986</v>
      </c>
      <c r="C481" t="s">
        <v>5985</v>
      </c>
      <c r="F481" t="s">
        <v>5984</v>
      </c>
      <c r="G481" t="s">
        <v>16</v>
      </c>
      <c r="H481" t="s">
        <v>15</v>
      </c>
      <c r="I481" t="s">
        <v>5983</v>
      </c>
      <c r="J481">
        <v>60021032</v>
      </c>
      <c r="K481" t="s">
        <v>3108</v>
      </c>
      <c r="L481" t="s">
        <v>1195</v>
      </c>
      <c r="M481" t="s">
        <v>57</v>
      </c>
      <c r="N481">
        <v>2</v>
      </c>
      <c r="O481" t="s">
        <v>5982</v>
      </c>
      <c r="P481" t="s">
        <v>5981</v>
      </c>
      <c r="Q481" t="s">
        <v>3105</v>
      </c>
      <c r="R481" s="7">
        <v>33239</v>
      </c>
      <c r="S481" s="8">
        <f t="shared" si="56"/>
        <v>1991</v>
      </c>
      <c r="T481" s="8">
        <v>1991</v>
      </c>
      <c r="U481" s="8">
        <f t="shared" si="57"/>
        <v>31</v>
      </c>
      <c r="V481" s="7">
        <v>33451</v>
      </c>
      <c r="W481" t="s">
        <v>1807</v>
      </c>
      <c r="X481" s="2">
        <v>1.6519999999999999</v>
      </c>
      <c r="Y481" s="6">
        <f t="shared" si="62"/>
        <v>4.409919649769093E-2</v>
      </c>
      <c r="AA481" t="s">
        <v>1806</v>
      </c>
      <c r="AB481">
        <v>17337</v>
      </c>
      <c r="AC481">
        <v>15582221</v>
      </c>
      <c r="AD481" t="s">
        <v>5</v>
      </c>
      <c r="AE481">
        <v>39</v>
      </c>
      <c r="AF481">
        <v>8</v>
      </c>
      <c r="AH481" t="s">
        <v>5980</v>
      </c>
      <c r="AI481" t="s">
        <v>5979</v>
      </c>
      <c r="AK481" t="s">
        <v>5978</v>
      </c>
      <c r="AL481">
        <v>48</v>
      </c>
      <c r="AM481" s="5">
        <f t="shared" si="58"/>
        <v>1.5483870967741935</v>
      </c>
      <c r="AN481" s="4">
        <f t="shared" si="63"/>
        <v>2.3451527402865483E-3</v>
      </c>
      <c r="AO481" s="3"/>
      <c r="AP481">
        <v>0</v>
      </c>
      <c r="AR481" t="s">
        <v>0</v>
      </c>
      <c r="AT481" s="2" t="s">
        <v>33</v>
      </c>
      <c r="AU481" s="1">
        <f t="shared" si="59"/>
        <v>3.1572983370469614</v>
      </c>
      <c r="AV481" s="1">
        <f t="shared" si="60"/>
        <v>2.322217461898874</v>
      </c>
      <c r="AW481" s="1">
        <f t="shared" si="61"/>
        <v>1.4871365867507862</v>
      </c>
    </row>
    <row r="482" spans="1:49" x14ac:dyDescent="0.2">
      <c r="A482">
        <v>480</v>
      </c>
      <c r="B482" t="s">
        <v>5977</v>
      </c>
      <c r="C482" t="s">
        <v>5976</v>
      </c>
      <c r="F482" t="s">
        <v>5975</v>
      </c>
      <c r="G482" t="s">
        <v>16</v>
      </c>
      <c r="H482" t="s">
        <v>15</v>
      </c>
      <c r="I482" t="s">
        <v>5974</v>
      </c>
      <c r="J482" t="s">
        <v>5973</v>
      </c>
      <c r="K482" t="s">
        <v>5972</v>
      </c>
      <c r="L482" t="s">
        <v>5971</v>
      </c>
      <c r="M482" t="s">
        <v>228</v>
      </c>
      <c r="N482">
        <v>1</v>
      </c>
      <c r="O482" t="s">
        <v>5970</v>
      </c>
      <c r="P482">
        <v>7004488643</v>
      </c>
      <c r="Q482" t="s">
        <v>5969</v>
      </c>
      <c r="R482" s="7">
        <v>33239</v>
      </c>
      <c r="S482" s="8">
        <f t="shared" si="56"/>
        <v>1991</v>
      </c>
      <c r="T482" s="8">
        <v>1991</v>
      </c>
      <c r="U482" s="8">
        <f t="shared" si="57"/>
        <v>31</v>
      </c>
      <c r="V482" s="7">
        <v>33451</v>
      </c>
      <c r="W482" t="s">
        <v>1807</v>
      </c>
      <c r="X482" s="2">
        <v>1.6519999999999999</v>
      </c>
      <c r="Y482" s="6">
        <f t="shared" si="62"/>
        <v>4.409919649769093E-2</v>
      </c>
      <c r="AA482" t="s">
        <v>1806</v>
      </c>
      <c r="AB482">
        <v>17337</v>
      </c>
      <c r="AC482">
        <v>15582221</v>
      </c>
      <c r="AD482" t="s">
        <v>5</v>
      </c>
      <c r="AE482">
        <v>39</v>
      </c>
      <c r="AF482">
        <v>8</v>
      </c>
      <c r="AH482" t="s">
        <v>5968</v>
      </c>
      <c r="AI482" t="s">
        <v>5967</v>
      </c>
      <c r="AK482" t="s">
        <v>5966</v>
      </c>
      <c r="AL482">
        <v>8</v>
      </c>
      <c r="AM482" s="5">
        <f t="shared" si="58"/>
        <v>0.25806451612903225</v>
      </c>
      <c r="AN482" s="4">
        <f t="shared" si="63"/>
        <v>3.9085879004775807E-4</v>
      </c>
      <c r="AO482" s="3"/>
      <c r="AP482">
        <v>0</v>
      </c>
      <c r="AR482" t="s">
        <v>0</v>
      </c>
      <c r="AT482" s="2" t="s">
        <v>33</v>
      </c>
      <c r="AU482" s="1">
        <f t="shared" si="59"/>
        <v>3.0986695185397974</v>
      </c>
      <c r="AV482" s="1">
        <f t="shared" si="60"/>
        <v>2.2245027643869344</v>
      </c>
      <c r="AW482" s="1">
        <f t="shared" si="61"/>
        <v>1.3503360102340709</v>
      </c>
    </row>
    <row r="483" spans="1:49" x14ac:dyDescent="0.2">
      <c r="A483">
        <v>481</v>
      </c>
      <c r="B483" t="s">
        <v>5965</v>
      </c>
      <c r="C483" t="s">
        <v>5964</v>
      </c>
      <c r="F483" t="s">
        <v>5963</v>
      </c>
      <c r="G483" t="s">
        <v>16</v>
      </c>
      <c r="H483" t="s">
        <v>15</v>
      </c>
      <c r="I483" t="s">
        <v>5962</v>
      </c>
      <c r="N483">
        <v>4</v>
      </c>
      <c r="O483" t="s">
        <v>5961</v>
      </c>
      <c r="P483" t="s">
        <v>5960</v>
      </c>
      <c r="Q483" t="s">
        <v>1517</v>
      </c>
      <c r="R483" s="7">
        <v>33239</v>
      </c>
      <c r="S483" s="8">
        <f t="shared" si="56"/>
        <v>1991</v>
      </c>
      <c r="T483" s="8">
        <v>1991</v>
      </c>
      <c r="U483" s="8">
        <f t="shared" si="57"/>
        <v>31</v>
      </c>
      <c r="V483" s="7">
        <v>33451</v>
      </c>
      <c r="W483" t="s">
        <v>2685</v>
      </c>
      <c r="X483" s="2">
        <v>0.65500000000000003</v>
      </c>
      <c r="Y483" s="6">
        <f t="shared" si="62"/>
        <v>1.7484850911614749E-2</v>
      </c>
      <c r="AA483">
        <v>189375</v>
      </c>
      <c r="AB483">
        <v>26051</v>
      </c>
      <c r="AC483" t="s">
        <v>2684</v>
      </c>
      <c r="AD483" t="s">
        <v>5</v>
      </c>
      <c r="AE483">
        <v>33</v>
      </c>
      <c r="AF483">
        <v>3</v>
      </c>
      <c r="AH483" t="s">
        <v>5959</v>
      </c>
      <c r="AI483" t="s">
        <v>5958</v>
      </c>
      <c r="AJ483" t="s">
        <v>5957</v>
      </c>
      <c r="AK483" t="s">
        <v>5956</v>
      </c>
      <c r="AL483">
        <v>8</v>
      </c>
      <c r="AM483" s="5">
        <f t="shared" si="58"/>
        <v>0.25806451612903225</v>
      </c>
      <c r="AN483" s="4">
        <f t="shared" si="63"/>
        <v>3.9085879004775807E-4</v>
      </c>
      <c r="AO483" s="3"/>
      <c r="AP483">
        <v>0</v>
      </c>
      <c r="AQ483" t="s">
        <v>5955</v>
      </c>
      <c r="AR483" t="s">
        <v>5954</v>
      </c>
      <c r="AS483" t="s">
        <v>5953</v>
      </c>
      <c r="AT483" s="2" t="s">
        <v>33</v>
      </c>
      <c r="AU483" s="1">
        <f t="shared" si="59"/>
        <v>1.2356653275144651</v>
      </c>
      <c r="AV483" s="1">
        <f t="shared" si="60"/>
        <v>0.89378548508312528</v>
      </c>
      <c r="AW483" s="1">
        <f t="shared" si="61"/>
        <v>0.55190564265178554</v>
      </c>
    </row>
    <row r="484" spans="1:49" x14ac:dyDescent="0.2">
      <c r="A484">
        <v>482</v>
      </c>
      <c r="B484" t="s">
        <v>5952</v>
      </c>
      <c r="C484" t="s">
        <v>5951</v>
      </c>
      <c r="F484" t="s">
        <v>5950</v>
      </c>
      <c r="G484" t="s">
        <v>16</v>
      </c>
      <c r="H484" t="s">
        <v>15</v>
      </c>
      <c r="I484" t="s">
        <v>3929</v>
      </c>
      <c r="J484">
        <v>60017161</v>
      </c>
      <c r="K484" t="s">
        <v>2444</v>
      </c>
      <c r="L484" t="s">
        <v>1408</v>
      </c>
      <c r="M484" t="s">
        <v>1407</v>
      </c>
      <c r="N484">
        <v>1</v>
      </c>
      <c r="O484" t="s">
        <v>2443</v>
      </c>
      <c r="P484">
        <v>7202596473</v>
      </c>
      <c r="Q484">
        <v>60017161</v>
      </c>
      <c r="R484" s="7">
        <v>33239</v>
      </c>
      <c r="S484" s="8">
        <f t="shared" si="56"/>
        <v>1991</v>
      </c>
      <c r="T484" s="8">
        <v>1991</v>
      </c>
      <c r="U484" s="8">
        <f t="shared" si="57"/>
        <v>31</v>
      </c>
      <c r="V484" s="7">
        <v>33451</v>
      </c>
      <c r="W484" t="s">
        <v>1807</v>
      </c>
      <c r="X484" s="2">
        <v>1.6519999999999999</v>
      </c>
      <c r="Y484" s="6">
        <f t="shared" si="62"/>
        <v>4.409919649769093E-2</v>
      </c>
      <c r="AA484" t="s">
        <v>1806</v>
      </c>
      <c r="AB484">
        <v>17337</v>
      </c>
      <c r="AC484">
        <v>15582221</v>
      </c>
      <c r="AD484" t="s">
        <v>5</v>
      </c>
      <c r="AE484">
        <v>39</v>
      </c>
      <c r="AF484">
        <v>8</v>
      </c>
      <c r="AH484" t="s">
        <v>5949</v>
      </c>
      <c r="AI484" t="s">
        <v>5948</v>
      </c>
      <c r="AK484" t="s">
        <v>5947</v>
      </c>
      <c r="AL484">
        <v>10</v>
      </c>
      <c r="AM484" s="5">
        <f t="shared" si="58"/>
        <v>0.32258064516129031</v>
      </c>
      <c r="AN484" s="4">
        <f t="shared" si="63"/>
        <v>4.8857348755969754E-4</v>
      </c>
      <c r="AO484" s="3"/>
      <c r="AP484">
        <v>0</v>
      </c>
      <c r="AR484" t="s">
        <v>0</v>
      </c>
      <c r="AT484" s="2" t="s">
        <v>33</v>
      </c>
      <c r="AU484" s="1">
        <f t="shared" si="59"/>
        <v>3.1016009594651561</v>
      </c>
      <c r="AV484" s="1">
        <f t="shared" si="60"/>
        <v>2.2293884992625315</v>
      </c>
      <c r="AW484" s="1">
        <f t="shared" si="61"/>
        <v>1.3571760390599066</v>
      </c>
    </row>
    <row r="485" spans="1:49" x14ac:dyDescent="0.2">
      <c r="A485">
        <v>483</v>
      </c>
      <c r="B485" t="s">
        <v>5946</v>
      </c>
      <c r="C485" t="s">
        <v>5945</v>
      </c>
      <c r="F485" t="s">
        <v>5944</v>
      </c>
      <c r="G485" t="s">
        <v>16</v>
      </c>
      <c r="H485" t="s">
        <v>15</v>
      </c>
      <c r="I485" t="s">
        <v>5943</v>
      </c>
      <c r="J485">
        <v>60029428</v>
      </c>
      <c r="K485" t="s">
        <v>5942</v>
      </c>
      <c r="L485" t="s">
        <v>5941</v>
      </c>
      <c r="M485" t="s">
        <v>25</v>
      </c>
      <c r="N485">
        <v>2</v>
      </c>
      <c r="O485" t="s">
        <v>5940</v>
      </c>
      <c r="P485" t="s">
        <v>5939</v>
      </c>
      <c r="Q485" t="s">
        <v>5938</v>
      </c>
      <c r="R485" s="7">
        <v>33239</v>
      </c>
      <c r="S485" s="8">
        <f t="shared" si="56"/>
        <v>1991</v>
      </c>
      <c r="T485" s="8">
        <v>1991</v>
      </c>
      <c r="U485" s="8">
        <f t="shared" si="57"/>
        <v>31</v>
      </c>
      <c r="V485" s="7">
        <v>33451</v>
      </c>
      <c r="W485" t="s">
        <v>1807</v>
      </c>
      <c r="X485" s="2">
        <v>1.6519999999999999</v>
      </c>
      <c r="Y485" s="6">
        <f t="shared" si="62"/>
        <v>4.409919649769093E-2</v>
      </c>
      <c r="AA485" t="s">
        <v>1806</v>
      </c>
      <c r="AB485">
        <v>17337</v>
      </c>
      <c r="AC485">
        <v>15582221</v>
      </c>
      <c r="AD485" t="s">
        <v>5</v>
      </c>
      <c r="AE485">
        <v>39</v>
      </c>
      <c r="AF485">
        <v>8</v>
      </c>
      <c r="AH485" t="s">
        <v>927</v>
      </c>
      <c r="AI485" t="s">
        <v>5937</v>
      </c>
      <c r="AK485" t="s">
        <v>5936</v>
      </c>
      <c r="AL485">
        <v>50</v>
      </c>
      <c r="AM485" s="5">
        <f t="shared" si="58"/>
        <v>1.6129032258064515</v>
      </c>
      <c r="AN485" s="4">
        <f t="shared" si="63"/>
        <v>2.4428674377984876E-3</v>
      </c>
      <c r="AO485" s="3"/>
      <c r="AP485">
        <v>0</v>
      </c>
      <c r="AR485" t="s">
        <v>0</v>
      </c>
      <c r="AT485" s="2" t="s">
        <v>33</v>
      </c>
      <c r="AU485" s="1">
        <f t="shared" si="59"/>
        <v>3.1602297779723196</v>
      </c>
      <c r="AV485" s="1">
        <f t="shared" si="60"/>
        <v>2.3271031967744706</v>
      </c>
      <c r="AW485" s="1">
        <f t="shared" si="61"/>
        <v>1.4939766155766219</v>
      </c>
    </row>
    <row r="486" spans="1:49" x14ac:dyDescent="0.2">
      <c r="A486">
        <v>484</v>
      </c>
      <c r="B486" t="s">
        <v>5935</v>
      </c>
      <c r="C486" t="s">
        <v>5934</v>
      </c>
      <c r="F486" t="s">
        <v>5933</v>
      </c>
      <c r="G486" t="s">
        <v>16</v>
      </c>
      <c r="H486" t="s">
        <v>15</v>
      </c>
      <c r="I486" t="s">
        <v>5932</v>
      </c>
      <c r="J486">
        <v>60014256</v>
      </c>
      <c r="K486" t="s">
        <v>5931</v>
      </c>
      <c r="L486" t="s">
        <v>3012</v>
      </c>
      <c r="M486" t="s">
        <v>326</v>
      </c>
      <c r="N486">
        <v>3</v>
      </c>
      <c r="O486" t="s">
        <v>5930</v>
      </c>
      <c r="P486" t="s">
        <v>5929</v>
      </c>
      <c r="Q486" t="s">
        <v>5928</v>
      </c>
      <c r="R486" s="7">
        <v>33239</v>
      </c>
      <c r="S486" s="8">
        <f t="shared" si="56"/>
        <v>1991</v>
      </c>
      <c r="T486" s="8">
        <v>1991</v>
      </c>
      <c r="U486" s="8">
        <f t="shared" si="57"/>
        <v>31</v>
      </c>
      <c r="V486" s="7">
        <v>33451</v>
      </c>
      <c r="W486" t="s">
        <v>2537</v>
      </c>
      <c r="X486" s="2">
        <v>1.365</v>
      </c>
      <c r="Y486" s="6">
        <f t="shared" si="62"/>
        <v>3.6437895411227675E-2</v>
      </c>
      <c r="AA486">
        <v>189545</v>
      </c>
      <c r="AB486">
        <v>17393</v>
      </c>
      <c r="AC486">
        <v>19399359</v>
      </c>
      <c r="AD486" t="s">
        <v>5</v>
      </c>
      <c r="AE486">
        <v>40</v>
      </c>
      <c r="AF486">
        <v>3</v>
      </c>
      <c r="AH486" t="s">
        <v>5927</v>
      </c>
      <c r="AI486" t="s">
        <v>5926</v>
      </c>
      <c r="AK486" t="s">
        <v>5925</v>
      </c>
      <c r="AL486">
        <v>1</v>
      </c>
      <c r="AM486" s="5">
        <f t="shared" si="58"/>
        <v>3.2258064516129031E-2</v>
      </c>
      <c r="AN486" s="4">
        <f t="shared" si="63"/>
        <v>4.8857348755969758E-5</v>
      </c>
      <c r="AO486" s="3"/>
      <c r="AP486">
        <v>0</v>
      </c>
      <c r="AR486" t="s">
        <v>0</v>
      </c>
      <c r="AT486" s="2" t="s">
        <v>33</v>
      </c>
      <c r="AU486" s="1">
        <f t="shared" si="59"/>
        <v>2.5521183992486161</v>
      </c>
      <c r="AV486" s="1">
        <f t="shared" si="60"/>
        <v>1.8243376379991822</v>
      </c>
      <c r="AW486" s="1">
        <f t="shared" si="61"/>
        <v>1.096556876749748</v>
      </c>
    </row>
    <row r="487" spans="1:49" x14ac:dyDescent="0.2">
      <c r="A487">
        <v>485</v>
      </c>
      <c r="B487" t="s">
        <v>5924</v>
      </c>
      <c r="C487" t="s">
        <v>5923</v>
      </c>
      <c r="F487" t="s">
        <v>5922</v>
      </c>
      <c r="G487" t="s">
        <v>16</v>
      </c>
      <c r="H487" t="s">
        <v>15</v>
      </c>
      <c r="I487" t="s">
        <v>5921</v>
      </c>
      <c r="J487">
        <v>60025778</v>
      </c>
      <c r="K487" t="s">
        <v>2395</v>
      </c>
      <c r="L487" t="s">
        <v>2394</v>
      </c>
      <c r="M487" t="s">
        <v>57</v>
      </c>
      <c r="N487">
        <v>2</v>
      </c>
      <c r="O487" t="s">
        <v>5920</v>
      </c>
      <c r="P487" t="s">
        <v>5919</v>
      </c>
      <c r="Q487" t="s">
        <v>3553</v>
      </c>
      <c r="R487" s="7">
        <v>33239</v>
      </c>
      <c r="S487" s="8">
        <f t="shared" si="56"/>
        <v>1991</v>
      </c>
      <c r="T487" s="8">
        <v>1991</v>
      </c>
      <c r="U487" s="8">
        <f t="shared" si="57"/>
        <v>31</v>
      </c>
      <c r="V487" s="7">
        <v>33451</v>
      </c>
      <c r="W487" t="s">
        <v>731</v>
      </c>
      <c r="X487" s="2">
        <v>1.3720000000000001</v>
      </c>
      <c r="Y487" s="6">
        <f t="shared" si="62"/>
        <v>3.662475641333654E-2</v>
      </c>
      <c r="AA487">
        <v>189480</v>
      </c>
      <c r="AB487">
        <v>17366</v>
      </c>
      <c r="AC487">
        <v>15579670</v>
      </c>
      <c r="AD487" t="s">
        <v>5</v>
      </c>
      <c r="AE487">
        <v>39</v>
      </c>
      <c r="AF487">
        <v>8</v>
      </c>
      <c r="AH487" t="s">
        <v>5918</v>
      </c>
      <c r="AI487" t="s">
        <v>5917</v>
      </c>
      <c r="AK487" t="s">
        <v>5916</v>
      </c>
      <c r="AL487">
        <v>16</v>
      </c>
      <c r="AM487" s="5">
        <f t="shared" si="58"/>
        <v>0.5161290322580645</v>
      </c>
      <c r="AN487" s="4">
        <f t="shared" si="63"/>
        <v>7.8171758009551613E-4</v>
      </c>
      <c r="AO487" s="3"/>
      <c r="AP487">
        <v>0</v>
      </c>
      <c r="AQ487" t="s">
        <v>2474</v>
      </c>
      <c r="AR487" t="s">
        <v>0</v>
      </c>
      <c r="AS487" t="s">
        <v>2473</v>
      </c>
      <c r="AT487" s="2" t="s">
        <v>33</v>
      </c>
      <c r="AU487" s="1">
        <f t="shared" si="59"/>
        <v>2.5871844763364229</v>
      </c>
      <c r="AV487" s="1">
        <f t="shared" si="60"/>
        <v>1.8703236996716028</v>
      </c>
      <c r="AW487" s="1">
        <f t="shared" si="61"/>
        <v>1.1534629230067823</v>
      </c>
    </row>
    <row r="488" spans="1:49" x14ac:dyDescent="0.2">
      <c r="A488">
        <v>486</v>
      </c>
      <c r="B488" t="s">
        <v>5915</v>
      </c>
      <c r="C488" t="s">
        <v>5914</v>
      </c>
      <c r="F488" t="s">
        <v>5913</v>
      </c>
      <c r="G488" t="s">
        <v>16</v>
      </c>
      <c r="H488" t="s">
        <v>15</v>
      </c>
      <c r="I488" t="s">
        <v>5912</v>
      </c>
      <c r="J488">
        <v>60018829</v>
      </c>
      <c r="K488" t="s">
        <v>5911</v>
      </c>
      <c r="L488" t="s">
        <v>5910</v>
      </c>
      <c r="M488" t="s">
        <v>117</v>
      </c>
      <c r="N488">
        <v>1</v>
      </c>
      <c r="O488" t="s">
        <v>5909</v>
      </c>
      <c r="P488">
        <v>7006863241</v>
      </c>
      <c r="Q488">
        <v>60018829</v>
      </c>
      <c r="R488" s="7">
        <v>33239</v>
      </c>
      <c r="S488" s="8">
        <f t="shared" si="56"/>
        <v>1991</v>
      </c>
      <c r="T488" s="8">
        <v>1991</v>
      </c>
      <c r="U488" s="8">
        <f t="shared" si="57"/>
        <v>31</v>
      </c>
      <c r="V488" s="7">
        <v>33451</v>
      </c>
      <c r="W488" t="s">
        <v>2613</v>
      </c>
      <c r="X488" s="2">
        <v>0.312</v>
      </c>
      <c r="Y488" s="6">
        <f t="shared" si="62"/>
        <v>8.3286618082806119E-3</v>
      </c>
      <c r="AA488">
        <v>9540695</v>
      </c>
      <c r="AB488">
        <v>61637</v>
      </c>
      <c r="AD488" t="s">
        <v>5</v>
      </c>
      <c r="AE488">
        <v>3</v>
      </c>
      <c r="AF488">
        <v>4</v>
      </c>
      <c r="AH488" t="s">
        <v>5908</v>
      </c>
      <c r="AI488" t="s">
        <v>5907</v>
      </c>
      <c r="AK488" t="s">
        <v>5906</v>
      </c>
      <c r="AL488">
        <v>12</v>
      </c>
      <c r="AM488" s="5">
        <f t="shared" si="58"/>
        <v>0.38709677419354838</v>
      </c>
      <c r="AN488" s="4">
        <f t="shared" si="63"/>
        <v>5.8628818507163707E-4</v>
      </c>
      <c r="AO488" s="3"/>
      <c r="AP488">
        <v>0</v>
      </c>
      <c r="AR488" t="s">
        <v>0</v>
      </c>
      <c r="AT488" s="2" t="s">
        <v>33</v>
      </c>
      <c r="AU488" s="1">
        <f t="shared" si="59"/>
        <v>0.60059497213179192</v>
      </c>
      <c r="AV488" s="1">
        <f t="shared" si="60"/>
        <v>0.44574749966761246</v>
      </c>
      <c r="AW488" s="1">
        <f t="shared" si="61"/>
        <v>0.29090002720343294</v>
      </c>
    </row>
    <row r="489" spans="1:49" x14ac:dyDescent="0.2">
      <c r="A489">
        <v>487</v>
      </c>
      <c r="B489" t="s">
        <v>5905</v>
      </c>
      <c r="C489" t="s">
        <v>5904</v>
      </c>
      <c r="F489" t="s">
        <v>5903</v>
      </c>
      <c r="G489" t="s">
        <v>16</v>
      </c>
      <c r="H489" t="s">
        <v>15</v>
      </c>
      <c r="I489" t="s">
        <v>5902</v>
      </c>
      <c r="J489" t="s">
        <v>5901</v>
      </c>
      <c r="K489" t="s">
        <v>5900</v>
      </c>
      <c r="L489" t="s">
        <v>5899</v>
      </c>
      <c r="M489" t="s">
        <v>821</v>
      </c>
      <c r="N489">
        <v>8</v>
      </c>
      <c r="O489" t="s">
        <v>5898</v>
      </c>
      <c r="P489" t="s">
        <v>5897</v>
      </c>
      <c r="Q489" t="s">
        <v>5896</v>
      </c>
      <c r="R489" s="7">
        <v>33239</v>
      </c>
      <c r="S489" s="8">
        <f t="shared" si="56"/>
        <v>1991</v>
      </c>
      <c r="T489" s="8">
        <v>1991</v>
      </c>
      <c r="U489" s="8">
        <f t="shared" si="57"/>
        <v>31</v>
      </c>
      <c r="V489" s="7">
        <v>33451</v>
      </c>
      <c r="W489" t="s">
        <v>2625</v>
      </c>
      <c r="X489" s="2">
        <v>0.76700000000000002</v>
      </c>
      <c r="Y489" s="6">
        <f t="shared" si="62"/>
        <v>2.0474626945356504E-2</v>
      </c>
      <c r="AA489">
        <v>983063</v>
      </c>
      <c r="AB489">
        <v>26048</v>
      </c>
      <c r="AD489" t="s">
        <v>5</v>
      </c>
      <c r="AE489">
        <v>37</v>
      </c>
      <c r="AF489">
        <v>3</v>
      </c>
      <c r="AH489" t="s">
        <v>5895</v>
      </c>
      <c r="AI489" t="s">
        <v>5894</v>
      </c>
      <c r="AK489" t="s">
        <v>5893</v>
      </c>
      <c r="AL489">
        <v>7</v>
      </c>
      <c r="AM489" s="5">
        <f t="shared" si="58"/>
        <v>0.22580645161290322</v>
      </c>
      <c r="AN489" s="4">
        <f t="shared" si="63"/>
        <v>3.420014412917883E-4</v>
      </c>
      <c r="AO489" s="3"/>
      <c r="AP489">
        <v>0</v>
      </c>
      <c r="AR489" t="s">
        <v>0</v>
      </c>
      <c r="AT489" s="2" t="s">
        <v>33</v>
      </c>
      <c r="AU489" s="1">
        <f t="shared" si="59"/>
        <v>1.443483929413709</v>
      </c>
      <c r="AV489" s="1">
        <f t="shared" si="60"/>
        <v>1.0408314193324146</v>
      </c>
      <c r="AW489" s="1">
        <f t="shared" si="61"/>
        <v>0.6381789092511202</v>
      </c>
    </row>
    <row r="490" spans="1:49" x14ac:dyDescent="0.2">
      <c r="A490">
        <v>488</v>
      </c>
      <c r="B490" t="s">
        <v>5892</v>
      </c>
      <c r="C490" t="s">
        <v>5891</v>
      </c>
      <c r="F490" t="s">
        <v>5890</v>
      </c>
      <c r="G490" t="s">
        <v>16</v>
      </c>
      <c r="H490" t="s">
        <v>15</v>
      </c>
      <c r="I490" t="s">
        <v>5889</v>
      </c>
      <c r="J490">
        <v>60020547</v>
      </c>
      <c r="K490" t="s">
        <v>416</v>
      </c>
      <c r="L490" t="s">
        <v>415</v>
      </c>
      <c r="M490" t="s">
        <v>57</v>
      </c>
      <c r="N490">
        <v>3</v>
      </c>
      <c r="O490" t="s">
        <v>5888</v>
      </c>
      <c r="P490" t="s">
        <v>5887</v>
      </c>
      <c r="Q490" t="s">
        <v>5886</v>
      </c>
      <c r="R490" s="7">
        <v>33239</v>
      </c>
      <c r="S490" s="8">
        <f t="shared" si="56"/>
        <v>1991</v>
      </c>
      <c r="T490" s="8">
        <v>1991</v>
      </c>
      <c r="U490" s="8">
        <f t="shared" si="57"/>
        <v>31</v>
      </c>
      <c r="V490" s="7">
        <v>33451</v>
      </c>
      <c r="W490" t="s">
        <v>1807</v>
      </c>
      <c r="X490" s="2">
        <v>1.6519999999999999</v>
      </c>
      <c r="Y490" s="6">
        <f t="shared" si="62"/>
        <v>4.409919649769093E-2</v>
      </c>
      <c r="AA490" t="s">
        <v>1806</v>
      </c>
      <c r="AB490">
        <v>17337</v>
      </c>
      <c r="AC490">
        <v>15582221</v>
      </c>
      <c r="AD490" t="s">
        <v>5</v>
      </c>
      <c r="AE490">
        <v>39</v>
      </c>
      <c r="AF490">
        <v>8</v>
      </c>
      <c r="AH490" t="s">
        <v>5885</v>
      </c>
      <c r="AI490" t="s">
        <v>5884</v>
      </c>
      <c r="AK490" t="s">
        <v>5883</v>
      </c>
      <c r="AL490">
        <v>14</v>
      </c>
      <c r="AM490" s="5">
        <f t="shared" si="58"/>
        <v>0.45161290322580644</v>
      </c>
      <c r="AN490" s="4">
        <f t="shared" si="63"/>
        <v>6.840028825835766E-4</v>
      </c>
      <c r="AO490" s="3"/>
      <c r="AP490">
        <v>0</v>
      </c>
      <c r="AR490" t="s">
        <v>0</v>
      </c>
      <c r="AT490" s="2" t="s">
        <v>33</v>
      </c>
      <c r="AU490" s="1">
        <f t="shared" si="59"/>
        <v>3.1074638413158726</v>
      </c>
      <c r="AV490" s="1">
        <f t="shared" si="60"/>
        <v>2.2391599690137256</v>
      </c>
      <c r="AW490" s="1">
        <f t="shared" si="61"/>
        <v>1.3708560967115782</v>
      </c>
    </row>
    <row r="491" spans="1:49" x14ac:dyDescent="0.2">
      <c r="A491">
        <v>489</v>
      </c>
      <c r="B491" t="s">
        <v>5882</v>
      </c>
      <c r="C491" t="s">
        <v>5881</v>
      </c>
      <c r="F491" t="s">
        <v>5880</v>
      </c>
      <c r="G491" t="s">
        <v>16</v>
      </c>
      <c r="H491" t="s">
        <v>15</v>
      </c>
      <c r="I491" t="s">
        <v>5879</v>
      </c>
      <c r="J491" t="s">
        <v>5878</v>
      </c>
      <c r="K491" t="s">
        <v>5877</v>
      </c>
      <c r="L491" t="s">
        <v>5876</v>
      </c>
      <c r="M491" t="s">
        <v>1180</v>
      </c>
      <c r="N491">
        <v>4</v>
      </c>
      <c r="O491" t="s">
        <v>5875</v>
      </c>
      <c r="P491" t="s">
        <v>5874</v>
      </c>
      <c r="Q491" t="s">
        <v>5873</v>
      </c>
      <c r="R491" s="7">
        <v>33239</v>
      </c>
      <c r="S491" s="8">
        <f t="shared" si="56"/>
        <v>1991</v>
      </c>
      <c r="T491" s="8">
        <v>1991</v>
      </c>
      <c r="U491" s="8">
        <f t="shared" si="57"/>
        <v>31</v>
      </c>
      <c r="V491" s="7">
        <v>33451</v>
      </c>
      <c r="W491" t="s">
        <v>5872</v>
      </c>
      <c r="X491" s="2">
        <v>1.337</v>
      </c>
      <c r="Y491" s="6">
        <f t="shared" si="62"/>
        <v>3.5690451402792235E-2</v>
      </c>
      <c r="AA491">
        <v>7413106</v>
      </c>
      <c r="AB491">
        <v>26005</v>
      </c>
      <c r="AC491">
        <v>15580563</v>
      </c>
      <c r="AD491" t="s">
        <v>5</v>
      </c>
      <c r="AE491">
        <v>12</v>
      </c>
      <c r="AF491">
        <v>8</v>
      </c>
      <c r="AH491" t="s">
        <v>5871</v>
      </c>
      <c r="AI491" t="s">
        <v>5870</v>
      </c>
      <c r="AK491" t="s">
        <v>5869</v>
      </c>
      <c r="AL491">
        <v>85</v>
      </c>
      <c r="AM491" s="5">
        <f t="shared" si="58"/>
        <v>2.7419354838709675</v>
      </c>
      <c r="AN491" s="4">
        <f t="shared" si="63"/>
        <v>4.1528746442574286E-3</v>
      </c>
      <c r="AO491" s="3"/>
      <c r="AP491">
        <v>0</v>
      </c>
      <c r="AQ491" t="s">
        <v>5868</v>
      </c>
      <c r="AR491" t="s">
        <v>5867</v>
      </c>
      <c r="AS491" t="s">
        <v>5866</v>
      </c>
      <c r="AT491" s="2">
        <v>4.1870000000000003</v>
      </c>
      <c r="AU491" s="1">
        <f t="shared" si="59"/>
        <v>2.622917837523179</v>
      </c>
      <c r="AV491" s="1">
        <f t="shared" si="60"/>
        <v>1.9921663023524832</v>
      </c>
      <c r="AW491" s="1">
        <f t="shared" si="61"/>
        <v>1.3614147671817869</v>
      </c>
    </row>
    <row r="492" spans="1:49" x14ac:dyDescent="0.2">
      <c r="A492">
        <v>490</v>
      </c>
      <c r="B492" t="s">
        <v>5865</v>
      </c>
      <c r="C492" t="s">
        <v>5864</v>
      </c>
      <c r="F492" t="s">
        <v>5863</v>
      </c>
      <c r="G492" t="s">
        <v>16</v>
      </c>
      <c r="H492" t="s">
        <v>15</v>
      </c>
      <c r="I492" t="s">
        <v>5862</v>
      </c>
      <c r="J492">
        <v>115596366</v>
      </c>
      <c r="K492" t="s">
        <v>5861</v>
      </c>
      <c r="L492" t="s">
        <v>5860</v>
      </c>
      <c r="M492" t="s">
        <v>57</v>
      </c>
      <c r="N492">
        <v>1</v>
      </c>
      <c r="O492" t="s">
        <v>5859</v>
      </c>
      <c r="P492">
        <v>7501734902</v>
      </c>
      <c r="Q492">
        <v>115596366</v>
      </c>
      <c r="R492" s="7">
        <v>33239</v>
      </c>
      <c r="S492" s="8">
        <f t="shared" si="56"/>
        <v>1991</v>
      </c>
      <c r="T492" s="8">
        <v>1991</v>
      </c>
      <c r="U492" s="8">
        <f t="shared" si="57"/>
        <v>31</v>
      </c>
      <c r="V492" s="7">
        <v>33451</v>
      </c>
      <c r="W492" t="s">
        <v>1807</v>
      </c>
      <c r="X492" s="2">
        <v>1.6519999999999999</v>
      </c>
      <c r="Y492" s="6">
        <f t="shared" si="62"/>
        <v>4.409919649769093E-2</v>
      </c>
      <c r="AA492" t="s">
        <v>1806</v>
      </c>
      <c r="AB492">
        <v>17337</v>
      </c>
      <c r="AC492">
        <v>15582221</v>
      </c>
      <c r="AD492" t="s">
        <v>5</v>
      </c>
      <c r="AE492">
        <v>39</v>
      </c>
      <c r="AF492">
        <v>8</v>
      </c>
      <c r="AH492" t="s">
        <v>5858</v>
      </c>
      <c r="AI492" t="s">
        <v>5857</v>
      </c>
      <c r="AK492" t="s">
        <v>5856</v>
      </c>
      <c r="AL492">
        <v>0</v>
      </c>
      <c r="AM492" s="5">
        <f t="shared" si="58"/>
        <v>0</v>
      </c>
      <c r="AN492" s="4">
        <f t="shared" si="63"/>
        <v>0</v>
      </c>
      <c r="AO492" s="3"/>
      <c r="AP492">
        <v>0</v>
      </c>
      <c r="AR492" t="s">
        <v>0</v>
      </c>
      <c r="AT492" s="2" t="s">
        <v>33</v>
      </c>
      <c r="AU492" s="1">
        <f t="shared" si="59"/>
        <v>3.0869437548383649</v>
      </c>
      <c r="AV492" s="1">
        <f t="shared" si="60"/>
        <v>2.2049598248845466</v>
      </c>
      <c r="AW492" s="1">
        <f t="shared" si="61"/>
        <v>1.3229758949307278</v>
      </c>
    </row>
    <row r="493" spans="1:49" x14ac:dyDescent="0.2">
      <c r="A493">
        <v>491</v>
      </c>
      <c r="B493" t="s">
        <v>5855</v>
      </c>
      <c r="C493" t="s">
        <v>5854</v>
      </c>
      <c r="F493" t="s">
        <v>5853</v>
      </c>
      <c r="G493" t="s">
        <v>16</v>
      </c>
      <c r="H493" t="s">
        <v>15</v>
      </c>
      <c r="I493" t="s">
        <v>5852</v>
      </c>
      <c r="J493">
        <v>60031004</v>
      </c>
      <c r="K493" t="s">
        <v>5851</v>
      </c>
      <c r="L493" t="s">
        <v>5850</v>
      </c>
      <c r="M493" t="s">
        <v>426</v>
      </c>
      <c r="N493">
        <v>1</v>
      </c>
      <c r="O493" t="s">
        <v>5849</v>
      </c>
      <c r="P493">
        <v>35570164700</v>
      </c>
      <c r="Q493">
        <v>60031004</v>
      </c>
      <c r="R493" s="7">
        <v>33239</v>
      </c>
      <c r="S493" s="8">
        <f t="shared" si="56"/>
        <v>1991</v>
      </c>
      <c r="T493" s="8">
        <v>1991</v>
      </c>
      <c r="U493" s="8">
        <f t="shared" si="57"/>
        <v>31</v>
      </c>
      <c r="V493" s="7">
        <v>33451</v>
      </c>
      <c r="W493" t="s">
        <v>4440</v>
      </c>
      <c r="X493" s="2">
        <v>0.94</v>
      </c>
      <c r="Y493" s="6">
        <f t="shared" si="62"/>
        <v>2.5092763140332611E-2</v>
      </c>
      <c r="AA493">
        <v>10518207</v>
      </c>
      <c r="AB493">
        <v>63372</v>
      </c>
      <c r="AD493" t="s">
        <v>5</v>
      </c>
      <c r="AE493">
        <v>1</v>
      </c>
      <c r="AF493">
        <v>8</v>
      </c>
      <c r="AH493" t="s">
        <v>5848</v>
      </c>
      <c r="AI493" t="s">
        <v>5847</v>
      </c>
      <c r="AK493" t="s">
        <v>5846</v>
      </c>
      <c r="AL493">
        <v>25</v>
      </c>
      <c r="AM493" s="5">
        <f t="shared" si="58"/>
        <v>0.80645161290322576</v>
      </c>
      <c r="AN493" s="4">
        <f t="shared" si="63"/>
        <v>1.2214337188992438E-3</v>
      </c>
      <c r="AO493" s="3"/>
      <c r="AP493">
        <v>0</v>
      </c>
      <c r="AR493" t="s">
        <v>0</v>
      </c>
      <c r="AT493" s="2" t="s">
        <v>33</v>
      </c>
      <c r="AU493" s="1">
        <f t="shared" si="59"/>
        <v>1.79313643139026</v>
      </c>
      <c r="AV493" s="1">
        <f t="shared" si="60"/>
        <v>1.3157098429615928</v>
      </c>
      <c r="AW493" s="1">
        <f t="shared" si="61"/>
        <v>0.8382832545329254</v>
      </c>
    </row>
    <row r="494" spans="1:49" x14ac:dyDescent="0.2">
      <c r="A494">
        <v>492</v>
      </c>
      <c r="B494" t="s">
        <v>5845</v>
      </c>
      <c r="C494" t="s">
        <v>5844</v>
      </c>
      <c r="F494" t="s">
        <v>5843</v>
      </c>
      <c r="G494" t="s">
        <v>16</v>
      </c>
      <c r="H494" t="s">
        <v>15</v>
      </c>
      <c r="I494" t="s">
        <v>5842</v>
      </c>
      <c r="J494">
        <v>60023053</v>
      </c>
      <c r="K494" t="s">
        <v>3605</v>
      </c>
      <c r="L494" t="s">
        <v>3604</v>
      </c>
      <c r="M494" t="s">
        <v>57</v>
      </c>
      <c r="N494">
        <v>3</v>
      </c>
      <c r="O494" t="s">
        <v>5841</v>
      </c>
      <c r="P494" t="s">
        <v>5840</v>
      </c>
      <c r="Q494" t="s">
        <v>5839</v>
      </c>
      <c r="R494" s="7">
        <v>33239</v>
      </c>
      <c r="S494" s="8">
        <f t="shared" si="56"/>
        <v>1991</v>
      </c>
      <c r="T494" s="8">
        <v>1991</v>
      </c>
      <c r="U494" s="8">
        <f t="shared" si="57"/>
        <v>31</v>
      </c>
      <c r="V494" s="7">
        <v>33451</v>
      </c>
      <c r="W494" t="s">
        <v>2685</v>
      </c>
      <c r="X494" s="2">
        <v>0.65500000000000003</v>
      </c>
      <c r="Y494" s="6">
        <f t="shared" si="62"/>
        <v>1.7484850911614749E-2</v>
      </c>
      <c r="AA494">
        <v>189375</v>
      </c>
      <c r="AB494">
        <v>26051</v>
      </c>
      <c r="AC494" t="s">
        <v>2684</v>
      </c>
      <c r="AD494" t="s">
        <v>5</v>
      </c>
      <c r="AE494">
        <v>33</v>
      </c>
      <c r="AF494">
        <v>3</v>
      </c>
      <c r="AH494" t="s">
        <v>5838</v>
      </c>
      <c r="AI494" t="s">
        <v>5837</v>
      </c>
      <c r="AJ494" t="s">
        <v>5836</v>
      </c>
      <c r="AK494" t="s">
        <v>5835</v>
      </c>
      <c r="AL494">
        <v>17</v>
      </c>
      <c r="AM494" s="5">
        <f t="shared" si="58"/>
        <v>0.54838709677419351</v>
      </c>
      <c r="AN494" s="4">
        <f t="shared" si="63"/>
        <v>8.3057492885148579E-4</v>
      </c>
      <c r="AO494" s="3"/>
      <c r="AP494">
        <v>0</v>
      </c>
      <c r="AR494" t="s">
        <v>0</v>
      </c>
      <c r="AT494" s="2" t="s">
        <v>33</v>
      </c>
      <c r="AU494" s="1">
        <f t="shared" si="59"/>
        <v>1.248856811678577</v>
      </c>
      <c r="AV494" s="1">
        <f t="shared" si="60"/>
        <v>0.91577129202331176</v>
      </c>
      <c r="AW494" s="1">
        <f t="shared" si="61"/>
        <v>0.58268577236804653</v>
      </c>
    </row>
    <row r="495" spans="1:49" x14ac:dyDescent="0.2">
      <c r="A495">
        <v>493</v>
      </c>
      <c r="B495" t="s">
        <v>5834</v>
      </c>
      <c r="C495" t="s">
        <v>5833</v>
      </c>
      <c r="F495" t="s">
        <v>5832</v>
      </c>
      <c r="G495" t="s">
        <v>16</v>
      </c>
      <c r="H495" t="s">
        <v>15</v>
      </c>
      <c r="I495" t="s">
        <v>5831</v>
      </c>
      <c r="J495">
        <v>60020975</v>
      </c>
      <c r="K495" t="s">
        <v>4258</v>
      </c>
      <c r="L495" t="s">
        <v>4257</v>
      </c>
      <c r="M495" t="s">
        <v>57</v>
      </c>
      <c r="N495">
        <v>1</v>
      </c>
      <c r="O495" t="s">
        <v>5830</v>
      </c>
      <c r="P495">
        <v>55470123500</v>
      </c>
      <c r="Q495">
        <v>60020975</v>
      </c>
      <c r="R495" s="7">
        <v>33239</v>
      </c>
      <c r="S495" s="8">
        <f t="shared" si="56"/>
        <v>1991</v>
      </c>
      <c r="T495" s="8">
        <v>1991</v>
      </c>
      <c r="U495" s="8">
        <f t="shared" si="57"/>
        <v>31</v>
      </c>
      <c r="V495" s="7">
        <v>33451</v>
      </c>
      <c r="W495" t="s">
        <v>2747</v>
      </c>
      <c r="X495" s="2">
        <v>1.6379999999999999</v>
      </c>
      <c r="Y495" s="6">
        <f t="shared" si="62"/>
        <v>4.3725474493473214E-2</v>
      </c>
      <c r="AA495" t="s">
        <v>2746</v>
      </c>
      <c r="AB495">
        <v>17391</v>
      </c>
      <c r="AC495">
        <v>19410476</v>
      </c>
      <c r="AD495" t="s">
        <v>5</v>
      </c>
      <c r="AE495">
        <v>39</v>
      </c>
      <c r="AF495">
        <v>8</v>
      </c>
      <c r="AH495" t="s">
        <v>5829</v>
      </c>
      <c r="AI495" t="s">
        <v>5828</v>
      </c>
      <c r="AK495" t="s">
        <v>5827</v>
      </c>
      <c r="AL495">
        <v>69</v>
      </c>
      <c r="AM495" s="5">
        <f t="shared" si="58"/>
        <v>2.225806451612903</v>
      </c>
      <c r="AN495" s="4">
        <f t="shared" si="63"/>
        <v>3.3711570641619128E-3</v>
      </c>
      <c r="AO495" s="3"/>
      <c r="AP495">
        <v>0</v>
      </c>
      <c r="AR495" t="s">
        <v>0</v>
      </c>
      <c r="AT495" s="2">
        <v>4.931</v>
      </c>
      <c r="AU495" s="1">
        <f t="shared" si="59"/>
        <v>3.1619179264679822</v>
      </c>
      <c r="AV495" s="1">
        <f t="shared" si="60"/>
        <v>2.3548315778817561</v>
      </c>
      <c r="AW495" s="1">
        <f t="shared" si="61"/>
        <v>1.5477452292955303</v>
      </c>
    </row>
    <row r="496" spans="1:49" x14ac:dyDescent="0.2">
      <c r="A496">
        <v>494</v>
      </c>
      <c r="B496" t="s">
        <v>5826</v>
      </c>
      <c r="C496" t="s">
        <v>5825</v>
      </c>
      <c r="F496" t="s">
        <v>5824</v>
      </c>
      <c r="G496" t="s">
        <v>16</v>
      </c>
      <c r="H496" t="s">
        <v>15</v>
      </c>
      <c r="I496" t="s">
        <v>5823</v>
      </c>
      <c r="J496">
        <v>60016418</v>
      </c>
      <c r="K496" t="s">
        <v>5822</v>
      </c>
      <c r="L496" t="s">
        <v>5821</v>
      </c>
      <c r="M496" t="s">
        <v>117</v>
      </c>
      <c r="N496">
        <v>2</v>
      </c>
      <c r="O496" t="s">
        <v>5820</v>
      </c>
      <c r="P496" t="s">
        <v>5819</v>
      </c>
      <c r="Q496" t="s">
        <v>5818</v>
      </c>
      <c r="R496" s="7">
        <v>33239</v>
      </c>
      <c r="S496" s="8">
        <f t="shared" si="56"/>
        <v>1991</v>
      </c>
      <c r="T496" s="8">
        <v>1991</v>
      </c>
      <c r="U496" s="8">
        <f t="shared" si="57"/>
        <v>31</v>
      </c>
      <c r="V496" s="7">
        <v>33451</v>
      </c>
      <c r="W496" t="s">
        <v>2685</v>
      </c>
      <c r="X496" s="2">
        <v>0.65500000000000003</v>
      </c>
      <c r="Y496" s="6">
        <f t="shared" si="62"/>
        <v>1.7484850911614749E-2</v>
      </c>
      <c r="AA496">
        <v>189375</v>
      </c>
      <c r="AB496">
        <v>26051</v>
      </c>
      <c r="AC496" t="s">
        <v>2684</v>
      </c>
      <c r="AD496" t="s">
        <v>5</v>
      </c>
      <c r="AE496">
        <v>33</v>
      </c>
      <c r="AF496">
        <v>3</v>
      </c>
      <c r="AH496" t="s">
        <v>4009</v>
      </c>
      <c r="AI496" t="s">
        <v>5817</v>
      </c>
      <c r="AJ496" t="s">
        <v>5816</v>
      </c>
      <c r="AK496" t="s">
        <v>5815</v>
      </c>
      <c r="AL496">
        <v>2</v>
      </c>
      <c r="AM496" s="5">
        <f t="shared" si="58"/>
        <v>6.4516129032258063E-2</v>
      </c>
      <c r="AN496" s="4">
        <f t="shared" si="63"/>
        <v>9.7714697511939517E-5</v>
      </c>
      <c r="AO496" s="3"/>
      <c r="AP496">
        <v>0</v>
      </c>
      <c r="AR496" t="s">
        <v>0</v>
      </c>
      <c r="AT496" s="2" t="s">
        <v>33</v>
      </c>
      <c r="AU496" s="1">
        <f t="shared" si="59"/>
        <v>1.2268710047383904</v>
      </c>
      <c r="AV496" s="1">
        <f t="shared" si="60"/>
        <v>0.8791282804563344</v>
      </c>
      <c r="AW496" s="1">
        <f t="shared" si="61"/>
        <v>0.5313855561742783</v>
      </c>
    </row>
    <row r="497" spans="1:49" x14ac:dyDescent="0.2">
      <c r="A497">
        <v>495</v>
      </c>
      <c r="B497" t="s">
        <v>5814</v>
      </c>
      <c r="C497" t="s">
        <v>5813</v>
      </c>
      <c r="F497" t="s">
        <v>5812</v>
      </c>
      <c r="G497" t="s">
        <v>16</v>
      </c>
      <c r="H497" t="s">
        <v>15</v>
      </c>
      <c r="I497" t="s">
        <v>5811</v>
      </c>
      <c r="J497" t="s">
        <v>5806</v>
      </c>
      <c r="K497" t="s">
        <v>5810</v>
      </c>
      <c r="L497" t="s">
        <v>5809</v>
      </c>
      <c r="M497" t="s">
        <v>228</v>
      </c>
      <c r="N497">
        <v>2</v>
      </c>
      <c r="O497" t="s">
        <v>5808</v>
      </c>
      <c r="P497" t="s">
        <v>5807</v>
      </c>
      <c r="Q497" t="s">
        <v>5806</v>
      </c>
      <c r="R497" s="7">
        <v>33239</v>
      </c>
      <c r="S497" s="8">
        <f t="shared" ref="S497:S560" si="64">YEAR(R497)</f>
        <v>1991</v>
      </c>
      <c r="T497" s="8">
        <v>1991</v>
      </c>
      <c r="U497" s="8">
        <f t="shared" ref="U497:U560" si="65">2022-T497</f>
        <v>31</v>
      </c>
      <c r="V497" s="7">
        <v>33451</v>
      </c>
      <c r="W497" t="s">
        <v>2747</v>
      </c>
      <c r="X497" s="2">
        <v>1.6379999999999999</v>
      </c>
      <c r="Y497" s="6">
        <f t="shared" si="62"/>
        <v>4.3725474493473214E-2</v>
      </c>
      <c r="AA497" t="s">
        <v>2746</v>
      </c>
      <c r="AB497">
        <v>17391</v>
      </c>
      <c r="AC497">
        <v>19410476</v>
      </c>
      <c r="AD497" t="s">
        <v>5</v>
      </c>
      <c r="AE497">
        <v>39</v>
      </c>
      <c r="AF497">
        <v>8</v>
      </c>
      <c r="AH497" t="s">
        <v>5805</v>
      </c>
      <c r="AI497" t="s">
        <v>5804</v>
      </c>
      <c r="AK497" t="s">
        <v>5803</v>
      </c>
      <c r="AL497">
        <v>10</v>
      </c>
      <c r="AM497" s="5">
        <f t="shared" ref="AM497:AM560" si="66">AL497/U497</f>
        <v>0.32258064516129031</v>
      </c>
      <c r="AN497" s="4">
        <f t="shared" si="63"/>
        <v>4.8857348755969754E-4</v>
      </c>
      <c r="AO497" s="3"/>
      <c r="AP497">
        <v>0</v>
      </c>
      <c r="AR497" t="s">
        <v>0</v>
      </c>
      <c r="AT497" s="2">
        <v>4.931</v>
      </c>
      <c r="AU497" s="1">
        <f t="shared" ref="AU497:AU560" si="67">(Y497*0.7+AN497*0.3)*100</f>
        <v>3.0754404191699161</v>
      </c>
      <c r="AV497" s="1">
        <f t="shared" ref="AV497:AV560" si="68">(Y497*0.5+AN497*0.5)*100</f>
        <v>2.2107023990516459</v>
      </c>
      <c r="AW497" s="1">
        <f t="shared" ref="AW497:AW560" si="69">(Y497*0.3+AN497*0.7)*100</f>
        <v>1.3459643789333751</v>
      </c>
    </row>
    <row r="498" spans="1:49" x14ac:dyDescent="0.2">
      <c r="A498">
        <v>496</v>
      </c>
      <c r="B498" t="s">
        <v>5802</v>
      </c>
      <c r="C498" t="s">
        <v>5801</v>
      </c>
      <c r="F498" t="s">
        <v>5800</v>
      </c>
      <c r="G498" t="s">
        <v>16</v>
      </c>
      <c r="H498" t="s">
        <v>15</v>
      </c>
      <c r="I498" t="s">
        <v>5799</v>
      </c>
      <c r="J498">
        <v>60074719</v>
      </c>
      <c r="K498" t="s">
        <v>5798</v>
      </c>
      <c r="L498" t="s">
        <v>5797</v>
      </c>
      <c r="M498" t="s">
        <v>57</v>
      </c>
      <c r="N498">
        <v>4</v>
      </c>
      <c r="O498" t="s">
        <v>5796</v>
      </c>
      <c r="P498" t="s">
        <v>5795</v>
      </c>
      <c r="Q498" t="s">
        <v>5794</v>
      </c>
      <c r="R498" s="7">
        <v>33239</v>
      </c>
      <c r="S498" s="8">
        <f t="shared" si="64"/>
        <v>1991</v>
      </c>
      <c r="T498" s="8">
        <v>1991</v>
      </c>
      <c r="U498" s="8">
        <f t="shared" si="65"/>
        <v>31</v>
      </c>
      <c r="V498" s="7">
        <v>33451</v>
      </c>
      <c r="W498" t="s">
        <v>2625</v>
      </c>
      <c r="X498" s="2">
        <v>0.76700000000000002</v>
      </c>
      <c r="Y498" s="6">
        <f t="shared" si="62"/>
        <v>2.0474626945356504E-2</v>
      </c>
      <c r="AA498">
        <v>983063</v>
      </c>
      <c r="AB498">
        <v>26048</v>
      </c>
      <c r="AD498" t="s">
        <v>5</v>
      </c>
      <c r="AE498">
        <v>37</v>
      </c>
      <c r="AF498">
        <v>3</v>
      </c>
      <c r="AH498" t="s">
        <v>5793</v>
      </c>
      <c r="AI498" t="s">
        <v>5792</v>
      </c>
      <c r="AK498" t="s">
        <v>5791</v>
      </c>
      <c r="AL498">
        <v>4</v>
      </c>
      <c r="AM498" s="5">
        <f t="shared" si="66"/>
        <v>0.12903225806451613</v>
      </c>
      <c r="AN498" s="4">
        <f t="shared" si="63"/>
        <v>1.9542939502387903E-4</v>
      </c>
      <c r="AO498" s="3"/>
      <c r="AP498">
        <v>0</v>
      </c>
      <c r="AR498" t="s">
        <v>0</v>
      </c>
      <c r="AT498" s="2" t="s">
        <v>33</v>
      </c>
      <c r="AU498" s="1">
        <f t="shared" si="67"/>
        <v>1.4390867680256716</v>
      </c>
      <c r="AV498" s="1">
        <f t="shared" si="68"/>
        <v>1.033502817019019</v>
      </c>
      <c r="AW498" s="1">
        <f t="shared" si="69"/>
        <v>0.62791886601236668</v>
      </c>
    </row>
    <row r="499" spans="1:49" x14ac:dyDescent="0.2">
      <c r="A499">
        <v>497</v>
      </c>
      <c r="B499" t="s">
        <v>5790</v>
      </c>
      <c r="C499" t="s">
        <v>5789</v>
      </c>
      <c r="F499" t="s">
        <v>5788</v>
      </c>
      <c r="G499" t="s">
        <v>16</v>
      </c>
      <c r="H499" t="s">
        <v>15</v>
      </c>
      <c r="I499" t="s">
        <v>5787</v>
      </c>
      <c r="J499">
        <v>60010265</v>
      </c>
      <c r="K499" t="s">
        <v>5786</v>
      </c>
      <c r="L499" t="s">
        <v>5785</v>
      </c>
      <c r="M499" t="s">
        <v>57</v>
      </c>
      <c r="N499">
        <v>3</v>
      </c>
      <c r="O499" t="s">
        <v>5784</v>
      </c>
      <c r="P499" t="s">
        <v>5783</v>
      </c>
      <c r="Q499" t="s">
        <v>5782</v>
      </c>
      <c r="R499" s="7">
        <v>33239</v>
      </c>
      <c r="S499" s="8">
        <f t="shared" si="64"/>
        <v>1991</v>
      </c>
      <c r="T499" s="8">
        <v>1991</v>
      </c>
      <c r="U499" s="8">
        <f t="shared" si="65"/>
        <v>31</v>
      </c>
      <c r="V499" s="7">
        <v>33451</v>
      </c>
      <c r="W499" t="s">
        <v>2685</v>
      </c>
      <c r="X499" s="2">
        <v>0.65500000000000003</v>
      </c>
      <c r="Y499" s="6">
        <f t="shared" si="62"/>
        <v>1.7484850911614749E-2</v>
      </c>
      <c r="AA499">
        <v>189375</v>
      </c>
      <c r="AB499">
        <v>26051</v>
      </c>
      <c r="AC499" t="s">
        <v>2684</v>
      </c>
      <c r="AD499" t="s">
        <v>5</v>
      </c>
      <c r="AE499">
        <v>33</v>
      </c>
      <c r="AF499">
        <v>3</v>
      </c>
      <c r="AH499" t="s">
        <v>5781</v>
      </c>
      <c r="AI499" t="s">
        <v>5780</v>
      </c>
      <c r="AK499" t="s">
        <v>5779</v>
      </c>
      <c r="AL499">
        <v>7</v>
      </c>
      <c r="AM499" s="5">
        <f t="shared" si="66"/>
        <v>0.22580645161290322</v>
      </c>
      <c r="AN499" s="4">
        <f t="shared" si="63"/>
        <v>3.420014412917883E-4</v>
      </c>
      <c r="AO499" s="3"/>
      <c r="AP499">
        <v>0</v>
      </c>
      <c r="AR499" t="s">
        <v>0</v>
      </c>
      <c r="AT499" s="2" t="s">
        <v>33</v>
      </c>
      <c r="AU499" s="1">
        <f t="shared" si="67"/>
        <v>1.234199607051786</v>
      </c>
      <c r="AV499" s="1">
        <f t="shared" si="68"/>
        <v>0.89134261764532685</v>
      </c>
      <c r="AW499" s="1">
        <f t="shared" si="69"/>
        <v>0.5484856282388676</v>
      </c>
    </row>
    <row r="500" spans="1:49" x14ac:dyDescent="0.2">
      <c r="A500">
        <v>498</v>
      </c>
      <c r="B500" t="s">
        <v>5778</v>
      </c>
      <c r="C500" t="s">
        <v>5777</v>
      </c>
      <c r="F500" t="s">
        <v>5776</v>
      </c>
      <c r="G500" t="s">
        <v>16</v>
      </c>
      <c r="H500" t="s">
        <v>15</v>
      </c>
      <c r="I500" t="s">
        <v>5775</v>
      </c>
      <c r="J500" t="s">
        <v>5774</v>
      </c>
      <c r="K500" t="s">
        <v>5773</v>
      </c>
      <c r="L500" t="s">
        <v>5772</v>
      </c>
      <c r="M500" t="s">
        <v>5771</v>
      </c>
      <c r="N500">
        <v>2</v>
      </c>
      <c r="O500" t="s">
        <v>5770</v>
      </c>
      <c r="P500" t="s">
        <v>5769</v>
      </c>
      <c r="Q500" t="s">
        <v>5768</v>
      </c>
      <c r="R500" s="7">
        <v>33239</v>
      </c>
      <c r="S500" s="8">
        <f t="shared" si="64"/>
        <v>1991</v>
      </c>
      <c r="T500" s="8">
        <v>1991</v>
      </c>
      <c r="U500" s="8">
        <f t="shared" si="65"/>
        <v>31</v>
      </c>
      <c r="V500" s="7">
        <v>33451</v>
      </c>
      <c r="W500" t="s">
        <v>1807</v>
      </c>
      <c r="X500" s="2">
        <v>1.6519999999999999</v>
      </c>
      <c r="Y500" s="6">
        <f t="shared" si="62"/>
        <v>4.409919649769093E-2</v>
      </c>
      <c r="AA500" t="s">
        <v>1806</v>
      </c>
      <c r="AB500">
        <v>17337</v>
      </c>
      <c r="AC500">
        <v>15582221</v>
      </c>
      <c r="AD500" t="s">
        <v>5</v>
      </c>
      <c r="AE500">
        <v>39</v>
      </c>
      <c r="AF500">
        <v>8</v>
      </c>
      <c r="AH500" t="s">
        <v>5767</v>
      </c>
      <c r="AI500" t="s">
        <v>5766</v>
      </c>
      <c r="AK500" t="s">
        <v>5765</v>
      </c>
      <c r="AL500">
        <v>5</v>
      </c>
      <c r="AM500" s="5">
        <f t="shared" si="66"/>
        <v>0.16129032258064516</v>
      </c>
      <c r="AN500" s="4">
        <f t="shared" si="63"/>
        <v>2.4428674377984877E-4</v>
      </c>
      <c r="AO500" s="3"/>
      <c r="AP500">
        <v>0</v>
      </c>
      <c r="AR500" t="s">
        <v>0</v>
      </c>
      <c r="AT500" s="2" t="s">
        <v>33</v>
      </c>
      <c r="AU500" s="1">
        <f t="shared" si="67"/>
        <v>3.0942723571517607</v>
      </c>
      <c r="AV500" s="1">
        <f t="shared" si="68"/>
        <v>2.217174162073539</v>
      </c>
      <c r="AW500" s="1">
        <f t="shared" si="69"/>
        <v>1.3400759669953173</v>
      </c>
    </row>
    <row r="501" spans="1:49" x14ac:dyDescent="0.2">
      <c r="A501">
        <v>499</v>
      </c>
      <c r="B501" t="s">
        <v>5764</v>
      </c>
      <c r="C501" t="s">
        <v>5763</v>
      </c>
      <c r="F501" t="s">
        <v>5762</v>
      </c>
      <c r="G501" t="s">
        <v>16</v>
      </c>
      <c r="H501" t="s">
        <v>15</v>
      </c>
      <c r="I501" t="s">
        <v>5761</v>
      </c>
      <c r="J501" t="s">
        <v>5760</v>
      </c>
      <c r="K501" t="s">
        <v>5759</v>
      </c>
      <c r="L501" t="s">
        <v>5758</v>
      </c>
      <c r="M501" t="s">
        <v>5757</v>
      </c>
      <c r="N501">
        <v>1</v>
      </c>
      <c r="O501" t="s">
        <v>5756</v>
      </c>
      <c r="P501">
        <v>7003783128</v>
      </c>
      <c r="Q501" t="s">
        <v>5755</v>
      </c>
      <c r="R501" s="7">
        <v>33239</v>
      </c>
      <c r="S501" s="8">
        <f t="shared" si="64"/>
        <v>1991</v>
      </c>
      <c r="T501" s="8">
        <v>1991</v>
      </c>
      <c r="U501" s="8">
        <f t="shared" si="65"/>
        <v>31</v>
      </c>
      <c r="V501" s="7">
        <v>33451</v>
      </c>
      <c r="W501" t="s">
        <v>1807</v>
      </c>
      <c r="X501" s="2">
        <v>1.6519999999999999</v>
      </c>
      <c r="Y501" s="6">
        <f t="shared" si="62"/>
        <v>4.409919649769093E-2</v>
      </c>
      <c r="AA501" t="s">
        <v>1806</v>
      </c>
      <c r="AB501">
        <v>17337</v>
      </c>
      <c r="AC501">
        <v>15582221</v>
      </c>
      <c r="AD501" t="s">
        <v>5</v>
      </c>
      <c r="AE501">
        <v>39</v>
      </c>
      <c r="AF501">
        <v>8</v>
      </c>
      <c r="AH501" t="s">
        <v>5754</v>
      </c>
      <c r="AI501" t="s">
        <v>5753</v>
      </c>
      <c r="AK501" t="s">
        <v>5752</v>
      </c>
      <c r="AL501">
        <v>22</v>
      </c>
      <c r="AM501" s="5">
        <f t="shared" si="66"/>
        <v>0.70967741935483875</v>
      </c>
      <c r="AN501" s="4">
        <f t="shared" si="63"/>
        <v>1.0748616726313346E-3</v>
      </c>
      <c r="AO501" s="3"/>
      <c r="AP501">
        <v>0</v>
      </c>
      <c r="AR501" t="s">
        <v>0</v>
      </c>
      <c r="AT501" s="2" t="s">
        <v>33</v>
      </c>
      <c r="AU501" s="1">
        <f t="shared" si="67"/>
        <v>3.1191896050173051</v>
      </c>
      <c r="AV501" s="1">
        <f t="shared" si="68"/>
        <v>2.2587029085161134</v>
      </c>
      <c r="AW501" s="1">
        <f t="shared" si="69"/>
        <v>1.3982162120149213</v>
      </c>
    </row>
    <row r="502" spans="1:49" x14ac:dyDescent="0.2">
      <c r="A502">
        <v>500</v>
      </c>
      <c r="B502" t="s">
        <v>5751</v>
      </c>
      <c r="C502" t="s">
        <v>5750</v>
      </c>
      <c r="F502" t="s">
        <v>5749</v>
      </c>
      <c r="G502" t="s">
        <v>16</v>
      </c>
      <c r="H502" t="s">
        <v>15</v>
      </c>
      <c r="I502" t="s">
        <v>5748</v>
      </c>
      <c r="J502">
        <v>60009037</v>
      </c>
      <c r="K502" t="s">
        <v>375</v>
      </c>
      <c r="L502" t="s">
        <v>374</v>
      </c>
      <c r="M502" t="s">
        <v>57</v>
      </c>
      <c r="N502">
        <v>1</v>
      </c>
      <c r="O502" t="s">
        <v>5747</v>
      </c>
      <c r="P502">
        <v>6603851109</v>
      </c>
      <c r="Q502">
        <v>60009037</v>
      </c>
      <c r="R502" s="7">
        <v>33239</v>
      </c>
      <c r="S502" s="8">
        <f t="shared" si="64"/>
        <v>1991</v>
      </c>
      <c r="T502" s="8">
        <v>1991</v>
      </c>
      <c r="U502" s="8">
        <f t="shared" si="65"/>
        <v>31</v>
      </c>
      <c r="V502" s="7">
        <v>33451</v>
      </c>
      <c r="W502" t="s">
        <v>1807</v>
      </c>
      <c r="X502" s="2">
        <v>1.6519999999999999</v>
      </c>
      <c r="Y502" s="6">
        <f t="shared" si="62"/>
        <v>4.409919649769093E-2</v>
      </c>
      <c r="AA502" t="s">
        <v>1806</v>
      </c>
      <c r="AB502">
        <v>17337</v>
      </c>
      <c r="AC502">
        <v>15582221</v>
      </c>
      <c r="AD502" t="s">
        <v>5</v>
      </c>
      <c r="AE502">
        <v>39</v>
      </c>
      <c r="AF502">
        <v>8</v>
      </c>
      <c r="AH502" t="s">
        <v>5746</v>
      </c>
      <c r="AI502" t="s">
        <v>5745</v>
      </c>
      <c r="AK502" t="s">
        <v>5744</v>
      </c>
      <c r="AL502">
        <v>14</v>
      </c>
      <c r="AM502" s="5">
        <f t="shared" si="66"/>
        <v>0.45161290322580644</v>
      </c>
      <c r="AN502" s="4">
        <f t="shared" si="63"/>
        <v>6.840028825835766E-4</v>
      </c>
      <c r="AO502" s="3"/>
      <c r="AP502">
        <v>0</v>
      </c>
      <c r="AR502" t="s">
        <v>0</v>
      </c>
      <c r="AT502" s="2" t="s">
        <v>33</v>
      </c>
      <c r="AU502" s="1">
        <f t="shared" si="67"/>
        <v>3.1074638413158726</v>
      </c>
      <c r="AV502" s="1">
        <f t="shared" si="68"/>
        <v>2.2391599690137256</v>
      </c>
      <c r="AW502" s="1">
        <f t="shared" si="69"/>
        <v>1.3708560967115782</v>
      </c>
    </row>
    <row r="503" spans="1:49" x14ac:dyDescent="0.2">
      <c r="A503">
        <v>501</v>
      </c>
      <c r="B503" t="s">
        <v>5743</v>
      </c>
      <c r="C503" t="s">
        <v>5742</v>
      </c>
      <c r="F503" t="s">
        <v>5741</v>
      </c>
      <c r="G503" t="s">
        <v>16</v>
      </c>
      <c r="H503" t="s">
        <v>15</v>
      </c>
      <c r="I503" t="s">
        <v>5740</v>
      </c>
      <c r="J503">
        <v>60005429</v>
      </c>
      <c r="K503" t="s">
        <v>2321</v>
      </c>
      <c r="L503" t="s">
        <v>2320</v>
      </c>
      <c r="M503" t="s">
        <v>2319</v>
      </c>
      <c r="N503">
        <v>3</v>
      </c>
      <c r="O503" t="s">
        <v>5739</v>
      </c>
      <c r="P503" t="s">
        <v>5738</v>
      </c>
      <c r="Q503" t="s">
        <v>2316</v>
      </c>
      <c r="R503" s="7">
        <v>33239</v>
      </c>
      <c r="S503" s="8">
        <f t="shared" si="64"/>
        <v>1991</v>
      </c>
      <c r="T503" s="8">
        <v>1991</v>
      </c>
      <c r="U503" s="8">
        <f t="shared" si="65"/>
        <v>31</v>
      </c>
      <c r="V503" s="7">
        <v>33451</v>
      </c>
      <c r="W503" t="s">
        <v>1807</v>
      </c>
      <c r="X503" s="2">
        <v>1.6519999999999999</v>
      </c>
      <c r="Y503" s="6">
        <f t="shared" si="62"/>
        <v>4.409919649769093E-2</v>
      </c>
      <c r="AA503" t="s">
        <v>1806</v>
      </c>
      <c r="AB503">
        <v>17337</v>
      </c>
      <c r="AC503">
        <v>15582221</v>
      </c>
      <c r="AD503" t="s">
        <v>5</v>
      </c>
      <c r="AE503">
        <v>39</v>
      </c>
      <c r="AF503">
        <v>8</v>
      </c>
      <c r="AH503" t="s">
        <v>5737</v>
      </c>
      <c r="AI503" t="s">
        <v>5736</v>
      </c>
      <c r="AK503" t="s">
        <v>5735</v>
      </c>
      <c r="AL503">
        <v>39</v>
      </c>
      <c r="AM503" s="5">
        <f t="shared" si="66"/>
        <v>1.2580645161290323</v>
      </c>
      <c r="AN503" s="4">
        <f t="shared" si="63"/>
        <v>1.9054366014828205E-3</v>
      </c>
      <c r="AO503" s="3"/>
      <c r="AP503">
        <v>0</v>
      </c>
      <c r="AR503" t="s">
        <v>0</v>
      </c>
      <c r="AT503" s="2" t="s">
        <v>33</v>
      </c>
      <c r="AU503" s="1">
        <f t="shared" si="67"/>
        <v>3.1441068528828495</v>
      </c>
      <c r="AV503" s="1">
        <f t="shared" si="68"/>
        <v>2.3002316549586874</v>
      </c>
      <c r="AW503" s="1">
        <f t="shared" si="69"/>
        <v>1.4563564570345253</v>
      </c>
    </row>
    <row r="504" spans="1:49" x14ac:dyDescent="0.2">
      <c r="A504">
        <v>502</v>
      </c>
      <c r="B504" t="s">
        <v>5734</v>
      </c>
      <c r="C504" t="s">
        <v>5733</v>
      </c>
      <c r="F504" t="s">
        <v>5732</v>
      </c>
      <c r="G504" t="s">
        <v>16</v>
      </c>
      <c r="H504" t="s">
        <v>15</v>
      </c>
      <c r="I504" t="s">
        <v>5731</v>
      </c>
      <c r="J504" t="s">
        <v>5730</v>
      </c>
      <c r="K504" t="s">
        <v>5729</v>
      </c>
      <c r="L504" t="s">
        <v>5728</v>
      </c>
      <c r="M504" t="s">
        <v>133</v>
      </c>
      <c r="N504">
        <v>3</v>
      </c>
      <c r="O504" t="s">
        <v>5727</v>
      </c>
      <c r="P504" t="s">
        <v>5726</v>
      </c>
      <c r="Q504" t="s">
        <v>5725</v>
      </c>
      <c r="R504" s="7">
        <v>33239</v>
      </c>
      <c r="S504" s="8">
        <f t="shared" si="64"/>
        <v>1991</v>
      </c>
      <c r="T504" s="8">
        <v>1991</v>
      </c>
      <c r="U504" s="8">
        <f t="shared" si="65"/>
        <v>31</v>
      </c>
      <c r="V504" s="7">
        <v>33451</v>
      </c>
      <c r="W504" t="s">
        <v>1807</v>
      </c>
      <c r="X504" s="2">
        <v>1.6519999999999999</v>
      </c>
      <c r="Y504" s="6">
        <f t="shared" si="62"/>
        <v>4.409919649769093E-2</v>
      </c>
      <c r="AA504" t="s">
        <v>1806</v>
      </c>
      <c r="AB504">
        <v>17337</v>
      </c>
      <c r="AC504">
        <v>15582221</v>
      </c>
      <c r="AD504" t="s">
        <v>5</v>
      </c>
      <c r="AE504">
        <v>39</v>
      </c>
      <c r="AF504">
        <v>8</v>
      </c>
      <c r="AH504" t="s">
        <v>5724</v>
      </c>
      <c r="AI504" t="s">
        <v>5723</v>
      </c>
      <c r="AK504" t="s">
        <v>5722</v>
      </c>
      <c r="AL504">
        <v>45</v>
      </c>
      <c r="AM504" s="5">
        <f t="shared" si="66"/>
        <v>1.4516129032258065</v>
      </c>
      <c r="AN504" s="4">
        <f t="shared" si="63"/>
        <v>2.1985806940186393E-3</v>
      </c>
      <c r="AO504" s="3"/>
      <c r="AP504">
        <v>0</v>
      </c>
      <c r="AR504" t="s">
        <v>0</v>
      </c>
      <c r="AT504" s="2" t="s">
        <v>33</v>
      </c>
      <c r="AU504" s="1">
        <f t="shared" si="67"/>
        <v>3.1529011756589247</v>
      </c>
      <c r="AV504" s="1">
        <f t="shared" si="68"/>
        <v>2.3148888595854786</v>
      </c>
      <c r="AW504" s="1">
        <f t="shared" si="69"/>
        <v>1.4768765435120326</v>
      </c>
    </row>
    <row r="505" spans="1:49" x14ac:dyDescent="0.2">
      <c r="A505">
        <v>503</v>
      </c>
      <c r="B505" t="s">
        <v>5721</v>
      </c>
      <c r="C505" t="s">
        <v>5720</v>
      </c>
      <c r="F505" t="s">
        <v>5719</v>
      </c>
      <c r="G505" t="s">
        <v>16</v>
      </c>
      <c r="H505" t="s">
        <v>15</v>
      </c>
      <c r="I505" t="s">
        <v>5718</v>
      </c>
      <c r="J505">
        <v>60004923</v>
      </c>
      <c r="K505" t="s">
        <v>5717</v>
      </c>
      <c r="L505" t="s">
        <v>5716</v>
      </c>
      <c r="M505" t="s">
        <v>57</v>
      </c>
      <c r="N505">
        <v>2</v>
      </c>
      <c r="O505" t="s">
        <v>5715</v>
      </c>
      <c r="P505" t="s">
        <v>5714</v>
      </c>
      <c r="Q505" t="s">
        <v>5713</v>
      </c>
      <c r="R505" s="7">
        <v>33239</v>
      </c>
      <c r="S505" s="8">
        <f t="shared" si="64"/>
        <v>1991</v>
      </c>
      <c r="T505" s="8">
        <v>1991</v>
      </c>
      <c r="U505" s="8">
        <f t="shared" si="65"/>
        <v>31</v>
      </c>
      <c r="V505" s="7">
        <v>33451</v>
      </c>
      <c r="W505" t="s">
        <v>1807</v>
      </c>
      <c r="X505" s="2">
        <v>1.6519999999999999</v>
      </c>
      <c r="Y505" s="6">
        <f t="shared" si="62"/>
        <v>4.409919649769093E-2</v>
      </c>
      <c r="AA505" t="s">
        <v>1806</v>
      </c>
      <c r="AB505">
        <v>17337</v>
      </c>
      <c r="AC505">
        <v>15582221</v>
      </c>
      <c r="AD505" t="s">
        <v>5</v>
      </c>
      <c r="AE505">
        <v>39</v>
      </c>
      <c r="AF505">
        <v>8</v>
      </c>
      <c r="AH505" t="s">
        <v>5712</v>
      </c>
      <c r="AI505" t="s">
        <v>5711</v>
      </c>
      <c r="AK505" t="s">
        <v>5710</v>
      </c>
      <c r="AL505">
        <v>13</v>
      </c>
      <c r="AM505" s="5">
        <f t="shared" si="66"/>
        <v>0.41935483870967744</v>
      </c>
      <c r="AN505" s="4">
        <f t="shared" si="63"/>
        <v>6.3514553382760684E-4</v>
      </c>
      <c r="AO505" s="3"/>
      <c r="AP505">
        <v>0</v>
      </c>
      <c r="AR505" t="s">
        <v>0</v>
      </c>
      <c r="AT505" s="2" t="s">
        <v>33</v>
      </c>
      <c r="AU505" s="1">
        <f t="shared" si="67"/>
        <v>3.1059981208531933</v>
      </c>
      <c r="AV505" s="1">
        <f t="shared" si="68"/>
        <v>2.2367171015759268</v>
      </c>
      <c r="AW505" s="1">
        <f t="shared" si="69"/>
        <v>1.3674360822986602</v>
      </c>
    </row>
    <row r="506" spans="1:49" x14ac:dyDescent="0.2">
      <c r="A506">
        <v>504</v>
      </c>
      <c r="B506" t="s">
        <v>5709</v>
      </c>
      <c r="C506" t="s">
        <v>5708</v>
      </c>
      <c r="F506" t="s">
        <v>5707</v>
      </c>
      <c r="G506" t="s">
        <v>16</v>
      </c>
      <c r="H506" t="s">
        <v>15</v>
      </c>
      <c r="I506" t="s">
        <v>5706</v>
      </c>
      <c r="J506" t="s">
        <v>5705</v>
      </c>
      <c r="K506" t="s">
        <v>5704</v>
      </c>
      <c r="L506" t="s">
        <v>5703</v>
      </c>
      <c r="M506" t="s">
        <v>133</v>
      </c>
      <c r="N506">
        <v>1</v>
      </c>
      <c r="O506" t="s">
        <v>5702</v>
      </c>
      <c r="P506">
        <v>35512445400</v>
      </c>
      <c r="Q506" t="s">
        <v>5701</v>
      </c>
      <c r="R506" s="7">
        <v>33239</v>
      </c>
      <c r="S506" s="8">
        <f t="shared" si="64"/>
        <v>1991</v>
      </c>
      <c r="T506" s="8">
        <v>1991</v>
      </c>
      <c r="U506" s="8">
        <f t="shared" si="65"/>
        <v>31</v>
      </c>
      <c r="V506" s="7">
        <v>33451</v>
      </c>
      <c r="W506" t="s">
        <v>1807</v>
      </c>
      <c r="X506" s="2">
        <v>1.6519999999999999</v>
      </c>
      <c r="Y506" s="6">
        <f t="shared" si="62"/>
        <v>4.409919649769093E-2</v>
      </c>
      <c r="AA506" t="s">
        <v>1806</v>
      </c>
      <c r="AB506">
        <v>17337</v>
      </c>
      <c r="AC506">
        <v>15582221</v>
      </c>
      <c r="AD506" t="s">
        <v>5</v>
      </c>
      <c r="AE506">
        <v>39</v>
      </c>
      <c r="AF506">
        <v>8</v>
      </c>
      <c r="AH506" t="s">
        <v>5700</v>
      </c>
      <c r="AI506" t="s">
        <v>5699</v>
      </c>
      <c r="AK506" t="s">
        <v>5698</v>
      </c>
      <c r="AL506">
        <v>123</v>
      </c>
      <c r="AM506" s="5">
        <f t="shared" si="66"/>
        <v>3.967741935483871</v>
      </c>
      <c r="AN506" s="4">
        <f t="shared" si="63"/>
        <v>6.0094538969842799E-3</v>
      </c>
      <c r="AO506" s="3"/>
      <c r="AP506">
        <v>0</v>
      </c>
      <c r="AR506" t="s">
        <v>0</v>
      </c>
      <c r="AT506" s="2" t="s">
        <v>33</v>
      </c>
      <c r="AU506" s="1">
        <f t="shared" si="67"/>
        <v>3.267227371747893</v>
      </c>
      <c r="AV506" s="1">
        <f t="shared" si="68"/>
        <v>2.5054325197337608</v>
      </c>
      <c r="AW506" s="1">
        <f t="shared" si="69"/>
        <v>1.7436376677196275</v>
      </c>
    </row>
    <row r="507" spans="1:49" x14ac:dyDescent="0.2">
      <c r="A507">
        <v>505</v>
      </c>
      <c r="B507" t="s">
        <v>5697</v>
      </c>
      <c r="C507" t="s">
        <v>5696</v>
      </c>
      <c r="F507" t="s">
        <v>5695</v>
      </c>
      <c r="G507" t="s">
        <v>16</v>
      </c>
      <c r="H507" t="s">
        <v>15</v>
      </c>
      <c r="I507" t="s">
        <v>5694</v>
      </c>
      <c r="J507">
        <v>60021378</v>
      </c>
      <c r="K507" t="s">
        <v>2542</v>
      </c>
      <c r="L507" t="s">
        <v>2541</v>
      </c>
      <c r="M507" t="s">
        <v>57</v>
      </c>
      <c r="N507">
        <v>2</v>
      </c>
      <c r="O507" t="s">
        <v>5693</v>
      </c>
      <c r="P507" t="s">
        <v>5692</v>
      </c>
      <c r="Q507" t="s">
        <v>5691</v>
      </c>
      <c r="R507" s="7">
        <v>33239</v>
      </c>
      <c r="S507" s="8">
        <f t="shared" si="64"/>
        <v>1991</v>
      </c>
      <c r="T507" s="8">
        <v>1991</v>
      </c>
      <c r="U507" s="8">
        <f t="shared" si="65"/>
        <v>31</v>
      </c>
      <c r="V507" s="7">
        <v>33451</v>
      </c>
      <c r="W507" t="s">
        <v>2537</v>
      </c>
      <c r="X507" s="2">
        <v>1.365</v>
      </c>
      <c r="Y507" s="6">
        <f t="shared" si="62"/>
        <v>3.6437895411227675E-2</v>
      </c>
      <c r="AA507">
        <v>189545</v>
      </c>
      <c r="AB507">
        <v>17393</v>
      </c>
      <c r="AC507">
        <v>19399359</v>
      </c>
      <c r="AD507" t="s">
        <v>5</v>
      </c>
      <c r="AE507">
        <v>40</v>
      </c>
      <c r="AF507">
        <v>3</v>
      </c>
      <c r="AH507" t="s">
        <v>5690</v>
      </c>
      <c r="AI507" t="s">
        <v>5689</v>
      </c>
      <c r="AK507" t="s">
        <v>5688</v>
      </c>
      <c r="AL507">
        <v>94</v>
      </c>
      <c r="AM507" s="5">
        <f t="shared" si="66"/>
        <v>3.032258064516129</v>
      </c>
      <c r="AN507" s="4">
        <f t="shared" si="63"/>
        <v>4.5925907830611573E-3</v>
      </c>
      <c r="AO507" s="3"/>
      <c r="AP507">
        <v>0</v>
      </c>
      <c r="AR507" t="s">
        <v>0</v>
      </c>
      <c r="AT507" s="2" t="s">
        <v>33</v>
      </c>
      <c r="AU507" s="1">
        <f t="shared" si="67"/>
        <v>2.6884304022777714</v>
      </c>
      <c r="AV507" s="1">
        <f t="shared" si="68"/>
        <v>2.0515243097144418</v>
      </c>
      <c r="AW507" s="1">
        <f t="shared" si="69"/>
        <v>1.414618217151111</v>
      </c>
    </row>
    <row r="508" spans="1:49" x14ac:dyDescent="0.2">
      <c r="A508">
        <v>506</v>
      </c>
      <c r="B508" t="s">
        <v>5687</v>
      </c>
      <c r="C508" t="s">
        <v>5686</v>
      </c>
      <c r="D508" t="s">
        <v>5685</v>
      </c>
      <c r="F508" t="s">
        <v>5684</v>
      </c>
      <c r="G508" t="s">
        <v>16</v>
      </c>
      <c r="H508" t="s">
        <v>15</v>
      </c>
      <c r="I508" t="s">
        <v>5683</v>
      </c>
      <c r="J508" t="s">
        <v>5682</v>
      </c>
      <c r="K508" t="s">
        <v>5681</v>
      </c>
      <c r="L508" t="s">
        <v>3474</v>
      </c>
      <c r="M508" t="s">
        <v>1678</v>
      </c>
      <c r="N508">
        <v>2</v>
      </c>
      <c r="O508" t="s">
        <v>5680</v>
      </c>
      <c r="P508" t="s">
        <v>5679</v>
      </c>
      <c r="Q508" t="s">
        <v>5678</v>
      </c>
      <c r="R508" s="7">
        <v>33239</v>
      </c>
      <c r="S508" s="8">
        <f t="shared" si="64"/>
        <v>1991</v>
      </c>
      <c r="T508" s="8">
        <v>1991</v>
      </c>
      <c r="U508" s="8">
        <f t="shared" si="65"/>
        <v>31</v>
      </c>
      <c r="V508" s="7">
        <v>33451</v>
      </c>
      <c r="W508" t="s">
        <v>3813</v>
      </c>
      <c r="X508" s="2">
        <v>0.66900000000000004</v>
      </c>
      <c r="Y508" s="6">
        <f t="shared" si="62"/>
        <v>1.7858572915832469E-2</v>
      </c>
      <c r="AA508">
        <v>112275</v>
      </c>
      <c r="AB508">
        <v>13713</v>
      </c>
      <c r="AD508" t="s">
        <v>5</v>
      </c>
      <c r="AE508">
        <v>31</v>
      </c>
      <c r="AF508">
        <v>8</v>
      </c>
      <c r="AH508" t="s">
        <v>5677</v>
      </c>
      <c r="AI508" t="s">
        <v>5676</v>
      </c>
      <c r="AJ508" t="s">
        <v>5675</v>
      </c>
      <c r="AK508" t="s">
        <v>5674</v>
      </c>
      <c r="AL508">
        <v>5</v>
      </c>
      <c r="AM508" s="5">
        <f t="shared" si="66"/>
        <v>0.16129032258064516</v>
      </c>
      <c r="AN508" s="4">
        <f t="shared" si="63"/>
        <v>2.4428674377984877E-4</v>
      </c>
      <c r="AO508" s="3"/>
      <c r="AP508">
        <v>0</v>
      </c>
      <c r="AR508" t="s">
        <v>0</v>
      </c>
      <c r="AT508" s="2">
        <v>2.226</v>
      </c>
      <c r="AU508" s="1">
        <f t="shared" si="67"/>
        <v>1.2574287064216683</v>
      </c>
      <c r="AV508" s="1">
        <f t="shared" si="68"/>
        <v>0.90514298298061591</v>
      </c>
      <c r="AW508" s="1">
        <f t="shared" si="69"/>
        <v>0.55285725953956344</v>
      </c>
    </row>
    <row r="509" spans="1:49" x14ac:dyDescent="0.2">
      <c r="A509">
        <v>507</v>
      </c>
      <c r="B509" t="s">
        <v>5673</v>
      </c>
      <c r="C509" t="s">
        <v>5672</v>
      </c>
      <c r="F509" t="s">
        <v>5671</v>
      </c>
      <c r="G509" t="s">
        <v>16</v>
      </c>
      <c r="H509" t="s">
        <v>15</v>
      </c>
      <c r="I509" t="s">
        <v>5670</v>
      </c>
      <c r="J509">
        <v>60018279</v>
      </c>
      <c r="K509" t="s">
        <v>5646</v>
      </c>
      <c r="L509" t="s">
        <v>5645</v>
      </c>
      <c r="M509" t="s">
        <v>326</v>
      </c>
      <c r="N509">
        <v>3</v>
      </c>
      <c r="O509" t="s">
        <v>5669</v>
      </c>
      <c r="P509" t="s">
        <v>5668</v>
      </c>
      <c r="Q509" t="s">
        <v>5642</v>
      </c>
      <c r="R509" s="7">
        <v>33239</v>
      </c>
      <c r="S509" s="8">
        <f t="shared" si="64"/>
        <v>1991</v>
      </c>
      <c r="T509" s="8">
        <v>1991</v>
      </c>
      <c r="U509" s="8">
        <f t="shared" si="65"/>
        <v>31</v>
      </c>
      <c r="V509" s="7">
        <v>33420</v>
      </c>
      <c r="W509" t="s">
        <v>2569</v>
      </c>
      <c r="X509" s="2">
        <v>0.111</v>
      </c>
      <c r="Y509" s="6">
        <f t="shared" si="62"/>
        <v>2.9630816048690639E-3</v>
      </c>
      <c r="AA509">
        <v>87566621</v>
      </c>
      <c r="AB509">
        <v>24890</v>
      </c>
      <c r="AC509">
        <v>15206424</v>
      </c>
      <c r="AD509" t="s">
        <v>5</v>
      </c>
      <c r="AE509">
        <v>74</v>
      </c>
      <c r="AF509">
        <v>7</v>
      </c>
      <c r="AH509" t="s">
        <v>5667</v>
      </c>
      <c r="AI509" t="s">
        <v>5666</v>
      </c>
      <c r="AK509" t="s">
        <v>5665</v>
      </c>
      <c r="AL509">
        <v>1</v>
      </c>
      <c r="AM509" s="5">
        <f t="shared" si="66"/>
        <v>3.2258064516129031E-2</v>
      </c>
      <c r="AN509" s="4">
        <f t="shared" si="63"/>
        <v>4.8857348755969758E-5</v>
      </c>
      <c r="AO509" s="3"/>
      <c r="AP509">
        <v>0</v>
      </c>
      <c r="AR509" t="s">
        <v>0</v>
      </c>
      <c r="AT509" s="2" t="s">
        <v>33</v>
      </c>
      <c r="AU509" s="1">
        <f t="shared" si="67"/>
        <v>0.20888143280351351</v>
      </c>
      <c r="AV509" s="1">
        <f t="shared" si="68"/>
        <v>0.15059694768125167</v>
      </c>
      <c r="AW509" s="1">
        <f t="shared" si="69"/>
        <v>9.2312462558989797E-2</v>
      </c>
    </row>
    <row r="510" spans="1:49" x14ac:dyDescent="0.2">
      <c r="A510">
        <v>508</v>
      </c>
      <c r="B510" t="s">
        <v>5664</v>
      </c>
      <c r="C510" t="s">
        <v>5663</v>
      </c>
      <c r="F510" t="s">
        <v>5662</v>
      </c>
      <c r="G510" t="s">
        <v>16</v>
      </c>
      <c r="H510" t="s">
        <v>15</v>
      </c>
      <c r="I510" t="s">
        <v>5661</v>
      </c>
      <c r="J510" t="s">
        <v>5660</v>
      </c>
      <c r="K510" t="s">
        <v>5659</v>
      </c>
      <c r="L510" t="s">
        <v>5658</v>
      </c>
      <c r="M510" t="s">
        <v>5657</v>
      </c>
      <c r="N510">
        <v>2</v>
      </c>
      <c r="O510" t="s">
        <v>5656</v>
      </c>
      <c r="P510" t="s">
        <v>5655</v>
      </c>
      <c r="Q510" t="s">
        <v>5654</v>
      </c>
      <c r="R510" s="7">
        <v>33239</v>
      </c>
      <c r="S510" s="8">
        <f t="shared" si="64"/>
        <v>1991</v>
      </c>
      <c r="T510" s="8">
        <v>1991</v>
      </c>
      <c r="U510" s="8">
        <f t="shared" si="65"/>
        <v>31</v>
      </c>
      <c r="V510" s="7">
        <v>1991</v>
      </c>
      <c r="W510" t="s">
        <v>2802</v>
      </c>
      <c r="X510" s="2">
        <v>0.13900000000000001</v>
      </c>
      <c r="Y510" s="6">
        <f t="shared" si="62"/>
        <v>3.7105256133045036E-3</v>
      </c>
      <c r="AA510" t="s">
        <v>2801</v>
      </c>
      <c r="AB510">
        <v>24891</v>
      </c>
      <c r="AC510">
        <v>15206432</v>
      </c>
      <c r="AD510" t="s">
        <v>5</v>
      </c>
      <c r="AE510">
        <v>74</v>
      </c>
      <c r="AF510">
        <v>7</v>
      </c>
      <c r="AH510" t="s">
        <v>5653</v>
      </c>
      <c r="AI510" t="s">
        <v>5652</v>
      </c>
      <c r="AK510" t="s">
        <v>5651</v>
      </c>
      <c r="AL510">
        <v>2</v>
      </c>
      <c r="AM510" s="5">
        <f t="shared" si="66"/>
        <v>6.4516129032258063E-2</v>
      </c>
      <c r="AN510" s="4">
        <f t="shared" si="63"/>
        <v>9.7714697511939517E-5</v>
      </c>
      <c r="AO510" s="3"/>
      <c r="AP510">
        <v>0</v>
      </c>
      <c r="AR510" t="s">
        <v>0</v>
      </c>
      <c r="AT510" s="2" t="s">
        <v>33</v>
      </c>
      <c r="AU510" s="1">
        <f t="shared" si="67"/>
        <v>0.26266823385667343</v>
      </c>
      <c r="AV510" s="1">
        <f t="shared" si="68"/>
        <v>0.19041201554082215</v>
      </c>
      <c r="AW510" s="1">
        <f t="shared" si="69"/>
        <v>0.11815579722497087</v>
      </c>
    </row>
    <row r="511" spans="1:49" x14ac:dyDescent="0.2">
      <c r="A511">
        <v>509</v>
      </c>
      <c r="B511" t="s">
        <v>5650</v>
      </c>
      <c r="C511" t="s">
        <v>5649</v>
      </c>
      <c r="F511" t="s">
        <v>5648</v>
      </c>
      <c r="G511" t="s">
        <v>16</v>
      </c>
      <c r="H511" t="s">
        <v>15</v>
      </c>
      <c r="I511" t="s">
        <v>5647</v>
      </c>
      <c r="J511">
        <v>60018279</v>
      </c>
      <c r="K511" t="s">
        <v>5646</v>
      </c>
      <c r="L511" t="s">
        <v>5645</v>
      </c>
      <c r="M511" t="s">
        <v>326</v>
      </c>
      <c r="N511">
        <v>3</v>
      </c>
      <c r="O511" t="s">
        <v>5644</v>
      </c>
      <c r="P511" t="s">
        <v>5643</v>
      </c>
      <c r="Q511" t="s">
        <v>5642</v>
      </c>
      <c r="R511" s="7">
        <v>33239</v>
      </c>
      <c r="S511" s="8">
        <f t="shared" si="64"/>
        <v>1991</v>
      </c>
      <c r="T511" s="8">
        <v>1991</v>
      </c>
      <c r="U511" s="8">
        <f t="shared" si="65"/>
        <v>31</v>
      </c>
      <c r="V511" s="7">
        <v>33420</v>
      </c>
      <c r="W511" t="s">
        <v>2569</v>
      </c>
      <c r="X511" s="2">
        <v>0.111</v>
      </c>
      <c r="Y511" s="6">
        <f t="shared" si="62"/>
        <v>2.9630816048690639E-3</v>
      </c>
      <c r="AA511">
        <v>87566621</v>
      </c>
      <c r="AB511">
        <v>24890</v>
      </c>
      <c r="AC511">
        <v>15206424</v>
      </c>
      <c r="AD511" t="s">
        <v>5</v>
      </c>
      <c r="AE511">
        <v>74</v>
      </c>
      <c r="AF511">
        <v>7</v>
      </c>
      <c r="AH511" t="s">
        <v>5641</v>
      </c>
      <c r="AI511" t="s">
        <v>5640</v>
      </c>
      <c r="AK511" t="s">
        <v>5639</v>
      </c>
      <c r="AL511">
        <v>0</v>
      </c>
      <c r="AM511" s="5">
        <f t="shared" si="66"/>
        <v>0</v>
      </c>
      <c r="AN511" s="4">
        <f t="shared" si="63"/>
        <v>0</v>
      </c>
      <c r="AO511" s="3"/>
      <c r="AP511">
        <v>0</v>
      </c>
      <c r="AR511" t="s">
        <v>0</v>
      </c>
      <c r="AT511" s="2" t="s">
        <v>33</v>
      </c>
      <c r="AU511" s="1">
        <f t="shared" si="67"/>
        <v>0.20741571234083445</v>
      </c>
      <c r="AV511" s="1">
        <f t="shared" si="68"/>
        <v>0.1481540802434532</v>
      </c>
      <c r="AW511" s="1">
        <f t="shared" si="69"/>
        <v>8.8892448146071903E-2</v>
      </c>
    </row>
    <row r="512" spans="1:49" x14ac:dyDescent="0.2">
      <c r="A512">
        <v>510</v>
      </c>
      <c r="B512" t="s">
        <v>5638</v>
      </c>
      <c r="C512" t="s">
        <v>5637</v>
      </c>
      <c r="F512" t="s">
        <v>5636</v>
      </c>
      <c r="G512" t="s">
        <v>16</v>
      </c>
      <c r="H512" t="s">
        <v>15</v>
      </c>
      <c r="I512" t="s">
        <v>5635</v>
      </c>
      <c r="J512">
        <v>60025555</v>
      </c>
      <c r="K512" t="s">
        <v>2786</v>
      </c>
      <c r="L512" t="s">
        <v>327</v>
      </c>
      <c r="M512" t="s">
        <v>326</v>
      </c>
      <c r="N512">
        <v>3</v>
      </c>
      <c r="O512" t="s">
        <v>5634</v>
      </c>
      <c r="P512" t="s">
        <v>5633</v>
      </c>
      <c r="Q512" t="s">
        <v>5632</v>
      </c>
      <c r="R512" s="7">
        <v>33239</v>
      </c>
      <c r="S512" s="8">
        <f t="shared" si="64"/>
        <v>1991</v>
      </c>
      <c r="T512" s="8">
        <v>1991</v>
      </c>
      <c r="U512" s="8">
        <f t="shared" si="65"/>
        <v>31</v>
      </c>
      <c r="V512" s="7">
        <v>33420</v>
      </c>
      <c r="W512" t="s">
        <v>2569</v>
      </c>
      <c r="X512" s="2">
        <v>0.111</v>
      </c>
      <c r="Y512" s="6">
        <f t="shared" si="62"/>
        <v>2.9630816048690639E-3</v>
      </c>
      <c r="AA512">
        <v>87566621</v>
      </c>
      <c r="AB512">
        <v>24890</v>
      </c>
      <c r="AC512">
        <v>15206424</v>
      </c>
      <c r="AD512" t="s">
        <v>5</v>
      </c>
      <c r="AE512">
        <v>74</v>
      </c>
      <c r="AF512">
        <v>7</v>
      </c>
      <c r="AH512" t="s">
        <v>5631</v>
      </c>
      <c r="AI512" t="s">
        <v>5630</v>
      </c>
      <c r="AK512" t="s">
        <v>5629</v>
      </c>
      <c r="AL512">
        <v>0</v>
      </c>
      <c r="AM512" s="5">
        <f t="shared" si="66"/>
        <v>0</v>
      </c>
      <c r="AN512" s="4">
        <f t="shared" si="63"/>
        <v>0</v>
      </c>
      <c r="AO512" s="3"/>
      <c r="AP512">
        <v>0</v>
      </c>
      <c r="AR512" t="s">
        <v>0</v>
      </c>
      <c r="AT512" s="2" t="s">
        <v>33</v>
      </c>
      <c r="AU512" s="1">
        <f t="shared" si="67"/>
        <v>0.20741571234083445</v>
      </c>
      <c r="AV512" s="1">
        <f t="shared" si="68"/>
        <v>0.1481540802434532</v>
      </c>
      <c r="AW512" s="1">
        <f t="shared" si="69"/>
        <v>8.8892448146071903E-2</v>
      </c>
    </row>
    <row r="513" spans="1:49" x14ac:dyDescent="0.2">
      <c r="A513">
        <v>511</v>
      </c>
      <c r="B513" t="s">
        <v>5628</v>
      </c>
      <c r="C513" t="s">
        <v>5627</v>
      </c>
      <c r="F513" t="s">
        <v>5626</v>
      </c>
      <c r="G513" t="s">
        <v>16</v>
      </c>
      <c r="H513" t="s">
        <v>15</v>
      </c>
      <c r="I513" t="s">
        <v>5625</v>
      </c>
      <c r="J513">
        <v>60015331</v>
      </c>
      <c r="K513" t="s">
        <v>5624</v>
      </c>
      <c r="L513" t="s">
        <v>5623</v>
      </c>
      <c r="M513" t="s">
        <v>5622</v>
      </c>
      <c r="N513">
        <v>3</v>
      </c>
      <c r="O513" t="s">
        <v>5621</v>
      </c>
      <c r="P513" t="s">
        <v>5620</v>
      </c>
      <c r="Q513" t="s">
        <v>5619</v>
      </c>
      <c r="R513" s="7">
        <v>33239</v>
      </c>
      <c r="S513" s="8">
        <f t="shared" si="64"/>
        <v>1991</v>
      </c>
      <c r="T513" s="8">
        <v>1991</v>
      </c>
      <c r="U513" s="8">
        <f t="shared" si="65"/>
        <v>31</v>
      </c>
      <c r="V513" s="7">
        <v>33420</v>
      </c>
      <c r="W513" t="s">
        <v>1807</v>
      </c>
      <c r="X513" s="2">
        <v>1.6519999999999999</v>
      </c>
      <c r="Y513" s="6">
        <f t="shared" si="62"/>
        <v>4.409919649769093E-2</v>
      </c>
      <c r="AA513" t="s">
        <v>1806</v>
      </c>
      <c r="AB513">
        <v>17337</v>
      </c>
      <c r="AC513">
        <v>15582221</v>
      </c>
      <c r="AD513" t="s">
        <v>5</v>
      </c>
      <c r="AE513">
        <v>39</v>
      </c>
      <c r="AF513">
        <v>7</v>
      </c>
      <c r="AH513" t="s">
        <v>5618</v>
      </c>
      <c r="AI513" t="s">
        <v>5617</v>
      </c>
      <c r="AK513" t="s">
        <v>5616</v>
      </c>
      <c r="AL513">
        <v>16</v>
      </c>
      <c r="AM513" s="5">
        <f t="shared" si="66"/>
        <v>0.5161290322580645</v>
      </c>
      <c r="AN513" s="4">
        <f t="shared" si="63"/>
        <v>7.8171758009551613E-4</v>
      </c>
      <c r="AO513" s="3"/>
      <c r="AP513">
        <v>0</v>
      </c>
      <c r="AR513" t="s">
        <v>0</v>
      </c>
      <c r="AT513" s="2" t="s">
        <v>33</v>
      </c>
      <c r="AU513" s="1">
        <f t="shared" si="67"/>
        <v>3.1103952822412304</v>
      </c>
      <c r="AV513" s="1">
        <f t="shared" si="68"/>
        <v>2.2440457038893222</v>
      </c>
      <c r="AW513" s="1">
        <f t="shared" si="69"/>
        <v>1.3776961255374138</v>
      </c>
    </row>
    <row r="514" spans="1:49" x14ac:dyDescent="0.2">
      <c r="A514">
        <v>512</v>
      </c>
      <c r="B514" t="s">
        <v>5615</v>
      </c>
      <c r="C514" t="s">
        <v>5614</v>
      </c>
      <c r="F514" t="s">
        <v>5613</v>
      </c>
      <c r="G514" t="s">
        <v>16</v>
      </c>
      <c r="H514" t="s">
        <v>15</v>
      </c>
      <c r="I514" t="s">
        <v>5612</v>
      </c>
      <c r="J514">
        <v>60000221</v>
      </c>
      <c r="K514" t="s">
        <v>244</v>
      </c>
      <c r="L514" t="s">
        <v>243</v>
      </c>
      <c r="M514" t="s">
        <v>57</v>
      </c>
      <c r="N514">
        <v>1</v>
      </c>
      <c r="O514" t="s">
        <v>5611</v>
      </c>
      <c r="P514">
        <v>7403291091</v>
      </c>
      <c r="Q514">
        <v>60000221</v>
      </c>
      <c r="R514" s="7">
        <v>33239</v>
      </c>
      <c r="S514" s="8">
        <f t="shared" si="64"/>
        <v>1991</v>
      </c>
      <c r="T514" s="8">
        <v>1991</v>
      </c>
      <c r="U514" s="8">
        <f t="shared" si="65"/>
        <v>31</v>
      </c>
      <c r="V514" s="7">
        <v>33420</v>
      </c>
      <c r="W514" t="s">
        <v>731</v>
      </c>
      <c r="X514" s="2">
        <v>1.3720000000000001</v>
      </c>
      <c r="Y514" s="6">
        <f t="shared" ref="Y514:Y577" si="70">(X514-$Z$4)/($Z$3-$Z$4)</f>
        <v>3.662475641333654E-2</v>
      </c>
      <c r="AA514">
        <v>189480</v>
      </c>
      <c r="AB514">
        <v>17366</v>
      </c>
      <c r="AC514">
        <v>15579670</v>
      </c>
      <c r="AD514" t="s">
        <v>5</v>
      </c>
      <c r="AE514">
        <v>39</v>
      </c>
      <c r="AF514">
        <v>7</v>
      </c>
      <c r="AH514" t="s">
        <v>5610</v>
      </c>
      <c r="AI514" t="s">
        <v>5609</v>
      </c>
      <c r="AK514" t="s">
        <v>5608</v>
      </c>
      <c r="AL514">
        <v>6</v>
      </c>
      <c r="AM514" s="5">
        <f t="shared" si="66"/>
        <v>0.19354838709677419</v>
      </c>
      <c r="AN514" s="4">
        <f t="shared" ref="AN514:AN577" si="71">(AM514-$AO$4)/($AO$3-$AO$4)</f>
        <v>2.9314409253581854E-4</v>
      </c>
      <c r="AO514" s="3"/>
      <c r="AP514">
        <v>0</v>
      </c>
      <c r="AR514" t="s">
        <v>0</v>
      </c>
      <c r="AT514" s="2" t="s">
        <v>33</v>
      </c>
      <c r="AU514" s="1">
        <f t="shared" si="67"/>
        <v>2.5725272717096321</v>
      </c>
      <c r="AV514" s="1">
        <f t="shared" si="68"/>
        <v>1.8458950252936182</v>
      </c>
      <c r="AW514" s="1">
        <f t="shared" si="69"/>
        <v>1.1192627788776035</v>
      </c>
    </row>
    <row r="515" spans="1:49" x14ac:dyDescent="0.2">
      <c r="A515">
        <v>513</v>
      </c>
      <c r="B515" t="s">
        <v>5607</v>
      </c>
      <c r="C515" t="s">
        <v>5606</v>
      </c>
      <c r="F515" t="s">
        <v>5605</v>
      </c>
      <c r="G515" t="s">
        <v>16</v>
      </c>
      <c r="H515" t="s">
        <v>15</v>
      </c>
      <c r="I515" t="s">
        <v>5604</v>
      </c>
      <c r="J515">
        <v>60017293</v>
      </c>
      <c r="K515" t="s">
        <v>5603</v>
      </c>
      <c r="L515" t="s">
        <v>5602</v>
      </c>
      <c r="M515" t="s">
        <v>341</v>
      </c>
      <c r="N515">
        <v>3</v>
      </c>
      <c r="O515" t="s">
        <v>5601</v>
      </c>
      <c r="P515" t="s">
        <v>5600</v>
      </c>
      <c r="Q515" t="s">
        <v>5599</v>
      </c>
      <c r="R515" s="7">
        <v>33239</v>
      </c>
      <c r="S515" s="8">
        <f t="shared" si="64"/>
        <v>1991</v>
      </c>
      <c r="T515" s="8">
        <v>1991</v>
      </c>
      <c r="U515" s="8">
        <f t="shared" si="65"/>
        <v>31</v>
      </c>
      <c r="V515" s="7">
        <v>33420</v>
      </c>
      <c r="W515" t="s">
        <v>1807</v>
      </c>
      <c r="X515" s="2">
        <v>1.6519999999999999</v>
      </c>
      <c r="Y515" s="6">
        <f t="shared" si="70"/>
        <v>4.409919649769093E-2</v>
      </c>
      <c r="AA515" t="s">
        <v>1806</v>
      </c>
      <c r="AB515">
        <v>17337</v>
      </c>
      <c r="AC515">
        <v>15582221</v>
      </c>
      <c r="AD515" t="s">
        <v>5</v>
      </c>
      <c r="AE515">
        <v>39</v>
      </c>
      <c r="AF515">
        <v>7</v>
      </c>
      <c r="AH515" t="s">
        <v>5598</v>
      </c>
      <c r="AI515" t="s">
        <v>5597</v>
      </c>
      <c r="AK515" t="s">
        <v>5596</v>
      </c>
      <c r="AL515">
        <v>151</v>
      </c>
      <c r="AM515" s="5">
        <f t="shared" si="66"/>
        <v>4.870967741935484</v>
      </c>
      <c r="AN515" s="4">
        <f t="shared" si="71"/>
        <v>7.3774596621514338E-3</v>
      </c>
      <c r="AO515" s="3"/>
      <c r="AP515">
        <v>0</v>
      </c>
      <c r="AR515" t="s">
        <v>0</v>
      </c>
      <c r="AT515" s="2" t="s">
        <v>33</v>
      </c>
      <c r="AU515" s="1">
        <f t="shared" si="67"/>
        <v>3.308267544702908</v>
      </c>
      <c r="AV515" s="1">
        <f t="shared" si="68"/>
        <v>2.573832807992118</v>
      </c>
      <c r="AW515" s="1">
        <f t="shared" si="69"/>
        <v>1.839398071281328</v>
      </c>
    </row>
    <row r="516" spans="1:49" x14ac:dyDescent="0.2">
      <c r="A516">
        <v>514</v>
      </c>
      <c r="B516" t="s">
        <v>5595</v>
      </c>
      <c r="C516" t="s">
        <v>5594</v>
      </c>
      <c r="F516" t="s">
        <v>5593</v>
      </c>
      <c r="G516" t="s">
        <v>16</v>
      </c>
      <c r="H516" t="s">
        <v>15</v>
      </c>
      <c r="I516" t="s">
        <v>5592</v>
      </c>
      <c r="J516">
        <v>60012564</v>
      </c>
      <c r="K516" t="s">
        <v>5591</v>
      </c>
      <c r="L516" t="s">
        <v>5590</v>
      </c>
      <c r="M516" t="s">
        <v>57</v>
      </c>
      <c r="N516">
        <v>3</v>
      </c>
      <c r="O516" t="s">
        <v>5589</v>
      </c>
      <c r="P516" t="s">
        <v>5588</v>
      </c>
      <c r="Q516" t="s">
        <v>5587</v>
      </c>
      <c r="R516" s="7">
        <v>33239</v>
      </c>
      <c r="S516" s="8">
        <f t="shared" si="64"/>
        <v>1991</v>
      </c>
      <c r="T516" s="8">
        <v>1991</v>
      </c>
      <c r="U516" s="8">
        <f t="shared" si="65"/>
        <v>31</v>
      </c>
      <c r="V516" s="7">
        <v>33420</v>
      </c>
      <c r="W516" t="s">
        <v>1807</v>
      </c>
      <c r="X516" s="2">
        <v>1.6519999999999999</v>
      </c>
      <c r="Y516" s="6">
        <f t="shared" si="70"/>
        <v>4.409919649769093E-2</v>
      </c>
      <c r="AA516" t="s">
        <v>1806</v>
      </c>
      <c r="AB516">
        <v>17337</v>
      </c>
      <c r="AC516">
        <v>15582221</v>
      </c>
      <c r="AD516" t="s">
        <v>5</v>
      </c>
      <c r="AE516">
        <v>39</v>
      </c>
      <c r="AF516">
        <v>7</v>
      </c>
      <c r="AH516" t="s">
        <v>5586</v>
      </c>
      <c r="AI516" t="s">
        <v>5585</v>
      </c>
      <c r="AK516" t="s">
        <v>5584</v>
      </c>
      <c r="AL516">
        <v>12</v>
      </c>
      <c r="AM516" s="5">
        <f t="shared" si="66"/>
        <v>0.38709677419354838</v>
      </c>
      <c r="AN516" s="4">
        <f t="shared" si="71"/>
        <v>5.8628818507163707E-4</v>
      </c>
      <c r="AO516" s="3"/>
      <c r="AP516">
        <v>0</v>
      </c>
      <c r="AR516" t="s">
        <v>0</v>
      </c>
      <c r="AT516" s="2" t="s">
        <v>33</v>
      </c>
      <c r="AU516" s="1">
        <f t="shared" si="67"/>
        <v>3.1045324003905144</v>
      </c>
      <c r="AV516" s="1">
        <f t="shared" si="68"/>
        <v>2.2342742341381285</v>
      </c>
      <c r="AW516" s="1">
        <f t="shared" si="69"/>
        <v>1.3640160678857423</v>
      </c>
    </row>
    <row r="517" spans="1:49" x14ac:dyDescent="0.2">
      <c r="A517">
        <v>515</v>
      </c>
      <c r="B517" t="s">
        <v>5583</v>
      </c>
      <c r="C517" t="s">
        <v>5582</v>
      </c>
      <c r="F517" t="s">
        <v>5581</v>
      </c>
      <c r="G517" t="s">
        <v>16</v>
      </c>
      <c r="H517" t="s">
        <v>15</v>
      </c>
      <c r="I517" t="s">
        <v>5580</v>
      </c>
      <c r="J517">
        <v>60014662</v>
      </c>
      <c r="K517" t="s">
        <v>5579</v>
      </c>
      <c r="L517" t="s">
        <v>666</v>
      </c>
      <c r="M517" t="s">
        <v>57</v>
      </c>
      <c r="N517">
        <v>3</v>
      </c>
      <c r="O517" t="s">
        <v>5578</v>
      </c>
      <c r="P517" t="s">
        <v>5577</v>
      </c>
      <c r="Q517" t="s">
        <v>5576</v>
      </c>
      <c r="R517" s="7">
        <v>33239</v>
      </c>
      <c r="S517" s="8">
        <f t="shared" si="64"/>
        <v>1991</v>
      </c>
      <c r="T517" s="8">
        <v>1991</v>
      </c>
      <c r="U517" s="8">
        <f t="shared" si="65"/>
        <v>31</v>
      </c>
      <c r="V517" s="7">
        <v>33420</v>
      </c>
      <c r="W517" t="s">
        <v>731</v>
      </c>
      <c r="X517" s="2">
        <v>1.3720000000000001</v>
      </c>
      <c r="Y517" s="6">
        <f t="shared" si="70"/>
        <v>3.662475641333654E-2</v>
      </c>
      <c r="AA517">
        <v>189480</v>
      </c>
      <c r="AB517">
        <v>17366</v>
      </c>
      <c r="AC517">
        <v>15579670</v>
      </c>
      <c r="AD517" t="s">
        <v>5</v>
      </c>
      <c r="AE517">
        <v>39</v>
      </c>
      <c r="AF517">
        <v>7</v>
      </c>
      <c r="AH517" t="s">
        <v>5575</v>
      </c>
      <c r="AI517" t="s">
        <v>5574</v>
      </c>
      <c r="AK517" t="s">
        <v>5573</v>
      </c>
      <c r="AL517">
        <v>1</v>
      </c>
      <c r="AM517" s="5">
        <f t="shared" si="66"/>
        <v>3.2258064516129031E-2</v>
      </c>
      <c r="AN517" s="4">
        <f t="shared" si="71"/>
        <v>4.8857348755969758E-5</v>
      </c>
      <c r="AO517" s="3"/>
      <c r="AP517">
        <v>0</v>
      </c>
      <c r="AQ517" t="s">
        <v>508</v>
      </c>
      <c r="AR517" t="s">
        <v>0</v>
      </c>
      <c r="AS517" t="s">
        <v>507</v>
      </c>
      <c r="AT517" s="2" t="s">
        <v>33</v>
      </c>
      <c r="AU517" s="1">
        <f t="shared" si="67"/>
        <v>2.5651986693962368</v>
      </c>
      <c r="AV517" s="1">
        <f t="shared" si="68"/>
        <v>1.8336806881046255</v>
      </c>
      <c r="AW517" s="1">
        <f t="shared" si="69"/>
        <v>1.1021627068130142</v>
      </c>
    </row>
    <row r="518" spans="1:49" x14ac:dyDescent="0.2">
      <c r="A518">
        <v>516</v>
      </c>
      <c r="B518" t="s">
        <v>5572</v>
      </c>
      <c r="C518" t="s">
        <v>5571</v>
      </c>
      <c r="F518" t="s">
        <v>5570</v>
      </c>
      <c r="G518" t="s">
        <v>16</v>
      </c>
      <c r="H518" t="s">
        <v>15</v>
      </c>
      <c r="I518" t="s">
        <v>5569</v>
      </c>
      <c r="J518">
        <v>60033154</v>
      </c>
      <c r="K518" t="s">
        <v>5568</v>
      </c>
      <c r="L518" t="s">
        <v>5477</v>
      </c>
      <c r="M518" t="s">
        <v>1543</v>
      </c>
      <c r="N518">
        <v>1</v>
      </c>
      <c r="O518" t="s">
        <v>5567</v>
      </c>
      <c r="P518">
        <v>6603886195</v>
      </c>
      <c r="Q518">
        <v>60033154</v>
      </c>
      <c r="R518" s="7">
        <v>33239</v>
      </c>
      <c r="S518" s="8">
        <f t="shared" si="64"/>
        <v>1991</v>
      </c>
      <c r="T518" s="8">
        <v>1991</v>
      </c>
      <c r="U518" s="8">
        <f t="shared" si="65"/>
        <v>31</v>
      </c>
      <c r="V518" s="7">
        <v>33420</v>
      </c>
      <c r="W518" t="s">
        <v>1807</v>
      </c>
      <c r="X518" s="2">
        <v>1.6519999999999999</v>
      </c>
      <c r="Y518" s="6">
        <f t="shared" si="70"/>
        <v>4.409919649769093E-2</v>
      </c>
      <c r="AA518" t="s">
        <v>1806</v>
      </c>
      <c r="AB518">
        <v>17337</v>
      </c>
      <c r="AC518">
        <v>15582221</v>
      </c>
      <c r="AD518" t="s">
        <v>5</v>
      </c>
      <c r="AE518">
        <v>39</v>
      </c>
      <c r="AF518">
        <v>7</v>
      </c>
      <c r="AH518" t="s">
        <v>5566</v>
      </c>
      <c r="AI518" t="s">
        <v>5565</v>
      </c>
      <c r="AK518" t="s">
        <v>5564</v>
      </c>
      <c r="AL518">
        <v>40</v>
      </c>
      <c r="AM518" s="5">
        <f t="shared" si="66"/>
        <v>1.2903225806451613</v>
      </c>
      <c r="AN518" s="4">
        <f t="shared" si="71"/>
        <v>1.9542939502387902E-3</v>
      </c>
      <c r="AO518" s="3"/>
      <c r="AP518">
        <v>0</v>
      </c>
      <c r="AR518" t="s">
        <v>0</v>
      </c>
      <c r="AT518" s="2" t="s">
        <v>33</v>
      </c>
      <c r="AU518" s="1">
        <f t="shared" si="67"/>
        <v>3.1455725733455289</v>
      </c>
      <c r="AV518" s="1">
        <f t="shared" si="68"/>
        <v>2.3026745223964862</v>
      </c>
      <c r="AW518" s="1">
        <f t="shared" si="69"/>
        <v>1.459776471447443</v>
      </c>
    </row>
    <row r="519" spans="1:49" x14ac:dyDescent="0.2">
      <c r="A519">
        <v>517</v>
      </c>
      <c r="B519" t="s">
        <v>5563</v>
      </c>
      <c r="C519" t="s">
        <v>5562</v>
      </c>
      <c r="F519" t="s">
        <v>5561</v>
      </c>
      <c r="G519" t="s">
        <v>16</v>
      </c>
      <c r="H519" t="s">
        <v>15</v>
      </c>
      <c r="I519" t="s">
        <v>5560</v>
      </c>
      <c r="J519">
        <v>60032350</v>
      </c>
      <c r="K519" t="s">
        <v>5559</v>
      </c>
      <c r="L519" t="s">
        <v>1286</v>
      </c>
      <c r="M519" t="s">
        <v>341</v>
      </c>
      <c r="N519">
        <v>1</v>
      </c>
      <c r="O519" t="s">
        <v>5558</v>
      </c>
      <c r="P519">
        <v>7004398705</v>
      </c>
      <c r="Q519">
        <v>60032350</v>
      </c>
      <c r="R519" s="7">
        <v>33239</v>
      </c>
      <c r="S519" s="8">
        <f t="shared" si="64"/>
        <v>1991</v>
      </c>
      <c r="T519" s="8">
        <v>1991</v>
      </c>
      <c r="U519" s="8">
        <f t="shared" si="65"/>
        <v>31</v>
      </c>
      <c r="V519" s="7">
        <v>33420</v>
      </c>
      <c r="W519" t="s">
        <v>1807</v>
      </c>
      <c r="X519" s="2">
        <v>1.6519999999999999</v>
      </c>
      <c r="Y519" s="6">
        <f t="shared" si="70"/>
        <v>4.409919649769093E-2</v>
      </c>
      <c r="AA519" t="s">
        <v>1806</v>
      </c>
      <c r="AB519">
        <v>17337</v>
      </c>
      <c r="AC519">
        <v>15582221</v>
      </c>
      <c r="AD519" t="s">
        <v>5</v>
      </c>
      <c r="AE519">
        <v>39</v>
      </c>
      <c r="AF519">
        <v>7</v>
      </c>
      <c r="AH519" t="s">
        <v>5557</v>
      </c>
      <c r="AI519" t="s">
        <v>5556</v>
      </c>
      <c r="AK519" t="s">
        <v>5555</v>
      </c>
      <c r="AL519">
        <v>24</v>
      </c>
      <c r="AM519" s="5">
        <f t="shared" si="66"/>
        <v>0.77419354838709675</v>
      </c>
      <c r="AN519" s="4">
        <f t="shared" si="71"/>
        <v>1.1725763701432741E-3</v>
      </c>
      <c r="AO519" s="3"/>
      <c r="AP519">
        <v>0</v>
      </c>
      <c r="AR519" t="s">
        <v>0</v>
      </c>
      <c r="AT519" s="2" t="s">
        <v>33</v>
      </c>
      <c r="AU519" s="1">
        <f t="shared" si="67"/>
        <v>3.1221210459426629</v>
      </c>
      <c r="AV519" s="1">
        <f t="shared" si="68"/>
        <v>2.2635886433917101</v>
      </c>
      <c r="AW519" s="1">
        <f t="shared" si="69"/>
        <v>1.405056240840757</v>
      </c>
    </row>
    <row r="520" spans="1:49" x14ac:dyDescent="0.2">
      <c r="A520">
        <v>518</v>
      </c>
      <c r="B520" t="s">
        <v>5554</v>
      </c>
      <c r="C520" t="s">
        <v>5553</v>
      </c>
      <c r="F520" t="s">
        <v>5552</v>
      </c>
      <c r="G520" t="s">
        <v>16</v>
      </c>
      <c r="H520" t="s">
        <v>15</v>
      </c>
      <c r="I520" t="s">
        <v>3662</v>
      </c>
      <c r="J520">
        <v>60015186</v>
      </c>
      <c r="K520" t="s">
        <v>3584</v>
      </c>
      <c r="L520" t="s">
        <v>3583</v>
      </c>
      <c r="M520" t="s">
        <v>1543</v>
      </c>
      <c r="N520">
        <v>1</v>
      </c>
      <c r="O520" t="s">
        <v>3582</v>
      </c>
      <c r="P520">
        <v>7402673635</v>
      </c>
      <c r="Q520">
        <v>60015186</v>
      </c>
      <c r="R520" s="7">
        <v>33239</v>
      </c>
      <c r="S520" s="8">
        <f t="shared" si="64"/>
        <v>1991</v>
      </c>
      <c r="T520" s="8">
        <v>1991</v>
      </c>
      <c r="U520" s="8">
        <f t="shared" si="65"/>
        <v>31</v>
      </c>
      <c r="V520" s="7">
        <v>33420</v>
      </c>
      <c r="W520" t="s">
        <v>1807</v>
      </c>
      <c r="X520" s="2">
        <v>1.6519999999999999</v>
      </c>
      <c r="Y520" s="6">
        <f t="shared" si="70"/>
        <v>4.409919649769093E-2</v>
      </c>
      <c r="AA520" t="s">
        <v>1806</v>
      </c>
      <c r="AB520">
        <v>17337</v>
      </c>
      <c r="AC520">
        <v>15582221</v>
      </c>
      <c r="AD520" t="s">
        <v>5</v>
      </c>
      <c r="AE520">
        <v>39</v>
      </c>
      <c r="AF520">
        <v>7</v>
      </c>
      <c r="AH520" t="s">
        <v>5551</v>
      </c>
      <c r="AI520" t="s">
        <v>5550</v>
      </c>
      <c r="AK520" t="s">
        <v>5549</v>
      </c>
      <c r="AL520">
        <v>23</v>
      </c>
      <c r="AM520" s="5">
        <f t="shared" si="66"/>
        <v>0.74193548387096775</v>
      </c>
      <c r="AN520" s="4">
        <f t="shared" si="71"/>
        <v>1.1237190213873045E-3</v>
      </c>
      <c r="AO520" s="3"/>
      <c r="AP520">
        <v>0</v>
      </c>
      <c r="AR520" t="s">
        <v>0</v>
      </c>
      <c r="AT520" s="2" t="s">
        <v>33</v>
      </c>
      <c r="AU520" s="1">
        <f t="shared" si="67"/>
        <v>3.120655325479984</v>
      </c>
      <c r="AV520" s="1">
        <f t="shared" si="68"/>
        <v>2.2611457759539118</v>
      </c>
      <c r="AW520" s="1">
        <f t="shared" si="69"/>
        <v>1.4016362264278392</v>
      </c>
    </row>
    <row r="521" spans="1:49" x14ac:dyDescent="0.2">
      <c r="A521">
        <v>519</v>
      </c>
      <c r="B521" t="s">
        <v>5548</v>
      </c>
      <c r="C521" t="s">
        <v>5547</v>
      </c>
      <c r="F521" t="s">
        <v>5546</v>
      </c>
      <c r="G521" t="s">
        <v>16</v>
      </c>
      <c r="H521" t="s">
        <v>15</v>
      </c>
      <c r="I521" t="s">
        <v>5545</v>
      </c>
      <c r="J521" t="s">
        <v>5544</v>
      </c>
      <c r="K521" t="s">
        <v>5543</v>
      </c>
      <c r="L521" t="s">
        <v>5542</v>
      </c>
      <c r="M521" t="s">
        <v>364</v>
      </c>
      <c r="N521">
        <v>4</v>
      </c>
      <c r="O521" t="s">
        <v>5541</v>
      </c>
      <c r="P521" t="s">
        <v>5540</v>
      </c>
      <c r="Q521" t="s">
        <v>5539</v>
      </c>
      <c r="R521" s="7">
        <v>33239</v>
      </c>
      <c r="S521" s="8">
        <f t="shared" si="64"/>
        <v>1991</v>
      </c>
      <c r="T521" s="8">
        <v>1991</v>
      </c>
      <c r="U521" s="8">
        <f t="shared" si="65"/>
        <v>31</v>
      </c>
      <c r="V521" s="7">
        <v>33420</v>
      </c>
      <c r="W521" t="s">
        <v>1807</v>
      </c>
      <c r="X521" s="2">
        <v>1.6519999999999999</v>
      </c>
      <c r="Y521" s="6">
        <f t="shared" si="70"/>
        <v>4.409919649769093E-2</v>
      </c>
      <c r="AA521" t="s">
        <v>1806</v>
      </c>
      <c r="AB521">
        <v>17337</v>
      </c>
      <c r="AC521">
        <v>15582221</v>
      </c>
      <c r="AD521" t="s">
        <v>5</v>
      </c>
      <c r="AE521">
        <v>39</v>
      </c>
      <c r="AF521">
        <v>7</v>
      </c>
      <c r="AH521" t="s">
        <v>5538</v>
      </c>
      <c r="AI521" t="s">
        <v>5537</v>
      </c>
      <c r="AK521" t="s">
        <v>5536</v>
      </c>
      <c r="AL521">
        <v>15</v>
      </c>
      <c r="AM521" s="5">
        <f t="shared" si="66"/>
        <v>0.4838709677419355</v>
      </c>
      <c r="AN521" s="4">
        <f t="shared" si="71"/>
        <v>7.3286023133954637E-4</v>
      </c>
      <c r="AO521" s="3"/>
      <c r="AP521">
        <v>0</v>
      </c>
      <c r="AR521" t="s">
        <v>0</v>
      </c>
      <c r="AT521" s="2" t="s">
        <v>33</v>
      </c>
      <c r="AU521" s="1">
        <f t="shared" si="67"/>
        <v>3.1089295617785515</v>
      </c>
      <c r="AV521" s="1">
        <f t="shared" si="68"/>
        <v>2.2416028364515239</v>
      </c>
      <c r="AW521" s="1">
        <f t="shared" si="69"/>
        <v>1.3742761111244961</v>
      </c>
    </row>
    <row r="522" spans="1:49" x14ac:dyDescent="0.2">
      <c r="A522">
        <v>520</v>
      </c>
      <c r="B522" t="s">
        <v>5535</v>
      </c>
      <c r="C522" t="s">
        <v>5534</v>
      </c>
      <c r="F522" t="s">
        <v>5533</v>
      </c>
      <c r="G522" t="s">
        <v>16</v>
      </c>
      <c r="H522" t="s">
        <v>15</v>
      </c>
      <c r="I522" t="s">
        <v>5532</v>
      </c>
      <c r="J522">
        <v>60025757</v>
      </c>
      <c r="K522" t="s">
        <v>5531</v>
      </c>
      <c r="L522" t="s">
        <v>4144</v>
      </c>
      <c r="M522" t="s">
        <v>1207</v>
      </c>
      <c r="N522">
        <v>2</v>
      </c>
      <c r="O522" t="s">
        <v>5530</v>
      </c>
      <c r="P522" t="s">
        <v>5529</v>
      </c>
      <c r="Q522" t="s">
        <v>5528</v>
      </c>
      <c r="R522" s="7">
        <v>33239</v>
      </c>
      <c r="S522" s="8">
        <f t="shared" si="64"/>
        <v>1991</v>
      </c>
      <c r="T522" s="8">
        <v>1991</v>
      </c>
      <c r="U522" s="8">
        <f t="shared" si="65"/>
        <v>31</v>
      </c>
      <c r="V522" s="7">
        <v>33420</v>
      </c>
      <c r="W522" t="s">
        <v>1807</v>
      </c>
      <c r="X522" s="2">
        <v>1.6519999999999999</v>
      </c>
      <c r="Y522" s="6">
        <f t="shared" si="70"/>
        <v>4.409919649769093E-2</v>
      </c>
      <c r="AA522" t="s">
        <v>1806</v>
      </c>
      <c r="AB522">
        <v>17337</v>
      </c>
      <c r="AC522">
        <v>15582221</v>
      </c>
      <c r="AD522" t="s">
        <v>5</v>
      </c>
      <c r="AE522">
        <v>39</v>
      </c>
      <c r="AF522">
        <v>7</v>
      </c>
      <c r="AH522" t="s">
        <v>5527</v>
      </c>
      <c r="AI522" t="s">
        <v>5526</v>
      </c>
      <c r="AK522" t="s">
        <v>5525</v>
      </c>
      <c r="AL522">
        <v>4</v>
      </c>
      <c r="AM522" s="5">
        <f t="shared" si="66"/>
        <v>0.12903225806451613</v>
      </c>
      <c r="AN522" s="4">
        <f t="shared" si="71"/>
        <v>1.9542939502387903E-4</v>
      </c>
      <c r="AO522" s="3"/>
      <c r="AP522">
        <v>0</v>
      </c>
      <c r="AR522" t="s">
        <v>0</v>
      </c>
      <c r="AT522" s="2" t="s">
        <v>33</v>
      </c>
      <c r="AU522" s="1">
        <f t="shared" si="67"/>
        <v>3.0928066366890814</v>
      </c>
      <c r="AV522" s="1">
        <f t="shared" si="68"/>
        <v>2.2147312946357403</v>
      </c>
      <c r="AW522" s="1">
        <f t="shared" si="69"/>
        <v>1.3366559525823993</v>
      </c>
    </row>
    <row r="523" spans="1:49" x14ac:dyDescent="0.2">
      <c r="A523">
        <v>521</v>
      </c>
      <c r="B523" t="s">
        <v>5524</v>
      </c>
      <c r="C523" t="s">
        <v>5523</v>
      </c>
      <c r="F523" t="s">
        <v>5522</v>
      </c>
      <c r="G523" t="s">
        <v>16</v>
      </c>
      <c r="H523" t="s">
        <v>15</v>
      </c>
      <c r="I523" t="s">
        <v>5521</v>
      </c>
      <c r="J523">
        <v>60020975</v>
      </c>
      <c r="K523" t="s">
        <v>4258</v>
      </c>
      <c r="L523" t="s">
        <v>4257</v>
      </c>
      <c r="M523" t="s">
        <v>57</v>
      </c>
      <c r="N523">
        <v>1</v>
      </c>
      <c r="O523" t="s">
        <v>5520</v>
      </c>
      <c r="P523">
        <v>56219429900</v>
      </c>
      <c r="Q523">
        <v>60020975</v>
      </c>
      <c r="R523" s="7">
        <v>33239</v>
      </c>
      <c r="S523" s="8">
        <f t="shared" si="64"/>
        <v>1991</v>
      </c>
      <c r="T523" s="8">
        <v>1991</v>
      </c>
      <c r="U523" s="8">
        <f t="shared" si="65"/>
        <v>31</v>
      </c>
      <c r="V523" s="7">
        <v>33420</v>
      </c>
      <c r="W523" t="s">
        <v>731</v>
      </c>
      <c r="X523" s="2">
        <v>1.3720000000000001</v>
      </c>
      <c r="Y523" s="6">
        <f t="shared" si="70"/>
        <v>3.662475641333654E-2</v>
      </c>
      <c r="AA523">
        <v>189480</v>
      </c>
      <c r="AB523">
        <v>17366</v>
      </c>
      <c r="AC523">
        <v>15579670</v>
      </c>
      <c r="AD523" t="s">
        <v>5</v>
      </c>
      <c r="AE523">
        <v>39</v>
      </c>
      <c r="AF523">
        <v>7</v>
      </c>
      <c r="AH523" t="s">
        <v>5519</v>
      </c>
      <c r="AI523" t="s">
        <v>5518</v>
      </c>
      <c r="AK523" t="s">
        <v>5517</v>
      </c>
      <c r="AL523">
        <v>21</v>
      </c>
      <c r="AM523" s="5">
        <f t="shared" si="66"/>
        <v>0.67741935483870963</v>
      </c>
      <c r="AN523" s="4">
        <f t="shared" si="71"/>
        <v>1.0260043238753647E-3</v>
      </c>
      <c r="AO523" s="3"/>
      <c r="AP523">
        <v>0</v>
      </c>
      <c r="AQ523" t="s">
        <v>5516</v>
      </c>
      <c r="AR523" t="s">
        <v>0</v>
      </c>
      <c r="AS523" t="s">
        <v>1338</v>
      </c>
      <c r="AT523" s="2" t="s">
        <v>33</v>
      </c>
      <c r="AU523" s="1">
        <f t="shared" si="67"/>
        <v>2.5945130786498187</v>
      </c>
      <c r="AV523" s="1">
        <f t="shared" si="68"/>
        <v>1.8825380368605953</v>
      </c>
      <c r="AW523" s="1">
        <f t="shared" si="69"/>
        <v>1.1705629950713718</v>
      </c>
    </row>
    <row r="524" spans="1:49" x14ac:dyDescent="0.2">
      <c r="A524">
        <v>522</v>
      </c>
      <c r="B524" t="s">
        <v>5515</v>
      </c>
      <c r="C524" t="s">
        <v>5514</v>
      </c>
      <c r="F524" t="s">
        <v>5513</v>
      </c>
      <c r="G524" t="s">
        <v>16</v>
      </c>
      <c r="H524" t="s">
        <v>15</v>
      </c>
      <c r="I524" t="s">
        <v>5512</v>
      </c>
      <c r="J524">
        <v>60004205</v>
      </c>
      <c r="K524" t="s">
        <v>5511</v>
      </c>
      <c r="L524" t="s">
        <v>5510</v>
      </c>
      <c r="M524" t="s">
        <v>5509</v>
      </c>
      <c r="N524">
        <v>1</v>
      </c>
      <c r="O524" t="s">
        <v>5508</v>
      </c>
      <c r="P524">
        <v>6603660885</v>
      </c>
      <c r="Q524">
        <v>60004205</v>
      </c>
      <c r="R524" s="7">
        <v>33239</v>
      </c>
      <c r="S524" s="8">
        <f t="shared" si="64"/>
        <v>1991</v>
      </c>
      <c r="T524" s="8">
        <v>1991</v>
      </c>
      <c r="U524" s="8">
        <f t="shared" si="65"/>
        <v>31</v>
      </c>
      <c r="V524" s="7">
        <v>33420</v>
      </c>
      <c r="W524" t="s">
        <v>3695</v>
      </c>
      <c r="X524" s="2">
        <v>0.251</v>
      </c>
      <c r="Y524" s="6">
        <f t="shared" si="70"/>
        <v>6.7003016470462617E-3</v>
      </c>
      <c r="AA524">
        <v>207217</v>
      </c>
      <c r="AB524">
        <v>26145</v>
      </c>
      <c r="AC524">
        <v>13623060</v>
      </c>
      <c r="AD524" t="s">
        <v>5</v>
      </c>
      <c r="AE524">
        <v>71</v>
      </c>
      <c r="AF524">
        <v>1</v>
      </c>
      <c r="AH524" t="s">
        <v>5507</v>
      </c>
      <c r="AI524" t="s">
        <v>5506</v>
      </c>
      <c r="AK524" t="s">
        <v>5505</v>
      </c>
      <c r="AL524">
        <v>4</v>
      </c>
      <c r="AM524" s="5">
        <f t="shared" si="66"/>
        <v>0.12903225806451613</v>
      </c>
      <c r="AN524" s="4">
        <f t="shared" si="71"/>
        <v>1.9542939502387903E-4</v>
      </c>
      <c r="AO524" s="3"/>
      <c r="AP524">
        <v>0</v>
      </c>
      <c r="AR524" t="s">
        <v>0</v>
      </c>
      <c r="AT524" s="2">
        <v>1.3360000000000001</v>
      </c>
      <c r="AU524" s="1">
        <f t="shared" si="67"/>
        <v>0.47488399714395463</v>
      </c>
      <c r="AV524" s="1">
        <f t="shared" si="68"/>
        <v>0.344786552103507</v>
      </c>
      <c r="AW524" s="1">
        <f t="shared" si="69"/>
        <v>0.21468910706305935</v>
      </c>
    </row>
    <row r="525" spans="1:49" x14ac:dyDescent="0.2">
      <c r="A525">
        <v>523</v>
      </c>
      <c r="B525" t="s">
        <v>5504</v>
      </c>
      <c r="C525" t="s">
        <v>5503</v>
      </c>
      <c r="F525" t="s">
        <v>5502</v>
      </c>
      <c r="G525" t="s">
        <v>16</v>
      </c>
      <c r="H525" t="s">
        <v>15</v>
      </c>
      <c r="I525" t="s">
        <v>5501</v>
      </c>
      <c r="J525">
        <v>60003500</v>
      </c>
      <c r="K525" t="s">
        <v>1115</v>
      </c>
      <c r="L525" t="s">
        <v>1114</v>
      </c>
      <c r="M525" t="s">
        <v>57</v>
      </c>
      <c r="N525">
        <v>2</v>
      </c>
      <c r="O525" t="s">
        <v>5500</v>
      </c>
      <c r="P525" t="s">
        <v>5499</v>
      </c>
      <c r="Q525" t="s">
        <v>2990</v>
      </c>
      <c r="R525" s="7">
        <v>33239</v>
      </c>
      <c r="S525" s="8">
        <f t="shared" si="64"/>
        <v>1991</v>
      </c>
      <c r="T525" s="8">
        <v>1991</v>
      </c>
      <c r="U525" s="8">
        <f t="shared" si="65"/>
        <v>31</v>
      </c>
      <c r="V525" s="7">
        <v>33420</v>
      </c>
      <c r="W525" t="s">
        <v>3104</v>
      </c>
      <c r="X525" s="2">
        <v>0.39600000000000002</v>
      </c>
      <c r="Y525" s="6">
        <f t="shared" si="70"/>
        <v>1.0570993833586931E-2</v>
      </c>
      <c r="AA525">
        <v>8858985</v>
      </c>
      <c r="AB525">
        <v>25993</v>
      </c>
      <c r="AD525" t="s">
        <v>5</v>
      </c>
      <c r="AE525">
        <v>6</v>
      </c>
      <c r="AF525">
        <v>7</v>
      </c>
      <c r="AH525" t="s">
        <v>1831</v>
      </c>
      <c r="AI525" t="s">
        <v>5498</v>
      </c>
      <c r="AK525" t="s">
        <v>5497</v>
      </c>
      <c r="AL525">
        <v>2</v>
      </c>
      <c r="AM525" s="5">
        <f t="shared" si="66"/>
        <v>6.4516129032258063E-2</v>
      </c>
      <c r="AN525" s="4">
        <f t="shared" si="71"/>
        <v>9.7714697511939517E-5</v>
      </c>
      <c r="AO525" s="3"/>
      <c r="AP525">
        <v>0</v>
      </c>
      <c r="AR525" t="s">
        <v>0</v>
      </c>
      <c r="AT525" s="2" t="s">
        <v>33</v>
      </c>
      <c r="AU525" s="1">
        <f t="shared" si="67"/>
        <v>0.74290100927644331</v>
      </c>
      <c r="AV525" s="1">
        <f t="shared" si="68"/>
        <v>0.53343542655494347</v>
      </c>
      <c r="AW525" s="1">
        <f t="shared" si="69"/>
        <v>0.32396984383344368</v>
      </c>
    </row>
    <row r="526" spans="1:49" x14ac:dyDescent="0.2">
      <c r="A526">
        <v>524</v>
      </c>
      <c r="B526" t="s">
        <v>5496</v>
      </c>
      <c r="C526" t="s">
        <v>5495</v>
      </c>
      <c r="F526" t="s">
        <v>5494</v>
      </c>
      <c r="G526" t="s">
        <v>16</v>
      </c>
      <c r="H526" t="s">
        <v>15</v>
      </c>
      <c r="I526" t="s">
        <v>5493</v>
      </c>
      <c r="J526" t="s">
        <v>5492</v>
      </c>
      <c r="K526" t="s">
        <v>5491</v>
      </c>
      <c r="L526" t="s">
        <v>5490</v>
      </c>
      <c r="M526" t="s">
        <v>5489</v>
      </c>
      <c r="N526">
        <v>3</v>
      </c>
      <c r="O526" t="s">
        <v>5488</v>
      </c>
      <c r="P526" t="s">
        <v>5487</v>
      </c>
      <c r="Q526" t="s">
        <v>5486</v>
      </c>
      <c r="R526" s="7">
        <v>33239</v>
      </c>
      <c r="S526" s="8">
        <f t="shared" si="64"/>
        <v>1991</v>
      </c>
      <c r="T526" s="8">
        <v>1991</v>
      </c>
      <c r="U526" s="8">
        <f t="shared" si="65"/>
        <v>31</v>
      </c>
      <c r="V526" s="7">
        <v>33420</v>
      </c>
      <c r="W526" t="s">
        <v>1807</v>
      </c>
      <c r="X526" s="2">
        <v>1.6519999999999999</v>
      </c>
      <c r="Y526" s="6">
        <f t="shared" si="70"/>
        <v>4.409919649769093E-2</v>
      </c>
      <c r="AA526" t="s">
        <v>1806</v>
      </c>
      <c r="AB526">
        <v>17337</v>
      </c>
      <c r="AC526">
        <v>15582221</v>
      </c>
      <c r="AD526" t="s">
        <v>5</v>
      </c>
      <c r="AE526">
        <v>39</v>
      </c>
      <c r="AF526">
        <v>7</v>
      </c>
      <c r="AH526" t="s">
        <v>5485</v>
      </c>
      <c r="AI526" t="s">
        <v>5484</v>
      </c>
      <c r="AK526" t="s">
        <v>5483</v>
      </c>
      <c r="AL526">
        <v>8</v>
      </c>
      <c r="AM526" s="5">
        <f t="shared" si="66"/>
        <v>0.25806451612903225</v>
      </c>
      <c r="AN526" s="4">
        <f t="shared" si="71"/>
        <v>3.9085879004775807E-4</v>
      </c>
      <c r="AO526" s="3"/>
      <c r="AP526">
        <v>0</v>
      </c>
      <c r="AR526" t="s">
        <v>0</v>
      </c>
      <c r="AT526" s="2" t="s">
        <v>33</v>
      </c>
      <c r="AU526" s="1">
        <f t="shared" si="67"/>
        <v>3.0986695185397974</v>
      </c>
      <c r="AV526" s="1">
        <f t="shared" si="68"/>
        <v>2.2245027643869344</v>
      </c>
      <c r="AW526" s="1">
        <f t="shared" si="69"/>
        <v>1.3503360102340709</v>
      </c>
    </row>
    <row r="527" spans="1:49" x14ac:dyDescent="0.2">
      <c r="A527">
        <v>525</v>
      </c>
      <c r="B527" t="s">
        <v>5482</v>
      </c>
      <c r="C527" t="s">
        <v>5481</v>
      </c>
      <c r="F527" t="s">
        <v>5480</v>
      </c>
      <c r="G527" t="s">
        <v>16</v>
      </c>
      <c r="H527" t="s">
        <v>15</v>
      </c>
      <c r="I527" t="s">
        <v>5479</v>
      </c>
      <c r="J527">
        <v>60019141</v>
      </c>
      <c r="K527" t="s">
        <v>5478</v>
      </c>
      <c r="L527" t="s">
        <v>5477</v>
      </c>
      <c r="M527" t="s">
        <v>1543</v>
      </c>
      <c r="N527">
        <v>2</v>
      </c>
      <c r="O527" t="s">
        <v>5476</v>
      </c>
      <c r="P527" t="s">
        <v>5475</v>
      </c>
      <c r="Q527" t="s">
        <v>5474</v>
      </c>
      <c r="R527" s="7">
        <v>33239</v>
      </c>
      <c r="S527" s="8">
        <f t="shared" si="64"/>
        <v>1991</v>
      </c>
      <c r="T527" s="8">
        <v>1991</v>
      </c>
      <c r="U527" s="8">
        <f t="shared" si="65"/>
        <v>31</v>
      </c>
      <c r="V527" s="7">
        <v>33420</v>
      </c>
      <c r="W527" t="s">
        <v>731</v>
      </c>
      <c r="X527" s="2">
        <v>1.3720000000000001</v>
      </c>
      <c r="Y527" s="6">
        <f t="shared" si="70"/>
        <v>3.662475641333654E-2</v>
      </c>
      <c r="AA527">
        <v>189480</v>
      </c>
      <c r="AB527">
        <v>17366</v>
      </c>
      <c r="AC527">
        <v>15579670</v>
      </c>
      <c r="AD527" t="s">
        <v>5</v>
      </c>
      <c r="AE527">
        <v>39</v>
      </c>
      <c r="AF527">
        <v>7</v>
      </c>
      <c r="AH527" t="s">
        <v>5473</v>
      </c>
      <c r="AI527" t="s">
        <v>5472</v>
      </c>
      <c r="AK527" t="s">
        <v>5471</v>
      </c>
      <c r="AL527">
        <v>9</v>
      </c>
      <c r="AM527" s="5">
        <f t="shared" si="66"/>
        <v>0.29032258064516131</v>
      </c>
      <c r="AN527" s="4">
        <f t="shared" si="71"/>
        <v>4.3971613880372783E-4</v>
      </c>
      <c r="AO527" s="3"/>
      <c r="AP527">
        <v>0</v>
      </c>
      <c r="AR527" t="s">
        <v>0</v>
      </c>
      <c r="AT527" s="2" t="s">
        <v>33</v>
      </c>
      <c r="AU527" s="1">
        <f t="shared" si="67"/>
        <v>2.5769244330976693</v>
      </c>
      <c r="AV527" s="1">
        <f t="shared" si="68"/>
        <v>1.8532236276070133</v>
      </c>
      <c r="AW527" s="1">
        <f t="shared" si="69"/>
        <v>1.1295228221163571</v>
      </c>
    </row>
    <row r="528" spans="1:49" x14ac:dyDescent="0.2">
      <c r="A528">
        <v>526</v>
      </c>
      <c r="B528" t="s">
        <v>5470</v>
      </c>
      <c r="C528" t="s">
        <v>5469</v>
      </c>
      <c r="F528" t="s">
        <v>5468</v>
      </c>
      <c r="G528" t="s">
        <v>16</v>
      </c>
      <c r="H528" t="s">
        <v>15</v>
      </c>
      <c r="I528" t="s">
        <v>5467</v>
      </c>
      <c r="N528">
        <v>6</v>
      </c>
      <c r="O528" t="s">
        <v>5466</v>
      </c>
      <c r="P528" t="s">
        <v>5465</v>
      </c>
      <c r="Q528" t="s">
        <v>3563</v>
      </c>
      <c r="R528" s="7">
        <v>33239</v>
      </c>
      <c r="S528" s="8">
        <f t="shared" si="64"/>
        <v>1991</v>
      </c>
      <c r="T528" s="8">
        <v>1991</v>
      </c>
      <c r="U528" s="8">
        <f t="shared" si="65"/>
        <v>31</v>
      </c>
      <c r="V528" s="7" t="s">
        <v>5317</v>
      </c>
      <c r="W528" t="s">
        <v>779</v>
      </c>
      <c r="X528" s="2">
        <v>0.371</v>
      </c>
      <c r="Y528" s="6">
        <f t="shared" si="70"/>
        <v>9.9036331117695747E-3</v>
      </c>
      <c r="AA528">
        <v>486604</v>
      </c>
      <c r="AB528">
        <v>28580</v>
      </c>
      <c r="AC528" t="s">
        <v>778</v>
      </c>
      <c r="AD528" t="s">
        <v>5</v>
      </c>
      <c r="AE528">
        <v>26</v>
      </c>
      <c r="AF528">
        <v>4</v>
      </c>
      <c r="AH528" t="s">
        <v>5464</v>
      </c>
      <c r="AI528" t="s">
        <v>5463</v>
      </c>
      <c r="AK528" t="s">
        <v>5462</v>
      </c>
      <c r="AL528">
        <v>19</v>
      </c>
      <c r="AM528" s="5">
        <f t="shared" si="66"/>
        <v>0.61290322580645162</v>
      </c>
      <c r="AN528" s="4">
        <f t="shared" si="71"/>
        <v>9.2828962636342543E-4</v>
      </c>
      <c r="AO528" s="3"/>
      <c r="AP528">
        <v>0</v>
      </c>
      <c r="AR528" t="s">
        <v>0</v>
      </c>
      <c r="AT528" s="2">
        <v>1.431</v>
      </c>
      <c r="AU528" s="1">
        <f t="shared" si="67"/>
        <v>0.72110300661477289</v>
      </c>
      <c r="AV528" s="1">
        <f t="shared" si="68"/>
        <v>0.54159613690664998</v>
      </c>
      <c r="AW528" s="1">
        <f t="shared" si="69"/>
        <v>0.36208926719852702</v>
      </c>
    </row>
    <row r="529" spans="1:49" x14ac:dyDescent="0.2">
      <c r="A529">
        <v>527</v>
      </c>
      <c r="B529" t="s">
        <v>5461</v>
      </c>
      <c r="C529" t="s">
        <v>5460</v>
      </c>
      <c r="F529" t="s">
        <v>5459</v>
      </c>
      <c r="G529" t="s">
        <v>16</v>
      </c>
      <c r="H529" t="s">
        <v>15</v>
      </c>
      <c r="I529" t="s">
        <v>5458</v>
      </c>
      <c r="J529">
        <v>60025778</v>
      </c>
      <c r="K529" t="s">
        <v>2395</v>
      </c>
      <c r="L529" t="s">
        <v>2394</v>
      </c>
      <c r="M529" t="s">
        <v>57</v>
      </c>
      <c r="N529">
        <v>3</v>
      </c>
      <c r="O529" t="s">
        <v>5457</v>
      </c>
      <c r="P529" t="s">
        <v>5456</v>
      </c>
      <c r="Q529" t="s">
        <v>5455</v>
      </c>
      <c r="R529" s="7">
        <v>33239</v>
      </c>
      <c r="S529" s="8">
        <f t="shared" si="64"/>
        <v>1991</v>
      </c>
      <c r="T529" s="8">
        <v>1991</v>
      </c>
      <c r="U529" s="8">
        <f t="shared" si="65"/>
        <v>31</v>
      </c>
      <c r="V529" s="7">
        <v>33420</v>
      </c>
      <c r="W529" t="s">
        <v>1807</v>
      </c>
      <c r="X529" s="2">
        <v>1.6519999999999999</v>
      </c>
      <c r="Y529" s="6">
        <f t="shared" si="70"/>
        <v>4.409919649769093E-2</v>
      </c>
      <c r="AA529" t="s">
        <v>1806</v>
      </c>
      <c r="AB529">
        <v>17337</v>
      </c>
      <c r="AC529">
        <v>15582221</v>
      </c>
      <c r="AD529" t="s">
        <v>5</v>
      </c>
      <c r="AE529">
        <v>39</v>
      </c>
      <c r="AF529">
        <v>7</v>
      </c>
      <c r="AH529" t="s">
        <v>5454</v>
      </c>
      <c r="AI529" t="s">
        <v>5453</v>
      </c>
      <c r="AK529" t="s">
        <v>5452</v>
      </c>
      <c r="AL529">
        <v>17</v>
      </c>
      <c r="AM529" s="5">
        <f t="shared" si="66"/>
        <v>0.54838709677419351</v>
      </c>
      <c r="AN529" s="4">
        <f t="shared" si="71"/>
        <v>8.3057492885148579E-4</v>
      </c>
      <c r="AO529" s="3"/>
      <c r="AP529">
        <v>0</v>
      </c>
      <c r="AR529" t="s">
        <v>0</v>
      </c>
      <c r="AT529" s="2" t="s">
        <v>33</v>
      </c>
      <c r="AU529" s="1">
        <f t="shared" si="67"/>
        <v>3.1118610027039093</v>
      </c>
      <c r="AV529" s="1">
        <f t="shared" si="68"/>
        <v>2.2464885713271205</v>
      </c>
      <c r="AW529" s="1">
        <f t="shared" si="69"/>
        <v>1.3811161399503318</v>
      </c>
    </row>
    <row r="530" spans="1:49" x14ac:dyDescent="0.2">
      <c r="A530">
        <v>528</v>
      </c>
      <c r="B530" t="s">
        <v>5451</v>
      </c>
      <c r="C530" t="s">
        <v>5450</v>
      </c>
      <c r="F530" t="s">
        <v>5449</v>
      </c>
      <c r="G530" t="s">
        <v>16</v>
      </c>
      <c r="H530" t="s">
        <v>15</v>
      </c>
      <c r="I530" t="s">
        <v>5448</v>
      </c>
      <c r="J530">
        <v>60021902</v>
      </c>
      <c r="K530" t="s">
        <v>4522</v>
      </c>
      <c r="L530" t="s">
        <v>4521</v>
      </c>
      <c r="M530" t="s">
        <v>4520</v>
      </c>
      <c r="N530">
        <v>2</v>
      </c>
      <c r="O530" t="s">
        <v>5447</v>
      </c>
      <c r="P530" t="s">
        <v>5446</v>
      </c>
      <c r="Q530" t="s">
        <v>4517</v>
      </c>
      <c r="R530" s="7">
        <v>33239</v>
      </c>
      <c r="S530" s="8">
        <f t="shared" si="64"/>
        <v>1991</v>
      </c>
      <c r="T530" s="8">
        <v>1991</v>
      </c>
      <c r="U530" s="8">
        <f t="shared" si="65"/>
        <v>31</v>
      </c>
      <c r="V530" s="7">
        <v>33420</v>
      </c>
      <c r="W530" t="s">
        <v>561</v>
      </c>
      <c r="X530" s="2">
        <v>0.30399999999999999</v>
      </c>
      <c r="Y530" s="6">
        <f t="shared" si="70"/>
        <v>8.115106377299057E-3</v>
      </c>
      <c r="AA530">
        <v>8952477</v>
      </c>
      <c r="AB530">
        <v>12250</v>
      </c>
      <c r="AC530">
        <v>10982760</v>
      </c>
      <c r="AD530" t="s">
        <v>5</v>
      </c>
      <c r="AE530">
        <v>4</v>
      </c>
      <c r="AF530">
        <v>8</v>
      </c>
      <c r="AH530" t="s">
        <v>5445</v>
      </c>
      <c r="AI530" t="s">
        <v>5444</v>
      </c>
      <c r="AJ530" t="s">
        <v>5443</v>
      </c>
      <c r="AK530" t="s">
        <v>5442</v>
      </c>
      <c r="AL530">
        <v>5</v>
      </c>
      <c r="AM530" s="5">
        <f t="shared" si="66"/>
        <v>0.16129032258064516</v>
      </c>
      <c r="AN530" s="4">
        <f t="shared" si="71"/>
        <v>2.4428674377984877E-4</v>
      </c>
      <c r="AO530" s="3"/>
      <c r="AP530">
        <v>0</v>
      </c>
      <c r="AR530" t="s">
        <v>0</v>
      </c>
      <c r="AT530" s="2" t="s">
        <v>33</v>
      </c>
      <c r="AU530" s="1">
        <f t="shared" si="67"/>
        <v>0.57538604872432941</v>
      </c>
      <c r="AV530" s="1">
        <f t="shared" si="68"/>
        <v>0.41796965605394526</v>
      </c>
      <c r="AW530" s="1">
        <f t="shared" si="69"/>
        <v>0.26055326338356116</v>
      </c>
    </row>
    <row r="531" spans="1:49" x14ac:dyDescent="0.2">
      <c r="A531">
        <v>529</v>
      </c>
      <c r="B531" t="s">
        <v>5441</v>
      </c>
      <c r="C531" t="s">
        <v>5440</v>
      </c>
      <c r="F531" t="s">
        <v>5439</v>
      </c>
      <c r="G531" t="s">
        <v>16</v>
      </c>
      <c r="H531" t="s">
        <v>15</v>
      </c>
      <c r="I531" t="s">
        <v>5438</v>
      </c>
      <c r="J531">
        <v>60031126</v>
      </c>
      <c r="K531" t="s">
        <v>3512</v>
      </c>
      <c r="L531" t="s">
        <v>327</v>
      </c>
      <c r="M531" t="s">
        <v>326</v>
      </c>
      <c r="N531">
        <v>4</v>
      </c>
      <c r="O531" t="s">
        <v>5437</v>
      </c>
      <c r="P531" t="s">
        <v>5436</v>
      </c>
      <c r="Q531" t="s">
        <v>3509</v>
      </c>
      <c r="R531" s="7">
        <v>33239</v>
      </c>
      <c r="S531" s="8">
        <f t="shared" si="64"/>
        <v>1991</v>
      </c>
      <c r="T531" s="8">
        <v>1991</v>
      </c>
      <c r="U531" s="8">
        <f t="shared" si="65"/>
        <v>31</v>
      </c>
      <c r="V531" s="7">
        <v>33420</v>
      </c>
      <c r="W531" t="s">
        <v>1807</v>
      </c>
      <c r="X531" s="2">
        <v>1.6519999999999999</v>
      </c>
      <c r="Y531" s="6">
        <f t="shared" si="70"/>
        <v>4.409919649769093E-2</v>
      </c>
      <c r="AA531" t="s">
        <v>1806</v>
      </c>
      <c r="AB531">
        <v>17337</v>
      </c>
      <c r="AC531">
        <v>15582221</v>
      </c>
      <c r="AD531" t="s">
        <v>5</v>
      </c>
      <c r="AE531">
        <v>39</v>
      </c>
      <c r="AF531">
        <v>7</v>
      </c>
      <c r="AH531" t="s">
        <v>5435</v>
      </c>
      <c r="AI531" t="s">
        <v>5434</v>
      </c>
      <c r="AK531" t="s">
        <v>5433</v>
      </c>
      <c r="AL531">
        <v>125</v>
      </c>
      <c r="AM531" s="5">
        <f t="shared" si="66"/>
        <v>4.032258064516129</v>
      </c>
      <c r="AN531" s="4">
        <f t="shared" si="71"/>
        <v>6.1071685944962192E-3</v>
      </c>
      <c r="AO531" s="3"/>
      <c r="AP531">
        <v>0</v>
      </c>
      <c r="AR531" t="s">
        <v>0</v>
      </c>
      <c r="AT531" s="2" t="s">
        <v>33</v>
      </c>
      <c r="AU531" s="1">
        <f t="shared" si="67"/>
        <v>3.2701588126732517</v>
      </c>
      <c r="AV531" s="1">
        <f t="shared" si="68"/>
        <v>2.5103182546093574</v>
      </c>
      <c r="AW531" s="1">
        <f t="shared" si="69"/>
        <v>1.7504776965454631</v>
      </c>
    </row>
    <row r="532" spans="1:49" x14ac:dyDescent="0.2">
      <c r="A532">
        <v>530</v>
      </c>
      <c r="B532" t="s">
        <v>5432</v>
      </c>
      <c r="C532" t="s">
        <v>5431</v>
      </c>
      <c r="F532" t="s">
        <v>5430</v>
      </c>
      <c r="G532" t="s">
        <v>16</v>
      </c>
      <c r="H532" t="s">
        <v>15</v>
      </c>
      <c r="I532" t="s">
        <v>5429</v>
      </c>
      <c r="N532">
        <v>2</v>
      </c>
      <c r="O532" t="s">
        <v>5428</v>
      </c>
      <c r="P532" t="s">
        <v>5427</v>
      </c>
      <c r="Q532" t="s">
        <v>592</v>
      </c>
      <c r="R532" s="7">
        <v>33239</v>
      </c>
      <c r="S532" s="8">
        <f t="shared" si="64"/>
        <v>1991</v>
      </c>
      <c r="T532" s="8">
        <v>1991</v>
      </c>
      <c r="U532" s="8">
        <f t="shared" si="65"/>
        <v>31</v>
      </c>
      <c r="V532" s="7" t="s">
        <v>5317</v>
      </c>
      <c r="W532" t="s">
        <v>779</v>
      </c>
      <c r="X532" s="2">
        <v>0.371</v>
      </c>
      <c r="Y532" s="6">
        <f t="shared" si="70"/>
        <v>9.9036331117695747E-3</v>
      </c>
      <c r="AA532">
        <v>486604</v>
      </c>
      <c r="AB532">
        <v>28580</v>
      </c>
      <c r="AC532" t="s">
        <v>778</v>
      </c>
      <c r="AD532" t="s">
        <v>5</v>
      </c>
      <c r="AE532">
        <v>26</v>
      </c>
      <c r="AF532">
        <v>4</v>
      </c>
      <c r="AH532" t="s">
        <v>5426</v>
      </c>
      <c r="AI532" t="s">
        <v>5425</v>
      </c>
      <c r="AK532" t="s">
        <v>5424</v>
      </c>
      <c r="AL532">
        <v>5</v>
      </c>
      <c r="AM532" s="5">
        <f t="shared" si="66"/>
        <v>0.16129032258064516</v>
      </c>
      <c r="AN532" s="4">
        <f t="shared" si="71"/>
        <v>2.4428674377984877E-4</v>
      </c>
      <c r="AO532" s="3"/>
      <c r="AP532">
        <v>0</v>
      </c>
      <c r="AR532" t="s">
        <v>0</v>
      </c>
      <c r="AT532" s="2">
        <v>1.431</v>
      </c>
      <c r="AU532" s="1">
        <f t="shared" si="67"/>
        <v>0.70058292013726564</v>
      </c>
      <c r="AV532" s="1">
        <f t="shared" si="68"/>
        <v>0.50739599277747116</v>
      </c>
      <c r="AW532" s="1">
        <f t="shared" si="69"/>
        <v>0.31420906541767668</v>
      </c>
    </row>
    <row r="533" spans="1:49" x14ac:dyDescent="0.2">
      <c r="A533">
        <v>531</v>
      </c>
      <c r="B533" t="s">
        <v>5423</v>
      </c>
      <c r="C533" t="s">
        <v>5422</v>
      </c>
      <c r="F533" t="s">
        <v>5421</v>
      </c>
      <c r="G533" t="s">
        <v>16</v>
      </c>
      <c r="H533" t="s">
        <v>15</v>
      </c>
      <c r="I533" t="s">
        <v>5420</v>
      </c>
      <c r="J533" t="s">
        <v>5419</v>
      </c>
      <c r="K533" t="s">
        <v>5418</v>
      </c>
      <c r="L533" t="s">
        <v>5417</v>
      </c>
      <c r="M533" t="s">
        <v>133</v>
      </c>
      <c r="N533">
        <v>2</v>
      </c>
      <c r="O533" t="s">
        <v>5416</v>
      </c>
      <c r="P533" t="s">
        <v>5415</v>
      </c>
      <c r="Q533" t="s">
        <v>5414</v>
      </c>
      <c r="R533" s="7">
        <v>33239</v>
      </c>
      <c r="S533" s="8">
        <f t="shared" si="64"/>
        <v>1991</v>
      </c>
      <c r="T533" s="8">
        <v>1991</v>
      </c>
      <c r="U533" s="8">
        <f t="shared" si="65"/>
        <v>31</v>
      </c>
      <c r="V533" s="7">
        <v>33420</v>
      </c>
      <c r="W533" t="s">
        <v>1807</v>
      </c>
      <c r="X533" s="2">
        <v>1.6519999999999999</v>
      </c>
      <c r="Y533" s="6">
        <f t="shared" si="70"/>
        <v>4.409919649769093E-2</v>
      </c>
      <c r="AA533" t="s">
        <v>1806</v>
      </c>
      <c r="AB533">
        <v>17337</v>
      </c>
      <c r="AC533">
        <v>15582221</v>
      </c>
      <c r="AD533" t="s">
        <v>5</v>
      </c>
      <c r="AE533">
        <v>39</v>
      </c>
      <c r="AF533">
        <v>7</v>
      </c>
      <c r="AH533" t="s">
        <v>5413</v>
      </c>
      <c r="AI533" t="s">
        <v>5412</v>
      </c>
      <c r="AK533" t="s">
        <v>5411</v>
      </c>
      <c r="AL533">
        <v>12</v>
      </c>
      <c r="AM533" s="5">
        <f t="shared" si="66"/>
        <v>0.38709677419354838</v>
      </c>
      <c r="AN533" s="4">
        <f t="shared" si="71"/>
        <v>5.8628818507163707E-4</v>
      </c>
      <c r="AO533" s="3"/>
      <c r="AP533">
        <v>0</v>
      </c>
      <c r="AR533" t="s">
        <v>0</v>
      </c>
      <c r="AT533" s="2" t="s">
        <v>33</v>
      </c>
      <c r="AU533" s="1">
        <f t="shared" si="67"/>
        <v>3.1045324003905144</v>
      </c>
      <c r="AV533" s="1">
        <f t="shared" si="68"/>
        <v>2.2342742341381285</v>
      </c>
      <c r="AW533" s="1">
        <f t="shared" si="69"/>
        <v>1.3640160678857423</v>
      </c>
    </row>
    <row r="534" spans="1:49" x14ac:dyDescent="0.2">
      <c r="A534">
        <v>532</v>
      </c>
      <c r="B534" t="s">
        <v>5410</v>
      </c>
      <c r="C534" t="s">
        <v>5409</v>
      </c>
      <c r="F534" t="s">
        <v>5408</v>
      </c>
      <c r="G534" t="s">
        <v>16</v>
      </c>
      <c r="H534" t="s">
        <v>15</v>
      </c>
      <c r="I534" t="s">
        <v>5407</v>
      </c>
      <c r="J534">
        <v>60007363</v>
      </c>
      <c r="K534" t="s">
        <v>5406</v>
      </c>
      <c r="L534" t="s">
        <v>5405</v>
      </c>
      <c r="M534" t="s">
        <v>57</v>
      </c>
      <c r="N534">
        <v>1</v>
      </c>
      <c r="O534" t="s">
        <v>5404</v>
      </c>
      <c r="P534">
        <v>6701410585</v>
      </c>
      <c r="Q534">
        <v>60007363</v>
      </c>
      <c r="R534" s="7">
        <v>33239</v>
      </c>
      <c r="S534" s="8">
        <f t="shared" si="64"/>
        <v>1991</v>
      </c>
      <c r="T534" s="8">
        <v>1991</v>
      </c>
      <c r="U534" s="8">
        <f t="shared" si="65"/>
        <v>31</v>
      </c>
      <c r="V534" s="7">
        <v>33420</v>
      </c>
      <c r="W534" t="s">
        <v>1807</v>
      </c>
      <c r="X534" s="2">
        <v>1.6519999999999999</v>
      </c>
      <c r="Y534" s="6">
        <f t="shared" si="70"/>
        <v>4.409919649769093E-2</v>
      </c>
      <c r="AA534" t="s">
        <v>1806</v>
      </c>
      <c r="AB534">
        <v>17337</v>
      </c>
      <c r="AC534">
        <v>15582221</v>
      </c>
      <c r="AD534" t="s">
        <v>5</v>
      </c>
      <c r="AE534">
        <v>39</v>
      </c>
      <c r="AF534">
        <v>7</v>
      </c>
      <c r="AH534" t="s">
        <v>5403</v>
      </c>
      <c r="AI534" t="s">
        <v>5402</v>
      </c>
      <c r="AK534" t="s">
        <v>5401</v>
      </c>
      <c r="AL534">
        <v>0</v>
      </c>
      <c r="AM534" s="5">
        <f t="shared" si="66"/>
        <v>0</v>
      </c>
      <c r="AN534" s="4">
        <f t="shared" si="71"/>
        <v>0</v>
      </c>
      <c r="AO534" s="3"/>
      <c r="AP534">
        <v>0</v>
      </c>
      <c r="AR534" t="s">
        <v>0</v>
      </c>
      <c r="AT534" s="2" t="s">
        <v>33</v>
      </c>
      <c r="AU534" s="1">
        <f t="shared" si="67"/>
        <v>3.0869437548383649</v>
      </c>
      <c r="AV534" s="1">
        <f t="shared" si="68"/>
        <v>2.2049598248845466</v>
      </c>
      <c r="AW534" s="1">
        <f t="shared" si="69"/>
        <v>1.3229758949307278</v>
      </c>
    </row>
    <row r="535" spans="1:49" x14ac:dyDescent="0.2">
      <c r="A535">
        <v>533</v>
      </c>
      <c r="B535" t="s">
        <v>5400</v>
      </c>
      <c r="C535" t="s">
        <v>5399</v>
      </c>
      <c r="F535" t="s">
        <v>5398</v>
      </c>
      <c r="G535" t="s">
        <v>16</v>
      </c>
      <c r="H535" t="s">
        <v>15</v>
      </c>
      <c r="I535" t="s">
        <v>5397</v>
      </c>
      <c r="J535" t="s">
        <v>5396</v>
      </c>
      <c r="K535" t="s">
        <v>5395</v>
      </c>
      <c r="L535" t="s">
        <v>5394</v>
      </c>
      <c r="M535" t="s">
        <v>5393</v>
      </c>
      <c r="N535">
        <v>4</v>
      </c>
      <c r="O535" t="s">
        <v>5392</v>
      </c>
      <c r="P535" t="s">
        <v>5391</v>
      </c>
      <c r="Q535" t="s">
        <v>5390</v>
      </c>
      <c r="R535" s="7">
        <v>33239</v>
      </c>
      <c r="S535" s="8">
        <f t="shared" si="64"/>
        <v>1991</v>
      </c>
      <c r="T535" s="8">
        <v>1991</v>
      </c>
      <c r="U535" s="8">
        <f t="shared" si="65"/>
        <v>31</v>
      </c>
      <c r="V535" s="7">
        <v>33420</v>
      </c>
      <c r="W535" t="s">
        <v>1807</v>
      </c>
      <c r="X535" s="2">
        <v>1.6519999999999999</v>
      </c>
      <c r="Y535" s="6">
        <f t="shared" si="70"/>
        <v>4.409919649769093E-2</v>
      </c>
      <c r="AA535" t="s">
        <v>1806</v>
      </c>
      <c r="AB535">
        <v>17337</v>
      </c>
      <c r="AC535">
        <v>15582221</v>
      </c>
      <c r="AD535" t="s">
        <v>5</v>
      </c>
      <c r="AE535">
        <v>39</v>
      </c>
      <c r="AF535">
        <v>7</v>
      </c>
      <c r="AH535" t="s">
        <v>5389</v>
      </c>
      <c r="AI535" t="s">
        <v>5388</v>
      </c>
      <c r="AK535" t="s">
        <v>5387</v>
      </c>
      <c r="AL535">
        <v>42</v>
      </c>
      <c r="AM535" s="5">
        <f t="shared" si="66"/>
        <v>1.3548387096774193</v>
      </c>
      <c r="AN535" s="4">
        <f t="shared" si="71"/>
        <v>2.0520086477507295E-3</v>
      </c>
      <c r="AO535" s="3"/>
      <c r="AP535">
        <v>0</v>
      </c>
      <c r="AR535" t="s">
        <v>0</v>
      </c>
      <c r="AT535" s="2" t="s">
        <v>33</v>
      </c>
      <c r="AU535" s="1">
        <f t="shared" si="67"/>
        <v>3.1485040142708871</v>
      </c>
      <c r="AV535" s="1">
        <f t="shared" si="68"/>
        <v>2.3075602572720828</v>
      </c>
      <c r="AW535" s="1">
        <f t="shared" si="69"/>
        <v>1.4666165002732787</v>
      </c>
    </row>
    <row r="536" spans="1:49" x14ac:dyDescent="0.2">
      <c r="A536">
        <v>534</v>
      </c>
      <c r="B536" t="s">
        <v>5386</v>
      </c>
      <c r="C536" t="s">
        <v>5385</v>
      </c>
      <c r="F536" t="s">
        <v>5384</v>
      </c>
      <c r="G536" t="s">
        <v>16</v>
      </c>
      <c r="H536" t="s">
        <v>15</v>
      </c>
      <c r="I536" t="s">
        <v>5383</v>
      </c>
      <c r="N536">
        <v>4</v>
      </c>
      <c r="O536" t="s">
        <v>5382</v>
      </c>
      <c r="P536" t="s">
        <v>5381</v>
      </c>
      <c r="Q536" t="s">
        <v>1517</v>
      </c>
      <c r="R536" s="7">
        <v>33239</v>
      </c>
      <c r="S536" s="8">
        <f t="shared" si="64"/>
        <v>1991</v>
      </c>
      <c r="T536" s="8">
        <v>1991</v>
      </c>
      <c r="U536" s="8">
        <f t="shared" si="65"/>
        <v>31</v>
      </c>
      <c r="V536" s="7">
        <v>33239</v>
      </c>
      <c r="W536" t="s">
        <v>5380</v>
      </c>
      <c r="X536" s="2" t="s">
        <v>33</v>
      </c>
      <c r="Y536" s="6" t="e">
        <f t="shared" si="70"/>
        <v>#VALUE!</v>
      </c>
      <c r="AA536">
        <v>385298</v>
      </c>
      <c r="AB536">
        <v>37690</v>
      </c>
      <c r="AC536">
        <v>15738582</v>
      </c>
      <c r="AD536" t="s">
        <v>5</v>
      </c>
      <c r="AE536">
        <v>27</v>
      </c>
      <c r="AF536">
        <v>1</v>
      </c>
      <c r="AH536" t="s">
        <v>5379</v>
      </c>
      <c r="AL536">
        <v>1</v>
      </c>
      <c r="AM536" s="5">
        <f t="shared" si="66"/>
        <v>3.2258064516129031E-2</v>
      </c>
      <c r="AN536" s="4">
        <f t="shared" si="71"/>
        <v>4.8857348755969758E-5</v>
      </c>
      <c r="AO536" s="3"/>
      <c r="AP536">
        <v>0</v>
      </c>
      <c r="AR536" t="s">
        <v>0</v>
      </c>
      <c r="AT536" s="2" t="s">
        <v>33</v>
      </c>
      <c r="AU536" s="1" t="e">
        <f t="shared" si="67"/>
        <v>#VALUE!</v>
      </c>
      <c r="AV536" s="1" t="e">
        <f t="shared" si="68"/>
        <v>#VALUE!</v>
      </c>
      <c r="AW536" s="1" t="e">
        <f t="shared" si="69"/>
        <v>#VALUE!</v>
      </c>
    </row>
    <row r="537" spans="1:49" x14ac:dyDescent="0.2">
      <c r="A537">
        <v>535</v>
      </c>
      <c r="B537" t="s">
        <v>5378</v>
      </c>
      <c r="C537" t="s">
        <v>5377</v>
      </c>
      <c r="F537" t="s">
        <v>5376</v>
      </c>
      <c r="G537" t="s">
        <v>16</v>
      </c>
      <c r="H537" t="s">
        <v>15</v>
      </c>
      <c r="I537" t="s">
        <v>5375</v>
      </c>
      <c r="N537">
        <v>1</v>
      </c>
      <c r="O537" t="s">
        <v>5374</v>
      </c>
      <c r="P537">
        <v>7201710975</v>
      </c>
      <c r="R537" s="7">
        <v>33239</v>
      </c>
      <c r="S537" s="8">
        <f t="shared" si="64"/>
        <v>1991</v>
      </c>
      <c r="T537" s="8">
        <v>1991</v>
      </c>
      <c r="U537" s="8">
        <f t="shared" si="65"/>
        <v>31</v>
      </c>
      <c r="V537" s="7" t="s">
        <v>5317</v>
      </c>
      <c r="W537" t="s">
        <v>779</v>
      </c>
      <c r="X537" s="2">
        <v>0.371</v>
      </c>
      <c r="Y537" s="6">
        <f t="shared" si="70"/>
        <v>9.9036331117695747E-3</v>
      </c>
      <c r="AA537">
        <v>486604</v>
      </c>
      <c r="AB537">
        <v>28580</v>
      </c>
      <c r="AC537" t="s">
        <v>778</v>
      </c>
      <c r="AD537" t="s">
        <v>5</v>
      </c>
      <c r="AE537">
        <v>26</v>
      </c>
      <c r="AF537">
        <v>4</v>
      </c>
      <c r="AH537" t="s">
        <v>5373</v>
      </c>
      <c r="AI537" t="s">
        <v>5372</v>
      </c>
      <c r="AK537" t="s">
        <v>5371</v>
      </c>
      <c r="AL537">
        <v>2</v>
      </c>
      <c r="AM537" s="5">
        <f t="shared" si="66"/>
        <v>6.4516129032258063E-2</v>
      </c>
      <c r="AN537" s="4">
        <f t="shared" si="71"/>
        <v>9.7714697511939517E-5</v>
      </c>
      <c r="AO537" s="3"/>
      <c r="AP537">
        <v>0</v>
      </c>
      <c r="AR537" t="s">
        <v>0</v>
      </c>
      <c r="AT537" s="2">
        <v>1.431</v>
      </c>
      <c r="AU537" s="1">
        <f t="shared" si="67"/>
        <v>0.69618575874922828</v>
      </c>
      <c r="AV537" s="1">
        <f t="shared" si="68"/>
        <v>0.50006739046407567</v>
      </c>
      <c r="AW537" s="1">
        <f t="shared" si="69"/>
        <v>0.30394902217892306</v>
      </c>
    </row>
    <row r="538" spans="1:49" x14ac:dyDescent="0.2">
      <c r="A538">
        <v>536</v>
      </c>
      <c r="B538" t="s">
        <v>5370</v>
      </c>
      <c r="C538" t="s">
        <v>5369</v>
      </c>
      <c r="F538" t="s">
        <v>5368</v>
      </c>
      <c r="G538" t="s">
        <v>16</v>
      </c>
      <c r="H538" t="s">
        <v>15</v>
      </c>
      <c r="I538" t="s">
        <v>5367</v>
      </c>
      <c r="J538">
        <v>60000745</v>
      </c>
      <c r="K538" t="s">
        <v>2506</v>
      </c>
      <c r="L538" t="s">
        <v>2505</v>
      </c>
      <c r="M538" t="s">
        <v>57</v>
      </c>
      <c r="N538">
        <v>3</v>
      </c>
      <c r="O538" t="s">
        <v>5366</v>
      </c>
      <c r="P538" t="s">
        <v>5365</v>
      </c>
      <c r="Q538" t="s">
        <v>2502</v>
      </c>
      <c r="R538" s="7">
        <v>33239</v>
      </c>
      <c r="S538" s="8">
        <f t="shared" si="64"/>
        <v>1991</v>
      </c>
      <c r="T538" s="8">
        <v>1991</v>
      </c>
      <c r="U538" s="8">
        <f t="shared" si="65"/>
        <v>31</v>
      </c>
      <c r="V538" s="7">
        <v>33420</v>
      </c>
      <c r="W538" t="s">
        <v>561</v>
      </c>
      <c r="X538" s="2">
        <v>0.30399999999999999</v>
      </c>
      <c r="Y538" s="6">
        <f t="shared" si="70"/>
        <v>8.115106377299057E-3</v>
      </c>
      <c r="AA538">
        <v>8952477</v>
      </c>
      <c r="AB538">
        <v>12250</v>
      </c>
      <c r="AC538">
        <v>10982760</v>
      </c>
      <c r="AD538" t="s">
        <v>5</v>
      </c>
      <c r="AE538">
        <v>4</v>
      </c>
      <c r="AF538">
        <v>8</v>
      </c>
      <c r="AH538" t="s">
        <v>5364</v>
      </c>
      <c r="AI538" t="s">
        <v>5363</v>
      </c>
      <c r="AJ538" t="s">
        <v>5362</v>
      </c>
      <c r="AK538" t="s">
        <v>5361</v>
      </c>
      <c r="AL538">
        <v>14</v>
      </c>
      <c r="AM538" s="5">
        <f t="shared" si="66"/>
        <v>0.45161290322580644</v>
      </c>
      <c r="AN538" s="4">
        <f t="shared" si="71"/>
        <v>6.840028825835766E-4</v>
      </c>
      <c r="AO538" s="3"/>
      <c r="AP538">
        <v>0</v>
      </c>
      <c r="AR538" t="s">
        <v>0</v>
      </c>
      <c r="AT538" s="2" t="s">
        <v>33</v>
      </c>
      <c r="AU538" s="1">
        <f t="shared" si="67"/>
        <v>0.58857753288844117</v>
      </c>
      <c r="AV538" s="1">
        <f t="shared" si="68"/>
        <v>0.43995546299413169</v>
      </c>
      <c r="AW538" s="1">
        <f t="shared" si="69"/>
        <v>0.29133339309982209</v>
      </c>
    </row>
    <row r="539" spans="1:49" x14ac:dyDescent="0.2">
      <c r="A539">
        <v>537</v>
      </c>
      <c r="B539" t="s">
        <v>5360</v>
      </c>
      <c r="C539" t="s">
        <v>5359</v>
      </c>
      <c r="F539" t="s">
        <v>5358</v>
      </c>
      <c r="G539" t="s">
        <v>16</v>
      </c>
      <c r="H539" t="s">
        <v>15</v>
      </c>
      <c r="I539" t="s">
        <v>5357</v>
      </c>
      <c r="J539" t="s">
        <v>5356</v>
      </c>
      <c r="K539" t="s">
        <v>5355</v>
      </c>
      <c r="L539" t="s">
        <v>5354</v>
      </c>
      <c r="M539" t="s">
        <v>133</v>
      </c>
      <c r="N539">
        <v>5</v>
      </c>
      <c r="O539" t="s">
        <v>5353</v>
      </c>
      <c r="P539" t="s">
        <v>5352</v>
      </c>
      <c r="Q539" t="s">
        <v>5351</v>
      </c>
      <c r="R539" s="7">
        <v>33239</v>
      </c>
      <c r="S539" s="8">
        <f t="shared" si="64"/>
        <v>1991</v>
      </c>
      <c r="T539" s="8">
        <v>1991</v>
      </c>
      <c r="U539" s="8">
        <f t="shared" si="65"/>
        <v>31</v>
      </c>
      <c r="V539" s="7">
        <v>33420</v>
      </c>
      <c r="W539" t="s">
        <v>4440</v>
      </c>
      <c r="X539" s="2">
        <v>0.94</v>
      </c>
      <c r="Y539" s="6">
        <f t="shared" si="70"/>
        <v>2.5092763140332611E-2</v>
      </c>
      <c r="AA539">
        <v>10518207</v>
      </c>
      <c r="AB539">
        <v>63372</v>
      </c>
      <c r="AD539" t="s">
        <v>5</v>
      </c>
      <c r="AE539">
        <v>1</v>
      </c>
      <c r="AF539">
        <v>7</v>
      </c>
      <c r="AH539" t="s">
        <v>5350</v>
      </c>
      <c r="AI539" t="s">
        <v>5349</v>
      </c>
      <c r="AK539" t="s">
        <v>5348</v>
      </c>
      <c r="AL539">
        <v>22</v>
      </c>
      <c r="AM539" s="5">
        <f t="shared" si="66"/>
        <v>0.70967741935483875</v>
      </c>
      <c r="AN539" s="4">
        <f t="shared" si="71"/>
        <v>1.0748616726313346E-3</v>
      </c>
      <c r="AO539" s="3"/>
      <c r="AP539">
        <v>0</v>
      </c>
      <c r="AR539" t="s">
        <v>0</v>
      </c>
      <c r="AT539" s="2" t="s">
        <v>33</v>
      </c>
      <c r="AU539" s="1">
        <f t="shared" si="67"/>
        <v>1.7887392700022227</v>
      </c>
      <c r="AV539" s="1">
        <f t="shared" si="68"/>
        <v>1.3083812406481974</v>
      </c>
      <c r="AW539" s="1">
        <f t="shared" si="69"/>
        <v>0.82802321129417167</v>
      </c>
    </row>
    <row r="540" spans="1:49" x14ac:dyDescent="0.2">
      <c r="A540">
        <v>538</v>
      </c>
      <c r="B540" t="s">
        <v>5347</v>
      </c>
      <c r="C540" t="s">
        <v>5346</v>
      </c>
      <c r="F540" t="s">
        <v>5345</v>
      </c>
      <c r="G540" t="s">
        <v>16</v>
      </c>
      <c r="H540" t="s">
        <v>15</v>
      </c>
      <c r="I540" t="s">
        <v>5344</v>
      </c>
      <c r="N540">
        <v>1</v>
      </c>
      <c r="O540" t="s">
        <v>5343</v>
      </c>
      <c r="P540">
        <v>7403878826</v>
      </c>
      <c r="R540" s="7">
        <v>33239</v>
      </c>
      <c r="S540" s="8">
        <f t="shared" si="64"/>
        <v>1991</v>
      </c>
      <c r="T540" s="8">
        <v>1991</v>
      </c>
      <c r="U540" s="8">
        <f t="shared" si="65"/>
        <v>31</v>
      </c>
      <c r="V540" s="7" t="s">
        <v>5317</v>
      </c>
      <c r="W540" t="s">
        <v>779</v>
      </c>
      <c r="X540" s="2">
        <v>0.371</v>
      </c>
      <c r="Y540" s="6">
        <f t="shared" si="70"/>
        <v>9.9036331117695747E-3</v>
      </c>
      <c r="AA540">
        <v>486604</v>
      </c>
      <c r="AB540">
        <v>28580</v>
      </c>
      <c r="AC540" t="s">
        <v>778</v>
      </c>
      <c r="AD540" t="s">
        <v>5</v>
      </c>
      <c r="AE540">
        <v>26</v>
      </c>
      <c r="AF540">
        <v>4</v>
      </c>
      <c r="AH540" t="s">
        <v>5342</v>
      </c>
      <c r="AI540" t="s">
        <v>5341</v>
      </c>
      <c r="AK540" t="s">
        <v>5340</v>
      </c>
      <c r="AL540">
        <v>4</v>
      </c>
      <c r="AM540" s="5">
        <f t="shared" si="66"/>
        <v>0.12903225806451613</v>
      </c>
      <c r="AN540" s="4">
        <f t="shared" si="71"/>
        <v>1.9542939502387903E-4</v>
      </c>
      <c r="AO540" s="3"/>
      <c r="AP540">
        <v>0</v>
      </c>
      <c r="AR540" t="s">
        <v>0</v>
      </c>
      <c r="AT540" s="2">
        <v>1.431</v>
      </c>
      <c r="AU540" s="1">
        <f t="shared" si="67"/>
        <v>0.69911719967458652</v>
      </c>
      <c r="AV540" s="1">
        <f t="shared" si="68"/>
        <v>0.50495312533967263</v>
      </c>
      <c r="AW540" s="1">
        <f t="shared" si="69"/>
        <v>0.31078905100475879</v>
      </c>
    </row>
    <row r="541" spans="1:49" x14ac:dyDescent="0.2">
      <c r="A541">
        <v>539</v>
      </c>
      <c r="B541" t="s">
        <v>5339</v>
      </c>
      <c r="C541" t="s">
        <v>5338</v>
      </c>
      <c r="F541" t="s">
        <v>5337</v>
      </c>
      <c r="G541" t="s">
        <v>16</v>
      </c>
      <c r="H541" t="s">
        <v>15</v>
      </c>
      <c r="I541" t="s">
        <v>5336</v>
      </c>
      <c r="J541" t="s">
        <v>5335</v>
      </c>
      <c r="K541" t="s">
        <v>5334</v>
      </c>
      <c r="L541" t="s">
        <v>5333</v>
      </c>
      <c r="M541" t="s">
        <v>1147</v>
      </c>
      <c r="N541">
        <v>5</v>
      </c>
      <c r="O541" t="s">
        <v>5332</v>
      </c>
      <c r="P541" t="s">
        <v>5331</v>
      </c>
      <c r="Q541" t="s">
        <v>5330</v>
      </c>
      <c r="R541" s="7">
        <v>33239</v>
      </c>
      <c r="S541" s="8">
        <f t="shared" si="64"/>
        <v>1991</v>
      </c>
      <c r="T541" s="8">
        <v>1991</v>
      </c>
      <c r="U541" s="8">
        <f t="shared" si="65"/>
        <v>31</v>
      </c>
      <c r="V541" s="7">
        <v>33420</v>
      </c>
      <c r="W541" t="s">
        <v>4440</v>
      </c>
      <c r="X541" s="2">
        <v>0.94</v>
      </c>
      <c r="Y541" s="6">
        <f t="shared" si="70"/>
        <v>2.5092763140332611E-2</v>
      </c>
      <c r="AA541">
        <v>10518207</v>
      </c>
      <c r="AB541">
        <v>63372</v>
      </c>
      <c r="AD541" t="s">
        <v>5</v>
      </c>
      <c r="AE541">
        <v>1</v>
      </c>
      <c r="AF541">
        <v>7</v>
      </c>
      <c r="AH541" t="s">
        <v>5329</v>
      </c>
      <c r="AI541" t="s">
        <v>5328</v>
      </c>
      <c r="AK541" t="s">
        <v>5327</v>
      </c>
      <c r="AL541">
        <v>18</v>
      </c>
      <c r="AM541" s="5">
        <f t="shared" si="66"/>
        <v>0.58064516129032262</v>
      </c>
      <c r="AN541" s="4">
        <f t="shared" si="71"/>
        <v>8.7943227760745566E-4</v>
      </c>
      <c r="AO541" s="3"/>
      <c r="AP541">
        <v>0</v>
      </c>
      <c r="AR541" t="s">
        <v>0</v>
      </c>
      <c r="AT541" s="2" t="s">
        <v>33</v>
      </c>
      <c r="AU541" s="1">
        <f t="shared" si="67"/>
        <v>1.7828763881515064</v>
      </c>
      <c r="AV541" s="1">
        <f t="shared" si="68"/>
        <v>1.2986097708970035</v>
      </c>
      <c r="AW541" s="1">
        <f t="shared" si="69"/>
        <v>0.81434315364250009</v>
      </c>
    </row>
    <row r="542" spans="1:49" x14ac:dyDescent="0.2">
      <c r="A542">
        <v>540</v>
      </c>
      <c r="B542" t="s">
        <v>5326</v>
      </c>
      <c r="C542" t="s">
        <v>5325</v>
      </c>
      <c r="F542" t="s">
        <v>5324</v>
      </c>
      <c r="G542" t="s">
        <v>16</v>
      </c>
      <c r="H542" t="s">
        <v>15</v>
      </c>
      <c r="I542" t="s">
        <v>5323</v>
      </c>
      <c r="J542">
        <v>60022403</v>
      </c>
      <c r="K542" t="s">
        <v>5322</v>
      </c>
      <c r="L542" t="s">
        <v>5321</v>
      </c>
      <c r="M542" t="s">
        <v>4223</v>
      </c>
      <c r="N542">
        <v>2</v>
      </c>
      <c r="O542" t="s">
        <v>5320</v>
      </c>
      <c r="P542" t="s">
        <v>5319</v>
      </c>
      <c r="Q542" t="s">
        <v>5318</v>
      </c>
      <c r="R542" s="7">
        <v>33239</v>
      </c>
      <c r="S542" s="8">
        <f t="shared" si="64"/>
        <v>1991</v>
      </c>
      <c r="T542" s="8">
        <v>1991</v>
      </c>
      <c r="U542" s="8">
        <f t="shared" si="65"/>
        <v>31</v>
      </c>
      <c r="V542" s="7" t="s">
        <v>5317</v>
      </c>
      <c r="W542" t="s">
        <v>3449</v>
      </c>
      <c r="X542" s="2">
        <v>0.75800000000000001</v>
      </c>
      <c r="Y542" s="6">
        <f t="shared" si="70"/>
        <v>2.0234377085502256E-2</v>
      </c>
      <c r="AA542">
        <v>224650</v>
      </c>
      <c r="AB542">
        <v>29589</v>
      </c>
      <c r="AD542" t="s">
        <v>5</v>
      </c>
      <c r="AE542">
        <v>28</v>
      </c>
      <c r="AF542">
        <v>4</v>
      </c>
      <c r="AH542" t="s">
        <v>5316</v>
      </c>
      <c r="AI542" t="s">
        <v>5315</v>
      </c>
      <c r="AK542" t="s">
        <v>5314</v>
      </c>
      <c r="AL542">
        <v>0</v>
      </c>
      <c r="AM542" s="5">
        <f t="shared" si="66"/>
        <v>0</v>
      </c>
      <c r="AN542" s="4">
        <f t="shared" si="71"/>
        <v>0</v>
      </c>
      <c r="AO542" s="3"/>
      <c r="AP542">
        <v>0</v>
      </c>
      <c r="AR542" t="s">
        <v>5313</v>
      </c>
      <c r="AT542" s="2">
        <v>1.282</v>
      </c>
      <c r="AU542" s="1">
        <f t="shared" si="67"/>
        <v>1.4164063959851578</v>
      </c>
      <c r="AV542" s="1">
        <f t="shared" si="68"/>
        <v>1.0117188542751128</v>
      </c>
      <c r="AW542" s="1">
        <f t="shared" si="69"/>
        <v>0.60703131256506759</v>
      </c>
    </row>
    <row r="543" spans="1:49" x14ac:dyDescent="0.2">
      <c r="A543">
        <v>541</v>
      </c>
      <c r="B543" t="s">
        <v>5312</v>
      </c>
      <c r="C543" t="s">
        <v>5311</v>
      </c>
      <c r="F543" t="s">
        <v>5310</v>
      </c>
      <c r="G543" t="s">
        <v>16</v>
      </c>
      <c r="H543" t="s">
        <v>15</v>
      </c>
      <c r="I543" t="s">
        <v>5309</v>
      </c>
      <c r="J543" t="s">
        <v>5308</v>
      </c>
      <c r="K543" t="s">
        <v>5307</v>
      </c>
      <c r="L543" t="s">
        <v>5306</v>
      </c>
      <c r="M543" t="s">
        <v>5305</v>
      </c>
      <c r="N543">
        <v>3</v>
      </c>
      <c r="O543" t="s">
        <v>5304</v>
      </c>
      <c r="P543" t="s">
        <v>5303</v>
      </c>
      <c r="Q543" t="s">
        <v>5302</v>
      </c>
      <c r="R543" s="7">
        <v>33239</v>
      </c>
      <c r="S543" s="8">
        <f t="shared" si="64"/>
        <v>1991</v>
      </c>
      <c r="T543" s="8">
        <v>1991</v>
      </c>
      <c r="U543" s="8">
        <f t="shared" si="65"/>
        <v>31</v>
      </c>
      <c r="V543" s="7">
        <v>33420</v>
      </c>
      <c r="W543" t="s">
        <v>3542</v>
      </c>
      <c r="X543" s="2">
        <v>1.573</v>
      </c>
      <c r="Y543" s="6">
        <f t="shared" si="70"/>
        <v>4.1990336616748086E-2</v>
      </c>
      <c r="AA543">
        <v>7315090</v>
      </c>
      <c r="AB543">
        <v>29586</v>
      </c>
      <c r="AD543" t="s">
        <v>5</v>
      </c>
      <c r="AE543">
        <v>14</v>
      </c>
      <c r="AF543">
        <v>4</v>
      </c>
      <c r="AH543" t="s">
        <v>5301</v>
      </c>
      <c r="AI543" t="s">
        <v>5300</v>
      </c>
      <c r="AK543" t="s">
        <v>5299</v>
      </c>
      <c r="AL543">
        <v>4</v>
      </c>
      <c r="AM543" s="5">
        <f t="shared" si="66"/>
        <v>0.12903225806451613</v>
      </c>
      <c r="AN543" s="4">
        <f t="shared" si="71"/>
        <v>1.9542939502387903E-4</v>
      </c>
      <c r="AO543" s="3"/>
      <c r="AP543">
        <v>0</v>
      </c>
      <c r="AR543" t="s">
        <v>0</v>
      </c>
      <c r="AT543" s="2" t="s">
        <v>33</v>
      </c>
      <c r="AU543" s="1">
        <f t="shared" si="67"/>
        <v>2.9451864450230825</v>
      </c>
      <c r="AV543" s="1">
        <f t="shared" si="68"/>
        <v>2.1092883005885983</v>
      </c>
      <c r="AW543" s="1">
        <f t="shared" si="69"/>
        <v>1.2733901561541141</v>
      </c>
    </row>
    <row r="544" spans="1:49" x14ac:dyDescent="0.2">
      <c r="A544">
        <v>542</v>
      </c>
      <c r="B544" t="s">
        <v>5298</v>
      </c>
      <c r="C544" t="s">
        <v>5297</v>
      </c>
      <c r="F544" t="s">
        <v>5296</v>
      </c>
      <c r="G544" t="s">
        <v>16</v>
      </c>
      <c r="H544" t="s">
        <v>15</v>
      </c>
      <c r="I544" t="s">
        <v>5295</v>
      </c>
      <c r="J544">
        <v>60022880</v>
      </c>
      <c r="K544" t="s">
        <v>5294</v>
      </c>
      <c r="L544" t="s">
        <v>5293</v>
      </c>
      <c r="M544" t="s">
        <v>57</v>
      </c>
      <c r="N544">
        <v>2</v>
      </c>
      <c r="O544" t="s">
        <v>5292</v>
      </c>
      <c r="P544" t="s">
        <v>5291</v>
      </c>
      <c r="Q544" t="s">
        <v>5290</v>
      </c>
      <c r="R544" s="7">
        <v>33239</v>
      </c>
      <c r="S544" s="8">
        <f t="shared" si="64"/>
        <v>1991</v>
      </c>
      <c r="T544" s="8">
        <v>1991</v>
      </c>
      <c r="U544" s="8">
        <f t="shared" si="65"/>
        <v>31</v>
      </c>
      <c r="V544" s="7">
        <v>33420</v>
      </c>
      <c r="W544" t="s">
        <v>2747</v>
      </c>
      <c r="X544" s="2">
        <v>1.6379999999999999</v>
      </c>
      <c r="Y544" s="6">
        <f t="shared" si="70"/>
        <v>4.3725474493473214E-2</v>
      </c>
      <c r="AA544" t="s">
        <v>2746</v>
      </c>
      <c r="AB544">
        <v>17391</v>
      </c>
      <c r="AC544">
        <v>19410476</v>
      </c>
      <c r="AD544" t="s">
        <v>5</v>
      </c>
      <c r="AE544">
        <v>39</v>
      </c>
      <c r="AF544">
        <v>7</v>
      </c>
      <c r="AH544" t="s">
        <v>5289</v>
      </c>
      <c r="AI544" t="s">
        <v>5288</v>
      </c>
      <c r="AK544" t="s">
        <v>5287</v>
      </c>
      <c r="AL544">
        <v>52</v>
      </c>
      <c r="AM544" s="5">
        <f t="shared" si="66"/>
        <v>1.6774193548387097</v>
      </c>
      <c r="AN544" s="4">
        <f t="shared" si="71"/>
        <v>2.5405821353104274E-3</v>
      </c>
      <c r="AO544" s="3"/>
      <c r="AP544">
        <v>0</v>
      </c>
      <c r="AR544" t="s">
        <v>0</v>
      </c>
      <c r="AT544" s="2">
        <v>4.931</v>
      </c>
      <c r="AU544" s="1">
        <f t="shared" si="67"/>
        <v>3.1370006786024378</v>
      </c>
      <c r="AV544" s="1">
        <f t="shared" si="68"/>
        <v>2.3133028314391821</v>
      </c>
      <c r="AW544" s="1">
        <f t="shared" si="69"/>
        <v>1.4896049842759262</v>
      </c>
    </row>
    <row r="545" spans="1:49" x14ac:dyDescent="0.2">
      <c r="A545">
        <v>543</v>
      </c>
      <c r="B545" t="s">
        <v>5286</v>
      </c>
      <c r="C545" t="s">
        <v>5285</v>
      </c>
      <c r="F545" t="s">
        <v>5284</v>
      </c>
      <c r="G545" t="s">
        <v>16</v>
      </c>
      <c r="H545" t="s">
        <v>15</v>
      </c>
      <c r="I545" t="s">
        <v>5283</v>
      </c>
      <c r="N545">
        <v>1</v>
      </c>
      <c r="O545" t="s">
        <v>5282</v>
      </c>
      <c r="P545">
        <v>7004111273</v>
      </c>
      <c r="R545" s="7">
        <v>33239</v>
      </c>
      <c r="S545" s="8">
        <f t="shared" si="64"/>
        <v>1991</v>
      </c>
      <c r="T545" s="8">
        <v>1991</v>
      </c>
      <c r="U545" s="8">
        <f t="shared" si="65"/>
        <v>31</v>
      </c>
      <c r="V545" s="7">
        <v>33420</v>
      </c>
      <c r="W545" t="s">
        <v>674</v>
      </c>
      <c r="X545" s="2">
        <v>1.137</v>
      </c>
      <c r="Y545" s="6">
        <f t="shared" si="70"/>
        <v>3.0351565628253384E-2</v>
      </c>
      <c r="AA545">
        <v>189251</v>
      </c>
      <c r="AB545">
        <v>17336</v>
      </c>
      <c r="AD545" t="s">
        <v>5</v>
      </c>
      <c r="AE545">
        <v>27</v>
      </c>
      <c r="AF545">
        <v>4</v>
      </c>
      <c r="AH545" t="s">
        <v>5281</v>
      </c>
      <c r="AI545" t="s">
        <v>5280</v>
      </c>
      <c r="AK545" t="s">
        <v>5279</v>
      </c>
      <c r="AL545">
        <v>3</v>
      </c>
      <c r="AM545" s="5">
        <f t="shared" si="66"/>
        <v>9.6774193548387094E-2</v>
      </c>
      <c r="AN545" s="4">
        <f t="shared" si="71"/>
        <v>1.4657204626790927E-4</v>
      </c>
      <c r="AO545" s="3"/>
      <c r="AP545">
        <v>0</v>
      </c>
      <c r="AR545" t="s">
        <v>0</v>
      </c>
      <c r="AT545" s="2" t="s">
        <v>33</v>
      </c>
      <c r="AU545" s="1">
        <f t="shared" si="67"/>
        <v>2.1290067553657739</v>
      </c>
      <c r="AV545" s="1">
        <f t="shared" si="68"/>
        <v>1.5249068837260646</v>
      </c>
      <c r="AW545" s="1">
        <f t="shared" si="69"/>
        <v>0.92080701208635518</v>
      </c>
    </row>
    <row r="546" spans="1:49" x14ac:dyDescent="0.2">
      <c r="A546">
        <v>544</v>
      </c>
      <c r="B546" t="s">
        <v>5278</v>
      </c>
      <c r="C546" t="s">
        <v>5277</v>
      </c>
      <c r="F546" t="s">
        <v>5276</v>
      </c>
      <c r="G546" t="s">
        <v>16</v>
      </c>
      <c r="H546" t="s">
        <v>15</v>
      </c>
      <c r="I546" t="s">
        <v>5275</v>
      </c>
      <c r="J546">
        <v>60026415</v>
      </c>
      <c r="K546" t="s">
        <v>5274</v>
      </c>
      <c r="L546" t="s">
        <v>5273</v>
      </c>
      <c r="M546" t="s">
        <v>57</v>
      </c>
      <c r="N546">
        <v>2</v>
      </c>
      <c r="O546" t="s">
        <v>5272</v>
      </c>
      <c r="P546" t="s">
        <v>5271</v>
      </c>
      <c r="Q546" t="s">
        <v>5270</v>
      </c>
      <c r="R546" s="7">
        <v>33239</v>
      </c>
      <c r="S546" s="8">
        <f t="shared" si="64"/>
        <v>1991</v>
      </c>
      <c r="T546" s="8">
        <v>1991</v>
      </c>
      <c r="U546" s="8">
        <f t="shared" si="65"/>
        <v>31</v>
      </c>
      <c r="V546" s="7">
        <v>33420</v>
      </c>
      <c r="W546" t="s">
        <v>1807</v>
      </c>
      <c r="X546" s="2">
        <v>1.6519999999999999</v>
      </c>
      <c r="Y546" s="6">
        <f t="shared" si="70"/>
        <v>4.409919649769093E-2</v>
      </c>
      <c r="AA546" t="s">
        <v>1806</v>
      </c>
      <c r="AB546">
        <v>17337</v>
      </c>
      <c r="AC546">
        <v>15582221</v>
      </c>
      <c r="AD546" t="s">
        <v>5</v>
      </c>
      <c r="AE546">
        <v>39</v>
      </c>
      <c r="AF546">
        <v>7</v>
      </c>
      <c r="AH546" t="s">
        <v>5269</v>
      </c>
      <c r="AI546" t="s">
        <v>5268</v>
      </c>
      <c r="AK546" t="s">
        <v>5267</v>
      </c>
      <c r="AL546">
        <v>322</v>
      </c>
      <c r="AM546" s="5">
        <f t="shared" si="66"/>
        <v>10.387096774193548</v>
      </c>
      <c r="AN546" s="4">
        <f t="shared" si="71"/>
        <v>1.5732066299422261E-2</v>
      </c>
      <c r="AO546" s="3"/>
      <c r="AP546">
        <v>0</v>
      </c>
      <c r="AR546" t="s">
        <v>0</v>
      </c>
      <c r="AT546" s="2" t="s">
        <v>33</v>
      </c>
      <c r="AU546" s="1">
        <f t="shared" si="67"/>
        <v>3.558905743821033</v>
      </c>
      <c r="AV546" s="1">
        <f t="shared" si="68"/>
        <v>2.9915631398556597</v>
      </c>
      <c r="AW546" s="1">
        <f t="shared" si="69"/>
        <v>2.424220535890286</v>
      </c>
    </row>
    <row r="547" spans="1:49" x14ac:dyDescent="0.2">
      <c r="A547">
        <v>545</v>
      </c>
      <c r="B547" t="s">
        <v>5266</v>
      </c>
      <c r="C547" t="s">
        <v>5265</v>
      </c>
      <c r="F547" t="s">
        <v>5264</v>
      </c>
      <c r="G547" t="s">
        <v>16</v>
      </c>
      <c r="H547" t="s">
        <v>15</v>
      </c>
      <c r="I547" t="s">
        <v>376</v>
      </c>
      <c r="J547">
        <v>60009037</v>
      </c>
      <c r="K547" t="s">
        <v>375</v>
      </c>
      <c r="L547" t="s">
        <v>374</v>
      </c>
      <c r="M547" t="s">
        <v>57</v>
      </c>
      <c r="N547">
        <v>2</v>
      </c>
      <c r="O547" t="s">
        <v>5263</v>
      </c>
      <c r="P547" t="s">
        <v>5262</v>
      </c>
      <c r="Q547" t="s">
        <v>1822</v>
      </c>
      <c r="R547" s="7">
        <v>33239</v>
      </c>
      <c r="S547" s="8">
        <f t="shared" si="64"/>
        <v>1991</v>
      </c>
      <c r="T547" s="8">
        <v>1991</v>
      </c>
      <c r="U547" s="8">
        <f t="shared" si="65"/>
        <v>31</v>
      </c>
      <c r="V547" s="7">
        <v>33420</v>
      </c>
      <c r="W547" t="s">
        <v>1807</v>
      </c>
      <c r="X547" s="2">
        <v>1.6519999999999999</v>
      </c>
      <c r="Y547" s="6">
        <f t="shared" si="70"/>
        <v>4.409919649769093E-2</v>
      </c>
      <c r="AA547" t="s">
        <v>1806</v>
      </c>
      <c r="AB547">
        <v>17337</v>
      </c>
      <c r="AC547">
        <v>15582221</v>
      </c>
      <c r="AD547" t="s">
        <v>5</v>
      </c>
      <c r="AE547">
        <v>39</v>
      </c>
      <c r="AF547">
        <v>7</v>
      </c>
      <c r="AH547" t="s">
        <v>5261</v>
      </c>
      <c r="AI547" t="s">
        <v>5260</v>
      </c>
      <c r="AK547" t="s">
        <v>5259</v>
      </c>
      <c r="AL547">
        <v>177</v>
      </c>
      <c r="AM547" s="5">
        <f t="shared" si="66"/>
        <v>5.709677419354839</v>
      </c>
      <c r="AN547" s="4">
        <f t="shared" si="71"/>
        <v>8.6477507298066466E-3</v>
      </c>
      <c r="AO547" s="3"/>
      <c r="AP547">
        <v>0</v>
      </c>
      <c r="AR547" t="s">
        <v>0</v>
      </c>
      <c r="AT547" s="2" t="s">
        <v>33</v>
      </c>
      <c r="AU547" s="1">
        <f t="shared" si="67"/>
        <v>3.3463762767325642</v>
      </c>
      <c r="AV547" s="1">
        <f t="shared" si="68"/>
        <v>2.637347361374879</v>
      </c>
      <c r="AW547" s="1">
        <f t="shared" si="69"/>
        <v>1.9283184460171929</v>
      </c>
    </row>
    <row r="548" spans="1:49" x14ac:dyDescent="0.2">
      <c r="A548">
        <v>546</v>
      </c>
      <c r="B548" t="s">
        <v>5258</v>
      </c>
      <c r="C548" t="s">
        <v>5257</v>
      </c>
      <c r="F548" t="s">
        <v>5256</v>
      </c>
      <c r="G548" t="s">
        <v>16</v>
      </c>
      <c r="H548" t="s">
        <v>15</v>
      </c>
      <c r="I548" t="s">
        <v>5255</v>
      </c>
      <c r="J548" t="s">
        <v>4446</v>
      </c>
      <c r="K548" t="s">
        <v>4445</v>
      </c>
      <c r="L548" t="s">
        <v>4444</v>
      </c>
      <c r="M548" t="s">
        <v>133</v>
      </c>
      <c r="N548">
        <v>2</v>
      </c>
      <c r="O548" t="s">
        <v>5254</v>
      </c>
      <c r="P548" t="s">
        <v>5253</v>
      </c>
      <c r="Q548" t="s">
        <v>4441</v>
      </c>
      <c r="R548" s="7">
        <v>33239</v>
      </c>
      <c r="S548" s="8">
        <f t="shared" si="64"/>
        <v>1991</v>
      </c>
      <c r="T548" s="8">
        <v>1991</v>
      </c>
      <c r="U548" s="8">
        <f t="shared" si="65"/>
        <v>31</v>
      </c>
      <c r="V548" s="7">
        <v>33420</v>
      </c>
      <c r="W548" t="s">
        <v>4440</v>
      </c>
      <c r="X548" s="2">
        <v>0.94</v>
      </c>
      <c r="Y548" s="6">
        <f t="shared" si="70"/>
        <v>2.5092763140332611E-2</v>
      </c>
      <c r="AA548">
        <v>10518207</v>
      </c>
      <c r="AB548">
        <v>63372</v>
      </c>
      <c r="AD548" t="s">
        <v>5</v>
      </c>
      <c r="AE548">
        <v>1</v>
      </c>
      <c r="AF548">
        <v>7</v>
      </c>
      <c r="AH548" t="s">
        <v>5252</v>
      </c>
      <c r="AI548" t="s">
        <v>5251</v>
      </c>
      <c r="AK548" t="s">
        <v>5250</v>
      </c>
      <c r="AL548">
        <v>6</v>
      </c>
      <c r="AM548" s="5">
        <f t="shared" si="66"/>
        <v>0.19354838709677419</v>
      </c>
      <c r="AN548" s="4">
        <f t="shared" si="71"/>
        <v>2.9314409253581854E-4</v>
      </c>
      <c r="AO548" s="3"/>
      <c r="AP548">
        <v>0</v>
      </c>
      <c r="AR548" t="s">
        <v>0</v>
      </c>
      <c r="AT548" s="2" t="s">
        <v>33</v>
      </c>
      <c r="AU548" s="1">
        <f t="shared" si="67"/>
        <v>1.7652877425993572</v>
      </c>
      <c r="AV548" s="1">
        <f t="shared" si="68"/>
        <v>1.2692953616434215</v>
      </c>
      <c r="AW548" s="1">
        <f t="shared" si="69"/>
        <v>0.7733029806874856</v>
      </c>
    </row>
    <row r="549" spans="1:49" x14ac:dyDescent="0.2">
      <c r="A549">
        <v>547</v>
      </c>
      <c r="B549" t="s">
        <v>5249</v>
      </c>
      <c r="C549" t="s">
        <v>5248</v>
      </c>
      <c r="F549" t="s">
        <v>5247</v>
      </c>
      <c r="G549" t="s">
        <v>16</v>
      </c>
      <c r="H549" t="s">
        <v>15</v>
      </c>
      <c r="I549" t="s">
        <v>4663</v>
      </c>
      <c r="J549" t="s">
        <v>5246</v>
      </c>
      <c r="K549" t="s">
        <v>5245</v>
      </c>
      <c r="L549" t="s">
        <v>5244</v>
      </c>
      <c r="M549" t="s">
        <v>1147</v>
      </c>
      <c r="N549">
        <v>4</v>
      </c>
      <c r="O549" t="s">
        <v>5243</v>
      </c>
      <c r="P549" t="s">
        <v>5242</v>
      </c>
      <c r="Q549" t="s">
        <v>5241</v>
      </c>
      <c r="R549" s="7">
        <v>33239</v>
      </c>
      <c r="S549" s="8">
        <f t="shared" si="64"/>
        <v>1991</v>
      </c>
      <c r="T549" s="8">
        <v>1991</v>
      </c>
      <c r="U549" s="8">
        <f t="shared" si="65"/>
        <v>31</v>
      </c>
      <c r="V549" s="7">
        <v>33420</v>
      </c>
      <c r="W549" t="s">
        <v>1807</v>
      </c>
      <c r="X549" s="2">
        <v>1.6519999999999999</v>
      </c>
      <c r="Y549" s="6">
        <f t="shared" si="70"/>
        <v>4.409919649769093E-2</v>
      </c>
      <c r="AA549" t="s">
        <v>1806</v>
      </c>
      <c r="AB549">
        <v>17337</v>
      </c>
      <c r="AC549">
        <v>15582221</v>
      </c>
      <c r="AD549" t="s">
        <v>5</v>
      </c>
      <c r="AE549">
        <v>39</v>
      </c>
      <c r="AF549">
        <v>7</v>
      </c>
      <c r="AH549" t="s">
        <v>5240</v>
      </c>
      <c r="AI549" t="s">
        <v>5239</v>
      </c>
      <c r="AK549" t="s">
        <v>5238</v>
      </c>
      <c r="AL549">
        <v>8</v>
      </c>
      <c r="AM549" s="5">
        <f t="shared" si="66"/>
        <v>0.25806451612903225</v>
      </c>
      <c r="AN549" s="4">
        <f t="shared" si="71"/>
        <v>3.9085879004775807E-4</v>
      </c>
      <c r="AO549" s="3"/>
      <c r="AP549">
        <v>0</v>
      </c>
      <c r="AR549" t="s">
        <v>0</v>
      </c>
      <c r="AT549" s="2" t="s">
        <v>33</v>
      </c>
      <c r="AU549" s="1">
        <f t="shared" si="67"/>
        <v>3.0986695185397974</v>
      </c>
      <c r="AV549" s="1">
        <f t="shared" si="68"/>
        <v>2.2245027643869344</v>
      </c>
      <c r="AW549" s="1">
        <f t="shared" si="69"/>
        <v>1.3503360102340709</v>
      </c>
    </row>
    <row r="550" spans="1:49" x14ac:dyDescent="0.2">
      <c r="A550">
        <v>548</v>
      </c>
      <c r="B550" t="s">
        <v>5237</v>
      </c>
      <c r="C550" t="s">
        <v>5236</v>
      </c>
      <c r="F550" t="s">
        <v>5235</v>
      </c>
      <c r="G550" t="s">
        <v>16</v>
      </c>
      <c r="H550" t="s">
        <v>15</v>
      </c>
      <c r="I550" t="s">
        <v>5234</v>
      </c>
      <c r="N550">
        <v>2</v>
      </c>
      <c r="O550" t="s">
        <v>5233</v>
      </c>
      <c r="P550" t="s">
        <v>5232</v>
      </c>
      <c r="Q550" t="s">
        <v>592</v>
      </c>
      <c r="R550" s="7">
        <v>33239</v>
      </c>
      <c r="S550" s="8">
        <f t="shared" si="64"/>
        <v>1991</v>
      </c>
      <c r="T550" s="8">
        <v>1991</v>
      </c>
      <c r="U550" s="8">
        <f t="shared" si="65"/>
        <v>31</v>
      </c>
      <c r="V550" s="7">
        <v>33420</v>
      </c>
      <c r="W550" t="s">
        <v>1807</v>
      </c>
      <c r="X550" s="2">
        <v>1.6519999999999999</v>
      </c>
      <c r="Y550" s="6">
        <f t="shared" si="70"/>
        <v>4.409919649769093E-2</v>
      </c>
      <c r="AA550" t="s">
        <v>1806</v>
      </c>
      <c r="AB550">
        <v>17337</v>
      </c>
      <c r="AC550">
        <v>15582221</v>
      </c>
      <c r="AD550" t="s">
        <v>5</v>
      </c>
      <c r="AE550">
        <v>39</v>
      </c>
      <c r="AF550">
        <v>7</v>
      </c>
      <c r="AH550" t="s">
        <v>5231</v>
      </c>
      <c r="AI550" t="s">
        <v>5230</v>
      </c>
      <c r="AK550" t="s">
        <v>5229</v>
      </c>
      <c r="AL550">
        <v>37</v>
      </c>
      <c r="AM550" s="5">
        <f t="shared" si="66"/>
        <v>1.1935483870967742</v>
      </c>
      <c r="AN550" s="4">
        <f t="shared" si="71"/>
        <v>1.8077219039708812E-3</v>
      </c>
      <c r="AO550" s="3"/>
      <c r="AP550">
        <v>0</v>
      </c>
      <c r="AR550" t="s">
        <v>0</v>
      </c>
      <c r="AT550" s="2" t="s">
        <v>33</v>
      </c>
      <c r="AU550" s="1">
        <f t="shared" si="67"/>
        <v>3.1411754119574913</v>
      </c>
      <c r="AV550" s="1">
        <f t="shared" si="68"/>
        <v>2.2953459200830908</v>
      </c>
      <c r="AW550" s="1">
        <f t="shared" si="69"/>
        <v>1.4495164282086894</v>
      </c>
    </row>
    <row r="551" spans="1:49" x14ac:dyDescent="0.2">
      <c r="A551">
        <v>549</v>
      </c>
      <c r="B551" t="s">
        <v>5228</v>
      </c>
      <c r="C551" t="s">
        <v>5227</v>
      </c>
      <c r="F551" t="s">
        <v>5226</v>
      </c>
      <c r="G551" t="s">
        <v>16</v>
      </c>
      <c r="H551" t="s">
        <v>15</v>
      </c>
      <c r="I551" t="s">
        <v>5225</v>
      </c>
      <c r="J551">
        <v>60101699</v>
      </c>
      <c r="K551" t="s">
        <v>5224</v>
      </c>
      <c r="L551" t="s">
        <v>327</v>
      </c>
      <c r="M551" t="s">
        <v>326</v>
      </c>
      <c r="N551">
        <v>2</v>
      </c>
      <c r="O551" t="s">
        <v>5223</v>
      </c>
      <c r="P551" t="s">
        <v>5222</v>
      </c>
      <c r="Q551" t="s">
        <v>5221</v>
      </c>
      <c r="R551" s="7">
        <v>33239</v>
      </c>
      <c r="S551" s="8">
        <f t="shared" si="64"/>
        <v>1991</v>
      </c>
      <c r="T551" s="8">
        <v>1991</v>
      </c>
      <c r="U551" s="8">
        <f t="shared" si="65"/>
        <v>31</v>
      </c>
      <c r="V551" s="7">
        <v>33390</v>
      </c>
      <c r="W551" t="s">
        <v>2569</v>
      </c>
      <c r="X551" s="2">
        <v>0.111</v>
      </c>
      <c r="Y551" s="6">
        <f t="shared" si="70"/>
        <v>2.9630816048690639E-3</v>
      </c>
      <c r="AA551">
        <v>87566621</v>
      </c>
      <c r="AB551">
        <v>24890</v>
      </c>
      <c r="AC551">
        <v>15206424</v>
      </c>
      <c r="AD551" t="s">
        <v>5</v>
      </c>
      <c r="AE551">
        <v>74</v>
      </c>
      <c r="AF551">
        <v>6</v>
      </c>
      <c r="AH551" t="s">
        <v>5220</v>
      </c>
      <c r="AI551" t="s">
        <v>5219</v>
      </c>
      <c r="AK551" t="s">
        <v>5218</v>
      </c>
      <c r="AL551">
        <v>0</v>
      </c>
      <c r="AM551" s="5">
        <f t="shared" si="66"/>
        <v>0</v>
      </c>
      <c r="AN551" s="4">
        <f t="shared" si="71"/>
        <v>0</v>
      </c>
      <c r="AO551" s="3"/>
      <c r="AP551">
        <v>0</v>
      </c>
      <c r="AR551" t="s">
        <v>0</v>
      </c>
      <c r="AT551" s="2" t="s">
        <v>33</v>
      </c>
      <c r="AU551" s="1">
        <f t="shared" si="67"/>
        <v>0.20741571234083445</v>
      </c>
      <c r="AV551" s="1">
        <f t="shared" si="68"/>
        <v>0.1481540802434532</v>
      </c>
      <c r="AW551" s="1">
        <f t="shared" si="69"/>
        <v>8.8892448146071903E-2</v>
      </c>
    </row>
    <row r="552" spans="1:49" x14ac:dyDescent="0.2">
      <c r="A552">
        <v>550</v>
      </c>
      <c r="B552" t="s">
        <v>5217</v>
      </c>
      <c r="C552" t="s">
        <v>5216</v>
      </c>
      <c r="F552" t="s">
        <v>5215</v>
      </c>
      <c r="G552" t="s">
        <v>16</v>
      </c>
      <c r="H552" t="s">
        <v>15</v>
      </c>
      <c r="I552" t="s">
        <v>5214</v>
      </c>
      <c r="J552">
        <v>101466293</v>
      </c>
      <c r="K552" t="s">
        <v>5213</v>
      </c>
      <c r="L552" t="s">
        <v>327</v>
      </c>
      <c r="M552" t="s">
        <v>326</v>
      </c>
      <c r="N552">
        <v>2</v>
      </c>
      <c r="O552" t="s">
        <v>5212</v>
      </c>
      <c r="P552" t="s">
        <v>5211</v>
      </c>
      <c r="Q552" t="s">
        <v>5210</v>
      </c>
      <c r="R552" s="7">
        <v>33239</v>
      </c>
      <c r="S552" s="8">
        <f t="shared" si="64"/>
        <v>1991</v>
      </c>
      <c r="T552" s="8">
        <v>1991</v>
      </c>
      <c r="U552" s="8">
        <f t="shared" si="65"/>
        <v>31</v>
      </c>
      <c r="V552" s="7">
        <v>33390</v>
      </c>
      <c r="W552" t="s">
        <v>2569</v>
      </c>
      <c r="X552" s="2">
        <v>0.111</v>
      </c>
      <c r="Y552" s="6">
        <f t="shared" si="70"/>
        <v>2.9630816048690639E-3</v>
      </c>
      <c r="AA552">
        <v>87566621</v>
      </c>
      <c r="AB552">
        <v>24890</v>
      </c>
      <c r="AC552">
        <v>15206424</v>
      </c>
      <c r="AD552" t="s">
        <v>5</v>
      </c>
      <c r="AE552">
        <v>74</v>
      </c>
      <c r="AF552">
        <v>6</v>
      </c>
      <c r="AH552" t="s">
        <v>5209</v>
      </c>
      <c r="AI552" t="s">
        <v>5208</v>
      </c>
      <c r="AK552" t="s">
        <v>5207</v>
      </c>
      <c r="AL552">
        <v>0</v>
      </c>
      <c r="AM552" s="5">
        <f t="shared" si="66"/>
        <v>0</v>
      </c>
      <c r="AN552" s="4">
        <f t="shared" si="71"/>
        <v>0</v>
      </c>
      <c r="AO552" s="3"/>
      <c r="AP552">
        <v>0</v>
      </c>
      <c r="AR552" t="s">
        <v>0</v>
      </c>
      <c r="AT552" s="2" t="s">
        <v>33</v>
      </c>
      <c r="AU552" s="1">
        <f t="shared" si="67"/>
        <v>0.20741571234083445</v>
      </c>
      <c r="AV552" s="1">
        <f t="shared" si="68"/>
        <v>0.1481540802434532</v>
      </c>
      <c r="AW552" s="1">
        <f t="shared" si="69"/>
        <v>8.8892448146071903E-2</v>
      </c>
    </row>
    <row r="553" spans="1:49" x14ac:dyDescent="0.2">
      <c r="A553">
        <v>551</v>
      </c>
      <c r="B553" t="s">
        <v>5206</v>
      </c>
      <c r="C553" t="s">
        <v>5205</v>
      </c>
      <c r="F553" t="s">
        <v>5204</v>
      </c>
      <c r="G553" t="s">
        <v>16</v>
      </c>
      <c r="H553" t="s">
        <v>15</v>
      </c>
      <c r="I553" t="s">
        <v>5203</v>
      </c>
      <c r="J553" t="s">
        <v>5202</v>
      </c>
      <c r="K553" t="s">
        <v>5201</v>
      </c>
      <c r="L553" t="s">
        <v>5200</v>
      </c>
      <c r="M553" t="s">
        <v>821</v>
      </c>
      <c r="N553">
        <v>2</v>
      </c>
      <c r="O553" t="s">
        <v>5199</v>
      </c>
      <c r="P553" t="s">
        <v>5198</v>
      </c>
      <c r="Q553" t="s">
        <v>5197</v>
      </c>
      <c r="R553" s="7">
        <v>33239</v>
      </c>
      <c r="S553" s="8">
        <f t="shared" si="64"/>
        <v>1991</v>
      </c>
      <c r="T553" s="8">
        <v>1991</v>
      </c>
      <c r="U553" s="8">
        <f t="shared" si="65"/>
        <v>31</v>
      </c>
      <c r="V553" s="7">
        <v>33390</v>
      </c>
      <c r="W553" t="s">
        <v>2569</v>
      </c>
      <c r="X553" s="2">
        <v>0.111</v>
      </c>
      <c r="Y553" s="6">
        <f t="shared" si="70"/>
        <v>2.9630816048690639E-3</v>
      </c>
      <c r="AA553">
        <v>87566621</v>
      </c>
      <c r="AB553">
        <v>24890</v>
      </c>
      <c r="AC553">
        <v>15206424</v>
      </c>
      <c r="AD553" t="s">
        <v>5</v>
      </c>
      <c r="AE553">
        <v>74</v>
      </c>
      <c r="AF553">
        <v>6</v>
      </c>
      <c r="AH553" t="s">
        <v>5196</v>
      </c>
      <c r="AI553" t="s">
        <v>5195</v>
      </c>
      <c r="AK553" t="s">
        <v>5194</v>
      </c>
      <c r="AL553">
        <v>0</v>
      </c>
      <c r="AM553" s="5">
        <f t="shared" si="66"/>
        <v>0</v>
      </c>
      <c r="AN553" s="4">
        <f t="shared" si="71"/>
        <v>0</v>
      </c>
      <c r="AO553" s="3"/>
      <c r="AP553">
        <v>0</v>
      </c>
      <c r="AR553" t="s">
        <v>0</v>
      </c>
      <c r="AT553" s="2" t="s">
        <v>33</v>
      </c>
      <c r="AU553" s="1">
        <f t="shared" si="67"/>
        <v>0.20741571234083445</v>
      </c>
      <c r="AV553" s="1">
        <f t="shared" si="68"/>
        <v>0.1481540802434532</v>
      </c>
      <c r="AW553" s="1">
        <f t="shared" si="69"/>
        <v>8.8892448146071903E-2</v>
      </c>
    </row>
    <row r="554" spans="1:49" x14ac:dyDescent="0.2">
      <c r="A554">
        <v>552</v>
      </c>
      <c r="B554" t="s">
        <v>5193</v>
      </c>
      <c r="C554" t="s">
        <v>5192</v>
      </c>
      <c r="F554" t="s">
        <v>5191</v>
      </c>
      <c r="G554" t="s">
        <v>16</v>
      </c>
      <c r="H554" t="s">
        <v>15</v>
      </c>
      <c r="I554" t="s">
        <v>5190</v>
      </c>
      <c r="J554">
        <v>60103907</v>
      </c>
      <c r="K554" t="s">
        <v>1296</v>
      </c>
      <c r="L554" t="s">
        <v>327</v>
      </c>
      <c r="M554" t="s">
        <v>326</v>
      </c>
      <c r="N554">
        <v>2</v>
      </c>
      <c r="O554" t="s">
        <v>5189</v>
      </c>
      <c r="P554" t="s">
        <v>5188</v>
      </c>
      <c r="Q554" t="s">
        <v>1293</v>
      </c>
      <c r="R554" s="7">
        <v>33239</v>
      </c>
      <c r="S554" s="8">
        <f t="shared" si="64"/>
        <v>1991</v>
      </c>
      <c r="T554" s="8">
        <v>1991</v>
      </c>
      <c r="U554" s="8">
        <f t="shared" si="65"/>
        <v>31</v>
      </c>
      <c r="V554" s="7">
        <v>33390</v>
      </c>
      <c r="W554" t="s">
        <v>2569</v>
      </c>
      <c r="X554" s="2">
        <v>0.111</v>
      </c>
      <c r="Y554" s="6">
        <f t="shared" si="70"/>
        <v>2.9630816048690639E-3</v>
      </c>
      <c r="AA554">
        <v>87566621</v>
      </c>
      <c r="AB554">
        <v>24890</v>
      </c>
      <c r="AC554">
        <v>15206424</v>
      </c>
      <c r="AD554" t="s">
        <v>5</v>
      </c>
      <c r="AE554">
        <v>74</v>
      </c>
      <c r="AF554">
        <v>6</v>
      </c>
      <c r="AH554" t="s">
        <v>5187</v>
      </c>
      <c r="AI554" t="s">
        <v>5186</v>
      </c>
      <c r="AK554" t="s">
        <v>5185</v>
      </c>
      <c r="AL554">
        <v>0</v>
      </c>
      <c r="AM554" s="5">
        <f t="shared" si="66"/>
        <v>0</v>
      </c>
      <c r="AN554" s="4">
        <f t="shared" si="71"/>
        <v>0</v>
      </c>
      <c r="AO554" s="3"/>
      <c r="AP554">
        <v>0</v>
      </c>
      <c r="AR554" t="s">
        <v>0</v>
      </c>
      <c r="AT554" s="2" t="s">
        <v>33</v>
      </c>
      <c r="AU554" s="1">
        <f t="shared" si="67"/>
        <v>0.20741571234083445</v>
      </c>
      <c r="AV554" s="1">
        <f t="shared" si="68"/>
        <v>0.1481540802434532</v>
      </c>
      <c r="AW554" s="1">
        <f t="shared" si="69"/>
        <v>8.8892448146071903E-2</v>
      </c>
    </row>
    <row r="555" spans="1:49" x14ac:dyDescent="0.2">
      <c r="A555">
        <v>553</v>
      </c>
      <c r="B555" t="s">
        <v>5184</v>
      </c>
      <c r="C555" t="s">
        <v>5183</v>
      </c>
      <c r="F555" t="s">
        <v>5182</v>
      </c>
      <c r="G555" t="s">
        <v>16</v>
      </c>
      <c r="H555" t="s">
        <v>15</v>
      </c>
      <c r="I555" t="s">
        <v>5181</v>
      </c>
      <c r="J555">
        <v>60009514</v>
      </c>
      <c r="K555" t="s">
        <v>5180</v>
      </c>
      <c r="L555" t="s">
        <v>5179</v>
      </c>
      <c r="M555" t="s">
        <v>326</v>
      </c>
      <c r="N555">
        <v>1</v>
      </c>
      <c r="O555" t="s">
        <v>5178</v>
      </c>
      <c r="P555">
        <v>57224872257</v>
      </c>
      <c r="Q555">
        <v>60009514</v>
      </c>
      <c r="R555" s="7">
        <v>33239</v>
      </c>
      <c r="S555" s="8">
        <f t="shared" si="64"/>
        <v>1991</v>
      </c>
      <c r="T555" s="8">
        <v>1991</v>
      </c>
      <c r="U555" s="8">
        <f t="shared" si="65"/>
        <v>31</v>
      </c>
      <c r="V555" s="7">
        <v>33390</v>
      </c>
      <c r="W555" t="s">
        <v>2569</v>
      </c>
      <c r="X555" s="2">
        <v>0.111</v>
      </c>
      <c r="Y555" s="6">
        <f t="shared" si="70"/>
        <v>2.9630816048690639E-3</v>
      </c>
      <c r="AA555">
        <v>87566621</v>
      </c>
      <c r="AB555">
        <v>24890</v>
      </c>
      <c r="AC555">
        <v>15206424</v>
      </c>
      <c r="AD555" t="s">
        <v>5</v>
      </c>
      <c r="AE555">
        <v>74</v>
      </c>
      <c r="AF555">
        <v>6</v>
      </c>
      <c r="AH555" t="s">
        <v>5177</v>
      </c>
      <c r="AI555" t="s">
        <v>5176</v>
      </c>
      <c r="AK555" t="s">
        <v>5175</v>
      </c>
      <c r="AL555">
        <v>0</v>
      </c>
      <c r="AM555" s="5">
        <f t="shared" si="66"/>
        <v>0</v>
      </c>
      <c r="AN555" s="4">
        <f t="shared" si="71"/>
        <v>0</v>
      </c>
      <c r="AO555" s="3"/>
      <c r="AP555">
        <v>0</v>
      </c>
      <c r="AR555" t="s">
        <v>0</v>
      </c>
      <c r="AT555" s="2" t="s">
        <v>33</v>
      </c>
      <c r="AU555" s="1">
        <f t="shared" si="67"/>
        <v>0.20741571234083445</v>
      </c>
      <c r="AV555" s="1">
        <f t="shared" si="68"/>
        <v>0.1481540802434532</v>
      </c>
      <c r="AW555" s="1">
        <f t="shared" si="69"/>
        <v>8.8892448146071903E-2</v>
      </c>
    </row>
    <row r="556" spans="1:49" x14ac:dyDescent="0.2">
      <c r="A556">
        <v>554</v>
      </c>
      <c r="B556" t="s">
        <v>5174</v>
      </c>
      <c r="C556" t="s">
        <v>5173</v>
      </c>
      <c r="F556" t="s">
        <v>5172</v>
      </c>
      <c r="G556" t="s">
        <v>16</v>
      </c>
      <c r="H556" t="s">
        <v>15</v>
      </c>
      <c r="I556" t="s">
        <v>5171</v>
      </c>
      <c r="J556" t="s">
        <v>5166</v>
      </c>
      <c r="K556" t="s">
        <v>5170</v>
      </c>
      <c r="L556" t="s">
        <v>5169</v>
      </c>
      <c r="M556" t="s">
        <v>821</v>
      </c>
      <c r="N556">
        <v>2</v>
      </c>
      <c r="O556" t="s">
        <v>5168</v>
      </c>
      <c r="P556" t="s">
        <v>5167</v>
      </c>
      <c r="Q556" t="s">
        <v>5166</v>
      </c>
      <c r="R556" s="7">
        <v>33239</v>
      </c>
      <c r="S556" s="8">
        <f t="shared" si="64"/>
        <v>1991</v>
      </c>
      <c r="T556" s="8">
        <v>1991</v>
      </c>
      <c r="U556" s="8">
        <f t="shared" si="65"/>
        <v>31</v>
      </c>
      <c r="V556" s="7">
        <v>1991</v>
      </c>
      <c r="W556" t="s">
        <v>2802</v>
      </c>
      <c r="X556" s="2">
        <v>0.13900000000000001</v>
      </c>
      <c r="Y556" s="6">
        <f t="shared" si="70"/>
        <v>3.7105256133045036E-3</v>
      </c>
      <c r="AA556" t="s">
        <v>2801</v>
      </c>
      <c r="AB556">
        <v>24891</v>
      </c>
      <c r="AC556">
        <v>15206432</v>
      </c>
      <c r="AD556" t="s">
        <v>5</v>
      </c>
      <c r="AE556">
        <v>74</v>
      </c>
      <c r="AF556">
        <v>6</v>
      </c>
      <c r="AH556" t="s">
        <v>5165</v>
      </c>
      <c r="AI556" t="s">
        <v>5164</v>
      </c>
      <c r="AK556" t="s">
        <v>5163</v>
      </c>
      <c r="AL556">
        <v>0</v>
      </c>
      <c r="AM556" s="5">
        <f t="shared" si="66"/>
        <v>0</v>
      </c>
      <c r="AN556" s="4">
        <f t="shared" si="71"/>
        <v>0</v>
      </c>
      <c r="AO556" s="3"/>
      <c r="AP556">
        <v>0</v>
      </c>
      <c r="AR556" t="s">
        <v>0</v>
      </c>
      <c r="AT556" s="2" t="s">
        <v>33</v>
      </c>
      <c r="AU556" s="1">
        <f t="shared" si="67"/>
        <v>0.25973679293131524</v>
      </c>
      <c r="AV556" s="1">
        <f t="shared" si="68"/>
        <v>0.1855262806652252</v>
      </c>
      <c r="AW556" s="1">
        <f t="shared" si="69"/>
        <v>0.1113157683991351</v>
      </c>
    </row>
    <row r="557" spans="1:49" x14ac:dyDescent="0.2">
      <c r="A557">
        <v>555</v>
      </c>
      <c r="B557" t="s">
        <v>5162</v>
      </c>
      <c r="C557" t="s">
        <v>5161</v>
      </c>
      <c r="F557" t="s">
        <v>5160</v>
      </c>
      <c r="G557" t="s">
        <v>16</v>
      </c>
      <c r="H557" t="s">
        <v>15</v>
      </c>
      <c r="I557" t="s">
        <v>5159</v>
      </c>
      <c r="J557">
        <v>60005510</v>
      </c>
      <c r="K557" t="s">
        <v>1409</v>
      </c>
      <c r="L557" t="s">
        <v>1408</v>
      </c>
      <c r="M557" t="s">
        <v>1407</v>
      </c>
      <c r="N557">
        <v>2</v>
      </c>
      <c r="O557" t="s">
        <v>5158</v>
      </c>
      <c r="P557" t="s">
        <v>5157</v>
      </c>
      <c r="Q557" t="s">
        <v>1404</v>
      </c>
      <c r="R557" s="7">
        <v>33239</v>
      </c>
      <c r="S557" s="8">
        <f t="shared" si="64"/>
        <v>1991</v>
      </c>
      <c r="T557" s="8">
        <v>1991</v>
      </c>
      <c r="U557" s="8">
        <f t="shared" si="65"/>
        <v>31</v>
      </c>
      <c r="V557" s="7">
        <v>33390</v>
      </c>
      <c r="W557" t="s">
        <v>2613</v>
      </c>
      <c r="X557" s="2">
        <v>0.312</v>
      </c>
      <c r="Y557" s="6">
        <f t="shared" si="70"/>
        <v>8.3286618082806119E-3</v>
      </c>
      <c r="AA557">
        <v>9540695</v>
      </c>
      <c r="AB557">
        <v>61637</v>
      </c>
      <c r="AD557" t="s">
        <v>5</v>
      </c>
      <c r="AE557">
        <v>3</v>
      </c>
      <c r="AF557">
        <v>3</v>
      </c>
      <c r="AH557" t="s">
        <v>5156</v>
      </c>
      <c r="AI557" t="s">
        <v>5155</v>
      </c>
      <c r="AK557" t="s">
        <v>5154</v>
      </c>
      <c r="AL557">
        <v>3</v>
      </c>
      <c r="AM557" s="5">
        <f t="shared" si="66"/>
        <v>9.6774193548387094E-2</v>
      </c>
      <c r="AN557" s="4">
        <f t="shared" si="71"/>
        <v>1.4657204626790927E-4</v>
      </c>
      <c r="AO557" s="3"/>
      <c r="AP557">
        <v>0</v>
      </c>
      <c r="AR557" t="s">
        <v>0</v>
      </c>
      <c r="AT557" s="2" t="s">
        <v>33</v>
      </c>
      <c r="AU557" s="1">
        <f t="shared" si="67"/>
        <v>0.58740348796768016</v>
      </c>
      <c r="AV557" s="1">
        <f t="shared" si="68"/>
        <v>0.42376169272742603</v>
      </c>
      <c r="AW557" s="1">
        <f t="shared" si="69"/>
        <v>0.26011989748717196</v>
      </c>
    </row>
    <row r="558" spans="1:49" x14ac:dyDescent="0.2">
      <c r="A558">
        <v>556</v>
      </c>
      <c r="B558" t="s">
        <v>5153</v>
      </c>
      <c r="C558" t="s">
        <v>5152</v>
      </c>
      <c r="F558" t="s">
        <v>5151</v>
      </c>
      <c r="G558" t="s">
        <v>16</v>
      </c>
      <c r="H558" t="s">
        <v>15</v>
      </c>
      <c r="I558" t="s">
        <v>5150</v>
      </c>
      <c r="J558" t="s">
        <v>5149</v>
      </c>
      <c r="K558" t="s">
        <v>5148</v>
      </c>
      <c r="L558" t="s">
        <v>5147</v>
      </c>
      <c r="M558" t="s">
        <v>4429</v>
      </c>
      <c r="N558">
        <v>4</v>
      </c>
      <c r="O558" t="s">
        <v>5146</v>
      </c>
      <c r="P558" t="s">
        <v>5145</v>
      </c>
      <c r="Q558" t="s">
        <v>5144</v>
      </c>
      <c r="R558" s="7">
        <v>33239</v>
      </c>
      <c r="S558" s="8">
        <f t="shared" si="64"/>
        <v>1991</v>
      </c>
      <c r="T558" s="8">
        <v>1991</v>
      </c>
      <c r="U558" s="8">
        <f t="shared" si="65"/>
        <v>31</v>
      </c>
      <c r="V558" s="7">
        <v>33390</v>
      </c>
      <c r="W558" t="s">
        <v>1807</v>
      </c>
      <c r="X558" s="2">
        <v>1.6519999999999999</v>
      </c>
      <c r="Y558" s="6">
        <f t="shared" si="70"/>
        <v>4.409919649769093E-2</v>
      </c>
      <c r="AA558" t="s">
        <v>1806</v>
      </c>
      <c r="AB558">
        <v>17337</v>
      </c>
      <c r="AC558">
        <v>15582221</v>
      </c>
      <c r="AD558" t="s">
        <v>5</v>
      </c>
      <c r="AE558">
        <v>39</v>
      </c>
      <c r="AF558">
        <v>6</v>
      </c>
      <c r="AH558" t="s">
        <v>5143</v>
      </c>
      <c r="AI558" t="s">
        <v>5142</v>
      </c>
      <c r="AK558" t="s">
        <v>5141</v>
      </c>
      <c r="AL558">
        <v>13</v>
      </c>
      <c r="AM558" s="5">
        <f t="shared" si="66"/>
        <v>0.41935483870967744</v>
      </c>
      <c r="AN558" s="4">
        <f t="shared" si="71"/>
        <v>6.3514553382760684E-4</v>
      </c>
      <c r="AO558" s="3"/>
      <c r="AP558">
        <v>0</v>
      </c>
      <c r="AR558" t="s">
        <v>0</v>
      </c>
      <c r="AT558" s="2" t="s">
        <v>33</v>
      </c>
      <c r="AU558" s="1">
        <f t="shared" si="67"/>
        <v>3.1059981208531933</v>
      </c>
      <c r="AV558" s="1">
        <f t="shared" si="68"/>
        <v>2.2367171015759268</v>
      </c>
      <c r="AW558" s="1">
        <f t="shared" si="69"/>
        <v>1.3674360822986602</v>
      </c>
    </row>
    <row r="559" spans="1:49" x14ac:dyDescent="0.2">
      <c r="A559">
        <v>557</v>
      </c>
      <c r="B559" t="s">
        <v>5140</v>
      </c>
      <c r="C559" t="s">
        <v>5139</v>
      </c>
      <c r="F559" t="s">
        <v>5138</v>
      </c>
      <c r="G559" t="s">
        <v>16</v>
      </c>
      <c r="H559" t="s">
        <v>15</v>
      </c>
      <c r="I559" t="s">
        <v>5137</v>
      </c>
      <c r="J559">
        <v>60017059</v>
      </c>
      <c r="K559" t="s">
        <v>5136</v>
      </c>
      <c r="L559" t="s">
        <v>1530</v>
      </c>
      <c r="M559" t="s">
        <v>25</v>
      </c>
      <c r="N559">
        <v>3</v>
      </c>
      <c r="O559" t="s">
        <v>5135</v>
      </c>
      <c r="P559" t="s">
        <v>5134</v>
      </c>
      <c r="Q559" t="s">
        <v>5133</v>
      </c>
      <c r="R559" s="7">
        <v>33239</v>
      </c>
      <c r="S559" s="8">
        <f t="shared" si="64"/>
        <v>1991</v>
      </c>
      <c r="T559" s="8">
        <v>1991</v>
      </c>
      <c r="U559" s="8">
        <f t="shared" si="65"/>
        <v>31</v>
      </c>
      <c r="V559" s="7">
        <v>33390</v>
      </c>
      <c r="W559" t="s">
        <v>731</v>
      </c>
      <c r="X559" s="2">
        <v>1.3720000000000001</v>
      </c>
      <c r="Y559" s="6">
        <f t="shared" si="70"/>
        <v>3.662475641333654E-2</v>
      </c>
      <c r="AA559">
        <v>189480</v>
      </c>
      <c r="AB559">
        <v>17366</v>
      </c>
      <c r="AC559">
        <v>15579670</v>
      </c>
      <c r="AD559" t="s">
        <v>5</v>
      </c>
      <c r="AE559">
        <v>39</v>
      </c>
      <c r="AF559">
        <v>6</v>
      </c>
      <c r="AH559" t="s">
        <v>5132</v>
      </c>
      <c r="AI559" t="s">
        <v>5131</v>
      </c>
      <c r="AK559" t="s">
        <v>5130</v>
      </c>
      <c r="AL559">
        <v>68</v>
      </c>
      <c r="AM559" s="5">
        <f t="shared" si="66"/>
        <v>2.193548387096774</v>
      </c>
      <c r="AN559" s="4">
        <f t="shared" si="71"/>
        <v>3.3222997154059432E-3</v>
      </c>
      <c r="AO559" s="3"/>
      <c r="AP559">
        <v>0</v>
      </c>
      <c r="AR559" t="s">
        <v>0</v>
      </c>
      <c r="AT559" s="2" t="s">
        <v>33</v>
      </c>
      <c r="AU559" s="1">
        <f t="shared" si="67"/>
        <v>2.6634019403957359</v>
      </c>
      <c r="AV559" s="1">
        <f t="shared" si="68"/>
        <v>1.9973528064371242</v>
      </c>
      <c r="AW559" s="1">
        <f t="shared" si="69"/>
        <v>1.3313036724785123</v>
      </c>
    </row>
    <row r="560" spans="1:49" x14ac:dyDescent="0.2">
      <c r="A560">
        <v>558</v>
      </c>
      <c r="B560" t="s">
        <v>5129</v>
      </c>
      <c r="C560" t="s">
        <v>5128</v>
      </c>
      <c r="F560" t="s">
        <v>5127</v>
      </c>
      <c r="G560" t="s">
        <v>16</v>
      </c>
      <c r="H560" t="s">
        <v>15</v>
      </c>
      <c r="I560" t="s">
        <v>5126</v>
      </c>
      <c r="J560">
        <v>60009037</v>
      </c>
      <c r="K560" t="s">
        <v>375</v>
      </c>
      <c r="L560" t="s">
        <v>374</v>
      </c>
      <c r="M560" t="s">
        <v>57</v>
      </c>
      <c r="N560">
        <v>3</v>
      </c>
      <c r="O560" t="s">
        <v>5125</v>
      </c>
      <c r="P560" t="s">
        <v>5124</v>
      </c>
      <c r="Q560" t="s">
        <v>5123</v>
      </c>
      <c r="R560" s="7">
        <v>33239</v>
      </c>
      <c r="S560" s="8">
        <f t="shared" si="64"/>
        <v>1991</v>
      </c>
      <c r="T560" s="8">
        <v>1991</v>
      </c>
      <c r="U560" s="8">
        <f t="shared" si="65"/>
        <v>31</v>
      </c>
      <c r="V560" s="7">
        <v>33390</v>
      </c>
      <c r="W560" t="s">
        <v>3276</v>
      </c>
      <c r="X560" s="2">
        <v>2.383</v>
      </c>
      <c r="Y560" s="6">
        <f t="shared" si="70"/>
        <v>6.3612824003630442E-2</v>
      </c>
      <c r="AA560">
        <v>189219</v>
      </c>
      <c r="AB560">
        <v>17915</v>
      </c>
      <c r="AC560">
        <v>15582256</v>
      </c>
      <c r="AD560" t="s">
        <v>5</v>
      </c>
      <c r="AE560">
        <v>79</v>
      </c>
      <c r="AF560">
        <v>6</v>
      </c>
      <c r="AH560" t="s">
        <v>5122</v>
      </c>
      <c r="AI560" t="s">
        <v>5121</v>
      </c>
      <c r="AK560" t="s">
        <v>5120</v>
      </c>
      <c r="AL560">
        <v>235</v>
      </c>
      <c r="AM560" s="5">
        <f t="shared" si="66"/>
        <v>7.580645161290323</v>
      </c>
      <c r="AN560" s="4">
        <f t="shared" si="71"/>
        <v>1.1481476957652894E-2</v>
      </c>
      <c r="AO560" s="3"/>
      <c r="AP560">
        <v>0</v>
      </c>
      <c r="AR560" t="s">
        <v>0</v>
      </c>
      <c r="AT560" s="2">
        <v>10.961</v>
      </c>
      <c r="AU560" s="1">
        <f t="shared" si="67"/>
        <v>4.7973419889837183</v>
      </c>
      <c r="AV560" s="1">
        <f t="shared" si="68"/>
        <v>3.7547150480641669</v>
      </c>
      <c r="AW560" s="1">
        <f t="shared" si="69"/>
        <v>2.7120881071446159</v>
      </c>
    </row>
    <row r="561" spans="1:49" x14ac:dyDescent="0.2">
      <c r="A561">
        <v>559</v>
      </c>
      <c r="B561" t="s">
        <v>5119</v>
      </c>
      <c r="C561" t="s">
        <v>5118</v>
      </c>
      <c r="F561" t="s">
        <v>5117</v>
      </c>
      <c r="G561" t="s">
        <v>16</v>
      </c>
      <c r="H561" t="s">
        <v>15</v>
      </c>
      <c r="I561" t="s">
        <v>5116</v>
      </c>
      <c r="J561">
        <v>60013183</v>
      </c>
      <c r="K561" t="s">
        <v>5115</v>
      </c>
      <c r="L561" t="s">
        <v>5114</v>
      </c>
      <c r="M561" t="s">
        <v>5113</v>
      </c>
      <c r="N561">
        <v>1</v>
      </c>
      <c r="O561" t="s">
        <v>5112</v>
      </c>
      <c r="P561">
        <v>57203737489</v>
      </c>
      <c r="Q561">
        <v>60013183</v>
      </c>
      <c r="R561" s="7">
        <v>33239</v>
      </c>
      <c r="S561" s="8">
        <f t="shared" ref="S561:S624" si="72">YEAR(R561)</f>
        <v>1991</v>
      </c>
      <c r="T561" s="8">
        <v>1991</v>
      </c>
      <c r="U561" s="8">
        <f t="shared" ref="U561:U624" si="73">2022-T561</f>
        <v>31</v>
      </c>
      <c r="V561" s="7" t="s">
        <v>4770</v>
      </c>
      <c r="W561" s="11" t="s">
        <v>2635</v>
      </c>
      <c r="X561" s="2">
        <v>2.383</v>
      </c>
      <c r="Y561" s="6">
        <f t="shared" si="70"/>
        <v>6.3612824003630442E-2</v>
      </c>
      <c r="AA561" t="s">
        <v>2634</v>
      </c>
      <c r="AB561">
        <v>101151</v>
      </c>
      <c r="AD561" t="s">
        <v>5</v>
      </c>
      <c r="AE561">
        <v>138</v>
      </c>
      <c r="AF561">
        <v>3</v>
      </c>
      <c r="AH561" t="s">
        <v>5111</v>
      </c>
      <c r="AI561" t="s">
        <v>5110</v>
      </c>
      <c r="AK561" t="s">
        <v>5109</v>
      </c>
      <c r="AL561">
        <v>4</v>
      </c>
      <c r="AM561" s="5">
        <f t="shared" ref="AM561:AM624" si="74">AL561/U561</f>
        <v>0.12903225806451613</v>
      </c>
      <c r="AN561" s="4">
        <f t="shared" si="71"/>
        <v>1.9542939502387903E-4</v>
      </c>
      <c r="AO561" s="3"/>
      <c r="AP561">
        <v>0</v>
      </c>
      <c r="AR561" t="s">
        <v>0</v>
      </c>
      <c r="AT561" s="2" t="s">
        <v>33</v>
      </c>
      <c r="AU561" s="1">
        <f t="shared" ref="AU561:AU624" si="75">(Y561*0.7+AN561*0.3)*100</f>
        <v>4.4587605621048469</v>
      </c>
      <c r="AV561" s="1">
        <f t="shared" ref="AV561:AV624" si="76">(Y561*0.5+AN561*0.5)*100</f>
        <v>3.1904126699327162</v>
      </c>
      <c r="AW561" s="1">
        <f t="shared" ref="AW561:AW624" si="77">(Y561*0.3+AN561*0.7)*100</f>
        <v>1.9220647777605848</v>
      </c>
    </row>
    <row r="562" spans="1:49" x14ac:dyDescent="0.2">
      <c r="A562">
        <v>560</v>
      </c>
      <c r="B562" t="s">
        <v>5108</v>
      </c>
      <c r="C562" t="s">
        <v>5107</v>
      </c>
      <c r="F562" t="s">
        <v>5106</v>
      </c>
      <c r="G562" t="s">
        <v>16</v>
      </c>
      <c r="H562" t="s">
        <v>15</v>
      </c>
      <c r="I562" t="s">
        <v>1339</v>
      </c>
      <c r="J562">
        <v>60027550</v>
      </c>
      <c r="K562" t="s">
        <v>1338</v>
      </c>
      <c r="L562" t="s">
        <v>1337</v>
      </c>
      <c r="M562" t="s">
        <v>57</v>
      </c>
      <c r="N562">
        <v>1</v>
      </c>
      <c r="O562" t="s">
        <v>5105</v>
      </c>
      <c r="P562">
        <v>7102110120</v>
      </c>
      <c r="Q562">
        <v>60027550</v>
      </c>
      <c r="R562" s="7">
        <v>33239</v>
      </c>
      <c r="S562" s="8">
        <f t="shared" si="72"/>
        <v>1991</v>
      </c>
      <c r="T562" s="8">
        <v>1991</v>
      </c>
      <c r="U562" s="8">
        <f t="shared" si="73"/>
        <v>31</v>
      </c>
      <c r="V562" s="7">
        <v>33390</v>
      </c>
      <c r="W562" t="s">
        <v>3104</v>
      </c>
      <c r="X562" s="2">
        <v>0.39600000000000002</v>
      </c>
      <c r="Y562" s="6">
        <f t="shared" si="70"/>
        <v>1.0570993833586931E-2</v>
      </c>
      <c r="AA562">
        <v>8858985</v>
      </c>
      <c r="AB562">
        <v>25993</v>
      </c>
      <c r="AD562" t="s">
        <v>5</v>
      </c>
      <c r="AE562">
        <v>6</v>
      </c>
      <c r="AF562">
        <v>6</v>
      </c>
      <c r="AH562" s="10">
        <v>43070</v>
      </c>
      <c r="AI562" t="s">
        <v>5104</v>
      </c>
      <c r="AK562" t="s">
        <v>5103</v>
      </c>
      <c r="AL562">
        <v>3</v>
      </c>
      <c r="AM562" s="5">
        <f t="shared" si="74"/>
        <v>9.6774193548387094E-2</v>
      </c>
      <c r="AN562" s="4">
        <f t="shared" si="71"/>
        <v>1.4657204626790927E-4</v>
      </c>
      <c r="AO562" s="3"/>
      <c r="AP562">
        <v>0</v>
      </c>
      <c r="AQ562" t="s">
        <v>2474</v>
      </c>
      <c r="AR562" t="s">
        <v>0</v>
      </c>
      <c r="AS562" t="s">
        <v>2473</v>
      </c>
      <c r="AT562" s="2" t="s">
        <v>33</v>
      </c>
      <c r="AU562" s="1">
        <f t="shared" si="75"/>
        <v>0.74436672973912243</v>
      </c>
      <c r="AV562" s="1">
        <f t="shared" si="76"/>
        <v>0.53587829399274201</v>
      </c>
      <c r="AW562" s="1">
        <f t="shared" si="77"/>
        <v>0.32738985824636152</v>
      </c>
    </row>
    <row r="563" spans="1:49" x14ac:dyDescent="0.2">
      <c r="A563">
        <v>561</v>
      </c>
      <c r="B563" t="s">
        <v>5102</v>
      </c>
      <c r="C563" t="s">
        <v>5101</v>
      </c>
      <c r="F563" t="s">
        <v>5100</v>
      </c>
      <c r="G563" t="s">
        <v>16</v>
      </c>
      <c r="H563" t="s">
        <v>15</v>
      </c>
      <c r="I563" t="s">
        <v>5099</v>
      </c>
      <c r="J563">
        <v>60004750</v>
      </c>
      <c r="K563" t="s">
        <v>4132</v>
      </c>
      <c r="L563" t="s">
        <v>4131</v>
      </c>
      <c r="M563" t="s">
        <v>1207</v>
      </c>
      <c r="N563">
        <v>3</v>
      </c>
      <c r="O563" t="s">
        <v>5098</v>
      </c>
      <c r="P563" t="s">
        <v>5097</v>
      </c>
      <c r="Q563" t="s">
        <v>4128</v>
      </c>
      <c r="R563" s="7">
        <v>33239</v>
      </c>
      <c r="S563" s="8">
        <f t="shared" si="72"/>
        <v>1991</v>
      </c>
      <c r="T563" s="8">
        <v>1991</v>
      </c>
      <c r="U563" s="8">
        <f t="shared" si="73"/>
        <v>31</v>
      </c>
      <c r="V563" s="7">
        <v>33390</v>
      </c>
      <c r="W563" t="s">
        <v>1807</v>
      </c>
      <c r="X563" s="2">
        <v>1.6519999999999999</v>
      </c>
      <c r="Y563" s="6">
        <f t="shared" si="70"/>
        <v>4.409919649769093E-2</v>
      </c>
      <c r="AA563" t="s">
        <v>1806</v>
      </c>
      <c r="AB563">
        <v>17337</v>
      </c>
      <c r="AC563">
        <v>15582221</v>
      </c>
      <c r="AD563" t="s">
        <v>5</v>
      </c>
      <c r="AE563">
        <v>39</v>
      </c>
      <c r="AF563">
        <v>6</v>
      </c>
      <c r="AH563" t="s">
        <v>5096</v>
      </c>
      <c r="AI563" t="s">
        <v>5095</v>
      </c>
      <c r="AK563" t="s">
        <v>5094</v>
      </c>
      <c r="AL563">
        <v>4</v>
      </c>
      <c r="AM563" s="5">
        <f t="shared" si="74"/>
        <v>0.12903225806451613</v>
      </c>
      <c r="AN563" s="4">
        <f t="shared" si="71"/>
        <v>1.9542939502387903E-4</v>
      </c>
      <c r="AO563" s="3"/>
      <c r="AP563">
        <v>0</v>
      </c>
      <c r="AR563" t="s">
        <v>0</v>
      </c>
      <c r="AT563" s="2" t="s">
        <v>33</v>
      </c>
      <c r="AU563" s="1">
        <f t="shared" si="75"/>
        <v>3.0928066366890814</v>
      </c>
      <c r="AV563" s="1">
        <f t="shared" si="76"/>
        <v>2.2147312946357403</v>
      </c>
      <c r="AW563" s="1">
        <f t="shared" si="77"/>
        <v>1.3366559525823993</v>
      </c>
    </row>
    <row r="564" spans="1:49" x14ac:dyDescent="0.2">
      <c r="A564">
        <v>562</v>
      </c>
      <c r="B564" t="s">
        <v>5093</v>
      </c>
      <c r="C564" t="s">
        <v>5092</v>
      </c>
      <c r="F564" t="s">
        <v>5091</v>
      </c>
      <c r="G564" t="s">
        <v>16</v>
      </c>
      <c r="H564" t="s">
        <v>15</v>
      </c>
      <c r="I564" t="s">
        <v>5090</v>
      </c>
      <c r="J564">
        <v>60009037</v>
      </c>
      <c r="K564" t="s">
        <v>375</v>
      </c>
      <c r="L564" t="s">
        <v>374</v>
      </c>
      <c r="M564" t="s">
        <v>57</v>
      </c>
      <c r="N564">
        <v>4</v>
      </c>
      <c r="O564" t="s">
        <v>5089</v>
      </c>
      <c r="P564" t="s">
        <v>5088</v>
      </c>
      <c r="Q564" t="s">
        <v>5087</v>
      </c>
      <c r="R564" s="7">
        <v>33239</v>
      </c>
      <c r="S564" s="8">
        <f t="shared" si="72"/>
        <v>1991</v>
      </c>
      <c r="T564" s="8">
        <v>1991</v>
      </c>
      <c r="U564" s="8">
        <f t="shared" si="73"/>
        <v>31</v>
      </c>
      <c r="V564" s="7">
        <v>33390</v>
      </c>
      <c r="W564" t="s">
        <v>3276</v>
      </c>
      <c r="X564" s="2">
        <v>2.383</v>
      </c>
      <c r="Y564" s="6">
        <f t="shared" si="70"/>
        <v>6.3612824003630442E-2</v>
      </c>
      <c r="AA564">
        <v>189219</v>
      </c>
      <c r="AB564">
        <v>17915</v>
      </c>
      <c r="AC564">
        <v>15582256</v>
      </c>
      <c r="AD564" t="s">
        <v>5</v>
      </c>
      <c r="AE564">
        <v>79</v>
      </c>
      <c r="AF564">
        <v>6</v>
      </c>
      <c r="AH564" t="s">
        <v>5086</v>
      </c>
      <c r="AI564" t="s">
        <v>5085</v>
      </c>
      <c r="AK564" t="s">
        <v>5084</v>
      </c>
      <c r="AL564">
        <v>40</v>
      </c>
      <c r="AM564" s="5">
        <f t="shared" si="74"/>
        <v>1.2903225806451613</v>
      </c>
      <c r="AN564" s="4">
        <f t="shared" si="71"/>
        <v>1.9542939502387902E-3</v>
      </c>
      <c r="AO564" s="3"/>
      <c r="AP564">
        <v>0</v>
      </c>
      <c r="AQ564" t="s">
        <v>5083</v>
      </c>
      <c r="AR564" t="s">
        <v>0</v>
      </c>
      <c r="AS564" t="s">
        <v>2473</v>
      </c>
      <c r="AT564" s="2">
        <v>10.961</v>
      </c>
      <c r="AU564" s="1">
        <f t="shared" si="75"/>
        <v>4.5115264987612944</v>
      </c>
      <c r="AV564" s="1">
        <f t="shared" si="76"/>
        <v>3.2783558976934613</v>
      </c>
      <c r="AW564" s="1">
        <f t="shared" si="77"/>
        <v>2.0451852966256285</v>
      </c>
    </row>
    <row r="565" spans="1:49" x14ac:dyDescent="0.2">
      <c r="A565">
        <v>563</v>
      </c>
      <c r="B565" t="s">
        <v>5082</v>
      </c>
      <c r="C565" t="s">
        <v>5081</v>
      </c>
      <c r="F565" t="s">
        <v>5080</v>
      </c>
      <c r="G565" t="s">
        <v>16</v>
      </c>
      <c r="H565" t="s">
        <v>15</v>
      </c>
      <c r="I565" t="s">
        <v>5079</v>
      </c>
      <c r="J565" t="s">
        <v>5074</v>
      </c>
      <c r="K565" t="s">
        <v>5078</v>
      </c>
      <c r="L565" t="s">
        <v>5077</v>
      </c>
      <c r="M565" t="s">
        <v>133</v>
      </c>
      <c r="N565">
        <v>2</v>
      </c>
      <c r="O565" t="s">
        <v>5076</v>
      </c>
      <c r="P565" t="s">
        <v>5075</v>
      </c>
      <c r="Q565" t="s">
        <v>5074</v>
      </c>
      <c r="R565" s="7">
        <v>33239</v>
      </c>
      <c r="S565" s="8">
        <f t="shared" si="72"/>
        <v>1991</v>
      </c>
      <c r="T565" s="8">
        <v>1991</v>
      </c>
      <c r="U565" s="8">
        <f t="shared" si="73"/>
        <v>31</v>
      </c>
      <c r="V565" s="7">
        <v>33390</v>
      </c>
      <c r="W565" t="s">
        <v>1807</v>
      </c>
      <c r="X565" s="2">
        <v>1.6519999999999999</v>
      </c>
      <c r="Y565" s="6">
        <f t="shared" si="70"/>
        <v>4.409919649769093E-2</v>
      </c>
      <c r="AA565" t="s">
        <v>1806</v>
      </c>
      <c r="AB565">
        <v>17337</v>
      </c>
      <c r="AC565">
        <v>15582221</v>
      </c>
      <c r="AD565" t="s">
        <v>5</v>
      </c>
      <c r="AE565">
        <v>39</v>
      </c>
      <c r="AF565">
        <v>6</v>
      </c>
      <c r="AH565" t="s">
        <v>5073</v>
      </c>
      <c r="AI565" t="s">
        <v>5072</v>
      </c>
      <c r="AK565" t="s">
        <v>5071</v>
      </c>
      <c r="AL565">
        <v>3</v>
      </c>
      <c r="AM565" s="5">
        <f t="shared" si="74"/>
        <v>9.6774193548387094E-2</v>
      </c>
      <c r="AN565" s="4">
        <f t="shared" si="71"/>
        <v>1.4657204626790927E-4</v>
      </c>
      <c r="AO565" s="3"/>
      <c r="AP565">
        <v>0</v>
      </c>
      <c r="AR565" t="s">
        <v>0</v>
      </c>
      <c r="AT565" s="2" t="s">
        <v>33</v>
      </c>
      <c r="AU565" s="1">
        <f t="shared" si="75"/>
        <v>3.0913409162264025</v>
      </c>
      <c r="AV565" s="1">
        <f t="shared" si="76"/>
        <v>2.2122884271979419</v>
      </c>
      <c r="AW565" s="1">
        <f t="shared" si="77"/>
        <v>1.3332359381694814</v>
      </c>
    </row>
    <row r="566" spans="1:49" x14ac:dyDescent="0.2">
      <c r="A566">
        <v>564</v>
      </c>
      <c r="B566" t="s">
        <v>5070</v>
      </c>
      <c r="C566" t="s">
        <v>5069</v>
      </c>
      <c r="F566" t="s">
        <v>5068</v>
      </c>
      <c r="G566" t="s">
        <v>16</v>
      </c>
      <c r="H566" t="s">
        <v>15</v>
      </c>
      <c r="I566" t="s">
        <v>5067</v>
      </c>
      <c r="J566">
        <v>60030526</v>
      </c>
      <c r="K566" t="s">
        <v>3003</v>
      </c>
      <c r="L566" t="s">
        <v>327</v>
      </c>
      <c r="M566" t="s">
        <v>326</v>
      </c>
      <c r="N566">
        <v>5</v>
      </c>
      <c r="O566" t="s">
        <v>5066</v>
      </c>
      <c r="P566" t="s">
        <v>5065</v>
      </c>
      <c r="Q566" t="s">
        <v>5064</v>
      </c>
      <c r="R566" s="7">
        <v>33239</v>
      </c>
      <c r="S566" s="8">
        <f t="shared" si="72"/>
        <v>1991</v>
      </c>
      <c r="T566" s="8">
        <v>1991</v>
      </c>
      <c r="U566" s="8">
        <f t="shared" si="73"/>
        <v>31</v>
      </c>
      <c r="V566" s="7">
        <v>33390</v>
      </c>
      <c r="W566" t="s">
        <v>1807</v>
      </c>
      <c r="X566" s="2">
        <v>1.6519999999999999</v>
      </c>
      <c r="Y566" s="6">
        <f t="shared" si="70"/>
        <v>4.409919649769093E-2</v>
      </c>
      <c r="AA566" t="s">
        <v>1806</v>
      </c>
      <c r="AB566">
        <v>17337</v>
      </c>
      <c r="AC566">
        <v>15582221</v>
      </c>
      <c r="AD566" t="s">
        <v>5</v>
      </c>
      <c r="AE566">
        <v>39</v>
      </c>
      <c r="AF566">
        <v>6</v>
      </c>
      <c r="AH566" t="s">
        <v>5063</v>
      </c>
      <c r="AI566" t="s">
        <v>5062</v>
      </c>
      <c r="AK566" t="s">
        <v>5061</v>
      </c>
      <c r="AL566">
        <v>76</v>
      </c>
      <c r="AM566" s="5">
        <f t="shared" si="74"/>
        <v>2.4516129032258065</v>
      </c>
      <c r="AN566" s="4">
        <f t="shared" si="71"/>
        <v>3.7131585054537017E-3</v>
      </c>
      <c r="AO566" s="3"/>
      <c r="AP566">
        <v>0</v>
      </c>
      <c r="AR566" t="s">
        <v>0</v>
      </c>
      <c r="AT566" s="2" t="s">
        <v>33</v>
      </c>
      <c r="AU566" s="1">
        <f t="shared" si="75"/>
        <v>3.1983385100019759</v>
      </c>
      <c r="AV566" s="1">
        <f t="shared" si="76"/>
        <v>2.3906177501572317</v>
      </c>
      <c r="AW566" s="1">
        <f t="shared" si="77"/>
        <v>1.5828969903124868</v>
      </c>
    </row>
    <row r="567" spans="1:49" x14ac:dyDescent="0.2">
      <c r="A567">
        <v>565</v>
      </c>
      <c r="B567" t="s">
        <v>5060</v>
      </c>
      <c r="C567" t="s">
        <v>5059</v>
      </c>
      <c r="F567" t="s">
        <v>5058</v>
      </c>
      <c r="G567" t="s">
        <v>16</v>
      </c>
      <c r="H567" t="s">
        <v>15</v>
      </c>
      <c r="I567" t="s">
        <v>3863</v>
      </c>
      <c r="J567">
        <v>60103653</v>
      </c>
      <c r="K567" t="s">
        <v>2700</v>
      </c>
      <c r="L567" t="s">
        <v>2699</v>
      </c>
      <c r="M567" t="s">
        <v>173</v>
      </c>
      <c r="N567">
        <v>3</v>
      </c>
      <c r="O567" t="s">
        <v>5057</v>
      </c>
      <c r="P567" t="s">
        <v>5056</v>
      </c>
      <c r="Q567" t="s">
        <v>2696</v>
      </c>
      <c r="R567" s="7">
        <v>33239</v>
      </c>
      <c r="S567" s="8">
        <f t="shared" si="72"/>
        <v>1991</v>
      </c>
      <c r="T567" s="8">
        <v>1991</v>
      </c>
      <c r="U567" s="8">
        <f t="shared" si="73"/>
        <v>31</v>
      </c>
      <c r="V567" s="7">
        <v>33390</v>
      </c>
      <c r="W567" t="s">
        <v>1807</v>
      </c>
      <c r="X567" s="2">
        <v>1.6519999999999999</v>
      </c>
      <c r="Y567" s="6">
        <f t="shared" si="70"/>
        <v>4.409919649769093E-2</v>
      </c>
      <c r="AA567" t="s">
        <v>1806</v>
      </c>
      <c r="AB567">
        <v>17337</v>
      </c>
      <c r="AC567">
        <v>15582221</v>
      </c>
      <c r="AD567" t="s">
        <v>5</v>
      </c>
      <c r="AE567">
        <v>39</v>
      </c>
      <c r="AF567">
        <v>6</v>
      </c>
      <c r="AH567" t="s">
        <v>5055</v>
      </c>
      <c r="AI567" t="s">
        <v>5054</v>
      </c>
      <c r="AK567" t="s">
        <v>5053</v>
      </c>
      <c r="AL567">
        <v>20</v>
      </c>
      <c r="AM567" s="5">
        <f t="shared" si="74"/>
        <v>0.64516129032258063</v>
      </c>
      <c r="AN567" s="4">
        <f t="shared" si="71"/>
        <v>9.7714697511939509E-4</v>
      </c>
      <c r="AO567" s="3"/>
      <c r="AP567">
        <v>0</v>
      </c>
      <c r="AR567" t="s">
        <v>0</v>
      </c>
      <c r="AT567" s="2" t="s">
        <v>33</v>
      </c>
      <c r="AU567" s="1">
        <f t="shared" si="75"/>
        <v>3.1162581640919469</v>
      </c>
      <c r="AV567" s="1">
        <f t="shared" si="76"/>
        <v>2.2538171736405164</v>
      </c>
      <c r="AW567" s="1">
        <f t="shared" si="77"/>
        <v>1.3913761831890854</v>
      </c>
    </row>
    <row r="568" spans="1:49" x14ac:dyDescent="0.2">
      <c r="A568">
        <v>566</v>
      </c>
      <c r="B568" t="s">
        <v>5052</v>
      </c>
      <c r="C568" t="s">
        <v>5051</v>
      </c>
      <c r="F568" t="s">
        <v>5050</v>
      </c>
      <c r="G568" t="s">
        <v>16</v>
      </c>
      <c r="H568" t="s">
        <v>15</v>
      </c>
      <c r="I568" t="s">
        <v>5049</v>
      </c>
      <c r="J568" t="s">
        <v>5048</v>
      </c>
      <c r="K568" t="s">
        <v>5047</v>
      </c>
      <c r="L568" t="s">
        <v>5046</v>
      </c>
      <c r="M568" t="s">
        <v>133</v>
      </c>
      <c r="N568">
        <v>3</v>
      </c>
      <c r="O568" t="s">
        <v>5045</v>
      </c>
      <c r="P568" t="s">
        <v>5044</v>
      </c>
      <c r="Q568" t="s">
        <v>5043</v>
      </c>
      <c r="R568" s="7">
        <v>33239</v>
      </c>
      <c r="S568" s="8">
        <f t="shared" si="72"/>
        <v>1991</v>
      </c>
      <c r="T568" s="8">
        <v>1991</v>
      </c>
      <c r="U568" s="8">
        <f t="shared" si="73"/>
        <v>31</v>
      </c>
      <c r="V568" s="7">
        <v>33390</v>
      </c>
      <c r="W568" t="s">
        <v>561</v>
      </c>
      <c r="X568" s="2">
        <v>0.30399999999999999</v>
      </c>
      <c r="Y568" s="6">
        <f t="shared" si="70"/>
        <v>8.115106377299057E-3</v>
      </c>
      <c r="AA568">
        <v>8952477</v>
      </c>
      <c r="AB568">
        <v>12250</v>
      </c>
      <c r="AC568">
        <v>10982760</v>
      </c>
      <c r="AD568" t="s">
        <v>5</v>
      </c>
      <c r="AE568">
        <v>4</v>
      </c>
      <c r="AF568">
        <v>7</v>
      </c>
      <c r="AH568" t="s">
        <v>5042</v>
      </c>
      <c r="AI568" t="s">
        <v>5041</v>
      </c>
      <c r="AJ568" t="s">
        <v>5040</v>
      </c>
      <c r="AK568" t="s">
        <v>5039</v>
      </c>
      <c r="AL568">
        <v>3</v>
      </c>
      <c r="AM568" s="5">
        <f t="shared" si="74"/>
        <v>9.6774193548387094E-2</v>
      </c>
      <c r="AN568" s="4">
        <f t="shared" si="71"/>
        <v>1.4657204626790927E-4</v>
      </c>
      <c r="AO568" s="3"/>
      <c r="AP568">
        <v>0</v>
      </c>
      <c r="AR568" t="s">
        <v>0</v>
      </c>
      <c r="AT568" s="2" t="s">
        <v>33</v>
      </c>
      <c r="AU568" s="1">
        <f t="shared" si="75"/>
        <v>0.57245460779897128</v>
      </c>
      <c r="AV568" s="1">
        <f t="shared" si="76"/>
        <v>0.4130839211783483</v>
      </c>
      <c r="AW568" s="1">
        <f t="shared" si="77"/>
        <v>0.25371323455772538</v>
      </c>
    </row>
    <row r="569" spans="1:49" x14ac:dyDescent="0.2">
      <c r="A569">
        <v>567</v>
      </c>
      <c r="B569" t="s">
        <v>5038</v>
      </c>
      <c r="C569" t="s">
        <v>5037</v>
      </c>
      <c r="F569" t="s">
        <v>5036</v>
      </c>
      <c r="G569" t="s">
        <v>16</v>
      </c>
      <c r="H569" t="s">
        <v>15</v>
      </c>
      <c r="I569" t="s">
        <v>5035</v>
      </c>
      <c r="J569" t="s">
        <v>5029</v>
      </c>
      <c r="K569" t="s">
        <v>5034</v>
      </c>
      <c r="L569" t="s">
        <v>5033</v>
      </c>
      <c r="M569" t="s">
        <v>5032</v>
      </c>
      <c r="N569">
        <v>2</v>
      </c>
      <c r="O569" t="s">
        <v>5031</v>
      </c>
      <c r="P569" t="s">
        <v>5030</v>
      </c>
      <c r="Q569" t="s">
        <v>5029</v>
      </c>
      <c r="R569" s="7">
        <v>33239</v>
      </c>
      <c r="S569" s="8">
        <f t="shared" si="72"/>
        <v>1991</v>
      </c>
      <c r="T569" s="8">
        <v>1991</v>
      </c>
      <c r="U569" s="8">
        <f t="shared" si="73"/>
        <v>31</v>
      </c>
      <c r="V569" s="7">
        <v>33390</v>
      </c>
      <c r="W569" t="s">
        <v>1807</v>
      </c>
      <c r="X569" s="2">
        <v>1.6519999999999999</v>
      </c>
      <c r="Y569" s="6">
        <f t="shared" si="70"/>
        <v>4.409919649769093E-2</v>
      </c>
      <c r="AA569" t="s">
        <v>1806</v>
      </c>
      <c r="AB569">
        <v>17337</v>
      </c>
      <c r="AC569">
        <v>15582221</v>
      </c>
      <c r="AD569" t="s">
        <v>5</v>
      </c>
      <c r="AE569">
        <v>39</v>
      </c>
      <c r="AF569">
        <v>6</v>
      </c>
      <c r="AH569" t="s">
        <v>5028</v>
      </c>
      <c r="AI569" t="s">
        <v>5027</v>
      </c>
      <c r="AK569" t="s">
        <v>5026</v>
      </c>
      <c r="AL569">
        <v>0</v>
      </c>
      <c r="AM569" s="5">
        <f t="shared" si="74"/>
        <v>0</v>
      </c>
      <c r="AN569" s="4">
        <f t="shared" si="71"/>
        <v>0</v>
      </c>
      <c r="AO569" s="3"/>
      <c r="AP569">
        <v>0</v>
      </c>
      <c r="AR569" t="s">
        <v>5025</v>
      </c>
      <c r="AT569" s="2" t="s">
        <v>33</v>
      </c>
      <c r="AU569" s="1">
        <f t="shared" si="75"/>
        <v>3.0869437548383649</v>
      </c>
      <c r="AV569" s="1">
        <f t="shared" si="76"/>
        <v>2.2049598248845466</v>
      </c>
      <c r="AW569" s="1">
        <f t="shared" si="77"/>
        <v>1.3229758949307278</v>
      </c>
    </row>
    <row r="570" spans="1:49" x14ac:dyDescent="0.2">
      <c r="A570">
        <v>568</v>
      </c>
      <c r="B570" t="s">
        <v>5024</v>
      </c>
      <c r="C570" t="s">
        <v>5023</v>
      </c>
      <c r="F570" t="s">
        <v>5022</v>
      </c>
      <c r="G570" t="s">
        <v>16</v>
      </c>
      <c r="H570" t="s">
        <v>15</v>
      </c>
      <c r="I570" t="s">
        <v>5021</v>
      </c>
      <c r="J570">
        <v>60031828</v>
      </c>
      <c r="K570" t="s">
        <v>1545</v>
      </c>
      <c r="L570" t="s">
        <v>1544</v>
      </c>
      <c r="M570" t="s">
        <v>1543</v>
      </c>
      <c r="N570">
        <v>4</v>
      </c>
      <c r="O570" t="s">
        <v>5020</v>
      </c>
      <c r="P570" t="s">
        <v>5019</v>
      </c>
      <c r="Q570" t="s">
        <v>1540</v>
      </c>
      <c r="R570" s="7">
        <v>33239</v>
      </c>
      <c r="S570" s="8">
        <f t="shared" si="72"/>
        <v>1991</v>
      </c>
      <c r="T570" s="8">
        <v>1991</v>
      </c>
      <c r="U570" s="8">
        <f t="shared" si="73"/>
        <v>31</v>
      </c>
      <c r="V570" s="7" t="s">
        <v>4770</v>
      </c>
      <c r="W570" s="11" t="s">
        <v>2635</v>
      </c>
      <c r="X570" s="2">
        <v>2.383</v>
      </c>
      <c r="Y570" s="6">
        <f t="shared" si="70"/>
        <v>6.3612824003630442E-2</v>
      </c>
      <c r="AA570" t="s">
        <v>2634</v>
      </c>
      <c r="AB570">
        <v>101151</v>
      </c>
      <c r="AD570" t="s">
        <v>5</v>
      </c>
      <c r="AE570">
        <v>138</v>
      </c>
      <c r="AF570">
        <v>3</v>
      </c>
      <c r="AH570" t="s">
        <v>5018</v>
      </c>
      <c r="AI570" t="s">
        <v>5017</v>
      </c>
      <c r="AK570" t="s">
        <v>5016</v>
      </c>
      <c r="AL570">
        <v>25</v>
      </c>
      <c r="AM570" s="5">
        <f t="shared" si="74"/>
        <v>0.80645161290322576</v>
      </c>
      <c r="AN570" s="4">
        <f t="shared" si="71"/>
        <v>1.2214337188992438E-3</v>
      </c>
      <c r="AO570" s="3"/>
      <c r="AP570">
        <v>0</v>
      </c>
      <c r="AR570" t="s">
        <v>0</v>
      </c>
      <c r="AT570" s="2" t="s">
        <v>33</v>
      </c>
      <c r="AU570" s="1">
        <f t="shared" si="75"/>
        <v>4.4895406918211078</v>
      </c>
      <c r="AV570" s="1">
        <f t="shared" si="76"/>
        <v>3.2417128861264839</v>
      </c>
      <c r="AW570" s="1">
        <f t="shared" si="77"/>
        <v>1.9938850804318602</v>
      </c>
    </row>
    <row r="571" spans="1:49" x14ac:dyDescent="0.2">
      <c r="A571">
        <v>569</v>
      </c>
      <c r="B571" t="s">
        <v>5015</v>
      </c>
      <c r="C571" t="s">
        <v>5014</v>
      </c>
      <c r="F571" t="s">
        <v>5013</v>
      </c>
      <c r="G571" t="s">
        <v>16</v>
      </c>
      <c r="H571" t="s">
        <v>15</v>
      </c>
      <c r="I571" t="s">
        <v>5012</v>
      </c>
      <c r="J571" t="s">
        <v>5011</v>
      </c>
      <c r="K571" t="s">
        <v>5010</v>
      </c>
      <c r="L571" t="s">
        <v>5009</v>
      </c>
      <c r="M571" t="s">
        <v>5008</v>
      </c>
      <c r="N571">
        <v>2</v>
      </c>
      <c r="O571" t="s">
        <v>5007</v>
      </c>
      <c r="P571" t="s">
        <v>5006</v>
      </c>
      <c r="Q571" t="s">
        <v>5005</v>
      </c>
      <c r="R571" s="7">
        <v>33239</v>
      </c>
      <c r="S571" s="8">
        <f t="shared" si="72"/>
        <v>1991</v>
      </c>
      <c r="T571" s="8">
        <v>1991</v>
      </c>
      <c r="U571" s="8">
        <f t="shared" si="73"/>
        <v>31</v>
      </c>
      <c r="V571" s="7">
        <v>33390</v>
      </c>
      <c r="W571" t="s">
        <v>5004</v>
      </c>
      <c r="X571" s="2">
        <v>1.3460000000000001</v>
      </c>
      <c r="Y571" s="6">
        <f t="shared" si="70"/>
        <v>3.593070126264649E-2</v>
      </c>
      <c r="AA571">
        <v>7338724</v>
      </c>
      <c r="AB571">
        <v>12178</v>
      </c>
      <c r="AC571">
        <v>15582213</v>
      </c>
      <c r="AD571" t="s">
        <v>5</v>
      </c>
      <c r="AE571">
        <v>9</v>
      </c>
      <c r="AF571">
        <v>6</v>
      </c>
      <c r="AH571" t="s">
        <v>5003</v>
      </c>
      <c r="AI571" t="s">
        <v>5002</v>
      </c>
      <c r="AK571" t="s">
        <v>5001</v>
      </c>
      <c r="AL571">
        <v>42</v>
      </c>
      <c r="AM571" s="5">
        <f t="shared" si="74"/>
        <v>1.3548387096774193</v>
      </c>
      <c r="AN571" s="4">
        <f t="shared" si="71"/>
        <v>2.0520086477507295E-3</v>
      </c>
      <c r="AO571" s="3"/>
      <c r="AP571">
        <v>0</v>
      </c>
      <c r="AR571" t="s">
        <v>0</v>
      </c>
      <c r="AT571" s="2">
        <v>4.1420000000000003</v>
      </c>
      <c r="AU571" s="1">
        <f t="shared" si="75"/>
        <v>2.5767093478177761</v>
      </c>
      <c r="AV571" s="1">
        <f t="shared" si="76"/>
        <v>1.8991354955198609</v>
      </c>
      <c r="AW571" s="1">
        <f t="shared" si="77"/>
        <v>1.2215616432219456</v>
      </c>
    </row>
    <row r="572" spans="1:49" x14ac:dyDescent="0.2">
      <c r="A572">
        <v>570</v>
      </c>
      <c r="B572" t="s">
        <v>5000</v>
      </c>
      <c r="C572" t="s">
        <v>4999</v>
      </c>
      <c r="F572" t="s">
        <v>4998</v>
      </c>
      <c r="G572" t="s">
        <v>16</v>
      </c>
      <c r="H572" t="s">
        <v>15</v>
      </c>
      <c r="I572" t="s">
        <v>4997</v>
      </c>
      <c r="J572">
        <v>60043875</v>
      </c>
      <c r="K572" t="s">
        <v>4996</v>
      </c>
      <c r="L572" t="s">
        <v>4995</v>
      </c>
      <c r="M572" t="s">
        <v>1207</v>
      </c>
      <c r="N572">
        <v>1</v>
      </c>
      <c r="O572" t="s">
        <v>4994</v>
      </c>
      <c r="P572">
        <v>7403176992</v>
      </c>
      <c r="Q572">
        <v>60043875</v>
      </c>
      <c r="R572" s="7">
        <v>33239</v>
      </c>
      <c r="S572" s="8">
        <f t="shared" si="72"/>
        <v>1991</v>
      </c>
      <c r="T572" s="8">
        <v>1991</v>
      </c>
      <c r="U572" s="8">
        <f t="shared" si="73"/>
        <v>31</v>
      </c>
      <c r="V572" s="7">
        <v>33390</v>
      </c>
      <c r="W572" t="s">
        <v>561</v>
      </c>
      <c r="X572" s="2">
        <v>0.30399999999999999</v>
      </c>
      <c r="Y572" s="6">
        <f t="shared" si="70"/>
        <v>8.115106377299057E-3</v>
      </c>
      <c r="AA572">
        <v>8952477</v>
      </c>
      <c r="AB572">
        <v>12250</v>
      </c>
      <c r="AC572">
        <v>10982760</v>
      </c>
      <c r="AD572" t="s">
        <v>5</v>
      </c>
      <c r="AE572">
        <v>4</v>
      </c>
      <c r="AF572">
        <v>7</v>
      </c>
      <c r="AH572" t="s">
        <v>4993</v>
      </c>
      <c r="AI572" t="s">
        <v>4992</v>
      </c>
      <c r="AJ572" t="s">
        <v>4991</v>
      </c>
      <c r="AK572" t="s">
        <v>4990</v>
      </c>
      <c r="AL572">
        <v>0</v>
      </c>
      <c r="AM572" s="5">
        <f t="shared" si="74"/>
        <v>0</v>
      </c>
      <c r="AN572" s="4">
        <f t="shared" si="71"/>
        <v>0</v>
      </c>
      <c r="AO572" s="3"/>
      <c r="AP572">
        <v>0</v>
      </c>
      <c r="AR572" t="s">
        <v>0</v>
      </c>
      <c r="AT572" s="2" t="s">
        <v>33</v>
      </c>
      <c r="AU572" s="1">
        <f t="shared" si="75"/>
        <v>0.56805744641093392</v>
      </c>
      <c r="AV572" s="1">
        <f t="shared" si="76"/>
        <v>0.40575531886495286</v>
      </c>
      <c r="AW572" s="1">
        <f t="shared" si="77"/>
        <v>0.24345319131897172</v>
      </c>
    </row>
    <row r="573" spans="1:49" x14ac:dyDescent="0.2">
      <c r="A573">
        <v>571</v>
      </c>
      <c r="B573" t="s">
        <v>4989</v>
      </c>
      <c r="C573" t="s">
        <v>4988</v>
      </c>
      <c r="F573" t="s">
        <v>4987</v>
      </c>
      <c r="G573" t="s">
        <v>16</v>
      </c>
      <c r="H573" t="s">
        <v>15</v>
      </c>
      <c r="I573" t="s">
        <v>4986</v>
      </c>
      <c r="J573">
        <v>60025272</v>
      </c>
      <c r="K573" t="s">
        <v>4985</v>
      </c>
      <c r="L573" t="s">
        <v>327</v>
      </c>
      <c r="M573" t="s">
        <v>326</v>
      </c>
      <c r="N573">
        <v>3</v>
      </c>
      <c r="O573" t="s">
        <v>4984</v>
      </c>
      <c r="P573" t="s">
        <v>4983</v>
      </c>
      <c r="Q573" t="s">
        <v>4982</v>
      </c>
      <c r="R573" s="7">
        <v>33239</v>
      </c>
      <c r="S573" s="8">
        <f t="shared" si="72"/>
        <v>1991</v>
      </c>
      <c r="T573" s="8">
        <v>1991</v>
      </c>
      <c r="U573" s="8">
        <f t="shared" si="73"/>
        <v>31</v>
      </c>
      <c r="V573" s="7">
        <v>33390</v>
      </c>
      <c r="W573" t="s">
        <v>4981</v>
      </c>
      <c r="X573" s="2">
        <v>0.371</v>
      </c>
      <c r="Y573" s="6">
        <f t="shared" si="70"/>
        <v>9.9036331117695747E-3</v>
      </c>
      <c r="AA573">
        <v>214922</v>
      </c>
      <c r="AB573">
        <v>130262</v>
      </c>
      <c r="AC573">
        <v>13474065</v>
      </c>
      <c r="AD573" t="s">
        <v>5</v>
      </c>
      <c r="AE573">
        <v>30</v>
      </c>
      <c r="AF573" t="s">
        <v>4980</v>
      </c>
      <c r="AH573" t="s">
        <v>4979</v>
      </c>
      <c r="AI573" t="s">
        <v>4978</v>
      </c>
      <c r="AJ573" t="s">
        <v>4977</v>
      </c>
      <c r="AK573" t="s">
        <v>4976</v>
      </c>
      <c r="AL573">
        <v>8</v>
      </c>
      <c r="AM573" s="5">
        <f t="shared" si="74"/>
        <v>0.25806451612903225</v>
      </c>
      <c r="AN573" s="4">
        <f t="shared" si="71"/>
        <v>3.9085879004775807E-4</v>
      </c>
      <c r="AO573" s="3"/>
      <c r="AP573">
        <v>0</v>
      </c>
      <c r="AR573" t="s">
        <v>0</v>
      </c>
      <c r="AT573" s="2">
        <v>1.48</v>
      </c>
      <c r="AU573" s="1">
        <f t="shared" si="75"/>
        <v>0.70498008152530289</v>
      </c>
      <c r="AV573" s="1">
        <f t="shared" si="76"/>
        <v>0.51472459509086654</v>
      </c>
      <c r="AW573" s="1">
        <f t="shared" si="77"/>
        <v>0.32446910865643031</v>
      </c>
    </row>
    <row r="574" spans="1:49" x14ac:dyDescent="0.2">
      <c r="A574">
        <v>572</v>
      </c>
      <c r="B574" t="s">
        <v>4975</v>
      </c>
      <c r="C574" t="s">
        <v>4974</v>
      </c>
      <c r="F574" t="s">
        <v>4973</v>
      </c>
      <c r="G574" t="s">
        <v>16</v>
      </c>
      <c r="H574" t="s">
        <v>15</v>
      </c>
      <c r="I574" t="s">
        <v>4972</v>
      </c>
      <c r="J574">
        <v>60032179</v>
      </c>
      <c r="K574" t="s">
        <v>4971</v>
      </c>
      <c r="L574" t="s">
        <v>4970</v>
      </c>
      <c r="M574" t="s">
        <v>57</v>
      </c>
      <c r="N574">
        <v>1</v>
      </c>
      <c r="O574" t="s">
        <v>4969</v>
      </c>
      <c r="P574">
        <v>7006765697</v>
      </c>
      <c r="Q574">
        <v>60032179</v>
      </c>
      <c r="R574" s="7">
        <v>33239</v>
      </c>
      <c r="S574" s="8">
        <f t="shared" si="72"/>
        <v>1991</v>
      </c>
      <c r="T574" s="8">
        <v>1991</v>
      </c>
      <c r="U574" s="8">
        <f t="shared" si="73"/>
        <v>31</v>
      </c>
      <c r="V574" s="7">
        <v>33390</v>
      </c>
      <c r="W574" t="s">
        <v>2747</v>
      </c>
      <c r="X574" s="2">
        <v>1.6379999999999999</v>
      </c>
      <c r="Y574" s="6">
        <f t="shared" si="70"/>
        <v>4.3725474493473214E-2</v>
      </c>
      <c r="AA574" t="s">
        <v>2746</v>
      </c>
      <c r="AB574">
        <v>17391</v>
      </c>
      <c r="AC574">
        <v>19410476</v>
      </c>
      <c r="AD574" t="s">
        <v>5</v>
      </c>
      <c r="AE574">
        <v>39</v>
      </c>
      <c r="AF574">
        <v>6</v>
      </c>
      <c r="AH574" t="s">
        <v>4968</v>
      </c>
      <c r="AI574" t="s">
        <v>4967</v>
      </c>
      <c r="AK574" t="s">
        <v>4966</v>
      </c>
      <c r="AL574">
        <v>39</v>
      </c>
      <c r="AM574" s="5">
        <f t="shared" si="74"/>
        <v>1.2580645161290323</v>
      </c>
      <c r="AN574" s="4">
        <f t="shared" si="71"/>
        <v>1.9054366014828205E-3</v>
      </c>
      <c r="AO574" s="3"/>
      <c r="AP574">
        <v>0</v>
      </c>
      <c r="AR574" t="s">
        <v>0</v>
      </c>
      <c r="AT574" s="2">
        <v>4.931</v>
      </c>
      <c r="AU574" s="1">
        <f t="shared" si="75"/>
        <v>3.1179463125876095</v>
      </c>
      <c r="AV574" s="1">
        <f t="shared" si="76"/>
        <v>2.2815455547478014</v>
      </c>
      <c r="AW574" s="1">
        <f t="shared" si="77"/>
        <v>1.4451447969079938</v>
      </c>
    </row>
    <row r="575" spans="1:49" x14ac:dyDescent="0.2">
      <c r="A575">
        <v>573</v>
      </c>
      <c r="B575" t="s">
        <v>4965</v>
      </c>
      <c r="C575" t="s">
        <v>4964</v>
      </c>
      <c r="F575" t="s">
        <v>4963</v>
      </c>
      <c r="G575" t="s">
        <v>16</v>
      </c>
      <c r="H575" t="s">
        <v>15</v>
      </c>
      <c r="I575" t="s">
        <v>4962</v>
      </c>
      <c r="J575">
        <v>60007776</v>
      </c>
      <c r="K575" t="s">
        <v>3047</v>
      </c>
      <c r="L575" t="s">
        <v>3046</v>
      </c>
      <c r="M575" t="s">
        <v>57</v>
      </c>
      <c r="N575">
        <v>2</v>
      </c>
      <c r="O575" t="s">
        <v>4532</v>
      </c>
      <c r="P575" t="s">
        <v>4531</v>
      </c>
      <c r="Q575" t="s">
        <v>3043</v>
      </c>
      <c r="R575" s="7">
        <v>33239</v>
      </c>
      <c r="S575" s="8">
        <f t="shared" si="72"/>
        <v>1991</v>
      </c>
      <c r="T575" s="8">
        <v>1991</v>
      </c>
      <c r="U575" s="8">
        <f t="shared" si="73"/>
        <v>31</v>
      </c>
      <c r="V575" s="7">
        <v>33390</v>
      </c>
      <c r="W575" t="s">
        <v>731</v>
      </c>
      <c r="X575" s="2">
        <v>1.3720000000000001</v>
      </c>
      <c r="Y575" s="6">
        <f t="shared" si="70"/>
        <v>3.662475641333654E-2</v>
      </c>
      <c r="AA575">
        <v>189480</v>
      </c>
      <c r="AB575">
        <v>17366</v>
      </c>
      <c r="AC575">
        <v>15579670</v>
      </c>
      <c r="AD575" t="s">
        <v>5</v>
      </c>
      <c r="AE575">
        <v>39</v>
      </c>
      <c r="AF575">
        <v>6</v>
      </c>
      <c r="AH575" t="s">
        <v>4961</v>
      </c>
      <c r="AI575" t="s">
        <v>4960</v>
      </c>
      <c r="AK575" t="s">
        <v>4959</v>
      </c>
      <c r="AL575">
        <v>193</v>
      </c>
      <c r="AM575" s="5">
        <f t="shared" si="74"/>
        <v>6.225806451612903</v>
      </c>
      <c r="AN575" s="4">
        <f t="shared" si="71"/>
        <v>9.4294683099021628E-3</v>
      </c>
      <c r="AO575" s="3"/>
      <c r="AP575">
        <v>0</v>
      </c>
      <c r="AR575" t="s">
        <v>0</v>
      </c>
      <c r="AT575" s="2" t="s">
        <v>33</v>
      </c>
      <c r="AU575" s="1">
        <f t="shared" si="75"/>
        <v>2.8466169982306226</v>
      </c>
      <c r="AV575" s="1">
        <f t="shared" si="76"/>
        <v>2.3027112361619353</v>
      </c>
      <c r="AW575" s="1">
        <f t="shared" si="77"/>
        <v>1.7588054740932475</v>
      </c>
    </row>
    <row r="576" spans="1:49" x14ac:dyDescent="0.2">
      <c r="A576">
        <v>574</v>
      </c>
      <c r="B576" t="s">
        <v>4958</v>
      </c>
      <c r="C576" t="s">
        <v>4957</v>
      </c>
      <c r="F576" t="s">
        <v>4956</v>
      </c>
      <c r="G576" t="s">
        <v>16</v>
      </c>
      <c r="H576" t="s">
        <v>15</v>
      </c>
      <c r="I576" t="s">
        <v>4955</v>
      </c>
      <c r="N576">
        <v>3</v>
      </c>
      <c r="O576" t="s">
        <v>4954</v>
      </c>
      <c r="P576" t="s">
        <v>4953</v>
      </c>
      <c r="Q576" t="s">
        <v>757</v>
      </c>
      <c r="R576" s="7">
        <v>33239</v>
      </c>
      <c r="S576" s="8">
        <f t="shared" si="72"/>
        <v>1991</v>
      </c>
      <c r="T576" s="8">
        <v>1991</v>
      </c>
      <c r="U576" s="8">
        <f t="shared" si="73"/>
        <v>31</v>
      </c>
      <c r="V576" s="7">
        <v>33390</v>
      </c>
      <c r="W576" t="s">
        <v>2721</v>
      </c>
      <c r="X576" s="2">
        <v>0.82</v>
      </c>
      <c r="Y576" s="6">
        <f t="shared" si="70"/>
        <v>2.1889431675609299E-2</v>
      </c>
      <c r="AA576">
        <v>189456</v>
      </c>
      <c r="AB576">
        <v>15361</v>
      </c>
      <c r="AC576">
        <v>15579662</v>
      </c>
      <c r="AD576" t="s">
        <v>5</v>
      </c>
      <c r="AE576">
        <v>40</v>
      </c>
      <c r="AF576">
        <v>3</v>
      </c>
      <c r="AH576" t="s">
        <v>4952</v>
      </c>
      <c r="AI576" t="s">
        <v>4951</v>
      </c>
      <c r="AK576" t="s">
        <v>4950</v>
      </c>
      <c r="AL576">
        <v>2</v>
      </c>
      <c r="AM576" s="5">
        <f t="shared" si="74"/>
        <v>6.4516129032258063E-2</v>
      </c>
      <c r="AN576" s="4">
        <f t="shared" si="71"/>
        <v>9.7714697511939517E-5</v>
      </c>
      <c r="AO576" s="3"/>
      <c r="AP576">
        <v>0</v>
      </c>
      <c r="AR576" t="s">
        <v>0</v>
      </c>
      <c r="AT576" s="2" t="s">
        <v>33</v>
      </c>
      <c r="AU576" s="1">
        <f t="shared" si="75"/>
        <v>1.535191658218009</v>
      </c>
      <c r="AV576" s="1">
        <f t="shared" si="76"/>
        <v>1.0993573186560619</v>
      </c>
      <c r="AW576" s="1">
        <f t="shared" si="77"/>
        <v>0.66352297909411473</v>
      </c>
    </row>
    <row r="577" spans="1:49" x14ac:dyDescent="0.2">
      <c r="A577">
        <v>575</v>
      </c>
      <c r="B577" t="s">
        <v>4949</v>
      </c>
      <c r="C577" t="s">
        <v>4948</v>
      </c>
      <c r="F577" t="s">
        <v>4947</v>
      </c>
      <c r="G577" t="s">
        <v>16</v>
      </c>
      <c r="H577" t="s">
        <v>15</v>
      </c>
      <c r="I577" t="s">
        <v>4946</v>
      </c>
      <c r="J577" t="s">
        <v>4945</v>
      </c>
      <c r="K577" t="s">
        <v>4944</v>
      </c>
      <c r="L577" t="s">
        <v>4943</v>
      </c>
      <c r="M577" t="s">
        <v>4429</v>
      </c>
      <c r="N577">
        <v>3</v>
      </c>
      <c r="O577" t="s">
        <v>4942</v>
      </c>
      <c r="P577" t="s">
        <v>4941</v>
      </c>
      <c r="Q577" t="s">
        <v>4940</v>
      </c>
      <c r="R577" s="7">
        <v>33239</v>
      </c>
      <c r="S577" s="8">
        <f t="shared" si="72"/>
        <v>1991</v>
      </c>
      <c r="T577" s="8">
        <v>1991</v>
      </c>
      <c r="U577" s="8">
        <f t="shared" si="73"/>
        <v>31</v>
      </c>
      <c r="V577" s="7">
        <v>33390</v>
      </c>
      <c r="W577" t="s">
        <v>3276</v>
      </c>
      <c r="X577" s="2">
        <v>2.383</v>
      </c>
      <c r="Y577" s="6">
        <f t="shared" si="70"/>
        <v>6.3612824003630442E-2</v>
      </c>
      <c r="AA577">
        <v>189219</v>
      </c>
      <c r="AB577">
        <v>17915</v>
      </c>
      <c r="AC577">
        <v>15582256</v>
      </c>
      <c r="AD577" t="s">
        <v>5</v>
      </c>
      <c r="AE577">
        <v>79</v>
      </c>
      <c r="AF577">
        <v>6</v>
      </c>
      <c r="AH577" t="s">
        <v>4939</v>
      </c>
      <c r="AI577" t="s">
        <v>4938</v>
      </c>
      <c r="AK577" t="s">
        <v>4937</v>
      </c>
      <c r="AL577">
        <v>47</v>
      </c>
      <c r="AM577" s="5">
        <f t="shared" si="74"/>
        <v>1.5161290322580645</v>
      </c>
      <c r="AN577" s="4">
        <f t="shared" si="71"/>
        <v>2.2962953915305786E-3</v>
      </c>
      <c r="AO577" s="3"/>
      <c r="AP577">
        <v>0</v>
      </c>
      <c r="AQ577" t="s">
        <v>2474</v>
      </c>
      <c r="AR577" t="s">
        <v>4936</v>
      </c>
      <c r="AS577" t="s">
        <v>2473</v>
      </c>
      <c r="AT577" s="2">
        <v>10.961</v>
      </c>
      <c r="AU577" s="1">
        <f t="shared" si="75"/>
        <v>4.521786542000048</v>
      </c>
      <c r="AV577" s="1">
        <f t="shared" si="76"/>
        <v>3.2954559697580508</v>
      </c>
      <c r="AW577" s="1">
        <f t="shared" si="77"/>
        <v>2.069125397516054</v>
      </c>
    </row>
    <row r="578" spans="1:49" x14ac:dyDescent="0.2">
      <c r="A578">
        <v>576</v>
      </c>
      <c r="B578" t="s">
        <v>4935</v>
      </c>
      <c r="C578" t="s">
        <v>4934</v>
      </c>
      <c r="F578" t="s">
        <v>4933</v>
      </c>
      <c r="G578" t="s">
        <v>16</v>
      </c>
      <c r="H578" t="s">
        <v>15</v>
      </c>
      <c r="I578" t="s">
        <v>4932</v>
      </c>
      <c r="J578">
        <v>60027550</v>
      </c>
      <c r="K578" t="s">
        <v>1338</v>
      </c>
      <c r="L578" t="s">
        <v>1337</v>
      </c>
      <c r="M578" t="s">
        <v>57</v>
      </c>
      <c r="N578">
        <v>2</v>
      </c>
      <c r="O578" t="s">
        <v>4931</v>
      </c>
      <c r="P578" t="s">
        <v>4930</v>
      </c>
      <c r="Q578" t="s">
        <v>1795</v>
      </c>
      <c r="R578" s="7">
        <v>33239</v>
      </c>
      <c r="S578" s="8">
        <f t="shared" si="72"/>
        <v>1991</v>
      </c>
      <c r="T578" s="8">
        <v>1991</v>
      </c>
      <c r="U578" s="8">
        <f t="shared" si="73"/>
        <v>31</v>
      </c>
      <c r="V578" s="7">
        <v>33390</v>
      </c>
      <c r="W578" t="s">
        <v>1807</v>
      </c>
      <c r="X578" s="2">
        <v>1.6519999999999999</v>
      </c>
      <c r="Y578" s="6">
        <f t="shared" ref="Y578:Y641" si="78">(X578-$Z$4)/($Z$3-$Z$4)</f>
        <v>4.409919649769093E-2</v>
      </c>
      <c r="AA578" t="s">
        <v>1806</v>
      </c>
      <c r="AB578">
        <v>17337</v>
      </c>
      <c r="AC578">
        <v>15582221</v>
      </c>
      <c r="AD578" t="s">
        <v>5</v>
      </c>
      <c r="AE578">
        <v>39</v>
      </c>
      <c r="AF578">
        <v>6</v>
      </c>
      <c r="AH578" t="s">
        <v>4929</v>
      </c>
      <c r="AI578" t="s">
        <v>4928</v>
      </c>
      <c r="AK578" t="s">
        <v>4927</v>
      </c>
      <c r="AL578">
        <v>26</v>
      </c>
      <c r="AM578" s="5">
        <f t="shared" si="74"/>
        <v>0.83870967741935487</v>
      </c>
      <c r="AN578" s="4">
        <f t="shared" ref="AN578:AN641" si="79">(AM578-$AO$4)/($AO$3-$AO$4)</f>
        <v>1.2702910676552137E-3</v>
      </c>
      <c r="AO578" s="3"/>
      <c r="AP578">
        <v>0</v>
      </c>
      <c r="AR578" t="s">
        <v>0</v>
      </c>
      <c r="AT578" s="2" t="s">
        <v>33</v>
      </c>
      <c r="AU578" s="1">
        <f t="shared" si="75"/>
        <v>3.1250524868680212</v>
      </c>
      <c r="AV578" s="1">
        <f t="shared" si="76"/>
        <v>2.2684743782673071</v>
      </c>
      <c r="AW578" s="1">
        <f t="shared" si="77"/>
        <v>1.4118962696665927</v>
      </c>
    </row>
    <row r="579" spans="1:49" x14ac:dyDescent="0.2">
      <c r="A579">
        <v>577</v>
      </c>
      <c r="B579" t="s">
        <v>4926</v>
      </c>
      <c r="C579" t="s">
        <v>4925</v>
      </c>
      <c r="F579" t="s">
        <v>4924</v>
      </c>
      <c r="G579" t="s">
        <v>16</v>
      </c>
      <c r="H579" t="s">
        <v>15</v>
      </c>
      <c r="I579" t="s">
        <v>4923</v>
      </c>
      <c r="J579">
        <v>60011357</v>
      </c>
      <c r="K579" t="s">
        <v>3956</v>
      </c>
      <c r="L579" t="s">
        <v>3955</v>
      </c>
      <c r="M579" t="s">
        <v>2319</v>
      </c>
      <c r="N579">
        <v>2</v>
      </c>
      <c r="O579" t="s">
        <v>4922</v>
      </c>
      <c r="P579" t="s">
        <v>4921</v>
      </c>
      <c r="Q579" t="s">
        <v>3952</v>
      </c>
      <c r="R579" s="7">
        <v>33239</v>
      </c>
      <c r="S579" s="8">
        <f t="shared" si="72"/>
        <v>1991</v>
      </c>
      <c r="T579" s="8">
        <v>1991</v>
      </c>
      <c r="U579" s="8">
        <f t="shared" si="73"/>
        <v>31</v>
      </c>
      <c r="V579" s="7">
        <v>33390</v>
      </c>
      <c r="W579" t="s">
        <v>1807</v>
      </c>
      <c r="X579" s="2">
        <v>1.6519999999999999</v>
      </c>
      <c r="Y579" s="6">
        <f t="shared" si="78"/>
        <v>4.409919649769093E-2</v>
      </c>
      <c r="AA579" t="s">
        <v>1806</v>
      </c>
      <c r="AB579">
        <v>17337</v>
      </c>
      <c r="AC579">
        <v>15582221</v>
      </c>
      <c r="AD579" t="s">
        <v>5</v>
      </c>
      <c r="AE579">
        <v>39</v>
      </c>
      <c r="AF579">
        <v>6</v>
      </c>
      <c r="AH579" t="s">
        <v>4920</v>
      </c>
      <c r="AI579" t="s">
        <v>4919</v>
      </c>
      <c r="AK579" t="s">
        <v>4918</v>
      </c>
      <c r="AL579">
        <v>2</v>
      </c>
      <c r="AM579" s="5">
        <f t="shared" si="74"/>
        <v>6.4516129032258063E-2</v>
      </c>
      <c r="AN579" s="4">
        <f t="shared" si="79"/>
        <v>9.7714697511939517E-5</v>
      </c>
      <c r="AO579" s="3"/>
      <c r="AP579">
        <v>0</v>
      </c>
      <c r="AR579" t="s">
        <v>0</v>
      </c>
      <c r="AT579" s="2" t="s">
        <v>33</v>
      </c>
      <c r="AU579" s="1">
        <f t="shared" si="75"/>
        <v>3.0898751957637232</v>
      </c>
      <c r="AV579" s="1">
        <f t="shared" si="76"/>
        <v>2.2098455597601436</v>
      </c>
      <c r="AW579" s="1">
        <f t="shared" si="77"/>
        <v>1.3298159237565637</v>
      </c>
    </row>
    <row r="580" spans="1:49" x14ac:dyDescent="0.2">
      <c r="A580">
        <v>578</v>
      </c>
      <c r="B580" t="s">
        <v>4917</v>
      </c>
      <c r="C580" t="s">
        <v>4916</v>
      </c>
      <c r="F580" t="s">
        <v>4915</v>
      </c>
      <c r="G580" t="s">
        <v>16</v>
      </c>
      <c r="H580" t="s">
        <v>15</v>
      </c>
      <c r="I580" t="s">
        <v>4914</v>
      </c>
      <c r="J580">
        <v>60025778</v>
      </c>
      <c r="K580" t="s">
        <v>2395</v>
      </c>
      <c r="L580" t="s">
        <v>2394</v>
      </c>
      <c r="M580" t="s">
        <v>57</v>
      </c>
      <c r="N580">
        <v>2</v>
      </c>
      <c r="O580" t="s">
        <v>4913</v>
      </c>
      <c r="P580" t="s">
        <v>4912</v>
      </c>
      <c r="Q580" t="s">
        <v>3553</v>
      </c>
      <c r="R580" s="7">
        <v>33239</v>
      </c>
      <c r="S580" s="8">
        <f t="shared" si="72"/>
        <v>1991</v>
      </c>
      <c r="T580" s="8">
        <v>1991</v>
      </c>
      <c r="U580" s="8">
        <f t="shared" si="73"/>
        <v>31</v>
      </c>
      <c r="V580" s="7">
        <v>33390</v>
      </c>
      <c r="W580" t="s">
        <v>1807</v>
      </c>
      <c r="X580" s="2">
        <v>1.6519999999999999</v>
      </c>
      <c r="Y580" s="6">
        <f t="shared" si="78"/>
        <v>4.409919649769093E-2</v>
      </c>
      <c r="AA580" t="s">
        <v>1806</v>
      </c>
      <c r="AB580">
        <v>17337</v>
      </c>
      <c r="AC580">
        <v>15582221</v>
      </c>
      <c r="AD580" t="s">
        <v>5</v>
      </c>
      <c r="AE580">
        <v>39</v>
      </c>
      <c r="AF580">
        <v>6</v>
      </c>
      <c r="AH580" t="s">
        <v>4911</v>
      </c>
      <c r="AI580" t="s">
        <v>4910</v>
      </c>
      <c r="AK580" t="s">
        <v>4909</v>
      </c>
      <c r="AL580">
        <v>27</v>
      </c>
      <c r="AM580" s="5">
        <f t="shared" si="74"/>
        <v>0.87096774193548387</v>
      </c>
      <c r="AN580" s="4">
        <f t="shared" si="79"/>
        <v>1.3191484164111836E-3</v>
      </c>
      <c r="AO580" s="3"/>
      <c r="AP580">
        <v>0</v>
      </c>
      <c r="AR580" t="s">
        <v>0</v>
      </c>
      <c r="AT580" s="2" t="s">
        <v>33</v>
      </c>
      <c r="AU580" s="1">
        <f t="shared" si="75"/>
        <v>3.126518207330701</v>
      </c>
      <c r="AV580" s="1">
        <f t="shared" si="76"/>
        <v>2.2709172457051054</v>
      </c>
      <c r="AW580" s="1">
        <f t="shared" si="77"/>
        <v>1.4153162840795106</v>
      </c>
    </row>
    <row r="581" spans="1:49" x14ac:dyDescent="0.2">
      <c r="A581">
        <v>579</v>
      </c>
      <c r="B581" t="s">
        <v>4908</v>
      </c>
      <c r="C581" t="s">
        <v>4907</v>
      </c>
      <c r="F581" t="s">
        <v>4906</v>
      </c>
      <c r="G581" t="s">
        <v>16</v>
      </c>
      <c r="H581" t="s">
        <v>15</v>
      </c>
      <c r="I581" t="s">
        <v>4905</v>
      </c>
      <c r="J581">
        <v>60005248</v>
      </c>
      <c r="K581" t="s">
        <v>2097</v>
      </c>
      <c r="L581" t="s">
        <v>2096</v>
      </c>
      <c r="M581" t="s">
        <v>57</v>
      </c>
      <c r="N581">
        <v>2</v>
      </c>
      <c r="O581" t="s">
        <v>4904</v>
      </c>
      <c r="P581" t="s">
        <v>4903</v>
      </c>
      <c r="Q581" t="s">
        <v>2093</v>
      </c>
      <c r="R581" s="7">
        <v>33239</v>
      </c>
      <c r="S581" s="8">
        <f t="shared" si="72"/>
        <v>1991</v>
      </c>
      <c r="T581" s="8">
        <v>1991</v>
      </c>
      <c r="U581" s="8">
        <f t="shared" si="73"/>
        <v>31</v>
      </c>
      <c r="V581" s="7" t="s">
        <v>4770</v>
      </c>
      <c r="W581" s="11" t="s">
        <v>4011</v>
      </c>
      <c r="X581" s="2">
        <v>2.383</v>
      </c>
      <c r="Y581" s="6">
        <f t="shared" si="78"/>
        <v>6.3612824003630442E-2</v>
      </c>
      <c r="AA581" t="s">
        <v>4010</v>
      </c>
      <c r="AB581">
        <v>96433</v>
      </c>
      <c r="AD581" t="s">
        <v>5</v>
      </c>
      <c r="AE581">
        <v>138</v>
      </c>
      <c r="AF581">
        <v>3</v>
      </c>
      <c r="AH581" t="s">
        <v>4902</v>
      </c>
      <c r="AI581" t="s">
        <v>4901</v>
      </c>
      <c r="AK581" t="s">
        <v>4900</v>
      </c>
      <c r="AL581">
        <v>6</v>
      </c>
      <c r="AM581" s="5">
        <f t="shared" si="74"/>
        <v>0.19354838709677419</v>
      </c>
      <c r="AN581" s="4">
        <f t="shared" si="79"/>
        <v>2.9314409253581854E-4</v>
      </c>
      <c r="AO581" s="3"/>
      <c r="AP581">
        <v>0</v>
      </c>
      <c r="AR581" t="s">
        <v>0</v>
      </c>
      <c r="AT581" s="2" t="s">
        <v>33</v>
      </c>
      <c r="AU581" s="1">
        <f t="shared" si="75"/>
        <v>4.4616920030302056</v>
      </c>
      <c r="AV581" s="1">
        <f t="shared" si="76"/>
        <v>3.1952984048083133</v>
      </c>
      <c r="AW581" s="1">
        <f t="shared" si="77"/>
        <v>1.9289048065864205</v>
      </c>
    </row>
    <row r="582" spans="1:49" x14ac:dyDescent="0.2">
      <c r="A582">
        <v>580</v>
      </c>
      <c r="B582" t="s">
        <v>4899</v>
      </c>
      <c r="C582" t="s">
        <v>4898</v>
      </c>
      <c r="F582" t="s">
        <v>4897</v>
      </c>
      <c r="G582" t="s">
        <v>16</v>
      </c>
      <c r="H582" t="s">
        <v>15</v>
      </c>
      <c r="I582" t="s">
        <v>4896</v>
      </c>
      <c r="J582" t="s">
        <v>4895</v>
      </c>
      <c r="K582" t="s">
        <v>4894</v>
      </c>
      <c r="L582" t="s">
        <v>4893</v>
      </c>
      <c r="M582" t="s">
        <v>821</v>
      </c>
      <c r="N582">
        <v>6</v>
      </c>
      <c r="O582" t="s">
        <v>4892</v>
      </c>
      <c r="P582" t="s">
        <v>4891</v>
      </c>
      <c r="Q582" t="s">
        <v>4890</v>
      </c>
      <c r="R582" s="7">
        <v>33239</v>
      </c>
      <c r="S582" s="8">
        <f t="shared" si="72"/>
        <v>1991</v>
      </c>
      <c r="T582" s="8">
        <v>1991</v>
      </c>
      <c r="U582" s="8">
        <f t="shared" si="73"/>
        <v>31</v>
      </c>
      <c r="V582" s="7">
        <v>33390</v>
      </c>
      <c r="W582" t="s">
        <v>3276</v>
      </c>
      <c r="X582" s="2">
        <v>2.383</v>
      </c>
      <c r="Y582" s="6">
        <f t="shared" si="78"/>
        <v>6.3612824003630442E-2</v>
      </c>
      <c r="AA582">
        <v>189219</v>
      </c>
      <c r="AB582">
        <v>17915</v>
      </c>
      <c r="AC582">
        <v>15582256</v>
      </c>
      <c r="AD582" t="s">
        <v>5</v>
      </c>
      <c r="AE582">
        <v>79</v>
      </c>
      <c r="AF582">
        <v>6</v>
      </c>
      <c r="AH582" t="s">
        <v>4889</v>
      </c>
      <c r="AI582" t="s">
        <v>4888</v>
      </c>
      <c r="AK582" t="s">
        <v>4887</v>
      </c>
      <c r="AL582">
        <v>47</v>
      </c>
      <c r="AM582" s="5">
        <f t="shared" si="74"/>
        <v>1.5161290322580645</v>
      </c>
      <c r="AN582" s="4">
        <f t="shared" si="79"/>
        <v>2.2962953915305786E-3</v>
      </c>
      <c r="AO582" s="3"/>
      <c r="AP582">
        <v>0</v>
      </c>
      <c r="AR582" t="s">
        <v>0</v>
      </c>
      <c r="AT582" s="2">
        <v>10.961</v>
      </c>
      <c r="AU582" s="1">
        <f t="shared" si="75"/>
        <v>4.521786542000048</v>
      </c>
      <c r="AV582" s="1">
        <f t="shared" si="76"/>
        <v>3.2954559697580508</v>
      </c>
      <c r="AW582" s="1">
        <f t="shared" si="77"/>
        <v>2.069125397516054</v>
      </c>
    </row>
    <row r="583" spans="1:49" x14ac:dyDescent="0.2">
      <c r="A583">
        <v>581</v>
      </c>
      <c r="B583" t="s">
        <v>4886</v>
      </c>
      <c r="C583" t="s">
        <v>4885</v>
      </c>
      <c r="F583" t="s">
        <v>4884</v>
      </c>
      <c r="G583" t="s">
        <v>16</v>
      </c>
      <c r="H583" t="s">
        <v>15</v>
      </c>
      <c r="I583" t="s">
        <v>4883</v>
      </c>
      <c r="J583" t="s">
        <v>4882</v>
      </c>
      <c r="K583" t="s">
        <v>4881</v>
      </c>
      <c r="L583" t="s">
        <v>4880</v>
      </c>
      <c r="M583" t="s">
        <v>364</v>
      </c>
      <c r="N583">
        <v>6</v>
      </c>
      <c r="O583" t="s">
        <v>4879</v>
      </c>
      <c r="P583" t="s">
        <v>4878</v>
      </c>
      <c r="Q583" t="s">
        <v>4877</v>
      </c>
      <c r="R583" s="7">
        <v>33239</v>
      </c>
      <c r="S583" s="8">
        <f t="shared" si="72"/>
        <v>1991</v>
      </c>
      <c r="T583" s="8">
        <v>1991</v>
      </c>
      <c r="U583" s="8">
        <f t="shared" si="73"/>
        <v>31</v>
      </c>
      <c r="V583" s="7">
        <v>33390</v>
      </c>
      <c r="W583" t="s">
        <v>731</v>
      </c>
      <c r="X583" s="2">
        <v>1.3720000000000001</v>
      </c>
      <c r="Y583" s="6">
        <f t="shared" si="78"/>
        <v>3.662475641333654E-2</v>
      </c>
      <c r="AA583">
        <v>189480</v>
      </c>
      <c r="AB583">
        <v>17366</v>
      </c>
      <c r="AC583">
        <v>15579670</v>
      </c>
      <c r="AD583" t="s">
        <v>5</v>
      </c>
      <c r="AE583">
        <v>39</v>
      </c>
      <c r="AF583">
        <v>6</v>
      </c>
      <c r="AH583" t="s">
        <v>4876</v>
      </c>
      <c r="AI583" t="s">
        <v>4875</v>
      </c>
      <c r="AK583" t="s">
        <v>4874</v>
      </c>
      <c r="AL583">
        <v>7</v>
      </c>
      <c r="AM583" s="5">
        <f t="shared" si="74"/>
        <v>0.22580645161290322</v>
      </c>
      <c r="AN583" s="4">
        <f t="shared" si="79"/>
        <v>3.420014412917883E-4</v>
      </c>
      <c r="AO583" s="3"/>
      <c r="AP583">
        <v>0</v>
      </c>
      <c r="AR583" t="s">
        <v>0</v>
      </c>
      <c r="AT583" s="2" t="s">
        <v>33</v>
      </c>
      <c r="AU583" s="1">
        <f t="shared" si="75"/>
        <v>2.5739929921723115</v>
      </c>
      <c r="AV583" s="1">
        <f t="shared" si="76"/>
        <v>1.8483378927314165</v>
      </c>
      <c r="AW583" s="1">
        <f t="shared" si="77"/>
        <v>1.1226827932905215</v>
      </c>
    </row>
    <row r="584" spans="1:49" x14ac:dyDescent="0.2">
      <c r="A584">
        <v>582</v>
      </c>
      <c r="B584" t="s">
        <v>4873</v>
      </c>
      <c r="C584" t="s">
        <v>4872</v>
      </c>
      <c r="F584" t="s">
        <v>4871</v>
      </c>
      <c r="G584" t="s">
        <v>16</v>
      </c>
      <c r="H584" t="s">
        <v>15</v>
      </c>
      <c r="I584" t="s">
        <v>4870</v>
      </c>
      <c r="J584">
        <v>60021097</v>
      </c>
      <c r="K584" t="s">
        <v>4869</v>
      </c>
      <c r="L584" t="s">
        <v>4868</v>
      </c>
      <c r="M584" t="s">
        <v>117</v>
      </c>
      <c r="N584">
        <v>2</v>
      </c>
      <c r="O584" t="s">
        <v>4867</v>
      </c>
      <c r="P584" t="s">
        <v>4866</v>
      </c>
      <c r="Q584" t="s">
        <v>4865</v>
      </c>
      <c r="R584" s="7">
        <v>33239</v>
      </c>
      <c r="S584" s="8">
        <f t="shared" si="72"/>
        <v>1991</v>
      </c>
      <c r="T584" s="8">
        <v>1991</v>
      </c>
      <c r="U584" s="8">
        <f t="shared" si="73"/>
        <v>31</v>
      </c>
      <c r="V584" s="7">
        <v>33390</v>
      </c>
      <c r="W584" t="s">
        <v>561</v>
      </c>
      <c r="X584" s="2">
        <v>0.30399999999999999</v>
      </c>
      <c r="Y584" s="6">
        <f t="shared" si="78"/>
        <v>8.115106377299057E-3</v>
      </c>
      <c r="AA584">
        <v>8952477</v>
      </c>
      <c r="AB584">
        <v>12250</v>
      </c>
      <c r="AC584">
        <v>10982760</v>
      </c>
      <c r="AD584" t="s">
        <v>5</v>
      </c>
      <c r="AE584">
        <v>4</v>
      </c>
      <c r="AF584">
        <v>7</v>
      </c>
      <c r="AH584" t="s">
        <v>4864</v>
      </c>
      <c r="AI584" t="s">
        <v>4863</v>
      </c>
      <c r="AJ584" t="s">
        <v>4862</v>
      </c>
      <c r="AK584" t="s">
        <v>4861</v>
      </c>
      <c r="AL584">
        <v>7</v>
      </c>
      <c r="AM584" s="5">
        <f t="shared" si="74"/>
        <v>0.22580645161290322</v>
      </c>
      <c r="AN584" s="4">
        <f t="shared" si="79"/>
        <v>3.420014412917883E-4</v>
      </c>
      <c r="AO584" s="3"/>
      <c r="AP584">
        <v>0</v>
      </c>
      <c r="AR584" t="s">
        <v>0</v>
      </c>
      <c r="AT584" s="2" t="s">
        <v>33</v>
      </c>
      <c r="AU584" s="1">
        <f t="shared" si="75"/>
        <v>0.57831748964968765</v>
      </c>
      <c r="AV584" s="1">
        <f t="shared" si="76"/>
        <v>0.42285539092954222</v>
      </c>
      <c r="AW584" s="1">
        <f t="shared" si="77"/>
        <v>0.26739329220939689</v>
      </c>
    </row>
    <row r="585" spans="1:49" x14ac:dyDescent="0.2">
      <c r="A585">
        <v>583</v>
      </c>
      <c r="B585" t="s">
        <v>4860</v>
      </c>
      <c r="C585" t="s">
        <v>4859</v>
      </c>
      <c r="F585" t="s">
        <v>4858</v>
      </c>
      <c r="G585" t="s">
        <v>16</v>
      </c>
      <c r="H585" t="s">
        <v>15</v>
      </c>
      <c r="I585" t="s">
        <v>4857</v>
      </c>
      <c r="J585" t="s">
        <v>4856</v>
      </c>
      <c r="K585" t="s">
        <v>4855</v>
      </c>
      <c r="L585" t="s">
        <v>4854</v>
      </c>
      <c r="M585" t="s">
        <v>228</v>
      </c>
      <c r="N585">
        <v>4</v>
      </c>
      <c r="O585" t="s">
        <v>4853</v>
      </c>
      <c r="P585" t="s">
        <v>4852</v>
      </c>
      <c r="Q585" t="s">
        <v>4851</v>
      </c>
      <c r="R585" s="7">
        <v>33239</v>
      </c>
      <c r="S585" s="8">
        <f t="shared" si="72"/>
        <v>1991</v>
      </c>
      <c r="T585" s="8">
        <v>1991</v>
      </c>
      <c r="U585" s="8">
        <f t="shared" si="73"/>
        <v>31</v>
      </c>
      <c r="V585" s="7">
        <v>33390</v>
      </c>
      <c r="W585" t="s">
        <v>3276</v>
      </c>
      <c r="X585" s="2">
        <v>2.383</v>
      </c>
      <c r="Y585" s="6">
        <f t="shared" si="78"/>
        <v>6.3612824003630442E-2</v>
      </c>
      <c r="AA585">
        <v>189219</v>
      </c>
      <c r="AB585">
        <v>17915</v>
      </c>
      <c r="AC585">
        <v>15582256</v>
      </c>
      <c r="AD585" t="s">
        <v>5</v>
      </c>
      <c r="AE585">
        <v>79</v>
      </c>
      <c r="AF585">
        <v>6</v>
      </c>
      <c r="AH585" t="s">
        <v>4850</v>
      </c>
      <c r="AI585" t="s">
        <v>4849</v>
      </c>
      <c r="AK585" t="s">
        <v>4848</v>
      </c>
      <c r="AL585">
        <v>103</v>
      </c>
      <c r="AM585" s="5">
        <f t="shared" si="74"/>
        <v>3.3225806451612905</v>
      </c>
      <c r="AN585" s="4">
        <f t="shared" si="79"/>
        <v>5.0323069218648851E-3</v>
      </c>
      <c r="AO585" s="3"/>
      <c r="AP585">
        <v>0</v>
      </c>
      <c r="AR585" t="s">
        <v>0</v>
      </c>
      <c r="AT585" s="2">
        <v>10.961</v>
      </c>
      <c r="AU585" s="1">
        <f t="shared" si="75"/>
        <v>4.6038668879100779</v>
      </c>
      <c r="AV585" s="1">
        <f t="shared" si="76"/>
        <v>3.4322565462747665</v>
      </c>
      <c r="AW585" s="1">
        <f t="shared" si="77"/>
        <v>2.2606462046394551</v>
      </c>
    </row>
    <row r="586" spans="1:49" x14ac:dyDescent="0.2">
      <c r="A586">
        <v>584</v>
      </c>
      <c r="B586" t="s">
        <v>4847</v>
      </c>
      <c r="C586" t="s">
        <v>4846</v>
      </c>
      <c r="F586" t="s">
        <v>4845</v>
      </c>
      <c r="G586" t="s">
        <v>16</v>
      </c>
      <c r="H586" t="s">
        <v>15</v>
      </c>
      <c r="I586" t="s">
        <v>4844</v>
      </c>
      <c r="J586" t="s">
        <v>4838</v>
      </c>
      <c r="K586" t="s">
        <v>4843</v>
      </c>
      <c r="L586" t="s">
        <v>4842</v>
      </c>
      <c r="M586" t="s">
        <v>4841</v>
      </c>
      <c r="N586">
        <v>2</v>
      </c>
      <c r="O586" t="s">
        <v>4840</v>
      </c>
      <c r="P586" t="s">
        <v>4839</v>
      </c>
      <c r="Q586" t="s">
        <v>4838</v>
      </c>
      <c r="R586" s="7">
        <v>33239</v>
      </c>
      <c r="S586" s="8">
        <f t="shared" si="72"/>
        <v>1991</v>
      </c>
      <c r="T586" s="8">
        <v>1991</v>
      </c>
      <c r="U586" s="8">
        <f t="shared" si="73"/>
        <v>31</v>
      </c>
      <c r="V586" s="7">
        <v>33390</v>
      </c>
      <c r="W586" t="s">
        <v>1807</v>
      </c>
      <c r="X586" s="2">
        <v>1.6519999999999999</v>
      </c>
      <c r="Y586" s="6">
        <f t="shared" si="78"/>
        <v>4.409919649769093E-2</v>
      </c>
      <c r="AA586" t="s">
        <v>1806</v>
      </c>
      <c r="AB586">
        <v>17337</v>
      </c>
      <c r="AC586">
        <v>15582221</v>
      </c>
      <c r="AD586" t="s">
        <v>5</v>
      </c>
      <c r="AE586">
        <v>39</v>
      </c>
      <c r="AF586">
        <v>6</v>
      </c>
      <c r="AH586" t="s">
        <v>4837</v>
      </c>
      <c r="AI586" t="s">
        <v>4836</v>
      </c>
      <c r="AK586" t="s">
        <v>4835</v>
      </c>
      <c r="AL586">
        <v>44</v>
      </c>
      <c r="AM586" s="5">
        <f t="shared" si="74"/>
        <v>1.4193548387096775</v>
      </c>
      <c r="AN586" s="4">
        <f t="shared" si="79"/>
        <v>2.1497233452626692E-3</v>
      </c>
      <c r="AO586" s="3"/>
      <c r="AP586">
        <v>0</v>
      </c>
      <c r="AR586" t="s">
        <v>0</v>
      </c>
      <c r="AT586" s="2" t="s">
        <v>33</v>
      </c>
      <c r="AU586" s="1">
        <f t="shared" si="75"/>
        <v>3.1514354551962449</v>
      </c>
      <c r="AV586" s="1">
        <f t="shared" si="76"/>
        <v>2.3124459921476803</v>
      </c>
      <c r="AW586" s="1">
        <f t="shared" si="77"/>
        <v>1.4734565290991146</v>
      </c>
    </row>
    <row r="587" spans="1:49" x14ac:dyDescent="0.2">
      <c r="A587">
        <v>585</v>
      </c>
      <c r="B587" t="s">
        <v>4834</v>
      </c>
      <c r="C587" t="s">
        <v>4833</v>
      </c>
      <c r="F587" t="s">
        <v>4832</v>
      </c>
      <c r="G587" t="s">
        <v>16</v>
      </c>
      <c r="H587" t="s">
        <v>15</v>
      </c>
      <c r="I587" t="s">
        <v>4831</v>
      </c>
      <c r="J587">
        <v>60026242</v>
      </c>
      <c r="K587" t="s">
        <v>2618</v>
      </c>
      <c r="L587" t="s">
        <v>2617</v>
      </c>
      <c r="M587" t="s">
        <v>117</v>
      </c>
      <c r="N587">
        <v>6</v>
      </c>
      <c r="O587" t="s">
        <v>4830</v>
      </c>
      <c r="P587" t="s">
        <v>4829</v>
      </c>
      <c r="Q587" t="s">
        <v>4828</v>
      </c>
      <c r="R587" s="7">
        <v>33239</v>
      </c>
      <c r="S587" s="8">
        <f t="shared" si="72"/>
        <v>1991</v>
      </c>
      <c r="T587" s="8">
        <v>1991</v>
      </c>
      <c r="U587" s="8">
        <f t="shared" si="73"/>
        <v>31</v>
      </c>
      <c r="V587" s="7" t="s">
        <v>4770</v>
      </c>
      <c r="W587" s="11" t="s">
        <v>2635</v>
      </c>
      <c r="X587" s="2">
        <v>2.383</v>
      </c>
      <c r="Y587" s="6">
        <f t="shared" si="78"/>
        <v>6.3612824003630442E-2</v>
      </c>
      <c r="AA587" t="s">
        <v>2634</v>
      </c>
      <c r="AB587">
        <v>101151</v>
      </c>
      <c r="AD587" t="s">
        <v>5</v>
      </c>
      <c r="AE587">
        <v>138</v>
      </c>
      <c r="AF587">
        <v>3</v>
      </c>
      <c r="AH587" t="s">
        <v>4827</v>
      </c>
      <c r="AI587" t="s">
        <v>4826</v>
      </c>
      <c r="AK587" t="s">
        <v>4825</v>
      </c>
      <c r="AL587">
        <v>15</v>
      </c>
      <c r="AM587" s="5">
        <f t="shared" si="74"/>
        <v>0.4838709677419355</v>
      </c>
      <c r="AN587" s="4">
        <f t="shared" si="79"/>
        <v>7.3286023133954637E-4</v>
      </c>
      <c r="AO587" s="3"/>
      <c r="AP587">
        <v>0</v>
      </c>
      <c r="AR587" t="s">
        <v>0</v>
      </c>
      <c r="AT587" s="2" t="s">
        <v>33</v>
      </c>
      <c r="AU587" s="1">
        <f t="shared" si="75"/>
        <v>4.4748834871943171</v>
      </c>
      <c r="AV587" s="1">
        <f t="shared" si="76"/>
        <v>3.2172842117484994</v>
      </c>
      <c r="AW587" s="1">
        <f t="shared" si="77"/>
        <v>1.9596849363026816</v>
      </c>
    </row>
    <row r="588" spans="1:49" x14ac:dyDescent="0.2">
      <c r="A588">
        <v>586</v>
      </c>
      <c r="B588" t="s">
        <v>4824</v>
      </c>
      <c r="C588" t="s">
        <v>4823</v>
      </c>
      <c r="F588" t="s">
        <v>4822</v>
      </c>
      <c r="G588" t="s">
        <v>16</v>
      </c>
      <c r="H588" t="s">
        <v>15</v>
      </c>
      <c r="I588" t="s">
        <v>4821</v>
      </c>
      <c r="J588">
        <v>60018306</v>
      </c>
      <c r="K588" t="s">
        <v>4820</v>
      </c>
      <c r="L588" t="s">
        <v>4819</v>
      </c>
      <c r="M588" t="s">
        <v>57</v>
      </c>
      <c r="N588">
        <v>2</v>
      </c>
      <c r="O588" t="s">
        <v>4818</v>
      </c>
      <c r="P588" t="s">
        <v>4817</v>
      </c>
      <c r="Q588" t="s">
        <v>4816</v>
      </c>
      <c r="R588" s="7">
        <v>33239</v>
      </c>
      <c r="S588" s="8">
        <f t="shared" si="72"/>
        <v>1991</v>
      </c>
      <c r="T588" s="8">
        <v>1991</v>
      </c>
      <c r="U588" s="8">
        <f t="shared" si="73"/>
        <v>31</v>
      </c>
      <c r="V588" s="7" t="s">
        <v>4770</v>
      </c>
      <c r="W588" s="11" t="s">
        <v>4011</v>
      </c>
      <c r="X588" s="2">
        <v>2.383</v>
      </c>
      <c r="Y588" s="6">
        <f t="shared" si="78"/>
        <v>6.3612824003630442E-2</v>
      </c>
      <c r="AA588" t="s">
        <v>4010</v>
      </c>
      <c r="AB588">
        <v>96433</v>
      </c>
      <c r="AD588" t="s">
        <v>5</v>
      </c>
      <c r="AE588">
        <v>138</v>
      </c>
      <c r="AF588">
        <v>3</v>
      </c>
      <c r="AH588" t="s">
        <v>4815</v>
      </c>
      <c r="AI588" t="s">
        <v>4814</v>
      </c>
      <c r="AK588" t="s">
        <v>4813</v>
      </c>
      <c r="AL588">
        <v>2</v>
      </c>
      <c r="AM588" s="5">
        <f t="shared" si="74"/>
        <v>6.4516129032258063E-2</v>
      </c>
      <c r="AN588" s="4">
        <f t="shared" si="79"/>
        <v>9.7714697511939517E-5</v>
      </c>
      <c r="AO588" s="3"/>
      <c r="AP588">
        <v>0</v>
      </c>
      <c r="AR588" t="s">
        <v>0</v>
      </c>
      <c r="AT588" s="2" t="s">
        <v>33</v>
      </c>
      <c r="AU588" s="1">
        <f t="shared" si="75"/>
        <v>4.4558291211794891</v>
      </c>
      <c r="AV588" s="1">
        <f t="shared" si="76"/>
        <v>3.1855269350571187</v>
      </c>
      <c r="AW588" s="1">
        <f t="shared" si="77"/>
        <v>1.9152247489347491</v>
      </c>
    </row>
    <row r="589" spans="1:49" x14ac:dyDescent="0.2">
      <c r="A589">
        <v>587</v>
      </c>
      <c r="B589" t="s">
        <v>4812</v>
      </c>
      <c r="C589" t="s">
        <v>4811</v>
      </c>
      <c r="F589" t="s">
        <v>4810</v>
      </c>
      <c r="G589" t="s">
        <v>16</v>
      </c>
      <c r="H589" t="s">
        <v>15</v>
      </c>
      <c r="I589" t="s">
        <v>4809</v>
      </c>
      <c r="J589">
        <v>60011313</v>
      </c>
      <c r="K589" t="s">
        <v>4808</v>
      </c>
      <c r="L589" t="s">
        <v>4807</v>
      </c>
      <c r="M589" t="s">
        <v>4806</v>
      </c>
      <c r="N589">
        <v>2</v>
      </c>
      <c r="O589" t="s">
        <v>4805</v>
      </c>
      <c r="P589" t="s">
        <v>4804</v>
      </c>
      <c r="Q589" t="s">
        <v>4803</v>
      </c>
      <c r="R589" s="7">
        <v>33239</v>
      </c>
      <c r="S589" s="8">
        <f t="shared" si="72"/>
        <v>1991</v>
      </c>
      <c r="T589" s="8">
        <v>1991</v>
      </c>
      <c r="U589" s="8">
        <f t="shared" si="73"/>
        <v>31</v>
      </c>
      <c r="V589" s="7" t="s">
        <v>4770</v>
      </c>
      <c r="W589" s="11" t="s">
        <v>2635</v>
      </c>
      <c r="X589" s="2">
        <v>2.383</v>
      </c>
      <c r="Y589" s="6">
        <f t="shared" si="78"/>
        <v>6.3612824003630442E-2</v>
      </c>
      <c r="AA589" t="s">
        <v>2634</v>
      </c>
      <c r="AB589">
        <v>101151</v>
      </c>
      <c r="AD589" t="s">
        <v>5</v>
      </c>
      <c r="AE589">
        <v>138</v>
      </c>
      <c r="AF589">
        <v>3</v>
      </c>
      <c r="AH589" t="s">
        <v>4802</v>
      </c>
      <c r="AI589" t="s">
        <v>4801</v>
      </c>
      <c r="AK589" t="s">
        <v>4800</v>
      </c>
      <c r="AL589">
        <v>15</v>
      </c>
      <c r="AM589" s="5">
        <f t="shared" si="74"/>
        <v>0.4838709677419355</v>
      </c>
      <c r="AN589" s="4">
        <f t="shared" si="79"/>
        <v>7.3286023133954637E-4</v>
      </c>
      <c r="AO589" s="3"/>
      <c r="AP589">
        <v>0</v>
      </c>
      <c r="AR589" t="s">
        <v>0</v>
      </c>
      <c r="AT589" s="2" t="s">
        <v>33</v>
      </c>
      <c r="AU589" s="1">
        <f t="shared" si="75"/>
        <v>4.4748834871943171</v>
      </c>
      <c r="AV589" s="1">
        <f t="shared" si="76"/>
        <v>3.2172842117484994</v>
      </c>
      <c r="AW589" s="1">
        <f t="shared" si="77"/>
        <v>1.9596849363026816</v>
      </c>
    </row>
    <row r="590" spans="1:49" x14ac:dyDescent="0.2">
      <c r="A590">
        <v>588</v>
      </c>
      <c r="B590" t="s">
        <v>4799</v>
      </c>
      <c r="C590" t="s">
        <v>4798</v>
      </c>
      <c r="F590" t="s">
        <v>4797</v>
      </c>
      <c r="G590" t="s">
        <v>16</v>
      </c>
      <c r="H590" t="s">
        <v>15</v>
      </c>
      <c r="I590" t="s">
        <v>2739</v>
      </c>
      <c r="J590">
        <v>60015573</v>
      </c>
      <c r="K590" t="s">
        <v>4796</v>
      </c>
      <c r="L590" t="s">
        <v>4795</v>
      </c>
      <c r="M590" t="s">
        <v>57</v>
      </c>
      <c r="N590">
        <v>2</v>
      </c>
      <c r="O590" t="s">
        <v>4794</v>
      </c>
      <c r="P590" t="s">
        <v>4793</v>
      </c>
      <c r="Q590" t="s">
        <v>4792</v>
      </c>
      <c r="R590" s="7">
        <v>33239</v>
      </c>
      <c r="S590" s="8">
        <f t="shared" si="72"/>
        <v>1991</v>
      </c>
      <c r="T590" s="8">
        <v>1991</v>
      </c>
      <c r="U590" s="8">
        <f t="shared" si="73"/>
        <v>31</v>
      </c>
      <c r="V590" s="7" t="s">
        <v>4770</v>
      </c>
      <c r="W590" s="11" t="s">
        <v>2635</v>
      </c>
      <c r="X590" s="2">
        <v>2.383</v>
      </c>
      <c r="Y590" s="6">
        <f t="shared" si="78"/>
        <v>6.3612824003630442E-2</v>
      </c>
      <c r="AA590" t="s">
        <v>2634</v>
      </c>
      <c r="AB590">
        <v>101151</v>
      </c>
      <c r="AD590" t="s">
        <v>5</v>
      </c>
      <c r="AE590">
        <v>138</v>
      </c>
      <c r="AF590">
        <v>3</v>
      </c>
      <c r="AH590" t="s">
        <v>4791</v>
      </c>
      <c r="AI590" t="s">
        <v>4790</v>
      </c>
      <c r="AK590" t="s">
        <v>4789</v>
      </c>
      <c r="AL590">
        <v>1</v>
      </c>
      <c r="AM590" s="5">
        <f t="shared" si="74"/>
        <v>3.2258064516129031E-2</v>
      </c>
      <c r="AN590" s="4">
        <f t="shared" si="79"/>
        <v>4.8857348755969758E-5</v>
      </c>
      <c r="AO590" s="3"/>
      <c r="AP590">
        <v>0</v>
      </c>
      <c r="AR590" t="s">
        <v>0</v>
      </c>
      <c r="AT590" s="2" t="s">
        <v>33</v>
      </c>
      <c r="AU590" s="1">
        <f t="shared" si="75"/>
        <v>4.4543634007168098</v>
      </c>
      <c r="AV590" s="1">
        <f t="shared" si="76"/>
        <v>3.1830840676193204</v>
      </c>
      <c r="AW590" s="1">
        <f t="shared" si="77"/>
        <v>1.9118047345218312</v>
      </c>
    </row>
    <row r="591" spans="1:49" x14ac:dyDescent="0.2">
      <c r="A591">
        <v>589</v>
      </c>
      <c r="B591" t="s">
        <v>4788</v>
      </c>
      <c r="C591" t="s">
        <v>4787</v>
      </c>
      <c r="F591" t="s">
        <v>4786</v>
      </c>
      <c r="G591" t="s">
        <v>16</v>
      </c>
      <c r="H591" t="s">
        <v>15</v>
      </c>
      <c r="I591" t="s">
        <v>4785</v>
      </c>
      <c r="J591">
        <v>60010884</v>
      </c>
      <c r="K591" t="s">
        <v>4784</v>
      </c>
      <c r="L591" t="s">
        <v>118</v>
      </c>
      <c r="M591" t="s">
        <v>1543</v>
      </c>
      <c r="N591">
        <v>1</v>
      </c>
      <c r="O591" t="s">
        <v>4783</v>
      </c>
      <c r="P591">
        <v>7202946915</v>
      </c>
      <c r="Q591">
        <v>60010884</v>
      </c>
      <c r="R591" s="7">
        <v>33239</v>
      </c>
      <c r="S591" s="8">
        <f t="shared" si="72"/>
        <v>1991</v>
      </c>
      <c r="T591" s="8">
        <v>1991</v>
      </c>
      <c r="U591" s="8">
        <f t="shared" si="73"/>
        <v>31</v>
      </c>
      <c r="V591" s="7">
        <v>33390</v>
      </c>
      <c r="W591" t="s">
        <v>1807</v>
      </c>
      <c r="X591" s="2">
        <v>1.6519999999999999</v>
      </c>
      <c r="Y591" s="6">
        <f t="shared" si="78"/>
        <v>4.409919649769093E-2</v>
      </c>
      <c r="AA591" t="s">
        <v>1806</v>
      </c>
      <c r="AB591">
        <v>17337</v>
      </c>
      <c r="AC591">
        <v>15582221</v>
      </c>
      <c r="AD591" t="s">
        <v>5</v>
      </c>
      <c r="AE591">
        <v>39</v>
      </c>
      <c r="AF591">
        <v>6</v>
      </c>
      <c r="AH591" t="s">
        <v>4782</v>
      </c>
      <c r="AI591" t="s">
        <v>4781</v>
      </c>
      <c r="AK591" t="s">
        <v>4780</v>
      </c>
      <c r="AL591">
        <v>13</v>
      </c>
      <c r="AM591" s="5">
        <f t="shared" si="74"/>
        <v>0.41935483870967744</v>
      </c>
      <c r="AN591" s="4">
        <f t="shared" si="79"/>
        <v>6.3514553382760684E-4</v>
      </c>
      <c r="AO591" s="3"/>
      <c r="AP591">
        <v>0</v>
      </c>
      <c r="AR591" t="s">
        <v>0</v>
      </c>
      <c r="AT591" s="2" t="s">
        <v>33</v>
      </c>
      <c r="AU591" s="1">
        <f t="shared" si="75"/>
        <v>3.1059981208531933</v>
      </c>
      <c r="AV591" s="1">
        <f t="shared" si="76"/>
        <v>2.2367171015759268</v>
      </c>
      <c r="AW591" s="1">
        <f t="shared" si="77"/>
        <v>1.3674360822986602</v>
      </c>
    </row>
    <row r="592" spans="1:49" x14ac:dyDescent="0.2">
      <c r="A592">
        <v>590</v>
      </c>
      <c r="B592" t="s">
        <v>4779</v>
      </c>
      <c r="C592" t="s">
        <v>4778</v>
      </c>
      <c r="F592" t="s">
        <v>4777</v>
      </c>
      <c r="G592" t="s">
        <v>16</v>
      </c>
      <c r="H592" t="s">
        <v>15</v>
      </c>
      <c r="I592" t="s">
        <v>4776</v>
      </c>
      <c r="J592">
        <v>60015138</v>
      </c>
      <c r="K592" t="s">
        <v>4775</v>
      </c>
      <c r="L592" t="s">
        <v>4774</v>
      </c>
      <c r="M592" t="s">
        <v>117</v>
      </c>
      <c r="N592">
        <v>3</v>
      </c>
      <c r="O592" t="s">
        <v>4773</v>
      </c>
      <c r="P592" t="s">
        <v>4772</v>
      </c>
      <c r="Q592" t="s">
        <v>4771</v>
      </c>
      <c r="R592" s="7">
        <v>33239</v>
      </c>
      <c r="S592" s="8">
        <f t="shared" si="72"/>
        <v>1991</v>
      </c>
      <c r="T592" s="8">
        <v>1991</v>
      </c>
      <c r="U592" s="8">
        <f t="shared" si="73"/>
        <v>31</v>
      </c>
      <c r="V592" s="7" t="s">
        <v>4770</v>
      </c>
      <c r="W592" s="11" t="s">
        <v>4011</v>
      </c>
      <c r="X592" s="2">
        <v>2.383</v>
      </c>
      <c r="Y592" s="6">
        <f t="shared" si="78"/>
        <v>6.3612824003630442E-2</v>
      </c>
      <c r="AA592" t="s">
        <v>4010</v>
      </c>
      <c r="AB592">
        <v>96433</v>
      </c>
      <c r="AD592" t="s">
        <v>5</v>
      </c>
      <c r="AE592">
        <v>138</v>
      </c>
      <c r="AF592">
        <v>3</v>
      </c>
      <c r="AH592" t="s">
        <v>4769</v>
      </c>
      <c r="AI592" t="s">
        <v>4768</v>
      </c>
      <c r="AK592" t="s">
        <v>4767</v>
      </c>
      <c r="AL592">
        <v>19</v>
      </c>
      <c r="AM592" s="5">
        <f t="shared" si="74"/>
        <v>0.61290322580645162</v>
      </c>
      <c r="AN592" s="4">
        <f t="shared" si="79"/>
        <v>9.2828962636342543E-4</v>
      </c>
      <c r="AO592" s="3"/>
      <c r="AP592">
        <v>0</v>
      </c>
      <c r="AR592" t="s">
        <v>0</v>
      </c>
      <c r="AT592" s="2" t="s">
        <v>33</v>
      </c>
      <c r="AU592" s="1">
        <f t="shared" si="75"/>
        <v>4.4807463690450335</v>
      </c>
      <c r="AV592" s="1">
        <f t="shared" si="76"/>
        <v>3.2270556814996936</v>
      </c>
      <c r="AW592" s="1">
        <f t="shared" si="77"/>
        <v>1.9733649939543529</v>
      </c>
    </row>
    <row r="593" spans="1:49" x14ac:dyDescent="0.2">
      <c r="A593">
        <v>591</v>
      </c>
      <c r="B593" t="s">
        <v>4766</v>
      </c>
      <c r="C593" t="s">
        <v>4765</v>
      </c>
      <c r="E593">
        <v>1920154</v>
      </c>
      <c r="F593" t="s">
        <v>4764</v>
      </c>
      <c r="G593" t="s">
        <v>16</v>
      </c>
      <c r="H593" t="s">
        <v>15</v>
      </c>
      <c r="I593" t="s">
        <v>2286</v>
      </c>
      <c r="J593" t="s">
        <v>4763</v>
      </c>
      <c r="K593" t="s">
        <v>4762</v>
      </c>
      <c r="L593" t="s">
        <v>4761</v>
      </c>
      <c r="M593" t="s">
        <v>4760</v>
      </c>
      <c r="N593">
        <v>6</v>
      </c>
      <c r="O593" t="s">
        <v>4759</v>
      </c>
      <c r="P593" t="s">
        <v>4758</v>
      </c>
      <c r="Q593" t="s">
        <v>4757</v>
      </c>
      <c r="R593" s="7">
        <v>33239</v>
      </c>
      <c r="S593" s="8">
        <f t="shared" si="72"/>
        <v>1991</v>
      </c>
      <c r="T593" s="8">
        <v>1991</v>
      </c>
      <c r="U593" s="8">
        <f t="shared" si="73"/>
        <v>31</v>
      </c>
      <c r="V593" s="7">
        <v>33359</v>
      </c>
      <c r="W593" t="s">
        <v>4756</v>
      </c>
      <c r="X593" s="2">
        <v>0.8</v>
      </c>
      <c r="Y593" s="6">
        <f t="shared" si="78"/>
        <v>2.1355543098155415E-2</v>
      </c>
      <c r="AA593">
        <v>3407594</v>
      </c>
      <c r="AB593">
        <v>23456</v>
      </c>
      <c r="AC593">
        <v>14321351</v>
      </c>
      <c r="AD593" t="s">
        <v>5</v>
      </c>
      <c r="AE593">
        <v>168</v>
      </c>
      <c r="AF593">
        <v>5</v>
      </c>
      <c r="AH593" t="s">
        <v>4755</v>
      </c>
      <c r="AI593" t="s">
        <v>4754</v>
      </c>
      <c r="AJ593" t="s">
        <v>4753</v>
      </c>
      <c r="AK593" t="s">
        <v>4752</v>
      </c>
      <c r="AL593">
        <v>44</v>
      </c>
      <c r="AM593" s="5">
        <f t="shared" si="74"/>
        <v>1.4193548387096775</v>
      </c>
      <c r="AN593" s="4">
        <f t="shared" si="79"/>
        <v>2.1497233452626692E-3</v>
      </c>
      <c r="AO593" s="3"/>
      <c r="AP593">
        <v>0</v>
      </c>
      <c r="AR593" t="s">
        <v>0</v>
      </c>
      <c r="AT593" s="2" t="s">
        <v>33</v>
      </c>
      <c r="AU593" s="1">
        <f t="shared" si="75"/>
        <v>1.5593797172287589</v>
      </c>
      <c r="AV593" s="1">
        <f t="shared" si="76"/>
        <v>1.1752633221709041</v>
      </c>
      <c r="AW593" s="1">
        <f t="shared" si="77"/>
        <v>0.79114692711304924</v>
      </c>
    </row>
    <row r="594" spans="1:49" x14ac:dyDescent="0.2">
      <c r="A594">
        <v>592</v>
      </c>
      <c r="B594" t="s">
        <v>4751</v>
      </c>
      <c r="C594" t="s">
        <v>4750</v>
      </c>
      <c r="F594" t="s">
        <v>4749</v>
      </c>
      <c r="G594" t="s">
        <v>16</v>
      </c>
      <c r="H594" t="s">
        <v>15</v>
      </c>
      <c r="I594" t="s">
        <v>4748</v>
      </c>
      <c r="J594" t="s">
        <v>4747</v>
      </c>
      <c r="K594" t="s">
        <v>4746</v>
      </c>
      <c r="L594" t="s">
        <v>4745</v>
      </c>
      <c r="M594" t="s">
        <v>821</v>
      </c>
      <c r="N594">
        <v>3</v>
      </c>
      <c r="O594" t="s">
        <v>4744</v>
      </c>
      <c r="P594" t="s">
        <v>4743</v>
      </c>
      <c r="Q594" t="s">
        <v>4742</v>
      </c>
      <c r="R594" s="7">
        <v>33239</v>
      </c>
      <c r="S594" s="8">
        <f t="shared" si="72"/>
        <v>1991</v>
      </c>
      <c r="T594" s="8">
        <v>1991</v>
      </c>
      <c r="U594" s="8">
        <f t="shared" si="73"/>
        <v>31</v>
      </c>
      <c r="V594" s="7">
        <v>33359</v>
      </c>
      <c r="W594" t="s">
        <v>2569</v>
      </c>
      <c r="X594" s="2">
        <v>0.111</v>
      </c>
      <c r="Y594" s="6">
        <f t="shared" si="78"/>
        <v>2.9630816048690639E-3</v>
      </c>
      <c r="AA594">
        <v>87566621</v>
      </c>
      <c r="AB594">
        <v>24890</v>
      </c>
      <c r="AC594">
        <v>15206424</v>
      </c>
      <c r="AD594" t="s">
        <v>5</v>
      </c>
      <c r="AE594">
        <v>74</v>
      </c>
      <c r="AF594">
        <v>5</v>
      </c>
      <c r="AH594" t="s">
        <v>4741</v>
      </c>
      <c r="AI594" t="s">
        <v>4740</v>
      </c>
      <c r="AK594" t="s">
        <v>4739</v>
      </c>
      <c r="AL594">
        <v>0</v>
      </c>
      <c r="AM594" s="5">
        <f t="shared" si="74"/>
        <v>0</v>
      </c>
      <c r="AN594" s="4">
        <f t="shared" si="79"/>
        <v>0</v>
      </c>
      <c r="AO594" s="3"/>
      <c r="AP594">
        <v>0</v>
      </c>
      <c r="AR594" t="s">
        <v>0</v>
      </c>
      <c r="AT594" s="2" t="s">
        <v>33</v>
      </c>
      <c r="AU594" s="1">
        <f t="shared" si="75"/>
        <v>0.20741571234083445</v>
      </c>
      <c r="AV594" s="1">
        <f t="shared" si="76"/>
        <v>0.1481540802434532</v>
      </c>
      <c r="AW594" s="1">
        <f t="shared" si="77"/>
        <v>8.8892448146071903E-2</v>
      </c>
    </row>
    <row r="595" spans="1:49" x14ac:dyDescent="0.2">
      <c r="A595">
        <v>593</v>
      </c>
      <c r="B595" t="s">
        <v>4738</v>
      </c>
      <c r="C595" t="s">
        <v>4737</v>
      </c>
      <c r="F595" t="s">
        <v>4736</v>
      </c>
      <c r="G595" t="s">
        <v>16</v>
      </c>
      <c r="H595" t="s">
        <v>15</v>
      </c>
      <c r="I595" t="s">
        <v>4735</v>
      </c>
      <c r="J595" t="s">
        <v>4734</v>
      </c>
      <c r="K595" t="s">
        <v>4733</v>
      </c>
      <c r="L595" t="s">
        <v>4732</v>
      </c>
      <c r="M595" t="s">
        <v>821</v>
      </c>
      <c r="N595">
        <v>3</v>
      </c>
      <c r="O595" t="s">
        <v>4731</v>
      </c>
      <c r="P595" t="s">
        <v>4730</v>
      </c>
      <c r="Q595" t="s">
        <v>4729</v>
      </c>
      <c r="R595" s="7">
        <v>33239</v>
      </c>
      <c r="S595" s="8">
        <f t="shared" si="72"/>
        <v>1991</v>
      </c>
      <c r="T595" s="8">
        <v>1991</v>
      </c>
      <c r="U595" s="8">
        <f t="shared" si="73"/>
        <v>31</v>
      </c>
      <c r="V595" s="7">
        <v>33359</v>
      </c>
      <c r="W595" t="s">
        <v>2569</v>
      </c>
      <c r="X595" s="2">
        <v>0.111</v>
      </c>
      <c r="Y595" s="6">
        <f t="shared" si="78"/>
        <v>2.9630816048690639E-3</v>
      </c>
      <c r="AA595">
        <v>87566621</v>
      </c>
      <c r="AB595">
        <v>24890</v>
      </c>
      <c r="AC595">
        <v>15206424</v>
      </c>
      <c r="AD595" t="s">
        <v>5</v>
      </c>
      <c r="AE595">
        <v>74</v>
      </c>
      <c r="AF595">
        <v>5</v>
      </c>
      <c r="AH595" t="s">
        <v>4728</v>
      </c>
      <c r="AI595" t="s">
        <v>4727</v>
      </c>
      <c r="AK595" t="s">
        <v>4726</v>
      </c>
      <c r="AL595">
        <v>0</v>
      </c>
      <c r="AM595" s="5">
        <f t="shared" si="74"/>
        <v>0</v>
      </c>
      <c r="AN595" s="4">
        <f t="shared" si="79"/>
        <v>0</v>
      </c>
      <c r="AO595" s="3"/>
      <c r="AP595">
        <v>0</v>
      </c>
      <c r="AR595" t="s">
        <v>0</v>
      </c>
      <c r="AT595" s="2" t="s">
        <v>33</v>
      </c>
      <c r="AU595" s="1">
        <f t="shared" si="75"/>
        <v>0.20741571234083445</v>
      </c>
      <c r="AV595" s="1">
        <f t="shared" si="76"/>
        <v>0.1481540802434532</v>
      </c>
      <c r="AW595" s="1">
        <f t="shared" si="77"/>
        <v>8.8892448146071903E-2</v>
      </c>
    </row>
    <row r="596" spans="1:49" x14ac:dyDescent="0.2">
      <c r="A596">
        <v>594</v>
      </c>
      <c r="B596" t="s">
        <v>4725</v>
      </c>
      <c r="C596" t="s">
        <v>4724</v>
      </c>
      <c r="F596" t="s">
        <v>4723</v>
      </c>
      <c r="G596" t="s">
        <v>16</v>
      </c>
      <c r="H596" t="s">
        <v>15</v>
      </c>
      <c r="I596" t="s">
        <v>4722</v>
      </c>
      <c r="J596">
        <v>60001271</v>
      </c>
      <c r="K596" t="s">
        <v>3638</v>
      </c>
      <c r="L596" t="s">
        <v>2922</v>
      </c>
      <c r="M596" t="s">
        <v>326</v>
      </c>
      <c r="N596">
        <v>1</v>
      </c>
      <c r="O596" t="s">
        <v>4721</v>
      </c>
      <c r="P596">
        <v>7102629706</v>
      </c>
      <c r="Q596">
        <v>60001271</v>
      </c>
      <c r="R596" s="7">
        <v>33239</v>
      </c>
      <c r="S596" s="8">
        <f t="shared" si="72"/>
        <v>1991</v>
      </c>
      <c r="T596" s="8">
        <v>1991</v>
      </c>
      <c r="U596" s="8">
        <f t="shared" si="73"/>
        <v>31</v>
      </c>
      <c r="V596" s="7">
        <v>33359</v>
      </c>
      <c r="W596" t="s">
        <v>2569</v>
      </c>
      <c r="X596" s="2">
        <v>0.111</v>
      </c>
      <c r="Y596" s="6">
        <f t="shared" si="78"/>
        <v>2.9630816048690639E-3</v>
      </c>
      <c r="AA596">
        <v>87566621</v>
      </c>
      <c r="AB596">
        <v>24890</v>
      </c>
      <c r="AC596">
        <v>15206424</v>
      </c>
      <c r="AD596" t="s">
        <v>5</v>
      </c>
      <c r="AE596">
        <v>74</v>
      </c>
      <c r="AF596">
        <v>5</v>
      </c>
      <c r="AH596" t="s">
        <v>4720</v>
      </c>
      <c r="AI596" t="s">
        <v>4719</v>
      </c>
      <c r="AK596" t="s">
        <v>4718</v>
      </c>
      <c r="AL596">
        <v>1</v>
      </c>
      <c r="AM596" s="5">
        <f t="shared" si="74"/>
        <v>3.2258064516129031E-2</v>
      </c>
      <c r="AN596" s="4">
        <f t="shared" si="79"/>
        <v>4.8857348755969758E-5</v>
      </c>
      <c r="AO596" s="3"/>
      <c r="AP596">
        <v>0</v>
      </c>
      <c r="AR596" t="s">
        <v>0</v>
      </c>
      <c r="AT596" s="2" t="s">
        <v>33</v>
      </c>
      <c r="AU596" s="1">
        <f t="shared" si="75"/>
        <v>0.20888143280351351</v>
      </c>
      <c r="AV596" s="1">
        <f t="shared" si="76"/>
        <v>0.15059694768125167</v>
      </c>
      <c r="AW596" s="1">
        <f t="shared" si="77"/>
        <v>9.2312462558989797E-2</v>
      </c>
    </row>
    <row r="597" spans="1:49" x14ac:dyDescent="0.2">
      <c r="A597">
        <v>595</v>
      </c>
      <c r="B597" t="s">
        <v>4717</v>
      </c>
      <c r="C597" t="s">
        <v>4716</v>
      </c>
      <c r="F597" t="s">
        <v>4715</v>
      </c>
      <c r="G597" t="s">
        <v>16</v>
      </c>
      <c r="H597" t="s">
        <v>15</v>
      </c>
      <c r="I597" t="s">
        <v>4714</v>
      </c>
      <c r="J597">
        <v>60003381</v>
      </c>
      <c r="K597" t="s">
        <v>4713</v>
      </c>
      <c r="L597" t="s">
        <v>327</v>
      </c>
      <c r="M597" t="s">
        <v>326</v>
      </c>
      <c r="N597">
        <v>1</v>
      </c>
      <c r="O597" t="s">
        <v>4712</v>
      </c>
      <c r="P597">
        <v>56312002800</v>
      </c>
      <c r="Q597">
        <v>60003381</v>
      </c>
      <c r="R597" s="7">
        <v>33239</v>
      </c>
      <c r="S597" s="8">
        <f t="shared" si="72"/>
        <v>1991</v>
      </c>
      <c r="T597" s="8">
        <v>1991</v>
      </c>
      <c r="U597" s="8">
        <f t="shared" si="73"/>
        <v>31</v>
      </c>
      <c r="V597" s="7">
        <v>1991</v>
      </c>
      <c r="W597" t="s">
        <v>3363</v>
      </c>
      <c r="X597" s="2">
        <v>0.10299999999999999</v>
      </c>
      <c r="Y597" s="6">
        <f t="shared" si="78"/>
        <v>2.7495261738875098E-3</v>
      </c>
      <c r="AA597">
        <v>10420967</v>
      </c>
      <c r="AB597">
        <v>24908</v>
      </c>
      <c r="AC597">
        <v>15206440</v>
      </c>
      <c r="AD597" t="s">
        <v>5</v>
      </c>
      <c r="AE597">
        <v>74</v>
      </c>
      <c r="AF597">
        <v>5</v>
      </c>
      <c r="AH597" t="s">
        <v>4711</v>
      </c>
      <c r="AI597" t="s">
        <v>4710</v>
      </c>
      <c r="AK597" t="s">
        <v>4709</v>
      </c>
      <c r="AL597">
        <v>0</v>
      </c>
      <c r="AM597" s="5">
        <f t="shared" si="74"/>
        <v>0</v>
      </c>
      <c r="AN597" s="4">
        <f t="shared" si="79"/>
        <v>0</v>
      </c>
      <c r="AO597" s="3"/>
      <c r="AP597">
        <v>0</v>
      </c>
      <c r="AR597" t="s">
        <v>0</v>
      </c>
      <c r="AT597" s="2" t="s">
        <v>33</v>
      </c>
      <c r="AU597" s="1">
        <f t="shared" si="75"/>
        <v>0.19246683217212568</v>
      </c>
      <c r="AV597" s="1">
        <f t="shared" si="76"/>
        <v>0.13747630869437549</v>
      </c>
      <c r="AW597" s="1">
        <f t="shared" si="77"/>
        <v>8.2485785216625293E-2</v>
      </c>
    </row>
    <row r="598" spans="1:49" x14ac:dyDescent="0.2">
      <c r="A598">
        <v>596</v>
      </c>
      <c r="B598" t="s">
        <v>4708</v>
      </c>
      <c r="C598" t="s">
        <v>4707</v>
      </c>
      <c r="F598" t="s">
        <v>4706</v>
      </c>
      <c r="G598" t="s">
        <v>16</v>
      </c>
      <c r="H598" t="s">
        <v>15</v>
      </c>
      <c r="I598" t="s">
        <v>4705</v>
      </c>
      <c r="J598">
        <v>60022195</v>
      </c>
      <c r="K598" t="s">
        <v>790</v>
      </c>
      <c r="L598" t="s">
        <v>789</v>
      </c>
      <c r="M598" t="s">
        <v>57</v>
      </c>
      <c r="N598">
        <v>6</v>
      </c>
      <c r="O598" t="s">
        <v>4704</v>
      </c>
      <c r="P598" t="s">
        <v>4703</v>
      </c>
      <c r="Q598" t="s">
        <v>4702</v>
      </c>
      <c r="R598" s="7">
        <v>33239</v>
      </c>
      <c r="S598" s="8">
        <f t="shared" si="72"/>
        <v>1991</v>
      </c>
      <c r="T598" s="8">
        <v>1991</v>
      </c>
      <c r="U598" s="8">
        <f t="shared" si="73"/>
        <v>31</v>
      </c>
      <c r="V598" s="7">
        <v>33359</v>
      </c>
      <c r="W598" t="s">
        <v>987</v>
      </c>
      <c r="X598" s="2">
        <v>1.774</v>
      </c>
      <c r="Y598" s="6">
        <f t="shared" si="78"/>
        <v>4.7355916820159633E-2</v>
      </c>
      <c r="AA598">
        <v>295515</v>
      </c>
      <c r="AB598">
        <v>29066</v>
      </c>
      <c r="AC598">
        <v>17414326</v>
      </c>
      <c r="AD598" t="s">
        <v>5</v>
      </c>
      <c r="AE598">
        <v>31</v>
      </c>
      <c r="AF598">
        <v>5</v>
      </c>
      <c r="AH598" t="s">
        <v>4701</v>
      </c>
      <c r="AI598" t="s">
        <v>4700</v>
      </c>
      <c r="AK598" t="s">
        <v>4699</v>
      </c>
      <c r="AL598">
        <v>1</v>
      </c>
      <c r="AM598" s="5">
        <f t="shared" si="74"/>
        <v>3.2258064516129031E-2</v>
      </c>
      <c r="AN598" s="4">
        <f t="shared" si="79"/>
        <v>4.8857348755969758E-5</v>
      </c>
      <c r="AO598" s="3"/>
      <c r="AP598">
        <v>0</v>
      </c>
      <c r="AR598" t="s">
        <v>0</v>
      </c>
      <c r="AT598" s="2">
        <v>3.1789999999999998</v>
      </c>
      <c r="AU598" s="1">
        <f t="shared" si="75"/>
        <v>3.316379897873853</v>
      </c>
      <c r="AV598" s="1">
        <f t="shared" si="76"/>
        <v>2.3702387084457799</v>
      </c>
      <c r="AW598" s="1">
        <f t="shared" si="77"/>
        <v>1.4240975190177068</v>
      </c>
    </row>
    <row r="599" spans="1:49" x14ac:dyDescent="0.2">
      <c r="A599">
        <v>597</v>
      </c>
      <c r="B599" t="s">
        <v>4698</v>
      </c>
      <c r="C599" t="s">
        <v>4697</v>
      </c>
      <c r="F599" t="s">
        <v>4696</v>
      </c>
      <c r="G599" t="s">
        <v>16</v>
      </c>
      <c r="H599" t="s">
        <v>15</v>
      </c>
      <c r="I599" t="s">
        <v>4695</v>
      </c>
      <c r="J599" t="s">
        <v>4694</v>
      </c>
      <c r="K599" t="s">
        <v>4693</v>
      </c>
      <c r="L599" t="s">
        <v>4692</v>
      </c>
      <c r="M599" t="s">
        <v>4691</v>
      </c>
      <c r="N599">
        <v>2</v>
      </c>
      <c r="O599" t="s">
        <v>4690</v>
      </c>
      <c r="P599" t="s">
        <v>4689</v>
      </c>
      <c r="Q599" t="s">
        <v>4688</v>
      </c>
      <c r="R599" s="7">
        <v>33239</v>
      </c>
      <c r="S599" s="8">
        <f t="shared" si="72"/>
        <v>1991</v>
      </c>
      <c r="T599" s="8">
        <v>1991</v>
      </c>
      <c r="U599" s="8">
        <f t="shared" si="73"/>
        <v>31</v>
      </c>
      <c r="V599" s="7" t="s">
        <v>115</v>
      </c>
      <c r="W599" t="s">
        <v>3449</v>
      </c>
      <c r="X599" s="2">
        <v>0.75800000000000001</v>
      </c>
      <c r="Y599" s="6">
        <f t="shared" si="78"/>
        <v>2.0234377085502256E-2</v>
      </c>
      <c r="AA599">
        <v>224650</v>
      </c>
      <c r="AB599">
        <v>29589</v>
      </c>
      <c r="AD599" t="s">
        <v>5</v>
      </c>
      <c r="AE599">
        <v>28</v>
      </c>
      <c r="AF599">
        <v>3</v>
      </c>
      <c r="AH599" t="s">
        <v>4687</v>
      </c>
      <c r="AI599" t="s">
        <v>4686</v>
      </c>
      <c r="AK599" t="s">
        <v>4685</v>
      </c>
      <c r="AL599">
        <v>22</v>
      </c>
      <c r="AM599" s="5">
        <f t="shared" si="74"/>
        <v>0.70967741935483875</v>
      </c>
      <c r="AN599" s="4">
        <f t="shared" si="79"/>
        <v>1.0748616726313346E-3</v>
      </c>
      <c r="AO599" s="3"/>
      <c r="AP599">
        <v>0</v>
      </c>
      <c r="AR599" t="s">
        <v>0</v>
      </c>
      <c r="AT599" s="2">
        <v>1.282</v>
      </c>
      <c r="AU599" s="1">
        <f t="shared" si="75"/>
        <v>1.4486522461640978</v>
      </c>
      <c r="AV599" s="1">
        <f t="shared" si="76"/>
        <v>1.0654619379066796</v>
      </c>
      <c r="AW599" s="1">
        <f t="shared" si="77"/>
        <v>0.68227162964926102</v>
      </c>
    </row>
    <row r="600" spans="1:49" x14ac:dyDescent="0.2">
      <c r="A600">
        <v>598</v>
      </c>
      <c r="B600" t="s">
        <v>4684</v>
      </c>
      <c r="C600" t="s">
        <v>4683</v>
      </c>
      <c r="F600" t="s">
        <v>4682</v>
      </c>
      <c r="G600" t="s">
        <v>16</v>
      </c>
      <c r="H600" t="s">
        <v>15</v>
      </c>
      <c r="I600" t="s">
        <v>4681</v>
      </c>
      <c r="N600">
        <v>4</v>
      </c>
      <c r="O600" t="s">
        <v>4680</v>
      </c>
      <c r="P600" t="s">
        <v>4679</v>
      </c>
      <c r="Q600" t="s">
        <v>1517</v>
      </c>
      <c r="R600" s="7">
        <v>33239</v>
      </c>
      <c r="S600" s="8">
        <f t="shared" si="72"/>
        <v>1991</v>
      </c>
      <c r="T600" s="8">
        <v>1991</v>
      </c>
      <c r="U600" s="8">
        <f t="shared" si="73"/>
        <v>31</v>
      </c>
      <c r="V600" s="7" t="s">
        <v>115</v>
      </c>
      <c r="W600" t="s">
        <v>779</v>
      </c>
      <c r="X600" s="2">
        <v>0.371</v>
      </c>
      <c r="Y600" s="6">
        <f t="shared" si="78"/>
        <v>9.9036331117695747E-3</v>
      </c>
      <c r="AA600">
        <v>486604</v>
      </c>
      <c r="AB600">
        <v>28580</v>
      </c>
      <c r="AC600" t="s">
        <v>778</v>
      </c>
      <c r="AD600" t="s">
        <v>5</v>
      </c>
      <c r="AE600">
        <v>26</v>
      </c>
      <c r="AF600">
        <v>3</v>
      </c>
      <c r="AH600" t="s">
        <v>4678</v>
      </c>
      <c r="AI600" t="s">
        <v>4677</v>
      </c>
      <c r="AK600" t="s">
        <v>4676</v>
      </c>
      <c r="AL600">
        <v>6</v>
      </c>
      <c r="AM600" s="5">
        <f t="shared" si="74"/>
        <v>0.19354838709677419</v>
      </c>
      <c r="AN600" s="4">
        <f t="shared" si="79"/>
        <v>2.9314409253581854E-4</v>
      </c>
      <c r="AO600" s="3"/>
      <c r="AP600">
        <v>0</v>
      </c>
      <c r="AR600" t="s">
        <v>0</v>
      </c>
      <c r="AT600" s="2">
        <v>1.431</v>
      </c>
      <c r="AU600" s="1">
        <f t="shared" si="75"/>
        <v>0.70204864059994465</v>
      </c>
      <c r="AV600" s="1">
        <f t="shared" si="76"/>
        <v>0.50983886021526958</v>
      </c>
      <c r="AW600" s="1">
        <f t="shared" si="77"/>
        <v>0.31762907983059457</v>
      </c>
    </row>
    <row r="601" spans="1:49" x14ac:dyDescent="0.2">
      <c r="A601">
        <v>599</v>
      </c>
      <c r="B601" t="s">
        <v>4675</v>
      </c>
      <c r="C601" t="s">
        <v>4674</v>
      </c>
      <c r="F601" t="s">
        <v>4673</v>
      </c>
      <c r="G601" t="s">
        <v>16</v>
      </c>
      <c r="H601" t="s">
        <v>15</v>
      </c>
      <c r="I601" t="s">
        <v>4672</v>
      </c>
      <c r="J601">
        <v>60031828</v>
      </c>
      <c r="K601" t="s">
        <v>1545</v>
      </c>
      <c r="L601" t="s">
        <v>1544</v>
      </c>
      <c r="M601" t="s">
        <v>1543</v>
      </c>
      <c r="N601">
        <v>2</v>
      </c>
      <c r="O601" t="s">
        <v>4671</v>
      </c>
      <c r="P601" t="s">
        <v>4670</v>
      </c>
      <c r="Q601" t="s">
        <v>4012</v>
      </c>
      <c r="R601" s="7">
        <v>33239</v>
      </c>
      <c r="S601" s="8">
        <f t="shared" si="72"/>
        <v>1991</v>
      </c>
      <c r="T601" s="8">
        <v>1991</v>
      </c>
      <c r="U601" s="8">
        <f t="shared" si="73"/>
        <v>31</v>
      </c>
      <c r="V601" s="7">
        <v>33359</v>
      </c>
      <c r="W601" t="s">
        <v>1807</v>
      </c>
      <c r="X601" s="2">
        <v>1.6519999999999999</v>
      </c>
      <c r="Y601" s="6">
        <f t="shared" si="78"/>
        <v>4.409919649769093E-2</v>
      </c>
      <c r="AA601" t="s">
        <v>1806</v>
      </c>
      <c r="AB601">
        <v>17337</v>
      </c>
      <c r="AC601">
        <v>15582221</v>
      </c>
      <c r="AD601" t="s">
        <v>5</v>
      </c>
      <c r="AE601">
        <v>39</v>
      </c>
      <c r="AF601">
        <v>5</v>
      </c>
      <c r="AH601" t="s">
        <v>4669</v>
      </c>
      <c r="AI601" t="s">
        <v>4668</v>
      </c>
      <c r="AK601" t="s">
        <v>4667</v>
      </c>
      <c r="AL601">
        <v>27</v>
      </c>
      <c r="AM601" s="5">
        <f t="shared" si="74"/>
        <v>0.87096774193548387</v>
      </c>
      <c r="AN601" s="4">
        <f t="shared" si="79"/>
        <v>1.3191484164111836E-3</v>
      </c>
      <c r="AO601" s="3"/>
      <c r="AP601">
        <v>0</v>
      </c>
      <c r="AR601" t="s">
        <v>0</v>
      </c>
      <c r="AT601" s="2" t="s">
        <v>33</v>
      </c>
      <c r="AU601" s="1">
        <f t="shared" si="75"/>
        <v>3.126518207330701</v>
      </c>
      <c r="AV601" s="1">
        <f t="shared" si="76"/>
        <v>2.2709172457051054</v>
      </c>
      <c r="AW601" s="1">
        <f t="shared" si="77"/>
        <v>1.4153162840795106</v>
      </c>
    </row>
    <row r="602" spans="1:49" x14ac:dyDescent="0.2">
      <c r="A602">
        <v>600</v>
      </c>
      <c r="B602" t="s">
        <v>4666</v>
      </c>
      <c r="C602" t="s">
        <v>4665</v>
      </c>
      <c r="F602" t="s">
        <v>4664</v>
      </c>
      <c r="G602" t="s">
        <v>16</v>
      </c>
      <c r="H602" t="s">
        <v>15</v>
      </c>
      <c r="I602" t="s">
        <v>4663</v>
      </c>
      <c r="J602" t="s">
        <v>4662</v>
      </c>
      <c r="K602" t="s">
        <v>4661</v>
      </c>
      <c r="L602" t="s">
        <v>4660</v>
      </c>
      <c r="M602" t="s">
        <v>4659</v>
      </c>
      <c r="N602">
        <v>4</v>
      </c>
      <c r="O602" t="s">
        <v>4658</v>
      </c>
      <c r="P602" t="s">
        <v>4657</v>
      </c>
      <c r="Q602" t="s">
        <v>4656</v>
      </c>
      <c r="R602" s="7">
        <v>33239</v>
      </c>
      <c r="S602" s="8">
        <f t="shared" si="72"/>
        <v>1991</v>
      </c>
      <c r="T602" s="8">
        <v>1991</v>
      </c>
      <c r="U602" s="8">
        <f t="shared" si="73"/>
        <v>31</v>
      </c>
      <c r="V602" s="7">
        <v>33359</v>
      </c>
      <c r="W602" t="s">
        <v>1807</v>
      </c>
      <c r="X602" s="2">
        <v>1.6519999999999999</v>
      </c>
      <c r="Y602" s="6">
        <f t="shared" si="78"/>
        <v>4.409919649769093E-2</v>
      </c>
      <c r="AA602" t="s">
        <v>1806</v>
      </c>
      <c r="AB602">
        <v>17337</v>
      </c>
      <c r="AC602">
        <v>15582221</v>
      </c>
      <c r="AD602" t="s">
        <v>5</v>
      </c>
      <c r="AE602">
        <v>39</v>
      </c>
      <c r="AF602">
        <v>5</v>
      </c>
      <c r="AH602" t="s">
        <v>4655</v>
      </c>
      <c r="AI602" t="s">
        <v>4654</v>
      </c>
      <c r="AK602" t="s">
        <v>4653</v>
      </c>
      <c r="AL602">
        <v>13</v>
      </c>
      <c r="AM602" s="5">
        <f t="shared" si="74"/>
        <v>0.41935483870967744</v>
      </c>
      <c r="AN602" s="4">
        <f t="shared" si="79"/>
        <v>6.3514553382760684E-4</v>
      </c>
      <c r="AO602" s="3"/>
      <c r="AP602">
        <v>0</v>
      </c>
      <c r="AR602" t="s">
        <v>0</v>
      </c>
      <c r="AT602" s="2" t="s">
        <v>33</v>
      </c>
      <c r="AU602" s="1">
        <f t="shared" si="75"/>
        <v>3.1059981208531933</v>
      </c>
      <c r="AV602" s="1">
        <f t="shared" si="76"/>
        <v>2.2367171015759268</v>
      </c>
      <c r="AW602" s="1">
        <f t="shared" si="77"/>
        <v>1.3674360822986602</v>
      </c>
    </row>
    <row r="603" spans="1:49" x14ac:dyDescent="0.2">
      <c r="A603">
        <v>601</v>
      </c>
      <c r="B603" t="s">
        <v>4652</v>
      </c>
      <c r="C603" t="s">
        <v>4651</v>
      </c>
      <c r="F603" t="s">
        <v>4650</v>
      </c>
      <c r="G603" t="s">
        <v>16</v>
      </c>
      <c r="H603" t="s">
        <v>15</v>
      </c>
      <c r="I603" t="s">
        <v>4649</v>
      </c>
      <c r="J603">
        <v>60077755</v>
      </c>
      <c r="K603" t="s">
        <v>4648</v>
      </c>
      <c r="L603" t="s">
        <v>4383</v>
      </c>
      <c r="M603" t="s">
        <v>57</v>
      </c>
      <c r="N603">
        <v>1</v>
      </c>
      <c r="O603" t="s">
        <v>4647</v>
      </c>
      <c r="P603">
        <v>57212701491</v>
      </c>
      <c r="Q603">
        <v>60077755</v>
      </c>
      <c r="R603" s="7">
        <v>33239</v>
      </c>
      <c r="S603" s="8">
        <f t="shared" si="72"/>
        <v>1991</v>
      </c>
      <c r="T603" s="8">
        <v>1991</v>
      </c>
      <c r="U603" s="8">
        <f t="shared" si="73"/>
        <v>31</v>
      </c>
      <c r="V603" s="7">
        <v>33359</v>
      </c>
      <c r="W603" t="s">
        <v>1807</v>
      </c>
      <c r="X603" s="2">
        <v>1.6519999999999999</v>
      </c>
      <c r="Y603" s="6">
        <f t="shared" si="78"/>
        <v>4.409919649769093E-2</v>
      </c>
      <c r="AA603" t="s">
        <v>1806</v>
      </c>
      <c r="AB603">
        <v>17337</v>
      </c>
      <c r="AC603">
        <v>15582221</v>
      </c>
      <c r="AD603" t="s">
        <v>5</v>
      </c>
      <c r="AE603">
        <v>39</v>
      </c>
      <c r="AF603">
        <v>5</v>
      </c>
      <c r="AH603" t="s">
        <v>4646</v>
      </c>
      <c r="AI603" t="s">
        <v>4645</v>
      </c>
      <c r="AK603" t="s">
        <v>4644</v>
      </c>
      <c r="AL603">
        <v>10</v>
      </c>
      <c r="AM603" s="5">
        <f t="shared" si="74"/>
        <v>0.32258064516129031</v>
      </c>
      <c r="AN603" s="4">
        <f t="shared" si="79"/>
        <v>4.8857348755969754E-4</v>
      </c>
      <c r="AO603" s="3"/>
      <c r="AP603">
        <v>0</v>
      </c>
      <c r="AR603" t="s">
        <v>0</v>
      </c>
      <c r="AT603" s="2" t="s">
        <v>33</v>
      </c>
      <c r="AU603" s="1">
        <f t="shared" si="75"/>
        <v>3.1016009594651561</v>
      </c>
      <c r="AV603" s="1">
        <f t="shared" si="76"/>
        <v>2.2293884992625315</v>
      </c>
      <c r="AW603" s="1">
        <f t="shared" si="77"/>
        <v>1.3571760390599066</v>
      </c>
    </row>
    <row r="604" spans="1:49" x14ac:dyDescent="0.2">
      <c r="A604">
        <v>602</v>
      </c>
      <c r="B604" t="s">
        <v>4643</v>
      </c>
      <c r="C604" t="s">
        <v>4642</v>
      </c>
      <c r="F604" t="s">
        <v>4641</v>
      </c>
      <c r="G604" t="s">
        <v>16</v>
      </c>
      <c r="H604" t="s">
        <v>15</v>
      </c>
      <c r="I604" t="s">
        <v>4640</v>
      </c>
      <c r="J604" t="s">
        <v>4639</v>
      </c>
      <c r="K604" t="s">
        <v>4638</v>
      </c>
      <c r="L604" t="s">
        <v>4637</v>
      </c>
      <c r="M604" t="s">
        <v>133</v>
      </c>
      <c r="N604">
        <v>3</v>
      </c>
      <c r="O604" t="s">
        <v>4636</v>
      </c>
      <c r="P604" t="s">
        <v>4635</v>
      </c>
      <c r="Q604" t="s">
        <v>4634</v>
      </c>
      <c r="R604" s="7">
        <v>33239</v>
      </c>
      <c r="S604" s="8">
        <f t="shared" si="72"/>
        <v>1991</v>
      </c>
      <c r="T604" s="8">
        <v>1991</v>
      </c>
      <c r="U604" s="8">
        <f t="shared" si="73"/>
        <v>31</v>
      </c>
      <c r="V604" s="7">
        <v>33359</v>
      </c>
      <c r="W604" t="s">
        <v>1807</v>
      </c>
      <c r="X604" s="2">
        <v>1.6519999999999999</v>
      </c>
      <c r="Y604" s="6">
        <f t="shared" si="78"/>
        <v>4.409919649769093E-2</v>
      </c>
      <c r="AA604" t="s">
        <v>1806</v>
      </c>
      <c r="AB604">
        <v>17337</v>
      </c>
      <c r="AC604">
        <v>15582221</v>
      </c>
      <c r="AD604" t="s">
        <v>5</v>
      </c>
      <c r="AE604">
        <v>39</v>
      </c>
      <c r="AF604">
        <v>5</v>
      </c>
      <c r="AH604" t="s">
        <v>4633</v>
      </c>
      <c r="AI604" t="s">
        <v>4632</v>
      </c>
      <c r="AK604" t="s">
        <v>4631</v>
      </c>
      <c r="AL604">
        <v>8</v>
      </c>
      <c r="AM604" s="5">
        <f t="shared" si="74"/>
        <v>0.25806451612903225</v>
      </c>
      <c r="AN604" s="4">
        <f t="shared" si="79"/>
        <v>3.9085879004775807E-4</v>
      </c>
      <c r="AO604" s="3"/>
      <c r="AP604">
        <v>0</v>
      </c>
      <c r="AR604" t="s">
        <v>0</v>
      </c>
      <c r="AT604" s="2" t="s">
        <v>33</v>
      </c>
      <c r="AU604" s="1">
        <f t="shared" si="75"/>
        <v>3.0986695185397974</v>
      </c>
      <c r="AV604" s="1">
        <f t="shared" si="76"/>
        <v>2.2245027643869344</v>
      </c>
      <c r="AW604" s="1">
        <f t="shared" si="77"/>
        <v>1.3503360102340709</v>
      </c>
    </row>
    <row r="605" spans="1:49" x14ac:dyDescent="0.2">
      <c r="A605">
        <v>603</v>
      </c>
      <c r="B605" t="s">
        <v>4630</v>
      </c>
      <c r="C605" t="s">
        <v>4629</v>
      </c>
      <c r="F605" t="s">
        <v>4628</v>
      </c>
      <c r="G605" t="s">
        <v>16</v>
      </c>
      <c r="H605" t="s">
        <v>15</v>
      </c>
      <c r="I605" t="s">
        <v>4627</v>
      </c>
      <c r="J605">
        <v>60009358</v>
      </c>
      <c r="K605" t="s">
        <v>2982</v>
      </c>
      <c r="L605" t="s">
        <v>2981</v>
      </c>
      <c r="M605" t="s">
        <v>146</v>
      </c>
      <c r="N605">
        <v>2</v>
      </c>
      <c r="O605" t="s">
        <v>4626</v>
      </c>
      <c r="P605" t="s">
        <v>4625</v>
      </c>
      <c r="Q605" t="s">
        <v>4624</v>
      </c>
      <c r="R605" s="7">
        <v>33239</v>
      </c>
      <c r="S605" s="8">
        <f t="shared" si="72"/>
        <v>1991</v>
      </c>
      <c r="T605" s="8">
        <v>1991</v>
      </c>
      <c r="U605" s="8">
        <f t="shared" si="73"/>
        <v>31</v>
      </c>
      <c r="V605" s="7">
        <v>33359</v>
      </c>
      <c r="W605" t="s">
        <v>2747</v>
      </c>
      <c r="X605" s="2">
        <v>1.6379999999999999</v>
      </c>
      <c r="Y605" s="6">
        <f t="shared" si="78"/>
        <v>4.3725474493473214E-2</v>
      </c>
      <c r="AA605" t="s">
        <v>2746</v>
      </c>
      <c r="AB605">
        <v>17391</v>
      </c>
      <c r="AC605">
        <v>19410476</v>
      </c>
      <c r="AD605" t="s">
        <v>5</v>
      </c>
      <c r="AE605">
        <v>39</v>
      </c>
      <c r="AF605">
        <v>5</v>
      </c>
      <c r="AH605" t="s">
        <v>4623</v>
      </c>
      <c r="AI605" t="s">
        <v>4622</v>
      </c>
      <c r="AK605" t="s">
        <v>4621</v>
      </c>
      <c r="AL605">
        <v>497</v>
      </c>
      <c r="AM605" s="5">
        <f t="shared" si="74"/>
        <v>16.032258064516128</v>
      </c>
      <c r="AN605" s="4">
        <f t="shared" si="79"/>
        <v>2.428210233171697E-2</v>
      </c>
      <c r="AO605" s="3"/>
      <c r="AP605">
        <v>0</v>
      </c>
      <c r="AR605" t="s">
        <v>0</v>
      </c>
      <c r="AT605" s="2">
        <v>4.931</v>
      </c>
      <c r="AU605" s="1">
        <f t="shared" si="75"/>
        <v>3.7892462844946335</v>
      </c>
      <c r="AV605" s="1">
        <f t="shared" si="76"/>
        <v>3.4003788412595091</v>
      </c>
      <c r="AW605" s="1">
        <f t="shared" si="77"/>
        <v>3.0115113980243842</v>
      </c>
    </row>
    <row r="606" spans="1:49" x14ac:dyDescent="0.2">
      <c r="A606">
        <v>604</v>
      </c>
      <c r="B606" t="s">
        <v>4620</v>
      </c>
      <c r="C606" t="s">
        <v>4619</v>
      </c>
      <c r="F606" t="s">
        <v>4618</v>
      </c>
      <c r="G606" t="s">
        <v>16</v>
      </c>
      <c r="H606" t="s">
        <v>15</v>
      </c>
      <c r="I606" t="s">
        <v>4617</v>
      </c>
      <c r="J606">
        <v>60022195</v>
      </c>
      <c r="K606" t="s">
        <v>790</v>
      </c>
      <c r="L606" t="s">
        <v>789</v>
      </c>
      <c r="M606" t="s">
        <v>57</v>
      </c>
      <c r="N606">
        <v>1</v>
      </c>
      <c r="O606" t="s">
        <v>4616</v>
      </c>
      <c r="P606">
        <v>57121504400</v>
      </c>
      <c r="Q606">
        <v>60022195</v>
      </c>
      <c r="R606" s="7">
        <v>33239</v>
      </c>
      <c r="S606" s="8">
        <f t="shared" si="72"/>
        <v>1991</v>
      </c>
      <c r="T606" s="8">
        <v>1991</v>
      </c>
      <c r="U606" s="8">
        <f t="shared" si="73"/>
        <v>31</v>
      </c>
      <c r="V606" s="7">
        <v>33359</v>
      </c>
      <c r="W606" t="s">
        <v>3104</v>
      </c>
      <c r="X606" s="2">
        <v>0.39600000000000002</v>
      </c>
      <c r="Y606" s="6">
        <f t="shared" si="78"/>
        <v>1.0570993833586931E-2</v>
      </c>
      <c r="AA606">
        <v>8858985</v>
      </c>
      <c r="AB606">
        <v>25993</v>
      </c>
      <c r="AD606" t="s">
        <v>5</v>
      </c>
      <c r="AE606">
        <v>6</v>
      </c>
      <c r="AF606">
        <v>5</v>
      </c>
      <c r="AH606" t="s">
        <v>4615</v>
      </c>
      <c r="AI606" t="s">
        <v>4614</v>
      </c>
      <c r="AK606" t="s">
        <v>4613</v>
      </c>
      <c r="AL606">
        <v>19</v>
      </c>
      <c r="AM606" s="5">
        <f t="shared" si="74"/>
        <v>0.61290322580645162</v>
      </c>
      <c r="AN606" s="4">
        <f t="shared" si="79"/>
        <v>9.2828962636342543E-4</v>
      </c>
      <c r="AO606" s="3"/>
      <c r="AP606">
        <v>0</v>
      </c>
      <c r="AQ606" t="s">
        <v>4612</v>
      </c>
      <c r="AR606" t="s">
        <v>4611</v>
      </c>
      <c r="AS606" t="s">
        <v>4610</v>
      </c>
      <c r="AT606" s="2" t="s">
        <v>33</v>
      </c>
      <c r="AU606" s="1">
        <f t="shared" si="75"/>
        <v>0.76781825714198793</v>
      </c>
      <c r="AV606" s="1">
        <f t="shared" si="76"/>
        <v>0.57496417299751779</v>
      </c>
      <c r="AW606" s="1">
        <f t="shared" si="77"/>
        <v>0.38211008885304765</v>
      </c>
    </row>
    <row r="607" spans="1:49" x14ac:dyDescent="0.2">
      <c r="A607">
        <v>605</v>
      </c>
      <c r="B607" t="s">
        <v>4609</v>
      </c>
      <c r="C607" t="s">
        <v>4608</v>
      </c>
      <c r="F607" t="s">
        <v>4607</v>
      </c>
      <c r="G607" t="s">
        <v>16</v>
      </c>
      <c r="H607" t="s">
        <v>15</v>
      </c>
      <c r="I607" t="s">
        <v>4606</v>
      </c>
      <c r="J607" t="s">
        <v>4605</v>
      </c>
      <c r="K607" t="s">
        <v>4604</v>
      </c>
      <c r="L607" t="s">
        <v>4603</v>
      </c>
      <c r="M607" t="s">
        <v>133</v>
      </c>
      <c r="N607">
        <v>1</v>
      </c>
      <c r="O607" t="s">
        <v>4602</v>
      </c>
      <c r="P607">
        <v>6603574917</v>
      </c>
      <c r="Q607" t="s">
        <v>4601</v>
      </c>
      <c r="R607" s="7">
        <v>33239</v>
      </c>
      <c r="S607" s="8">
        <f t="shared" si="72"/>
        <v>1991</v>
      </c>
      <c r="T607" s="8">
        <v>1991</v>
      </c>
      <c r="U607" s="8">
        <f t="shared" si="73"/>
        <v>31</v>
      </c>
      <c r="V607" s="7">
        <v>33359</v>
      </c>
      <c r="W607" t="s">
        <v>1807</v>
      </c>
      <c r="X607" s="2">
        <v>1.6519999999999999</v>
      </c>
      <c r="Y607" s="6">
        <f t="shared" si="78"/>
        <v>4.409919649769093E-2</v>
      </c>
      <c r="AA607" t="s">
        <v>1806</v>
      </c>
      <c r="AB607">
        <v>17337</v>
      </c>
      <c r="AC607">
        <v>15582221</v>
      </c>
      <c r="AD607" t="s">
        <v>5</v>
      </c>
      <c r="AE607">
        <v>39</v>
      </c>
      <c r="AF607">
        <v>5</v>
      </c>
      <c r="AH607" t="s">
        <v>4600</v>
      </c>
      <c r="AI607" t="s">
        <v>4599</v>
      </c>
      <c r="AK607" t="s">
        <v>4598</v>
      </c>
      <c r="AL607">
        <v>8</v>
      </c>
      <c r="AM607" s="5">
        <f t="shared" si="74"/>
        <v>0.25806451612903225</v>
      </c>
      <c r="AN607" s="4">
        <f t="shared" si="79"/>
        <v>3.9085879004775807E-4</v>
      </c>
      <c r="AO607" s="3"/>
      <c r="AP607">
        <v>0</v>
      </c>
      <c r="AR607" t="s">
        <v>0</v>
      </c>
      <c r="AT607" s="2" t="s">
        <v>33</v>
      </c>
      <c r="AU607" s="1">
        <f t="shared" si="75"/>
        <v>3.0986695185397974</v>
      </c>
      <c r="AV607" s="1">
        <f t="shared" si="76"/>
        <v>2.2245027643869344</v>
      </c>
      <c r="AW607" s="1">
        <f t="shared" si="77"/>
        <v>1.3503360102340709</v>
      </c>
    </row>
    <row r="608" spans="1:49" x14ac:dyDescent="0.2">
      <c r="A608">
        <v>606</v>
      </c>
      <c r="B608" t="s">
        <v>4597</v>
      </c>
      <c r="C608" t="s">
        <v>4596</v>
      </c>
      <c r="F608" t="s">
        <v>4595</v>
      </c>
      <c r="G608" t="s">
        <v>16</v>
      </c>
      <c r="H608" t="s">
        <v>15</v>
      </c>
      <c r="I608" t="s">
        <v>4594</v>
      </c>
      <c r="J608">
        <v>60003500</v>
      </c>
      <c r="K608" t="s">
        <v>1115</v>
      </c>
      <c r="L608" t="s">
        <v>1114</v>
      </c>
      <c r="M608" t="s">
        <v>57</v>
      </c>
      <c r="N608">
        <v>2</v>
      </c>
      <c r="O608" t="s">
        <v>4593</v>
      </c>
      <c r="P608" t="s">
        <v>4592</v>
      </c>
      <c r="Q608" t="s">
        <v>2990</v>
      </c>
      <c r="R608" s="7">
        <v>33239</v>
      </c>
      <c r="S608" s="8">
        <f t="shared" si="72"/>
        <v>1991</v>
      </c>
      <c r="T608" s="8">
        <v>1991</v>
      </c>
      <c r="U608" s="8">
        <f t="shared" si="73"/>
        <v>31</v>
      </c>
      <c r="V608" s="7">
        <v>33359</v>
      </c>
      <c r="W608" t="s">
        <v>1807</v>
      </c>
      <c r="X608" s="2">
        <v>1.6519999999999999</v>
      </c>
      <c r="Y608" s="6">
        <f t="shared" si="78"/>
        <v>4.409919649769093E-2</v>
      </c>
      <c r="AA608" t="s">
        <v>1806</v>
      </c>
      <c r="AB608">
        <v>17337</v>
      </c>
      <c r="AC608">
        <v>15582221</v>
      </c>
      <c r="AD608" t="s">
        <v>5</v>
      </c>
      <c r="AE608">
        <v>39</v>
      </c>
      <c r="AF608">
        <v>5</v>
      </c>
      <c r="AH608" t="s">
        <v>4591</v>
      </c>
      <c r="AI608" t="s">
        <v>4590</v>
      </c>
      <c r="AK608" t="s">
        <v>4589</v>
      </c>
      <c r="AL608">
        <v>4</v>
      </c>
      <c r="AM608" s="5">
        <f t="shared" si="74"/>
        <v>0.12903225806451613</v>
      </c>
      <c r="AN608" s="4">
        <f t="shared" si="79"/>
        <v>1.9542939502387903E-4</v>
      </c>
      <c r="AO608" s="3"/>
      <c r="AP608">
        <v>0</v>
      </c>
      <c r="AR608" t="s">
        <v>0</v>
      </c>
      <c r="AT608" s="2" t="s">
        <v>33</v>
      </c>
      <c r="AU608" s="1">
        <f t="shared" si="75"/>
        <v>3.0928066366890814</v>
      </c>
      <c r="AV608" s="1">
        <f t="shared" si="76"/>
        <v>2.2147312946357403</v>
      </c>
      <c r="AW608" s="1">
        <f t="shared" si="77"/>
        <v>1.3366559525823993</v>
      </c>
    </row>
    <row r="609" spans="1:49" x14ac:dyDescent="0.2">
      <c r="A609">
        <v>607</v>
      </c>
      <c r="B609" t="s">
        <v>4588</v>
      </c>
      <c r="C609" t="s">
        <v>4587</v>
      </c>
      <c r="F609" t="s">
        <v>4586</v>
      </c>
      <c r="G609" t="s">
        <v>16</v>
      </c>
      <c r="H609" t="s">
        <v>15</v>
      </c>
      <c r="I609" t="s">
        <v>4585</v>
      </c>
      <c r="J609">
        <v>60018020</v>
      </c>
      <c r="K609" t="s">
        <v>4584</v>
      </c>
      <c r="L609" t="s">
        <v>4583</v>
      </c>
      <c r="M609" t="s">
        <v>57</v>
      </c>
      <c r="N609">
        <v>23</v>
      </c>
      <c r="O609" t="s">
        <v>4582</v>
      </c>
      <c r="P609" t="s">
        <v>4581</v>
      </c>
      <c r="Q609" t="s">
        <v>4580</v>
      </c>
      <c r="R609" s="7">
        <v>33239</v>
      </c>
      <c r="S609" s="8">
        <f t="shared" si="72"/>
        <v>1991</v>
      </c>
      <c r="T609" s="8">
        <v>1991</v>
      </c>
      <c r="U609" s="8">
        <f t="shared" si="73"/>
        <v>31</v>
      </c>
      <c r="V609" s="7">
        <v>33359</v>
      </c>
      <c r="W609" t="s">
        <v>987</v>
      </c>
      <c r="X609" s="2">
        <v>1.774</v>
      </c>
      <c r="Y609" s="6">
        <f t="shared" si="78"/>
        <v>4.7355916820159633E-2</v>
      </c>
      <c r="AA609">
        <v>295515</v>
      </c>
      <c r="AB609">
        <v>29066</v>
      </c>
      <c r="AC609">
        <v>17414326</v>
      </c>
      <c r="AD609" t="s">
        <v>5</v>
      </c>
      <c r="AE609">
        <v>31</v>
      </c>
      <c r="AF609">
        <v>5</v>
      </c>
      <c r="AH609" t="s">
        <v>4579</v>
      </c>
      <c r="AI609" t="s">
        <v>4578</v>
      </c>
      <c r="AK609" t="s">
        <v>4577</v>
      </c>
      <c r="AL609">
        <v>79</v>
      </c>
      <c r="AM609" s="5">
        <f t="shared" si="74"/>
        <v>2.5483870967741935</v>
      </c>
      <c r="AN609" s="4">
        <f t="shared" si="79"/>
        <v>3.8597305517216107E-3</v>
      </c>
      <c r="AO609" s="3"/>
      <c r="AP609">
        <v>0</v>
      </c>
      <c r="AR609" t="s">
        <v>0</v>
      </c>
      <c r="AT609" s="2">
        <v>3.1789999999999998</v>
      </c>
      <c r="AU609" s="1">
        <f t="shared" si="75"/>
        <v>3.4307060939628222</v>
      </c>
      <c r="AV609" s="1">
        <f t="shared" si="76"/>
        <v>2.5607823685940621</v>
      </c>
      <c r="AW609" s="1">
        <f t="shared" si="77"/>
        <v>1.6908586432253019</v>
      </c>
    </row>
    <row r="610" spans="1:49" x14ac:dyDescent="0.2">
      <c r="A610">
        <v>608</v>
      </c>
      <c r="B610" t="s">
        <v>4576</v>
      </c>
      <c r="C610" t="s">
        <v>4575</v>
      </c>
      <c r="F610" t="s">
        <v>4574</v>
      </c>
      <c r="G610" t="s">
        <v>16</v>
      </c>
      <c r="H610" t="s">
        <v>15</v>
      </c>
      <c r="I610" t="s">
        <v>4573</v>
      </c>
      <c r="J610">
        <v>60020825</v>
      </c>
      <c r="K610" t="s">
        <v>1227</v>
      </c>
      <c r="L610" t="s">
        <v>1226</v>
      </c>
      <c r="M610" t="s">
        <v>1207</v>
      </c>
      <c r="N610">
        <v>5</v>
      </c>
      <c r="O610" t="s">
        <v>4572</v>
      </c>
      <c r="P610" t="s">
        <v>4571</v>
      </c>
      <c r="Q610" t="s">
        <v>4570</v>
      </c>
      <c r="R610" s="7">
        <v>33239</v>
      </c>
      <c r="S610" s="8">
        <f t="shared" si="72"/>
        <v>1991</v>
      </c>
      <c r="T610" s="8">
        <v>1991</v>
      </c>
      <c r="U610" s="8">
        <f t="shared" si="73"/>
        <v>31</v>
      </c>
      <c r="V610" s="7">
        <v>33359</v>
      </c>
      <c r="W610" t="s">
        <v>561</v>
      </c>
      <c r="X610" s="2">
        <v>0.30399999999999999</v>
      </c>
      <c r="Y610" s="6">
        <f t="shared" si="78"/>
        <v>8.115106377299057E-3</v>
      </c>
      <c r="AA610">
        <v>8952477</v>
      </c>
      <c r="AB610">
        <v>12250</v>
      </c>
      <c r="AC610">
        <v>10982760</v>
      </c>
      <c r="AD610" t="s">
        <v>5</v>
      </c>
      <c r="AE610">
        <v>4</v>
      </c>
      <c r="AF610">
        <v>6</v>
      </c>
      <c r="AH610" t="s">
        <v>4569</v>
      </c>
      <c r="AI610" t="s">
        <v>4568</v>
      </c>
      <c r="AJ610" t="s">
        <v>4567</v>
      </c>
      <c r="AK610" t="s">
        <v>4566</v>
      </c>
      <c r="AL610">
        <v>12</v>
      </c>
      <c r="AM610" s="5">
        <f t="shared" si="74"/>
        <v>0.38709677419354838</v>
      </c>
      <c r="AN610" s="4">
        <f t="shared" si="79"/>
        <v>5.8628818507163707E-4</v>
      </c>
      <c r="AO610" s="3"/>
      <c r="AP610">
        <v>0</v>
      </c>
      <c r="AR610" t="s">
        <v>0</v>
      </c>
      <c r="AT610" s="2" t="s">
        <v>33</v>
      </c>
      <c r="AU610" s="1">
        <f t="shared" si="75"/>
        <v>0.58564609196308304</v>
      </c>
      <c r="AV610" s="1">
        <f t="shared" si="76"/>
        <v>0.43506972811853473</v>
      </c>
      <c r="AW610" s="1">
        <f t="shared" si="77"/>
        <v>0.2844933642739863</v>
      </c>
    </row>
    <row r="611" spans="1:49" x14ac:dyDescent="0.2">
      <c r="A611">
        <v>609</v>
      </c>
      <c r="B611" t="s">
        <v>4565</v>
      </c>
      <c r="C611" t="s">
        <v>4564</v>
      </c>
      <c r="F611" t="s">
        <v>4563</v>
      </c>
      <c r="G611" t="s">
        <v>16</v>
      </c>
      <c r="H611" t="s">
        <v>15</v>
      </c>
      <c r="I611" t="s">
        <v>4562</v>
      </c>
      <c r="J611" t="s">
        <v>4557</v>
      </c>
      <c r="K611" t="s">
        <v>4561</v>
      </c>
      <c r="L611" t="s">
        <v>4560</v>
      </c>
      <c r="M611" t="s">
        <v>133</v>
      </c>
      <c r="N611">
        <v>2</v>
      </c>
      <c r="O611" t="s">
        <v>4559</v>
      </c>
      <c r="P611" t="s">
        <v>4558</v>
      </c>
      <c r="Q611" t="s">
        <v>4557</v>
      </c>
      <c r="R611" s="7">
        <v>33239</v>
      </c>
      <c r="S611" s="8">
        <f t="shared" si="72"/>
        <v>1991</v>
      </c>
      <c r="T611" s="8">
        <v>1991</v>
      </c>
      <c r="U611" s="8">
        <f t="shared" si="73"/>
        <v>31</v>
      </c>
      <c r="V611" s="7">
        <v>33359</v>
      </c>
      <c r="W611" t="s">
        <v>1807</v>
      </c>
      <c r="X611" s="2">
        <v>1.6519999999999999</v>
      </c>
      <c r="Y611" s="6">
        <f t="shared" si="78"/>
        <v>4.409919649769093E-2</v>
      </c>
      <c r="AA611" t="s">
        <v>1806</v>
      </c>
      <c r="AB611">
        <v>17337</v>
      </c>
      <c r="AC611">
        <v>15582221</v>
      </c>
      <c r="AD611" t="s">
        <v>5</v>
      </c>
      <c r="AE611">
        <v>39</v>
      </c>
      <c r="AF611">
        <v>5</v>
      </c>
      <c r="AH611" t="s">
        <v>4556</v>
      </c>
      <c r="AI611" t="s">
        <v>4555</v>
      </c>
      <c r="AK611" t="s">
        <v>4554</v>
      </c>
      <c r="AL611">
        <v>1</v>
      </c>
      <c r="AM611" s="5">
        <f t="shared" si="74"/>
        <v>3.2258064516129031E-2</v>
      </c>
      <c r="AN611" s="4">
        <f t="shared" si="79"/>
        <v>4.8857348755969758E-5</v>
      </c>
      <c r="AO611" s="3"/>
      <c r="AP611">
        <v>0</v>
      </c>
      <c r="AR611" t="s">
        <v>0</v>
      </c>
      <c r="AT611" s="2" t="s">
        <v>33</v>
      </c>
      <c r="AU611" s="1">
        <f t="shared" si="75"/>
        <v>3.0884094753010443</v>
      </c>
      <c r="AV611" s="1">
        <f t="shared" si="76"/>
        <v>2.2074026923223449</v>
      </c>
      <c r="AW611" s="1">
        <f t="shared" si="77"/>
        <v>1.3263959093436457</v>
      </c>
    </row>
    <row r="612" spans="1:49" x14ac:dyDescent="0.2">
      <c r="A612">
        <v>610</v>
      </c>
      <c r="B612" t="s">
        <v>4553</v>
      </c>
      <c r="C612" t="s">
        <v>4552</v>
      </c>
      <c r="F612" t="s">
        <v>4551</v>
      </c>
      <c r="G612" t="s">
        <v>16</v>
      </c>
      <c r="H612" t="s">
        <v>15</v>
      </c>
      <c r="I612" t="s">
        <v>4550</v>
      </c>
      <c r="J612" t="s">
        <v>4549</v>
      </c>
      <c r="K612" t="s">
        <v>4548</v>
      </c>
      <c r="L612" t="s">
        <v>4547</v>
      </c>
      <c r="M612" t="s">
        <v>4546</v>
      </c>
      <c r="N612">
        <v>2</v>
      </c>
      <c r="O612" t="s">
        <v>4545</v>
      </c>
      <c r="P612" t="s">
        <v>4544</v>
      </c>
      <c r="Q612" t="s">
        <v>4543</v>
      </c>
      <c r="R612" s="7">
        <v>33239</v>
      </c>
      <c r="S612" s="8">
        <f t="shared" si="72"/>
        <v>1991</v>
      </c>
      <c r="T612" s="8">
        <v>1991</v>
      </c>
      <c r="U612" s="8">
        <f t="shared" si="73"/>
        <v>31</v>
      </c>
      <c r="V612" s="7">
        <v>33359</v>
      </c>
      <c r="W612" t="s">
        <v>1807</v>
      </c>
      <c r="X612" s="2">
        <v>1.6519999999999999</v>
      </c>
      <c r="Y612" s="6">
        <f t="shared" si="78"/>
        <v>4.409919649769093E-2</v>
      </c>
      <c r="AA612" t="s">
        <v>1806</v>
      </c>
      <c r="AB612">
        <v>17337</v>
      </c>
      <c r="AC612">
        <v>15582221</v>
      </c>
      <c r="AD612" t="s">
        <v>5</v>
      </c>
      <c r="AE612">
        <v>39</v>
      </c>
      <c r="AF612">
        <v>5</v>
      </c>
      <c r="AH612" t="s">
        <v>4542</v>
      </c>
      <c r="AI612" t="s">
        <v>4541</v>
      </c>
      <c r="AK612" t="s">
        <v>4540</v>
      </c>
      <c r="AL612">
        <v>24</v>
      </c>
      <c r="AM612" s="5">
        <f t="shared" si="74"/>
        <v>0.77419354838709675</v>
      </c>
      <c r="AN612" s="4">
        <f t="shared" si="79"/>
        <v>1.1725763701432741E-3</v>
      </c>
      <c r="AO612" s="3"/>
      <c r="AP612">
        <v>0</v>
      </c>
      <c r="AR612" t="s">
        <v>0</v>
      </c>
      <c r="AT612" s="2" t="s">
        <v>33</v>
      </c>
      <c r="AU612" s="1">
        <f t="shared" si="75"/>
        <v>3.1221210459426629</v>
      </c>
      <c r="AV612" s="1">
        <f t="shared" si="76"/>
        <v>2.2635886433917101</v>
      </c>
      <c r="AW612" s="1">
        <f t="shared" si="77"/>
        <v>1.405056240840757</v>
      </c>
    </row>
    <row r="613" spans="1:49" x14ac:dyDescent="0.2">
      <c r="A613">
        <v>611</v>
      </c>
      <c r="B613" t="s">
        <v>4539</v>
      </c>
      <c r="C613" t="s">
        <v>4538</v>
      </c>
      <c r="F613" t="s">
        <v>4537</v>
      </c>
      <c r="G613" t="s">
        <v>16</v>
      </c>
      <c r="H613" t="s">
        <v>15</v>
      </c>
      <c r="I613" t="s">
        <v>4536</v>
      </c>
      <c r="J613" t="s">
        <v>4535</v>
      </c>
      <c r="K613" t="s">
        <v>4534</v>
      </c>
      <c r="L613" t="s">
        <v>4533</v>
      </c>
      <c r="M613" t="s">
        <v>133</v>
      </c>
      <c r="N613">
        <v>2</v>
      </c>
      <c r="O613" t="s">
        <v>4532</v>
      </c>
      <c r="P613" t="s">
        <v>4531</v>
      </c>
      <c r="Q613" t="s">
        <v>4530</v>
      </c>
      <c r="R613" s="7">
        <v>33239</v>
      </c>
      <c r="S613" s="8">
        <f t="shared" si="72"/>
        <v>1991</v>
      </c>
      <c r="T613" s="8">
        <v>1991</v>
      </c>
      <c r="U613" s="8">
        <f t="shared" si="73"/>
        <v>31</v>
      </c>
      <c r="V613" s="7">
        <v>33359</v>
      </c>
      <c r="W613" t="s">
        <v>1807</v>
      </c>
      <c r="X613" s="2">
        <v>1.6519999999999999</v>
      </c>
      <c r="Y613" s="6">
        <f t="shared" si="78"/>
        <v>4.409919649769093E-2</v>
      </c>
      <c r="AA613" t="s">
        <v>1806</v>
      </c>
      <c r="AB613">
        <v>17337</v>
      </c>
      <c r="AC613">
        <v>15582221</v>
      </c>
      <c r="AD613" t="s">
        <v>5</v>
      </c>
      <c r="AE613">
        <v>39</v>
      </c>
      <c r="AF613">
        <v>5</v>
      </c>
      <c r="AH613" t="s">
        <v>4529</v>
      </c>
      <c r="AI613" t="s">
        <v>4528</v>
      </c>
      <c r="AK613" t="s">
        <v>4527</v>
      </c>
      <c r="AL613">
        <v>18</v>
      </c>
      <c r="AM613" s="5">
        <f t="shared" si="74"/>
        <v>0.58064516129032262</v>
      </c>
      <c r="AN613" s="4">
        <f t="shared" si="79"/>
        <v>8.7943227760745566E-4</v>
      </c>
      <c r="AO613" s="3"/>
      <c r="AP613">
        <v>0</v>
      </c>
      <c r="AR613" t="s">
        <v>0</v>
      </c>
      <c r="AT613" s="2" t="s">
        <v>33</v>
      </c>
      <c r="AU613" s="1">
        <f t="shared" si="75"/>
        <v>3.1133267231665886</v>
      </c>
      <c r="AV613" s="1">
        <f t="shared" si="76"/>
        <v>2.2489314387649193</v>
      </c>
      <c r="AW613" s="1">
        <f t="shared" si="77"/>
        <v>1.3845361543632497</v>
      </c>
    </row>
    <row r="614" spans="1:49" x14ac:dyDescent="0.2">
      <c r="A614">
        <v>612</v>
      </c>
      <c r="B614" t="s">
        <v>4526</v>
      </c>
      <c r="C614" t="s">
        <v>4525</v>
      </c>
      <c r="F614" t="s">
        <v>4524</v>
      </c>
      <c r="G614" t="s">
        <v>16</v>
      </c>
      <c r="H614" t="s">
        <v>15</v>
      </c>
      <c r="I614" t="s">
        <v>4523</v>
      </c>
      <c r="J614">
        <v>60021902</v>
      </c>
      <c r="K614" t="s">
        <v>4522</v>
      </c>
      <c r="L614" t="s">
        <v>4521</v>
      </c>
      <c r="M614" t="s">
        <v>4520</v>
      </c>
      <c r="N614">
        <v>2</v>
      </c>
      <c r="O614" t="s">
        <v>4519</v>
      </c>
      <c r="P614" t="s">
        <v>4518</v>
      </c>
      <c r="Q614" t="s">
        <v>4517</v>
      </c>
      <c r="R614" s="7">
        <v>33239</v>
      </c>
      <c r="S614" s="8">
        <f t="shared" si="72"/>
        <v>1991</v>
      </c>
      <c r="T614" s="8">
        <v>1991</v>
      </c>
      <c r="U614" s="8">
        <f t="shared" si="73"/>
        <v>31</v>
      </c>
      <c r="V614" s="7">
        <v>33359</v>
      </c>
      <c r="W614" t="s">
        <v>561</v>
      </c>
      <c r="X614" s="2">
        <v>0.30399999999999999</v>
      </c>
      <c r="Y614" s="6">
        <f t="shared" si="78"/>
        <v>8.115106377299057E-3</v>
      </c>
      <c r="AA614">
        <v>8952477</v>
      </c>
      <c r="AB614">
        <v>12250</v>
      </c>
      <c r="AC614">
        <v>10982760</v>
      </c>
      <c r="AD614" t="s">
        <v>5</v>
      </c>
      <c r="AE614">
        <v>4</v>
      </c>
      <c r="AF614">
        <v>6</v>
      </c>
      <c r="AH614" t="s">
        <v>4516</v>
      </c>
      <c r="AI614" t="s">
        <v>4515</v>
      </c>
      <c r="AJ614" t="s">
        <v>4514</v>
      </c>
      <c r="AK614" t="s">
        <v>4513</v>
      </c>
      <c r="AL614">
        <v>4</v>
      </c>
      <c r="AM614" s="5">
        <f t="shared" si="74"/>
        <v>0.12903225806451613</v>
      </c>
      <c r="AN614" s="4">
        <f t="shared" si="79"/>
        <v>1.9542939502387903E-4</v>
      </c>
      <c r="AO614" s="3"/>
      <c r="AP614">
        <v>0</v>
      </c>
      <c r="AR614" t="s">
        <v>0</v>
      </c>
      <c r="AT614" s="2" t="s">
        <v>33</v>
      </c>
      <c r="AU614" s="1">
        <f t="shared" si="75"/>
        <v>0.57392032826165029</v>
      </c>
      <c r="AV614" s="1">
        <f t="shared" si="76"/>
        <v>0.41552678861614678</v>
      </c>
      <c r="AW614" s="1">
        <f t="shared" si="77"/>
        <v>0.25713324897064327</v>
      </c>
    </row>
    <row r="615" spans="1:49" x14ac:dyDescent="0.2">
      <c r="A615">
        <v>613</v>
      </c>
      <c r="B615" t="s">
        <v>4512</v>
      </c>
      <c r="C615" t="s">
        <v>4511</v>
      </c>
      <c r="F615" t="s">
        <v>4510</v>
      </c>
      <c r="G615" t="s">
        <v>16</v>
      </c>
      <c r="H615" t="s">
        <v>15</v>
      </c>
      <c r="I615" t="s">
        <v>4509</v>
      </c>
      <c r="J615">
        <v>60005304</v>
      </c>
      <c r="K615" t="s">
        <v>4384</v>
      </c>
      <c r="L615" t="s">
        <v>4383</v>
      </c>
      <c r="M615" t="s">
        <v>57</v>
      </c>
      <c r="N615">
        <v>2</v>
      </c>
      <c r="O615" t="s">
        <v>4508</v>
      </c>
      <c r="P615" t="s">
        <v>4507</v>
      </c>
      <c r="Q615" t="s">
        <v>4380</v>
      </c>
      <c r="R615" s="7">
        <v>33239</v>
      </c>
      <c r="S615" s="8">
        <f t="shared" si="72"/>
        <v>1991</v>
      </c>
      <c r="T615" s="8">
        <v>1991</v>
      </c>
      <c r="U615" s="8">
        <f t="shared" si="73"/>
        <v>31</v>
      </c>
      <c r="V615" s="7">
        <v>33359</v>
      </c>
      <c r="W615" t="s">
        <v>1807</v>
      </c>
      <c r="X615" s="2">
        <v>1.6519999999999999</v>
      </c>
      <c r="Y615" s="6">
        <f t="shared" si="78"/>
        <v>4.409919649769093E-2</v>
      </c>
      <c r="AA615" t="s">
        <v>1806</v>
      </c>
      <c r="AB615">
        <v>17337</v>
      </c>
      <c r="AC615">
        <v>15582221</v>
      </c>
      <c r="AD615" t="s">
        <v>5</v>
      </c>
      <c r="AE615">
        <v>39</v>
      </c>
      <c r="AF615">
        <v>5</v>
      </c>
      <c r="AH615" t="s">
        <v>4506</v>
      </c>
      <c r="AI615" t="s">
        <v>4505</v>
      </c>
      <c r="AK615" t="s">
        <v>4504</v>
      </c>
      <c r="AL615">
        <v>1</v>
      </c>
      <c r="AM615" s="5">
        <f t="shared" si="74"/>
        <v>3.2258064516129031E-2</v>
      </c>
      <c r="AN615" s="4">
        <f t="shared" si="79"/>
        <v>4.8857348755969758E-5</v>
      </c>
      <c r="AO615" s="3"/>
      <c r="AP615">
        <v>0</v>
      </c>
      <c r="AR615" t="s">
        <v>0</v>
      </c>
      <c r="AT615" s="2" t="s">
        <v>33</v>
      </c>
      <c r="AU615" s="1">
        <f t="shared" si="75"/>
        <v>3.0884094753010443</v>
      </c>
      <c r="AV615" s="1">
        <f t="shared" si="76"/>
        <v>2.2074026923223449</v>
      </c>
      <c r="AW615" s="1">
        <f t="shared" si="77"/>
        <v>1.3263959093436457</v>
      </c>
    </row>
    <row r="616" spans="1:49" x14ac:dyDescent="0.2">
      <c r="A616">
        <v>614</v>
      </c>
      <c r="B616" t="s">
        <v>4503</v>
      </c>
      <c r="C616" t="s">
        <v>4502</v>
      </c>
      <c r="F616" t="s">
        <v>4501</v>
      </c>
      <c r="G616" t="s">
        <v>16</v>
      </c>
      <c r="H616" t="s">
        <v>15</v>
      </c>
      <c r="I616" t="s">
        <v>4500</v>
      </c>
      <c r="J616">
        <v>60033461</v>
      </c>
      <c r="K616" t="s">
        <v>4499</v>
      </c>
      <c r="L616" t="s">
        <v>4498</v>
      </c>
      <c r="M616" t="s">
        <v>57</v>
      </c>
      <c r="N616">
        <v>1</v>
      </c>
      <c r="O616" t="s">
        <v>4497</v>
      </c>
      <c r="P616">
        <v>7003292725</v>
      </c>
      <c r="Q616">
        <v>60033461</v>
      </c>
      <c r="R616" s="7">
        <v>33239</v>
      </c>
      <c r="S616" s="8">
        <f t="shared" si="72"/>
        <v>1991</v>
      </c>
      <c r="T616" s="8">
        <v>1991</v>
      </c>
      <c r="U616" s="8">
        <f t="shared" si="73"/>
        <v>31</v>
      </c>
      <c r="V616" s="7">
        <v>33359</v>
      </c>
      <c r="W616" t="s">
        <v>1807</v>
      </c>
      <c r="X616" s="2">
        <v>1.6519999999999999</v>
      </c>
      <c r="Y616" s="6">
        <f t="shared" si="78"/>
        <v>4.409919649769093E-2</v>
      </c>
      <c r="AA616" t="s">
        <v>1806</v>
      </c>
      <c r="AB616">
        <v>17337</v>
      </c>
      <c r="AC616">
        <v>15582221</v>
      </c>
      <c r="AD616" t="s">
        <v>5</v>
      </c>
      <c r="AE616">
        <v>39</v>
      </c>
      <c r="AF616">
        <v>5</v>
      </c>
      <c r="AH616" t="s">
        <v>4496</v>
      </c>
      <c r="AI616" t="s">
        <v>4495</v>
      </c>
      <c r="AK616" t="s">
        <v>4494</v>
      </c>
      <c r="AL616">
        <v>3</v>
      </c>
      <c r="AM616" s="5">
        <f t="shared" si="74"/>
        <v>9.6774193548387094E-2</v>
      </c>
      <c r="AN616" s="4">
        <f t="shared" si="79"/>
        <v>1.4657204626790927E-4</v>
      </c>
      <c r="AO616" s="3"/>
      <c r="AP616">
        <v>0</v>
      </c>
      <c r="AR616" t="s">
        <v>0</v>
      </c>
      <c r="AT616" s="2" t="s">
        <v>33</v>
      </c>
      <c r="AU616" s="1">
        <f t="shared" si="75"/>
        <v>3.0913409162264025</v>
      </c>
      <c r="AV616" s="1">
        <f t="shared" si="76"/>
        <v>2.2122884271979419</v>
      </c>
      <c r="AW616" s="1">
        <f t="shared" si="77"/>
        <v>1.3332359381694814</v>
      </c>
    </row>
    <row r="617" spans="1:49" x14ac:dyDescent="0.2">
      <c r="A617">
        <v>615</v>
      </c>
      <c r="B617" t="s">
        <v>4493</v>
      </c>
      <c r="C617" t="s">
        <v>4492</v>
      </c>
      <c r="F617" t="s">
        <v>4491</v>
      </c>
      <c r="G617" t="s">
        <v>16</v>
      </c>
      <c r="H617" t="s">
        <v>15</v>
      </c>
      <c r="I617" t="s">
        <v>4490</v>
      </c>
      <c r="J617" t="s">
        <v>4489</v>
      </c>
      <c r="K617" t="s">
        <v>4488</v>
      </c>
      <c r="L617" t="s">
        <v>4487</v>
      </c>
      <c r="M617" t="s">
        <v>1147</v>
      </c>
      <c r="N617">
        <v>3</v>
      </c>
      <c r="O617" t="s">
        <v>4486</v>
      </c>
      <c r="P617" t="s">
        <v>4485</v>
      </c>
      <c r="Q617" t="s">
        <v>4484</v>
      </c>
      <c r="R617" s="7">
        <v>33239</v>
      </c>
      <c r="S617" s="8">
        <f t="shared" si="72"/>
        <v>1991</v>
      </c>
      <c r="T617" s="8">
        <v>1991</v>
      </c>
      <c r="U617" s="8">
        <f t="shared" si="73"/>
        <v>31</v>
      </c>
      <c r="V617" s="7" t="s">
        <v>115</v>
      </c>
      <c r="W617" t="s">
        <v>3449</v>
      </c>
      <c r="X617" s="2">
        <v>0.75800000000000001</v>
      </c>
      <c r="Y617" s="6">
        <f t="shared" si="78"/>
        <v>2.0234377085502256E-2</v>
      </c>
      <c r="AA617">
        <v>224650</v>
      </c>
      <c r="AB617">
        <v>29589</v>
      </c>
      <c r="AD617" t="s">
        <v>5</v>
      </c>
      <c r="AE617">
        <v>28</v>
      </c>
      <c r="AF617">
        <v>3</v>
      </c>
      <c r="AH617" t="s">
        <v>4483</v>
      </c>
      <c r="AI617" t="s">
        <v>4482</v>
      </c>
      <c r="AK617" t="s">
        <v>4481</v>
      </c>
      <c r="AL617">
        <v>6</v>
      </c>
      <c r="AM617" s="5">
        <f t="shared" si="74"/>
        <v>0.19354838709677419</v>
      </c>
      <c r="AN617" s="4">
        <f t="shared" si="79"/>
        <v>2.9314409253581854E-4</v>
      </c>
      <c r="AO617" s="3"/>
      <c r="AP617">
        <v>0</v>
      </c>
      <c r="AR617" t="s">
        <v>0</v>
      </c>
      <c r="AT617" s="2">
        <v>1.282</v>
      </c>
      <c r="AU617" s="1">
        <f t="shared" si="75"/>
        <v>1.4252007187612323</v>
      </c>
      <c r="AV617" s="1">
        <f t="shared" si="76"/>
        <v>1.0263760589019038</v>
      </c>
      <c r="AW617" s="1">
        <f t="shared" si="77"/>
        <v>0.62755139904257495</v>
      </c>
    </row>
    <row r="618" spans="1:49" x14ac:dyDescent="0.2">
      <c r="A618">
        <v>616</v>
      </c>
      <c r="B618" t="s">
        <v>4480</v>
      </c>
      <c r="C618" t="s">
        <v>4479</v>
      </c>
      <c r="F618" t="s">
        <v>4478</v>
      </c>
      <c r="G618" t="s">
        <v>16</v>
      </c>
      <c r="H618" t="s">
        <v>15</v>
      </c>
      <c r="I618" t="s">
        <v>4477</v>
      </c>
      <c r="J618">
        <v>60028156</v>
      </c>
      <c r="K618" t="s">
        <v>4476</v>
      </c>
      <c r="L618" t="s">
        <v>4475</v>
      </c>
      <c r="M618" t="s">
        <v>57</v>
      </c>
      <c r="N618">
        <v>2</v>
      </c>
      <c r="O618" t="s">
        <v>4474</v>
      </c>
      <c r="P618" t="s">
        <v>4473</v>
      </c>
      <c r="Q618" t="s">
        <v>4472</v>
      </c>
      <c r="R618" s="7">
        <v>33239</v>
      </c>
      <c r="S618" s="8">
        <f t="shared" si="72"/>
        <v>1991</v>
      </c>
      <c r="T618" s="8">
        <v>1991</v>
      </c>
      <c r="U618" s="8">
        <f t="shared" si="73"/>
        <v>31</v>
      </c>
      <c r="V618" s="7">
        <v>33359</v>
      </c>
      <c r="W618" t="s">
        <v>2685</v>
      </c>
      <c r="X618" s="2">
        <v>0.65500000000000003</v>
      </c>
      <c r="Y618" s="6">
        <f t="shared" si="78"/>
        <v>1.7484850911614749E-2</v>
      </c>
      <c r="AA618">
        <v>189375</v>
      </c>
      <c r="AB618">
        <v>26051</v>
      </c>
      <c r="AC618" t="s">
        <v>2684</v>
      </c>
      <c r="AD618" t="s">
        <v>5</v>
      </c>
      <c r="AE618">
        <v>33</v>
      </c>
      <c r="AF618">
        <v>2</v>
      </c>
      <c r="AH618" t="s">
        <v>4471</v>
      </c>
      <c r="AI618" t="s">
        <v>4470</v>
      </c>
      <c r="AK618" t="s">
        <v>4469</v>
      </c>
      <c r="AL618">
        <v>2</v>
      </c>
      <c r="AM618" s="5">
        <f t="shared" si="74"/>
        <v>6.4516129032258063E-2</v>
      </c>
      <c r="AN618" s="4">
        <f t="shared" si="79"/>
        <v>9.7714697511939517E-5</v>
      </c>
      <c r="AO618" s="3"/>
      <c r="AP618">
        <v>0</v>
      </c>
      <c r="AR618" t="s">
        <v>0</v>
      </c>
      <c r="AT618" s="2" t="s">
        <v>33</v>
      </c>
      <c r="AU618" s="1">
        <f t="shared" si="75"/>
        <v>1.2268710047383904</v>
      </c>
      <c r="AV618" s="1">
        <f t="shared" si="76"/>
        <v>0.8791282804563344</v>
      </c>
      <c r="AW618" s="1">
        <f t="shared" si="77"/>
        <v>0.5313855561742783</v>
      </c>
    </row>
    <row r="619" spans="1:49" x14ac:dyDescent="0.2">
      <c r="A619">
        <v>617</v>
      </c>
      <c r="B619" t="s">
        <v>4468</v>
      </c>
      <c r="C619" t="s">
        <v>4467</v>
      </c>
      <c r="F619" t="s">
        <v>4466</v>
      </c>
      <c r="G619" t="s">
        <v>16</v>
      </c>
      <c r="H619" t="s">
        <v>15</v>
      </c>
      <c r="I619" t="s">
        <v>4465</v>
      </c>
      <c r="N619">
        <v>2</v>
      </c>
      <c r="O619" t="s">
        <v>4464</v>
      </c>
      <c r="P619" t="s">
        <v>4463</v>
      </c>
      <c r="Q619" t="s">
        <v>592</v>
      </c>
      <c r="R619" s="7">
        <v>33239</v>
      </c>
      <c r="S619" s="8">
        <f t="shared" si="72"/>
        <v>1991</v>
      </c>
      <c r="T619" s="8">
        <v>1991</v>
      </c>
      <c r="U619" s="8">
        <f t="shared" si="73"/>
        <v>31</v>
      </c>
      <c r="V619" s="7">
        <v>33359</v>
      </c>
      <c r="W619" t="s">
        <v>2685</v>
      </c>
      <c r="X619" s="2">
        <v>0.65500000000000003</v>
      </c>
      <c r="Y619" s="6">
        <f t="shared" si="78"/>
        <v>1.7484850911614749E-2</v>
      </c>
      <c r="AA619">
        <v>189375</v>
      </c>
      <c r="AB619">
        <v>26051</v>
      </c>
      <c r="AC619" t="s">
        <v>2684</v>
      </c>
      <c r="AD619" t="s">
        <v>5</v>
      </c>
      <c r="AE619">
        <v>33</v>
      </c>
      <c r="AF619">
        <v>2</v>
      </c>
      <c r="AH619" t="s">
        <v>4462</v>
      </c>
      <c r="AI619" t="s">
        <v>4461</v>
      </c>
      <c r="AK619" t="s">
        <v>4460</v>
      </c>
      <c r="AL619">
        <v>7</v>
      </c>
      <c r="AM619" s="5">
        <f t="shared" si="74"/>
        <v>0.22580645161290322</v>
      </c>
      <c r="AN619" s="4">
        <f t="shared" si="79"/>
        <v>3.420014412917883E-4</v>
      </c>
      <c r="AO619" s="3"/>
      <c r="AP619">
        <v>0</v>
      </c>
      <c r="AR619" t="s">
        <v>0</v>
      </c>
      <c r="AT619" s="2" t="s">
        <v>33</v>
      </c>
      <c r="AU619" s="1">
        <f t="shared" si="75"/>
        <v>1.234199607051786</v>
      </c>
      <c r="AV619" s="1">
        <f t="shared" si="76"/>
        <v>0.89134261764532685</v>
      </c>
      <c r="AW619" s="1">
        <f t="shared" si="77"/>
        <v>0.5484856282388676</v>
      </c>
    </row>
    <row r="620" spans="1:49" x14ac:dyDescent="0.2">
      <c r="A620">
        <v>618</v>
      </c>
      <c r="B620" t="s">
        <v>4459</v>
      </c>
      <c r="C620" t="s">
        <v>4458</v>
      </c>
      <c r="F620" t="s">
        <v>4457</v>
      </c>
      <c r="G620" t="s">
        <v>16</v>
      </c>
      <c r="H620" t="s">
        <v>15</v>
      </c>
      <c r="I620" t="s">
        <v>2912</v>
      </c>
      <c r="J620" t="s">
        <v>2911</v>
      </c>
      <c r="K620" t="s">
        <v>2910</v>
      </c>
      <c r="L620" t="s">
        <v>2909</v>
      </c>
      <c r="M620" t="s">
        <v>2908</v>
      </c>
      <c r="N620">
        <v>2</v>
      </c>
      <c r="O620" t="s">
        <v>4456</v>
      </c>
      <c r="P620" t="s">
        <v>4455</v>
      </c>
      <c r="Q620" t="s">
        <v>4454</v>
      </c>
      <c r="R620" s="7">
        <v>33239</v>
      </c>
      <c r="S620" s="8">
        <f t="shared" si="72"/>
        <v>1991</v>
      </c>
      <c r="T620" s="8">
        <v>1991</v>
      </c>
      <c r="U620" s="8">
        <f t="shared" si="73"/>
        <v>31</v>
      </c>
      <c r="V620" s="7">
        <v>33359</v>
      </c>
      <c r="W620" t="s">
        <v>2747</v>
      </c>
      <c r="X620" s="2">
        <v>1.6379999999999999</v>
      </c>
      <c r="Y620" s="6">
        <f t="shared" si="78"/>
        <v>4.3725474493473214E-2</v>
      </c>
      <c r="AA620" t="s">
        <v>2746</v>
      </c>
      <c r="AB620">
        <v>17391</v>
      </c>
      <c r="AC620">
        <v>19410476</v>
      </c>
      <c r="AD620" t="s">
        <v>5</v>
      </c>
      <c r="AE620">
        <v>39</v>
      </c>
      <c r="AF620">
        <v>5</v>
      </c>
      <c r="AH620" t="s">
        <v>4453</v>
      </c>
      <c r="AI620" t="s">
        <v>4452</v>
      </c>
      <c r="AK620" t="s">
        <v>4451</v>
      </c>
      <c r="AL620">
        <v>45</v>
      </c>
      <c r="AM620" s="5">
        <f t="shared" si="74"/>
        <v>1.4516129032258065</v>
      </c>
      <c r="AN620" s="4">
        <f t="shared" si="79"/>
        <v>2.1985806940186393E-3</v>
      </c>
      <c r="AO620" s="3"/>
      <c r="AP620">
        <v>0</v>
      </c>
      <c r="AR620" t="s">
        <v>0</v>
      </c>
      <c r="AT620" s="2">
        <v>4.931</v>
      </c>
      <c r="AU620" s="1">
        <f t="shared" si="75"/>
        <v>3.1267406353636842</v>
      </c>
      <c r="AV620" s="1">
        <f t="shared" si="76"/>
        <v>2.2962027593745926</v>
      </c>
      <c r="AW620" s="1">
        <f t="shared" si="77"/>
        <v>1.465664883385501</v>
      </c>
    </row>
    <row r="621" spans="1:49" x14ac:dyDescent="0.2">
      <c r="A621">
        <v>619</v>
      </c>
      <c r="B621" t="s">
        <v>4450</v>
      </c>
      <c r="C621" t="s">
        <v>4449</v>
      </c>
      <c r="F621" t="s">
        <v>4448</v>
      </c>
      <c r="G621" t="s">
        <v>16</v>
      </c>
      <c r="H621" t="s">
        <v>15</v>
      </c>
      <c r="I621" t="s">
        <v>4447</v>
      </c>
      <c r="J621" t="s">
        <v>4446</v>
      </c>
      <c r="K621" t="s">
        <v>4445</v>
      </c>
      <c r="L621" t="s">
        <v>4444</v>
      </c>
      <c r="M621" t="s">
        <v>133</v>
      </c>
      <c r="N621">
        <v>2</v>
      </c>
      <c r="O621" t="s">
        <v>4443</v>
      </c>
      <c r="P621" t="s">
        <v>4442</v>
      </c>
      <c r="Q621" t="s">
        <v>4441</v>
      </c>
      <c r="R621" s="7">
        <v>33239</v>
      </c>
      <c r="S621" s="8">
        <f t="shared" si="72"/>
        <v>1991</v>
      </c>
      <c r="T621" s="8">
        <v>1991</v>
      </c>
      <c r="U621" s="8">
        <f t="shared" si="73"/>
        <v>31</v>
      </c>
      <c r="V621" s="7">
        <v>33359</v>
      </c>
      <c r="W621" t="s">
        <v>4440</v>
      </c>
      <c r="X621" s="2">
        <v>0.94</v>
      </c>
      <c r="Y621" s="6">
        <f t="shared" si="78"/>
        <v>2.5092763140332611E-2</v>
      </c>
      <c r="AA621">
        <v>10518207</v>
      </c>
      <c r="AB621">
        <v>63372</v>
      </c>
      <c r="AD621" t="s">
        <v>5</v>
      </c>
      <c r="AE621">
        <v>1</v>
      </c>
      <c r="AF621">
        <v>5</v>
      </c>
      <c r="AH621" t="s">
        <v>4439</v>
      </c>
      <c r="AI621" t="s">
        <v>4438</v>
      </c>
      <c r="AK621" t="s">
        <v>4437</v>
      </c>
      <c r="AL621">
        <v>29</v>
      </c>
      <c r="AM621" s="5">
        <f t="shared" si="74"/>
        <v>0.93548387096774188</v>
      </c>
      <c r="AN621" s="4">
        <f t="shared" si="79"/>
        <v>1.4168631139231229E-3</v>
      </c>
      <c r="AO621" s="3"/>
      <c r="AP621">
        <v>0</v>
      </c>
      <c r="AR621" t="s">
        <v>0</v>
      </c>
      <c r="AT621" s="2" t="s">
        <v>33</v>
      </c>
      <c r="AU621" s="1">
        <f t="shared" si="75"/>
        <v>1.7989993132409763</v>
      </c>
      <c r="AV621" s="1">
        <f t="shared" si="76"/>
        <v>1.3254813127127867</v>
      </c>
      <c r="AW621" s="1">
        <f t="shared" si="77"/>
        <v>0.85196331218459698</v>
      </c>
    </row>
    <row r="622" spans="1:49" x14ac:dyDescent="0.2">
      <c r="A622">
        <v>620</v>
      </c>
      <c r="B622" t="s">
        <v>4436</v>
      </c>
      <c r="C622" t="s">
        <v>4435</v>
      </c>
      <c r="E622">
        <v>1874527</v>
      </c>
      <c r="F622" t="s">
        <v>4434</v>
      </c>
      <c r="G622" t="s">
        <v>16</v>
      </c>
      <c r="H622" t="s">
        <v>15</v>
      </c>
      <c r="I622" t="s">
        <v>4433</v>
      </c>
      <c r="J622" t="s">
        <v>4432</v>
      </c>
      <c r="K622" t="s">
        <v>4431</v>
      </c>
      <c r="L622" t="s">
        <v>4430</v>
      </c>
      <c r="M622" t="s">
        <v>4429</v>
      </c>
      <c r="N622">
        <v>3</v>
      </c>
      <c r="O622" t="s">
        <v>4428</v>
      </c>
      <c r="P622" t="s">
        <v>4427</v>
      </c>
      <c r="Q622" t="s">
        <v>4426</v>
      </c>
      <c r="R622" s="7">
        <v>33239</v>
      </c>
      <c r="S622" s="8">
        <f t="shared" si="72"/>
        <v>1991</v>
      </c>
      <c r="T622" s="8">
        <v>1991</v>
      </c>
      <c r="U622" s="8">
        <f t="shared" si="73"/>
        <v>31</v>
      </c>
      <c r="V622" s="7">
        <v>33359</v>
      </c>
      <c r="W622" t="s">
        <v>2188</v>
      </c>
      <c r="X622" s="2">
        <v>1.1479999999999999</v>
      </c>
      <c r="Y622" s="6">
        <f t="shared" si="78"/>
        <v>3.0645204345853019E-2</v>
      </c>
      <c r="AA622">
        <v>189294</v>
      </c>
      <c r="AB622">
        <v>16318</v>
      </c>
      <c r="AC622">
        <v>15582531</v>
      </c>
      <c r="AD622" t="s">
        <v>5</v>
      </c>
      <c r="AE622">
        <v>38</v>
      </c>
      <c r="AF622">
        <v>5</v>
      </c>
      <c r="AH622" t="s">
        <v>4425</v>
      </c>
      <c r="AI622" t="s">
        <v>4424</v>
      </c>
      <c r="AK622" t="s">
        <v>4423</v>
      </c>
      <c r="AL622">
        <v>14</v>
      </c>
      <c r="AM622" s="5">
        <f t="shared" si="74"/>
        <v>0.45161290322580644</v>
      </c>
      <c r="AN622" s="4">
        <f t="shared" si="79"/>
        <v>6.840028825835766E-4</v>
      </c>
      <c r="AO622" s="3"/>
      <c r="AP622">
        <v>0</v>
      </c>
      <c r="AQ622" t="s">
        <v>1129</v>
      </c>
      <c r="AR622" t="s">
        <v>1128</v>
      </c>
      <c r="AS622" t="s">
        <v>1127</v>
      </c>
      <c r="AT622" s="2" t="s">
        <v>33</v>
      </c>
      <c r="AU622" s="1">
        <f t="shared" si="75"/>
        <v>2.1656843906872187</v>
      </c>
      <c r="AV622" s="1">
        <f t="shared" si="76"/>
        <v>1.5664603614218298</v>
      </c>
      <c r="AW622" s="1">
        <f t="shared" si="77"/>
        <v>0.96723633215644089</v>
      </c>
    </row>
    <row r="623" spans="1:49" x14ac:dyDescent="0.2">
      <c r="A623">
        <v>621</v>
      </c>
      <c r="B623" t="s">
        <v>4422</v>
      </c>
      <c r="C623" t="s">
        <v>4421</v>
      </c>
      <c r="F623" t="s">
        <v>4420</v>
      </c>
      <c r="G623" t="s">
        <v>16</v>
      </c>
      <c r="H623" t="s">
        <v>15</v>
      </c>
      <c r="I623" t="s">
        <v>4419</v>
      </c>
      <c r="J623">
        <v>60016296</v>
      </c>
      <c r="K623" t="s">
        <v>2473</v>
      </c>
      <c r="L623" t="s">
        <v>2493</v>
      </c>
      <c r="M623" t="s">
        <v>57</v>
      </c>
      <c r="N623">
        <v>1</v>
      </c>
      <c r="O623" t="s">
        <v>4418</v>
      </c>
      <c r="P623">
        <v>6603349097</v>
      </c>
      <c r="Q623">
        <v>60016296</v>
      </c>
      <c r="R623" s="7">
        <v>33239</v>
      </c>
      <c r="S623" s="8">
        <f t="shared" si="72"/>
        <v>1991</v>
      </c>
      <c r="T623" s="8">
        <v>1991</v>
      </c>
      <c r="U623" s="8">
        <f t="shared" si="73"/>
        <v>31</v>
      </c>
      <c r="V623" s="7">
        <v>33359</v>
      </c>
      <c r="W623" t="s">
        <v>674</v>
      </c>
      <c r="X623" s="2">
        <v>1.137</v>
      </c>
      <c r="Y623" s="6">
        <f t="shared" si="78"/>
        <v>3.0351565628253384E-2</v>
      </c>
      <c r="AA623">
        <v>189251</v>
      </c>
      <c r="AB623">
        <v>17336</v>
      </c>
      <c r="AD623" t="s">
        <v>5</v>
      </c>
      <c r="AE623">
        <v>27</v>
      </c>
      <c r="AF623">
        <v>3</v>
      </c>
      <c r="AH623" t="s">
        <v>4417</v>
      </c>
      <c r="AI623" t="s">
        <v>4416</v>
      </c>
      <c r="AK623" t="s">
        <v>4415</v>
      </c>
      <c r="AL623">
        <v>2</v>
      </c>
      <c r="AM623" s="5">
        <f t="shared" si="74"/>
        <v>6.4516129032258063E-2</v>
      </c>
      <c r="AN623" s="4">
        <f t="shared" si="79"/>
        <v>9.7714697511939517E-5</v>
      </c>
      <c r="AO623" s="3"/>
      <c r="AP623">
        <v>0</v>
      </c>
      <c r="AR623" t="s">
        <v>0</v>
      </c>
      <c r="AT623" s="2" t="s">
        <v>33</v>
      </c>
      <c r="AU623" s="1">
        <f t="shared" si="75"/>
        <v>2.127541034903095</v>
      </c>
      <c r="AV623" s="1">
        <f t="shared" si="76"/>
        <v>1.5224640162882661</v>
      </c>
      <c r="AW623" s="1">
        <f t="shared" si="77"/>
        <v>0.91738699767343734</v>
      </c>
    </row>
    <row r="624" spans="1:49" x14ac:dyDescent="0.2">
      <c r="A624">
        <v>622</v>
      </c>
      <c r="B624" t="s">
        <v>4414</v>
      </c>
      <c r="C624" t="s">
        <v>4413</v>
      </c>
      <c r="F624" t="s">
        <v>4412</v>
      </c>
      <c r="G624" t="s">
        <v>16</v>
      </c>
      <c r="H624" t="s">
        <v>15</v>
      </c>
      <c r="I624" t="s">
        <v>4411</v>
      </c>
      <c r="J624">
        <v>60007776</v>
      </c>
      <c r="K624" t="s">
        <v>3047</v>
      </c>
      <c r="L624" t="s">
        <v>3046</v>
      </c>
      <c r="M624" t="s">
        <v>57</v>
      </c>
      <c r="N624">
        <v>2</v>
      </c>
      <c r="O624" t="s">
        <v>4410</v>
      </c>
      <c r="P624" t="s">
        <v>4409</v>
      </c>
      <c r="Q624" t="s">
        <v>3043</v>
      </c>
      <c r="R624" s="7">
        <v>33239</v>
      </c>
      <c r="S624" s="8">
        <f t="shared" si="72"/>
        <v>1991</v>
      </c>
      <c r="T624" s="8">
        <v>1991</v>
      </c>
      <c r="U624" s="8">
        <f t="shared" si="73"/>
        <v>31</v>
      </c>
      <c r="V624" s="7">
        <v>33359</v>
      </c>
      <c r="W624" t="s">
        <v>2759</v>
      </c>
      <c r="X624" s="2">
        <v>0.81</v>
      </c>
      <c r="Y624" s="6">
        <f t="shared" si="78"/>
        <v>2.1622487386882359E-2</v>
      </c>
      <c r="AA624">
        <v>10411135</v>
      </c>
      <c r="AB624">
        <v>12116</v>
      </c>
      <c r="AC624">
        <v>19410174</v>
      </c>
      <c r="AD624" t="s">
        <v>5</v>
      </c>
      <c r="AE624">
        <v>3</v>
      </c>
      <c r="AF624">
        <v>5</v>
      </c>
      <c r="AH624" t="s">
        <v>4408</v>
      </c>
      <c r="AI624" t="s">
        <v>4407</v>
      </c>
      <c r="AK624" t="s">
        <v>4406</v>
      </c>
      <c r="AL624">
        <v>7</v>
      </c>
      <c r="AM624" s="5">
        <f t="shared" si="74"/>
        <v>0.22580645161290322</v>
      </c>
      <c r="AN624" s="4">
        <f t="shared" si="79"/>
        <v>3.420014412917883E-4</v>
      </c>
      <c r="AO624" s="3"/>
      <c r="AP624">
        <v>0</v>
      </c>
      <c r="AQ624" t="s">
        <v>4405</v>
      </c>
      <c r="AR624" t="s">
        <v>0</v>
      </c>
      <c r="AS624" t="s">
        <v>4404</v>
      </c>
      <c r="AT624" s="2">
        <v>2.468</v>
      </c>
      <c r="AU624" s="1">
        <f t="shared" si="75"/>
        <v>1.5238341603205185</v>
      </c>
      <c r="AV624" s="1">
        <f t="shared" si="76"/>
        <v>1.0982244414087075</v>
      </c>
      <c r="AW624" s="1">
        <f t="shared" si="77"/>
        <v>0.67261472249689591</v>
      </c>
    </row>
    <row r="625" spans="1:49" x14ac:dyDescent="0.2">
      <c r="A625">
        <v>623</v>
      </c>
      <c r="B625" t="s">
        <v>4403</v>
      </c>
      <c r="C625" t="s">
        <v>4402</v>
      </c>
      <c r="F625" t="s">
        <v>4401</v>
      </c>
      <c r="G625" t="s">
        <v>16</v>
      </c>
      <c r="H625" t="s">
        <v>15</v>
      </c>
      <c r="I625" t="s">
        <v>1871</v>
      </c>
      <c r="J625" t="s">
        <v>4400</v>
      </c>
      <c r="K625" t="s">
        <v>4399</v>
      </c>
      <c r="L625" t="s">
        <v>4398</v>
      </c>
      <c r="M625" t="s">
        <v>4397</v>
      </c>
      <c r="N625">
        <v>5</v>
      </c>
      <c r="O625" t="s">
        <v>4396</v>
      </c>
      <c r="P625" t="s">
        <v>4395</v>
      </c>
      <c r="Q625" t="s">
        <v>4394</v>
      </c>
      <c r="R625" s="7">
        <v>33239</v>
      </c>
      <c r="S625" s="8">
        <f t="shared" ref="S625:S688" si="80">YEAR(R625)</f>
        <v>1991</v>
      </c>
      <c r="T625" s="8">
        <v>1991</v>
      </c>
      <c r="U625" s="8">
        <f t="shared" ref="U625:U688" si="81">2022-T625</f>
        <v>31</v>
      </c>
      <c r="V625" s="7">
        <v>33359</v>
      </c>
      <c r="W625" t="s">
        <v>3695</v>
      </c>
      <c r="X625" s="2">
        <v>0.251</v>
      </c>
      <c r="Y625" s="6">
        <f t="shared" si="78"/>
        <v>6.7003016470462617E-3</v>
      </c>
      <c r="AA625">
        <v>207217</v>
      </c>
      <c r="AB625">
        <v>26145</v>
      </c>
      <c r="AC625">
        <v>13623060</v>
      </c>
      <c r="AD625" t="s">
        <v>5</v>
      </c>
      <c r="AE625">
        <v>70</v>
      </c>
      <c r="AF625">
        <v>5</v>
      </c>
      <c r="AH625" t="s">
        <v>4393</v>
      </c>
      <c r="AI625" t="s">
        <v>4392</v>
      </c>
      <c r="AK625" t="s">
        <v>4391</v>
      </c>
      <c r="AL625">
        <v>6</v>
      </c>
      <c r="AM625" s="5">
        <f t="shared" ref="AM625:AM688" si="82">AL625/U625</f>
        <v>0.19354838709677419</v>
      </c>
      <c r="AN625" s="4">
        <f t="shared" si="79"/>
        <v>2.9314409253581854E-4</v>
      </c>
      <c r="AO625" s="3"/>
      <c r="AP625">
        <v>0</v>
      </c>
      <c r="AQ625" t="s">
        <v>4390</v>
      </c>
      <c r="AR625" t="s">
        <v>0</v>
      </c>
      <c r="AS625" t="s">
        <v>4389</v>
      </c>
      <c r="AT625" s="2">
        <v>1.3360000000000001</v>
      </c>
      <c r="AU625" s="1">
        <f t="shared" ref="AU625:AU688" si="83">(Y625*0.7+AN625*0.3)*100</f>
        <v>0.47781543806931276</v>
      </c>
      <c r="AV625" s="1">
        <f t="shared" ref="AV625:AV688" si="84">(Y625*0.5+AN625*0.5)*100</f>
        <v>0.34967228697910402</v>
      </c>
      <c r="AW625" s="1">
        <f t="shared" ref="AW625:AW688" si="85">(Y625*0.3+AN625*0.7)*100</f>
        <v>0.22152913588889514</v>
      </c>
    </row>
    <row r="626" spans="1:49" x14ac:dyDescent="0.2">
      <c r="A626">
        <v>624</v>
      </c>
      <c r="B626" t="s">
        <v>4388</v>
      </c>
      <c r="C626" t="s">
        <v>4387</v>
      </c>
      <c r="F626" t="s">
        <v>4386</v>
      </c>
      <c r="G626" t="s">
        <v>16</v>
      </c>
      <c r="H626" t="s">
        <v>15</v>
      </c>
      <c r="I626" t="s">
        <v>4385</v>
      </c>
      <c r="J626">
        <v>60005304</v>
      </c>
      <c r="K626" t="s">
        <v>4384</v>
      </c>
      <c r="L626" t="s">
        <v>4383</v>
      </c>
      <c r="M626" t="s">
        <v>57</v>
      </c>
      <c r="N626">
        <v>2</v>
      </c>
      <c r="O626" t="s">
        <v>4382</v>
      </c>
      <c r="P626" t="s">
        <v>4381</v>
      </c>
      <c r="Q626" t="s">
        <v>4380</v>
      </c>
      <c r="R626" s="7">
        <v>33239</v>
      </c>
      <c r="S626" s="8">
        <f t="shared" si="80"/>
        <v>1991</v>
      </c>
      <c r="T626" s="8">
        <v>1991</v>
      </c>
      <c r="U626" s="8">
        <f t="shared" si="81"/>
        <v>31</v>
      </c>
      <c r="V626" s="7" t="s">
        <v>4203</v>
      </c>
      <c r="W626" t="s">
        <v>3238</v>
      </c>
      <c r="X626" s="2">
        <v>0.33800000000000002</v>
      </c>
      <c r="Y626" s="6">
        <f t="shared" si="78"/>
        <v>9.0227169589706634E-3</v>
      </c>
      <c r="AA626">
        <v>7372884</v>
      </c>
      <c r="AB626">
        <v>70506</v>
      </c>
      <c r="AC626">
        <v>10991247</v>
      </c>
      <c r="AD626" t="s">
        <v>5</v>
      </c>
      <c r="AE626">
        <v>9</v>
      </c>
      <c r="AF626">
        <v>3</v>
      </c>
      <c r="AH626" t="s">
        <v>4379</v>
      </c>
      <c r="AI626" t="s">
        <v>4378</v>
      </c>
      <c r="AK626" t="s">
        <v>4377</v>
      </c>
      <c r="AL626">
        <v>2</v>
      </c>
      <c r="AM626" s="5">
        <f t="shared" si="82"/>
        <v>6.4516129032258063E-2</v>
      </c>
      <c r="AN626" s="4">
        <f t="shared" si="79"/>
        <v>9.7714697511939517E-5</v>
      </c>
      <c r="AO626" s="3"/>
      <c r="AP626">
        <v>0</v>
      </c>
      <c r="AR626" t="s">
        <v>0</v>
      </c>
      <c r="AT626" s="2" t="s">
        <v>33</v>
      </c>
      <c r="AU626" s="1">
        <f t="shared" si="83"/>
        <v>0.63452162805330459</v>
      </c>
      <c r="AV626" s="1">
        <f t="shared" si="84"/>
        <v>0.45602158282413013</v>
      </c>
      <c r="AW626" s="1">
        <f t="shared" si="85"/>
        <v>0.27752153759495568</v>
      </c>
    </row>
    <row r="627" spans="1:49" x14ac:dyDescent="0.2">
      <c r="A627">
        <v>625</v>
      </c>
      <c r="B627" t="s">
        <v>4376</v>
      </c>
      <c r="C627" t="s">
        <v>4375</v>
      </c>
      <c r="F627" t="s">
        <v>4374</v>
      </c>
      <c r="G627" t="s">
        <v>16</v>
      </c>
      <c r="H627" t="s">
        <v>15</v>
      </c>
      <c r="I627" t="s">
        <v>4373</v>
      </c>
      <c r="J627">
        <v>60027550</v>
      </c>
      <c r="K627" t="s">
        <v>1338</v>
      </c>
      <c r="L627" t="s">
        <v>1337</v>
      </c>
      <c r="M627" t="s">
        <v>57</v>
      </c>
      <c r="N627">
        <v>2</v>
      </c>
      <c r="O627" t="s">
        <v>4372</v>
      </c>
      <c r="P627" t="s">
        <v>4371</v>
      </c>
      <c r="Q627" t="s">
        <v>1795</v>
      </c>
      <c r="R627" s="7">
        <v>33239</v>
      </c>
      <c r="S627" s="8">
        <f t="shared" si="80"/>
        <v>1991</v>
      </c>
      <c r="T627" s="8">
        <v>1991</v>
      </c>
      <c r="U627" s="8">
        <f t="shared" si="81"/>
        <v>31</v>
      </c>
      <c r="V627" s="7">
        <v>33359</v>
      </c>
      <c r="W627" t="s">
        <v>1807</v>
      </c>
      <c r="X627" s="2">
        <v>1.6519999999999999</v>
      </c>
      <c r="Y627" s="6">
        <f t="shared" si="78"/>
        <v>4.409919649769093E-2</v>
      </c>
      <c r="AA627" t="s">
        <v>1806</v>
      </c>
      <c r="AB627">
        <v>17337</v>
      </c>
      <c r="AC627">
        <v>15582221</v>
      </c>
      <c r="AD627" t="s">
        <v>5</v>
      </c>
      <c r="AE627">
        <v>39</v>
      </c>
      <c r="AF627">
        <v>5</v>
      </c>
      <c r="AH627" t="s">
        <v>4370</v>
      </c>
      <c r="AI627" t="s">
        <v>4369</v>
      </c>
      <c r="AK627" t="s">
        <v>4368</v>
      </c>
      <c r="AL627">
        <v>21</v>
      </c>
      <c r="AM627" s="5">
        <f t="shared" si="82"/>
        <v>0.67741935483870963</v>
      </c>
      <c r="AN627" s="4">
        <f t="shared" si="79"/>
        <v>1.0260043238753647E-3</v>
      </c>
      <c r="AO627" s="3"/>
      <c r="AP627">
        <v>0</v>
      </c>
      <c r="AR627" t="s">
        <v>0</v>
      </c>
      <c r="AT627" s="2" t="s">
        <v>33</v>
      </c>
      <c r="AU627" s="1">
        <f t="shared" si="83"/>
        <v>3.1177238845546262</v>
      </c>
      <c r="AV627" s="1">
        <f t="shared" si="84"/>
        <v>2.2562600410783151</v>
      </c>
      <c r="AW627" s="1">
        <f t="shared" si="85"/>
        <v>1.3947961976020034</v>
      </c>
    </row>
    <row r="628" spans="1:49" x14ac:dyDescent="0.2">
      <c r="A628">
        <v>626</v>
      </c>
      <c r="B628" t="s">
        <v>4367</v>
      </c>
      <c r="C628" t="s">
        <v>4366</v>
      </c>
      <c r="F628" t="s">
        <v>4365</v>
      </c>
      <c r="G628" t="s">
        <v>16</v>
      </c>
      <c r="H628" t="s">
        <v>15</v>
      </c>
      <c r="I628" t="s">
        <v>4364</v>
      </c>
      <c r="J628" t="s">
        <v>4363</v>
      </c>
      <c r="K628" t="s">
        <v>4362</v>
      </c>
      <c r="L628" t="s">
        <v>4361</v>
      </c>
      <c r="M628" t="s">
        <v>133</v>
      </c>
      <c r="N628">
        <v>4</v>
      </c>
      <c r="O628" t="s">
        <v>4360</v>
      </c>
      <c r="P628" t="s">
        <v>4359</v>
      </c>
      <c r="Q628" t="s">
        <v>4358</v>
      </c>
      <c r="R628" s="7">
        <v>33239</v>
      </c>
      <c r="S628" s="8">
        <f t="shared" si="80"/>
        <v>1991</v>
      </c>
      <c r="T628" s="8">
        <v>1991</v>
      </c>
      <c r="U628" s="8">
        <f t="shared" si="81"/>
        <v>31</v>
      </c>
      <c r="V628" s="7">
        <v>1991</v>
      </c>
      <c r="W628" t="s">
        <v>535</v>
      </c>
      <c r="X628" s="2">
        <v>0.375</v>
      </c>
      <c r="Y628" s="6">
        <f t="shared" si="78"/>
        <v>1.0010410827260351E-2</v>
      </c>
      <c r="AA628">
        <v>135194</v>
      </c>
      <c r="AB628">
        <v>24918</v>
      </c>
      <c r="AD628" t="s">
        <v>5</v>
      </c>
      <c r="AE628">
        <v>27</v>
      </c>
      <c r="AF628">
        <v>11</v>
      </c>
      <c r="AH628" t="s">
        <v>4357</v>
      </c>
      <c r="AI628" t="s">
        <v>4356</v>
      </c>
      <c r="AJ628" t="s">
        <v>4355</v>
      </c>
      <c r="AK628" t="s">
        <v>4354</v>
      </c>
      <c r="AL628">
        <v>2</v>
      </c>
      <c r="AM628" s="5">
        <f t="shared" si="82"/>
        <v>6.4516129032258063E-2</v>
      </c>
      <c r="AN628" s="4">
        <f t="shared" si="79"/>
        <v>9.7714697511939517E-5</v>
      </c>
      <c r="AO628" s="3"/>
      <c r="AP628">
        <v>0</v>
      </c>
      <c r="AR628" t="s">
        <v>0</v>
      </c>
      <c r="AT628" s="2">
        <v>1.3140000000000001</v>
      </c>
      <c r="AU628" s="1">
        <f t="shared" si="83"/>
        <v>0.70366019883358277</v>
      </c>
      <c r="AV628" s="1">
        <f t="shared" si="84"/>
        <v>0.50540627623861456</v>
      </c>
      <c r="AW628" s="1">
        <f t="shared" si="85"/>
        <v>0.30715235364364629</v>
      </c>
    </row>
    <row r="629" spans="1:49" x14ac:dyDescent="0.2">
      <c r="A629">
        <v>627</v>
      </c>
      <c r="B629" t="s">
        <v>4353</v>
      </c>
      <c r="C629" t="s">
        <v>4352</v>
      </c>
      <c r="F629" t="s">
        <v>4351</v>
      </c>
      <c r="G629" t="s">
        <v>16</v>
      </c>
      <c r="H629" t="s">
        <v>15</v>
      </c>
      <c r="I629" t="s">
        <v>4350</v>
      </c>
      <c r="J629">
        <v>60023456</v>
      </c>
      <c r="K629" t="s">
        <v>4349</v>
      </c>
      <c r="L629" t="s">
        <v>4348</v>
      </c>
      <c r="M629" t="s">
        <v>57</v>
      </c>
      <c r="N629">
        <v>2</v>
      </c>
      <c r="O629" t="s">
        <v>4347</v>
      </c>
      <c r="P629" t="s">
        <v>4346</v>
      </c>
      <c r="Q629" t="s">
        <v>4345</v>
      </c>
      <c r="R629" s="7">
        <v>33239</v>
      </c>
      <c r="S629" s="8">
        <f t="shared" si="80"/>
        <v>1991</v>
      </c>
      <c r="T629" s="8">
        <v>1991</v>
      </c>
      <c r="U629" s="8">
        <f t="shared" si="81"/>
        <v>31</v>
      </c>
      <c r="V629" s="7">
        <v>1991</v>
      </c>
      <c r="W629" t="s">
        <v>535</v>
      </c>
      <c r="X629" s="2">
        <v>0.375</v>
      </c>
      <c r="Y629" s="6">
        <f t="shared" si="78"/>
        <v>1.0010410827260351E-2</v>
      </c>
      <c r="AA629">
        <v>135194</v>
      </c>
      <c r="AB629">
        <v>24918</v>
      </c>
      <c r="AD629" t="s">
        <v>5</v>
      </c>
      <c r="AE629">
        <v>27</v>
      </c>
      <c r="AF629">
        <v>11</v>
      </c>
      <c r="AH629" t="s">
        <v>4344</v>
      </c>
      <c r="AI629" t="s">
        <v>4343</v>
      </c>
      <c r="AJ629" t="s">
        <v>4342</v>
      </c>
      <c r="AK629" t="s">
        <v>4341</v>
      </c>
      <c r="AL629">
        <v>9</v>
      </c>
      <c r="AM629" s="5">
        <f t="shared" si="82"/>
        <v>0.29032258064516131</v>
      </c>
      <c r="AN629" s="4">
        <f t="shared" si="79"/>
        <v>4.3971613880372783E-4</v>
      </c>
      <c r="AO629" s="3"/>
      <c r="AP629">
        <v>0</v>
      </c>
      <c r="AR629" t="s">
        <v>0</v>
      </c>
      <c r="AT629" s="2">
        <v>1.3140000000000001</v>
      </c>
      <c r="AU629" s="1">
        <f t="shared" si="83"/>
        <v>0.7139202420723364</v>
      </c>
      <c r="AV629" s="1">
        <f t="shared" si="84"/>
        <v>0.52250634830320397</v>
      </c>
      <c r="AW629" s="1">
        <f t="shared" si="85"/>
        <v>0.33109245453407149</v>
      </c>
    </row>
    <row r="630" spans="1:49" x14ac:dyDescent="0.2">
      <c r="A630">
        <v>628</v>
      </c>
      <c r="B630" t="s">
        <v>4340</v>
      </c>
      <c r="C630" t="s">
        <v>4339</v>
      </c>
      <c r="F630" t="s">
        <v>4338</v>
      </c>
      <c r="G630" t="s">
        <v>16</v>
      </c>
      <c r="H630" t="s">
        <v>15</v>
      </c>
      <c r="I630" t="s">
        <v>4259</v>
      </c>
      <c r="J630" t="s">
        <v>4337</v>
      </c>
      <c r="K630" t="s">
        <v>4336</v>
      </c>
      <c r="L630" t="s">
        <v>4335</v>
      </c>
      <c r="M630" t="s">
        <v>133</v>
      </c>
      <c r="N630">
        <v>3</v>
      </c>
      <c r="O630" t="s">
        <v>4334</v>
      </c>
      <c r="P630" t="s">
        <v>4333</v>
      </c>
      <c r="Q630" t="s">
        <v>4332</v>
      </c>
      <c r="R630" s="7">
        <v>33239</v>
      </c>
      <c r="S630" s="8">
        <f t="shared" si="80"/>
        <v>1991</v>
      </c>
      <c r="T630" s="8">
        <v>1991</v>
      </c>
      <c r="U630" s="8">
        <f t="shared" si="81"/>
        <v>31</v>
      </c>
      <c r="V630" s="7">
        <v>33359</v>
      </c>
      <c r="W630" t="s">
        <v>1807</v>
      </c>
      <c r="X630" s="2">
        <v>1.6519999999999999</v>
      </c>
      <c r="Y630" s="6">
        <f t="shared" si="78"/>
        <v>4.409919649769093E-2</v>
      </c>
      <c r="AA630" t="s">
        <v>1806</v>
      </c>
      <c r="AB630">
        <v>17337</v>
      </c>
      <c r="AC630">
        <v>15582221</v>
      </c>
      <c r="AD630" t="s">
        <v>5</v>
      </c>
      <c r="AE630">
        <v>39</v>
      </c>
      <c r="AF630">
        <v>5</v>
      </c>
      <c r="AH630" t="s">
        <v>4331</v>
      </c>
      <c r="AI630" t="s">
        <v>4330</v>
      </c>
      <c r="AK630" t="s">
        <v>4329</v>
      </c>
      <c r="AL630">
        <v>0</v>
      </c>
      <c r="AM630" s="5">
        <f t="shared" si="82"/>
        <v>0</v>
      </c>
      <c r="AN630" s="4">
        <f t="shared" si="79"/>
        <v>0</v>
      </c>
      <c r="AO630" s="3"/>
      <c r="AP630">
        <v>0</v>
      </c>
      <c r="AR630" t="s">
        <v>0</v>
      </c>
      <c r="AT630" s="2" t="s">
        <v>33</v>
      </c>
      <c r="AU630" s="1">
        <f t="shared" si="83"/>
        <v>3.0869437548383649</v>
      </c>
      <c r="AV630" s="1">
        <f t="shared" si="84"/>
        <v>2.2049598248845466</v>
      </c>
      <c r="AW630" s="1">
        <f t="shared" si="85"/>
        <v>1.3229758949307278</v>
      </c>
    </row>
    <row r="631" spans="1:49" x14ac:dyDescent="0.2">
      <c r="A631">
        <v>629</v>
      </c>
      <c r="B631" t="s">
        <v>4328</v>
      </c>
      <c r="C631" t="s">
        <v>4327</v>
      </c>
      <c r="F631" t="s">
        <v>4326</v>
      </c>
      <c r="G631" t="s">
        <v>16</v>
      </c>
      <c r="H631" t="s">
        <v>15</v>
      </c>
      <c r="I631" t="s">
        <v>4325</v>
      </c>
      <c r="J631">
        <v>60003537</v>
      </c>
      <c r="K631" t="s">
        <v>4324</v>
      </c>
      <c r="L631" t="s">
        <v>4323</v>
      </c>
      <c r="M631" t="s">
        <v>57</v>
      </c>
      <c r="N631">
        <v>4</v>
      </c>
      <c r="O631" t="s">
        <v>4322</v>
      </c>
      <c r="P631" t="s">
        <v>4321</v>
      </c>
      <c r="Q631" t="s">
        <v>4320</v>
      </c>
      <c r="R631" s="7">
        <v>33239</v>
      </c>
      <c r="S631" s="8">
        <f t="shared" si="80"/>
        <v>1991</v>
      </c>
      <c r="T631" s="8">
        <v>1991</v>
      </c>
      <c r="U631" s="8">
        <f t="shared" si="81"/>
        <v>31</v>
      </c>
      <c r="V631" s="7">
        <v>33359</v>
      </c>
      <c r="W631" t="s">
        <v>3104</v>
      </c>
      <c r="X631" s="2">
        <v>0.39600000000000002</v>
      </c>
      <c r="Y631" s="6">
        <f t="shared" si="78"/>
        <v>1.0570993833586931E-2</v>
      </c>
      <c r="AA631">
        <v>8858985</v>
      </c>
      <c r="AB631">
        <v>25993</v>
      </c>
      <c r="AD631" t="s">
        <v>5</v>
      </c>
      <c r="AE631">
        <v>6</v>
      </c>
      <c r="AF631">
        <v>5</v>
      </c>
      <c r="AH631" t="s">
        <v>4319</v>
      </c>
      <c r="AI631" t="s">
        <v>4318</v>
      </c>
      <c r="AK631" t="s">
        <v>4317</v>
      </c>
      <c r="AL631">
        <v>1</v>
      </c>
      <c r="AM631" s="5">
        <f t="shared" si="82"/>
        <v>3.2258064516129031E-2</v>
      </c>
      <c r="AN631" s="4">
        <f t="shared" si="79"/>
        <v>4.8857348755969758E-5</v>
      </c>
      <c r="AO631" s="3"/>
      <c r="AP631">
        <v>0</v>
      </c>
      <c r="AR631" t="s">
        <v>0</v>
      </c>
      <c r="AT631" s="2" t="s">
        <v>33</v>
      </c>
      <c r="AU631" s="1">
        <f t="shared" si="83"/>
        <v>0.74143528881376419</v>
      </c>
      <c r="AV631" s="1">
        <f t="shared" si="84"/>
        <v>0.53099255911714505</v>
      </c>
      <c r="AW631" s="1">
        <f t="shared" si="85"/>
        <v>0.32054982942052579</v>
      </c>
    </row>
    <row r="632" spans="1:49" x14ac:dyDescent="0.2">
      <c r="A632">
        <v>630</v>
      </c>
      <c r="B632" t="s">
        <v>4316</v>
      </c>
      <c r="C632" t="s">
        <v>4315</v>
      </c>
      <c r="F632" t="s">
        <v>4314</v>
      </c>
      <c r="G632" t="s">
        <v>16</v>
      </c>
      <c r="H632" t="s">
        <v>15</v>
      </c>
      <c r="I632" t="s">
        <v>4313</v>
      </c>
      <c r="J632">
        <v>60007776</v>
      </c>
      <c r="K632" t="s">
        <v>3047</v>
      </c>
      <c r="L632" t="s">
        <v>3046</v>
      </c>
      <c r="M632" t="s">
        <v>57</v>
      </c>
      <c r="N632">
        <v>1</v>
      </c>
      <c r="O632" t="s">
        <v>4312</v>
      </c>
      <c r="P632">
        <v>7003504553</v>
      </c>
      <c r="Q632">
        <v>60007776</v>
      </c>
      <c r="R632" s="7">
        <v>33239</v>
      </c>
      <c r="S632" s="8">
        <f t="shared" si="80"/>
        <v>1991</v>
      </c>
      <c r="T632" s="8">
        <v>1991</v>
      </c>
      <c r="U632" s="8">
        <f t="shared" si="81"/>
        <v>31</v>
      </c>
      <c r="V632" s="7">
        <v>33359</v>
      </c>
      <c r="W632" t="s">
        <v>2747</v>
      </c>
      <c r="X632" s="2">
        <v>1.6379999999999999</v>
      </c>
      <c r="Y632" s="6">
        <f t="shared" si="78"/>
        <v>4.3725474493473214E-2</v>
      </c>
      <c r="AA632" t="s">
        <v>2746</v>
      </c>
      <c r="AB632">
        <v>17391</v>
      </c>
      <c r="AC632">
        <v>19410476</v>
      </c>
      <c r="AD632" t="s">
        <v>5</v>
      </c>
      <c r="AE632">
        <v>39</v>
      </c>
      <c r="AF632">
        <v>5</v>
      </c>
      <c r="AH632" t="s">
        <v>4311</v>
      </c>
      <c r="AI632" t="s">
        <v>4310</v>
      </c>
      <c r="AK632" t="s">
        <v>4309</v>
      </c>
      <c r="AL632">
        <v>13</v>
      </c>
      <c r="AM632" s="5">
        <f t="shared" si="82"/>
        <v>0.41935483870967744</v>
      </c>
      <c r="AN632" s="4">
        <f t="shared" si="79"/>
        <v>6.3514553382760684E-4</v>
      </c>
      <c r="AO632" s="3"/>
      <c r="AP632">
        <v>0</v>
      </c>
      <c r="AR632" t="s">
        <v>0</v>
      </c>
      <c r="AT632" s="2">
        <v>4.931</v>
      </c>
      <c r="AU632" s="1">
        <f t="shared" si="83"/>
        <v>3.0798375805579528</v>
      </c>
      <c r="AV632" s="1">
        <f t="shared" si="84"/>
        <v>2.2180310013650408</v>
      </c>
      <c r="AW632" s="1">
        <f t="shared" si="85"/>
        <v>1.3562244221721289</v>
      </c>
    </row>
    <row r="633" spans="1:49" x14ac:dyDescent="0.2">
      <c r="A633">
        <v>631</v>
      </c>
      <c r="B633" t="s">
        <v>4308</v>
      </c>
      <c r="C633" t="s">
        <v>4307</v>
      </c>
      <c r="F633" t="s">
        <v>4306</v>
      </c>
      <c r="G633" t="s">
        <v>16</v>
      </c>
      <c r="H633" t="s">
        <v>15</v>
      </c>
      <c r="I633" t="s">
        <v>4305</v>
      </c>
      <c r="N633">
        <v>3</v>
      </c>
      <c r="O633" t="s">
        <v>4304</v>
      </c>
      <c r="P633" t="s">
        <v>4303</v>
      </c>
      <c r="Q633" t="s">
        <v>757</v>
      </c>
      <c r="R633" s="7">
        <v>33239</v>
      </c>
      <c r="S633" s="8">
        <f t="shared" si="80"/>
        <v>1991</v>
      </c>
      <c r="T633" s="8">
        <v>1991</v>
      </c>
      <c r="U633" s="8">
        <f t="shared" si="81"/>
        <v>31</v>
      </c>
      <c r="V633" s="7" t="s">
        <v>115</v>
      </c>
      <c r="W633" t="s">
        <v>779</v>
      </c>
      <c r="X633" s="2">
        <v>0.371</v>
      </c>
      <c r="Y633" s="6">
        <f t="shared" si="78"/>
        <v>9.9036331117695747E-3</v>
      </c>
      <c r="AA633">
        <v>486604</v>
      </c>
      <c r="AB633">
        <v>28580</v>
      </c>
      <c r="AC633" t="s">
        <v>778</v>
      </c>
      <c r="AD633" t="s">
        <v>5</v>
      </c>
      <c r="AE633">
        <v>26</v>
      </c>
      <c r="AF633">
        <v>3</v>
      </c>
      <c r="AH633" t="s">
        <v>4302</v>
      </c>
      <c r="AI633" t="s">
        <v>4301</v>
      </c>
      <c r="AK633" t="s">
        <v>4300</v>
      </c>
      <c r="AL633">
        <v>4</v>
      </c>
      <c r="AM633" s="5">
        <f t="shared" si="82"/>
        <v>0.12903225806451613</v>
      </c>
      <c r="AN633" s="4">
        <f t="shared" si="79"/>
        <v>1.9542939502387903E-4</v>
      </c>
      <c r="AO633" s="3"/>
      <c r="AP633">
        <v>0</v>
      </c>
      <c r="AR633" t="s">
        <v>0</v>
      </c>
      <c r="AT633" s="2">
        <v>1.431</v>
      </c>
      <c r="AU633" s="1">
        <f t="shared" si="83"/>
        <v>0.69911719967458652</v>
      </c>
      <c r="AV633" s="1">
        <f t="shared" si="84"/>
        <v>0.50495312533967263</v>
      </c>
      <c r="AW633" s="1">
        <f t="shared" si="85"/>
        <v>0.31078905100475879</v>
      </c>
    </row>
    <row r="634" spans="1:49" x14ac:dyDescent="0.2">
      <c r="A634">
        <v>632</v>
      </c>
      <c r="B634" t="s">
        <v>4299</v>
      </c>
      <c r="C634" t="s">
        <v>4298</v>
      </c>
      <c r="F634" t="s">
        <v>4297</v>
      </c>
      <c r="G634" t="s">
        <v>16</v>
      </c>
      <c r="H634" t="s">
        <v>15</v>
      </c>
      <c r="I634" t="s">
        <v>4296</v>
      </c>
      <c r="J634">
        <v>100344020</v>
      </c>
      <c r="K634" t="s">
        <v>4295</v>
      </c>
      <c r="L634" t="s">
        <v>4294</v>
      </c>
      <c r="M634" t="s">
        <v>1207</v>
      </c>
      <c r="N634">
        <v>5</v>
      </c>
      <c r="O634" t="s">
        <v>4293</v>
      </c>
      <c r="P634" t="s">
        <v>4292</v>
      </c>
      <c r="Q634" t="s">
        <v>4291</v>
      </c>
      <c r="R634" s="7">
        <v>33239</v>
      </c>
      <c r="S634" s="8">
        <f t="shared" si="80"/>
        <v>1991</v>
      </c>
      <c r="T634" s="8">
        <v>1991</v>
      </c>
      <c r="U634" s="8">
        <f t="shared" si="81"/>
        <v>31</v>
      </c>
      <c r="V634" s="7">
        <v>33359</v>
      </c>
      <c r="W634" t="s">
        <v>561</v>
      </c>
      <c r="X634" s="2">
        <v>0.30399999999999999</v>
      </c>
      <c r="Y634" s="6">
        <f t="shared" si="78"/>
        <v>8.115106377299057E-3</v>
      </c>
      <c r="AA634">
        <v>8952477</v>
      </c>
      <c r="AB634">
        <v>12250</v>
      </c>
      <c r="AC634">
        <v>10982760</v>
      </c>
      <c r="AD634" t="s">
        <v>5</v>
      </c>
      <c r="AE634">
        <v>4</v>
      </c>
      <c r="AF634">
        <v>6</v>
      </c>
      <c r="AH634" t="s">
        <v>4290</v>
      </c>
      <c r="AI634" t="s">
        <v>4289</v>
      </c>
      <c r="AJ634" t="s">
        <v>4288</v>
      </c>
      <c r="AK634" t="s">
        <v>4287</v>
      </c>
      <c r="AL634">
        <v>3</v>
      </c>
      <c r="AM634" s="5">
        <f t="shared" si="82"/>
        <v>9.6774193548387094E-2</v>
      </c>
      <c r="AN634" s="4">
        <f t="shared" si="79"/>
        <v>1.4657204626790927E-4</v>
      </c>
      <c r="AO634" s="3"/>
      <c r="AP634">
        <v>0</v>
      </c>
      <c r="AR634" t="s">
        <v>0</v>
      </c>
      <c r="AT634" s="2" t="s">
        <v>33</v>
      </c>
      <c r="AU634" s="1">
        <f t="shared" si="83"/>
        <v>0.57245460779897128</v>
      </c>
      <c r="AV634" s="1">
        <f t="shared" si="84"/>
        <v>0.4130839211783483</v>
      </c>
      <c r="AW634" s="1">
        <f t="shared" si="85"/>
        <v>0.25371323455772538</v>
      </c>
    </row>
    <row r="635" spans="1:49" x14ac:dyDescent="0.2">
      <c r="A635">
        <v>633</v>
      </c>
      <c r="B635" t="s">
        <v>4286</v>
      </c>
      <c r="C635" t="s">
        <v>4285</v>
      </c>
      <c r="F635" t="s">
        <v>4284</v>
      </c>
      <c r="G635" t="s">
        <v>16</v>
      </c>
      <c r="H635" t="s">
        <v>15</v>
      </c>
      <c r="I635" t="s">
        <v>4283</v>
      </c>
      <c r="J635">
        <v>60013155</v>
      </c>
      <c r="K635" t="s">
        <v>4282</v>
      </c>
      <c r="L635" t="s">
        <v>4281</v>
      </c>
      <c r="M635" t="s">
        <v>57</v>
      </c>
      <c r="N635">
        <v>2</v>
      </c>
      <c r="O635" t="s">
        <v>4280</v>
      </c>
      <c r="P635" t="s">
        <v>4279</v>
      </c>
      <c r="Q635" t="s">
        <v>4278</v>
      </c>
      <c r="R635" s="7">
        <v>33239</v>
      </c>
      <c r="S635" s="8">
        <f t="shared" si="80"/>
        <v>1991</v>
      </c>
      <c r="T635" s="8">
        <v>1991</v>
      </c>
      <c r="U635" s="8">
        <f t="shared" si="81"/>
        <v>31</v>
      </c>
      <c r="V635" s="7">
        <v>1991</v>
      </c>
      <c r="W635" t="s">
        <v>535</v>
      </c>
      <c r="X635" s="2">
        <v>0.375</v>
      </c>
      <c r="Y635" s="6">
        <f t="shared" si="78"/>
        <v>1.0010410827260351E-2</v>
      </c>
      <c r="AA635">
        <v>135194</v>
      </c>
      <c r="AB635">
        <v>24918</v>
      </c>
      <c r="AD635" t="s">
        <v>5</v>
      </c>
      <c r="AE635">
        <v>27</v>
      </c>
      <c r="AF635">
        <v>11</v>
      </c>
      <c r="AH635" t="s">
        <v>4277</v>
      </c>
      <c r="AI635" t="s">
        <v>4276</v>
      </c>
      <c r="AJ635" t="s">
        <v>4275</v>
      </c>
      <c r="AK635" t="s">
        <v>4274</v>
      </c>
      <c r="AL635">
        <v>1</v>
      </c>
      <c r="AM635" s="5">
        <f t="shared" si="82"/>
        <v>3.2258064516129031E-2</v>
      </c>
      <c r="AN635" s="4">
        <f t="shared" si="79"/>
        <v>4.8857348755969758E-5</v>
      </c>
      <c r="AO635" s="3"/>
      <c r="AP635">
        <v>0</v>
      </c>
      <c r="AR635" t="s">
        <v>0</v>
      </c>
      <c r="AT635" s="2">
        <v>1.3140000000000001</v>
      </c>
      <c r="AU635" s="1">
        <f t="shared" si="83"/>
        <v>0.70219447837090365</v>
      </c>
      <c r="AV635" s="1">
        <f t="shared" si="84"/>
        <v>0.50296340880081603</v>
      </c>
      <c r="AW635" s="1">
        <f t="shared" si="85"/>
        <v>0.3037323392307284</v>
      </c>
    </row>
    <row r="636" spans="1:49" x14ac:dyDescent="0.2">
      <c r="A636">
        <v>634</v>
      </c>
      <c r="B636" t="s">
        <v>4273</v>
      </c>
      <c r="C636" t="s">
        <v>4272</v>
      </c>
      <c r="F636" t="s">
        <v>4271</v>
      </c>
      <c r="G636" t="s">
        <v>16</v>
      </c>
      <c r="H636" t="s">
        <v>15</v>
      </c>
      <c r="I636" t="s">
        <v>4270</v>
      </c>
      <c r="J636">
        <v>60003500</v>
      </c>
      <c r="K636" t="s">
        <v>1115</v>
      </c>
      <c r="L636" t="s">
        <v>1114</v>
      </c>
      <c r="M636" t="s">
        <v>57</v>
      </c>
      <c r="N636">
        <v>2</v>
      </c>
      <c r="O636" t="s">
        <v>4269</v>
      </c>
      <c r="P636" t="s">
        <v>4268</v>
      </c>
      <c r="Q636" t="s">
        <v>2990</v>
      </c>
      <c r="R636" s="7">
        <v>33239</v>
      </c>
      <c r="S636" s="8">
        <f t="shared" si="80"/>
        <v>1991</v>
      </c>
      <c r="T636" s="8">
        <v>1991</v>
      </c>
      <c r="U636" s="8">
        <f t="shared" si="81"/>
        <v>31</v>
      </c>
      <c r="V636" s="7">
        <v>33359</v>
      </c>
      <c r="W636" t="s">
        <v>1807</v>
      </c>
      <c r="X636" s="2">
        <v>1.6519999999999999</v>
      </c>
      <c r="Y636" s="6">
        <f t="shared" si="78"/>
        <v>4.409919649769093E-2</v>
      </c>
      <c r="AA636" t="s">
        <v>1806</v>
      </c>
      <c r="AB636">
        <v>17337</v>
      </c>
      <c r="AC636">
        <v>15582221</v>
      </c>
      <c r="AD636" t="s">
        <v>5</v>
      </c>
      <c r="AE636">
        <v>39</v>
      </c>
      <c r="AF636">
        <v>5</v>
      </c>
      <c r="AH636" t="s">
        <v>4267</v>
      </c>
      <c r="AI636" t="s">
        <v>4266</v>
      </c>
      <c r="AK636" t="s">
        <v>4265</v>
      </c>
      <c r="AL636">
        <v>7</v>
      </c>
      <c r="AM636" s="5">
        <f t="shared" si="82"/>
        <v>0.22580645161290322</v>
      </c>
      <c r="AN636" s="4">
        <f t="shared" si="79"/>
        <v>3.420014412917883E-4</v>
      </c>
      <c r="AO636" s="3"/>
      <c r="AP636">
        <v>0</v>
      </c>
      <c r="AQ636" t="s">
        <v>4264</v>
      </c>
      <c r="AR636" t="s">
        <v>0</v>
      </c>
      <c r="AS636" t="s">
        <v>4263</v>
      </c>
      <c r="AT636" s="2" t="s">
        <v>33</v>
      </c>
      <c r="AU636" s="1">
        <f t="shared" si="83"/>
        <v>3.0972037980771185</v>
      </c>
      <c r="AV636" s="1">
        <f t="shared" si="84"/>
        <v>2.2220598969491361</v>
      </c>
      <c r="AW636" s="1">
        <f t="shared" si="85"/>
        <v>1.346915995821153</v>
      </c>
    </row>
    <row r="637" spans="1:49" x14ac:dyDescent="0.2">
      <c r="A637">
        <v>635</v>
      </c>
      <c r="B637" t="s">
        <v>4262</v>
      </c>
      <c r="C637" t="s">
        <v>4261</v>
      </c>
      <c r="F637" t="s">
        <v>4260</v>
      </c>
      <c r="G637" t="s">
        <v>16</v>
      </c>
      <c r="H637" t="s">
        <v>15</v>
      </c>
      <c r="I637" t="s">
        <v>4259</v>
      </c>
      <c r="J637">
        <v>60020975</v>
      </c>
      <c r="K637" t="s">
        <v>4258</v>
      </c>
      <c r="L637" t="s">
        <v>4257</v>
      </c>
      <c r="M637" t="s">
        <v>57</v>
      </c>
      <c r="N637">
        <v>2</v>
      </c>
      <c r="O637" t="s">
        <v>4256</v>
      </c>
      <c r="P637" t="s">
        <v>4255</v>
      </c>
      <c r="Q637" t="s">
        <v>4254</v>
      </c>
      <c r="R637" s="7">
        <v>33239</v>
      </c>
      <c r="S637" s="8">
        <f t="shared" si="80"/>
        <v>1991</v>
      </c>
      <c r="T637" s="8">
        <v>1991</v>
      </c>
      <c r="U637" s="8">
        <f t="shared" si="81"/>
        <v>31</v>
      </c>
      <c r="V637" s="7">
        <v>33359</v>
      </c>
      <c r="W637" t="s">
        <v>1807</v>
      </c>
      <c r="X637" s="2">
        <v>1.6519999999999999</v>
      </c>
      <c r="Y637" s="6">
        <f t="shared" si="78"/>
        <v>4.409919649769093E-2</v>
      </c>
      <c r="AA637" t="s">
        <v>1806</v>
      </c>
      <c r="AB637">
        <v>17337</v>
      </c>
      <c r="AC637">
        <v>15582221</v>
      </c>
      <c r="AD637" t="s">
        <v>5</v>
      </c>
      <c r="AE637">
        <v>39</v>
      </c>
      <c r="AF637">
        <v>5</v>
      </c>
      <c r="AH637" t="s">
        <v>4253</v>
      </c>
      <c r="AI637" t="s">
        <v>4252</v>
      </c>
      <c r="AK637" t="s">
        <v>4251</v>
      </c>
      <c r="AL637">
        <v>18</v>
      </c>
      <c r="AM637" s="5">
        <f t="shared" si="82"/>
        <v>0.58064516129032262</v>
      </c>
      <c r="AN637" s="4">
        <f t="shared" si="79"/>
        <v>8.7943227760745566E-4</v>
      </c>
      <c r="AO637" s="3"/>
      <c r="AP637">
        <v>0</v>
      </c>
      <c r="AR637" t="s">
        <v>0</v>
      </c>
      <c r="AT637" s="2" t="s">
        <v>33</v>
      </c>
      <c r="AU637" s="1">
        <f t="shared" si="83"/>
        <v>3.1133267231665886</v>
      </c>
      <c r="AV637" s="1">
        <f t="shared" si="84"/>
        <v>2.2489314387649193</v>
      </c>
      <c r="AW637" s="1">
        <f t="shared" si="85"/>
        <v>1.3845361543632497</v>
      </c>
    </row>
    <row r="638" spans="1:49" x14ac:dyDescent="0.2">
      <c r="A638">
        <v>636</v>
      </c>
      <c r="B638" t="s">
        <v>4250</v>
      </c>
      <c r="C638" t="s">
        <v>4249</v>
      </c>
      <c r="F638" t="s">
        <v>4248</v>
      </c>
      <c r="G638" t="s">
        <v>16</v>
      </c>
      <c r="H638" t="s">
        <v>15</v>
      </c>
      <c r="I638" t="s">
        <v>4247</v>
      </c>
      <c r="N638">
        <v>1</v>
      </c>
      <c r="O638" t="s">
        <v>4246</v>
      </c>
      <c r="P638">
        <v>6507379877</v>
      </c>
      <c r="R638" s="7">
        <v>33239</v>
      </c>
      <c r="S638" s="8">
        <f t="shared" si="80"/>
        <v>1991</v>
      </c>
      <c r="T638" s="8">
        <v>1991</v>
      </c>
      <c r="U638" s="8">
        <f t="shared" si="81"/>
        <v>31</v>
      </c>
      <c r="V638" s="7">
        <v>33359</v>
      </c>
      <c r="W638" t="s">
        <v>674</v>
      </c>
      <c r="X638" s="2">
        <v>1.137</v>
      </c>
      <c r="Y638" s="6">
        <f t="shared" si="78"/>
        <v>3.0351565628253384E-2</v>
      </c>
      <c r="AA638">
        <v>189251</v>
      </c>
      <c r="AB638">
        <v>17336</v>
      </c>
      <c r="AD638" t="s">
        <v>5</v>
      </c>
      <c r="AE638">
        <v>27</v>
      </c>
      <c r="AF638">
        <v>3</v>
      </c>
      <c r="AH638" t="s">
        <v>4245</v>
      </c>
      <c r="AI638" t="s">
        <v>4244</v>
      </c>
      <c r="AK638" t="s">
        <v>4243</v>
      </c>
      <c r="AL638">
        <v>41</v>
      </c>
      <c r="AM638" s="5">
        <f t="shared" si="82"/>
        <v>1.3225806451612903</v>
      </c>
      <c r="AN638" s="4">
        <f t="shared" si="79"/>
        <v>2.0031512989947598E-3</v>
      </c>
      <c r="AO638" s="3"/>
      <c r="AP638">
        <v>0</v>
      </c>
      <c r="AR638" t="s">
        <v>0</v>
      </c>
      <c r="AT638" s="2" t="s">
        <v>33</v>
      </c>
      <c r="AU638" s="1">
        <f t="shared" si="83"/>
        <v>2.1847041329475796</v>
      </c>
      <c r="AV638" s="1">
        <f t="shared" si="84"/>
        <v>1.6177358463624072</v>
      </c>
      <c r="AW638" s="1">
        <f t="shared" si="85"/>
        <v>1.0507675597772346</v>
      </c>
    </row>
    <row r="639" spans="1:49" x14ac:dyDescent="0.2">
      <c r="A639">
        <v>637</v>
      </c>
      <c r="B639" t="s">
        <v>4242</v>
      </c>
      <c r="C639" t="s">
        <v>4241</v>
      </c>
      <c r="F639" t="s">
        <v>4240</v>
      </c>
      <c r="G639" t="s">
        <v>16</v>
      </c>
      <c r="H639" t="s">
        <v>15</v>
      </c>
      <c r="I639" t="s">
        <v>4239</v>
      </c>
      <c r="J639">
        <v>60032619</v>
      </c>
      <c r="K639" t="s">
        <v>4238</v>
      </c>
      <c r="L639" t="s">
        <v>4237</v>
      </c>
      <c r="M639" t="s">
        <v>1543</v>
      </c>
      <c r="N639">
        <v>4</v>
      </c>
      <c r="O639" t="s">
        <v>4236</v>
      </c>
      <c r="P639" t="s">
        <v>4235</v>
      </c>
      <c r="Q639" t="s">
        <v>4234</v>
      </c>
      <c r="R639" s="7">
        <v>33239</v>
      </c>
      <c r="S639" s="8">
        <f t="shared" si="80"/>
        <v>1991</v>
      </c>
      <c r="T639" s="8">
        <v>1991</v>
      </c>
      <c r="U639" s="8">
        <f t="shared" si="81"/>
        <v>31</v>
      </c>
      <c r="V639" s="7" t="s">
        <v>4203</v>
      </c>
      <c r="W639" t="s">
        <v>3238</v>
      </c>
      <c r="X639" s="2">
        <v>0.33800000000000002</v>
      </c>
      <c r="Y639" s="6">
        <f t="shared" si="78"/>
        <v>9.0227169589706634E-3</v>
      </c>
      <c r="AA639">
        <v>7372884</v>
      </c>
      <c r="AB639">
        <v>70506</v>
      </c>
      <c r="AC639">
        <v>10991247</v>
      </c>
      <c r="AD639" t="s">
        <v>5</v>
      </c>
      <c r="AE639">
        <v>9</v>
      </c>
      <c r="AF639">
        <v>3</v>
      </c>
      <c r="AH639" t="s">
        <v>4233</v>
      </c>
      <c r="AI639" t="s">
        <v>4232</v>
      </c>
      <c r="AJ639" t="s">
        <v>4231</v>
      </c>
      <c r="AK639" t="s">
        <v>4230</v>
      </c>
      <c r="AL639">
        <v>0</v>
      </c>
      <c r="AM639" s="5">
        <f t="shared" si="82"/>
        <v>0</v>
      </c>
      <c r="AN639" s="4">
        <f t="shared" si="79"/>
        <v>0</v>
      </c>
      <c r="AO639" s="3"/>
      <c r="AP639">
        <v>0</v>
      </c>
      <c r="AR639" t="s">
        <v>0</v>
      </c>
      <c r="AT639" s="2" t="s">
        <v>33</v>
      </c>
      <c r="AU639" s="1">
        <f t="shared" si="83"/>
        <v>0.63159018712794635</v>
      </c>
      <c r="AV639" s="1">
        <f t="shared" si="84"/>
        <v>0.45113584794853318</v>
      </c>
      <c r="AW639" s="1">
        <f t="shared" si="85"/>
        <v>0.27068150876911989</v>
      </c>
    </row>
    <row r="640" spans="1:49" x14ac:dyDescent="0.2">
      <c r="A640">
        <v>638</v>
      </c>
      <c r="B640" t="s">
        <v>4229</v>
      </c>
      <c r="C640" t="s">
        <v>4228</v>
      </c>
      <c r="F640" t="s">
        <v>4227</v>
      </c>
      <c r="G640" t="s">
        <v>16</v>
      </c>
      <c r="H640" t="s">
        <v>15</v>
      </c>
      <c r="I640" t="s">
        <v>4226</v>
      </c>
      <c r="J640">
        <v>60016941</v>
      </c>
      <c r="K640" t="s">
        <v>4225</v>
      </c>
      <c r="L640" t="s">
        <v>4224</v>
      </c>
      <c r="M640" t="s">
        <v>4223</v>
      </c>
      <c r="N640">
        <v>1</v>
      </c>
      <c r="O640" t="s">
        <v>4222</v>
      </c>
      <c r="P640">
        <v>7004402050</v>
      </c>
      <c r="Q640">
        <v>60016941</v>
      </c>
      <c r="R640" s="7">
        <v>33239</v>
      </c>
      <c r="S640" s="8">
        <f t="shared" si="80"/>
        <v>1991</v>
      </c>
      <c r="T640" s="8">
        <v>1991</v>
      </c>
      <c r="U640" s="8">
        <f t="shared" si="81"/>
        <v>31</v>
      </c>
      <c r="V640" s="7">
        <v>33359</v>
      </c>
      <c r="W640" t="s">
        <v>2685</v>
      </c>
      <c r="X640" s="2">
        <v>0.65500000000000003</v>
      </c>
      <c r="Y640" s="6">
        <f t="shared" si="78"/>
        <v>1.7484850911614749E-2</v>
      </c>
      <c r="AA640">
        <v>189375</v>
      </c>
      <c r="AB640">
        <v>26051</v>
      </c>
      <c r="AC640" t="s">
        <v>2684</v>
      </c>
      <c r="AD640" t="s">
        <v>5</v>
      </c>
      <c r="AE640">
        <v>33</v>
      </c>
      <c r="AF640">
        <v>2</v>
      </c>
      <c r="AH640" t="s">
        <v>4221</v>
      </c>
      <c r="AI640" t="s">
        <v>4220</v>
      </c>
      <c r="AK640" t="s">
        <v>4219</v>
      </c>
      <c r="AL640">
        <v>6</v>
      </c>
      <c r="AM640" s="5">
        <f t="shared" si="82"/>
        <v>0.19354838709677419</v>
      </c>
      <c r="AN640" s="4">
        <f t="shared" si="79"/>
        <v>2.9314409253581854E-4</v>
      </c>
      <c r="AO640" s="3"/>
      <c r="AP640">
        <v>0</v>
      </c>
      <c r="AR640" t="s">
        <v>0</v>
      </c>
      <c r="AT640" s="2" t="s">
        <v>33</v>
      </c>
      <c r="AU640" s="1">
        <f t="shared" si="83"/>
        <v>1.2327338865891069</v>
      </c>
      <c r="AV640" s="1">
        <f t="shared" si="84"/>
        <v>0.88889975020752832</v>
      </c>
      <c r="AW640" s="1">
        <f t="shared" si="85"/>
        <v>0.54506561382594976</v>
      </c>
    </row>
    <row r="641" spans="1:49" x14ac:dyDescent="0.2">
      <c r="A641">
        <v>639</v>
      </c>
      <c r="B641" t="s">
        <v>4218</v>
      </c>
      <c r="C641" t="s">
        <v>4217</v>
      </c>
      <c r="F641" t="s">
        <v>4216</v>
      </c>
      <c r="G641" t="s">
        <v>16</v>
      </c>
      <c r="H641" t="s">
        <v>15</v>
      </c>
      <c r="I641" t="s">
        <v>4215</v>
      </c>
      <c r="J641">
        <v>60009658</v>
      </c>
      <c r="K641" t="s">
        <v>3773</v>
      </c>
      <c r="L641" t="s">
        <v>3772</v>
      </c>
      <c r="M641" t="s">
        <v>117</v>
      </c>
      <c r="N641">
        <v>2</v>
      </c>
      <c r="O641" t="s">
        <v>4214</v>
      </c>
      <c r="P641" t="s">
        <v>4213</v>
      </c>
      <c r="Q641" t="s">
        <v>3769</v>
      </c>
      <c r="R641" s="7">
        <v>33239</v>
      </c>
      <c r="S641" s="8">
        <f t="shared" si="80"/>
        <v>1991</v>
      </c>
      <c r="T641" s="8">
        <v>1991</v>
      </c>
      <c r="U641" s="8">
        <f t="shared" si="81"/>
        <v>31</v>
      </c>
      <c r="V641" s="7">
        <v>1991</v>
      </c>
      <c r="W641" t="s">
        <v>535</v>
      </c>
      <c r="X641" s="2">
        <v>0.375</v>
      </c>
      <c r="Y641" s="6">
        <f t="shared" si="78"/>
        <v>1.0010410827260351E-2</v>
      </c>
      <c r="AA641">
        <v>135194</v>
      </c>
      <c r="AB641">
        <v>24918</v>
      </c>
      <c r="AD641" t="s">
        <v>5</v>
      </c>
      <c r="AE641">
        <v>27</v>
      </c>
      <c r="AF641">
        <v>11</v>
      </c>
      <c r="AH641" t="s">
        <v>4212</v>
      </c>
      <c r="AI641" t="s">
        <v>4211</v>
      </c>
      <c r="AJ641" t="s">
        <v>4210</v>
      </c>
      <c r="AK641" t="s">
        <v>4209</v>
      </c>
      <c r="AL641">
        <v>8</v>
      </c>
      <c r="AM641" s="5">
        <f t="shared" si="82"/>
        <v>0.25806451612903225</v>
      </c>
      <c r="AN641" s="4">
        <f t="shared" si="79"/>
        <v>3.9085879004775807E-4</v>
      </c>
      <c r="AO641" s="3"/>
      <c r="AP641">
        <v>0</v>
      </c>
      <c r="AR641" t="s">
        <v>0</v>
      </c>
      <c r="AT641" s="2">
        <v>1.3140000000000001</v>
      </c>
      <c r="AU641" s="1">
        <f t="shared" si="83"/>
        <v>0.71245452160965728</v>
      </c>
      <c r="AV641" s="1">
        <f t="shared" si="84"/>
        <v>0.52006348086540544</v>
      </c>
      <c r="AW641" s="1">
        <f t="shared" si="85"/>
        <v>0.3276724401211536</v>
      </c>
    </row>
    <row r="642" spans="1:49" x14ac:dyDescent="0.2">
      <c r="A642">
        <v>640</v>
      </c>
      <c r="B642" t="s">
        <v>4208</v>
      </c>
      <c r="C642" t="s">
        <v>4207</v>
      </c>
      <c r="F642" t="s">
        <v>4206</v>
      </c>
      <c r="G642" t="s">
        <v>16</v>
      </c>
      <c r="H642" t="s">
        <v>15</v>
      </c>
      <c r="I642" t="s">
        <v>4205</v>
      </c>
      <c r="N642">
        <v>1</v>
      </c>
      <c r="O642" t="s">
        <v>4204</v>
      </c>
      <c r="P642">
        <v>56282113600</v>
      </c>
      <c r="R642" s="7">
        <v>33239</v>
      </c>
      <c r="S642" s="8">
        <f t="shared" si="80"/>
        <v>1991</v>
      </c>
      <c r="T642" s="8">
        <v>1991</v>
      </c>
      <c r="U642" s="8">
        <f t="shared" si="81"/>
        <v>31</v>
      </c>
      <c r="V642" s="7" t="s">
        <v>4203</v>
      </c>
      <c r="W642" t="s">
        <v>4202</v>
      </c>
      <c r="X642" s="2" t="s">
        <v>33</v>
      </c>
      <c r="Y642" s="6" t="e">
        <f t="shared" ref="Y642:Y705" si="86">(X642-$Z$4)/($Z$3-$Z$4)</f>
        <v>#VALUE!</v>
      </c>
      <c r="AA642" t="s">
        <v>4201</v>
      </c>
      <c r="AB642">
        <v>15615</v>
      </c>
      <c r="AC642">
        <v>15463109</v>
      </c>
      <c r="AD642" t="s">
        <v>5</v>
      </c>
      <c r="AE642">
        <v>1</v>
      </c>
      <c r="AF642">
        <v>3</v>
      </c>
      <c r="AH642" t="s">
        <v>4200</v>
      </c>
      <c r="AI642" t="s">
        <v>4199</v>
      </c>
      <c r="AK642" t="s">
        <v>4198</v>
      </c>
      <c r="AL642">
        <v>0</v>
      </c>
      <c r="AM642" s="5">
        <f t="shared" si="82"/>
        <v>0</v>
      </c>
      <c r="AN642" s="4">
        <f t="shared" ref="AN642:AN705" si="87">(AM642-$AO$4)/($AO$3-$AO$4)</f>
        <v>0</v>
      </c>
      <c r="AO642" s="3"/>
      <c r="AP642">
        <v>0</v>
      </c>
      <c r="AR642" t="s">
        <v>0</v>
      </c>
      <c r="AT642" s="2" t="s">
        <v>33</v>
      </c>
      <c r="AU642" s="1" t="e">
        <f t="shared" si="83"/>
        <v>#VALUE!</v>
      </c>
      <c r="AV642" s="1" t="e">
        <f t="shared" si="84"/>
        <v>#VALUE!</v>
      </c>
      <c r="AW642" s="1" t="e">
        <f t="shared" si="85"/>
        <v>#VALUE!</v>
      </c>
    </row>
    <row r="643" spans="1:49" x14ac:dyDescent="0.2">
      <c r="A643">
        <v>641</v>
      </c>
      <c r="B643" t="s">
        <v>4197</v>
      </c>
      <c r="C643" t="s">
        <v>4196</v>
      </c>
      <c r="F643" t="s">
        <v>4195</v>
      </c>
      <c r="G643" t="s">
        <v>16</v>
      </c>
      <c r="H643" t="s">
        <v>15</v>
      </c>
      <c r="I643" t="s">
        <v>4194</v>
      </c>
      <c r="J643" t="s">
        <v>4193</v>
      </c>
      <c r="K643" t="s">
        <v>4192</v>
      </c>
      <c r="L643" t="s">
        <v>4191</v>
      </c>
      <c r="M643" t="s">
        <v>821</v>
      </c>
      <c r="N643">
        <v>3</v>
      </c>
      <c r="O643" t="s">
        <v>4190</v>
      </c>
      <c r="P643" t="s">
        <v>4189</v>
      </c>
      <c r="Q643" t="s">
        <v>4188</v>
      </c>
      <c r="R643" s="7">
        <v>33239</v>
      </c>
      <c r="S643" s="8">
        <f t="shared" si="80"/>
        <v>1991</v>
      </c>
      <c r="T643" s="8">
        <v>1991</v>
      </c>
      <c r="U643" s="8">
        <f t="shared" si="81"/>
        <v>31</v>
      </c>
      <c r="V643" s="7">
        <v>33329</v>
      </c>
      <c r="W643" t="s">
        <v>2569</v>
      </c>
      <c r="X643" s="2">
        <v>0.111</v>
      </c>
      <c r="Y643" s="6">
        <f t="shared" si="86"/>
        <v>2.9630816048690639E-3</v>
      </c>
      <c r="AA643">
        <v>87566621</v>
      </c>
      <c r="AB643">
        <v>24890</v>
      </c>
      <c r="AC643">
        <v>15206424</v>
      </c>
      <c r="AD643" t="s">
        <v>5</v>
      </c>
      <c r="AE643">
        <v>74</v>
      </c>
      <c r="AF643">
        <v>4</v>
      </c>
      <c r="AH643" t="s">
        <v>4187</v>
      </c>
      <c r="AI643" t="s">
        <v>4186</v>
      </c>
      <c r="AK643" t="s">
        <v>4185</v>
      </c>
      <c r="AL643">
        <v>3</v>
      </c>
      <c r="AM643" s="5">
        <f t="shared" si="82"/>
        <v>9.6774193548387094E-2</v>
      </c>
      <c r="AN643" s="4">
        <f t="shared" si="87"/>
        <v>1.4657204626790927E-4</v>
      </c>
      <c r="AO643" s="3"/>
      <c r="AP643">
        <v>0</v>
      </c>
      <c r="AR643" t="s">
        <v>0</v>
      </c>
      <c r="AT643" s="2" t="s">
        <v>33</v>
      </c>
      <c r="AU643" s="1">
        <f t="shared" si="83"/>
        <v>0.2118128737288717</v>
      </c>
      <c r="AV643" s="1">
        <f t="shared" si="84"/>
        <v>0.15548268255684866</v>
      </c>
      <c r="AW643" s="1">
        <f t="shared" si="85"/>
        <v>9.915249138482557E-2</v>
      </c>
    </row>
    <row r="644" spans="1:49" x14ac:dyDescent="0.2">
      <c r="A644">
        <v>642</v>
      </c>
      <c r="B644" t="s">
        <v>4184</v>
      </c>
      <c r="C644" t="s">
        <v>4183</v>
      </c>
      <c r="F644" t="s">
        <v>4182</v>
      </c>
      <c r="G644" t="s">
        <v>16</v>
      </c>
      <c r="H644" t="s">
        <v>15</v>
      </c>
      <c r="I644" t="s">
        <v>4181</v>
      </c>
      <c r="J644">
        <v>60003767</v>
      </c>
      <c r="K644" t="s">
        <v>4180</v>
      </c>
      <c r="L644" t="s">
        <v>4179</v>
      </c>
      <c r="M644" t="s">
        <v>1765</v>
      </c>
      <c r="N644">
        <v>1</v>
      </c>
      <c r="O644" t="s">
        <v>4178</v>
      </c>
      <c r="P644">
        <v>7004411938</v>
      </c>
      <c r="Q644">
        <v>60003767</v>
      </c>
      <c r="R644" s="7">
        <v>33239</v>
      </c>
      <c r="S644" s="8">
        <f t="shared" si="80"/>
        <v>1991</v>
      </c>
      <c r="T644" s="8">
        <v>1991</v>
      </c>
      <c r="U644" s="8">
        <f t="shared" si="81"/>
        <v>31</v>
      </c>
      <c r="V644" s="7">
        <v>33573</v>
      </c>
      <c r="W644" t="s">
        <v>4177</v>
      </c>
      <c r="X644" s="2" t="s">
        <v>33</v>
      </c>
      <c r="Y644" s="6" t="e">
        <f t="shared" si="86"/>
        <v>#VALUE!</v>
      </c>
      <c r="AA644">
        <v>1718096</v>
      </c>
      <c r="AB644">
        <v>15592</v>
      </c>
      <c r="AC644">
        <v>21967113</v>
      </c>
      <c r="AD644" t="s">
        <v>5</v>
      </c>
      <c r="AE644">
        <v>58</v>
      </c>
      <c r="AF644" t="s">
        <v>4176</v>
      </c>
      <c r="AH644" t="s">
        <v>4175</v>
      </c>
      <c r="AI644" t="s">
        <v>4174</v>
      </c>
      <c r="AJ644" t="s">
        <v>4173</v>
      </c>
      <c r="AK644" t="s">
        <v>4172</v>
      </c>
      <c r="AL644">
        <v>5</v>
      </c>
      <c r="AM644" s="5">
        <f t="shared" si="82"/>
        <v>0.16129032258064516</v>
      </c>
      <c r="AN644" s="4">
        <f t="shared" si="87"/>
        <v>2.4428674377984877E-4</v>
      </c>
      <c r="AO644" s="3"/>
      <c r="AP644">
        <v>0</v>
      </c>
      <c r="AR644" t="s">
        <v>0</v>
      </c>
      <c r="AT644" s="2" t="s">
        <v>33</v>
      </c>
      <c r="AU644" s="1" t="e">
        <f t="shared" si="83"/>
        <v>#VALUE!</v>
      </c>
      <c r="AV644" s="1" t="e">
        <f t="shared" si="84"/>
        <v>#VALUE!</v>
      </c>
      <c r="AW644" s="1" t="e">
        <f t="shared" si="85"/>
        <v>#VALUE!</v>
      </c>
    </row>
    <row r="645" spans="1:49" x14ac:dyDescent="0.2">
      <c r="A645">
        <v>643</v>
      </c>
      <c r="B645" t="s">
        <v>4171</v>
      </c>
      <c r="C645" t="s">
        <v>4170</v>
      </c>
      <c r="F645" t="s">
        <v>4169</v>
      </c>
      <c r="G645" t="s">
        <v>16</v>
      </c>
      <c r="H645" t="s">
        <v>15</v>
      </c>
      <c r="I645" t="s">
        <v>4168</v>
      </c>
      <c r="J645" t="s">
        <v>4167</v>
      </c>
      <c r="K645" t="s">
        <v>4166</v>
      </c>
      <c r="L645" t="s">
        <v>4165</v>
      </c>
      <c r="M645" t="s">
        <v>133</v>
      </c>
      <c r="N645">
        <v>2</v>
      </c>
      <c r="O645" t="s">
        <v>4164</v>
      </c>
      <c r="P645" t="s">
        <v>4163</v>
      </c>
      <c r="Q645" t="s">
        <v>4162</v>
      </c>
      <c r="R645" s="7">
        <v>33239</v>
      </c>
      <c r="S645" s="8">
        <f t="shared" si="80"/>
        <v>1991</v>
      </c>
      <c r="T645" s="8">
        <v>1991</v>
      </c>
      <c r="U645" s="8">
        <f t="shared" si="81"/>
        <v>31</v>
      </c>
      <c r="V645" s="7">
        <v>33329</v>
      </c>
      <c r="W645" t="s">
        <v>1807</v>
      </c>
      <c r="X645" s="2">
        <v>1.6519999999999999</v>
      </c>
      <c r="Y645" s="6">
        <f t="shared" si="86"/>
        <v>4.409919649769093E-2</v>
      </c>
      <c r="AA645" t="s">
        <v>1806</v>
      </c>
      <c r="AB645">
        <v>17337</v>
      </c>
      <c r="AC645">
        <v>15582221</v>
      </c>
      <c r="AD645" t="s">
        <v>5</v>
      </c>
      <c r="AE645">
        <v>39</v>
      </c>
      <c r="AF645">
        <v>4</v>
      </c>
      <c r="AH645" t="s">
        <v>4161</v>
      </c>
      <c r="AI645" t="s">
        <v>4160</v>
      </c>
      <c r="AK645" t="s">
        <v>4159</v>
      </c>
      <c r="AL645">
        <v>49</v>
      </c>
      <c r="AM645" s="5">
        <f t="shared" si="82"/>
        <v>1.5806451612903225</v>
      </c>
      <c r="AN645" s="4">
        <f t="shared" si="87"/>
        <v>2.394010089042518E-3</v>
      </c>
      <c r="AO645" s="3"/>
      <c r="AP645">
        <v>0</v>
      </c>
      <c r="AR645" t="s">
        <v>0</v>
      </c>
      <c r="AT645" s="2" t="s">
        <v>33</v>
      </c>
      <c r="AU645" s="1">
        <f t="shared" si="83"/>
        <v>3.1587640575096407</v>
      </c>
      <c r="AV645" s="1">
        <f t="shared" si="84"/>
        <v>2.3246603293366723</v>
      </c>
      <c r="AW645" s="1">
        <f t="shared" si="85"/>
        <v>1.4905566011637041</v>
      </c>
    </row>
    <row r="646" spans="1:49" x14ac:dyDescent="0.2">
      <c r="A646">
        <v>644</v>
      </c>
      <c r="B646" t="s">
        <v>4158</v>
      </c>
      <c r="C646" t="s">
        <v>4157</v>
      </c>
      <c r="F646" t="s">
        <v>4156</v>
      </c>
      <c r="G646" t="s">
        <v>16</v>
      </c>
      <c r="H646" t="s">
        <v>15</v>
      </c>
      <c r="I646" t="s">
        <v>4155</v>
      </c>
      <c r="J646">
        <v>60022148</v>
      </c>
      <c r="K646" t="s">
        <v>4154</v>
      </c>
      <c r="L646" t="s">
        <v>118</v>
      </c>
      <c r="M646" t="s">
        <v>117</v>
      </c>
      <c r="N646">
        <v>1</v>
      </c>
      <c r="O646" t="s">
        <v>4153</v>
      </c>
      <c r="P646">
        <v>35087329300</v>
      </c>
      <c r="Q646">
        <v>60022148</v>
      </c>
      <c r="R646" s="7">
        <v>33239</v>
      </c>
      <c r="S646" s="8">
        <f t="shared" si="80"/>
        <v>1991</v>
      </c>
      <c r="T646" s="8">
        <v>1991</v>
      </c>
      <c r="U646" s="8">
        <f t="shared" si="81"/>
        <v>31</v>
      </c>
      <c r="V646" s="7" t="s">
        <v>3768</v>
      </c>
      <c r="W646" s="11" t="s">
        <v>2635</v>
      </c>
      <c r="X646" s="2">
        <v>2.383</v>
      </c>
      <c r="Y646" s="6">
        <f t="shared" si="86"/>
        <v>6.3612824003630442E-2</v>
      </c>
      <c r="AA646" t="s">
        <v>2634</v>
      </c>
      <c r="AB646">
        <v>101151</v>
      </c>
      <c r="AD646" t="s">
        <v>5</v>
      </c>
      <c r="AE646">
        <v>138</v>
      </c>
      <c r="AF646">
        <v>2</v>
      </c>
      <c r="AH646" t="s">
        <v>4152</v>
      </c>
      <c r="AI646" t="s">
        <v>4151</v>
      </c>
      <c r="AK646" t="s">
        <v>4150</v>
      </c>
      <c r="AL646">
        <v>3</v>
      </c>
      <c r="AM646" s="5">
        <f t="shared" si="82"/>
        <v>9.6774193548387094E-2</v>
      </c>
      <c r="AN646" s="4">
        <f t="shared" si="87"/>
        <v>1.4657204626790927E-4</v>
      </c>
      <c r="AO646" s="3"/>
      <c r="AP646">
        <v>0</v>
      </c>
      <c r="AR646" t="s">
        <v>0</v>
      </c>
      <c r="AT646" s="2" t="s">
        <v>33</v>
      </c>
      <c r="AU646" s="1">
        <f t="shared" si="83"/>
        <v>4.4572948416421685</v>
      </c>
      <c r="AV646" s="1">
        <f t="shared" si="84"/>
        <v>3.1879698024949175</v>
      </c>
      <c r="AW646" s="1">
        <f t="shared" si="85"/>
        <v>1.9186447633476669</v>
      </c>
    </row>
    <row r="647" spans="1:49" x14ac:dyDescent="0.2">
      <c r="A647">
        <v>645</v>
      </c>
      <c r="B647" t="s">
        <v>4149</v>
      </c>
      <c r="C647" t="s">
        <v>4148</v>
      </c>
      <c r="F647" t="s">
        <v>4147</v>
      </c>
      <c r="G647" t="s">
        <v>16</v>
      </c>
      <c r="H647" t="s">
        <v>15</v>
      </c>
      <c r="I647" t="s">
        <v>4146</v>
      </c>
      <c r="J647">
        <v>60022292</v>
      </c>
      <c r="K647" t="s">
        <v>4145</v>
      </c>
      <c r="L647" t="s">
        <v>4144</v>
      </c>
      <c r="M647" t="s">
        <v>1207</v>
      </c>
      <c r="N647">
        <v>4</v>
      </c>
      <c r="O647" t="s">
        <v>4143</v>
      </c>
      <c r="P647" t="s">
        <v>4142</v>
      </c>
      <c r="Q647" t="s">
        <v>4141</v>
      </c>
      <c r="R647" s="7">
        <v>33239</v>
      </c>
      <c r="S647" s="8">
        <f t="shared" si="80"/>
        <v>1991</v>
      </c>
      <c r="T647" s="8">
        <v>1991</v>
      </c>
      <c r="U647" s="8">
        <f t="shared" si="81"/>
        <v>31</v>
      </c>
      <c r="V647" s="7">
        <v>33329</v>
      </c>
      <c r="W647" t="s">
        <v>4140</v>
      </c>
      <c r="X647" s="2">
        <v>0.93600000000000005</v>
      </c>
      <c r="Y647" s="6">
        <f t="shared" si="86"/>
        <v>2.4985985424841838E-2</v>
      </c>
      <c r="AA647">
        <v>8873801</v>
      </c>
      <c r="AB647">
        <v>18643</v>
      </c>
      <c r="AD647" t="s">
        <v>5</v>
      </c>
      <c r="AE647">
        <v>5</v>
      </c>
      <c r="AF647">
        <v>2</v>
      </c>
      <c r="AH647" t="s">
        <v>4139</v>
      </c>
      <c r="AI647" t="s">
        <v>4138</v>
      </c>
      <c r="AK647" t="s">
        <v>4137</v>
      </c>
      <c r="AL647">
        <v>2</v>
      </c>
      <c r="AM647" s="5">
        <f t="shared" si="82"/>
        <v>6.4516129032258063E-2</v>
      </c>
      <c r="AN647" s="4">
        <f t="shared" si="87"/>
        <v>9.7714697511939517E-5</v>
      </c>
      <c r="AO647" s="3"/>
      <c r="AP647">
        <v>0</v>
      </c>
      <c r="AR647" t="s">
        <v>0</v>
      </c>
      <c r="AT647" s="2" t="s">
        <v>33</v>
      </c>
      <c r="AU647" s="1">
        <f t="shared" si="83"/>
        <v>1.7519504206642869</v>
      </c>
      <c r="AV647" s="1">
        <f t="shared" si="84"/>
        <v>1.2541850061176889</v>
      </c>
      <c r="AW647" s="1">
        <f t="shared" si="85"/>
        <v>0.75641959157109095</v>
      </c>
    </row>
    <row r="648" spans="1:49" x14ac:dyDescent="0.2">
      <c r="A648">
        <v>646</v>
      </c>
      <c r="B648" t="s">
        <v>4136</v>
      </c>
      <c r="C648" t="s">
        <v>4135</v>
      </c>
      <c r="F648" t="s">
        <v>4134</v>
      </c>
      <c r="G648" t="s">
        <v>16</v>
      </c>
      <c r="H648" t="s">
        <v>15</v>
      </c>
      <c r="I648" t="s">
        <v>4133</v>
      </c>
      <c r="J648">
        <v>60004750</v>
      </c>
      <c r="K648" t="s">
        <v>4132</v>
      </c>
      <c r="L648" t="s">
        <v>4131</v>
      </c>
      <c r="M648" t="s">
        <v>1207</v>
      </c>
      <c r="N648">
        <v>3</v>
      </c>
      <c r="O648" t="s">
        <v>4130</v>
      </c>
      <c r="P648" t="s">
        <v>4129</v>
      </c>
      <c r="Q648" t="s">
        <v>4128</v>
      </c>
      <c r="R648" s="7">
        <v>33239</v>
      </c>
      <c r="S648" s="8">
        <f t="shared" si="80"/>
        <v>1991</v>
      </c>
      <c r="T648" s="8">
        <v>1991</v>
      </c>
      <c r="U648" s="8">
        <f t="shared" si="81"/>
        <v>31</v>
      </c>
      <c r="V648" s="7" t="s">
        <v>3768</v>
      </c>
      <c r="W648" s="11" t="s">
        <v>2635</v>
      </c>
      <c r="X648" s="2">
        <v>2.383</v>
      </c>
      <c r="Y648" s="6">
        <f t="shared" si="86"/>
        <v>6.3612824003630442E-2</v>
      </c>
      <c r="AA648" t="s">
        <v>2634</v>
      </c>
      <c r="AB648">
        <v>101151</v>
      </c>
      <c r="AD648" t="s">
        <v>5</v>
      </c>
      <c r="AE648">
        <v>138</v>
      </c>
      <c r="AF648">
        <v>2</v>
      </c>
      <c r="AH648" t="s">
        <v>4127</v>
      </c>
      <c r="AI648" t="s">
        <v>4126</v>
      </c>
      <c r="AK648" t="s">
        <v>4125</v>
      </c>
      <c r="AL648">
        <v>10</v>
      </c>
      <c r="AM648" s="5">
        <f t="shared" si="82"/>
        <v>0.32258064516129031</v>
      </c>
      <c r="AN648" s="4">
        <f t="shared" si="87"/>
        <v>4.8857348755969754E-4</v>
      </c>
      <c r="AO648" s="3"/>
      <c r="AP648">
        <v>0</v>
      </c>
      <c r="AR648" t="s">
        <v>0</v>
      </c>
      <c r="AT648" s="2" t="s">
        <v>33</v>
      </c>
      <c r="AU648" s="1">
        <f t="shared" si="83"/>
        <v>4.4675548848809221</v>
      </c>
      <c r="AV648" s="1">
        <f t="shared" si="84"/>
        <v>3.2050698745595065</v>
      </c>
      <c r="AW648" s="1">
        <f t="shared" si="85"/>
        <v>1.9425848642380923</v>
      </c>
    </row>
    <row r="649" spans="1:49" x14ac:dyDescent="0.2">
      <c r="A649">
        <v>647</v>
      </c>
      <c r="B649" t="s">
        <v>4124</v>
      </c>
      <c r="C649" t="s">
        <v>4123</v>
      </c>
      <c r="F649" t="s">
        <v>4122</v>
      </c>
      <c r="G649" t="s">
        <v>16</v>
      </c>
      <c r="H649" t="s">
        <v>15</v>
      </c>
      <c r="I649" t="s">
        <v>4121</v>
      </c>
      <c r="J649" t="s">
        <v>4120</v>
      </c>
      <c r="K649" t="s">
        <v>4119</v>
      </c>
      <c r="L649" t="s">
        <v>4118</v>
      </c>
      <c r="M649" t="s">
        <v>364</v>
      </c>
      <c r="N649">
        <v>2</v>
      </c>
      <c r="O649" t="s">
        <v>4117</v>
      </c>
      <c r="P649" t="s">
        <v>4116</v>
      </c>
      <c r="Q649" t="s">
        <v>4115</v>
      </c>
      <c r="R649" s="7">
        <v>33239</v>
      </c>
      <c r="S649" s="8">
        <f t="shared" si="80"/>
        <v>1991</v>
      </c>
      <c r="T649" s="8">
        <v>1991</v>
      </c>
      <c r="U649" s="8">
        <f t="shared" si="81"/>
        <v>31</v>
      </c>
      <c r="V649" s="7">
        <v>33329</v>
      </c>
      <c r="W649" t="s">
        <v>1807</v>
      </c>
      <c r="X649" s="2">
        <v>1.6519999999999999</v>
      </c>
      <c r="Y649" s="6">
        <f t="shared" si="86"/>
        <v>4.409919649769093E-2</v>
      </c>
      <c r="AA649" t="s">
        <v>1806</v>
      </c>
      <c r="AB649">
        <v>17337</v>
      </c>
      <c r="AC649">
        <v>15582221</v>
      </c>
      <c r="AD649" t="s">
        <v>5</v>
      </c>
      <c r="AE649">
        <v>39</v>
      </c>
      <c r="AF649">
        <v>4</v>
      </c>
      <c r="AH649" t="s">
        <v>4114</v>
      </c>
      <c r="AI649" t="s">
        <v>4113</v>
      </c>
      <c r="AK649" t="s">
        <v>4112</v>
      </c>
      <c r="AL649">
        <v>7</v>
      </c>
      <c r="AM649" s="5">
        <f t="shared" si="82"/>
        <v>0.22580645161290322</v>
      </c>
      <c r="AN649" s="4">
        <f t="shared" si="87"/>
        <v>3.420014412917883E-4</v>
      </c>
      <c r="AO649" s="3"/>
      <c r="AP649">
        <v>0</v>
      </c>
      <c r="AR649" t="s">
        <v>0</v>
      </c>
      <c r="AT649" s="2" t="s">
        <v>33</v>
      </c>
      <c r="AU649" s="1">
        <f t="shared" si="83"/>
        <v>3.0972037980771185</v>
      </c>
      <c r="AV649" s="1">
        <f t="shared" si="84"/>
        <v>2.2220598969491361</v>
      </c>
      <c r="AW649" s="1">
        <f t="shared" si="85"/>
        <v>1.346915995821153</v>
      </c>
    </row>
    <row r="650" spans="1:49" x14ac:dyDescent="0.2">
      <c r="A650">
        <v>648</v>
      </c>
      <c r="B650" t="s">
        <v>4111</v>
      </c>
      <c r="C650" t="s">
        <v>4110</v>
      </c>
      <c r="F650" t="s">
        <v>4109</v>
      </c>
      <c r="G650" t="s">
        <v>16</v>
      </c>
      <c r="H650" t="s">
        <v>15</v>
      </c>
      <c r="I650" t="s">
        <v>4108</v>
      </c>
      <c r="J650">
        <v>60103680</v>
      </c>
      <c r="K650" t="s">
        <v>4107</v>
      </c>
      <c r="L650" t="s">
        <v>4106</v>
      </c>
      <c r="M650" t="s">
        <v>326</v>
      </c>
      <c r="N650">
        <v>2</v>
      </c>
      <c r="O650" t="s">
        <v>4105</v>
      </c>
      <c r="P650" t="s">
        <v>4104</v>
      </c>
      <c r="Q650" t="s">
        <v>4103</v>
      </c>
      <c r="R650" s="7">
        <v>33239</v>
      </c>
      <c r="S650" s="8">
        <f t="shared" si="80"/>
        <v>1991</v>
      </c>
      <c r="T650" s="8">
        <v>1991</v>
      </c>
      <c r="U650" s="8">
        <f t="shared" si="81"/>
        <v>31</v>
      </c>
      <c r="V650" s="7">
        <v>33329</v>
      </c>
      <c r="W650" t="s">
        <v>1807</v>
      </c>
      <c r="X650" s="2">
        <v>1.6519999999999999</v>
      </c>
      <c r="Y650" s="6">
        <f t="shared" si="86"/>
        <v>4.409919649769093E-2</v>
      </c>
      <c r="AA650" t="s">
        <v>1806</v>
      </c>
      <c r="AB650">
        <v>17337</v>
      </c>
      <c r="AC650">
        <v>15582221</v>
      </c>
      <c r="AD650" t="s">
        <v>5</v>
      </c>
      <c r="AE650">
        <v>39</v>
      </c>
      <c r="AF650">
        <v>4</v>
      </c>
      <c r="AH650" t="s">
        <v>4102</v>
      </c>
      <c r="AI650" t="s">
        <v>4101</v>
      </c>
      <c r="AK650" t="s">
        <v>4100</v>
      </c>
      <c r="AL650">
        <v>6</v>
      </c>
      <c r="AM650" s="5">
        <f t="shared" si="82"/>
        <v>0.19354838709677419</v>
      </c>
      <c r="AN650" s="4">
        <f t="shared" si="87"/>
        <v>2.9314409253581854E-4</v>
      </c>
      <c r="AO650" s="3"/>
      <c r="AP650">
        <v>0</v>
      </c>
      <c r="AR650" t="s">
        <v>0</v>
      </c>
      <c r="AT650" s="2" t="s">
        <v>33</v>
      </c>
      <c r="AU650" s="1">
        <f t="shared" si="83"/>
        <v>3.0957380776144396</v>
      </c>
      <c r="AV650" s="1">
        <f t="shared" si="84"/>
        <v>2.2196170295113378</v>
      </c>
      <c r="AW650" s="1">
        <f t="shared" si="85"/>
        <v>1.3434959814082352</v>
      </c>
    </row>
    <row r="651" spans="1:49" x14ac:dyDescent="0.2">
      <c r="A651">
        <v>649</v>
      </c>
      <c r="B651" t="s">
        <v>4099</v>
      </c>
      <c r="C651" t="s">
        <v>4098</v>
      </c>
      <c r="F651" t="s">
        <v>4097</v>
      </c>
      <c r="G651" t="s">
        <v>16</v>
      </c>
      <c r="H651" t="s">
        <v>15</v>
      </c>
      <c r="I651" t="s">
        <v>4096</v>
      </c>
      <c r="N651">
        <v>1</v>
      </c>
      <c r="O651" t="s">
        <v>4095</v>
      </c>
      <c r="P651">
        <v>7004340738</v>
      </c>
      <c r="R651" s="7">
        <v>33239</v>
      </c>
      <c r="S651" s="8">
        <f t="shared" si="80"/>
        <v>1991</v>
      </c>
      <c r="T651" s="8">
        <v>1991</v>
      </c>
      <c r="U651" s="8">
        <f t="shared" si="81"/>
        <v>31</v>
      </c>
      <c r="V651" s="7">
        <v>33329</v>
      </c>
      <c r="W651" t="s">
        <v>3104</v>
      </c>
      <c r="X651" s="2">
        <v>0.39600000000000002</v>
      </c>
      <c r="Y651" s="6">
        <f t="shared" si="86"/>
        <v>1.0570993833586931E-2</v>
      </c>
      <c r="AA651">
        <v>8858985</v>
      </c>
      <c r="AB651">
        <v>25993</v>
      </c>
      <c r="AD651" t="s">
        <v>5</v>
      </c>
      <c r="AE651">
        <v>6</v>
      </c>
      <c r="AF651">
        <v>4</v>
      </c>
      <c r="AH651" s="9">
        <v>44507</v>
      </c>
      <c r="AI651" t="s">
        <v>4094</v>
      </c>
      <c r="AK651" t="s">
        <v>4093</v>
      </c>
      <c r="AL651">
        <v>0</v>
      </c>
      <c r="AM651" s="5">
        <f t="shared" si="82"/>
        <v>0</v>
      </c>
      <c r="AN651" s="4">
        <f t="shared" si="87"/>
        <v>0</v>
      </c>
      <c r="AO651" s="3"/>
      <c r="AP651">
        <v>0</v>
      </c>
      <c r="AR651" t="s">
        <v>0</v>
      </c>
      <c r="AT651" s="2" t="s">
        <v>33</v>
      </c>
      <c r="AU651" s="1">
        <f t="shared" si="83"/>
        <v>0.73996956835108518</v>
      </c>
      <c r="AV651" s="1">
        <f t="shared" si="84"/>
        <v>0.52854969167934651</v>
      </c>
      <c r="AW651" s="1">
        <f t="shared" si="85"/>
        <v>0.3171298150076079</v>
      </c>
    </row>
    <row r="652" spans="1:49" x14ac:dyDescent="0.2">
      <c r="A652">
        <v>650</v>
      </c>
      <c r="B652" t="s">
        <v>4092</v>
      </c>
      <c r="C652" t="s">
        <v>4091</v>
      </c>
      <c r="F652" t="s">
        <v>4090</v>
      </c>
      <c r="G652" t="s">
        <v>16</v>
      </c>
      <c r="H652" t="s">
        <v>15</v>
      </c>
      <c r="I652" t="s">
        <v>4089</v>
      </c>
      <c r="J652">
        <v>60091909</v>
      </c>
      <c r="K652" t="s">
        <v>4088</v>
      </c>
      <c r="L652" t="s">
        <v>118</v>
      </c>
      <c r="M652" t="s">
        <v>117</v>
      </c>
      <c r="N652">
        <v>2</v>
      </c>
      <c r="O652" t="s">
        <v>4087</v>
      </c>
      <c r="P652" t="s">
        <v>4086</v>
      </c>
      <c r="Q652" t="s">
        <v>4085</v>
      </c>
      <c r="R652" s="7">
        <v>33239</v>
      </c>
      <c r="S652" s="8">
        <f t="shared" si="80"/>
        <v>1991</v>
      </c>
      <c r="T652" s="8">
        <v>1991</v>
      </c>
      <c r="U652" s="8">
        <f t="shared" si="81"/>
        <v>31</v>
      </c>
      <c r="V652" s="7" t="s">
        <v>3768</v>
      </c>
      <c r="W652" s="11" t="s">
        <v>2635</v>
      </c>
      <c r="X652" s="2">
        <v>2.383</v>
      </c>
      <c r="Y652" s="6">
        <f t="shared" si="86"/>
        <v>6.3612824003630442E-2</v>
      </c>
      <c r="AA652" t="s">
        <v>2634</v>
      </c>
      <c r="AB652">
        <v>101151</v>
      </c>
      <c r="AD652" t="s">
        <v>5</v>
      </c>
      <c r="AE652">
        <v>138</v>
      </c>
      <c r="AF652">
        <v>2</v>
      </c>
      <c r="AH652" t="s">
        <v>4084</v>
      </c>
      <c r="AI652" t="s">
        <v>4083</v>
      </c>
      <c r="AK652" t="s">
        <v>4082</v>
      </c>
      <c r="AL652">
        <v>2</v>
      </c>
      <c r="AM652" s="5">
        <f t="shared" si="82"/>
        <v>6.4516129032258063E-2</v>
      </c>
      <c r="AN652" s="4">
        <f t="shared" si="87"/>
        <v>9.7714697511939517E-5</v>
      </c>
      <c r="AO652" s="3"/>
      <c r="AP652">
        <v>0</v>
      </c>
      <c r="AR652" t="s">
        <v>0</v>
      </c>
      <c r="AT652" s="2" t="s">
        <v>33</v>
      </c>
      <c r="AU652" s="1">
        <f t="shared" si="83"/>
        <v>4.4558291211794891</v>
      </c>
      <c r="AV652" s="1">
        <f t="shared" si="84"/>
        <v>3.1855269350571187</v>
      </c>
      <c r="AW652" s="1">
        <f t="shared" si="85"/>
        <v>1.9152247489347491</v>
      </c>
    </row>
    <row r="653" spans="1:49" x14ac:dyDescent="0.2">
      <c r="A653">
        <v>651</v>
      </c>
      <c r="B653" t="s">
        <v>4081</v>
      </c>
      <c r="C653" t="s">
        <v>4080</v>
      </c>
      <c r="F653" t="s">
        <v>4079</v>
      </c>
      <c r="G653" t="s">
        <v>16</v>
      </c>
      <c r="H653" t="s">
        <v>15</v>
      </c>
      <c r="I653" t="s">
        <v>4078</v>
      </c>
      <c r="J653" t="s">
        <v>4077</v>
      </c>
      <c r="K653" t="s">
        <v>4076</v>
      </c>
      <c r="L653" t="s">
        <v>4075</v>
      </c>
      <c r="M653" t="s">
        <v>4074</v>
      </c>
      <c r="N653">
        <v>3</v>
      </c>
      <c r="O653" t="s">
        <v>4073</v>
      </c>
      <c r="P653" t="s">
        <v>4072</v>
      </c>
      <c r="Q653" t="s">
        <v>4071</v>
      </c>
      <c r="R653" s="7">
        <v>33239</v>
      </c>
      <c r="S653" s="8">
        <f t="shared" si="80"/>
        <v>1991</v>
      </c>
      <c r="T653" s="8">
        <v>1991</v>
      </c>
      <c r="U653" s="8">
        <f t="shared" si="81"/>
        <v>31</v>
      </c>
      <c r="V653" s="7">
        <v>33329</v>
      </c>
      <c r="W653" t="s">
        <v>324</v>
      </c>
      <c r="X653" s="2">
        <v>0.88100000000000001</v>
      </c>
      <c r="Y653" s="6">
        <f t="shared" si="86"/>
        <v>2.3517791836843653E-2</v>
      </c>
      <c r="AA653">
        <v>10459243</v>
      </c>
      <c r="AB653">
        <v>17248</v>
      </c>
      <c r="AD653" t="s">
        <v>5</v>
      </c>
      <c r="AE653">
        <v>33</v>
      </c>
      <c r="AF653">
        <v>2</v>
      </c>
      <c r="AH653" s="10">
        <v>42552</v>
      </c>
      <c r="AI653" t="s">
        <v>4070</v>
      </c>
      <c r="AK653" t="s">
        <v>4069</v>
      </c>
      <c r="AL653">
        <v>8</v>
      </c>
      <c r="AM653" s="5">
        <f t="shared" si="82"/>
        <v>0.25806451612903225</v>
      </c>
      <c r="AN653" s="4">
        <f t="shared" si="87"/>
        <v>3.9085879004775807E-4</v>
      </c>
      <c r="AO653" s="3"/>
      <c r="AP653">
        <v>0</v>
      </c>
      <c r="AR653" t="s">
        <v>0</v>
      </c>
      <c r="AT653" s="2" t="s">
        <v>33</v>
      </c>
      <c r="AU653" s="1">
        <f t="shared" si="83"/>
        <v>1.6579711922804881</v>
      </c>
      <c r="AV653" s="1">
        <f t="shared" si="84"/>
        <v>1.1954325313445706</v>
      </c>
      <c r="AW653" s="1">
        <f t="shared" si="85"/>
        <v>0.73289387040865261</v>
      </c>
    </row>
    <row r="654" spans="1:49" x14ac:dyDescent="0.2">
      <c r="A654">
        <v>652</v>
      </c>
      <c r="B654" t="s">
        <v>4068</v>
      </c>
      <c r="C654" t="s">
        <v>4067</v>
      </c>
      <c r="F654" t="s">
        <v>4066</v>
      </c>
      <c r="G654" t="s">
        <v>16</v>
      </c>
      <c r="H654" t="s">
        <v>15</v>
      </c>
      <c r="I654" t="s">
        <v>4065</v>
      </c>
      <c r="J654" t="s">
        <v>4064</v>
      </c>
      <c r="K654" t="s">
        <v>4063</v>
      </c>
      <c r="L654" t="s">
        <v>4062</v>
      </c>
      <c r="M654" t="s">
        <v>4061</v>
      </c>
      <c r="N654">
        <v>2</v>
      </c>
      <c r="O654" t="s">
        <v>4060</v>
      </c>
      <c r="P654" t="s">
        <v>4059</v>
      </c>
      <c r="Q654" t="s">
        <v>4058</v>
      </c>
      <c r="R654" s="7">
        <v>33239</v>
      </c>
      <c r="S654" s="8">
        <f t="shared" si="80"/>
        <v>1991</v>
      </c>
      <c r="T654" s="8">
        <v>1991</v>
      </c>
      <c r="U654" s="8">
        <f t="shared" si="81"/>
        <v>31</v>
      </c>
      <c r="V654" s="7">
        <v>33329</v>
      </c>
      <c r="W654" t="s">
        <v>4057</v>
      </c>
      <c r="X654" s="2">
        <v>0.46</v>
      </c>
      <c r="Y654" s="6">
        <f t="shared" si="86"/>
        <v>1.2279437281439364E-2</v>
      </c>
      <c r="AA654">
        <v>933813</v>
      </c>
      <c r="AB654">
        <v>28031</v>
      </c>
      <c r="AC654">
        <v>19399375</v>
      </c>
      <c r="AD654" t="s">
        <v>5</v>
      </c>
      <c r="AE654">
        <v>19</v>
      </c>
      <c r="AF654">
        <v>2</v>
      </c>
      <c r="AH654" t="s">
        <v>4056</v>
      </c>
      <c r="AI654" t="s">
        <v>4055</v>
      </c>
      <c r="AK654" t="s">
        <v>4054</v>
      </c>
      <c r="AL654">
        <v>5</v>
      </c>
      <c r="AM654" s="5">
        <f t="shared" si="82"/>
        <v>0.16129032258064516</v>
      </c>
      <c r="AN654" s="4">
        <f t="shared" si="87"/>
        <v>2.4428674377984877E-4</v>
      </c>
      <c r="AO654" s="3"/>
      <c r="AP654">
        <v>0</v>
      </c>
      <c r="AQ654" t="s">
        <v>4053</v>
      </c>
      <c r="AR654" t="s">
        <v>0</v>
      </c>
      <c r="AS654" t="s">
        <v>4052</v>
      </c>
      <c r="AT654" s="2">
        <v>1.222</v>
      </c>
      <c r="AU654" s="1">
        <f t="shared" si="83"/>
        <v>0.86688921201415092</v>
      </c>
      <c r="AV654" s="1">
        <f t="shared" si="84"/>
        <v>0.62618620126096058</v>
      </c>
      <c r="AW654" s="1">
        <f t="shared" si="85"/>
        <v>0.38548319050777036</v>
      </c>
    </row>
    <row r="655" spans="1:49" x14ac:dyDescent="0.2">
      <c r="A655">
        <v>653</v>
      </c>
      <c r="B655" t="s">
        <v>4051</v>
      </c>
      <c r="C655" t="s">
        <v>4050</v>
      </c>
      <c r="F655" t="s">
        <v>4049</v>
      </c>
      <c r="G655" t="s">
        <v>16</v>
      </c>
      <c r="H655" t="s">
        <v>15</v>
      </c>
      <c r="I655" t="s">
        <v>4048</v>
      </c>
      <c r="J655">
        <v>60017161</v>
      </c>
      <c r="K655" t="s">
        <v>2444</v>
      </c>
      <c r="L655" t="s">
        <v>1408</v>
      </c>
      <c r="M655" t="s">
        <v>1407</v>
      </c>
      <c r="N655">
        <v>3</v>
      </c>
      <c r="O655" t="s">
        <v>4047</v>
      </c>
      <c r="P655" t="s">
        <v>4046</v>
      </c>
      <c r="Q655" t="s">
        <v>4045</v>
      </c>
      <c r="R655" s="7">
        <v>33239</v>
      </c>
      <c r="S655" s="8">
        <f t="shared" si="80"/>
        <v>1991</v>
      </c>
      <c r="T655" s="8">
        <v>1991</v>
      </c>
      <c r="U655" s="8">
        <f t="shared" si="81"/>
        <v>31</v>
      </c>
      <c r="V655" s="7">
        <v>33329</v>
      </c>
      <c r="W655" t="s">
        <v>561</v>
      </c>
      <c r="X655" s="2">
        <v>0.30399999999999999</v>
      </c>
      <c r="Y655" s="6">
        <f t="shared" si="86"/>
        <v>8.115106377299057E-3</v>
      </c>
      <c r="AA655">
        <v>8952477</v>
      </c>
      <c r="AB655">
        <v>12250</v>
      </c>
      <c r="AC655">
        <v>10982760</v>
      </c>
      <c r="AD655" t="s">
        <v>5</v>
      </c>
      <c r="AE655">
        <v>4</v>
      </c>
      <c r="AF655">
        <v>5</v>
      </c>
      <c r="AH655" t="s">
        <v>4044</v>
      </c>
      <c r="AI655" t="s">
        <v>4043</v>
      </c>
      <c r="AJ655" t="s">
        <v>4042</v>
      </c>
      <c r="AK655" t="s">
        <v>4041</v>
      </c>
      <c r="AL655">
        <v>6</v>
      </c>
      <c r="AM655" s="5">
        <f t="shared" si="82"/>
        <v>0.19354838709677419</v>
      </c>
      <c r="AN655" s="4">
        <f t="shared" si="87"/>
        <v>2.9314409253581854E-4</v>
      </c>
      <c r="AO655" s="3"/>
      <c r="AP655">
        <v>0</v>
      </c>
      <c r="AR655" t="s">
        <v>0</v>
      </c>
      <c r="AT655" s="2" t="s">
        <v>33</v>
      </c>
      <c r="AU655" s="1">
        <f t="shared" si="83"/>
        <v>0.57685176918700842</v>
      </c>
      <c r="AV655" s="1">
        <f t="shared" si="84"/>
        <v>0.42041252349174374</v>
      </c>
      <c r="AW655" s="1">
        <f t="shared" si="85"/>
        <v>0.26397327779647906</v>
      </c>
    </row>
    <row r="656" spans="1:49" x14ac:dyDescent="0.2">
      <c r="A656">
        <v>654</v>
      </c>
      <c r="B656" t="s">
        <v>4040</v>
      </c>
      <c r="C656" t="s">
        <v>4039</v>
      </c>
      <c r="F656" t="s">
        <v>4038</v>
      </c>
      <c r="G656" t="s">
        <v>16</v>
      </c>
      <c r="H656" t="s">
        <v>15</v>
      </c>
      <c r="I656" t="s">
        <v>4037</v>
      </c>
      <c r="J656">
        <v>60026242</v>
      </c>
      <c r="K656" t="s">
        <v>2618</v>
      </c>
      <c r="L656" t="s">
        <v>2617</v>
      </c>
      <c r="M656" t="s">
        <v>117</v>
      </c>
      <c r="N656">
        <v>4</v>
      </c>
      <c r="O656" t="s">
        <v>4036</v>
      </c>
      <c r="P656" t="s">
        <v>4035</v>
      </c>
      <c r="Q656" t="s">
        <v>4034</v>
      </c>
      <c r="R656" s="7">
        <v>33239</v>
      </c>
      <c r="S656" s="8">
        <f t="shared" si="80"/>
        <v>1991</v>
      </c>
      <c r="T656" s="8">
        <v>1991</v>
      </c>
      <c r="U656" s="8">
        <f t="shared" si="81"/>
        <v>31</v>
      </c>
      <c r="V656" s="7" t="s">
        <v>3768</v>
      </c>
      <c r="W656" s="11" t="s">
        <v>2635</v>
      </c>
      <c r="X656" s="2">
        <v>2.383</v>
      </c>
      <c r="Y656" s="6">
        <f t="shared" si="86"/>
        <v>6.3612824003630442E-2</v>
      </c>
      <c r="AA656" t="s">
        <v>2634</v>
      </c>
      <c r="AB656">
        <v>101151</v>
      </c>
      <c r="AD656" t="s">
        <v>5</v>
      </c>
      <c r="AE656">
        <v>138</v>
      </c>
      <c r="AF656">
        <v>2</v>
      </c>
      <c r="AH656" t="s">
        <v>4033</v>
      </c>
      <c r="AI656" t="s">
        <v>4032</v>
      </c>
      <c r="AK656" t="s">
        <v>4031</v>
      </c>
      <c r="AL656">
        <v>12</v>
      </c>
      <c r="AM656" s="5">
        <f t="shared" si="82"/>
        <v>0.38709677419354838</v>
      </c>
      <c r="AN656" s="4">
        <f t="shared" si="87"/>
        <v>5.8628818507163707E-4</v>
      </c>
      <c r="AO656" s="3"/>
      <c r="AP656">
        <v>0</v>
      </c>
      <c r="AR656" t="s">
        <v>0</v>
      </c>
      <c r="AT656" s="2" t="s">
        <v>33</v>
      </c>
      <c r="AU656" s="1">
        <f t="shared" si="83"/>
        <v>4.4704863258062799</v>
      </c>
      <c r="AV656" s="1">
        <f t="shared" si="84"/>
        <v>3.2099556094351041</v>
      </c>
      <c r="AW656" s="1">
        <f t="shared" si="85"/>
        <v>1.949424893063928</v>
      </c>
    </row>
    <row r="657" spans="1:49" x14ac:dyDescent="0.2">
      <c r="A657">
        <v>655</v>
      </c>
      <c r="B657" t="s">
        <v>4030</v>
      </c>
      <c r="C657" t="s">
        <v>4029</v>
      </c>
      <c r="F657" t="s">
        <v>4028</v>
      </c>
      <c r="G657" t="s">
        <v>16</v>
      </c>
      <c r="H657" t="s">
        <v>15</v>
      </c>
      <c r="I657" t="s">
        <v>4027</v>
      </c>
      <c r="J657">
        <v>60029575</v>
      </c>
      <c r="K657" t="s">
        <v>4026</v>
      </c>
      <c r="L657" t="s">
        <v>4025</v>
      </c>
      <c r="M657" t="s">
        <v>57</v>
      </c>
      <c r="N657">
        <v>2</v>
      </c>
      <c r="O657" t="s">
        <v>4024</v>
      </c>
      <c r="P657" t="s">
        <v>4023</v>
      </c>
      <c r="Q657" t="s">
        <v>4022</v>
      </c>
      <c r="R657" s="7">
        <v>33239</v>
      </c>
      <c r="S657" s="8">
        <f t="shared" si="80"/>
        <v>1991</v>
      </c>
      <c r="T657" s="8">
        <v>1991</v>
      </c>
      <c r="U657" s="8">
        <f t="shared" si="81"/>
        <v>31</v>
      </c>
      <c r="V657" s="7">
        <v>33329</v>
      </c>
      <c r="W657" t="s">
        <v>1807</v>
      </c>
      <c r="X657" s="2">
        <v>1.6519999999999999</v>
      </c>
      <c r="Y657" s="6">
        <f t="shared" si="86"/>
        <v>4.409919649769093E-2</v>
      </c>
      <c r="AA657" t="s">
        <v>1806</v>
      </c>
      <c r="AB657">
        <v>17337</v>
      </c>
      <c r="AC657">
        <v>15582221</v>
      </c>
      <c r="AD657" t="s">
        <v>5</v>
      </c>
      <c r="AE657">
        <v>39</v>
      </c>
      <c r="AF657">
        <v>4</v>
      </c>
      <c r="AH657" t="s">
        <v>4021</v>
      </c>
      <c r="AI657" t="s">
        <v>4020</v>
      </c>
      <c r="AK657" t="s">
        <v>4019</v>
      </c>
      <c r="AL657">
        <v>1</v>
      </c>
      <c r="AM657" s="5">
        <f t="shared" si="82"/>
        <v>3.2258064516129031E-2</v>
      </c>
      <c r="AN657" s="4">
        <f t="shared" si="87"/>
        <v>4.8857348755969758E-5</v>
      </c>
      <c r="AO657" s="3"/>
      <c r="AP657">
        <v>0</v>
      </c>
      <c r="AR657" t="s">
        <v>0</v>
      </c>
      <c r="AT657" s="2" t="s">
        <v>33</v>
      </c>
      <c r="AU657" s="1">
        <f t="shared" si="83"/>
        <v>3.0884094753010443</v>
      </c>
      <c r="AV657" s="1">
        <f t="shared" si="84"/>
        <v>2.2074026923223449</v>
      </c>
      <c r="AW657" s="1">
        <f t="shared" si="85"/>
        <v>1.3263959093436457</v>
      </c>
    </row>
    <row r="658" spans="1:49" x14ac:dyDescent="0.2">
      <c r="A658">
        <v>656</v>
      </c>
      <c r="B658" t="s">
        <v>4018</v>
      </c>
      <c r="C658" t="s">
        <v>4017</v>
      </c>
      <c r="F658" t="s">
        <v>4016</v>
      </c>
      <c r="G658" t="s">
        <v>16</v>
      </c>
      <c r="H658" t="s">
        <v>15</v>
      </c>
      <c r="I658" t="s">
        <v>4015</v>
      </c>
      <c r="J658">
        <v>60031828</v>
      </c>
      <c r="K658" t="s">
        <v>1545</v>
      </c>
      <c r="L658" t="s">
        <v>1544</v>
      </c>
      <c r="M658" t="s">
        <v>1543</v>
      </c>
      <c r="N658">
        <v>2</v>
      </c>
      <c r="O658" t="s">
        <v>4014</v>
      </c>
      <c r="P658" t="s">
        <v>4013</v>
      </c>
      <c r="Q658" t="s">
        <v>4012</v>
      </c>
      <c r="R658" s="7">
        <v>33239</v>
      </c>
      <c r="S658" s="8">
        <f t="shared" si="80"/>
        <v>1991</v>
      </c>
      <c r="T658" s="8">
        <v>1991</v>
      </c>
      <c r="U658" s="8">
        <f t="shared" si="81"/>
        <v>31</v>
      </c>
      <c r="V658" s="7" t="s">
        <v>3768</v>
      </c>
      <c r="W658" s="11" t="s">
        <v>4011</v>
      </c>
      <c r="X658" s="2">
        <v>2.383</v>
      </c>
      <c r="Y658" s="6">
        <f t="shared" si="86"/>
        <v>6.3612824003630442E-2</v>
      </c>
      <c r="AA658" t="s">
        <v>4010</v>
      </c>
      <c r="AB658">
        <v>96433</v>
      </c>
      <c r="AD658" t="s">
        <v>5</v>
      </c>
      <c r="AE658">
        <v>138</v>
      </c>
      <c r="AF658">
        <v>2</v>
      </c>
      <c r="AH658" t="s">
        <v>4009</v>
      </c>
      <c r="AI658" t="s">
        <v>4008</v>
      </c>
      <c r="AK658" t="s">
        <v>4007</v>
      </c>
      <c r="AL658">
        <v>66</v>
      </c>
      <c r="AM658" s="5">
        <f t="shared" si="82"/>
        <v>2.129032258064516</v>
      </c>
      <c r="AN658" s="4">
        <f t="shared" si="87"/>
        <v>3.2245850178940039E-3</v>
      </c>
      <c r="AO658" s="3"/>
      <c r="AP658">
        <v>0</v>
      </c>
      <c r="AR658" t="s">
        <v>0</v>
      </c>
      <c r="AT658" s="2" t="s">
        <v>33</v>
      </c>
      <c r="AU658" s="1">
        <f t="shared" si="83"/>
        <v>4.5496352307909511</v>
      </c>
      <c r="AV658" s="1">
        <f t="shared" si="84"/>
        <v>3.3418704510762223</v>
      </c>
      <c r="AW658" s="1">
        <f t="shared" si="85"/>
        <v>2.1341056713614934</v>
      </c>
    </row>
    <row r="659" spans="1:49" x14ac:dyDescent="0.2">
      <c r="A659">
        <v>657</v>
      </c>
      <c r="B659" t="s">
        <v>4006</v>
      </c>
      <c r="C659" t="s">
        <v>4005</v>
      </c>
      <c r="F659" t="s">
        <v>4004</v>
      </c>
      <c r="G659" t="s">
        <v>16</v>
      </c>
      <c r="H659" t="s">
        <v>15</v>
      </c>
      <c r="I659" t="s">
        <v>4003</v>
      </c>
      <c r="J659">
        <v>60025209</v>
      </c>
      <c r="K659" t="s">
        <v>4002</v>
      </c>
      <c r="L659" t="s">
        <v>1337</v>
      </c>
      <c r="M659" t="s">
        <v>57</v>
      </c>
      <c r="N659">
        <v>1</v>
      </c>
      <c r="O659" t="s">
        <v>4001</v>
      </c>
      <c r="P659">
        <v>6603081472</v>
      </c>
      <c r="Q659">
        <v>60025209</v>
      </c>
      <c r="R659" s="7">
        <v>33239</v>
      </c>
      <c r="S659" s="8">
        <f t="shared" si="80"/>
        <v>1991</v>
      </c>
      <c r="T659" s="8">
        <v>1991</v>
      </c>
      <c r="U659" s="8">
        <f t="shared" si="81"/>
        <v>31</v>
      </c>
      <c r="V659" s="7">
        <v>33329</v>
      </c>
      <c r="W659" t="s">
        <v>324</v>
      </c>
      <c r="X659" s="2">
        <v>0.88100000000000001</v>
      </c>
      <c r="Y659" s="6">
        <f t="shared" si="86"/>
        <v>2.3517791836843653E-2</v>
      </c>
      <c r="AA659">
        <v>10459243</v>
      </c>
      <c r="AB659">
        <v>17248</v>
      </c>
      <c r="AD659" t="s">
        <v>5</v>
      </c>
      <c r="AE659">
        <v>33</v>
      </c>
      <c r="AF659">
        <v>2</v>
      </c>
      <c r="AH659">
        <v>48</v>
      </c>
      <c r="AL659">
        <v>1</v>
      </c>
      <c r="AM659" s="5">
        <f t="shared" si="82"/>
        <v>3.2258064516129031E-2</v>
      </c>
      <c r="AN659" s="4">
        <f t="shared" si="87"/>
        <v>4.8857348755969758E-5</v>
      </c>
      <c r="AO659" s="3"/>
      <c r="AP659">
        <v>0</v>
      </c>
      <c r="AR659" t="s">
        <v>0</v>
      </c>
      <c r="AT659" s="2" t="s">
        <v>33</v>
      </c>
      <c r="AU659" s="1">
        <f t="shared" si="83"/>
        <v>1.6477111490417349</v>
      </c>
      <c r="AV659" s="1">
        <f t="shared" si="84"/>
        <v>1.1783324592799813</v>
      </c>
      <c r="AW659" s="1">
        <f t="shared" si="85"/>
        <v>0.70895376951822742</v>
      </c>
    </row>
    <row r="660" spans="1:49" x14ac:dyDescent="0.2">
      <c r="A660">
        <v>658</v>
      </c>
      <c r="B660" t="s">
        <v>4000</v>
      </c>
      <c r="C660" t="s">
        <v>3999</v>
      </c>
      <c r="F660" t="s">
        <v>3998</v>
      </c>
      <c r="G660" t="s">
        <v>16</v>
      </c>
      <c r="H660" t="s">
        <v>15</v>
      </c>
      <c r="I660" t="s">
        <v>3997</v>
      </c>
      <c r="J660">
        <v>60028897</v>
      </c>
      <c r="K660" t="s">
        <v>3996</v>
      </c>
      <c r="L660" t="s">
        <v>3995</v>
      </c>
      <c r="M660" t="s">
        <v>1543</v>
      </c>
      <c r="N660">
        <v>2</v>
      </c>
      <c r="O660" t="s">
        <v>3994</v>
      </c>
      <c r="P660" t="s">
        <v>3993</v>
      </c>
      <c r="Q660" t="s">
        <v>3992</v>
      </c>
      <c r="R660" s="7">
        <v>33239</v>
      </c>
      <c r="S660" s="8">
        <f t="shared" si="80"/>
        <v>1991</v>
      </c>
      <c r="T660" s="8">
        <v>1991</v>
      </c>
      <c r="U660" s="8">
        <f t="shared" si="81"/>
        <v>31</v>
      </c>
      <c r="V660" s="7">
        <v>33329</v>
      </c>
      <c r="W660" t="s">
        <v>2721</v>
      </c>
      <c r="X660" s="2">
        <v>0.82</v>
      </c>
      <c r="Y660" s="6">
        <f t="shared" si="86"/>
        <v>2.1889431675609299E-2</v>
      </c>
      <c r="AA660">
        <v>189456</v>
      </c>
      <c r="AB660">
        <v>15361</v>
      </c>
      <c r="AC660">
        <v>15579662</v>
      </c>
      <c r="AD660" t="s">
        <v>5</v>
      </c>
      <c r="AE660">
        <v>40</v>
      </c>
      <c r="AF660">
        <v>2</v>
      </c>
      <c r="AH660" t="s">
        <v>3991</v>
      </c>
      <c r="AI660" t="s">
        <v>3990</v>
      </c>
      <c r="AK660" t="s">
        <v>3989</v>
      </c>
      <c r="AL660">
        <v>6</v>
      </c>
      <c r="AM660" s="5">
        <f t="shared" si="82"/>
        <v>0.19354838709677419</v>
      </c>
      <c r="AN660" s="4">
        <f t="shared" si="87"/>
        <v>2.9314409253581854E-4</v>
      </c>
      <c r="AO660" s="3"/>
      <c r="AP660">
        <v>0</v>
      </c>
      <c r="AR660" t="s">
        <v>0</v>
      </c>
      <c r="AT660" s="2" t="s">
        <v>33</v>
      </c>
      <c r="AU660" s="1">
        <f t="shared" si="83"/>
        <v>1.5410545400687254</v>
      </c>
      <c r="AV660" s="1">
        <f t="shared" si="84"/>
        <v>1.1091287884072558</v>
      </c>
      <c r="AW660" s="1">
        <f t="shared" si="85"/>
        <v>0.67720303674578619</v>
      </c>
    </row>
    <row r="661" spans="1:49" x14ac:dyDescent="0.2">
      <c r="A661">
        <v>659</v>
      </c>
      <c r="B661" t="s">
        <v>3988</v>
      </c>
      <c r="C661" t="s">
        <v>3987</v>
      </c>
      <c r="D661" t="s">
        <v>3986</v>
      </c>
      <c r="F661" t="s">
        <v>3985</v>
      </c>
      <c r="G661" t="s">
        <v>16</v>
      </c>
      <c r="H661" t="s">
        <v>15</v>
      </c>
      <c r="I661" t="s">
        <v>2445</v>
      </c>
      <c r="J661">
        <v>60017161</v>
      </c>
      <c r="K661" t="s">
        <v>2444</v>
      </c>
      <c r="L661" t="s">
        <v>1408</v>
      </c>
      <c r="M661" t="s">
        <v>1407</v>
      </c>
      <c r="N661">
        <v>1</v>
      </c>
      <c r="O661" t="s">
        <v>2443</v>
      </c>
      <c r="P661">
        <v>7202596473</v>
      </c>
      <c r="Q661">
        <v>60017161</v>
      </c>
      <c r="R661" s="7">
        <v>33239</v>
      </c>
      <c r="S661" s="8">
        <f t="shared" si="80"/>
        <v>1991</v>
      </c>
      <c r="T661" s="8">
        <v>1991</v>
      </c>
      <c r="U661" s="8">
        <f t="shared" si="81"/>
        <v>31</v>
      </c>
      <c r="V661" s="7">
        <v>33329</v>
      </c>
      <c r="W661" t="s">
        <v>3984</v>
      </c>
      <c r="X661" s="2">
        <v>0.90700000000000003</v>
      </c>
      <c r="Y661" s="6">
        <f t="shared" si="86"/>
        <v>2.4211846987533703E-2</v>
      </c>
      <c r="AA661">
        <v>1651684</v>
      </c>
      <c r="AB661">
        <v>25548</v>
      </c>
      <c r="AD661" t="s">
        <v>5</v>
      </c>
      <c r="AE661">
        <v>23</v>
      </c>
      <c r="AF661">
        <v>1</v>
      </c>
      <c r="AH661" t="s">
        <v>3983</v>
      </c>
      <c r="AI661" t="s">
        <v>3982</v>
      </c>
      <c r="AJ661" t="s">
        <v>3981</v>
      </c>
      <c r="AK661" t="s">
        <v>3980</v>
      </c>
      <c r="AL661">
        <v>0</v>
      </c>
      <c r="AM661" s="5">
        <f t="shared" si="82"/>
        <v>0</v>
      </c>
      <c r="AN661" s="4">
        <f t="shared" si="87"/>
        <v>0</v>
      </c>
      <c r="AO661" s="3"/>
      <c r="AP661">
        <v>0</v>
      </c>
      <c r="AR661" t="s">
        <v>0</v>
      </c>
      <c r="AT661" s="2">
        <v>4.6619999999999999</v>
      </c>
      <c r="AU661" s="1">
        <f t="shared" si="83"/>
        <v>1.6948292891273591</v>
      </c>
      <c r="AV661" s="1">
        <f t="shared" si="84"/>
        <v>1.210592349376685</v>
      </c>
      <c r="AW661" s="1">
        <f t="shared" si="85"/>
        <v>0.72635540962601108</v>
      </c>
    </row>
    <row r="662" spans="1:49" x14ac:dyDescent="0.2">
      <c r="A662">
        <v>660</v>
      </c>
      <c r="B662" t="s">
        <v>3979</v>
      </c>
      <c r="C662" t="s">
        <v>3978</v>
      </c>
      <c r="F662" t="s">
        <v>3977</v>
      </c>
      <c r="G662" t="s">
        <v>16</v>
      </c>
      <c r="H662" t="s">
        <v>15</v>
      </c>
      <c r="I662" t="s">
        <v>3976</v>
      </c>
      <c r="J662">
        <v>60032882</v>
      </c>
      <c r="K662" t="s">
        <v>3975</v>
      </c>
      <c r="L662" t="s">
        <v>3974</v>
      </c>
      <c r="M662" t="s">
        <v>272</v>
      </c>
      <c r="N662">
        <v>1</v>
      </c>
      <c r="O662" t="s">
        <v>3973</v>
      </c>
      <c r="P662">
        <v>7003821814</v>
      </c>
      <c r="Q662">
        <v>60032882</v>
      </c>
      <c r="R662" s="7">
        <v>33239</v>
      </c>
      <c r="S662" s="8">
        <f t="shared" si="80"/>
        <v>1991</v>
      </c>
      <c r="T662" s="8">
        <v>1991</v>
      </c>
      <c r="U662" s="8">
        <f t="shared" si="81"/>
        <v>31</v>
      </c>
      <c r="V662" s="7">
        <v>33329</v>
      </c>
      <c r="W662" t="s">
        <v>561</v>
      </c>
      <c r="X662" s="2">
        <v>0.30399999999999999</v>
      </c>
      <c r="Y662" s="6">
        <f t="shared" si="86"/>
        <v>8.115106377299057E-3</v>
      </c>
      <c r="AA662">
        <v>8952477</v>
      </c>
      <c r="AB662">
        <v>12250</v>
      </c>
      <c r="AC662">
        <v>10982760</v>
      </c>
      <c r="AD662" t="s">
        <v>5</v>
      </c>
      <c r="AE662">
        <v>4</v>
      </c>
      <c r="AF662">
        <v>5</v>
      </c>
      <c r="AH662" t="s">
        <v>3972</v>
      </c>
      <c r="AI662" t="s">
        <v>3971</v>
      </c>
      <c r="AJ662" t="s">
        <v>3970</v>
      </c>
      <c r="AK662" t="s">
        <v>3969</v>
      </c>
      <c r="AL662">
        <v>0</v>
      </c>
      <c r="AM662" s="5">
        <f t="shared" si="82"/>
        <v>0</v>
      </c>
      <c r="AN662" s="4">
        <f t="shared" si="87"/>
        <v>0</v>
      </c>
      <c r="AO662" s="3"/>
      <c r="AP662">
        <v>0</v>
      </c>
      <c r="AR662" t="s">
        <v>0</v>
      </c>
      <c r="AT662" s="2" t="s">
        <v>33</v>
      </c>
      <c r="AU662" s="1">
        <f t="shared" si="83"/>
        <v>0.56805744641093392</v>
      </c>
      <c r="AV662" s="1">
        <f t="shared" si="84"/>
        <v>0.40575531886495286</v>
      </c>
      <c r="AW662" s="1">
        <f t="shared" si="85"/>
        <v>0.24345319131897172</v>
      </c>
    </row>
    <row r="663" spans="1:49" x14ac:dyDescent="0.2">
      <c r="A663">
        <v>661</v>
      </c>
      <c r="B663" t="s">
        <v>3968</v>
      </c>
      <c r="C663" t="s">
        <v>3967</v>
      </c>
      <c r="F663" t="s">
        <v>3966</v>
      </c>
      <c r="G663" t="s">
        <v>16</v>
      </c>
      <c r="H663" t="s">
        <v>15</v>
      </c>
      <c r="I663" t="s">
        <v>3965</v>
      </c>
      <c r="J663">
        <v>60003500</v>
      </c>
      <c r="K663" t="s">
        <v>1115</v>
      </c>
      <c r="L663" t="s">
        <v>1114</v>
      </c>
      <c r="M663" t="s">
        <v>57</v>
      </c>
      <c r="N663">
        <v>1</v>
      </c>
      <c r="O663" t="s">
        <v>3964</v>
      </c>
      <c r="P663">
        <v>7202816808</v>
      </c>
      <c r="Q663">
        <v>60003500</v>
      </c>
      <c r="R663" s="7">
        <v>33239</v>
      </c>
      <c r="S663" s="8">
        <f t="shared" si="80"/>
        <v>1991</v>
      </c>
      <c r="T663" s="8">
        <v>1991</v>
      </c>
      <c r="U663" s="8">
        <f t="shared" si="81"/>
        <v>31</v>
      </c>
      <c r="V663" s="7">
        <v>33329</v>
      </c>
      <c r="W663" t="s">
        <v>1807</v>
      </c>
      <c r="X663" s="2">
        <v>1.6519999999999999</v>
      </c>
      <c r="Y663" s="6">
        <f t="shared" si="86"/>
        <v>4.409919649769093E-2</v>
      </c>
      <c r="AA663" t="s">
        <v>1806</v>
      </c>
      <c r="AB663">
        <v>17337</v>
      </c>
      <c r="AC663">
        <v>15582221</v>
      </c>
      <c r="AD663" t="s">
        <v>5</v>
      </c>
      <c r="AE663">
        <v>39</v>
      </c>
      <c r="AF663">
        <v>4</v>
      </c>
      <c r="AH663" t="s">
        <v>3963</v>
      </c>
      <c r="AI663" t="s">
        <v>3962</v>
      </c>
      <c r="AK663" t="s">
        <v>3961</v>
      </c>
      <c r="AL663">
        <v>23</v>
      </c>
      <c r="AM663" s="5">
        <f t="shared" si="82"/>
        <v>0.74193548387096775</v>
      </c>
      <c r="AN663" s="4">
        <f t="shared" si="87"/>
        <v>1.1237190213873045E-3</v>
      </c>
      <c r="AO663" s="3"/>
      <c r="AP663">
        <v>0</v>
      </c>
      <c r="AR663" t="s">
        <v>0</v>
      </c>
      <c r="AT663" s="2" t="s">
        <v>33</v>
      </c>
      <c r="AU663" s="1">
        <f t="shared" si="83"/>
        <v>3.120655325479984</v>
      </c>
      <c r="AV663" s="1">
        <f t="shared" si="84"/>
        <v>2.2611457759539118</v>
      </c>
      <c r="AW663" s="1">
        <f t="shared" si="85"/>
        <v>1.4016362264278392</v>
      </c>
    </row>
    <row r="664" spans="1:49" x14ac:dyDescent="0.2">
      <c r="A664">
        <v>662</v>
      </c>
      <c r="B664" t="s">
        <v>3960</v>
      </c>
      <c r="C664" t="s">
        <v>3959</v>
      </c>
      <c r="F664" t="s">
        <v>3958</v>
      </c>
      <c r="G664" t="s">
        <v>16</v>
      </c>
      <c r="H664" t="s">
        <v>15</v>
      </c>
      <c r="I664" t="s">
        <v>3957</v>
      </c>
      <c r="J664">
        <v>60011357</v>
      </c>
      <c r="K664" t="s">
        <v>3956</v>
      </c>
      <c r="L664" t="s">
        <v>3955</v>
      </c>
      <c r="M664" t="s">
        <v>2319</v>
      </c>
      <c r="N664">
        <v>2</v>
      </c>
      <c r="O664" t="s">
        <v>3954</v>
      </c>
      <c r="P664" t="s">
        <v>3953</v>
      </c>
      <c r="Q664" t="s">
        <v>3952</v>
      </c>
      <c r="R664" s="7">
        <v>33239</v>
      </c>
      <c r="S664" s="8">
        <f t="shared" si="80"/>
        <v>1991</v>
      </c>
      <c r="T664" s="8">
        <v>1991</v>
      </c>
      <c r="U664" s="8">
        <f t="shared" si="81"/>
        <v>31</v>
      </c>
      <c r="V664" s="7">
        <v>33329</v>
      </c>
      <c r="W664" t="s">
        <v>1807</v>
      </c>
      <c r="X664" s="2">
        <v>1.6519999999999999</v>
      </c>
      <c r="Y664" s="6">
        <f t="shared" si="86"/>
        <v>4.409919649769093E-2</v>
      </c>
      <c r="AA664" t="s">
        <v>1806</v>
      </c>
      <c r="AB664">
        <v>17337</v>
      </c>
      <c r="AC664">
        <v>15582221</v>
      </c>
      <c r="AD664" t="s">
        <v>5</v>
      </c>
      <c r="AE664">
        <v>39</v>
      </c>
      <c r="AF664">
        <v>4</v>
      </c>
      <c r="AH664" t="s">
        <v>3951</v>
      </c>
      <c r="AI664" t="s">
        <v>3950</v>
      </c>
      <c r="AK664" t="s">
        <v>3949</v>
      </c>
      <c r="AL664">
        <v>1</v>
      </c>
      <c r="AM664" s="5">
        <f t="shared" si="82"/>
        <v>3.2258064516129031E-2</v>
      </c>
      <c r="AN664" s="4">
        <f t="shared" si="87"/>
        <v>4.8857348755969758E-5</v>
      </c>
      <c r="AO664" s="3"/>
      <c r="AP664">
        <v>0</v>
      </c>
      <c r="AR664" t="s">
        <v>0</v>
      </c>
      <c r="AT664" s="2" t="s">
        <v>33</v>
      </c>
      <c r="AU664" s="1">
        <f t="shared" si="83"/>
        <v>3.0884094753010443</v>
      </c>
      <c r="AV664" s="1">
        <f t="shared" si="84"/>
        <v>2.2074026923223449</v>
      </c>
      <c r="AW664" s="1">
        <f t="shared" si="85"/>
        <v>1.3263959093436457</v>
      </c>
    </row>
    <row r="665" spans="1:49" x14ac:dyDescent="0.2">
      <c r="A665">
        <v>663</v>
      </c>
      <c r="B665" t="s">
        <v>3948</v>
      </c>
      <c r="C665" t="s">
        <v>3947</v>
      </c>
      <c r="F665" t="s">
        <v>3946</v>
      </c>
      <c r="G665" t="s">
        <v>16</v>
      </c>
      <c r="H665" t="s">
        <v>15</v>
      </c>
      <c r="I665" t="s">
        <v>3464</v>
      </c>
      <c r="N665">
        <v>1</v>
      </c>
      <c r="O665" t="s">
        <v>3463</v>
      </c>
      <c r="P665">
        <v>24512080300</v>
      </c>
      <c r="R665" s="7">
        <v>33239</v>
      </c>
      <c r="S665" s="8">
        <f t="shared" si="80"/>
        <v>1991</v>
      </c>
      <c r="T665" s="8">
        <v>1991</v>
      </c>
      <c r="U665" s="8">
        <f t="shared" si="81"/>
        <v>31</v>
      </c>
      <c r="V665" s="7">
        <v>33329</v>
      </c>
      <c r="W665" t="s">
        <v>1807</v>
      </c>
      <c r="X665" s="2">
        <v>1.6519999999999999</v>
      </c>
      <c r="Y665" s="6">
        <f t="shared" si="86"/>
        <v>4.409919649769093E-2</v>
      </c>
      <c r="AA665" t="s">
        <v>1806</v>
      </c>
      <c r="AB665">
        <v>17337</v>
      </c>
      <c r="AC665">
        <v>15582221</v>
      </c>
      <c r="AD665" t="s">
        <v>5</v>
      </c>
      <c r="AE665">
        <v>39</v>
      </c>
      <c r="AF665">
        <v>4</v>
      </c>
      <c r="AH665" t="s">
        <v>3945</v>
      </c>
      <c r="AI665" t="s">
        <v>3944</v>
      </c>
      <c r="AK665" t="s">
        <v>3943</v>
      </c>
      <c r="AL665">
        <v>132</v>
      </c>
      <c r="AM665" s="5">
        <f t="shared" si="82"/>
        <v>4.258064516129032</v>
      </c>
      <c r="AN665" s="4">
        <f t="shared" si="87"/>
        <v>6.4491700357880077E-3</v>
      </c>
      <c r="AO665" s="3"/>
      <c r="AP665">
        <v>0</v>
      </c>
      <c r="AR665" t="s">
        <v>0</v>
      </c>
      <c r="AT665" s="2" t="s">
        <v>33</v>
      </c>
      <c r="AU665" s="1">
        <f t="shared" si="83"/>
        <v>3.2804188559120053</v>
      </c>
      <c r="AV665" s="1">
        <f t="shared" si="84"/>
        <v>2.5274183266739469</v>
      </c>
      <c r="AW665" s="1">
        <f t="shared" si="85"/>
        <v>1.7744177974358886</v>
      </c>
    </row>
    <row r="666" spans="1:49" x14ac:dyDescent="0.2">
      <c r="A666">
        <v>664</v>
      </c>
      <c r="B666" t="s">
        <v>3942</v>
      </c>
      <c r="C666" t="s">
        <v>3941</v>
      </c>
      <c r="F666" t="s">
        <v>3940</v>
      </c>
      <c r="G666" t="s">
        <v>16</v>
      </c>
      <c r="H666" t="s">
        <v>15</v>
      </c>
      <c r="I666" t="s">
        <v>3939</v>
      </c>
      <c r="J666">
        <v>60000745</v>
      </c>
      <c r="K666" t="s">
        <v>2506</v>
      </c>
      <c r="L666" t="s">
        <v>2505</v>
      </c>
      <c r="M666" t="s">
        <v>57</v>
      </c>
      <c r="N666">
        <v>4</v>
      </c>
      <c r="O666" t="s">
        <v>3938</v>
      </c>
      <c r="P666" t="s">
        <v>3937</v>
      </c>
      <c r="Q666" t="s">
        <v>3936</v>
      </c>
      <c r="R666" s="7">
        <v>33239</v>
      </c>
      <c r="S666" s="8">
        <f t="shared" si="80"/>
        <v>1991</v>
      </c>
      <c r="T666" s="8">
        <v>1991</v>
      </c>
      <c r="U666" s="8">
        <f t="shared" si="81"/>
        <v>31</v>
      </c>
      <c r="V666" s="7" t="s">
        <v>3768</v>
      </c>
      <c r="W666" s="11" t="s">
        <v>2635</v>
      </c>
      <c r="X666" s="2">
        <v>2.383</v>
      </c>
      <c r="Y666" s="6">
        <f t="shared" si="86"/>
        <v>6.3612824003630442E-2</v>
      </c>
      <c r="AA666" t="s">
        <v>2634</v>
      </c>
      <c r="AB666">
        <v>101151</v>
      </c>
      <c r="AD666" t="s">
        <v>5</v>
      </c>
      <c r="AE666">
        <v>138</v>
      </c>
      <c r="AF666">
        <v>2</v>
      </c>
      <c r="AH666" t="s">
        <v>3935</v>
      </c>
      <c r="AI666" t="s">
        <v>3934</v>
      </c>
      <c r="AK666" t="s">
        <v>3933</v>
      </c>
      <c r="AL666">
        <v>22</v>
      </c>
      <c r="AM666" s="5">
        <f t="shared" si="82"/>
        <v>0.70967741935483875</v>
      </c>
      <c r="AN666" s="4">
        <f t="shared" si="87"/>
        <v>1.0748616726313346E-3</v>
      </c>
      <c r="AO666" s="3"/>
      <c r="AP666">
        <v>0</v>
      </c>
      <c r="AR666" t="s">
        <v>0</v>
      </c>
      <c r="AT666" s="2" t="s">
        <v>33</v>
      </c>
      <c r="AU666" s="1">
        <f t="shared" si="83"/>
        <v>4.4851435304330707</v>
      </c>
      <c r="AV666" s="1">
        <f t="shared" si="84"/>
        <v>3.234384283813089</v>
      </c>
      <c r="AW666" s="1">
        <f t="shared" si="85"/>
        <v>1.9836250371931066</v>
      </c>
    </row>
    <row r="667" spans="1:49" x14ac:dyDescent="0.2">
      <c r="A667">
        <v>665</v>
      </c>
      <c r="B667" t="s">
        <v>3932</v>
      </c>
      <c r="C667" t="s">
        <v>3931</v>
      </c>
      <c r="F667" t="s">
        <v>3930</v>
      </c>
      <c r="G667" t="s">
        <v>16</v>
      </c>
      <c r="H667" t="s">
        <v>15</v>
      </c>
      <c r="I667" t="s">
        <v>3929</v>
      </c>
      <c r="J667">
        <v>60017161</v>
      </c>
      <c r="K667" t="s">
        <v>2444</v>
      </c>
      <c r="L667" t="s">
        <v>1408</v>
      </c>
      <c r="M667" t="s">
        <v>1407</v>
      </c>
      <c r="N667">
        <v>1</v>
      </c>
      <c r="O667" t="s">
        <v>2443</v>
      </c>
      <c r="P667">
        <v>7202596473</v>
      </c>
      <c r="Q667">
        <v>60017161</v>
      </c>
      <c r="R667" s="7">
        <v>33239</v>
      </c>
      <c r="S667" s="8">
        <f t="shared" si="80"/>
        <v>1991</v>
      </c>
      <c r="T667" s="8">
        <v>1991</v>
      </c>
      <c r="U667" s="8">
        <f t="shared" si="81"/>
        <v>31</v>
      </c>
      <c r="V667" s="7">
        <v>33329</v>
      </c>
      <c r="W667" t="s">
        <v>1807</v>
      </c>
      <c r="X667" s="2">
        <v>1.6519999999999999</v>
      </c>
      <c r="Y667" s="6">
        <f t="shared" si="86"/>
        <v>4.409919649769093E-2</v>
      </c>
      <c r="AA667" t="s">
        <v>1806</v>
      </c>
      <c r="AB667">
        <v>17337</v>
      </c>
      <c r="AC667">
        <v>15582221</v>
      </c>
      <c r="AD667" t="s">
        <v>5</v>
      </c>
      <c r="AE667">
        <v>39</v>
      </c>
      <c r="AF667">
        <v>4</v>
      </c>
      <c r="AH667" t="s">
        <v>3928</v>
      </c>
      <c r="AI667" t="s">
        <v>3927</v>
      </c>
      <c r="AK667" t="s">
        <v>3926</v>
      </c>
      <c r="AL667">
        <v>3</v>
      </c>
      <c r="AM667" s="5">
        <f t="shared" si="82"/>
        <v>9.6774193548387094E-2</v>
      </c>
      <c r="AN667" s="4">
        <f t="shared" si="87"/>
        <v>1.4657204626790927E-4</v>
      </c>
      <c r="AO667" s="3"/>
      <c r="AP667">
        <v>0</v>
      </c>
      <c r="AR667" t="s">
        <v>0</v>
      </c>
      <c r="AT667" s="2" t="s">
        <v>33</v>
      </c>
      <c r="AU667" s="1">
        <f t="shared" si="83"/>
        <v>3.0913409162264025</v>
      </c>
      <c r="AV667" s="1">
        <f t="shared" si="84"/>
        <v>2.2122884271979419</v>
      </c>
      <c r="AW667" s="1">
        <f t="shared" si="85"/>
        <v>1.3332359381694814</v>
      </c>
    </row>
    <row r="668" spans="1:49" x14ac:dyDescent="0.2">
      <c r="A668">
        <v>666</v>
      </c>
      <c r="B668" t="s">
        <v>3925</v>
      </c>
      <c r="C668" t="s">
        <v>3924</v>
      </c>
      <c r="F668" t="s">
        <v>3923</v>
      </c>
      <c r="G668" t="s">
        <v>16</v>
      </c>
      <c r="H668" t="s">
        <v>15</v>
      </c>
      <c r="I668" t="s">
        <v>3922</v>
      </c>
      <c r="J668" t="s">
        <v>3921</v>
      </c>
      <c r="K668" t="s">
        <v>3920</v>
      </c>
      <c r="L668" t="s">
        <v>3919</v>
      </c>
      <c r="M668" t="s">
        <v>3918</v>
      </c>
      <c r="N668">
        <v>1</v>
      </c>
      <c r="O668" t="s">
        <v>3917</v>
      </c>
      <c r="P668">
        <v>7005910499</v>
      </c>
      <c r="Q668" t="s">
        <v>3916</v>
      </c>
      <c r="R668" s="7">
        <v>33239</v>
      </c>
      <c r="S668" s="8">
        <f t="shared" si="80"/>
        <v>1991</v>
      </c>
      <c r="T668" s="8">
        <v>1991</v>
      </c>
      <c r="U668" s="8">
        <f t="shared" si="81"/>
        <v>31</v>
      </c>
      <c r="V668" s="7">
        <v>33329</v>
      </c>
      <c r="W668" t="s">
        <v>2721</v>
      </c>
      <c r="X668" s="2">
        <v>0.82</v>
      </c>
      <c r="Y668" s="6">
        <f t="shared" si="86"/>
        <v>2.1889431675609299E-2</v>
      </c>
      <c r="AA668">
        <v>189456</v>
      </c>
      <c r="AB668">
        <v>15361</v>
      </c>
      <c r="AC668">
        <v>15579662</v>
      </c>
      <c r="AD668" t="s">
        <v>5</v>
      </c>
      <c r="AE668">
        <v>40</v>
      </c>
      <c r="AF668">
        <v>2</v>
      </c>
      <c r="AH668" t="s">
        <v>3915</v>
      </c>
      <c r="AI668" t="s">
        <v>3914</v>
      </c>
      <c r="AK668" t="s">
        <v>3913</v>
      </c>
      <c r="AL668">
        <v>2</v>
      </c>
      <c r="AM668" s="5">
        <f t="shared" si="82"/>
        <v>6.4516129032258063E-2</v>
      </c>
      <c r="AN668" s="4">
        <f t="shared" si="87"/>
        <v>9.7714697511939517E-5</v>
      </c>
      <c r="AO668" s="3"/>
      <c r="AP668">
        <v>0</v>
      </c>
      <c r="AR668" t="s">
        <v>0</v>
      </c>
      <c r="AT668" s="2" t="s">
        <v>33</v>
      </c>
      <c r="AU668" s="1">
        <f t="shared" si="83"/>
        <v>1.535191658218009</v>
      </c>
      <c r="AV668" s="1">
        <f t="shared" si="84"/>
        <v>1.0993573186560619</v>
      </c>
      <c r="AW668" s="1">
        <f t="shared" si="85"/>
        <v>0.66352297909411473</v>
      </c>
    </row>
    <row r="669" spans="1:49" x14ac:dyDescent="0.2">
      <c r="A669">
        <v>667</v>
      </c>
      <c r="B669" t="s">
        <v>3912</v>
      </c>
      <c r="C669" t="s">
        <v>3911</v>
      </c>
      <c r="F669" t="s">
        <v>3910</v>
      </c>
      <c r="G669" t="s">
        <v>16</v>
      </c>
      <c r="H669" t="s">
        <v>15</v>
      </c>
      <c r="I669" t="s">
        <v>3909</v>
      </c>
      <c r="J669" t="s">
        <v>3908</v>
      </c>
      <c r="K669" t="s">
        <v>3907</v>
      </c>
      <c r="L669" t="s">
        <v>3906</v>
      </c>
      <c r="M669" t="s">
        <v>3905</v>
      </c>
      <c r="N669">
        <v>4</v>
      </c>
      <c r="O669" t="s">
        <v>3904</v>
      </c>
      <c r="P669" t="s">
        <v>3903</v>
      </c>
      <c r="Q669" t="s">
        <v>3902</v>
      </c>
      <c r="R669" s="7">
        <v>33239</v>
      </c>
      <c r="S669" s="8">
        <f t="shared" si="80"/>
        <v>1991</v>
      </c>
      <c r="T669" s="8">
        <v>1991</v>
      </c>
      <c r="U669" s="8">
        <f t="shared" si="81"/>
        <v>31</v>
      </c>
      <c r="V669" s="7">
        <v>33329</v>
      </c>
      <c r="W669" t="s">
        <v>2721</v>
      </c>
      <c r="X669" s="2">
        <v>0.82</v>
      </c>
      <c r="Y669" s="6">
        <f t="shared" si="86"/>
        <v>2.1889431675609299E-2</v>
      </c>
      <c r="AA669">
        <v>189456</v>
      </c>
      <c r="AB669">
        <v>15361</v>
      </c>
      <c r="AC669">
        <v>15579662</v>
      </c>
      <c r="AD669" t="s">
        <v>5</v>
      </c>
      <c r="AE669">
        <v>40</v>
      </c>
      <c r="AF669">
        <v>2</v>
      </c>
      <c r="AH669" t="s">
        <v>3901</v>
      </c>
      <c r="AI669" t="s">
        <v>3900</v>
      </c>
      <c r="AK669" t="s">
        <v>3899</v>
      </c>
      <c r="AL669">
        <v>2</v>
      </c>
      <c r="AM669" s="5">
        <f t="shared" si="82"/>
        <v>6.4516129032258063E-2</v>
      </c>
      <c r="AN669" s="4">
        <f t="shared" si="87"/>
        <v>9.7714697511939517E-5</v>
      </c>
      <c r="AO669" s="3"/>
      <c r="AP669">
        <v>0</v>
      </c>
      <c r="AR669" t="s">
        <v>0</v>
      </c>
      <c r="AT669" s="2" t="s">
        <v>33</v>
      </c>
      <c r="AU669" s="1">
        <f t="shared" si="83"/>
        <v>1.535191658218009</v>
      </c>
      <c r="AV669" s="1">
        <f t="shared" si="84"/>
        <v>1.0993573186560619</v>
      </c>
      <c r="AW669" s="1">
        <f t="shared" si="85"/>
        <v>0.66352297909411473</v>
      </c>
    </row>
    <row r="670" spans="1:49" x14ac:dyDescent="0.2">
      <c r="A670">
        <v>668</v>
      </c>
      <c r="B670" t="s">
        <v>3898</v>
      </c>
      <c r="C670" t="s">
        <v>3897</v>
      </c>
      <c r="F670" t="s">
        <v>3896</v>
      </c>
      <c r="G670" t="s">
        <v>16</v>
      </c>
      <c r="H670" t="s">
        <v>15</v>
      </c>
      <c r="I670" t="s">
        <v>3895</v>
      </c>
      <c r="J670">
        <v>60029311</v>
      </c>
      <c r="K670" t="s">
        <v>3894</v>
      </c>
      <c r="L670" t="s">
        <v>1337</v>
      </c>
      <c r="M670" t="s">
        <v>57</v>
      </c>
      <c r="N670">
        <v>2</v>
      </c>
      <c r="O670" t="s">
        <v>3893</v>
      </c>
      <c r="P670" t="s">
        <v>3892</v>
      </c>
      <c r="Q670" t="s">
        <v>3891</v>
      </c>
      <c r="R670" s="7">
        <v>33239</v>
      </c>
      <c r="S670" s="8">
        <f t="shared" si="80"/>
        <v>1991</v>
      </c>
      <c r="T670" s="8">
        <v>1991</v>
      </c>
      <c r="U670" s="8">
        <f t="shared" si="81"/>
        <v>31</v>
      </c>
      <c r="V670" s="7">
        <v>33329</v>
      </c>
      <c r="W670" t="s">
        <v>1807</v>
      </c>
      <c r="X670" s="2">
        <v>1.6519999999999999</v>
      </c>
      <c r="Y670" s="6">
        <f t="shared" si="86"/>
        <v>4.409919649769093E-2</v>
      </c>
      <c r="AA670" t="s">
        <v>1806</v>
      </c>
      <c r="AB670">
        <v>17337</v>
      </c>
      <c r="AC670">
        <v>15582221</v>
      </c>
      <c r="AD670" t="s">
        <v>5</v>
      </c>
      <c r="AE670">
        <v>39</v>
      </c>
      <c r="AF670">
        <v>4</v>
      </c>
      <c r="AH670" t="s">
        <v>3890</v>
      </c>
      <c r="AI670" t="s">
        <v>3889</v>
      </c>
      <c r="AK670" t="s">
        <v>3888</v>
      </c>
      <c r="AL670">
        <v>1</v>
      </c>
      <c r="AM670" s="5">
        <f t="shared" si="82"/>
        <v>3.2258064516129031E-2</v>
      </c>
      <c r="AN670" s="4">
        <f t="shared" si="87"/>
        <v>4.8857348755969758E-5</v>
      </c>
      <c r="AO670" s="3"/>
      <c r="AP670">
        <v>0</v>
      </c>
      <c r="AR670" t="s">
        <v>0</v>
      </c>
      <c r="AT670" s="2" t="s">
        <v>33</v>
      </c>
      <c r="AU670" s="1">
        <f t="shared" si="83"/>
        <v>3.0884094753010443</v>
      </c>
      <c r="AV670" s="1">
        <f t="shared" si="84"/>
        <v>2.2074026923223449</v>
      </c>
      <c r="AW670" s="1">
        <f t="shared" si="85"/>
        <v>1.3263959093436457</v>
      </c>
    </row>
    <row r="671" spans="1:49" x14ac:dyDescent="0.2">
      <c r="A671">
        <v>669</v>
      </c>
      <c r="B671" t="s">
        <v>3887</v>
      </c>
      <c r="C671" t="s">
        <v>3886</v>
      </c>
      <c r="F671" t="s">
        <v>3885</v>
      </c>
      <c r="G671" t="s">
        <v>16</v>
      </c>
      <c r="H671" t="s">
        <v>15</v>
      </c>
      <c r="I671" t="s">
        <v>3884</v>
      </c>
      <c r="J671">
        <v>60020661</v>
      </c>
      <c r="K671" t="s">
        <v>3883</v>
      </c>
      <c r="L671" t="s">
        <v>3882</v>
      </c>
      <c r="M671" t="s">
        <v>117</v>
      </c>
      <c r="N671">
        <v>2</v>
      </c>
      <c r="O671" t="s">
        <v>3881</v>
      </c>
      <c r="P671" t="s">
        <v>3880</v>
      </c>
      <c r="Q671" t="s">
        <v>3879</v>
      </c>
      <c r="R671" s="7">
        <v>33239</v>
      </c>
      <c r="S671" s="8">
        <f t="shared" si="80"/>
        <v>1991</v>
      </c>
      <c r="T671" s="8">
        <v>1991</v>
      </c>
      <c r="U671" s="8">
        <f t="shared" si="81"/>
        <v>31</v>
      </c>
      <c r="V671" s="7" t="s">
        <v>3768</v>
      </c>
      <c r="W671" s="11" t="s">
        <v>3878</v>
      </c>
      <c r="X671" s="2">
        <v>2.383</v>
      </c>
      <c r="Y671" s="6">
        <f t="shared" si="86"/>
        <v>6.3612824003630442E-2</v>
      </c>
      <c r="AA671">
        <v>9563776</v>
      </c>
      <c r="AB671">
        <v>68339</v>
      </c>
      <c r="AD671" t="s">
        <v>5</v>
      </c>
      <c r="AE671">
        <v>138</v>
      </c>
      <c r="AF671">
        <v>2</v>
      </c>
      <c r="AH671" t="s">
        <v>3877</v>
      </c>
      <c r="AI671" t="s">
        <v>3876</v>
      </c>
      <c r="AK671" t="s">
        <v>3875</v>
      </c>
      <c r="AL671">
        <v>13</v>
      </c>
      <c r="AM671" s="5">
        <f t="shared" si="82"/>
        <v>0.41935483870967744</v>
      </c>
      <c r="AN671" s="4">
        <f t="shared" si="87"/>
        <v>6.3514553382760684E-4</v>
      </c>
      <c r="AO671" s="3"/>
      <c r="AP671">
        <v>0</v>
      </c>
      <c r="AR671" t="s">
        <v>0</v>
      </c>
      <c r="AT671" s="2" t="s">
        <v>33</v>
      </c>
      <c r="AU671" s="1">
        <f t="shared" si="83"/>
        <v>4.4719520462689593</v>
      </c>
      <c r="AV671" s="1">
        <f t="shared" si="84"/>
        <v>3.2123984768729028</v>
      </c>
      <c r="AW671" s="1">
        <f t="shared" si="85"/>
        <v>1.9528449074768459</v>
      </c>
    </row>
    <row r="672" spans="1:49" x14ac:dyDescent="0.2">
      <c r="A672">
        <v>670</v>
      </c>
      <c r="B672" t="s">
        <v>3874</v>
      </c>
      <c r="C672" t="s">
        <v>3873</v>
      </c>
      <c r="F672" t="s">
        <v>3872</v>
      </c>
      <c r="G672" t="s">
        <v>16</v>
      </c>
      <c r="H672" t="s">
        <v>15</v>
      </c>
      <c r="I672" t="s">
        <v>3871</v>
      </c>
      <c r="N672">
        <v>1</v>
      </c>
      <c r="O672" t="s">
        <v>3870</v>
      </c>
      <c r="P672">
        <v>7501759832</v>
      </c>
      <c r="R672" s="7">
        <v>33239</v>
      </c>
      <c r="S672" s="8">
        <f t="shared" si="80"/>
        <v>1991</v>
      </c>
      <c r="T672" s="8">
        <v>1991</v>
      </c>
      <c r="U672" s="8">
        <f t="shared" si="81"/>
        <v>31</v>
      </c>
      <c r="V672" s="7">
        <v>33329</v>
      </c>
      <c r="W672" t="s">
        <v>1807</v>
      </c>
      <c r="X672" s="2">
        <v>1.6519999999999999</v>
      </c>
      <c r="Y672" s="6">
        <f t="shared" si="86"/>
        <v>4.409919649769093E-2</v>
      </c>
      <c r="AA672" t="s">
        <v>1806</v>
      </c>
      <c r="AB672">
        <v>17337</v>
      </c>
      <c r="AC672">
        <v>15582221</v>
      </c>
      <c r="AD672" t="s">
        <v>5</v>
      </c>
      <c r="AE672">
        <v>39</v>
      </c>
      <c r="AF672">
        <v>4</v>
      </c>
      <c r="AH672" t="s">
        <v>3869</v>
      </c>
      <c r="AI672" t="s">
        <v>3868</v>
      </c>
      <c r="AK672" t="s">
        <v>3867</v>
      </c>
      <c r="AL672">
        <v>51</v>
      </c>
      <c r="AM672" s="5">
        <f t="shared" si="82"/>
        <v>1.6451612903225807</v>
      </c>
      <c r="AN672" s="4">
        <f t="shared" si="87"/>
        <v>2.4917247865544577E-3</v>
      </c>
      <c r="AO672" s="3"/>
      <c r="AP672">
        <v>0</v>
      </c>
      <c r="AR672" t="s">
        <v>0</v>
      </c>
      <c r="AT672" s="2" t="s">
        <v>33</v>
      </c>
      <c r="AU672" s="1">
        <f t="shared" si="83"/>
        <v>3.1616954984349985</v>
      </c>
      <c r="AV672" s="1">
        <f t="shared" si="84"/>
        <v>2.3295460642122694</v>
      </c>
      <c r="AW672" s="1">
        <f t="shared" si="85"/>
        <v>1.4973966299895398</v>
      </c>
    </row>
    <row r="673" spans="1:49" x14ac:dyDescent="0.2">
      <c r="A673">
        <v>671</v>
      </c>
      <c r="B673" t="s">
        <v>3866</v>
      </c>
      <c r="C673" t="s">
        <v>3865</v>
      </c>
      <c r="F673" t="s">
        <v>3864</v>
      </c>
      <c r="G673" t="s">
        <v>16</v>
      </c>
      <c r="H673" t="s">
        <v>15</v>
      </c>
      <c r="I673" t="s">
        <v>3863</v>
      </c>
      <c r="J673">
        <v>60103653</v>
      </c>
      <c r="K673" t="s">
        <v>2700</v>
      </c>
      <c r="L673" t="s">
        <v>2699</v>
      </c>
      <c r="M673" t="s">
        <v>173</v>
      </c>
      <c r="N673">
        <v>3</v>
      </c>
      <c r="O673" t="s">
        <v>3862</v>
      </c>
      <c r="P673" t="s">
        <v>3861</v>
      </c>
      <c r="Q673" t="s">
        <v>2696</v>
      </c>
      <c r="R673" s="7">
        <v>33239</v>
      </c>
      <c r="S673" s="8">
        <f t="shared" si="80"/>
        <v>1991</v>
      </c>
      <c r="T673" s="8">
        <v>1991</v>
      </c>
      <c r="U673" s="8">
        <f t="shared" si="81"/>
        <v>31</v>
      </c>
      <c r="V673" s="7" t="s">
        <v>3768</v>
      </c>
      <c r="W673" s="11" t="s">
        <v>2635</v>
      </c>
      <c r="X673" s="2">
        <v>2.383</v>
      </c>
      <c r="Y673" s="6">
        <f t="shared" si="86"/>
        <v>6.3612824003630442E-2</v>
      </c>
      <c r="AA673" t="s">
        <v>2634</v>
      </c>
      <c r="AB673">
        <v>101151</v>
      </c>
      <c r="AD673" t="s">
        <v>5</v>
      </c>
      <c r="AE673">
        <v>138</v>
      </c>
      <c r="AF673">
        <v>2</v>
      </c>
      <c r="AH673" t="s">
        <v>3860</v>
      </c>
      <c r="AI673" t="s">
        <v>3859</v>
      </c>
      <c r="AK673" t="s">
        <v>3858</v>
      </c>
      <c r="AL673">
        <v>10</v>
      </c>
      <c r="AM673" s="5">
        <f t="shared" si="82"/>
        <v>0.32258064516129031</v>
      </c>
      <c r="AN673" s="4">
        <f t="shared" si="87"/>
        <v>4.8857348755969754E-4</v>
      </c>
      <c r="AO673" s="3"/>
      <c r="AP673">
        <v>0</v>
      </c>
      <c r="AR673" t="s">
        <v>0</v>
      </c>
      <c r="AT673" s="2" t="s">
        <v>33</v>
      </c>
      <c r="AU673" s="1">
        <f t="shared" si="83"/>
        <v>4.4675548848809221</v>
      </c>
      <c r="AV673" s="1">
        <f t="shared" si="84"/>
        <v>3.2050698745595065</v>
      </c>
      <c r="AW673" s="1">
        <f t="shared" si="85"/>
        <v>1.9425848642380923</v>
      </c>
    </row>
    <row r="674" spans="1:49" x14ac:dyDescent="0.2">
      <c r="A674">
        <v>672</v>
      </c>
      <c r="B674" t="s">
        <v>3857</v>
      </c>
      <c r="C674" t="s">
        <v>3856</v>
      </c>
      <c r="F674" t="s">
        <v>3855</v>
      </c>
      <c r="G674" t="s">
        <v>16</v>
      </c>
      <c r="H674" t="s">
        <v>15</v>
      </c>
      <c r="I674" t="s">
        <v>3854</v>
      </c>
      <c r="J674">
        <v>60010491</v>
      </c>
      <c r="K674" t="s">
        <v>3853</v>
      </c>
      <c r="L674" t="s">
        <v>3852</v>
      </c>
      <c r="M674" t="s">
        <v>57</v>
      </c>
      <c r="N674">
        <v>3</v>
      </c>
      <c r="O674" t="s">
        <v>3851</v>
      </c>
      <c r="P674" t="s">
        <v>3850</v>
      </c>
      <c r="Q674" t="s">
        <v>3849</v>
      </c>
      <c r="R674" s="7">
        <v>33239</v>
      </c>
      <c r="S674" s="8">
        <f t="shared" si="80"/>
        <v>1991</v>
      </c>
      <c r="T674" s="8">
        <v>1991</v>
      </c>
      <c r="U674" s="8">
        <f t="shared" si="81"/>
        <v>31</v>
      </c>
      <c r="V674" s="7" t="s">
        <v>3768</v>
      </c>
      <c r="W674" s="11" t="s">
        <v>2635</v>
      </c>
      <c r="X674" s="2">
        <v>2.383</v>
      </c>
      <c r="Y674" s="6">
        <f t="shared" si="86"/>
        <v>6.3612824003630442E-2</v>
      </c>
      <c r="AA674" t="s">
        <v>2634</v>
      </c>
      <c r="AB674">
        <v>101151</v>
      </c>
      <c r="AD674" t="s">
        <v>5</v>
      </c>
      <c r="AE674">
        <v>138</v>
      </c>
      <c r="AF674">
        <v>2</v>
      </c>
      <c r="AH674" t="s">
        <v>3848</v>
      </c>
      <c r="AI674" t="s">
        <v>3847</v>
      </c>
      <c r="AK674" t="s">
        <v>3846</v>
      </c>
      <c r="AL674">
        <v>33</v>
      </c>
      <c r="AM674" s="5">
        <f t="shared" si="82"/>
        <v>1.064516129032258</v>
      </c>
      <c r="AN674" s="4">
        <f t="shared" si="87"/>
        <v>1.6122925089470019E-3</v>
      </c>
      <c r="AO674" s="3"/>
      <c r="AP674">
        <v>0</v>
      </c>
      <c r="AR674" t="s">
        <v>0</v>
      </c>
      <c r="AT674" s="2" t="s">
        <v>33</v>
      </c>
      <c r="AU674" s="1">
        <f t="shared" si="83"/>
        <v>4.5012664555225408</v>
      </c>
      <c r="AV674" s="1">
        <f t="shared" si="84"/>
        <v>3.2612558256288717</v>
      </c>
      <c r="AW674" s="1">
        <f t="shared" si="85"/>
        <v>2.0212451957352036</v>
      </c>
    </row>
    <row r="675" spans="1:49" x14ac:dyDescent="0.2">
      <c r="A675">
        <v>673</v>
      </c>
      <c r="B675" t="s">
        <v>3845</v>
      </c>
      <c r="C675" t="s">
        <v>3844</v>
      </c>
      <c r="F675" t="s">
        <v>3843</v>
      </c>
      <c r="G675" t="s">
        <v>16</v>
      </c>
      <c r="H675" t="s">
        <v>15</v>
      </c>
      <c r="I675" t="s">
        <v>3842</v>
      </c>
      <c r="J675" t="s">
        <v>3841</v>
      </c>
      <c r="K675" t="s">
        <v>3840</v>
      </c>
      <c r="L675" t="s">
        <v>3839</v>
      </c>
      <c r="M675" t="s">
        <v>3838</v>
      </c>
      <c r="N675">
        <v>2</v>
      </c>
      <c r="O675" t="s">
        <v>3837</v>
      </c>
      <c r="P675" t="s">
        <v>3836</v>
      </c>
      <c r="Q675" t="s">
        <v>3835</v>
      </c>
      <c r="R675" s="7">
        <v>33239</v>
      </c>
      <c r="S675" s="8">
        <f t="shared" si="80"/>
        <v>1991</v>
      </c>
      <c r="T675" s="8">
        <v>1991</v>
      </c>
      <c r="U675" s="8">
        <f t="shared" si="81"/>
        <v>31</v>
      </c>
      <c r="V675" s="7">
        <v>33329</v>
      </c>
      <c r="W675" t="s">
        <v>2721</v>
      </c>
      <c r="X675" s="2">
        <v>0.82</v>
      </c>
      <c r="Y675" s="6">
        <f t="shared" si="86"/>
        <v>2.1889431675609299E-2</v>
      </c>
      <c r="AA675">
        <v>189456</v>
      </c>
      <c r="AB675">
        <v>15361</v>
      </c>
      <c r="AC675">
        <v>15579662</v>
      </c>
      <c r="AD675" t="s">
        <v>5</v>
      </c>
      <c r="AE675">
        <v>40</v>
      </c>
      <c r="AF675">
        <v>2</v>
      </c>
      <c r="AH675" t="s">
        <v>3834</v>
      </c>
      <c r="AI675" t="s">
        <v>3833</v>
      </c>
      <c r="AK675" t="s">
        <v>3832</v>
      </c>
      <c r="AL675">
        <v>5</v>
      </c>
      <c r="AM675" s="5">
        <f t="shared" si="82"/>
        <v>0.16129032258064516</v>
      </c>
      <c r="AN675" s="4">
        <f t="shared" si="87"/>
        <v>2.4428674377984877E-4</v>
      </c>
      <c r="AO675" s="3"/>
      <c r="AP675">
        <v>0</v>
      </c>
      <c r="AR675" t="s">
        <v>0</v>
      </c>
      <c r="AT675" s="2" t="s">
        <v>33</v>
      </c>
      <c r="AU675" s="1">
        <f t="shared" si="83"/>
        <v>1.5395888196060463</v>
      </c>
      <c r="AV675" s="1">
        <f t="shared" si="84"/>
        <v>1.1066859209694575</v>
      </c>
      <c r="AW675" s="1">
        <f t="shared" si="85"/>
        <v>0.67378302233286835</v>
      </c>
    </row>
    <row r="676" spans="1:49" x14ac:dyDescent="0.2">
      <c r="A676">
        <v>674</v>
      </c>
      <c r="B676" t="s">
        <v>3831</v>
      </c>
      <c r="C676" t="s">
        <v>3830</v>
      </c>
      <c r="F676" t="s">
        <v>3829</v>
      </c>
      <c r="G676" t="s">
        <v>16</v>
      </c>
      <c r="H676" t="s">
        <v>15</v>
      </c>
      <c r="I676" t="s">
        <v>3828</v>
      </c>
      <c r="N676">
        <v>3</v>
      </c>
      <c r="O676" t="s">
        <v>3827</v>
      </c>
      <c r="P676" t="s">
        <v>3826</v>
      </c>
      <c r="Q676" t="s">
        <v>757</v>
      </c>
      <c r="R676" s="7">
        <v>33239</v>
      </c>
      <c r="S676" s="8">
        <f t="shared" si="80"/>
        <v>1991</v>
      </c>
      <c r="T676" s="8">
        <v>1991</v>
      </c>
      <c r="U676" s="8">
        <f t="shared" si="81"/>
        <v>31</v>
      </c>
      <c r="V676" s="7">
        <v>33329</v>
      </c>
      <c r="W676" t="s">
        <v>1807</v>
      </c>
      <c r="X676" s="2">
        <v>1.6519999999999999</v>
      </c>
      <c r="Y676" s="6">
        <f t="shared" si="86"/>
        <v>4.409919649769093E-2</v>
      </c>
      <c r="AA676" t="s">
        <v>1806</v>
      </c>
      <c r="AB676">
        <v>17337</v>
      </c>
      <c r="AC676">
        <v>15582221</v>
      </c>
      <c r="AD676" t="s">
        <v>5</v>
      </c>
      <c r="AE676">
        <v>39</v>
      </c>
      <c r="AF676">
        <v>4</v>
      </c>
      <c r="AH676" t="s">
        <v>3825</v>
      </c>
      <c r="AI676" t="s">
        <v>3824</v>
      </c>
      <c r="AK676" t="s">
        <v>3823</v>
      </c>
      <c r="AL676">
        <v>9</v>
      </c>
      <c r="AM676" s="5">
        <f t="shared" si="82"/>
        <v>0.29032258064516131</v>
      </c>
      <c r="AN676" s="4">
        <f t="shared" si="87"/>
        <v>4.3971613880372783E-4</v>
      </c>
      <c r="AO676" s="3"/>
      <c r="AP676">
        <v>0</v>
      </c>
      <c r="AR676" t="s">
        <v>0</v>
      </c>
      <c r="AT676" s="2" t="s">
        <v>33</v>
      </c>
      <c r="AU676" s="1">
        <f t="shared" si="83"/>
        <v>3.1001352390024768</v>
      </c>
      <c r="AV676" s="1">
        <f t="shared" si="84"/>
        <v>2.2269456318247327</v>
      </c>
      <c r="AW676" s="1">
        <f t="shared" si="85"/>
        <v>1.3537560246469886</v>
      </c>
    </row>
    <row r="677" spans="1:49" x14ac:dyDescent="0.2">
      <c r="A677">
        <v>675</v>
      </c>
      <c r="B677" t="s">
        <v>3822</v>
      </c>
      <c r="C677" t="s">
        <v>3821</v>
      </c>
      <c r="D677" t="s">
        <v>3820</v>
      </c>
      <c r="F677" t="s">
        <v>3819</v>
      </c>
      <c r="G677" t="s">
        <v>16</v>
      </c>
      <c r="H677" t="s">
        <v>15</v>
      </c>
      <c r="I677" t="s">
        <v>3818</v>
      </c>
      <c r="J677">
        <v>60002286</v>
      </c>
      <c r="K677" t="s">
        <v>3817</v>
      </c>
      <c r="L677" t="s">
        <v>904</v>
      </c>
      <c r="M677" t="s">
        <v>272</v>
      </c>
      <c r="N677">
        <v>2</v>
      </c>
      <c r="O677" t="s">
        <v>3816</v>
      </c>
      <c r="P677" t="s">
        <v>3815</v>
      </c>
      <c r="Q677" t="s">
        <v>3814</v>
      </c>
      <c r="R677" s="7">
        <v>33239</v>
      </c>
      <c r="S677" s="8">
        <f t="shared" si="80"/>
        <v>1991</v>
      </c>
      <c r="T677" s="8">
        <v>1991</v>
      </c>
      <c r="U677" s="8">
        <f t="shared" si="81"/>
        <v>31</v>
      </c>
      <c r="V677" s="7">
        <v>33329</v>
      </c>
      <c r="W677" t="s">
        <v>3813</v>
      </c>
      <c r="X677" s="2">
        <v>0.66900000000000004</v>
      </c>
      <c r="Y677" s="6">
        <f t="shared" si="86"/>
        <v>1.7858572915832469E-2</v>
      </c>
      <c r="AA677">
        <v>112275</v>
      </c>
      <c r="AB677">
        <v>13713</v>
      </c>
      <c r="AD677" t="s">
        <v>5</v>
      </c>
      <c r="AE677">
        <v>31</v>
      </c>
      <c r="AF677">
        <v>4</v>
      </c>
      <c r="AH677" t="s">
        <v>3812</v>
      </c>
      <c r="AI677" t="s">
        <v>3811</v>
      </c>
      <c r="AJ677" t="s">
        <v>3810</v>
      </c>
      <c r="AK677" t="s">
        <v>3809</v>
      </c>
      <c r="AL677">
        <v>12</v>
      </c>
      <c r="AM677" s="5">
        <f t="shared" si="82"/>
        <v>0.38709677419354838</v>
      </c>
      <c r="AN677" s="4">
        <f t="shared" si="87"/>
        <v>5.8628818507163707E-4</v>
      </c>
      <c r="AO677" s="3"/>
      <c r="AP677">
        <v>0</v>
      </c>
      <c r="AR677" t="s">
        <v>0</v>
      </c>
      <c r="AT677" s="2">
        <v>2.226</v>
      </c>
      <c r="AU677" s="1">
        <f t="shared" si="83"/>
        <v>1.2676887496604217</v>
      </c>
      <c r="AV677" s="1">
        <f t="shared" si="84"/>
        <v>0.92224305504520521</v>
      </c>
      <c r="AW677" s="1">
        <f t="shared" si="85"/>
        <v>0.57679736042998875</v>
      </c>
    </row>
    <row r="678" spans="1:49" x14ac:dyDescent="0.2">
      <c r="A678">
        <v>676</v>
      </c>
      <c r="B678" t="s">
        <v>3808</v>
      </c>
      <c r="C678" t="s">
        <v>3807</v>
      </c>
      <c r="F678" t="s">
        <v>3806</v>
      </c>
      <c r="G678" t="s">
        <v>16</v>
      </c>
      <c r="H678" t="s">
        <v>15</v>
      </c>
      <c r="I678" t="s">
        <v>3805</v>
      </c>
      <c r="J678">
        <v>60025555</v>
      </c>
      <c r="K678" t="s">
        <v>2786</v>
      </c>
      <c r="L678" t="s">
        <v>327</v>
      </c>
      <c r="M678" t="s">
        <v>326</v>
      </c>
      <c r="N678">
        <v>2</v>
      </c>
      <c r="O678" t="s">
        <v>3804</v>
      </c>
      <c r="P678" t="s">
        <v>3803</v>
      </c>
      <c r="Q678" t="s">
        <v>2783</v>
      </c>
      <c r="R678" s="7">
        <v>33239</v>
      </c>
      <c r="S678" s="8">
        <f t="shared" si="80"/>
        <v>1991</v>
      </c>
      <c r="T678" s="8">
        <v>1991</v>
      </c>
      <c r="U678" s="8">
        <f t="shared" si="81"/>
        <v>31</v>
      </c>
      <c r="V678" s="7">
        <v>33329</v>
      </c>
      <c r="W678" t="s">
        <v>2569</v>
      </c>
      <c r="X678" s="2">
        <v>0.111</v>
      </c>
      <c r="Y678" s="6">
        <f t="shared" si="86"/>
        <v>2.9630816048690639E-3</v>
      </c>
      <c r="AA678">
        <v>87566621</v>
      </c>
      <c r="AB678">
        <v>24890</v>
      </c>
      <c r="AC678">
        <v>15206424</v>
      </c>
      <c r="AD678" t="s">
        <v>5</v>
      </c>
      <c r="AE678">
        <v>74</v>
      </c>
      <c r="AF678">
        <v>4</v>
      </c>
      <c r="AH678" t="s">
        <v>3802</v>
      </c>
      <c r="AI678" t="s">
        <v>3801</v>
      </c>
      <c r="AK678" t="s">
        <v>3800</v>
      </c>
      <c r="AL678">
        <v>0</v>
      </c>
      <c r="AM678" s="5">
        <f t="shared" si="82"/>
        <v>0</v>
      </c>
      <c r="AN678" s="4">
        <f t="shared" si="87"/>
        <v>0</v>
      </c>
      <c r="AO678" s="3"/>
      <c r="AP678">
        <v>0</v>
      </c>
      <c r="AR678" t="s">
        <v>0</v>
      </c>
      <c r="AT678" s="2" t="s">
        <v>33</v>
      </c>
      <c r="AU678" s="1">
        <f t="shared" si="83"/>
        <v>0.20741571234083445</v>
      </c>
      <c r="AV678" s="1">
        <f t="shared" si="84"/>
        <v>0.1481540802434532</v>
      </c>
      <c r="AW678" s="1">
        <f t="shared" si="85"/>
        <v>8.8892448146071903E-2</v>
      </c>
    </row>
    <row r="679" spans="1:49" x14ac:dyDescent="0.2">
      <c r="A679">
        <v>677</v>
      </c>
      <c r="B679" t="s">
        <v>3799</v>
      </c>
      <c r="C679" t="s">
        <v>3798</v>
      </c>
      <c r="F679" t="s">
        <v>3797</v>
      </c>
      <c r="G679" t="s">
        <v>16</v>
      </c>
      <c r="H679" t="s">
        <v>15</v>
      </c>
      <c r="I679" t="s">
        <v>3796</v>
      </c>
      <c r="J679">
        <v>60000745</v>
      </c>
      <c r="K679" t="s">
        <v>2506</v>
      </c>
      <c r="L679" t="s">
        <v>2505</v>
      </c>
      <c r="M679" t="s">
        <v>57</v>
      </c>
      <c r="N679">
        <v>1</v>
      </c>
      <c r="O679" t="s">
        <v>3795</v>
      </c>
      <c r="P679">
        <v>7202495702</v>
      </c>
      <c r="Q679">
        <v>60000745</v>
      </c>
      <c r="R679" s="7">
        <v>33239</v>
      </c>
      <c r="S679" s="8">
        <f t="shared" si="80"/>
        <v>1991</v>
      </c>
      <c r="T679" s="8">
        <v>1991</v>
      </c>
      <c r="U679" s="8">
        <f t="shared" si="81"/>
        <v>31</v>
      </c>
      <c r="V679" s="7" t="s">
        <v>3794</v>
      </c>
      <c r="W679" t="s">
        <v>53</v>
      </c>
      <c r="X679" s="2">
        <v>0.22500000000000001</v>
      </c>
      <c r="Y679" s="6">
        <f t="shared" si="86"/>
        <v>6.0062464963562111E-3</v>
      </c>
      <c r="AA679">
        <v>2726343</v>
      </c>
      <c r="AB679">
        <v>16128</v>
      </c>
      <c r="AC679" t="s">
        <v>52</v>
      </c>
      <c r="AD679" t="s">
        <v>5</v>
      </c>
      <c r="AE679">
        <v>11</v>
      </c>
      <c r="AF679">
        <v>2</v>
      </c>
      <c r="AH679" t="s">
        <v>3793</v>
      </c>
      <c r="AI679" t="s">
        <v>3792</v>
      </c>
      <c r="AK679" t="s">
        <v>3791</v>
      </c>
      <c r="AL679">
        <v>4</v>
      </c>
      <c r="AM679" s="5">
        <f t="shared" si="82"/>
        <v>0.12903225806451613</v>
      </c>
      <c r="AN679" s="4">
        <f t="shared" si="87"/>
        <v>1.9542939502387903E-4</v>
      </c>
      <c r="AO679" s="3"/>
      <c r="AP679">
        <v>0</v>
      </c>
      <c r="AQ679" t="s">
        <v>2474</v>
      </c>
      <c r="AR679" t="s">
        <v>3790</v>
      </c>
      <c r="AS679" t="s">
        <v>2473</v>
      </c>
      <c r="AT679" s="2">
        <v>1.099</v>
      </c>
      <c r="AU679" s="1">
        <f t="shared" si="83"/>
        <v>0.42630013659565114</v>
      </c>
      <c r="AV679" s="1">
        <f t="shared" si="84"/>
        <v>0.31008379456900448</v>
      </c>
      <c r="AW679" s="1">
        <f t="shared" si="85"/>
        <v>0.19386745254235785</v>
      </c>
    </row>
    <row r="680" spans="1:49" x14ac:dyDescent="0.2">
      <c r="A680">
        <v>678</v>
      </c>
      <c r="B680" t="s">
        <v>3789</v>
      </c>
      <c r="C680" t="s">
        <v>3788</v>
      </c>
      <c r="F680" t="s">
        <v>3787</v>
      </c>
      <c r="G680" t="s">
        <v>16</v>
      </c>
      <c r="H680" t="s">
        <v>15</v>
      </c>
      <c r="I680" t="s">
        <v>3786</v>
      </c>
      <c r="J680">
        <v>60033125</v>
      </c>
      <c r="K680" t="s">
        <v>3785</v>
      </c>
      <c r="L680" t="s">
        <v>3784</v>
      </c>
      <c r="M680" t="s">
        <v>117</v>
      </c>
      <c r="N680">
        <v>2</v>
      </c>
      <c r="O680" t="s">
        <v>3783</v>
      </c>
      <c r="P680" t="s">
        <v>3782</v>
      </c>
      <c r="Q680" t="s">
        <v>3781</v>
      </c>
      <c r="R680" s="7">
        <v>33239</v>
      </c>
      <c r="S680" s="8">
        <f t="shared" si="80"/>
        <v>1991</v>
      </c>
      <c r="T680" s="8">
        <v>1991</v>
      </c>
      <c r="U680" s="8">
        <f t="shared" si="81"/>
        <v>31</v>
      </c>
      <c r="V680" s="7" t="s">
        <v>3768</v>
      </c>
      <c r="W680" s="11" t="s">
        <v>2635</v>
      </c>
      <c r="X680" s="2">
        <v>2.383</v>
      </c>
      <c r="Y680" s="6">
        <f t="shared" si="86"/>
        <v>6.3612824003630442E-2</v>
      </c>
      <c r="AA680" t="s">
        <v>2634</v>
      </c>
      <c r="AB680">
        <v>101151</v>
      </c>
      <c r="AD680" t="s">
        <v>5</v>
      </c>
      <c r="AE680">
        <v>138</v>
      </c>
      <c r="AF680">
        <v>2</v>
      </c>
      <c r="AH680" t="s">
        <v>3780</v>
      </c>
      <c r="AI680" t="s">
        <v>3779</v>
      </c>
      <c r="AK680" t="s">
        <v>3778</v>
      </c>
      <c r="AL680">
        <v>3</v>
      </c>
      <c r="AM680" s="5">
        <f t="shared" si="82"/>
        <v>9.6774193548387094E-2</v>
      </c>
      <c r="AN680" s="4">
        <f t="shared" si="87"/>
        <v>1.4657204626790927E-4</v>
      </c>
      <c r="AO680" s="3"/>
      <c r="AP680">
        <v>0</v>
      </c>
      <c r="AR680" t="s">
        <v>0</v>
      </c>
      <c r="AT680" s="2" t="s">
        <v>33</v>
      </c>
      <c r="AU680" s="1">
        <f t="shared" si="83"/>
        <v>4.4572948416421685</v>
      </c>
      <c r="AV680" s="1">
        <f t="shared" si="84"/>
        <v>3.1879698024949175</v>
      </c>
      <c r="AW680" s="1">
        <f t="shared" si="85"/>
        <v>1.9186447633476669</v>
      </c>
    </row>
    <row r="681" spans="1:49" x14ac:dyDescent="0.2">
      <c r="A681">
        <v>679</v>
      </c>
      <c r="B681" t="s">
        <v>3777</v>
      </c>
      <c r="C681" t="s">
        <v>3776</v>
      </c>
      <c r="F681" t="s">
        <v>3775</v>
      </c>
      <c r="G681" t="s">
        <v>16</v>
      </c>
      <c r="H681" t="s">
        <v>15</v>
      </c>
      <c r="I681" t="s">
        <v>3774</v>
      </c>
      <c r="J681">
        <v>60009658</v>
      </c>
      <c r="K681" t="s">
        <v>3773</v>
      </c>
      <c r="L681" t="s">
        <v>3772</v>
      </c>
      <c r="M681" t="s">
        <v>117</v>
      </c>
      <c r="N681">
        <v>2</v>
      </c>
      <c r="O681" t="s">
        <v>3771</v>
      </c>
      <c r="P681" t="s">
        <v>3770</v>
      </c>
      <c r="Q681" t="s">
        <v>3769</v>
      </c>
      <c r="R681" s="7">
        <v>33239</v>
      </c>
      <c r="S681" s="8">
        <f t="shared" si="80"/>
        <v>1991</v>
      </c>
      <c r="T681" s="8">
        <v>1991</v>
      </c>
      <c r="U681" s="8">
        <f t="shared" si="81"/>
        <v>31</v>
      </c>
      <c r="V681" s="7" t="s">
        <v>3768</v>
      </c>
      <c r="W681" s="11" t="s">
        <v>2635</v>
      </c>
      <c r="X681" s="2">
        <v>2.383</v>
      </c>
      <c r="Y681" s="6">
        <f t="shared" si="86"/>
        <v>6.3612824003630442E-2</v>
      </c>
      <c r="AA681" t="s">
        <v>2634</v>
      </c>
      <c r="AB681">
        <v>101151</v>
      </c>
      <c r="AD681" t="s">
        <v>5</v>
      </c>
      <c r="AE681">
        <v>138</v>
      </c>
      <c r="AF681">
        <v>2</v>
      </c>
      <c r="AH681" t="s">
        <v>3767</v>
      </c>
      <c r="AI681" t="s">
        <v>3766</v>
      </c>
      <c r="AK681" t="s">
        <v>3765</v>
      </c>
      <c r="AL681">
        <v>2</v>
      </c>
      <c r="AM681" s="5">
        <f t="shared" si="82"/>
        <v>6.4516129032258063E-2</v>
      </c>
      <c r="AN681" s="4">
        <f t="shared" si="87"/>
        <v>9.7714697511939517E-5</v>
      </c>
      <c r="AO681" s="3"/>
      <c r="AP681">
        <v>0</v>
      </c>
      <c r="AR681" t="s">
        <v>0</v>
      </c>
      <c r="AT681" s="2" t="s">
        <v>33</v>
      </c>
      <c r="AU681" s="1">
        <f t="shared" si="83"/>
        <v>4.4558291211794891</v>
      </c>
      <c r="AV681" s="1">
        <f t="shared" si="84"/>
        <v>3.1855269350571187</v>
      </c>
      <c r="AW681" s="1">
        <f t="shared" si="85"/>
        <v>1.9152247489347491</v>
      </c>
    </row>
    <row r="682" spans="1:49" x14ac:dyDescent="0.2">
      <c r="A682">
        <v>680</v>
      </c>
      <c r="B682" t="s">
        <v>3764</v>
      </c>
      <c r="C682" t="s">
        <v>3763</v>
      </c>
      <c r="F682" t="s">
        <v>3762</v>
      </c>
      <c r="G682" t="s">
        <v>16</v>
      </c>
      <c r="H682" t="s">
        <v>15</v>
      </c>
      <c r="I682" t="s">
        <v>3761</v>
      </c>
      <c r="J682" t="s">
        <v>3760</v>
      </c>
      <c r="K682" t="s">
        <v>3759</v>
      </c>
      <c r="L682" t="s">
        <v>3758</v>
      </c>
      <c r="M682" t="s">
        <v>133</v>
      </c>
      <c r="N682">
        <v>2</v>
      </c>
      <c r="O682" t="s">
        <v>3757</v>
      </c>
      <c r="P682" t="s">
        <v>3756</v>
      </c>
      <c r="Q682" t="s">
        <v>3755</v>
      </c>
      <c r="R682" s="7">
        <v>33239</v>
      </c>
      <c r="S682" s="8">
        <f t="shared" si="80"/>
        <v>1991</v>
      </c>
      <c r="T682" s="8">
        <v>1991</v>
      </c>
      <c r="U682" s="8">
        <f t="shared" si="81"/>
        <v>31</v>
      </c>
      <c r="V682" s="7">
        <v>33329</v>
      </c>
      <c r="W682" t="s">
        <v>1807</v>
      </c>
      <c r="X682" s="2">
        <v>1.6519999999999999</v>
      </c>
      <c r="Y682" s="6">
        <f t="shared" si="86"/>
        <v>4.409919649769093E-2</v>
      </c>
      <c r="AA682" t="s">
        <v>1806</v>
      </c>
      <c r="AB682">
        <v>17337</v>
      </c>
      <c r="AC682">
        <v>15582221</v>
      </c>
      <c r="AD682" t="s">
        <v>5</v>
      </c>
      <c r="AE682">
        <v>39</v>
      </c>
      <c r="AF682">
        <v>4</v>
      </c>
      <c r="AH682" t="s">
        <v>3754</v>
      </c>
      <c r="AI682" t="s">
        <v>3753</v>
      </c>
      <c r="AK682" t="s">
        <v>3752</v>
      </c>
      <c r="AL682">
        <v>27</v>
      </c>
      <c r="AM682" s="5">
        <f t="shared" si="82"/>
        <v>0.87096774193548387</v>
      </c>
      <c r="AN682" s="4">
        <f t="shared" si="87"/>
        <v>1.3191484164111836E-3</v>
      </c>
      <c r="AO682" s="3"/>
      <c r="AP682">
        <v>0</v>
      </c>
      <c r="AR682" t="s">
        <v>0</v>
      </c>
      <c r="AT682" s="2" t="s">
        <v>33</v>
      </c>
      <c r="AU682" s="1">
        <f t="shared" si="83"/>
        <v>3.126518207330701</v>
      </c>
      <c r="AV682" s="1">
        <f t="shared" si="84"/>
        <v>2.2709172457051054</v>
      </c>
      <c r="AW682" s="1">
        <f t="shared" si="85"/>
        <v>1.4153162840795106</v>
      </c>
    </row>
    <row r="683" spans="1:49" x14ac:dyDescent="0.2">
      <c r="A683">
        <v>681</v>
      </c>
      <c r="B683" t="s">
        <v>3751</v>
      </c>
      <c r="C683" t="s">
        <v>3750</v>
      </c>
      <c r="F683" t="s">
        <v>3749</v>
      </c>
      <c r="G683" t="s">
        <v>16</v>
      </c>
      <c r="H683" t="s">
        <v>15</v>
      </c>
      <c r="I683" t="s">
        <v>3748</v>
      </c>
      <c r="J683">
        <v>60031159</v>
      </c>
      <c r="K683" t="s">
        <v>721</v>
      </c>
      <c r="L683" t="s">
        <v>720</v>
      </c>
      <c r="M683" t="s">
        <v>272</v>
      </c>
      <c r="N683">
        <v>2</v>
      </c>
      <c r="O683" t="s">
        <v>3747</v>
      </c>
      <c r="P683" t="s">
        <v>3746</v>
      </c>
      <c r="Q683" t="s">
        <v>3745</v>
      </c>
      <c r="R683" s="7">
        <v>33239</v>
      </c>
      <c r="S683" s="8">
        <f t="shared" si="80"/>
        <v>1991</v>
      </c>
      <c r="T683" s="8">
        <v>1991</v>
      </c>
      <c r="U683" s="8">
        <f t="shared" si="81"/>
        <v>31</v>
      </c>
      <c r="V683" s="7">
        <v>33329</v>
      </c>
      <c r="W683" t="s">
        <v>1807</v>
      </c>
      <c r="X683" s="2">
        <v>1.6519999999999999</v>
      </c>
      <c r="Y683" s="6">
        <f t="shared" si="86"/>
        <v>4.409919649769093E-2</v>
      </c>
      <c r="AA683" t="s">
        <v>1806</v>
      </c>
      <c r="AB683">
        <v>17337</v>
      </c>
      <c r="AC683">
        <v>15582221</v>
      </c>
      <c r="AD683" t="s">
        <v>5</v>
      </c>
      <c r="AE683">
        <v>39</v>
      </c>
      <c r="AF683">
        <v>4</v>
      </c>
      <c r="AH683" t="s">
        <v>3744</v>
      </c>
      <c r="AI683" t="s">
        <v>3743</v>
      </c>
      <c r="AK683" t="s">
        <v>3742</v>
      </c>
      <c r="AL683">
        <v>54</v>
      </c>
      <c r="AM683" s="5">
        <f t="shared" si="82"/>
        <v>1.7419354838709677</v>
      </c>
      <c r="AN683" s="4">
        <f t="shared" si="87"/>
        <v>2.6382968328223671E-3</v>
      </c>
      <c r="AO683" s="3"/>
      <c r="AP683">
        <v>0</v>
      </c>
      <c r="AR683" t="s">
        <v>0</v>
      </c>
      <c r="AT683" s="2" t="s">
        <v>33</v>
      </c>
      <c r="AU683" s="1">
        <f t="shared" si="83"/>
        <v>3.1660926598230361</v>
      </c>
      <c r="AV683" s="1">
        <f t="shared" si="84"/>
        <v>2.3368746665256648</v>
      </c>
      <c r="AW683" s="1">
        <f t="shared" si="85"/>
        <v>1.5076566732282934</v>
      </c>
    </row>
    <row r="684" spans="1:49" x14ac:dyDescent="0.2">
      <c r="A684">
        <v>682</v>
      </c>
      <c r="B684" t="s">
        <v>3741</v>
      </c>
      <c r="C684" t="s">
        <v>3740</v>
      </c>
      <c r="F684" t="s">
        <v>3739</v>
      </c>
      <c r="G684" t="s">
        <v>16</v>
      </c>
      <c r="H684" t="s">
        <v>15</v>
      </c>
      <c r="I684" t="s">
        <v>3738</v>
      </c>
      <c r="J684">
        <v>60005510</v>
      </c>
      <c r="K684" t="s">
        <v>1409</v>
      </c>
      <c r="L684" t="s">
        <v>1408</v>
      </c>
      <c r="M684" t="s">
        <v>1407</v>
      </c>
      <c r="N684">
        <v>1</v>
      </c>
      <c r="O684" t="s">
        <v>3737</v>
      </c>
      <c r="P684">
        <v>7102842938</v>
      </c>
      <c r="Q684">
        <v>60005510</v>
      </c>
      <c r="R684" s="7">
        <v>33239</v>
      </c>
      <c r="S684" s="8">
        <f t="shared" si="80"/>
        <v>1991</v>
      </c>
      <c r="T684" s="8">
        <v>1991</v>
      </c>
      <c r="U684" s="8">
        <f t="shared" si="81"/>
        <v>31</v>
      </c>
      <c r="V684" s="7">
        <v>33329</v>
      </c>
      <c r="W684" t="s">
        <v>3736</v>
      </c>
      <c r="X684" s="2">
        <v>0.752</v>
      </c>
      <c r="Y684" s="6">
        <f t="shared" si="86"/>
        <v>2.0074210512266089E-2</v>
      </c>
      <c r="AA684">
        <v>3649059</v>
      </c>
      <c r="AB684">
        <v>17277</v>
      </c>
      <c r="AC684">
        <v>15581691</v>
      </c>
      <c r="AD684" t="s">
        <v>5</v>
      </c>
      <c r="AE684">
        <v>16</v>
      </c>
      <c r="AF684">
        <v>2</v>
      </c>
      <c r="AH684" t="s">
        <v>3735</v>
      </c>
      <c r="AI684" t="s">
        <v>3734</v>
      </c>
      <c r="AK684" t="s">
        <v>3733</v>
      </c>
      <c r="AL684">
        <v>0</v>
      </c>
      <c r="AM684" s="5">
        <f t="shared" si="82"/>
        <v>0</v>
      </c>
      <c r="AN684" s="4">
        <f t="shared" si="87"/>
        <v>0</v>
      </c>
      <c r="AO684" s="3"/>
      <c r="AP684">
        <v>0</v>
      </c>
      <c r="AR684" t="s">
        <v>0</v>
      </c>
      <c r="AT684" s="2">
        <v>3.5539999999999998</v>
      </c>
      <c r="AU684" s="1">
        <f t="shared" si="83"/>
        <v>1.4051947358586261</v>
      </c>
      <c r="AV684" s="1">
        <f t="shared" si="84"/>
        <v>1.0037105256133045</v>
      </c>
      <c r="AW684" s="1">
        <f t="shared" si="85"/>
        <v>0.60222631536798266</v>
      </c>
    </row>
    <row r="685" spans="1:49" x14ac:dyDescent="0.2">
      <c r="A685">
        <v>683</v>
      </c>
      <c r="B685" t="s">
        <v>3732</v>
      </c>
      <c r="C685" t="s">
        <v>3731</v>
      </c>
      <c r="F685" t="s">
        <v>3730</v>
      </c>
      <c r="G685" t="s">
        <v>16</v>
      </c>
      <c r="H685" t="s">
        <v>15</v>
      </c>
      <c r="I685" t="s">
        <v>3729</v>
      </c>
      <c r="J685" t="s">
        <v>3728</v>
      </c>
      <c r="K685" t="s">
        <v>3727</v>
      </c>
      <c r="L685" t="s">
        <v>3726</v>
      </c>
      <c r="M685" t="s">
        <v>286</v>
      </c>
      <c r="N685">
        <v>2</v>
      </c>
      <c r="O685" t="s">
        <v>3725</v>
      </c>
      <c r="P685" t="s">
        <v>3724</v>
      </c>
      <c r="Q685" t="s">
        <v>3723</v>
      </c>
      <c r="R685" s="7">
        <v>33239</v>
      </c>
      <c r="S685" s="8">
        <f t="shared" si="80"/>
        <v>1991</v>
      </c>
      <c r="T685" s="8">
        <v>1991</v>
      </c>
      <c r="U685" s="8">
        <f t="shared" si="81"/>
        <v>31</v>
      </c>
      <c r="V685" s="7">
        <v>33329</v>
      </c>
      <c r="W685" t="s">
        <v>3722</v>
      </c>
      <c r="X685" s="2">
        <v>0.77200000000000002</v>
      </c>
      <c r="Y685" s="6">
        <f t="shared" si="86"/>
        <v>2.0608099089719976E-2</v>
      </c>
      <c r="AA685">
        <v>223778</v>
      </c>
      <c r="AB685">
        <v>28572</v>
      </c>
      <c r="AC685">
        <v>14697807</v>
      </c>
      <c r="AD685" t="s">
        <v>5</v>
      </c>
      <c r="AE685">
        <v>45</v>
      </c>
      <c r="AF685">
        <v>2</v>
      </c>
      <c r="AH685" t="s">
        <v>3721</v>
      </c>
      <c r="AI685" t="s">
        <v>3720</v>
      </c>
      <c r="AK685" t="s">
        <v>3719</v>
      </c>
      <c r="AL685">
        <v>4</v>
      </c>
      <c r="AM685" s="5">
        <f t="shared" si="82"/>
        <v>0.12903225806451613</v>
      </c>
      <c r="AN685" s="4">
        <f t="shared" si="87"/>
        <v>1.9542939502387903E-4</v>
      </c>
      <c r="AO685" s="3"/>
      <c r="AP685">
        <v>0</v>
      </c>
      <c r="AR685" t="s">
        <v>0</v>
      </c>
      <c r="AT685" s="2">
        <v>2.0139999999999998</v>
      </c>
      <c r="AU685" s="1">
        <f t="shared" si="83"/>
        <v>1.4484298181311144</v>
      </c>
      <c r="AV685" s="1">
        <f t="shared" si="84"/>
        <v>1.0401764242371927</v>
      </c>
      <c r="AW685" s="1">
        <f t="shared" si="85"/>
        <v>0.6319230303432708</v>
      </c>
    </row>
    <row r="686" spans="1:49" x14ac:dyDescent="0.2">
      <c r="A686">
        <v>684</v>
      </c>
      <c r="B686" t="s">
        <v>3718</v>
      </c>
      <c r="C686" t="s">
        <v>3717</v>
      </c>
      <c r="F686" t="s">
        <v>3716</v>
      </c>
      <c r="G686" t="s">
        <v>16</v>
      </c>
      <c r="H686" t="s">
        <v>15</v>
      </c>
      <c r="I686" t="s">
        <v>3715</v>
      </c>
      <c r="J686">
        <v>60010365</v>
      </c>
      <c r="K686" t="s">
        <v>3714</v>
      </c>
      <c r="L686" t="s">
        <v>3713</v>
      </c>
      <c r="M686" t="s">
        <v>1543</v>
      </c>
      <c r="N686">
        <v>2</v>
      </c>
      <c r="O686" t="s">
        <v>3712</v>
      </c>
      <c r="P686" t="s">
        <v>3711</v>
      </c>
      <c r="Q686" t="s">
        <v>3710</v>
      </c>
      <c r="R686" s="7">
        <v>33239</v>
      </c>
      <c r="S686" s="8">
        <f t="shared" si="80"/>
        <v>1991</v>
      </c>
      <c r="T686" s="8">
        <v>1991</v>
      </c>
      <c r="U686" s="8">
        <f t="shared" si="81"/>
        <v>31</v>
      </c>
      <c r="V686" s="7">
        <v>33329</v>
      </c>
      <c r="W686" t="s">
        <v>1807</v>
      </c>
      <c r="X686" s="2">
        <v>1.6519999999999999</v>
      </c>
      <c r="Y686" s="6">
        <f t="shared" si="86"/>
        <v>4.409919649769093E-2</v>
      </c>
      <c r="AA686" t="s">
        <v>1806</v>
      </c>
      <c r="AB686">
        <v>17337</v>
      </c>
      <c r="AC686">
        <v>15582221</v>
      </c>
      <c r="AD686" t="s">
        <v>5</v>
      </c>
      <c r="AE686">
        <v>39</v>
      </c>
      <c r="AF686">
        <v>4</v>
      </c>
      <c r="AH686" t="s">
        <v>3709</v>
      </c>
      <c r="AI686" t="s">
        <v>3708</v>
      </c>
      <c r="AK686" t="s">
        <v>3707</v>
      </c>
      <c r="AL686">
        <v>47</v>
      </c>
      <c r="AM686" s="5">
        <f t="shared" si="82"/>
        <v>1.5161290322580645</v>
      </c>
      <c r="AN686" s="4">
        <f t="shared" si="87"/>
        <v>2.2962953915305786E-3</v>
      </c>
      <c r="AO686" s="3"/>
      <c r="AP686">
        <v>0</v>
      </c>
      <c r="AR686" t="s">
        <v>0</v>
      </c>
      <c r="AT686" s="2" t="s">
        <v>33</v>
      </c>
      <c r="AU686" s="1">
        <f t="shared" si="83"/>
        <v>3.1558326165842825</v>
      </c>
      <c r="AV686" s="1">
        <f t="shared" si="84"/>
        <v>2.3197745944610753</v>
      </c>
      <c r="AW686" s="1">
        <f t="shared" si="85"/>
        <v>1.4837165723378682</v>
      </c>
    </row>
    <row r="687" spans="1:49" x14ac:dyDescent="0.2">
      <c r="A687">
        <v>685</v>
      </c>
      <c r="B687" t="s">
        <v>3706</v>
      </c>
      <c r="C687" t="s">
        <v>3705</v>
      </c>
      <c r="F687" t="s">
        <v>3704</v>
      </c>
      <c r="G687" t="s">
        <v>16</v>
      </c>
      <c r="H687" t="s">
        <v>15</v>
      </c>
      <c r="I687" t="s">
        <v>3703</v>
      </c>
      <c r="J687" t="s">
        <v>3702</v>
      </c>
      <c r="K687" t="s">
        <v>3701</v>
      </c>
      <c r="L687" t="s">
        <v>3700</v>
      </c>
      <c r="M687" t="s">
        <v>3699</v>
      </c>
      <c r="N687">
        <v>4</v>
      </c>
      <c r="O687" t="s">
        <v>3698</v>
      </c>
      <c r="P687" t="s">
        <v>3697</v>
      </c>
      <c r="Q687" t="s">
        <v>3696</v>
      </c>
      <c r="R687" s="7">
        <v>33239</v>
      </c>
      <c r="S687" s="8">
        <f t="shared" si="80"/>
        <v>1991</v>
      </c>
      <c r="T687" s="8">
        <v>1991</v>
      </c>
      <c r="U687" s="8">
        <f t="shared" si="81"/>
        <v>31</v>
      </c>
      <c r="V687" s="7">
        <v>33298</v>
      </c>
      <c r="W687" t="s">
        <v>3695</v>
      </c>
      <c r="X687" s="2">
        <v>0.251</v>
      </c>
      <c r="Y687" s="6">
        <f t="shared" si="86"/>
        <v>6.7003016470462617E-3</v>
      </c>
      <c r="AA687">
        <v>207217</v>
      </c>
      <c r="AB687">
        <v>26145</v>
      </c>
      <c r="AC687">
        <v>13623060</v>
      </c>
      <c r="AD687" t="s">
        <v>5</v>
      </c>
      <c r="AE687">
        <v>70</v>
      </c>
      <c r="AF687">
        <v>3</v>
      </c>
      <c r="AH687" t="s">
        <v>3694</v>
      </c>
      <c r="AI687" t="s">
        <v>3693</v>
      </c>
      <c r="AK687" t="s">
        <v>3692</v>
      </c>
      <c r="AL687">
        <v>0</v>
      </c>
      <c r="AM687" s="5">
        <f t="shared" si="82"/>
        <v>0</v>
      </c>
      <c r="AN687" s="4">
        <f t="shared" si="87"/>
        <v>0</v>
      </c>
      <c r="AO687" s="3"/>
      <c r="AP687">
        <v>0</v>
      </c>
      <c r="AR687" t="s">
        <v>0</v>
      </c>
      <c r="AT687" s="2">
        <v>1.3360000000000001</v>
      </c>
      <c r="AU687" s="1">
        <f t="shared" si="83"/>
        <v>0.46902111529323826</v>
      </c>
      <c r="AV687" s="1">
        <f t="shared" si="84"/>
        <v>0.33501508235231309</v>
      </c>
      <c r="AW687" s="1">
        <f t="shared" si="85"/>
        <v>0.20100904941138784</v>
      </c>
    </row>
    <row r="688" spans="1:49" x14ac:dyDescent="0.2">
      <c r="A688">
        <v>686</v>
      </c>
      <c r="B688" t="s">
        <v>3691</v>
      </c>
      <c r="C688" t="s">
        <v>3690</v>
      </c>
      <c r="F688" t="s">
        <v>3689</v>
      </c>
      <c r="G688" t="s">
        <v>16</v>
      </c>
      <c r="H688" t="s">
        <v>15</v>
      </c>
      <c r="I688" t="s">
        <v>3688</v>
      </c>
      <c r="J688">
        <v>60104665</v>
      </c>
      <c r="K688" t="s">
        <v>1264</v>
      </c>
      <c r="L688" t="s">
        <v>1263</v>
      </c>
      <c r="M688" t="s">
        <v>213</v>
      </c>
      <c r="N688">
        <v>4</v>
      </c>
      <c r="O688" t="s">
        <v>3687</v>
      </c>
      <c r="P688" t="s">
        <v>3686</v>
      </c>
      <c r="Q688" t="s">
        <v>3685</v>
      </c>
      <c r="R688" s="7">
        <v>33239</v>
      </c>
      <c r="S688" s="8">
        <f t="shared" si="80"/>
        <v>1991</v>
      </c>
      <c r="T688" s="8">
        <v>1991</v>
      </c>
      <c r="U688" s="8">
        <f t="shared" si="81"/>
        <v>31</v>
      </c>
      <c r="V688" s="7">
        <v>33298</v>
      </c>
      <c r="W688" t="s">
        <v>561</v>
      </c>
      <c r="X688" s="2">
        <v>0.30399999999999999</v>
      </c>
      <c r="Y688" s="6">
        <f t="shared" si="86"/>
        <v>8.115106377299057E-3</v>
      </c>
      <c r="AA688">
        <v>8952477</v>
      </c>
      <c r="AB688">
        <v>12250</v>
      </c>
      <c r="AC688">
        <v>10982760</v>
      </c>
      <c r="AD688" t="s">
        <v>5</v>
      </c>
      <c r="AE688">
        <v>4</v>
      </c>
      <c r="AF688">
        <v>4</v>
      </c>
      <c r="AH688" t="s">
        <v>3684</v>
      </c>
      <c r="AI688" t="s">
        <v>3683</v>
      </c>
      <c r="AJ688" t="s">
        <v>3682</v>
      </c>
      <c r="AK688" t="s">
        <v>3681</v>
      </c>
      <c r="AL688">
        <v>3</v>
      </c>
      <c r="AM688" s="5">
        <f t="shared" si="82"/>
        <v>9.6774193548387094E-2</v>
      </c>
      <c r="AN688" s="4">
        <f t="shared" si="87"/>
        <v>1.4657204626790927E-4</v>
      </c>
      <c r="AO688" s="3"/>
      <c r="AP688">
        <v>0</v>
      </c>
      <c r="AR688" t="s">
        <v>0</v>
      </c>
      <c r="AT688" s="2" t="s">
        <v>33</v>
      </c>
      <c r="AU688" s="1">
        <f t="shared" si="83"/>
        <v>0.57245460779897128</v>
      </c>
      <c r="AV688" s="1">
        <f t="shared" si="84"/>
        <v>0.4130839211783483</v>
      </c>
      <c r="AW688" s="1">
        <f t="shared" si="85"/>
        <v>0.25371323455772538</v>
      </c>
    </row>
    <row r="689" spans="1:49" x14ac:dyDescent="0.2">
      <c r="A689">
        <v>687</v>
      </c>
      <c r="B689" t="s">
        <v>3680</v>
      </c>
      <c r="C689" t="s">
        <v>3679</v>
      </c>
      <c r="F689" t="s">
        <v>3678</v>
      </c>
      <c r="G689" t="s">
        <v>16</v>
      </c>
      <c r="H689" t="s">
        <v>15</v>
      </c>
      <c r="I689" t="s">
        <v>3677</v>
      </c>
      <c r="J689" t="s">
        <v>3676</v>
      </c>
      <c r="K689" t="s">
        <v>3675</v>
      </c>
      <c r="L689" t="s">
        <v>3674</v>
      </c>
      <c r="M689" t="s">
        <v>3673</v>
      </c>
      <c r="N689">
        <v>2</v>
      </c>
      <c r="O689" t="s">
        <v>3672</v>
      </c>
      <c r="P689" t="s">
        <v>3671</v>
      </c>
      <c r="Q689" t="s">
        <v>3670</v>
      </c>
      <c r="R689" s="7">
        <v>33239</v>
      </c>
      <c r="S689" s="8">
        <f t="shared" ref="S689:S752" si="88">YEAR(R689)</f>
        <v>1991</v>
      </c>
      <c r="T689" s="8">
        <v>1991</v>
      </c>
      <c r="U689" s="8">
        <f t="shared" ref="U689:U752" si="89">2022-T689</f>
        <v>31</v>
      </c>
      <c r="V689" s="7">
        <v>33298</v>
      </c>
      <c r="W689" t="s">
        <v>561</v>
      </c>
      <c r="X689" s="2">
        <v>0.30399999999999999</v>
      </c>
      <c r="Y689" s="6">
        <f t="shared" si="86"/>
        <v>8.115106377299057E-3</v>
      </c>
      <c r="AA689">
        <v>8952477</v>
      </c>
      <c r="AB689">
        <v>12250</v>
      </c>
      <c r="AC689">
        <v>10982760</v>
      </c>
      <c r="AD689" t="s">
        <v>5</v>
      </c>
      <c r="AE689">
        <v>4</v>
      </c>
      <c r="AF689">
        <v>4</v>
      </c>
      <c r="AH689" t="s">
        <v>3669</v>
      </c>
      <c r="AI689" t="s">
        <v>3668</v>
      </c>
      <c r="AJ689" t="s">
        <v>3667</v>
      </c>
      <c r="AK689" t="s">
        <v>3666</v>
      </c>
      <c r="AL689">
        <v>2</v>
      </c>
      <c r="AM689" s="5">
        <f t="shared" ref="AM689:AM752" si="90">AL689/U689</f>
        <v>6.4516129032258063E-2</v>
      </c>
      <c r="AN689" s="4">
        <f t="shared" si="87"/>
        <v>9.7714697511939517E-5</v>
      </c>
      <c r="AO689" s="3"/>
      <c r="AP689">
        <v>0</v>
      </c>
      <c r="AR689" t="s">
        <v>0</v>
      </c>
      <c r="AT689" s="2" t="s">
        <v>33</v>
      </c>
      <c r="AU689" s="1">
        <f t="shared" ref="AU689:AU752" si="91">(Y689*0.7+AN689*0.3)*100</f>
        <v>0.57098888733629205</v>
      </c>
      <c r="AV689" s="1">
        <f t="shared" ref="AV689:AV752" si="92">(Y689*0.5+AN689*0.5)*100</f>
        <v>0.41064105374054982</v>
      </c>
      <c r="AW689" s="1">
        <f t="shared" ref="AW689:AW752" si="93">(Y689*0.3+AN689*0.7)*100</f>
        <v>0.25029322014480748</v>
      </c>
    </row>
    <row r="690" spans="1:49" x14ac:dyDescent="0.2">
      <c r="A690">
        <v>688</v>
      </c>
      <c r="B690" t="s">
        <v>3665</v>
      </c>
      <c r="C690" t="s">
        <v>3664</v>
      </c>
      <c r="F690" t="s">
        <v>3663</v>
      </c>
      <c r="G690" t="s">
        <v>16</v>
      </c>
      <c r="H690" t="s">
        <v>15</v>
      </c>
      <c r="I690" t="s">
        <v>3662</v>
      </c>
      <c r="J690">
        <v>60002162</v>
      </c>
      <c r="K690" t="s">
        <v>3661</v>
      </c>
      <c r="L690" t="s">
        <v>3660</v>
      </c>
      <c r="M690" t="s">
        <v>57</v>
      </c>
      <c r="N690">
        <v>1</v>
      </c>
      <c r="O690" t="s">
        <v>3659</v>
      </c>
      <c r="P690">
        <v>7402672382</v>
      </c>
      <c r="Q690">
        <v>60002162</v>
      </c>
      <c r="R690" s="7">
        <v>33239</v>
      </c>
      <c r="S690" s="8">
        <f t="shared" si="88"/>
        <v>1991</v>
      </c>
      <c r="T690" s="8">
        <v>1991</v>
      </c>
      <c r="U690" s="8">
        <f t="shared" si="89"/>
        <v>31</v>
      </c>
      <c r="V690" s="7">
        <v>33298</v>
      </c>
      <c r="W690" t="s">
        <v>561</v>
      </c>
      <c r="X690" s="2">
        <v>0.30399999999999999</v>
      </c>
      <c r="Y690" s="6">
        <f t="shared" si="86"/>
        <v>8.115106377299057E-3</v>
      </c>
      <c r="AA690">
        <v>8952477</v>
      </c>
      <c r="AB690">
        <v>12250</v>
      </c>
      <c r="AC690">
        <v>10982760</v>
      </c>
      <c r="AD690" t="s">
        <v>5</v>
      </c>
      <c r="AE690">
        <v>4</v>
      </c>
      <c r="AF690">
        <v>4</v>
      </c>
      <c r="AH690" t="s">
        <v>3658</v>
      </c>
      <c r="AI690" t="s">
        <v>3657</v>
      </c>
      <c r="AJ690" t="s">
        <v>3656</v>
      </c>
      <c r="AK690" t="s">
        <v>3655</v>
      </c>
      <c r="AL690">
        <v>1</v>
      </c>
      <c r="AM690" s="5">
        <f t="shared" si="90"/>
        <v>3.2258064516129031E-2</v>
      </c>
      <c r="AN690" s="4">
        <f t="shared" si="87"/>
        <v>4.8857348755969758E-5</v>
      </c>
      <c r="AO690" s="3"/>
      <c r="AP690">
        <v>0</v>
      </c>
      <c r="AR690" t="s">
        <v>0</v>
      </c>
      <c r="AT690" s="2" t="s">
        <v>33</v>
      </c>
      <c r="AU690" s="1">
        <f t="shared" si="91"/>
        <v>0.56952316687361304</v>
      </c>
      <c r="AV690" s="1">
        <f t="shared" si="92"/>
        <v>0.40819818630275134</v>
      </c>
      <c r="AW690" s="1">
        <f t="shared" si="93"/>
        <v>0.24687320573188962</v>
      </c>
    </row>
    <row r="691" spans="1:49" x14ac:dyDescent="0.2">
      <c r="A691">
        <v>689</v>
      </c>
      <c r="B691" t="s">
        <v>3654</v>
      </c>
      <c r="C691" t="s">
        <v>3653</v>
      </c>
      <c r="F691" t="s">
        <v>3652</v>
      </c>
      <c r="G691" t="s">
        <v>16</v>
      </c>
      <c r="H691" t="s">
        <v>15</v>
      </c>
      <c r="I691" t="s">
        <v>3651</v>
      </c>
      <c r="J691">
        <v>117287574</v>
      </c>
      <c r="K691" t="s">
        <v>3650</v>
      </c>
      <c r="L691" t="s">
        <v>3649</v>
      </c>
      <c r="M691" t="s">
        <v>3648</v>
      </c>
      <c r="N691">
        <v>1</v>
      </c>
      <c r="O691" t="s">
        <v>3647</v>
      </c>
      <c r="P691">
        <v>6506682047</v>
      </c>
      <c r="Q691">
        <v>117287574</v>
      </c>
      <c r="R691" s="7">
        <v>33239</v>
      </c>
      <c r="S691" s="8">
        <f t="shared" si="88"/>
        <v>1991</v>
      </c>
      <c r="T691" s="8">
        <v>1991</v>
      </c>
      <c r="U691" s="8">
        <f t="shared" si="89"/>
        <v>31</v>
      </c>
      <c r="V691" s="7">
        <v>33298</v>
      </c>
      <c r="W691" t="s">
        <v>561</v>
      </c>
      <c r="X691" s="2">
        <v>0.30399999999999999</v>
      </c>
      <c r="Y691" s="6">
        <f t="shared" si="86"/>
        <v>8.115106377299057E-3</v>
      </c>
      <c r="AA691">
        <v>8952477</v>
      </c>
      <c r="AB691">
        <v>12250</v>
      </c>
      <c r="AC691">
        <v>10982760</v>
      </c>
      <c r="AD691" t="s">
        <v>5</v>
      </c>
      <c r="AE691">
        <v>4</v>
      </c>
      <c r="AF691">
        <v>4</v>
      </c>
      <c r="AH691" t="s">
        <v>3646</v>
      </c>
      <c r="AI691" t="s">
        <v>3645</v>
      </c>
      <c r="AJ691" t="s">
        <v>3644</v>
      </c>
      <c r="AK691" t="s">
        <v>3643</v>
      </c>
      <c r="AL691">
        <v>1</v>
      </c>
      <c r="AM691" s="5">
        <f t="shared" si="90"/>
        <v>3.2258064516129031E-2</v>
      </c>
      <c r="AN691" s="4">
        <f t="shared" si="87"/>
        <v>4.8857348755969758E-5</v>
      </c>
      <c r="AO691" s="3"/>
      <c r="AP691">
        <v>0</v>
      </c>
      <c r="AR691" t="s">
        <v>0</v>
      </c>
      <c r="AT691" s="2" t="s">
        <v>33</v>
      </c>
      <c r="AU691" s="1">
        <f t="shared" si="91"/>
        <v>0.56952316687361304</v>
      </c>
      <c r="AV691" s="1">
        <f t="shared" si="92"/>
        <v>0.40819818630275134</v>
      </c>
      <c r="AW691" s="1">
        <f t="shared" si="93"/>
        <v>0.24687320573188962</v>
      </c>
    </row>
    <row r="692" spans="1:49" x14ac:dyDescent="0.2">
      <c r="A692">
        <v>690</v>
      </c>
      <c r="B692" t="s">
        <v>3642</v>
      </c>
      <c r="C692" t="s">
        <v>3641</v>
      </c>
      <c r="F692" t="s">
        <v>3640</v>
      </c>
      <c r="G692" t="s">
        <v>16</v>
      </c>
      <c r="H692" t="s">
        <v>15</v>
      </c>
      <c r="I692" t="s">
        <v>3639</v>
      </c>
      <c r="J692">
        <v>60001271</v>
      </c>
      <c r="K692" t="s">
        <v>3638</v>
      </c>
      <c r="L692" t="s">
        <v>2922</v>
      </c>
      <c r="M692" t="s">
        <v>326</v>
      </c>
      <c r="N692">
        <v>3</v>
      </c>
      <c r="O692" t="s">
        <v>3637</v>
      </c>
      <c r="P692" t="s">
        <v>3636</v>
      </c>
      <c r="Q692" t="s">
        <v>3635</v>
      </c>
      <c r="R692" s="7">
        <v>33239</v>
      </c>
      <c r="S692" s="8">
        <f t="shared" si="88"/>
        <v>1991</v>
      </c>
      <c r="T692" s="8">
        <v>1991</v>
      </c>
      <c r="U692" s="8">
        <f t="shared" si="89"/>
        <v>31</v>
      </c>
      <c r="V692" s="7">
        <v>33298</v>
      </c>
      <c r="W692" t="s">
        <v>2569</v>
      </c>
      <c r="X692" s="2">
        <v>0.111</v>
      </c>
      <c r="Y692" s="6">
        <f t="shared" si="86"/>
        <v>2.9630816048690639E-3</v>
      </c>
      <c r="AA692">
        <v>87566621</v>
      </c>
      <c r="AB692">
        <v>24890</v>
      </c>
      <c r="AC692">
        <v>15206424</v>
      </c>
      <c r="AD692" t="s">
        <v>5</v>
      </c>
      <c r="AE692">
        <v>74</v>
      </c>
      <c r="AF692">
        <v>3</v>
      </c>
      <c r="AH692" t="s">
        <v>3634</v>
      </c>
      <c r="AI692" t="s">
        <v>3633</v>
      </c>
      <c r="AK692" t="s">
        <v>3632</v>
      </c>
      <c r="AL692">
        <v>0</v>
      </c>
      <c r="AM692" s="5">
        <f t="shared" si="90"/>
        <v>0</v>
      </c>
      <c r="AN692" s="4">
        <f t="shared" si="87"/>
        <v>0</v>
      </c>
      <c r="AO692" s="3"/>
      <c r="AP692">
        <v>0</v>
      </c>
      <c r="AR692" t="s">
        <v>0</v>
      </c>
      <c r="AT692" s="2" t="s">
        <v>33</v>
      </c>
      <c r="AU692" s="1">
        <f t="shared" si="91"/>
        <v>0.20741571234083445</v>
      </c>
      <c r="AV692" s="1">
        <f t="shared" si="92"/>
        <v>0.1481540802434532</v>
      </c>
      <c r="AW692" s="1">
        <f t="shared" si="93"/>
        <v>8.8892448146071903E-2</v>
      </c>
    </row>
    <row r="693" spans="1:49" x14ac:dyDescent="0.2">
      <c r="A693">
        <v>691</v>
      </c>
      <c r="B693" t="s">
        <v>3631</v>
      </c>
      <c r="C693" t="s">
        <v>3630</v>
      </c>
      <c r="F693" t="s">
        <v>3629</v>
      </c>
      <c r="G693" t="s">
        <v>16</v>
      </c>
      <c r="H693" t="s">
        <v>15</v>
      </c>
      <c r="I693" t="s">
        <v>3628</v>
      </c>
      <c r="N693">
        <v>7</v>
      </c>
      <c r="O693" t="s">
        <v>3627</v>
      </c>
      <c r="P693" t="s">
        <v>3626</v>
      </c>
      <c r="Q693" t="s">
        <v>3625</v>
      </c>
      <c r="R693" s="7">
        <v>33239</v>
      </c>
      <c r="S693" s="8">
        <f t="shared" si="88"/>
        <v>1991</v>
      </c>
      <c r="T693" s="8">
        <v>1991</v>
      </c>
      <c r="U693" s="8">
        <f t="shared" si="89"/>
        <v>31</v>
      </c>
      <c r="V693" s="7" t="s">
        <v>3311</v>
      </c>
      <c r="W693" t="s">
        <v>779</v>
      </c>
      <c r="X693" s="2">
        <v>0.371</v>
      </c>
      <c r="Y693" s="6">
        <f t="shared" si="86"/>
        <v>9.9036331117695747E-3</v>
      </c>
      <c r="AA693">
        <v>486604</v>
      </c>
      <c r="AB693">
        <v>28580</v>
      </c>
      <c r="AC693" t="s">
        <v>778</v>
      </c>
      <c r="AD693" t="s">
        <v>5</v>
      </c>
      <c r="AE693">
        <v>26</v>
      </c>
      <c r="AF693">
        <v>2</v>
      </c>
      <c r="AH693" t="s">
        <v>3624</v>
      </c>
      <c r="AI693" t="s">
        <v>3623</v>
      </c>
      <c r="AK693" t="s">
        <v>3622</v>
      </c>
      <c r="AL693">
        <v>48</v>
      </c>
      <c r="AM693" s="5">
        <f t="shared" si="90"/>
        <v>1.5483870967741935</v>
      </c>
      <c r="AN693" s="4">
        <f t="shared" si="87"/>
        <v>2.3451527402865483E-3</v>
      </c>
      <c r="AO693" s="3"/>
      <c r="AP693">
        <v>0</v>
      </c>
      <c r="AR693" t="s">
        <v>0</v>
      </c>
      <c r="AT693" s="2">
        <v>1.431</v>
      </c>
      <c r="AU693" s="1">
        <f t="shared" si="91"/>
        <v>0.76360890003246662</v>
      </c>
      <c r="AV693" s="1">
        <f t="shared" si="92"/>
        <v>0.61243929260280616</v>
      </c>
      <c r="AW693" s="1">
        <f t="shared" si="93"/>
        <v>0.46126968517314565</v>
      </c>
    </row>
    <row r="694" spans="1:49" x14ac:dyDescent="0.2">
      <c r="A694">
        <v>692</v>
      </c>
      <c r="B694" t="s">
        <v>3621</v>
      </c>
      <c r="C694" t="s">
        <v>3620</v>
      </c>
      <c r="F694" t="s">
        <v>3619</v>
      </c>
      <c r="G694" t="s">
        <v>16</v>
      </c>
      <c r="H694" t="s">
        <v>15</v>
      </c>
      <c r="I694" t="s">
        <v>3618</v>
      </c>
      <c r="J694" t="s">
        <v>3617</v>
      </c>
      <c r="K694" t="s">
        <v>3616</v>
      </c>
      <c r="L694" t="s">
        <v>3615</v>
      </c>
      <c r="M694" t="s">
        <v>1147</v>
      </c>
      <c r="N694">
        <v>2</v>
      </c>
      <c r="O694" t="s">
        <v>3614</v>
      </c>
      <c r="P694" t="s">
        <v>3613</v>
      </c>
      <c r="Q694" t="s">
        <v>3612</v>
      </c>
      <c r="R694" s="7">
        <v>33239</v>
      </c>
      <c r="S694" s="8">
        <f t="shared" si="88"/>
        <v>1991</v>
      </c>
      <c r="T694" s="8">
        <v>1991</v>
      </c>
      <c r="U694" s="8">
        <f t="shared" si="89"/>
        <v>31</v>
      </c>
      <c r="V694" s="7">
        <v>33298</v>
      </c>
      <c r="W694" t="s">
        <v>2759</v>
      </c>
      <c r="X694" s="2">
        <v>0.81</v>
      </c>
      <c r="Y694" s="6">
        <f t="shared" si="86"/>
        <v>2.1622487386882359E-2</v>
      </c>
      <c r="AA694">
        <v>10411135</v>
      </c>
      <c r="AB694">
        <v>12116</v>
      </c>
      <c r="AC694">
        <v>19410174</v>
      </c>
      <c r="AD694" t="s">
        <v>5</v>
      </c>
      <c r="AE694">
        <v>3</v>
      </c>
      <c r="AF694">
        <v>3</v>
      </c>
      <c r="AH694" t="s">
        <v>1402</v>
      </c>
      <c r="AI694" t="s">
        <v>3611</v>
      </c>
      <c r="AK694" t="s">
        <v>3610</v>
      </c>
      <c r="AL694">
        <v>0</v>
      </c>
      <c r="AM694" s="5">
        <f t="shared" si="90"/>
        <v>0</v>
      </c>
      <c r="AN694" s="4">
        <f t="shared" si="87"/>
        <v>0</v>
      </c>
      <c r="AO694" s="3"/>
      <c r="AP694">
        <v>0</v>
      </c>
      <c r="AQ694" t="s">
        <v>3176</v>
      </c>
      <c r="AR694" t="s">
        <v>0</v>
      </c>
      <c r="AS694" t="s">
        <v>3175</v>
      </c>
      <c r="AT694" s="2">
        <v>2.468</v>
      </c>
      <c r="AU694" s="1">
        <f t="shared" si="91"/>
        <v>1.5135741170817649</v>
      </c>
      <c r="AV694" s="1">
        <f t="shared" si="92"/>
        <v>1.0811243693441179</v>
      </c>
      <c r="AW694" s="1">
        <f t="shared" si="93"/>
        <v>0.64867462160647071</v>
      </c>
    </row>
    <row r="695" spans="1:49" x14ac:dyDescent="0.2">
      <c r="A695">
        <v>693</v>
      </c>
      <c r="B695" t="s">
        <v>3609</v>
      </c>
      <c r="C695" t="s">
        <v>3608</v>
      </c>
      <c r="F695" t="s">
        <v>3607</v>
      </c>
      <c r="G695" t="s">
        <v>16</v>
      </c>
      <c r="H695" t="s">
        <v>15</v>
      </c>
      <c r="I695" t="s">
        <v>3606</v>
      </c>
      <c r="J695">
        <v>60023053</v>
      </c>
      <c r="K695" t="s">
        <v>3605</v>
      </c>
      <c r="L695" t="s">
        <v>3604</v>
      </c>
      <c r="M695" t="s">
        <v>57</v>
      </c>
      <c r="N695">
        <v>3</v>
      </c>
      <c r="O695" t="s">
        <v>3603</v>
      </c>
      <c r="P695" t="s">
        <v>3602</v>
      </c>
      <c r="Q695" t="s">
        <v>3601</v>
      </c>
      <c r="R695" s="7">
        <v>33239</v>
      </c>
      <c r="S695" s="8">
        <f t="shared" si="88"/>
        <v>1991</v>
      </c>
      <c r="T695" s="8">
        <v>1991</v>
      </c>
      <c r="U695" s="8">
        <f t="shared" si="89"/>
        <v>31</v>
      </c>
      <c r="V695" s="7">
        <v>33298</v>
      </c>
      <c r="W695" t="s">
        <v>3201</v>
      </c>
      <c r="X695" s="2">
        <v>0.62</v>
      </c>
      <c r="Y695" s="6">
        <f t="shared" si="86"/>
        <v>1.6550545901070447E-2</v>
      </c>
      <c r="AA695">
        <v>189464</v>
      </c>
      <c r="AB695">
        <v>17364</v>
      </c>
      <c r="AC695">
        <v>19410069</v>
      </c>
      <c r="AD695" t="s">
        <v>5</v>
      </c>
      <c r="AE695">
        <v>27</v>
      </c>
      <c r="AF695">
        <v>2</v>
      </c>
      <c r="AH695" t="s">
        <v>3600</v>
      </c>
      <c r="AI695" t="s">
        <v>3599</v>
      </c>
      <c r="AK695" t="s">
        <v>3598</v>
      </c>
      <c r="AL695">
        <v>31</v>
      </c>
      <c r="AM695" s="5">
        <f t="shared" si="90"/>
        <v>1</v>
      </c>
      <c r="AN695" s="4">
        <f t="shared" si="87"/>
        <v>1.5145778114350624E-3</v>
      </c>
      <c r="AO695" s="3"/>
      <c r="AP695">
        <v>0</v>
      </c>
      <c r="AR695" t="s">
        <v>0</v>
      </c>
      <c r="AT695" s="2">
        <v>1.7</v>
      </c>
      <c r="AU695" s="1">
        <f t="shared" si="91"/>
        <v>1.2039755474179832</v>
      </c>
      <c r="AV695" s="1">
        <f t="shared" si="92"/>
        <v>0.90325618562527543</v>
      </c>
      <c r="AW695" s="1">
        <f t="shared" si="93"/>
        <v>0.60253682383256779</v>
      </c>
    </row>
    <row r="696" spans="1:49" x14ac:dyDescent="0.2">
      <c r="A696">
        <v>694</v>
      </c>
      <c r="B696" t="s">
        <v>3597</v>
      </c>
      <c r="C696" t="s">
        <v>3596</v>
      </c>
      <c r="F696" t="s">
        <v>3595</v>
      </c>
      <c r="G696" t="s">
        <v>16</v>
      </c>
      <c r="H696" t="s">
        <v>15</v>
      </c>
      <c r="I696" t="s">
        <v>3594</v>
      </c>
      <c r="N696">
        <v>2</v>
      </c>
      <c r="O696" t="s">
        <v>3593</v>
      </c>
      <c r="P696" t="s">
        <v>3592</v>
      </c>
      <c r="Q696" t="s">
        <v>592</v>
      </c>
      <c r="R696" s="7">
        <v>33239</v>
      </c>
      <c r="S696" s="8">
        <f t="shared" si="88"/>
        <v>1991</v>
      </c>
      <c r="T696" s="8">
        <v>1991</v>
      </c>
      <c r="U696" s="8">
        <f t="shared" si="89"/>
        <v>31</v>
      </c>
      <c r="V696" s="7" t="s">
        <v>3311</v>
      </c>
      <c r="W696" t="s">
        <v>779</v>
      </c>
      <c r="X696" s="2">
        <v>0.371</v>
      </c>
      <c r="Y696" s="6">
        <f t="shared" si="86"/>
        <v>9.9036331117695747E-3</v>
      </c>
      <c r="AA696">
        <v>486604</v>
      </c>
      <c r="AB696">
        <v>28580</v>
      </c>
      <c r="AC696" t="s">
        <v>778</v>
      </c>
      <c r="AD696" t="s">
        <v>5</v>
      </c>
      <c r="AE696">
        <v>26</v>
      </c>
      <c r="AF696">
        <v>2</v>
      </c>
      <c r="AH696" t="s">
        <v>3591</v>
      </c>
      <c r="AI696" t="s">
        <v>3590</v>
      </c>
      <c r="AK696" t="s">
        <v>3589</v>
      </c>
      <c r="AL696">
        <v>0</v>
      </c>
      <c r="AM696" s="5">
        <f t="shared" si="90"/>
        <v>0</v>
      </c>
      <c r="AN696" s="4">
        <f t="shared" si="87"/>
        <v>0</v>
      </c>
      <c r="AO696" s="3"/>
      <c r="AP696">
        <v>0</v>
      </c>
      <c r="AR696" t="s">
        <v>0</v>
      </c>
      <c r="AT696" s="2">
        <v>1.431</v>
      </c>
      <c r="AU696" s="1">
        <f t="shared" si="91"/>
        <v>0.69325431782387015</v>
      </c>
      <c r="AV696" s="1">
        <f t="shared" si="92"/>
        <v>0.49518165558847871</v>
      </c>
      <c r="AW696" s="1">
        <f t="shared" si="93"/>
        <v>0.29710899335308727</v>
      </c>
    </row>
    <row r="697" spans="1:49" x14ac:dyDescent="0.2">
      <c r="A697">
        <v>695</v>
      </c>
      <c r="B697" t="s">
        <v>3588</v>
      </c>
      <c r="C697" t="s">
        <v>3587</v>
      </c>
      <c r="F697" t="s">
        <v>3586</v>
      </c>
      <c r="G697" t="s">
        <v>16</v>
      </c>
      <c r="H697" t="s">
        <v>15</v>
      </c>
      <c r="I697" t="s">
        <v>3585</v>
      </c>
      <c r="J697">
        <v>60015186</v>
      </c>
      <c r="K697" t="s">
        <v>3584</v>
      </c>
      <c r="L697" t="s">
        <v>3583</v>
      </c>
      <c r="M697" t="s">
        <v>1543</v>
      </c>
      <c r="N697">
        <v>1</v>
      </c>
      <c r="O697" t="s">
        <v>3582</v>
      </c>
      <c r="P697">
        <v>7402673635</v>
      </c>
      <c r="Q697">
        <v>60015186</v>
      </c>
      <c r="R697" s="7">
        <v>33239</v>
      </c>
      <c r="S697" s="8">
        <f t="shared" si="88"/>
        <v>1991</v>
      </c>
      <c r="T697" s="8">
        <v>1991</v>
      </c>
      <c r="U697" s="8">
        <f t="shared" si="89"/>
        <v>31</v>
      </c>
      <c r="V697" s="7">
        <v>33298</v>
      </c>
      <c r="W697" t="s">
        <v>1807</v>
      </c>
      <c r="X697" s="2">
        <v>1.6519999999999999</v>
      </c>
      <c r="Y697" s="6">
        <f t="shared" si="86"/>
        <v>4.409919649769093E-2</v>
      </c>
      <c r="AA697" t="s">
        <v>1806</v>
      </c>
      <c r="AB697">
        <v>17337</v>
      </c>
      <c r="AC697">
        <v>15582221</v>
      </c>
      <c r="AD697" t="s">
        <v>5</v>
      </c>
      <c r="AE697">
        <v>39</v>
      </c>
      <c r="AF697">
        <v>3</v>
      </c>
      <c r="AH697" t="s">
        <v>3581</v>
      </c>
      <c r="AI697" t="s">
        <v>3580</v>
      </c>
      <c r="AK697" t="s">
        <v>3579</v>
      </c>
      <c r="AL697">
        <v>41</v>
      </c>
      <c r="AM697" s="5">
        <f t="shared" si="90"/>
        <v>1.3225806451612903</v>
      </c>
      <c r="AN697" s="4">
        <f t="shared" si="87"/>
        <v>2.0031512989947598E-3</v>
      </c>
      <c r="AO697" s="3"/>
      <c r="AP697">
        <v>0</v>
      </c>
      <c r="AR697" t="s">
        <v>0</v>
      </c>
      <c r="AT697" s="2" t="s">
        <v>33</v>
      </c>
      <c r="AU697" s="1">
        <f t="shared" si="91"/>
        <v>3.1470382938082073</v>
      </c>
      <c r="AV697" s="1">
        <f t="shared" si="92"/>
        <v>2.3051173898342845</v>
      </c>
      <c r="AW697" s="1">
        <f t="shared" si="93"/>
        <v>1.463196485860361</v>
      </c>
    </row>
    <row r="698" spans="1:49" x14ac:dyDescent="0.2">
      <c r="A698">
        <v>696</v>
      </c>
      <c r="B698" t="s">
        <v>3578</v>
      </c>
      <c r="C698" t="s">
        <v>3577</v>
      </c>
      <c r="F698" t="s">
        <v>3576</v>
      </c>
      <c r="G698" t="s">
        <v>16</v>
      </c>
      <c r="H698" t="s">
        <v>15</v>
      </c>
      <c r="I698" t="s">
        <v>3575</v>
      </c>
      <c r="N698">
        <v>2</v>
      </c>
      <c r="O698" t="s">
        <v>3574</v>
      </c>
      <c r="P698" t="s">
        <v>3573</v>
      </c>
      <c r="Q698" t="s">
        <v>592</v>
      </c>
      <c r="R698" s="7">
        <v>33239</v>
      </c>
      <c r="S698" s="8">
        <f t="shared" si="88"/>
        <v>1991</v>
      </c>
      <c r="T698" s="8">
        <v>1991</v>
      </c>
      <c r="U698" s="8">
        <f t="shared" si="89"/>
        <v>31</v>
      </c>
      <c r="V698" s="7" t="s">
        <v>3311</v>
      </c>
      <c r="W698" t="s">
        <v>779</v>
      </c>
      <c r="X698" s="2">
        <v>0.371</v>
      </c>
      <c r="Y698" s="6">
        <f t="shared" si="86"/>
        <v>9.9036331117695747E-3</v>
      </c>
      <c r="AA698">
        <v>486604</v>
      </c>
      <c r="AB698">
        <v>28580</v>
      </c>
      <c r="AC698" t="s">
        <v>778</v>
      </c>
      <c r="AD698" t="s">
        <v>5</v>
      </c>
      <c r="AE698">
        <v>26</v>
      </c>
      <c r="AF698">
        <v>2</v>
      </c>
      <c r="AH698" t="s">
        <v>3572</v>
      </c>
      <c r="AI698" t="s">
        <v>3571</v>
      </c>
      <c r="AK698" t="s">
        <v>3570</v>
      </c>
      <c r="AL698">
        <v>20</v>
      </c>
      <c r="AM698" s="5">
        <f t="shared" si="90"/>
        <v>0.64516129032258063</v>
      </c>
      <c r="AN698" s="4">
        <f t="shared" si="87"/>
        <v>9.7714697511939509E-4</v>
      </c>
      <c r="AO698" s="3"/>
      <c r="AP698">
        <v>0</v>
      </c>
      <c r="AR698" t="s">
        <v>0</v>
      </c>
      <c r="AT698" s="2">
        <v>1.431</v>
      </c>
      <c r="AU698" s="1">
        <f t="shared" si="91"/>
        <v>0.72256872707745201</v>
      </c>
      <c r="AV698" s="1">
        <f t="shared" si="92"/>
        <v>0.54403900434444852</v>
      </c>
      <c r="AW698" s="1">
        <f t="shared" si="93"/>
        <v>0.36550928161144491</v>
      </c>
    </row>
    <row r="699" spans="1:49" x14ac:dyDescent="0.2">
      <c r="A699">
        <v>697</v>
      </c>
      <c r="B699" t="s">
        <v>3569</v>
      </c>
      <c r="C699" t="s">
        <v>3568</v>
      </c>
      <c r="F699" t="s">
        <v>3567</v>
      </c>
      <c r="G699" t="s">
        <v>16</v>
      </c>
      <c r="H699" t="s">
        <v>15</v>
      </c>
      <c r="I699" t="s">
        <v>3566</v>
      </c>
      <c r="N699">
        <v>6</v>
      </c>
      <c r="O699" t="s">
        <v>3565</v>
      </c>
      <c r="P699" t="s">
        <v>3564</v>
      </c>
      <c r="Q699" t="s">
        <v>3563</v>
      </c>
      <c r="R699" s="7">
        <v>33239</v>
      </c>
      <c r="S699" s="8">
        <f t="shared" si="88"/>
        <v>1991</v>
      </c>
      <c r="T699" s="8">
        <v>1991</v>
      </c>
      <c r="U699" s="8">
        <f t="shared" si="89"/>
        <v>31</v>
      </c>
      <c r="V699" s="7" t="s">
        <v>3311</v>
      </c>
      <c r="W699" t="s">
        <v>779</v>
      </c>
      <c r="X699" s="2">
        <v>0.371</v>
      </c>
      <c r="Y699" s="6">
        <f t="shared" si="86"/>
        <v>9.9036331117695747E-3</v>
      </c>
      <c r="AA699">
        <v>486604</v>
      </c>
      <c r="AB699">
        <v>28580</v>
      </c>
      <c r="AC699" t="s">
        <v>778</v>
      </c>
      <c r="AD699" t="s">
        <v>5</v>
      </c>
      <c r="AE699">
        <v>26</v>
      </c>
      <c r="AF699">
        <v>2</v>
      </c>
      <c r="AH699" t="s">
        <v>3562</v>
      </c>
      <c r="AI699" t="s">
        <v>3561</v>
      </c>
      <c r="AK699" t="s">
        <v>3560</v>
      </c>
      <c r="AL699">
        <v>9</v>
      </c>
      <c r="AM699" s="5">
        <f t="shared" si="90"/>
        <v>0.29032258064516131</v>
      </c>
      <c r="AN699" s="4">
        <f t="shared" si="87"/>
        <v>4.3971613880372783E-4</v>
      </c>
      <c r="AO699" s="3"/>
      <c r="AP699">
        <v>0</v>
      </c>
      <c r="AR699" t="s">
        <v>0</v>
      </c>
      <c r="AT699" s="2">
        <v>1.431</v>
      </c>
      <c r="AU699" s="1">
        <f t="shared" si="91"/>
        <v>0.70644580198798201</v>
      </c>
      <c r="AV699" s="1">
        <f t="shared" si="92"/>
        <v>0.51716746252866519</v>
      </c>
      <c r="AW699" s="1">
        <f t="shared" si="93"/>
        <v>0.3278891230693482</v>
      </c>
    </row>
    <row r="700" spans="1:49" x14ac:dyDescent="0.2">
      <c r="A700">
        <v>698</v>
      </c>
      <c r="B700" t="s">
        <v>3559</v>
      </c>
      <c r="C700" t="s">
        <v>3558</v>
      </c>
      <c r="F700" t="s">
        <v>3557</v>
      </c>
      <c r="G700" t="s">
        <v>16</v>
      </c>
      <c r="H700" t="s">
        <v>15</v>
      </c>
      <c r="I700" t="s">
        <v>3556</v>
      </c>
      <c r="J700">
        <v>60025778</v>
      </c>
      <c r="K700" t="s">
        <v>2395</v>
      </c>
      <c r="L700" t="s">
        <v>2394</v>
      </c>
      <c r="M700" t="s">
        <v>57</v>
      </c>
      <c r="N700">
        <v>2</v>
      </c>
      <c r="O700" t="s">
        <v>3555</v>
      </c>
      <c r="P700" t="s">
        <v>3554</v>
      </c>
      <c r="Q700" t="s">
        <v>3553</v>
      </c>
      <c r="R700" s="7">
        <v>33239</v>
      </c>
      <c r="S700" s="8">
        <f t="shared" si="88"/>
        <v>1991</v>
      </c>
      <c r="T700" s="8">
        <v>1991</v>
      </c>
      <c r="U700" s="8">
        <f t="shared" si="89"/>
        <v>31</v>
      </c>
      <c r="V700" s="7">
        <v>33298</v>
      </c>
      <c r="W700" t="s">
        <v>3552</v>
      </c>
      <c r="X700" s="2">
        <v>0.249</v>
      </c>
      <c r="Y700" s="6">
        <f t="shared" si="86"/>
        <v>6.6469127893008734E-3</v>
      </c>
      <c r="AA700">
        <v>8943370</v>
      </c>
      <c r="AB700">
        <v>18200</v>
      </c>
      <c r="AC700">
        <v>10991204</v>
      </c>
      <c r="AD700" t="s">
        <v>5</v>
      </c>
      <c r="AE700">
        <v>4</v>
      </c>
      <c r="AF700">
        <v>1</v>
      </c>
      <c r="AH700" s="10">
        <v>43160</v>
      </c>
      <c r="AI700" t="s">
        <v>3551</v>
      </c>
      <c r="AK700" t="s">
        <v>3550</v>
      </c>
      <c r="AL700">
        <v>4</v>
      </c>
      <c r="AM700" s="5">
        <f t="shared" si="90"/>
        <v>0.12903225806451613</v>
      </c>
      <c r="AN700" s="4">
        <f t="shared" si="87"/>
        <v>1.9542939502387903E-4</v>
      </c>
      <c r="AO700" s="3"/>
      <c r="AP700">
        <v>0</v>
      </c>
      <c r="AR700" t="s">
        <v>0</v>
      </c>
      <c r="AT700" s="2" t="s">
        <v>33</v>
      </c>
      <c r="AU700" s="1">
        <f t="shared" si="91"/>
        <v>0.47114677710177755</v>
      </c>
      <c r="AV700" s="1">
        <f t="shared" si="92"/>
        <v>0.34211710921623761</v>
      </c>
      <c r="AW700" s="1">
        <f t="shared" si="93"/>
        <v>0.21308744133069774</v>
      </c>
    </row>
    <row r="701" spans="1:49" x14ac:dyDescent="0.2">
      <c r="A701">
        <v>699</v>
      </c>
      <c r="B701" t="s">
        <v>3549</v>
      </c>
      <c r="C701" t="s">
        <v>3548</v>
      </c>
      <c r="F701" t="s">
        <v>3547</v>
      </c>
      <c r="G701" t="s">
        <v>16</v>
      </c>
      <c r="H701" t="s">
        <v>15</v>
      </c>
      <c r="I701" t="s">
        <v>3546</v>
      </c>
      <c r="J701">
        <v>115596977</v>
      </c>
      <c r="K701" t="s">
        <v>3545</v>
      </c>
      <c r="L701" t="s">
        <v>3544</v>
      </c>
      <c r="M701" t="s">
        <v>57</v>
      </c>
      <c r="N701">
        <v>1</v>
      </c>
      <c r="O701" t="s">
        <v>3543</v>
      </c>
      <c r="P701">
        <v>7005455140</v>
      </c>
      <c r="Q701">
        <v>115596977</v>
      </c>
      <c r="R701" s="7">
        <v>33239</v>
      </c>
      <c r="S701" s="8">
        <f t="shared" si="88"/>
        <v>1991</v>
      </c>
      <c r="T701" s="8">
        <v>1991</v>
      </c>
      <c r="U701" s="8">
        <f t="shared" si="89"/>
        <v>31</v>
      </c>
      <c r="V701" s="7">
        <v>33298</v>
      </c>
      <c r="W701" t="s">
        <v>3542</v>
      </c>
      <c r="X701" s="2">
        <v>1.573</v>
      </c>
      <c r="Y701" s="6">
        <f t="shared" si="86"/>
        <v>4.1990336616748086E-2</v>
      </c>
      <c r="AA701">
        <v>7315090</v>
      </c>
      <c r="AB701">
        <v>29586</v>
      </c>
      <c r="AD701" t="s">
        <v>5</v>
      </c>
      <c r="AE701">
        <v>14</v>
      </c>
      <c r="AF701">
        <v>2</v>
      </c>
      <c r="AH701" t="s">
        <v>3541</v>
      </c>
      <c r="AI701" t="s">
        <v>3540</v>
      </c>
      <c r="AK701" t="s">
        <v>3539</v>
      </c>
      <c r="AL701">
        <v>4</v>
      </c>
      <c r="AM701" s="5">
        <f t="shared" si="90"/>
        <v>0.12903225806451613</v>
      </c>
      <c r="AN701" s="4">
        <f t="shared" si="87"/>
        <v>1.9542939502387903E-4</v>
      </c>
      <c r="AO701" s="3"/>
      <c r="AP701">
        <v>0</v>
      </c>
      <c r="AR701" t="s">
        <v>0</v>
      </c>
      <c r="AT701" s="2" t="s">
        <v>33</v>
      </c>
      <c r="AU701" s="1">
        <f t="shared" si="91"/>
        <v>2.9451864450230825</v>
      </c>
      <c r="AV701" s="1">
        <f t="shared" si="92"/>
        <v>2.1092883005885983</v>
      </c>
      <c r="AW701" s="1">
        <f t="shared" si="93"/>
        <v>1.2733901561541141</v>
      </c>
    </row>
    <row r="702" spans="1:49" x14ac:dyDescent="0.2">
      <c r="A702">
        <v>700</v>
      </c>
      <c r="B702" t="s">
        <v>3538</v>
      </c>
      <c r="C702" t="s">
        <v>3537</v>
      </c>
      <c r="F702" t="s">
        <v>3536</v>
      </c>
      <c r="G702" t="s">
        <v>16</v>
      </c>
      <c r="H702" t="s">
        <v>15</v>
      </c>
      <c r="I702" t="s">
        <v>3535</v>
      </c>
      <c r="N702">
        <v>2</v>
      </c>
      <c r="O702" t="s">
        <v>3534</v>
      </c>
      <c r="P702" t="s">
        <v>3533</v>
      </c>
      <c r="Q702" t="s">
        <v>592</v>
      </c>
      <c r="R702" s="7">
        <v>33239</v>
      </c>
      <c r="S702" s="8">
        <f t="shared" si="88"/>
        <v>1991</v>
      </c>
      <c r="T702" s="8">
        <v>1991</v>
      </c>
      <c r="U702" s="8">
        <f t="shared" si="89"/>
        <v>31</v>
      </c>
      <c r="V702" s="7" t="s">
        <v>3311</v>
      </c>
      <c r="W702" t="s">
        <v>779</v>
      </c>
      <c r="X702" s="2">
        <v>0.371</v>
      </c>
      <c r="Y702" s="6">
        <f t="shared" si="86"/>
        <v>9.9036331117695747E-3</v>
      </c>
      <c r="AA702">
        <v>486604</v>
      </c>
      <c r="AB702">
        <v>28580</v>
      </c>
      <c r="AC702" t="s">
        <v>778</v>
      </c>
      <c r="AD702" t="s">
        <v>5</v>
      </c>
      <c r="AE702">
        <v>26</v>
      </c>
      <c r="AF702">
        <v>2</v>
      </c>
      <c r="AH702" t="s">
        <v>3532</v>
      </c>
      <c r="AI702" t="s">
        <v>3531</v>
      </c>
      <c r="AK702" t="s">
        <v>3530</v>
      </c>
      <c r="AL702">
        <v>6</v>
      </c>
      <c r="AM702" s="5">
        <f t="shared" si="90"/>
        <v>0.19354838709677419</v>
      </c>
      <c r="AN702" s="4">
        <f t="shared" si="87"/>
        <v>2.9314409253581854E-4</v>
      </c>
      <c r="AO702" s="3"/>
      <c r="AP702">
        <v>0</v>
      </c>
      <c r="AR702" t="s">
        <v>0</v>
      </c>
      <c r="AT702" s="2">
        <v>1.431</v>
      </c>
      <c r="AU702" s="1">
        <f t="shared" si="91"/>
        <v>0.70204864059994465</v>
      </c>
      <c r="AV702" s="1">
        <f t="shared" si="92"/>
        <v>0.50983886021526958</v>
      </c>
      <c r="AW702" s="1">
        <f t="shared" si="93"/>
        <v>0.31762907983059457</v>
      </c>
    </row>
    <row r="703" spans="1:49" x14ac:dyDescent="0.2">
      <c r="A703">
        <v>701</v>
      </c>
      <c r="B703" t="s">
        <v>3529</v>
      </c>
      <c r="C703" t="s">
        <v>3528</v>
      </c>
      <c r="F703" t="s">
        <v>3527</v>
      </c>
      <c r="G703" t="s">
        <v>16</v>
      </c>
      <c r="H703" t="s">
        <v>15</v>
      </c>
      <c r="I703" t="s">
        <v>3526</v>
      </c>
      <c r="J703" t="s">
        <v>3525</v>
      </c>
      <c r="K703" t="s">
        <v>3524</v>
      </c>
      <c r="L703" t="s">
        <v>3523</v>
      </c>
      <c r="M703" t="s">
        <v>1147</v>
      </c>
      <c r="N703">
        <v>3</v>
      </c>
      <c r="O703" t="s">
        <v>3522</v>
      </c>
      <c r="P703" t="s">
        <v>3521</v>
      </c>
      <c r="Q703" t="s">
        <v>3520</v>
      </c>
      <c r="R703" s="7">
        <v>33239</v>
      </c>
      <c r="S703" s="8">
        <f t="shared" si="88"/>
        <v>1991</v>
      </c>
      <c r="T703" s="8">
        <v>1991</v>
      </c>
      <c r="U703" s="8">
        <f t="shared" si="89"/>
        <v>31</v>
      </c>
      <c r="V703" s="7">
        <v>33298</v>
      </c>
      <c r="W703" t="s">
        <v>3201</v>
      </c>
      <c r="X703" s="2">
        <v>0.62</v>
      </c>
      <c r="Y703" s="6">
        <f t="shared" si="86"/>
        <v>1.6550545901070447E-2</v>
      </c>
      <c r="AA703">
        <v>189464</v>
      </c>
      <c r="AB703">
        <v>17364</v>
      </c>
      <c r="AC703">
        <v>19410069</v>
      </c>
      <c r="AD703" t="s">
        <v>5</v>
      </c>
      <c r="AE703">
        <v>27</v>
      </c>
      <c r="AF703">
        <v>2</v>
      </c>
      <c r="AH703" t="s">
        <v>3519</v>
      </c>
      <c r="AI703" t="s">
        <v>3518</v>
      </c>
      <c r="AK703" t="s">
        <v>3517</v>
      </c>
      <c r="AL703">
        <v>16</v>
      </c>
      <c r="AM703" s="5">
        <f t="shared" si="90"/>
        <v>0.5161290322580645</v>
      </c>
      <c r="AN703" s="4">
        <f t="shared" si="87"/>
        <v>7.8171758009551613E-4</v>
      </c>
      <c r="AO703" s="3"/>
      <c r="AP703">
        <v>0</v>
      </c>
      <c r="AQ703" t="s">
        <v>508</v>
      </c>
      <c r="AR703" t="s">
        <v>0</v>
      </c>
      <c r="AS703" t="s">
        <v>507</v>
      </c>
      <c r="AT703" s="2">
        <v>1.7</v>
      </c>
      <c r="AU703" s="1">
        <f t="shared" si="91"/>
        <v>1.1819897404777968</v>
      </c>
      <c r="AV703" s="1">
        <f t="shared" si="92"/>
        <v>0.86661317405829807</v>
      </c>
      <c r="AW703" s="1">
        <f t="shared" si="93"/>
        <v>0.55123660763879956</v>
      </c>
    </row>
    <row r="704" spans="1:49" x14ac:dyDescent="0.2">
      <c r="A704">
        <v>702</v>
      </c>
      <c r="B704" t="s">
        <v>3516</v>
      </c>
      <c r="C704" t="s">
        <v>3515</v>
      </c>
      <c r="F704" t="s">
        <v>3514</v>
      </c>
      <c r="G704" t="s">
        <v>16</v>
      </c>
      <c r="H704" t="s">
        <v>15</v>
      </c>
      <c r="I704" t="s">
        <v>3513</v>
      </c>
      <c r="J704">
        <v>60031126</v>
      </c>
      <c r="K704" t="s">
        <v>3512</v>
      </c>
      <c r="L704" t="s">
        <v>327</v>
      </c>
      <c r="M704" t="s">
        <v>326</v>
      </c>
      <c r="N704">
        <v>4</v>
      </c>
      <c r="O704" t="s">
        <v>3511</v>
      </c>
      <c r="P704" t="s">
        <v>3510</v>
      </c>
      <c r="Q704" t="s">
        <v>3509</v>
      </c>
      <c r="R704" s="7">
        <v>33239</v>
      </c>
      <c r="S704" s="8">
        <f t="shared" si="88"/>
        <v>1991</v>
      </c>
      <c r="T704" s="8">
        <v>1991</v>
      </c>
      <c r="U704" s="8">
        <f t="shared" si="89"/>
        <v>31</v>
      </c>
      <c r="V704" s="7">
        <v>33298</v>
      </c>
      <c r="W704" t="s">
        <v>731</v>
      </c>
      <c r="X704" s="2">
        <v>1.3720000000000001</v>
      </c>
      <c r="Y704" s="6">
        <f t="shared" si="86"/>
        <v>3.662475641333654E-2</v>
      </c>
      <c r="AA704">
        <v>189480</v>
      </c>
      <c r="AB704">
        <v>17366</v>
      </c>
      <c r="AC704">
        <v>15579670</v>
      </c>
      <c r="AD704" t="s">
        <v>5</v>
      </c>
      <c r="AE704">
        <v>39</v>
      </c>
      <c r="AF704">
        <v>3</v>
      </c>
      <c r="AH704" t="s">
        <v>3508</v>
      </c>
      <c r="AI704" t="s">
        <v>3507</v>
      </c>
      <c r="AK704" t="s">
        <v>3506</v>
      </c>
      <c r="AL704">
        <v>75</v>
      </c>
      <c r="AM704" s="5">
        <f t="shared" si="90"/>
        <v>2.4193548387096775</v>
      </c>
      <c r="AN704" s="4">
        <f t="shared" si="87"/>
        <v>3.6643011566977321E-3</v>
      </c>
      <c r="AO704" s="3"/>
      <c r="AP704">
        <v>0</v>
      </c>
      <c r="AR704" t="s">
        <v>0</v>
      </c>
      <c r="AT704" s="2" t="s">
        <v>33</v>
      </c>
      <c r="AU704" s="1">
        <f t="shared" si="91"/>
        <v>2.6736619836344895</v>
      </c>
      <c r="AV704" s="1">
        <f t="shared" si="92"/>
        <v>2.0144528785017135</v>
      </c>
      <c r="AW704" s="1">
        <f t="shared" si="93"/>
        <v>1.3552437733689373</v>
      </c>
    </row>
    <row r="705" spans="1:49" x14ac:dyDescent="0.2">
      <c r="A705">
        <v>703</v>
      </c>
      <c r="B705" t="s">
        <v>3505</v>
      </c>
      <c r="C705" t="s">
        <v>3504</v>
      </c>
      <c r="F705" t="s">
        <v>3503</v>
      </c>
      <c r="G705" t="s">
        <v>16</v>
      </c>
      <c r="H705" t="s">
        <v>15</v>
      </c>
      <c r="I705" t="s">
        <v>3502</v>
      </c>
      <c r="J705" t="s">
        <v>3497</v>
      </c>
      <c r="K705" t="s">
        <v>3501</v>
      </c>
      <c r="L705" t="s">
        <v>3500</v>
      </c>
      <c r="M705" t="s">
        <v>133</v>
      </c>
      <c r="N705">
        <v>2</v>
      </c>
      <c r="O705" t="s">
        <v>3499</v>
      </c>
      <c r="P705" t="s">
        <v>3498</v>
      </c>
      <c r="Q705" t="s">
        <v>3497</v>
      </c>
      <c r="R705" s="7">
        <v>33239</v>
      </c>
      <c r="S705" s="8">
        <f t="shared" si="88"/>
        <v>1991</v>
      </c>
      <c r="T705" s="8">
        <v>1991</v>
      </c>
      <c r="U705" s="8">
        <f t="shared" si="89"/>
        <v>31</v>
      </c>
      <c r="V705" s="7">
        <v>33298</v>
      </c>
      <c r="W705" t="s">
        <v>1807</v>
      </c>
      <c r="X705" s="2">
        <v>1.6519999999999999</v>
      </c>
      <c r="Y705" s="6">
        <f t="shared" si="86"/>
        <v>4.409919649769093E-2</v>
      </c>
      <c r="AA705" t="s">
        <v>1806</v>
      </c>
      <c r="AB705">
        <v>17337</v>
      </c>
      <c r="AC705">
        <v>15582221</v>
      </c>
      <c r="AD705" t="s">
        <v>5</v>
      </c>
      <c r="AE705">
        <v>39</v>
      </c>
      <c r="AF705">
        <v>3</v>
      </c>
      <c r="AH705" t="s">
        <v>3496</v>
      </c>
      <c r="AI705" t="s">
        <v>3495</v>
      </c>
      <c r="AK705" t="s">
        <v>3494</v>
      </c>
      <c r="AL705">
        <v>7</v>
      </c>
      <c r="AM705" s="5">
        <f t="shared" si="90"/>
        <v>0.22580645161290322</v>
      </c>
      <c r="AN705" s="4">
        <f t="shared" si="87"/>
        <v>3.420014412917883E-4</v>
      </c>
      <c r="AO705" s="3"/>
      <c r="AP705">
        <v>0</v>
      </c>
      <c r="AR705" t="s">
        <v>0</v>
      </c>
      <c r="AT705" s="2" t="s">
        <v>33</v>
      </c>
      <c r="AU705" s="1">
        <f t="shared" si="91"/>
        <v>3.0972037980771185</v>
      </c>
      <c r="AV705" s="1">
        <f t="shared" si="92"/>
        <v>2.2220598969491361</v>
      </c>
      <c r="AW705" s="1">
        <f t="shared" si="93"/>
        <v>1.346915995821153</v>
      </c>
    </row>
    <row r="706" spans="1:49" x14ac:dyDescent="0.2">
      <c r="A706">
        <v>704</v>
      </c>
      <c r="B706" t="s">
        <v>3493</v>
      </c>
      <c r="C706" t="s">
        <v>3492</v>
      </c>
      <c r="F706" t="s">
        <v>3491</v>
      </c>
      <c r="G706" t="s">
        <v>16</v>
      </c>
      <c r="H706" t="s">
        <v>15</v>
      </c>
      <c r="I706" t="s">
        <v>3490</v>
      </c>
      <c r="J706" t="s">
        <v>3489</v>
      </c>
      <c r="K706" t="s">
        <v>3488</v>
      </c>
      <c r="L706" t="s">
        <v>3487</v>
      </c>
      <c r="M706" t="s">
        <v>133</v>
      </c>
      <c r="N706">
        <v>2</v>
      </c>
      <c r="O706" t="s">
        <v>3486</v>
      </c>
      <c r="P706" t="s">
        <v>3485</v>
      </c>
      <c r="Q706" t="s">
        <v>3484</v>
      </c>
      <c r="R706" s="7">
        <v>33239</v>
      </c>
      <c r="S706" s="8">
        <f t="shared" si="88"/>
        <v>1991</v>
      </c>
      <c r="T706" s="8">
        <v>1991</v>
      </c>
      <c r="U706" s="8">
        <f t="shared" si="89"/>
        <v>31</v>
      </c>
      <c r="V706" s="7">
        <v>33298</v>
      </c>
      <c r="W706" t="s">
        <v>1807</v>
      </c>
      <c r="X706" s="2">
        <v>1.6519999999999999</v>
      </c>
      <c r="Y706" s="6">
        <f t="shared" ref="Y706:Y769" si="94">(X706-$Z$4)/($Z$3-$Z$4)</f>
        <v>4.409919649769093E-2</v>
      </c>
      <c r="AA706" t="s">
        <v>1806</v>
      </c>
      <c r="AB706">
        <v>17337</v>
      </c>
      <c r="AC706">
        <v>15582221</v>
      </c>
      <c r="AD706" t="s">
        <v>5</v>
      </c>
      <c r="AE706">
        <v>39</v>
      </c>
      <c r="AF706">
        <v>3</v>
      </c>
      <c r="AH706" t="s">
        <v>3483</v>
      </c>
      <c r="AI706" t="s">
        <v>3482</v>
      </c>
      <c r="AK706" t="s">
        <v>3481</v>
      </c>
      <c r="AL706">
        <v>92</v>
      </c>
      <c r="AM706" s="5">
        <f t="shared" si="90"/>
        <v>2.967741935483871</v>
      </c>
      <c r="AN706" s="4">
        <f t="shared" ref="AN706:AN769" si="95">(AM706-$AO$4)/($AO$3-$AO$4)</f>
        <v>4.494876085549218E-3</v>
      </c>
      <c r="AO706" s="3"/>
      <c r="AP706">
        <v>0</v>
      </c>
      <c r="AR706" t="s">
        <v>0</v>
      </c>
      <c r="AT706" s="2" t="s">
        <v>33</v>
      </c>
      <c r="AU706" s="1">
        <f t="shared" si="91"/>
        <v>3.2217900374048418</v>
      </c>
      <c r="AV706" s="1">
        <f t="shared" si="92"/>
        <v>2.4297036291620073</v>
      </c>
      <c r="AW706" s="1">
        <f t="shared" si="93"/>
        <v>1.6376172209191731</v>
      </c>
    </row>
    <row r="707" spans="1:49" x14ac:dyDescent="0.2">
      <c r="A707">
        <v>705</v>
      </c>
      <c r="B707" t="s">
        <v>3480</v>
      </c>
      <c r="C707" t="s">
        <v>3479</v>
      </c>
      <c r="F707" t="s">
        <v>3478</v>
      </c>
      <c r="G707" t="s">
        <v>16</v>
      </c>
      <c r="H707" t="s">
        <v>15</v>
      </c>
      <c r="I707" t="s">
        <v>3477</v>
      </c>
      <c r="J707" t="s">
        <v>3476</v>
      </c>
      <c r="K707" t="s">
        <v>3475</v>
      </c>
      <c r="L707" t="s">
        <v>3474</v>
      </c>
      <c r="M707" t="s">
        <v>1678</v>
      </c>
      <c r="N707">
        <v>2</v>
      </c>
      <c r="O707" t="s">
        <v>3473</v>
      </c>
      <c r="P707" t="s">
        <v>3472</v>
      </c>
      <c r="Q707" t="s">
        <v>3471</v>
      </c>
      <c r="R707" s="7">
        <v>33239</v>
      </c>
      <c r="S707" s="8">
        <f t="shared" si="88"/>
        <v>1991</v>
      </c>
      <c r="T707" s="8">
        <v>1991</v>
      </c>
      <c r="U707" s="8">
        <f t="shared" si="89"/>
        <v>31</v>
      </c>
      <c r="V707" s="7">
        <v>33298</v>
      </c>
      <c r="W707" t="s">
        <v>743</v>
      </c>
      <c r="X707" s="2">
        <v>2.141</v>
      </c>
      <c r="Y707" s="6">
        <f t="shared" si="94"/>
        <v>5.7152772216438434E-2</v>
      </c>
      <c r="AA707">
        <v>1962892</v>
      </c>
      <c r="AB707">
        <v>17360</v>
      </c>
      <c r="AC707">
        <v>15580644</v>
      </c>
      <c r="AD707" t="s">
        <v>5</v>
      </c>
      <c r="AE707">
        <v>29</v>
      </c>
      <c r="AF707">
        <v>2</v>
      </c>
      <c r="AH707" t="s">
        <v>3470</v>
      </c>
      <c r="AI707" t="s">
        <v>3469</v>
      </c>
      <c r="AK707" t="s">
        <v>3468</v>
      </c>
      <c r="AL707">
        <v>33</v>
      </c>
      <c r="AM707" s="5">
        <f t="shared" si="90"/>
        <v>1.064516129032258</v>
      </c>
      <c r="AN707" s="4">
        <f t="shared" si="95"/>
        <v>1.6122925089470019E-3</v>
      </c>
      <c r="AO707" s="3"/>
      <c r="AP707">
        <v>0</v>
      </c>
      <c r="AR707" t="s">
        <v>0</v>
      </c>
      <c r="AT707" s="2" t="s">
        <v>33</v>
      </c>
      <c r="AU707" s="1">
        <f t="shared" si="91"/>
        <v>4.0490628304190999</v>
      </c>
      <c r="AV707" s="1">
        <f t="shared" si="92"/>
        <v>2.9382532362692717</v>
      </c>
      <c r="AW707" s="1">
        <f t="shared" si="93"/>
        <v>1.8274436421194431</v>
      </c>
    </row>
    <row r="708" spans="1:49" x14ac:dyDescent="0.2">
      <c r="A708">
        <v>706</v>
      </c>
      <c r="B708" t="s">
        <v>3467</v>
      </c>
      <c r="C708" t="s">
        <v>3466</v>
      </c>
      <c r="F708" t="s">
        <v>3465</v>
      </c>
      <c r="G708" t="s">
        <v>16</v>
      </c>
      <c r="H708" t="s">
        <v>15</v>
      </c>
      <c r="I708" t="s">
        <v>3464</v>
      </c>
      <c r="N708">
        <v>1</v>
      </c>
      <c r="O708" t="s">
        <v>3463</v>
      </c>
      <c r="P708">
        <v>24512080300</v>
      </c>
      <c r="R708" s="7">
        <v>33239</v>
      </c>
      <c r="S708" s="8">
        <f t="shared" si="88"/>
        <v>1991</v>
      </c>
      <c r="T708" s="8">
        <v>1991</v>
      </c>
      <c r="U708" s="8">
        <f t="shared" si="89"/>
        <v>31</v>
      </c>
      <c r="V708" s="7" t="s">
        <v>3311</v>
      </c>
      <c r="W708" t="s">
        <v>779</v>
      </c>
      <c r="X708" s="2">
        <v>0.371</v>
      </c>
      <c r="Y708" s="6">
        <f t="shared" si="94"/>
        <v>9.9036331117695747E-3</v>
      </c>
      <c r="AA708">
        <v>486604</v>
      </c>
      <c r="AB708">
        <v>28580</v>
      </c>
      <c r="AC708" t="s">
        <v>778</v>
      </c>
      <c r="AD708" t="s">
        <v>5</v>
      </c>
      <c r="AE708">
        <v>26</v>
      </c>
      <c r="AF708">
        <v>2</v>
      </c>
      <c r="AH708" t="s">
        <v>3462</v>
      </c>
      <c r="AI708" t="s">
        <v>3461</v>
      </c>
      <c r="AK708" t="s">
        <v>3460</v>
      </c>
      <c r="AL708">
        <v>2</v>
      </c>
      <c r="AM708" s="5">
        <f t="shared" si="90"/>
        <v>6.4516129032258063E-2</v>
      </c>
      <c r="AN708" s="4">
        <f t="shared" si="95"/>
        <v>9.7714697511939517E-5</v>
      </c>
      <c r="AO708" s="3"/>
      <c r="AP708">
        <v>0</v>
      </c>
      <c r="AR708" t="s">
        <v>0</v>
      </c>
      <c r="AT708" s="2">
        <v>1.431</v>
      </c>
      <c r="AU708" s="1">
        <f t="shared" si="91"/>
        <v>0.69618575874922828</v>
      </c>
      <c r="AV708" s="1">
        <f t="shared" si="92"/>
        <v>0.50006739046407567</v>
      </c>
      <c r="AW708" s="1">
        <f t="shared" si="93"/>
        <v>0.30394902217892306</v>
      </c>
    </row>
    <row r="709" spans="1:49" x14ac:dyDescent="0.2">
      <c r="A709">
        <v>707</v>
      </c>
      <c r="B709" t="s">
        <v>3459</v>
      </c>
      <c r="C709" t="s">
        <v>3458</v>
      </c>
      <c r="F709" t="s">
        <v>3457</v>
      </c>
      <c r="G709" t="s">
        <v>16</v>
      </c>
      <c r="H709" t="s">
        <v>15</v>
      </c>
      <c r="I709" t="s">
        <v>3456</v>
      </c>
      <c r="J709" t="s">
        <v>3455</v>
      </c>
      <c r="K709" t="s">
        <v>3454</v>
      </c>
      <c r="L709" t="s">
        <v>3453</v>
      </c>
      <c r="M709" t="s">
        <v>1147</v>
      </c>
      <c r="N709">
        <v>7</v>
      </c>
      <c r="O709" t="s">
        <v>3452</v>
      </c>
      <c r="P709" t="s">
        <v>3451</v>
      </c>
      <c r="Q709" t="s">
        <v>3450</v>
      </c>
      <c r="R709" s="7">
        <v>33239</v>
      </c>
      <c r="S709" s="8">
        <f t="shared" si="88"/>
        <v>1991</v>
      </c>
      <c r="T709" s="8">
        <v>1991</v>
      </c>
      <c r="U709" s="8">
        <f t="shared" si="89"/>
        <v>31</v>
      </c>
      <c r="V709" s="7" t="s">
        <v>3311</v>
      </c>
      <c r="W709" t="s">
        <v>3449</v>
      </c>
      <c r="X709" s="2">
        <v>0.75800000000000001</v>
      </c>
      <c r="Y709" s="6">
        <f t="shared" si="94"/>
        <v>2.0234377085502256E-2</v>
      </c>
      <c r="AA709">
        <v>224650</v>
      </c>
      <c r="AB709">
        <v>29589</v>
      </c>
      <c r="AD709" t="s">
        <v>5</v>
      </c>
      <c r="AE709">
        <v>28</v>
      </c>
      <c r="AF709">
        <v>2</v>
      </c>
      <c r="AH709" t="s">
        <v>3448</v>
      </c>
      <c r="AI709" t="s">
        <v>3447</v>
      </c>
      <c r="AK709" t="s">
        <v>3446</v>
      </c>
      <c r="AL709">
        <v>13</v>
      </c>
      <c r="AM709" s="5">
        <f t="shared" si="90"/>
        <v>0.41935483870967744</v>
      </c>
      <c r="AN709" s="4">
        <f t="shared" si="95"/>
        <v>6.3514553382760684E-4</v>
      </c>
      <c r="AO709" s="3"/>
      <c r="AP709">
        <v>0</v>
      </c>
      <c r="AR709" t="s">
        <v>0</v>
      </c>
      <c r="AT709" s="2">
        <v>1.282</v>
      </c>
      <c r="AU709" s="1">
        <f t="shared" si="91"/>
        <v>1.435460761999986</v>
      </c>
      <c r="AV709" s="1">
        <f t="shared" si="92"/>
        <v>1.0434761309664931</v>
      </c>
      <c r="AW709" s="1">
        <f t="shared" si="93"/>
        <v>0.65149149993300004</v>
      </c>
    </row>
    <row r="710" spans="1:49" x14ac:dyDescent="0.2">
      <c r="A710">
        <v>708</v>
      </c>
      <c r="B710" t="s">
        <v>3445</v>
      </c>
      <c r="C710" t="s">
        <v>3444</v>
      </c>
      <c r="F710" t="s">
        <v>3443</v>
      </c>
      <c r="G710" t="s">
        <v>16</v>
      </c>
      <c r="H710" t="s">
        <v>15</v>
      </c>
      <c r="I710" t="s">
        <v>3442</v>
      </c>
      <c r="J710" t="s">
        <v>3441</v>
      </c>
      <c r="K710" t="s">
        <v>3440</v>
      </c>
      <c r="L710" t="s">
        <v>3439</v>
      </c>
      <c r="M710" t="s">
        <v>3438</v>
      </c>
      <c r="N710">
        <v>3</v>
      </c>
      <c r="O710" t="s">
        <v>3437</v>
      </c>
      <c r="P710" t="s">
        <v>3436</v>
      </c>
      <c r="Q710" t="s">
        <v>3435</v>
      </c>
      <c r="R710" s="7">
        <v>33239</v>
      </c>
      <c r="S710" s="8">
        <f t="shared" si="88"/>
        <v>1991</v>
      </c>
      <c r="T710" s="8">
        <v>1991</v>
      </c>
      <c r="U710" s="8">
        <f t="shared" si="89"/>
        <v>31</v>
      </c>
      <c r="V710" s="7">
        <v>33298</v>
      </c>
      <c r="W710" t="s">
        <v>731</v>
      </c>
      <c r="X710" s="2">
        <v>1.3720000000000001</v>
      </c>
      <c r="Y710" s="6">
        <f t="shared" si="94"/>
        <v>3.662475641333654E-2</v>
      </c>
      <c r="AA710">
        <v>189480</v>
      </c>
      <c r="AB710">
        <v>17366</v>
      </c>
      <c r="AC710">
        <v>15579670</v>
      </c>
      <c r="AD710" t="s">
        <v>5</v>
      </c>
      <c r="AE710">
        <v>39</v>
      </c>
      <c r="AF710">
        <v>3</v>
      </c>
      <c r="AH710" t="s">
        <v>3434</v>
      </c>
      <c r="AI710" t="s">
        <v>3433</v>
      </c>
      <c r="AK710" t="s">
        <v>3432</v>
      </c>
      <c r="AL710">
        <v>53</v>
      </c>
      <c r="AM710" s="5">
        <f t="shared" si="90"/>
        <v>1.7096774193548387</v>
      </c>
      <c r="AN710" s="4">
        <f t="shared" si="95"/>
        <v>2.589439484066397E-3</v>
      </c>
      <c r="AO710" s="3"/>
      <c r="AP710">
        <v>0</v>
      </c>
      <c r="AR710" t="s">
        <v>0</v>
      </c>
      <c r="AT710" s="2" t="s">
        <v>33</v>
      </c>
      <c r="AU710" s="1">
        <f t="shared" si="91"/>
        <v>2.6414161334555497</v>
      </c>
      <c r="AV710" s="1">
        <f t="shared" si="92"/>
        <v>1.9607097948701468</v>
      </c>
      <c r="AW710" s="1">
        <f t="shared" si="93"/>
        <v>1.280003456284744</v>
      </c>
    </row>
    <row r="711" spans="1:49" x14ac:dyDescent="0.2">
      <c r="A711">
        <v>709</v>
      </c>
      <c r="B711" t="s">
        <v>3431</v>
      </c>
      <c r="C711" t="s">
        <v>3430</v>
      </c>
      <c r="F711" t="s">
        <v>3429</v>
      </c>
      <c r="G711" t="s">
        <v>16</v>
      </c>
      <c r="H711" t="s">
        <v>15</v>
      </c>
      <c r="I711" t="s">
        <v>3428</v>
      </c>
      <c r="J711">
        <v>60010806</v>
      </c>
      <c r="K711" t="s">
        <v>3427</v>
      </c>
      <c r="L711" t="s">
        <v>3426</v>
      </c>
      <c r="M711" t="s">
        <v>57</v>
      </c>
      <c r="N711">
        <v>3</v>
      </c>
      <c r="O711" t="s">
        <v>3425</v>
      </c>
      <c r="P711" t="s">
        <v>3424</v>
      </c>
      <c r="Q711" t="s">
        <v>3423</v>
      </c>
      <c r="R711" s="7">
        <v>33239</v>
      </c>
      <c r="S711" s="8">
        <f t="shared" si="88"/>
        <v>1991</v>
      </c>
      <c r="T711" s="8">
        <v>1991</v>
      </c>
      <c r="U711" s="8">
        <f t="shared" si="89"/>
        <v>31</v>
      </c>
      <c r="V711" s="7">
        <v>33298</v>
      </c>
      <c r="W711" t="s">
        <v>1807</v>
      </c>
      <c r="X711" s="2">
        <v>1.6519999999999999</v>
      </c>
      <c r="Y711" s="6">
        <f t="shared" si="94"/>
        <v>4.409919649769093E-2</v>
      </c>
      <c r="AA711" t="s">
        <v>1806</v>
      </c>
      <c r="AB711">
        <v>17337</v>
      </c>
      <c r="AC711">
        <v>15582221</v>
      </c>
      <c r="AD711" t="s">
        <v>5</v>
      </c>
      <c r="AE711">
        <v>39</v>
      </c>
      <c r="AF711">
        <v>3</v>
      </c>
      <c r="AH711" t="s">
        <v>3422</v>
      </c>
      <c r="AI711" t="s">
        <v>3421</v>
      </c>
      <c r="AK711" t="s">
        <v>3420</v>
      </c>
      <c r="AL711">
        <v>39</v>
      </c>
      <c r="AM711" s="5">
        <f t="shared" si="90"/>
        <v>1.2580645161290323</v>
      </c>
      <c r="AN711" s="4">
        <f t="shared" si="95"/>
        <v>1.9054366014828205E-3</v>
      </c>
      <c r="AO711" s="3"/>
      <c r="AP711">
        <v>0</v>
      </c>
      <c r="AR711" t="s">
        <v>0</v>
      </c>
      <c r="AT711" s="2" t="s">
        <v>33</v>
      </c>
      <c r="AU711" s="1">
        <f t="shared" si="91"/>
        <v>3.1441068528828495</v>
      </c>
      <c r="AV711" s="1">
        <f t="shared" si="92"/>
        <v>2.3002316549586874</v>
      </c>
      <c r="AW711" s="1">
        <f t="shared" si="93"/>
        <v>1.4563564570345253</v>
      </c>
    </row>
    <row r="712" spans="1:49" x14ac:dyDescent="0.2">
      <c r="A712">
        <v>710</v>
      </c>
      <c r="B712" t="s">
        <v>3419</v>
      </c>
      <c r="C712" t="s">
        <v>3418</v>
      </c>
      <c r="F712" t="s">
        <v>3417</v>
      </c>
      <c r="G712" t="s">
        <v>16</v>
      </c>
      <c r="H712" t="s">
        <v>15</v>
      </c>
      <c r="I712" t="s">
        <v>3416</v>
      </c>
      <c r="J712">
        <v>60030551</v>
      </c>
      <c r="K712" t="s">
        <v>736</v>
      </c>
      <c r="L712" t="s">
        <v>735</v>
      </c>
      <c r="M712" t="s">
        <v>57</v>
      </c>
      <c r="N712">
        <v>3</v>
      </c>
      <c r="O712" t="s">
        <v>3415</v>
      </c>
      <c r="P712" t="s">
        <v>3414</v>
      </c>
      <c r="Q712" t="s">
        <v>3413</v>
      </c>
      <c r="R712" s="7">
        <v>33239</v>
      </c>
      <c r="S712" s="8">
        <f t="shared" si="88"/>
        <v>1991</v>
      </c>
      <c r="T712" s="8">
        <v>1991</v>
      </c>
      <c r="U712" s="8">
        <f t="shared" si="89"/>
        <v>31</v>
      </c>
      <c r="V712" s="7">
        <v>33298</v>
      </c>
      <c r="W712" t="s">
        <v>1807</v>
      </c>
      <c r="X712" s="2">
        <v>1.6519999999999999</v>
      </c>
      <c r="Y712" s="6">
        <f t="shared" si="94"/>
        <v>4.409919649769093E-2</v>
      </c>
      <c r="AA712" t="s">
        <v>1806</v>
      </c>
      <c r="AB712">
        <v>17337</v>
      </c>
      <c r="AC712">
        <v>15582221</v>
      </c>
      <c r="AD712" t="s">
        <v>5</v>
      </c>
      <c r="AE712">
        <v>39</v>
      </c>
      <c r="AF712">
        <v>3</v>
      </c>
      <c r="AH712" t="s">
        <v>3412</v>
      </c>
      <c r="AI712" t="s">
        <v>3411</v>
      </c>
      <c r="AK712" t="s">
        <v>3410</v>
      </c>
      <c r="AL712">
        <v>7</v>
      </c>
      <c r="AM712" s="5">
        <f t="shared" si="90"/>
        <v>0.22580645161290322</v>
      </c>
      <c r="AN712" s="4">
        <f t="shared" si="95"/>
        <v>3.420014412917883E-4</v>
      </c>
      <c r="AO712" s="3"/>
      <c r="AP712">
        <v>0</v>
      </c>
      <c r="AR712" t="s">
        <v>0</v>
      </c>
      <c r="AT712" s="2" t="s">
        <v>33</v>
      </c>
      <c r="AU712" s="1">
        <f t="shared" si="91"/>
        <v>3.0972037980771185</v>
      </c>
      <c r="AV712" s="1">
        <f t="shared" si="92"/>
        <v>2.2220598969491361</v>
      </c>
      <c r="AW712" s="1">
        <f t="shared" si="93"/>
        <v>1.346915995821153</v>
      </c>
    </row>
    <row r="713" spans="1:49" x14ac:dyDescent="0.2">
      <c r="A713">
        <v>711</v>
      </c>
      <c r="B713" t="s">
        <v>3409</v>
      </c>
      <c r="C713" t="s">
        <v>3408</v>
      </c>
      <c r="F713" t="s">
        <v>3407</v>
      </c>
      <c r="G713" t="s">
        <v>16</v>
      </c>
      <c r="H713" t="s">
        <v>15</v>
      </c>
      <c r="I713" t="s">
        <v>3406</v>
      </c>
      <c r="J713" t="s">
        <v>3401</v>
      </c>
      <c r="K713" t="s">
        <v>3405</v>
      </c>
      <c r="L713" t="s">
        <v>3404</v>
      </c>
      <c r="M713" t="s">
        <v>133</v>
      </c>
      <c r="N713">
        <v>2</v>
      </c>
      <c r="O713" t="s">
        <v>3403</v>
      </c>
      <c r="P713" t="s">
        <v>3402</v>
      </c>
      <c r="Q713" t="s">
        <v>3401</v>
      </c>
      <c r="R713" s="7">
        <v>33239</v>
      </c>
      <c r="S713" s="8">
        <f t="shared" si="88"/>
        <v>1991</v>
      </c>
      <c r="T713" s="8">
        <v>1991</v>
      </c>
      <c r="U713" s="8">
        <f t="shared" si="89"/>
        <v>31</v>
      </c>
      <c r="V713" s="7">
        <v>33298</v>
      </c>
      <c r="W713" t="s">
        <v>1807</v>
      </c>
      <c r="X713" s="2">
        <v>1.6519999999999999</v>
      </c>
      <c r="Y713" s="6">
        <f t="shared" si="94"/>
        <v>4.409919649769093E-2</v>
      </c>
      <c r="AA713" t="s">
        <v>1806</v>
      </c>
      <c r="AB713">
        <v>17337</v>
      </c>
      <c r="AC713">
        <v>15582221</v>
      </c>
      <c r="AD713" t="s">
        <v>5</v>
      </c>
      <c r="AE713">
        <v>39</v>
      </c>
      <c r="AF713">
        <v>3</v>
      </c>
      <c r="AH713" t="s">
        <v>3400</v>
      </c>
      <c r="AI713" t="s">
        <v>3399</v>
      </c>
      <c r="AK713" t="s">
        <v>3398</v>
      </c>
      <c r="AL713">
        <v>10</v>
      </c>
      <c r="AM713" s="5">
        <f t="shared" si="90"/>
        <v>0.32258064516129031</v>
      </c>
      <c r="AN713" s="4">
        <f t="shared" si="95"/>
        <v>4.8857348755969754E-4</v>
      </c>
      <c r="AO713" s="3"/>
      <c r="AP713">
        <v>0</v>
      </c>
      <c r="AR713" t="s">
        <v>0</v>
      </c>
      <c r="AT713" s="2" t="s">
        <v>33</v>
      </c>
      <c r="AU713" s="1">
        <f t="shared" si="91"/>
        <v>3.1016009594651561</v>
      </c>
      <c r="AV713" s="1">
        <f t="shared" si="92"/>
        <v>2.2293884992625315</v>
      </c>
      <c r="AW713" s="1">
        <f t="shared" si="93"/>
        <v>1.3571760390599066</v>
      </c>
    </row>
    <row r="714" spans="1:49" x14ac:dyDescent="0.2">
      <c r="A714">
        <v>712</v>
      </c>
      <c r="B714" t="s">
        <v>3397</v>
      </c>
      <c r="C714" t="s">
        <v>3396</v>
      </c>
      <c r="F714" t="s">
        <v>3395</v>
      </c>
      <c r="G714" t="s">
        <v>16</v>
      </c>
      <c r="H714" t="s">
        <v>15</v>
      </c>
      <c r="I714" t="s">
        <v>3394</v>
      </c>
      <c r="J714" t="s">
        <v>3393</v>
      </c>
      <c r="K714" t="s">
        <v>3392</v>
      </c>
      <c r="L714" t="s">
        <v>3391</v>
      </c>
      <c r="M714" t="s">
        <v>3390</v>
      </c>
      <c r="N714">
        <v>2</v>
      </c>
      <c r="O714" t="s">
        <v>3389</v>
      </c>
      <c r="P714" t="s">
        <v>3388</v>
      </c>
      <c r="Q714" t="s">
        <v>3387</v>
      </c>
      <c r="R714" s="7">
        <v>33239</v>
      </c>
      <c r="S714" s="8">
        <f t="shared" si="88"/>
        <v>1991</v>
      </c>
      <c r="T714" s="8">
        <v>1991</v>
      </c>
      <c r="U714" s="8">
        <f t="shared" si="89"/>
        <v>31</v>
      </c>
      <c r="V714" s="7">
        <v>33298</v>
      </c>
      <c r="W714" t="s">
        <v>1807</v>
      </c>
      <c r="X714" s="2">
        <v>1.6519999999999999</v>
      </c>
      <c r="Y714" s="6">
        <f t="shared" si="94"/>
        <v>4.409919649769093E-2</v>
      </c>
      <c r="AA714" t="s">
        <v>1806</v>
      </c>
      <c r="AB714">
        <v>17337</v>
      </c>
      <c r="AC714">
        <v>15582221</v>
      </c>
      <c r="AD714" t="s">
        <v>5</v>
      </c>
      <c r="AE714">
        <v>39</v>
      </c>
      <c r="AF714">
        <v>3</v>
      </c>
      <c r="AH714" t="s">
        <v>3386</v>
      </c>
      <c r="AI714" t="s">
        <v>3385</v>
      </c>
      <c r="AK714" t="s">
        <v>3384</v>
      </c>
      <c r="AL714">
        <v>15</v>
      </c>
      <c r="AM714" s="5">
        <f t="shared" si="90"/>
        <v>0.4838709677419355</v>
      </c>
      <c r="AN714" s="4">
        <f t="shared" si="95"/>
        <v>7.3286023133954637E-4</v>
      </c>
      <c r="AO714" s="3"/>
      <c r="AP714">
        <v>0</v>
      </c>
      <c r="AR714" t="s">
        <v>0</v>
      </c>
      <c r="AT714" s="2" t="s">
        <v>33</v>
      </c>
      <c r="AU714" s="1">
        <f t="shared" si="91"/>
        <v>3.1089295617785515</v>
      </c>
      <c r="AV714" s="1">
        <f t="shared" si="92"/>
        <v>2.2416028364515239</v>
      </c>
      <c r="AW714" s="1">
        <f t="shared" si="93"/>
        <v>1.3742761111244961</v>
      </c>
    </row>
    <row r="715" spans="1:49" x14ac:dyDescent="0.2">
      <c r="A715">
        <v>713</v>
      </c>
      <c r="B715" t="s">
        <v>3383</v>
      </c>
      <c r="C715" t="s">
        <v>3382</v>
      </c>
      <c r="F715" t="s">
        <v>3381</v>
      </c>
      <c r="G715" t="s">
        <v>16</v>
      </c>
      <c r="H715" t="s">
        <v>15</v>
      </c>
      <c r="I715" t="s">
        <v>3380</v>
      </c>
      <c r="J715">
        <v>60031581</v>
      </c>
      <c r="K715" t="s">
        <v>3379</v>
      </c>
      <c r="L715" t="s">
        <v>374</v>
      </c>
      <c r="M715" t="s">
        <v>57</v>
      </c>
      <c r="N715">
        <v>6</v>
      </c>
      <c r="O715" t="s">
        <v>3378</v>
      </c>
      <c r="P715" t="s">
        <v>3377</v>
      </c>
      <c r="Q715" t="s">
        <v>3376</v>
      </c>
      <c r="R715" s="7">
        <v>33239</v>
      </c>
      <c r="S715" s="8">
        <f t="shared" si="88"/>
        <v>1991</v>
      </c>
      <c r="T715" s="8">
        <v>1991</v>
      </c>
      <c r="U715" s="8">
        <f t="shared" si="89"/>
        <v>31</v>
      </c>
      <c r="V715" s="7">
        <v>33298</v>
      </c>
      <c r="W715" t="s">
        <v>1807</v>
      </c>
      <c r="X715" s="2">
        <v>1.6519999999999999</v>
      </c>
      <c r="Y715" s="6">
        <f t="shared" si="94"/>
        <v>4.409919649769093E-2</v>
      </c>
      <c r="AA715" t="s">
        <v>1806</v>
      </c>
      <c r="AB715">
        <v>17337</v>
      </c>
      <c r="AC715">
        <v>15582221</v>
      </c>
      <c r="AD715" t="s">
        <v>5</v>
      </c>
      <c r="AE715">
        <v>39</v>
      </c>
      <c r="AF715">
        <v>3</v>
      </c>
      <c r="AH715" t="s">
        <v>3375</v>
      </c>
      <c r="AI715" t="s">
        <v>3374</v>
      </c>
      <c r="AK715" t="s">
        <v>3373</v>
      </c>
      <c r="AL715">
        <v>11</v>
      </c>
      <c r="AM715" s="5">
        <f t="shared" si="90"/>
        <v>0.35483870967741937</v>
      </c>
      <c r="AN715" s="4">
        <f t="shared" si="95"/>
        <v>5.3743083631566731E-4</v>
      </c>
      <c r="AO715" s="3"/>
      <c r="AP715">
        <v>0</v>
      </c>
      <c r="AR715" t="s">
        <v>0</v>
      </c>
      <c r="AT715" s="2" t="s">
        <v>33</v>
      </c>
      <c r="AU715" s="1">
        <f t="shared" si="91"/>
        <v>3.103066679927835</v>
      </c>
      <c r="AV715" s="1">
        <f t="shared" si="92"/>
        <v>2.2318313667003298</v>
      </c>
      <c r="AW715" s="1">
        <f t="shared" si="93"/>
        <v>1.3605960534728245</v>
      </c>
    </row>
    <row r="716" spans="1:49" x14ac:dyDescent="0.2">
      <c r="A716">
        <v>714</v>
      </c>
      <c r="B716" t="s">
        <v>3372</v>
      </c>
      <c r="C716" t="s">
        <v>3371</v>
      </c>
      <c r="F716" t="s">
        <v>3370</v>
      </c>
      <c r="G716" t="s">
        <v>16</v>
      </c>
      <c r="H716" t="s">
        <v>15</v>
      </c>
      <c r="I716" t="s">
        <v>3369</v>
      </c>
      <c r="J716">
        <v>60002787</v>
      </c>
      <c r="K716" t="s">
        <v>3368</v>
      </c>
      <c r="L716" t="s">
        <v>3367</v>
      </c>
      <c r="M716" t="s">
        <v>326</v>
      </c>
      <c r="N716">
        <v>2</v>
      </c>
      <c r="O716" t="s">
        <v>3366</v>
      </c>
      <c r="P716" t="s">
        <v>3365</v>
      </c>
      <c r="Q716" t="s">
        <v>3364</v>
      </c>
      <c r="R716" s="7">
        <v>33239</v>
      </c>
      <c r="S716" s="8">
        <f t="shared" si="88"/>
        <v>1991</v>
      </c>
      <c r="T716" s="8">
        <v>1991</v>
      </c>
      <c r="U716" s="8">
        <f t="shared" si="89"/>
        <v>31</v>
      </c>
      <c r="V716" s="7">
        <v>1991</v>
      </c>
      <c r="W716" t="s">
        <v>3363</v>
      </c>
      <c r="X716" s="2">
        <v>0.10299999999999999</v>
      </c>
      <c r="Y716" s="6">
        <f t="shared" si="94"/>
        <v>2.7495261738875098E-3</v>
      </c>
      <c r="AA716">
        <v>10420967</v>
      </c>
      <c r="AB716">
        <v>24908</v>
      </c>
      <c r="AC716">
        <v>15206440</v>
      </c>
      <c r="AD716" t="s">
        <v>5</v>
      </c>
      <c r="AE716">
        <v>74</v>
      </c>
      <c r="AF716">
        <v>3</v>
      </c>
      <c r="AH716" t="s">
        <v>3362</v>
      </c>
      <c r="AI716" t="s">
        <v>3361</v>
      </c>
      <c r="AK716" t="s">
        <v>3360</v>
      </c>
      <c r="AL716">
        <v>0</v>
      </c>
      <c r="AM716" s="5">
        <f t="shared" si="90"/>
        <v>0</v>
      </c>
      <c r="AN716" s="4">
        <f t="shared" si="95"/>
        <v>0</v>
      </c>
      <c r="AO716" s="3"/>
      <c r="AP716">
        <v>0</v>
      </c>
      <c r="AR716" t="s">
        <v>0</v>
      </c>
      <c r="AT716" s="2" t="s">
        <v>33</v>
      </c>
      <c r="AU716" s="1">
        <f t="shared" si="91"/>
        <v>0.19246683217212568</v>
      </c>
      <c r="AV716" s="1">
        <f t="shared" si="92"/>
        <v>0.13747630869437549</v>
      </c>
      <c r="AW716" s="1">
        <f t="shared" si="93"/>
        <v>8.2485785216625293E-2</v>
      </c>
    </row>
    <row r="717" spans="1:49" x14ac:dyDescent="0.2">
      <c r="A717">
        <v>715</v>
      </c>
      <c r="B717" t="s">
        <v>3359</v>
      </c>
      <c r="C717" t="s">
        <v>3358</v>
      </c>
      <c r="F717" t="s">
        <v>3357</v>
      </c>
      <c r="G717" t="s">
        <v>16</v>
      </c>
      <c r="H717" t="s">
        <v>15</v>
      </c>
      <c r="I717" t="s">
        <v>3356</v>
      </c>
      <c r="J717" t="s">
        <v>3355</v>
      </c>
      <c r="K717" t="s">
        <v>3354</v>
      </c>
      <c r="L717" t="s">
        <v>3353</v>
      </c>
      <c r="M717" t="s">
        <v>133</v>
      </c>
      <c r="N717">
        <v>5</v>
      </c>
      <c r="O717" t="s">
        <v>3352</v>
      </c>
      <c r="P717" t="s">
        <v>3351</v>
      </c>
      <c r="Q717" t="s">
        <v>3350</v>
      </c>
      <c r="R717" s="7">
        <v>33239</v>
      </c>
      <c r="S717" s="8">
        <f t="shared" si="88"/>
        <v>1991</v>
      </c>
      <c r="T717" s="8">
        <v>1991</v>
      </c>
      <c r="U717" s="8">
        <f t="shared" si="89"/>
        <v>31</v>
      </c>
      <c r="V717" s="7">
        <v>33298</v>
      </c>
      <c r="W717" t="s">
        <v>3201</v>
      </c>
      <c r="X717" s="2">
        <v>0.62</v>
      </c>
      <c r="Y717" s="6">
        <f t="shared" si="94"/>
        <v>1.6550545901070447E-2</v>
      </c>
      <c r="AA717">
        <v>189464</v>
      </c>
      <c r="AB717">
        <v>17364</v>
      </c>
      <c r="AC717">
        <v>19410069</v>
      </c>
      <c r="AD717" t="s">
        <v>5</v>
      </c>
      <c r="AE717">
        <v>27</v>
      </c>
      <c r="AF717">
        <v>2</v>
      </c>
      <c r="AH717" t="s">
        <v>3349</v>
      </c>
      <c r="AI717" t="s">
        <v>3348</v>
      </c>
      <c r="AK717" t="s">
        <v>3347</v>
      </c>
      <c r="AL717">
        <v>7</v>
      </c>
      <c r="AM717" s="5">
        <f t="shared" si="90"/>
        <v>0.22580645161290322</v>
      </c>
      <c r="AN717" s="4">
        <f t="shared" si="95"/>
        <v>3.420014412917883E-4</v>
      </c>
      <c r="AO717" s="3"/>
      <c r="AP717">
        <v>0</v>
      </c>
      <c r="AQ717" t="s">
        <v>1842</v>
      </c>
      <c r="AR717" t="s">
        <v>3346</v>
      </c>
      <c r="AS717" t="s">
        <v>1841</v>
      </c>
      <c r="AT717" s="2">
        <v>1.7</v>
      </c>
      <c r="AU717" s="1">
        <f t="shared" si="91"/>
        <v>1.1687982563136849</v>
      </c>
      <c r="AV717" s="1">
        <f t="shared" si="92"/>
        <v>0.84462736711811182</v>
      </c>
      <c r="AW717" s="1">
        <f t="shared" si="93"/>
        <v>0.52045647792253857</v>
      </c>
    </row>
    <row r="718" spans="1:49" x14ac:dyDescent="0.2">
      <c r="A718">
        <v>716</v>
      </c>
      <c r="B718" t="s">
        <v>3345</v>
      </c>
      <c r="C718" t="s">
        <v>3344</v>
      </c>
      <c r="F718" t="s">
        <v>3343</v>
      </c>
      <c r="G718" t="s">
        <v>16</v>
      </c>
      <c r="H718" t="s">
        <v>15</v>
      </c>
      <c r="I718" t="s">
        <v>3342</v>
      </c>
      <c r="N718">
        <v>1</v>
      </c>
      <c r="O718" t="s">
        <v>3341</v>
      </c>
      <c r="P718">
        <v>7101988263</v>
      </c>
      <c r="R718" s="7">
        <v>33239</v>
      </c>
      <c r="S718" s="8">
        <f t="shared" si="88"/>
        <v>1991</v>
      </c>
      <c r="T718" s="8">
        <v>1991</v>
      </c>
      <c r="U718" s="8">
        <f t="shared" si="89"/>
        <v>31</v>
      </c>
      <c r="V718" s="7" t="s">
        <v>3311</v>
      </c>
      <c r="W718" t="s">
        <v>779</v>
      </c>
      <c r="X718" s="2">
        <v>0.371</v>
      </c>
      <c r="Y718" s="6">
        <f t="shared" si="94"/>
        <v>9.9036331117695747E-3</v>
      </c>
      <c r="AA718">
        <v>486604</v>
      </c>
      <c r="AB718">
        <v>28580</v>
      </c>
      <c r="AC718" t="s">
        <v>778</v>
      </c>
      <c r="AD718" t="s">
        <v>5</v>
      </c>
      <c r="AE718">
        <v>26</v>
      </c>
      <c r="AF718">
        <v>2</v>
      </c>
      <c r="AH718" t="s">
        <v>3340</v>
      </c>
      <c r="AI718" t="s">
        <v>3339</v>
      </c>
      <c r="AK718" t="s">
        <v>3338</v>
      </c>
      <c r="AL718">
        <v>3</v>
      </c>
      <c r="AM718" s="5">
        <f t="shared" si="90"/>
        <v>9.6774193548387094E-2</v>
      </c>
      <c r="AN718" s="4">
        <f t="shared" si="95"/>
        <v>1.4657204626790927E-4</v>
      </c>
      <c r="AO718" s="3"/>
      <c r="AP718">
        <v>0</v>
      </c>
      <c r="AR718" t="s">
        <v>0</v>
      </c>
      <c r="AT718" s="2">
        <v>1.431</v>
      </c>
      <c r="AU718" s="1">
        <f t="shared" si="91"/>
        <v>0.69765147921190751</v>
      </c>
      <c r="AV718" s="1">
        <f t="shared" si="92"/>
        <v>0.5025102579018742</v>
      </c>
      <c r="AW718" s="1">
        <f t="shared" si="93"/>
        <v>0.30736903659184089</v>
      </c>
    </row>
    <row r="719" spans="1:49" x14ac:dyDescent="0.2">
      <c r="A719">
        <v>717</v>
      </c>
      <c r="B719" t="s">
        <v>3337</v>
      </c>
      <c r="C719" t="s">
        <v>3336</v>
      </c>
      <c r="F719" t="s">
        <v>3335</v>
      </c>
      <c r="G719" t="s">
        <v>16</v>
      </c>
      <c r="H719" t="s">
        <v>15</v>
      </c>
      <c r="I719" t="s">
        <v>3205</v>
      </c>
      <c r="J719" t="s">
        <v>3334</v>
      </c>
      <c r="K719" t="s">
        <v>3333</v>
      </c>
      <c r="L719" t="s">
        <v>3332</v>
      </c>
      <c r="M719" t="s">
        <v>133</v>
      </c>
      <c r="N719">
        <v>3</v>
      </c>
      <c r="O719" t="s">
        <v>3331</v>
      </c>
      <c r="P719" t="s">
        <v>3330</v>
      </c>
      <c r="Q719" t="s">
        <v>3329</v>
      </c>
      <c r="R719" s="7">
        <v>33239</v>
      </c>
      <c r="S719" s="8">
        <f t="shared" si="88"/>
        <v>1991</v>
      </c>
      <c r="T719" s="8">
        <v>1991</v>
      </c>
      <c r="U719" s="8">
        <f t="shared" si="89"/>
        <v>31</v>
      </c>
      <c r="V719" s="7">
        <v>33298</v>
      </c>
      <c r="W719" t="s">
        <v>3201</v>
      </c>
      <c r="X719" s="2">
        <v>0.62</v>
      </c>
      <c r="Y719" s="6">
        <f t="shared" si="94"/>
        <v>1.6550545901070447E-2</v>
      </c>
      <c r="AA719">
        <v>189464</v>
      </c>
      <c r="AB719">
        <v>17364</v>
      </c>
      <c r="AC719">
        <v>19410069</v>
      </c>
      <c r="AD719" t="s">
        <v>5</v>
      </c>
      <c r="AE719">
        <v>27</v>
      </c>
      <c r="AF719">
        <v>2</v>
      </c>
      <c r="AH719" t="s">
        <v>3328</v>
      </c>
      <c r="AI719" t="s">
        <v>3327</v>
      </c>
      <c r="AK719" t="s">
        <v>3326</v>
      </c>
      <c r="AL719">
        <v>44</v>
      </c>
      <c r="AM719" s="5">
        <f t="shared" si="90"/>
        <v>1.4193548387096775</v>
      </c>
      <c r="AN719" s="4">
        <f t="shared" si="95"/>
        <v>2.1497233452626692E-3</v>
      </c>
      <c r="AO719" s="3"/>
      <c r="AP719">
        <v>0</v>
      </c>
      <c r="AR719" t="s">
        <v>0</v>
      </c>
      <c r="AT719" s="2">
        <v>1.7</v>
      </c>
      <c r="AU719" s="1">
        <f t="shared" si="91"/>
        <v>1.2230299134328113</v>
      </c>
      <c r="AV719" s="1">
        <f t="shared" si="92"/>
        <v>0.93501346231665583</v>
      </c>
      <c r="AW719" s="1">
        <f t="shared" si="93"/>
        <v>0.64699701120050024</v>
      </c>
    </row>
    <row r="720" spans="1:49" x14ac:dyDescent="0.2">
      <c r="A720">
        <v>718</v>
      </c>
      <c r="B720" t="s">
        <v>3325</v>
      </c>
      <c r="C720" t="s">
        <v>3324</v>
      </c>
      <c r="F720" t="s">
        <v>3323</v>
      </c>
      <c r="G720" t="s">
        <v>16</v>
      </c>
      <c r="H720" t="s">
        <v>15</v>
      </c>
      <c r="I720" t="s">
        <v>3322</v>
      </c>
      <c r="N720">
        <v>4</v>
      </c>
      <c r="O720" t="s">
        <v>3321</v>
      </c>
      <c r="P720" t="s">
        <v>3320</v>
      </c>
      <c r="Q720" t="s">
        <v>1517</v>
      </c>
      <c r="R720" s="7">
        <v>33239</v>
      </c>
      <c r="S720" s="8">
        <f t="shared" si="88"/>
        <v>1991</v>
      </c>
      <c r="T720" s="8">
        <v>1991</v>
      </c>
      <c r="U720" s="8">
        <f t="shared" si="89"/>
        <v>31</v>
      </c>
      <c r="V720" s="7" t="s">
        <v>3311</v>
      </c>
      <c r="W720" t="s">
        <v>779</v>
      </c>
      <c r="X720" s="2">
        <v>0.371</v>
      </c>
      <c r="Y720" s="6">
        <f t="shared" si="94"/>
        <v>9.9036331117695747E-3</v>
      </c>
      <c r="AA720">
        <v>486604</v>
      </c>
      <c r="AB720">
        <v>28580</v>
      </c>
      <c r="AC720" t="s">
        <v>778</v>
      </c>
      <c r="AD720" t="s">
        <v>5</v>
      </c>
      <c r="AE720">
        <v>26</v>
      </c>
      <c r="AF720">
        <v>2</v>
      </c>
      <c r="AH720" t="s">
        <v>3319</v>
      </c>
      <c r="AI720" t="s">
        <v>3318</v>
      </c>
      <c r="AK720" t="s">
        <v>3317</v>
      </c>
      <c r="AL720">
        <v>6</v>
      </c>
      <c r="AM720" s="5">
        <f t="shared" si="90"/>
        <v>0.19354838709677419</v>
      </c>
      <c r="AN720" s="4">
        <f t="shared" si="95"/>
        <v>2.9314409253581854E-4</v>
      </c>
      <c r="AO720" s="3"/>
      <c r="AP720">
        <v>0</v>
      </c>
      <c r="AR720" t="s">
        <v>0</v>
      </c>
      <c r="AT720" s="2">
        <v>1.431</v>
      </c>
      <c r="AU720" s="1">
        <f t="shared" si="91"/>
        <v>0.70204864059994465</v>
      </c>
      <c r="AV720" s="1">
        <f t="shared" si="92"/>
        <v>0.50983886021526958</v>
      </c>
      <c r="AW720" s="1">
        <f t="shared" si="93"/>
        <v>0.31762907983059457</v>
      </c>
    </row>
    <row r="721" spans="1:49" x14ac:dyDescent="0.2">
      <c r="A721">
        <v>719</v>
      </c>
      <c r="B721" t="s">
        <v>3316</v>
      </c>
      <c r="C721" t="s">
        <v>3315</v>
      </c>
      <c r="F721" t="s">
        <v>3314</v>
      </c>
      <c r="G721" t="s">
        <v>16</v>
      </c>
      <c r="H721" t="s">
        <v>15</v>
      </c>
      <c r="I721" t="s">
        <v>3313</v>
      </c>
      <c r="N721">
        <v>1</v>
      </c>
      <c r="O721" t="s">
        <v>3312</v>
      </c>
      <c r="P721">
        <v>56096002800</v>
      </c>
      <c r="R721" s="7">
        <v>33239</v>
      </c>
      <c r="S721" s="8">
        <f t="shared" si="88"/>
        <v>1991</v>
      </c>
      <c r="T721" s="8">
        <v>1991</v>
      </c>
      <c r="U721" s="8">
        <f t="shared" si="89"/>
        <v>31</v>
      </c>
      <c r="V721" s="7" t="s">
        <v>3311</v>
      </c>
      <c r="W721" t="s">
        <v>779</v>
      </c>
      <c r="X721" s="2">
        <v>0.371</v>
      </c>
      <c r="Y721" s="6">
        <f t="shared" si="94"/>
        <v>9.9036331117695747E-3</v>
      </c>
      <c r="AA721">
        <v>486604</v>
      </c>
      <c r="AB721">
        <v>28580</v>
      </c>
      <c r="AC721" t="s">
        <v>778</v>
      </c>
      <c r="AD721" t="s">
        <v>5</v>
      </c>
      <c r="AE721">
        <v>26</v>
      </c>
      <c r="AF721">
        <v>2</v>
      </c>
      <c r="AH721" t="s">
        <v>3310</v>
      </c>
      <c r="AI721" t="s">
        <v>3309</v>
      </c>
      <c r="AK721" t="s">
        <v>3308</v>
      </c>
      <c r="AL721">
        <v>2</v>
      </c>
      <c r="AM721" s="5">
        <f t="shared" si="90"/>
        <v>6.4516129032258063E-2</v>
      </c>
      <c r="AN721" s="4">
        <f t="shared" si="95"/>
        <v>9.7714697511939517E-5</v>
      </c>
      <c r="AO721" s="3"/>
      <c r="AP721">
        <v>0</v>
      </c>
      <c r="AR721" t="s">
        <v>0</v>
      </c>
      <c r="AT721" s="2">
        <v>1.431</v>
      </c>
      <c r="AU721" s="1">
        <f t="shared" si="91"/>
        <v>0.69618575874922828</v>
      </c>
      <c r="AV721" s="1">
        <f t="shared" si="92"/>
        <v>0.50006739046407567</v>
      </c>
      <c r="AW721" s="1">
        <f t="shared" si="93"/>
        <v>0.30394902217892306</v>
      </c>
    </row>
    <row r="722" spans="1:49" x14ac:dyDescent="0.2">
      <c r="A722">
        <v>720</v>
      </c>
      <c r="B722" t="s">
        <v>3307</v>
      </c>
      <c r="C722" t="s">
        <v>3306</v>
      </c>
      <c r="F722" t="s">
        <v>3305</v>
      </c>
      <c r="G722" t="s">
        <v>16</v>
      </c>
      <c r="H722" t="s">
        <v>15</v>
      </c>
      <c r="I722" t="s">
        <v>3304</v>
      </c>
      <c r="J722">
        <v>60025709</v>
      </c>
      <c r="K722" t="s">
        <v>3303</v>
      </c>
      <c r="L722" t="s">
        <v>427</v>
      </c>
      <c r="M722" t="s">
        <v>426</v>
      </c>
      <c r="N722">
        <v>1</v>
      </c>
      <c r="O722" t="s">
        <v>3302</v>
      </c>
      <c r="P722">
        <v>7401451781</v>
      </c>
      <c r="Q722">
        <v>60025709</v>
      </c>
      <c r="R722" s="7">
        <v>33239</v>
      </c>
      <c r="S722" s="8">
        <f t="shared" si="88"/>
        <v>1991</v>
      </c>
      <c r="T722" s="8">
        <v>1991</v>
      </c>
      <c r="U722" s="8">
        <f t="shared" si="89"/>
        <v>31</v>
      </c>
      <c r="V722" s="7">
        <v>33298</v>
      </c>
      <c r="W722" t="s">
        <v>987</v>
      </c>
      <c r="X722" s="2">
        <v>1.774</v>
      </c>
      <c r="Y722" s="6">
        <f t="shared" si="94"/>
        <v>4.7355916820159633E-2</v>
      </c>
      <c r="AA722">
        <v>295515</v>
      </c>
      <c r="AB722">
        <v>29066</v>
      </c>
      <c r="AC722">
        <v>17414326</v>
      </c>
      <c r="AD722" t="s">
        <v>5</v>
      </c>
      <c r="AE722">
        <v>31</v>
      </c>
      <c r="AF722">
        <v>3</v>
      </c>
      <c r="AH722" t="s">
        <v>3301</v>
      </c>
      <c r="AI722" t="s">
        <v>3300</v>
      </c>
      <c r="AK722" t="s">
        <v>3299</v>
      </c>
      <c r="AL722">
        <v>4</v>
      </c>
      <c r="AM722" s="5">
        <f t="shared" si="90"/>
        <v>0.12903225806451613</v>
      </c>
      <c r="AN722" s="4">
        <f t="shared" si="95"/>
        <v>1.9542939502387903E-4</v>
      </c>
      <c r="AO722" s="3"/>
      <c r="AP722">
        <v>0</v>
      </c>
      <c r="AR722" t="s">
        <v>0</v>
      </c>
      <c r="AT722" s="2">
        <v>3.1789999999999998</v>
      </c>
      <c r="AU722" s="1">
        <f t="shared" si="91"/>
        <v>3.3207770592618902</v>
      </c>
      <c r="AV722" s="1">
        <f t="shared" si="92"/>
        <v>2.3775673107591757</v>
      </c>
      <c r="AW722" s="1">
        <f t="shared" si="93"/>
        <v>1.4343575622564604</v>
      </c>
    </row>
    <row r="723" spans="1:49" x14ac:dyDescent="0.2">
      <c r="A723">
        <v>721</v>
      </c>
      <c r="B723" t="s">
        <v>3298</v>
      </c>
      <c r="C723" t="s">
        <v>3297</v>
      </c>
      <c r="F723" t="s">
        <v>3296</v>
      </c>
      <c r="G723" t="s">
        <v>16</v>
      </c>
      <c r="H723" t="s">
        <v>15</v>
      </c>
      <c r="I723" t="s">
        <v>3295</v>
      </c>
      <c r="J723">
        <v>100985012</v>
      </c>
      <c r="K723" t="s">
        <v>3294</v>
      </c>
      <c r="L723" t="s">
        <v>3293</v>
      </c>
      <c r="M723" t="s">
        <v>57</v>
      </c>
      <c r="N723">
        <v>2</v>
      </c>
      <c r="O723" t="s">
        <v>3292</v>
      </c>
      <c r="P723" t="s">
        <v>3291</v>
      </c>
      <c r="Q723" t="s">
        <v>3290</v>
      </c>
      <c r="R723" s="7">
        <v>33239</v>
      </c>
      <c r="S723" s="8">
        <f t="shared" si="88"/>
        <v>1991</v>
      </c>
      <c r="T723" s="8">
        <v>1991</v>
      </c>
      <c r="U723" s="8">
        <f t="shared" si="89"/>
        <v>31</v>
      </c>
      <c r="V723" s="7" t="s">
        <v>3239</v>
      </c>
      <c r="W723" t="s">
        <v>3238</v>
      </c>
      <c r="X723" s="2">
        <v>0.33800000000000002</v>
      </c>
      <c r="Y723" s="6">
        <f t="shared" si="94"/>
        <v>9.0227169589706634E-3</v>
      </c>
      <c r="AA723">
        <v>7372884</v>
      </c>
      <c r="AB723">
        <v>70506</v>
      </c>
      <c r="AC723">
        <v>10991247</v>
      </c>
      <c r="AD723" t="s">
        <v>5</v>
      </c>
      <c r="AE723">
        <v>9</v>
      </c>
      <c r="AF723">
        <v>2</v>
      </c>
      <c r="AH723" t="s">
        <v>3289</v>
      </c>
      <c r="AI723" t="s">
        <v>3288</v>
      </c>
      <c r="AJ723" t="s">
        <v>3287</v>
      </c>
      <c r="AK723" t="s">
        <v>3286</v>
      </c>
      <c r="AL723">
        <v>6</v>
      </c>
      <c r="AM723" s="5">
        <f t="shared" si="90"/>
        <v>0.19354838709677419</v>
      </c>
      <c r="AN723" s="4">
        <f t="shared" si="95"/>
        <v>2.9314409253581854E-4</v>
      </c>
      <c r="AO723" s="3"/>
      <c r="AP723">
        <v>0</v>
      </c>
      <c r="AR723" t="s">
        <v>0</v>
      </c>
      <c r="AT723" s="2" t="s">
        <v>33</v>
      </c>
      <c r="AU723" s="1">
        <f t="shared" si="91"/>
        <v>0.64038450990402096</v>
      </c>
      <c r="AV723" s="1">
        <f t="shared" si="92"/>
        <v>0.46579305257532405</v>
      </c>
      <c r="AW723" s="1">
        <f t="shared" si="93"/>
        <v>0.2912015952466272</v>
      </c>
    </row>
    <row r="724" spans="1:49" x14ac:dyDescent="0.2">
      <c r="A724">
        <v>722</v>
      </c>
      <c r="B724" t="s">
        <v>3285</v>
      </c>
      <c r="C724" t="s">
        <v>3284</v>
      </c>
      <c r="F724" t="s">
        <v>3283</v>
      </c>
      <c r="G724" t="s">
        <v>16</v>
      </c>
      <c r="H724" t="s">
        <v>15</v>
      </c>
      <c r="I724" t="s">
        <v>3282</v>
      </c>
      <c r="J724">
        <v>60015272</v>
      </c>
      <c r="K724" t="s">
        <v>3281</v>
      </c>
      <c r="L724" t="s">
        <v>3280</v>
      </c>
      <c r="M724" t="s">
        <v>57</v>
      </c>
      <c r="N724">
        <v>5</v>
      </c>
      <c r="O724" t="s">
        <v>3279</v>
      </c>
      <c r="P724" t="s">
        <v>3278</v>
      </c>
      <c r="Q724" t="s">
        <v>3277</v>
      </c>
      <c r="R724" s="7">
        <v>33239</v>
      </c>
      <c r="S724" s="8">
        <f t="shared" si="88"/>
        <v>1991</v>
      </c>
      <c r="T724" s="8">
        <v>1991</v>
      </c>
      <c r="U724" s="8">
        <f t="shared" si="89"/>
        <v>31</v>
      </c>
      <c r="V724" s="7">
        <v>33298</v>
      </c>
      <c r="W724" t="s">
        <v>3276</v>
      </c>
      <c r="X724" s="2">
        <v>2.383</v>
      </c>
      <c r="Y724" s="6">
        <f t="shared" si="94"/>
        <v>6.3612824003630442E-2</v>
      </c>
      <c r="AA724">
        <v>189219</v>
      </c>
      <c r="AB724">
        <v>17915</v>
      </c>
      <c r="AC724">
        <v>15582256</v>
      </c>
      <c r="AD724" t="s">
        <v>5</v>
      </c>
      <c r="AE724">
        <v>79</v>
      </c>
      <c r="AF724">
        <v>3</v>
      </c>
      <c r="AH724" t="s">
        <v>3275</v>
      </c>
      <c r="AI724" t="s">
        <v>3274</v>
      </c>
      <c r="AK724" t="s">
        <v>3273</v>
      </c>
      <c r="AL724">
        <v>54</v>
      </c>
      <c r="AM724" s="5">
        <f t="shared" si="90"/>
        <v>1.7419354838709677</v>
      </c>
      <c r="AN724" s="4">
        <f t="shared" si="95"/>
        <v>2.6382968328223671E-3</v>
      </c>
      <c r="AO724" s="3"/>
      <c r="AP724">
        <v>0</v>
      </c>
      <c r="AR724" t="s">
        <v>0</v>
      </c>
      <c r="AT724" s="2">
        <v>10.961</v>
      </c>
      <c r="AU724" s="1">
        <f t="shared" si="91"/>
        <v>4.5320465852388017</v>
      </c>
      <c r="AV724" s="1">
        <f t="shared" si="92"/>
        <v>3.3125560418226403</v>
      </c>
      <c r="AW724" s="1">
        <f t="shared" si="93"/>
        <v>2.0930654984064789</v>
      </c>
    </row>
    <row r="725" spans="1:49" x14ac:dyDescent="0.2">
      <c r="A725">
        <v>723</v>
      </c>
      <c r="B725" t="s">
        <v>3272</v>
      </c>
      <c r="C725" t="s">
        <v>3271</v>
      </c>
      <c r="F725" t="s">
        <v>3270</v>
      </c>
      <c r="G725" t="s">
        <v>16</v>
      </c>
      <c r="H725" t="s">
        <v>15</v>
      </c>
      <c r="I725" t="s">
        <v>3269</v>
      </c>
      <c r="J725">
        <v>60000874</v>
      </c>
      <c r="K725" t="s">
        <v>3268</v>
      </c>
      <c r="L725" t="s">
        <v>3267</v>
      </c>
      <c r="M725" t="s">
        <v>3266</v>
      </c>
      <c r="N725">
        <v>1</v>
      </c>
      <c r="O725" t="s">
        <v>3265</v>
      </c>
      <c r="P725">
        <v>7003990219</v>
      </c>
      <c r="Q725">
        <v>60000874</v>
      </c>
      <c r="R725" s="7">
        <v>33239</v>
      </c>
      <c r="S725" s="8">
        <f t="shared" si="88"/>
        <v>1991</v>
      </c>
      <c r="T725" s="8">
        <v>1991</v>
      </c>
      <c r="U725" s="8">
        <f t="shared" si="89"/>
        <v>31</v>
      </c>
      <c r="V725" s="7">
        <v>33298</v>
      </c>
      <c r="W725" t="s">
        <v>1807</v>
      </c>
      <c r="X725" s="2">
        <v>1.6519999999999999</v>
      </c>
      <c r="Y725" s="6">
        <f t="shared" si="94"/>
        <v>4.409919649769093E-2</v>
      </c>
      <c r="AA725" t="s">
        <v>1806</v>
      </c>
      <c r="AB725">
        <v>17337</v>
      </c>
      <c r="AC725">
        <v>15582221</v>
      </c>
      <c r="AD725" t="s">
        <v>5</v>
      </c>
      <c r="AE725">
        <v>39</v>
      </c>
      <c r="AF725">
        <v>3</v>
      </c>
      <c r="AH725" t="s">
        <v>3264</v>
      </c>
      <c r="AI725" t="s">
        <v>3263</v>
      </c>
      <c r="AK725" t="s">
        <v>3262</v>
      </c>
      <c r="AL725">
        <v>75</v>
      </c>
      <c r="AM725" s="5">
        <f t="shared" si="90"/>
        <v>2.4193548387096775</v>
      </c>
      <c r="AN725" s="4">
        <f t="shared" si="95"/>
        <v>3.6643011566977321E-3</v>
      </c>
      <c r="AO725" s="3"/>
      <c r="AP725">
        <v>0</v>
      </c>
      <c r="AR725" t="s">
        <v>0</v>
      </c>
      <c r="AT725" s="2" t="s">
        <v>33</v>
      </c>
      <c r="AU725" s="1">
        <f t="shared" si="91"/>
        <v>3.196872789539297</v>
      </c>
      <c r="AV725" s="1">
        <f t="shared" si="92"/>
        <v>2.3881748827194333</v>
      </c>
      <c r="AW725" s="1">
        <f t="shared" si="93"/>
        <v>1.579476975899569</v>
      </c>
    </row>
    <row r="726" spans="1:49" x14ac:dyDescent="0.2">
      <c r="A726">
        <v>724</v>
      </c>
      <c r="B726" t="s">
        <v>3261</v>
      </c>
      <c r="C726" t="s">
        <v>3260</v>
      </c>
      <c r="F726" t="s">
        <v>3259</v>
      </c>
      <c r="G726" t="s">
        <v>16</v>
      </c>
      <c r="H726" t="s">
        <v>15</v>
      </c>
      <c r="I726" t="s">
        <v>3258</v>
      </c>
      <c r="J726">
        <v>60030469</v>
      </c>
      <c r="K726" t="s">
        <v>3257</v>
      </c>
      <c r="L726" t="s">
        <v>3256</v>
      </c>
      <c r="M726" t="s">
        <v>117</v>
      </c>
      <c r="N726">
        <v>2</v>
      </c>
      <c r="O726" t="s">
        <v>3255</v>
      </c>
      <c r="P726" t="s">
        <v>3254</v>
      </c>
      <c r="Q726" t="s">
        <v>3253</v>
      </c>
      <c r="R726" s="7">
        <v>33239</v>
      </c>
      <c r="S726" s="8">
        <f t="shared" si="88"/>
        <v>1991</v>
      </c>
      <c r="T726" s="8">
        <v>1991</v>
      </c>
      <c r="U726" s="8">
        <f t="shared" si="89"/>
        <v>31</v>
      </c>
      <c r="V726" s="7">
        <v>33298</v>
      </c>
      <c r="W726" t="s">
        <v>731</v>
      </c>
      <c r="X726" s="2">
        <v>1.3720000000000001</v>
      </c>
      <c r="Y726" s="6">
        <f t="shared" si="94"/>
        <v>3.662475641333654E-2</v>
      </c>
      <c r="AA726">
        <v>189480</v>
      </c>
      <c r="AB726">
        <v>17366</v>
      </c>
      <c r="AC726">
        <v>15579670</v>
      </c>
      <c r="AD726" t="s">
        <v>5</v>
      </c>
      <c r="AE726">
        <v>39</v>
      </c>
      <c r="AF726">
        <v>3</v>
      </c>
      <c r="AH726" t="s">
        <v>3252</v>
      </c>
      <c r="AI726" t="s">
        <v>3251</v>
      </c>
      <c r="AK726" t="s">
        <v>3250</v>
      </c>
      <c r="AL726">
        <v>8</v>
      </c>
      <c r="AM726" s="5">
        <f t="shared" si="90"/>
        <v>0.25806451612903225</v>
      </c>
      <c r="AN726" s="4">
        <f t="shared" si="95"/>
        <v>3.9085879004775807E-4</v>
      </c>
      <c r="AO726" s="3"/>
      <c r="AP726">
        <v>0</v>
      </c>
      <c r="AR726" t="s">
        <v>0</v>
      </c>
      <c r="AT726" s="2" t="s">
        <v>33</v>
      </c>
      <c r="AU726" s="1">
        <f t="shared" si="91"/>
        <v>2.5754587126349904</v>
      </c>
      <c r="AV726" s="1">
        <f t="shared" si="92"/>
        <v>1.8507807601692148</v>
      </c>
      <c r="AW726" s="1">
        <f t="shared" si="93"/>
        <v>1.1261028077034394</v>
      </c>
    </row>
    <row r="727" spans="1:49" x14ac:dyDescent="0.2">
      <c r="A727">
        <v>725</v>
      </c>
      <c r="B727" t="s">
        <v>3249</v>
      </c>
      <c r="C727" t="s">
        <v>3248</v>
      </c>
      <c r="F727" t="s">
        <v>3247</v>
      </c>
      <c r="G727" t="s">
        <v>16</v>
      </c>
      <c r="H727" t="s">
        <v>15</v>
      </c>
      <c r="I727" t="s">
        <v>3246</v>
      </c>
      <c r="J727" t="s">
        <v>3245</v>
      </c>
      <c r="K727" t="s">
        <v>3244</v>
      </c>
      <c r="L727" t="s">
        <v>3243</v>
      </c>
      <c r="M727" t="s">
        <v>364</v>
      </c>
      <c r="N727">
        <v>2</v>
      </c>
      <c r="O727" t="s">
        <v>3242</v>
      </c>
      <c r="P727" t="s">
        <v>3241</v>
      </c>
      <c r="Q727" t="s">
        <v>3240</v>
      </c>
      <c r="R727" s="7">
        <v>33239</v>
      </c>
      <c r="S727" s="8">
        <f t="shared" si="88"/>
        <v>1991</v>
      </c>
      <c r="T727" s="8">
        <v>1991</v>
      </c>
      <c r="U727" s="8">
        <f t="shared" si="89"/>
        <v>31</v>
      </c>
      <c r="V727" s="7" t="s">
        <v>3239</v>
      </c>
      <c r="W727" t="s">
        <v>3238</v>
      </c>
      <c r="X727" s="2">
        <v>0.33800000000000002</v>
      </c>
      <c r="Y727" s="6">
        <f t="shared" si="94"/>
        <v>9.0227169589706634E-3</v>
      </c>
      <c r="AA727">
        <v>7372884</v>
      </c>
      <c r="AB727">
        <v>70506</v>
      </c>
      <c r="AC727">
        <v>10991247</v>
      </c>
      <c r="AD727" t="s">
        <v>5</v>
      </c>
      <c r="AE727">
        <v>9</v>
      </c>
      <c r="AF727">
        <v>2</v>
      </c>
      <c r="AH727" t="s">
        <v>3237</v>
      </c>
      <c r="AI727" t="s">
        <v>3236</v>
      </c>
      <c r="AJ727" t="s">
        <v>3235</v>
      </c>
      <c r="AK727" t="s">
        <v>3234</v>
      </c>
      <c r="AL727">
        <v>0</v>
      </c>
      <c r="AM727" s="5">
        <f t="shared" si="90"/>
        <v>0</v>
      </c>
      <c r="AN727" s="4">
        <f t="shared" si="95"/>
        <v>0</v>
      </c>
      <c r="AO727" s="3"/>
      <c r="AP727">
        <v>0</v>
      </c>
      <c r="AR727" t="s">
        <v>0</v>
      </c>
      <c r="AT727" s="2" t="s">
        <v>33</v>
      </c>
      <c r="AU727" s="1">
        <f t="shared" si="91"/>
        <v>0.63159018712794635</v>
      </c>
      <c r="AV727" s="1">
        <f t="shared" si="92"/>
        <v>0.45113584794853318</v>
      </c>
      <c r="AW727" s="1">
        <f t="shared" si="93"/>
        <v>0.27068150876911989</v>
      </c>
    </row>
    <row r="728" spans="1:49" x14ac:dyDescent="0.2">
      <c r="A728">
        <v>726</v>
      </c>
      <c r="B728" t="s">
        <v>3233</v>
      </c>
      <c r="C728" t="s">
        <v>3232</v>
      </c>
      <c r="F728" t="s">
        <v>3231</v>
      </c>
      <c r="G728" t="s">
        <v>16</v>
      </c>
      <c r="H728" t="s">
        <v>15</v>
      </c>
      <c r="I728" t="s">
        <v>3230</v>
      </c>
      <c r="J728">
        <v>60014313</v>
      </c>
      <c r="K728" t="s">
        <v>3229</v>
      </c>
      <c r="L728" t="s">
        <v>3228</v>
      </c>
      <c r="M728" t="s">
        <v>57</v>
      </c>
      <c r="N728">
        <v>5</v>
      </c>
      <c r="O728" t="s">
        <v>3227</v>
      </c>
      <c r="P728" t="s">
        <v>3226</v>
      </c>
      <c r="Q728" t="s">
        <v>3225</v>
      </c>
      <c r="R728" s="7">
        <v>33239</v>
      </c>
      <c r="S728" s="8">
        <f t="shared" si="88"/>
        <v>1991</v>
      </c>
      <c r="T728" s="8">
        <v>1991</v>
      </c>
      <c r="U728" s="8">
        <f t="shared" si="89"/>
        <v>31</v>
      </c>
      <c r="V728" s="7">
        <v>33298</v>
      </c>
      <c r="W728" t="s">
        <v>743</v>
      </c>
      <c r="X728" s="2">
        <v>2.141</v>
      </c>
      <c r="Y728" s="6">
        <f t="shared" si="94"/>
        <v>5.7152772216438434E-2</v>
      </c>
      <c r="AA728">
        <v>1962892</v>
      </c>
      <c r="AB728">
        <v>17360</v>
      </c>
      <c r="AC728">
        <v>15580644</v>
      </c>
      <c r="AD728" t="s">
        <v>5</v>
      </c>
      <c r="AE728">
        <v>29</v>
      </c>
      <c r="AF728">
        <v>2</v>
      </c>
      <c r="AH728" t="s">
        <v>3224</v>
      </c>
      <c r="AI728" t="s">
        <v>3223</v>
      </c>
      <c r="AK728" t="s">
        <v>3222</v>
      </c>
      <c r="AL728">
        <v>5</v>
      </c>
      <c r="AM728" s="5">
        <f t="shared" si="90"/>
        <v>0.16129032258064516</v>
      </c>
      <c r="AN728" s="4">
        <f t="shared" si="95"/>
        <v>2.4428674377984877E-4</v>
      </c>
      <c r="AO728" s="3"/>
      <c r="AP728">
        <v>0</v>
      </c>
      <c r="AR728" t="s">
        <v>0</v>
      </c>
      <c r="AT728" s="2" t="s">
        <v>33</v>
      </c>
      <c r="AU728" s="1">
        <f t="shared" si="91"/>
        <v>4.0080226574640854</v>
      </c>
      <c r="AV728" s="1">
        <f t="shared" si="92"/>
        <v>2.8698529480109141</v>
      </c>
      <c r="AW728" s="1">
        <f t="shared" si="93"/>
        <v>1.7316832385577425</v>
      </c>
    </row>
    <row r="729" spans="1:49" x14ac:dyDescent="0.2">
      <c r="A729">
        <v>727</v>
      </c>
      <c r="B729" t="s">
        <v>3221</v>
      </c>
      <c r="C729" t="s">
        <v>3220</v>
      </c>
      <c r="F729" t="s">
        <v>3219</v>
      </c>
      <c r="G729" t="s">
        <v>16</v>
      </c>
      <c r="H729" t="s">
        <v>15</v>
      </c>
      <c r="I729" t="s">
        <v>3218</v>
      </c>
      <c r="J729" t="s">
        <v>3217</v>
      </c>
      <c r="K729" t="s">
        <v>3216</v>
      </c>
      <c r="L729" t="s">
        <v>3215</v>
      </c>
      <c r="M729" t="s">
        <v>1147</v>
      </c>
      <c r="N729">
        <v>4</v>
      </c>
      <c r="O729" t="s">
        <v>3214</v>
      </c>
      <c r="P729" t="s">
        <v>3213</v>
      </c>
      <c r="Q729" t="s">
        <v>3212</v>
      </c>
      <c r="R729" s="7">
        <v>33239</v>
      </c>
      <c r="S729" s="8">
        <f t="shared" si="88"/>
        <v>1991</v>
      </c>
      <c r="T729" s="8">
        <v>1991</v>
      </c>
      <c r="U729" s="8">
        <f t="shared" si="89"/>
        <v>31</v>
      </c>
      <c r="V729" s="7">
        <v>33298</v>
      </c>
      <c r="W729" t="s">
        <v>1807</v>
      </c>
      <c r="X729" s="2">
        <v>1.6519999999999999</v>
      </c>
      <c r="Y729" s="6">
        <f t="shared" si="94"/>
        <v>4.409919649769093E-2</v>
      </c>
      <c r="AA729" t="s">
        <v>1806</v>
      </c>
      <c r="AB729">
        <v>17337</v>
      </c>
      <c r="AC729">
        <v>15582221</v>
      </c>
      <c r="AD729" t="s">
        <v>5</v>
      </c>
      <c r="AE729">
        <v>39</v>
      </c>
      <c r="AF729">
        <v>3</v>
      </c>
      <c r="AH729" t="s">
        <v>3211</v>
      </c>
      <c r="AI729" t="s">
        <v>3210</v>
      </c>
      <c r="AK729" t="s">
        <v>3209</v>
      </c>
      <c r="AL729">
        <v>12</v>
      </c>
      <c r="AM729" s="5">
        <f t="shared" si="90"/>
        <v>0.38709677419354838</v>
      </c>
      <c r="AN729" s="4">
        <f t="shared" si="95"/>
        <v>5.8628818507163707E-4</v>
      </c>
      <c r="AO729" s="3"/>
      <c r="AP729">
        <v>0</v>
      </c>
      <c r="AR729" t="s">
        <v>0</v>
      </c>
      <c r="AT729" s="2" t="s">
        <v>33</v>
      </c>
      <c r="AU729" s="1">
        <f t="shared" si="91"/>
        <v>3.1045324003905144</v>
      </c>
      <c r="AV729" s="1">
        <f t="shared" si="92"/>
        <v>2.2342742341381285</v>
      </c>
      <c r="AW729" s="1">
        <f t="shared" si="93"/>
        <v>1.3640160678857423</v>
      </c>
    </row>
    <row r="730" spans="1:49" x14ac:dyDescent="0.2">
      <c r="A730">
        <v>728</v>
      </c>
      <c r="B730" t="s">
        <v>3208</v>
      </c>
      <c r="C730" t="s">
        <v>3207</v>
      </c>
      <c r="F730" t="s">
        <v>3206</v>
      </c>
      <c r="G730" t="s">
        <v>16</v>
      </c>
      <c r="H730" t="s">
        <v>15</v>
      </c>
      <c r="I730" t="s">
        <v>3205</v>
      </c>
      <c r="J730">
        <v>60025038</v>
      </c>
      <c r="K730" t="s">
        <v>59</v>
      </c>
      <c r="L730" t="s">
        <v>58</v>
      </c>
      <c r="M730" t="s">
        <v>57</v>
      </c>
      <c r="N730">
        <v>2</v>
      </c>
      <c r="O730" t="s">
        <v>3204</v>
      </c>
      <c r="P730" t="s">
        <v>3203</v>
      </c>
      <c r="Q730" t="s">
        <v>3202</v>
      </c>
      <c r="R730" s="7">
        <v>33239</v>
      </c>
      <c r="S730" s="8">
        <f t="shared" si="88"/>
        <v>1991</v>
      </c>
      <c r="T730" s="8">
        <v>1991</v>
      </c>
      <c r="U730" s="8">
        <f t="shared" si="89"/>
        <v>31</v>
      </c>
      <c r="V730" s="7">
        <v>33298</v>
      </c>
      <c r="W730" t="s">
        <v>3201</v>
      </c>
      <c r="X730" s="2">
        <v>0.62</v>
      </c>
      <c r="Y730" s="6">
        <f t="shared" si="94"/>
        <v>1.6550545901070447E-2</v>
      </c>
      <c r="AA730">
        <v>189464</v>
      </c>
      <c r="AB730">
        <v>17364</v>
      </c>
      <c r="AC730">
        <v>19410069</v>
      </c>
      <c r="AD730" t="s">
        <v>5</v>
      </c>
      <c r="AE730">
        <v>27</v>
      </c>
      <c r="AF730">
        <v>2</v>
      </c>
      <c r="AH730" t="s">
        <v>3200</v>
      </c>
      <c r="AI730" t="s">
        <v>3199</v>
      </c>
      <c r="AK730" t="s">
        <v>3198</v>
      </c>
      <c r="AL730">
        <v>17</v>
      </c>
      <c r="AM730" s="5">
        <f t="shared" si="90"/>
        <v>0.54838709677419351</v>
      </c>
      <c r="AN730" s="4">
        <f t="shared" si="95"/>
        <v>8.3057492885148579E-4</v>
      </c>
      <c r="AO730" s="3"/>
      <c r="AP730">
        <v>0</v>
      </c>
      <c r="AR730" t="s">
        <v>0</v>
      </c>
      <c r="AT730" s="2">
        <v>1.7</v>
      </c>
      <c r="AU730" s="1">
        <f t="shared" si="91"/>
        <v>1.1834554609404757</v>
      </c>
      <c r="AV730" s="1">
        <f t="shared" si="92"/>
        <v>0.86905604149609661</v>
      </c>
      <c r="AW730" s="1">
        <f t="shared" si="93"/>
        <v>0.5546566220517174</v>
      </c>
    </row>
    <row r="731" spans="1:49" x14ac:dyDescent="0.2">
      <c r="A731">
        <v>729</v>
      </c>
      <c r="B731" t="s">
        <v>3197</v>
      </c>
      <c r="C731" t="s">
        <v>3196</v>
      </c>
      <c r="F731" t="s">
        <v>3195</v>
      </c>
      <c r="G731" t="s">
        <v>16</v>
      </c>
      <c r="H731" t="s">
        <v>15</v>
      </c>
      <c r="I731" t="s">
        <v>3194</v>
      </c>
      <c r="J731">
        <v>60002014</v>
      </c>
      <c r="K731" t="s">
        <v>3193</v>
      </c>
      <c r="L731" t="s">
        <v>3192</v>
      </c>
      <c r="M731" t="s">
        <v>146</v>
      </c>
      <c r="N731">
        <v>1</v>
      </c>
      <c r="O731" t="s">
        <v>3191</v>
      </c>
      <c r="P731">
        <v>6506078176</v>
      </c>
      <c r="Q731">
        <v>60002014</v>
      </c>
      <c r="R731" s="7">
        <v>33239</v>
      </c>
      <c r="S731" s="8">
        <f t="shared" si="88"/>
        <v>1991</v>
      </c>
      <c r="T731" s="8">
        <v>1991</v>
      </c>
      <c r="U731" s="8">
        <f t="shared" si="89"/>
        <v>31</v>
      </c>
      <c r="V731" s="7">
        <v>33298</v>
      </c>
      <c r="W731" t="s">
        <v>1807</v>
      </c>
      <c r="X731" s="2">
        <v>1.6519999999999999</v>
      </c>
      <c r="Y731" s="6">
        <f t="shared" si="94"/>
        <v>4.409919649769093E-2</v>
      </c>
      <c r="AA731" t="s">
        <v>1806</v>
      </c>
      <c r="AB731">
        <v>17337</v>
      </c>
      <c r="AC731">
        <v>15582221</v>
      </c>
      <c r="AD731" t="s">
        <v>5</v>
      </c>
      <c r="AE731">
        <v>39</v>
      </c>
      <c r="AF731">
        <v>3</v>
      </c>
      <c r="AH731" t="s">
        <v>3190</v>
      </c>
      <c r="AI731" t="s">
        <v>3189</v>
      </c>
      <c r="AK731" t="s">
        <v>3188</v>
      </c>
      <c r="AL731">
        <v>0</v>
      </c>
      <c r="AM731" s="5">
        <f t="shared" si="90"/>
        <v>0</v>
      </c>
      <c r="AN731" s="4">
        <f t="shared" si="95"/>
        <v>0</v>
      </c>
      <c r="AO731" s="3"/>
      <c r="AP731">
        <v>0</v>
      </c>
      <c r="AR731" t="s">
        <v>0</v>
      </c>
      <c r="AT731" s="2" t="s">
        <v>33</v>
      </c>
      <c r="AU731" s="1">
        <f t="shared" si="91"/>
        <v>3.0869437548383649</v>
      </c>
      <c r="AV731" s="1">
        <f t="shared" si="92"/>
        <v>2.2049598248845466</v>
      </c>
      <c r="AW731" s="1">
        <f t="shared" si="93"/>
        <v>1.3229758949307278</v>
      </c>
    </row>
    <row r="732" spans="1:49" x14ac:dyDescent="0.2">
      <c r="A732">
        <v>730</v>
      </c>
      <c r="B732" t="s">
        <v>3187</v>
      </c>
      <c r="C732" t="s">
        <v>3186</v>
      </c>
      <c r="F732" t="s">
        <v>3185</v>
      </c>
      <c r="G732" t="s">
        <v>16</v>
      </c>
      <c r="H732" t="s">
        <v>15</v>
      </c>
      <c r="I732" t="s">
        <v>3184</v>
      </c>
      <c r="J732">
        <v>60022195</v>
      </c>
      <c r="K732" t="s">
        <v>790</v>
      </c>
      <c r="L732" t="s">
        <v>789</v>
      </c>
      <c r="M732" t="s">
        <v>57</v>
      </c>
      <c r="N732">
        <v>4</v>
      </c>
      <c r="O732" t="s">
        <v>3183</v>
      </c>
      <c r="P732" t="s">
        <v>3182</v>
      </c>
      <c r="Q732" t="s">
        <v>3181</v>
      </c>
      <c r="R732" s="7">
        <v>33239</v>
      </c>
      <c r="S732" s="8">
        <f t="shared" si="88"/>
        <v>1991</v>
      </c>
      <c r="T732" s="8">
        <v>1991</v>
      </c>
      <c r="U732" s="8">
        <f t="shared" si="89"/>
        <v>31</v>
      </c>
      <c r="V732" s="7">
        <v>33298</v>
      </c>
      <c r="W732" t="s">
        <v>3180</v>
      </c>
      <c r="X732" s="2">
        <v>0.66100000000000003</v>
      </c>
      <c r="Y732" s="6">
        <f t="shared" si="94"/>
        <v>1.7645017484850912E-2</v>
      </c>
      <c r="AA732">
        <v>189197</v>
      </c>
      <c r="AB732">
        <v>26022</v>
      </c>
      <c r="AC732">
        <v>15581713</v>
      </c>
      <c r="AD732" t="s">
        <v>5</v>
      </c>
      <c r="AE732">
        <v>27</v>
      </c>
      <c r="AF732">
        <v>3</v>
      </c>
      <c r="AH732" t="s">
        <v>3179</v>
      </c>
      <c r="AI732" t="s">
        <v>3178</v>
      </c>
      <c r="AK732" t="s">
        <v>3177</v>
      </c>
      <c r="AL732">
        <v>11</v>
      </c>
      <c r="AM732" s="5">
        <f t="shared" si="90"/>
        <v>0.35483870967741937</v>
      </c>
      <c r="AN732" s="4">
        <f t="shared" si="95"/>
        <v>5.3743083631566731E-4</v>
      </c>
      <c r="AO732" s="3"/>
      <c r="AP732">
        <v>0</v>
      </c>
      <c r="AQ732" t="s">
        <v>3176</v>
      </c>
      <c r="AR732" t="s">
        <v>0</v>
      </c>
      <c r="AS732" t="s">
        <v>3175</v>
      </c>
      <c r="AT732" s="2">
        <v>2.3180000000000001</v>
      </c>
      <c r="AU732" s="1">
        <f t="shared" si="91"/>
        <v>1.2512741490290338</v>
      </c>
      <c r="AV732" s="1">
        <f t="shared" si="92"/>
        <v>0.909122416058329</v>
      </c>
      <c r="AW732" s="1">
        <f t="shared" si="93"/>
        <v>0.56697068308762411</v>
      </c>
    </row>
    <row r="733" spans="1:49" x14ac:dyDescent="0.2">
      <c r="A733">
        <v>731</v>
      </c>
      <c r="B733" t="s">
        <v>3174</v>
      </c>
      <c r="C733" t="s">
        <v>3173</v>
      </c>
      <c r="F733" t="s">
        <v>3172</v>
      </c>
      <c r="G733" t="s">
        <v>16</v>
      </c>
      <c r="H733" t="s">
        <v>15</v>
      </c>
      <c r="I733" t="s">
        <v>3171</v>
      </c>
      <c r="J733" t="s">
        <v>3166</v>
      </c>
      <c r="K733" t="s">
        <v>3170</v>
      </c>
      <c r="L733" t="s">
        <v>3169</v>
      </c>
      <c r="M733" t="s">
        <v>1180</v>
      </c>
      <c r="N733">
        <v>2</v>
      </c>
      <c r="O733" t="s">
        <v>3168</v>
      </c>
      <c r="P733" t="s">
        <v>3167</v>
      </c>
      <c r="Q733" t="s">
        <v>3166</v>
      </c>
      <c r="R733" s="7">
        <v>33239</v>
      </c>
      <c r="S733" s="8">
        <f t="shared" si="88"/>
        <v>1991</v>
      </c>
      <c r="T733" s="8">
        <v>1991</v>
      </c>
      <c r="U733" s="8">
        <f t="shared" si="89"/>
        <v>31</v>
      </c>
      <c r="V733" s="7">
        <v>33298</v>
      </c>
      <c r="W733" t="s">
        <v>2569</v>
      </c>
      <c r="X733" s="2">
        <v>0.111</v>
      </c>
      <c r="Y733" s="6">
        <f t="shared" si="94"/>
        <v>2.9630816048690639E-3</v>
      </c>
      <c r="AA733">
        <v>87566621</v>
      </c>
      <c r="AB733">
        <v>24890</v>
      </c>
      <c r="AC733">
        <v>15206424</v>
      </c>
      <c r="AD733" t="s">
        <v>5</v>
      </c>
      <c r="AE733">
        <v>74</v>
      </c>
      <c r="AF733">
        <v>3</v>
      </c>
      <c r="AH733" t="s">
        <v>3165</v>
      </c>
      <c r="AI733" t="s">
        <v>3164</v>
      </c>
      <c r="AK733" t="s">
        <v>3163</v>
      </c>
      <c r="AL733">
        <v>0</v>
      </c>
      <c r="AM733" s="5">
        <f t="shared" si="90"/>
        <v>0</v>
      </c>
      <c r="AN733" s="4">
        <f t="shared" si="95"/>
        <v>0</v>
      </c>
      <c r="AO733" s="3"/>
      <c r="AP733">
        <v>0</v>
      </c>
      <c r="AR733" t="s">
        <v>0</v>
      </c>
      <c r="AT733" s="2" t="s">
        <v>33</v>
      </c>
      <c r="AU733" s="1">
        <f t="shared" si="91"/>
        <v>0.20741571234083445</v>
      </c>
      <c r="AV733" s="1">
        <f t="shared" si="92"/>
        <v>0.1481540802434532</v>
      </c>
      <c r="AW733" s="1">
        <f t="shared" si="93"/>
        <v>8.8892448146071903E-2</v>
      </c>
    </row>
    <row r="734" spans="1:49" x14ac:dyDescent="0.2">
      <c r="A734">
        <v>732</v>
      </c>
      <c r="B734" t="s">
        <v>3162</v>
      </c>
      <c r="C734" t="s">
        <v>3161</v>
      </c>
      <c r="F734" t="s">
        <v>3160</v>
      </c>
      <c r="G734" t="s">
        <v>16</v>
      </c>
      <c r="H734" t="s">
        <v>15</v>
      </c>
      <c r="I734" t="s">
        <v>3159</v>
      </c>
      <c r="J734">
        <v>60030553</v>
      </c>
      <c r="K734" t="s">
        <v>3158</v>
      </c>
      <c r="L734" t="s">
        <v>3157</v>
      </c>
      <c r="M734" t="s">
        <v>213</v>
      </c>
      <c r="N734">
        <v>3</v>
      </c>
      <c r="O734" t="s">
        <v>3156</v>
      </c>
      <c r="P734" t="s">
        <v>3155</v>
      </c>
      <c r="Q734" t="s">
        <v>3154</v>
      </c>
      <c r="R734" s="7">
        <v>33239</v>
      </c>
      <c r="S734" s="8">
        <f t="shared" si="88"/>
        <v>1991</v>
      </c>
      <c r="T734" s="8">
        <v>1991</v>
      </c>
      <c r="U734" s="8">
        <f t="shared" si="89"/>
        <v>31</v>
      </c>
      <c r="V734" s="7">
        <v>33298</v>
      </c>
      <c r="W734" t="s">
        <v>1807</v>
      </c>
      <c r="X734" s="2">
        <v>1.6519999999999999</v>
      </c>
      <c r="Y734" s="6">
        <f t="shared" si="94"/>
        <v>4.409919649769093E-2</v>
      </c>
      <c r="AA734" t="s">
        <v>1806</v>
      </c>
      <c r="AB734">
        <v>17337</v>
      </c>
      <c r="AC734">
        <v>15582221</v>
      </c>
      <c r="AD734" t="s">
        <v>5</v>
      </c>
      <c r="AE734">
        <v>39</v>
      </c>
      <c r="AF734">
        <v>3</v>
      </c>
      <c r="AH734" t="s">
        <v>3153</v>
      </c>
      <c r="AI734" t="s">
        <v>3152</v>
      </c>
      <c r="AK734" t="s">
        <v>3151</v>
      </c>
      <c r="AL734">
        <v>17</v>
      </c>
      <c r="AM734" s="5">
        <f t="shared" si="90"/>
        <v>0.54838709677419351</v>
      </c>
      <c r="AN734" s="4">
        <f t="shared" si="95"/>
        <v>8.3057492885148579E-4</v>
      </c>
      <c r="AO734" s="3"/>
      <c r="AP734">
        <v>0</v>
      </c>
      <c r="AR734" t="s">
        <v>0</v>
      </c>
      <c r="AT734" s="2" t="s">
        <v>33</v>
      </c>
      <c r="AU734" s="1">
        <f t="shared" si="91"/>
        <v>3.1118610027039093</v>
      </c>
      <c r="AV734" s="1">
        <f t="shared" si="92"/>
        <v>2.2464885713271205</v>
      </c>
      <c r="AW734" s="1">
        <f t="shared" si="93"/>
        <v>1.3811161399503318</v>
      </c>
    </row>
    <row r="735" spans="1:49" x14ac:dyDescent="0.2">
      <c r="A735">
        <v>733</v>
      </c>
      <c r="B735" t="s">
        <v>3150</v>
      </c>
      <c r="C735" t="s">
        <v>3149</v>
      </c>
      <c r="F735" t="s">
        <v>3148</v>
      </c>
      <c r="G735" t="s">
        <v>16</v>
      </c>
      <c r="H735" t="s">
        <v>15</v>
      </c>
      <c r="I735" t="s">
        <v>3147</v>
      </c>
      <c r="J735" t="s">
        <v>3146</v>
      </c>
      <c r="K735" t="s">
        <v>3145</v>
      </c>
      <c r="L735" t="s">
        <v>3144</v>
      </c>
      <c r="M735" t="s">
        <v>3143</v>
      </c>
      <c r="N735">
        <v>2</v>
      </c>
      <c r="O735" t="s">
        <v>3142</v>
      </c>
      <c r="P735" t="s">
        <v>3141</v>
      </c>
      <c r="Q735" t="s">
        <v>3140</v>
      </c>
      <c r="R735" s="7">
        <v>33239</v>
      </c>
      <c r="S735" s="8">
        <f t="shared" si="88"/>
        <v>1991</v>
      </c>
      <c r="T735" s="8">
        <v>1991</v>
      </c>
      <c r="U735" s="8">
        <f t="shared" si="89"/>
        <v>31</v>
      </c>
      <c r="V735" s="7">
        <v>33298</v>
      </c>
      <c r="W735" t="s">
        <v>1807</v>
      </c>
      <c r="X735" s="2">
        <v>1.6519999999999999</v>
      </c>
      <c r="Y735" s="6">
        <f t="shared" si="94"/>
        <v>4.409919649769093E-2</v>
      </c>
      <c r="AA735" t="s">
        <v>1806</v>
      </c>
      <c r="AB735">
        <v>17337</v>
      </c>
      <c r="AC735">
        <v>15582221</v>
      </c>
      <c r="AD735" t="s">
        <v>5</v>
      </c>
      <c r="AE735">
        <v>39</v>
      </c>
      <c r="AF735">
        <v>3</v>
      </c>
      <c r="AH735" t="s">
        <v>3139</v>
      </c>
      <c r="AI735" t="s">
        <v>3138</v>
      </c>
      <c r="AK735" t="s">
        <v>3137</v>
      </c>
      <c r="AL735">
        <v>662</v>
      </c>
      <c r="AM735" s="5">
        <f t="shared" si="90"/>
        <v>21.35483870967742</v>
      </c>
      <c r="AN735" s="4">
        <f t="shared" si="95"/>
        <v>3.2343564876451979E-2</v>
      </c>
      <c r="AO735" s="3"/>
      <c r="AP735">
        <v>0</v>
      </c>
      <c r="AR735" t="s">
        <v>0</v>
      </c>
      <c r="AT735" s="2" t="s">
        <v>33</v>
      </c>
      <c r="AU735" s="1">
        <f t="shared" si="91"/>
        <v>4.0572507011319248</v>
      </c>
      <c r="AV735" s="1">
        <f t="shared" si="92"/>
        <v>3.8221380687071456</v>
      </c>
      <c r="AW735" s="1">
        <f t="shared" si="93"/>
        <v>3.5870254362823664</v>
      </c>
    </row>
    <row r="736" spans="1:49" x14ac:dyDescent="0.2">
      <c r="A736">
        <v>734</v>
      </c>
      <c r="B736" t="s">
        <v>3136</v>
      </c>
      <c r="C736" t="s">
        <v>3135</v>
      </c>
      <c r="F736" t="s">
        <v>3134</v>
      </c>
      <c r="G736" t="s">
        <v>16</v>
      </c>
      <c r="H736" t="s">
        <v>15</v>
      </c>
      <c r="I736" t="s">
        <v>3133</v>
      </c>
      <c r="J736" t="s">
        <v>3132</v>
      </c>
      <c r="K736" t="s">
        <v>3131</v>
      </c>
      <c r="L736" t="s">
        <v>3130</v>
      </c>
      <c r="M736" t="s">
        <v>3129</v>
      </c>
      <c r="N736">
        <v>3</v>
      </c>
      <c r="O736" t="s">
        <v>3128</v>
      </c>
      <c r="P736" t="s">
        <v>3127</v>
      </c>
      <c r="Q736" t="s">
        <v>3126</v>
      </c>
      <c r="R736" s="7">
        <v>33239</v>
      </c>
      <c r="S736" s="8">
        <f t="shared" si="88"/>
        <v>1991</v>
      </c>
      <c r="T736" s="8">
        <v>1991</v>
      </c>
      <c r="U736" s="8">
        <f t="shared" si="89"/>
        <v>31</v>
      </c>
      <c r="V736" s="7">
        <v>33298</v>
      </c>
      <c r="W736" t="s">
        <v>1807</v>
      </c>
      <c r="X736" s="2">
        <v>1.6519999999999999</v>
      </c>
      <c r="Y736" s="6">
        <f t="shared" si="94"/>
        <v>4.409919649769093E-2</v>
      </c>
      <c r="AA736" t="s">
        <v>1806</v>
      </c>
      <c r="AB736">
        <v>17337</v>
      </c>
      <c r="AC736">
        <v>15582221</v>
      </c>
      <c r="AD736" t="s">
        <v>5</v>
      </c>
      <c r="AE736">
        <v>39</v>
      </c>
      <c r="AF736">
        <v>3</v>
      </c>
      <c r="AH736" t="s">
        <v>3125</v>
      </c>
      <c r="AI736" t="s">
        <v>3124</v>
      </c>
      <c r="AK736" t="s">
        <v>3123</v>
      </c>
      <c r="AL736">
        <v>5</v>
      </c>
      <c r="AM736" s="5">
        <f t="shared" si="90"/>
        <v>0.16129032258064516</v>
      </c>
      <c r="AN736" s="4">
        <f t="shared" si="95"/>
        <v>2.4428674377984877E-4</v>
      </c>
      <c r="AO736" s="3"/>
      <c r="AP736">
        <v>0</v>
      </c>
      <c r="AR736" t="s">
        <v>0</v>
      </c>
      <c r="AT736" s="2" t="s">
        <v>33</v>
      </c>
      <c r="AU736" s="1">
        <f t="shared" si="91"/>
        <v>3.0942723571517607</v>
      </c>
      <c r="AV736" s="1">
        <f t="shared" si="92"/>
        <v>2.217174162073539</v>
      </c>
      <c r="AW736" s="1">
        <f t="shared" si="93"/>
        <v>1.3400759669953173</v>
      </c>
    </row>
    <row r="737" spans="1:49" x14ac:dyDescent="0.2">
      <c r="A737">
        <v>735</v>
      </c>
      <c r="B737" t="s">
        <v>3122</v>
      </c>
      <c r="C737" t="s">
        <v>3121</v>
      </c>
      <c r="F737" t="s">
        <v>3120</v>
      </c>
      <c r="G737" t="s">
        <v>16</v>
      </c>
      <c r="H737" t="s">
        <v>15</v>
      </c>
      <c r="I737" t="s">
        <v>3119</v>
      </c>
      <c r="J737">
        <v>60022195</v>
      </c>
      <c r="K737" t="s">
        <v>790</v>
      </c>
      <c r="L737" t="s">
        <v>789</v>
      </c>
      <c r="M737" t="s">
        <v>57</v>
      </c>
      <c r="N737">
        <v>3</v>
      </c>
      <c r="O737" t="s">
        <v>3118</v>
      </c>
      <c r="P737" t="s">
        <v>3117</v>
      </c>
      <c r="Q737" t="s">
        <v>3116</v>
      </c>
      <c r="R737" s="7">
        <v>33239</v>
      </c>
      <c r="S737" s="8">
        <f t="shared" si="88"/>
        <v>1991</v>
      </c>
      <c r="T737" s="8">
        <v>1991</v>
      </c>
      <c r="U737" s="8">
        <f t="shared" si="89"/>
        <v>31</v>
      </c>
      <c r="V737" s="7">
        <v>33298</v>
      </c>
      <c r="W737" t="s">
        <v>1807</v>
      </c>
      <c r="X737" s="2">
        <v>1.6519999999999999</v>
      </c>
      <c r="Y737" s="6">
        <f t="shared" si="94"/>
        <v>4.409919649769093E-2</v>
      </c>
      <c r="AA737" t="s">
        <v>1806</v>
      </c>
      <c r="AB737">
        <v>17337</v>
      </c>
      <c r="AC737">
        <v>15582221</v>
      </c>
      <c r="AD737" t="s">
        <v>5</v>
      </c>
      <c r="AE737">
        <v>39</v>
      </c>
      <c r="AF737">
        <v>3</v>
      </c>
      <c r="AH737" t="s">
        <v>3115</v>
      </c>
      <c r="AI737" t="s">
        <v>3114</v>
      </c>
      <c r="AK737" t="s">
        <v>3113</v>
      </c>
      <c r="AL737">
        <v>60</v>
      </c>
      <c r="AM737" s="5">
        <f t="shared" si="90"/>
        <v>1.935483870967742</v>
      </c>
      <c r="AN737" s="4">
        <f t="shared" si="95"/>
        <v>2.9314409253581855E-3</v>
      </c>
      <c r="AO737" s="3"/>
      <c r="AP737">
        <v>0</v>
      </c>
      <c r="AR737" t="s">
        <v>0</v>
      </c>
      <c r="AT737" s="2" t="s">
        <v>33</v>
      </c>
      <c r="AU737" s="1">
        <f t="shared" si="91"/>
        <v>3.1748869825991108</v>
      </c>
      <c r="AV737" s="1">
        <f t="shared" si="92"/>
        <v>2.351531871152456</v>
      </c>
      <c r="AW737" s="1">
        <f t="shared" si="93"/>
        <v>1.5281767597058007</v>
      </c>
    </row>
    <row r="738" spans="1:49" x14ac:dyDescent="0.2">
      <c r="A738">
        <v>736</v>
      </c>
      <c r="B738" t="s">
        <v>3112</v>
      </c>
      <c r="C738" t="s">
        <v>3111</v>
      </c>
      <c r="F738" t="s">
        <v>3110</v>
      </c>
      <c r="G738" t="s">
        <v>16</v>
      </c>
      <c r="H738" t="s">
        <v>15</v>
      </c>
      <c r="I738" t="s">
        <v>3109</v>
      </c>
      <c r="J738">
        <v>60021032</v>
      </c>
      <c r="K738" t="s">
        <v>3108</v>
      </c>
      <c r="L738" t="s">
        <v>1195</v>
      </c>
      <c r="M738" t="s">
        <v>57</v>
      </c>
      <c r="N738">
        <v>2</v>
      </c>
      <c r="O738" t="s">
        <v>3107</v>
      </c>
      <c r="P738" t="s">
        <v>3106</v>
      </c>
      <c r="Q738" t="s">
        <v>3105</v>
      </c>
      <c r="R738" s="7">
        <v>33239</v>
      </c>
      <c r="S738" s="8">
        <f t="shared" si="88"/>
        <v>1991</v>
      </c>
      <c r="T738" s="8">
        <v>1991</v>
      </c>
      <c r="U738" s="8">
        <f t="shared" si="89"/>
        <v>31</v>
      </c>
      <c r="V738" s="7">
        <v>33298</v>
      </c>
      <c r="W738" t="s">
        <v>3104</v>
      </c>
      <c r="X738" s="2">
        <v>0.39600000000000002</v>
      </c>
      <c r="Y738" s="6">
        <f t="shared" si="94"/>
        <v>1.0570993833586931E-2</v>
      </c>
      <c r="AA738">
        <v>8858985</v>
      </c>
      <c r="AB738">
        <v>25993</v>
      </c>
      <c r="AD738" t="s">
        <v>5</v>
      </c>
      <c r="AE738">
        <v>6</v>
      </c>
      <c r="AF738">
        <v>3</v>
      </c>
      <c r="AH738" s="9">
        <v>44380</v>
      </c>
      <c r="AI738" t="s">
        <v>3103</v>
      </c>
      <c r="AK738" t="s">
        <v>3102</v>
      </c>
      <c r="AL738">
        <v>8</v>
      </c>
      <c r="AM738" s="5">
        <f t="shared" si="90"/>
        <v>0.25806451612903225</v>
      </c>
      <c r="AN738" s="4">
        <f t="shared" si="95"/>
        <v>3.9085879004775807E-4</v>
      </c>
      <c r="AO738" s="3"/>
      <c r="AP738">
        <v>0</v>
      </c>
      <c r="AR738" t="s">
        <v>0</v>
      </c>
      <c r="AT738" s="2" t="s">
        <v>33</v>
      </c>
      <c r="AU738" s="1">
        <f t="shared" si="91"/>
        <v>0.75169533205251793</v>
      </c>
      <c r="AV738" s="1">
        <f t="shared" si="92"/>
        <v>0.54809263118173446</v>
      </c>
      <c r="AW738" s="1">
        <f t="shared" si="93"/>
        <v>0.34448993031095099</v>
      </c>
    </row>
    <row r="739" spans="1:49" x14ac:dyDescent="0.2">
      <c r="A739">
        <v>737</v>
      </c>
      <c r="B739" t="s">
        <v>3101</v>
      </c>
      <c r="C739" t="s">
        <v>3100</v>
      </c>
      <c r="F739" t="s">
        <v>3099</v>
      </c>
      <c r="G739" t="s">
        <v>16</v>
      </c>
      <c r="H739" t="s">
        <v>15</v>
      </c>
      <c r="I739" t="s">
        <v>3098</v>
      </c>
      <c r="J739" t="s">
        <v>3093</v>
      </c>
      <c r="K739" t="s">
        <v>3097</v>
      </c>
      <c r="L739" t="s">
        <v>3096</v>
      </c>
      <c r="M739" t="s">
        <v>133</v>
      </c>
      <c r="N739">
        <v>2</v>
      </c>
      <c r="O739" t="s">
        <v>3095</v>
      </c>
      <c r="P739" t="s">
        <v>3094</v>
      </c>
      <c r="Q739" t="s">
        <v>3093</v>
      </c>
      <c r="R739" s="7">
        <v>33239</v>
      </c>
      <c r="S739" s="8">
        <f t="shared" si="88"/>
        <v>1991</v>
      </c>
      <c r="T739" s="8">
        <v>1991</v>
      </c>
      <c r="U739" s="8">
        <f t="shared" si="89"/>
        <v>31</v>
      </c>
      <c r="V739" s="7">
        <v>33298</v>
      </c>
      <c r="W739" t="s">
        <v>1807</v>
      </c>
      <c r="X739" s="2">
        <v>1.6519999999999999</v>
      </c>
      <c r="Y739" s="6">
        <f t="shared" si="94"/>
        <v>4.409919649769093E-2</v>
      </c>
      <c r="AA739" t="s">
        <v>1806</v>
      </c>
      <c r="AB739">
        <v>17337</v>
      </c>
      <c r="AC739">
        <v>15582221</v>
      </c>
      <c r="AD739" t="s">
        <v>5</v>
      </c>
      <c r="AE739">
        <v>39</v>
      </c>
      <c r="AF739">
        <v>3</v>
      </c>
      <c r="AH739" t="s">
        <v>3092</v>
      </c>
      <c r="AI739" t="s">
        <v>3091</v>
      </c>
      <c r="AK739" t="s">
        <v>3090</v>
      </c>
      <c r="AL739">
        <v>1</v>
      </c>
      <c r="AM739" s="5">
        <f t="shared" si="90"/>
        <v>3.2258064516129031E-2</v>
      </c>
      <c r="AN739" s="4">
        <f t="shared" si="95"/>
        <v>4.8857348755969758E-5</v>
      </c>
      <c r="AO739" s="3"/>
      <c r="AP739">
        <v>0</v>
      </c>
      <c r="AR739" t="s">
        <v>0</v>
      </c>
      <c r="AT739" s="2" t="s">
        <v>33</v>
      </c>
      <c r="AU739" s="1">
        <f t="shared" si="91"/>
        <v>3.0884094753010443</v>
      </c>
      <c r="AV739" s="1">
        <f t="shared" si="92"/>
        <v>2.2074026923223449</v>
      </c>
      <c r="AW739" s="1">
        <f t="shared" si="93"/>
        <v>1.3263959093436457</v>
      </c>
    </row>
    <row r="740" spans="1:49" x14ac:dyDescent="0.2">
      <c r="A740">
        <v>738</v>
      </c>
      <c r="B740" t="s">
        <v>3089</v>
      </c>
      <c r="C740" t="s">
        <v>3088</v>
      </c>
      <c r="F740" t="s">
        <v>3087</v>
      </c>
      <c r="G740" t="s">
        <v>16</v>
      </c>
      <c r="H740" t="s">
        <v>15</v>
      </c>
      <c r="I740" t="s">
        <v>3086</v>
      </c>
      <c r="J740" t="s">
        <v>3085</v>
      </c>
      <c r="K740" t="s">
        <v>3084</v>
      </c>
      <c r="L740" t="s">
        <v>3083</v>
      </c>
      <c r="M740" t="s">
        <v>3082</v>
      </c>
      <c r="N740">
        <v>5</v>
      </c>
      <c r="O740" t="s">
        <v>3081</v>
      </c>
      <c r="P740" t="s">
        <v>3080</v>
      </c>
      <c r="Q740" t="s">
        <v>3079</v>
      </c>
      <c r="R740" s="7">
        <v>33239</v>
      </c>
      <c r="S740" s="8">
        <f t="shared" si="88"/>
        <v>1991</v>
      </c>
      <c r="T740" s="8">
        <v>1991</v>
      </c>
      <c r="U740" s="8">
        <f t="shared" si="89"/>
        <v>31</v>
      </c>
      <c r="V740" s="7">
        <v>33298</v>
      </c>
      <c r="W740" t="s">
        <v>3078</v>
      </c>
      <c r="X740" s="2">
        <v>0.873</v>
      </c>
      <c r="Y740" s="6">
        <f t="shared" si="94"/>
        <v>2.3304236405862096E-2</v>
      </c>
      <c r="AA740">
        <v>10518215</v>
      </c>
      <c r="AB740">
        <v>26027</v>
      </c>
      <c r="AC740">
        <v>15582205</v>
      </c>
      <c r="AD740" t="s">
        <v>5</v>
      </c>
      <c r="AE740">
        <v>1</v>
      </c>
      <c r="AF740">
        <v>1</v>
      </c>
      <c r="AH740" t="s">
        <v>3077</v>
      </c>
      <c r="AI740" t="s">
        <v>3076</v>
      </c>
      <c r="AK740" t="s">
        <v>3075</v>
      </c>
      <c r="AL740">
        <v>5</v>
      </c>
      <c r="AM740" s="5">
        <f t="shared" si="90"/>
        <v>0.16129032258064516</v>
      </c>
      <c r="AN740" s="4">
        <f t="shared" si="95"/>
        <v>2.4428674377984877E-4</v>
      </c>
      <c r="AO740" s="3"/>
      <c r="AP740">
        <v>0</v>
      </c>
      <c r="AR740" t="s">
        <v>0</v>
      </c>
      <c r="AT740" s="2" t="s">
        <v>33</v>
      </c>
      <c r="AU740" s="1">
        <f t="shared" si="91"/>
        <v>1.6386251507237424</v>
      </c>
      <c r="AV740" s="1">
        <f t="shared" si="92"/>
        <v>1.1774261574820972</v>
      </c>
      <c r="AW740" s="1">
        <f t="shared" si="93"/>
        <v>0.71622716424045219</v>
      </c>
    </row>
    <row r="741" spans="1:49" x14ac:dyDescent="0.2">
      <c r="A741">
        <v>739</v>
      </c>
      <c r="B741" t="s">
        <v>3074</v>
      </c>
      <c r="C741" t="s">
        <v>3073</v>
      </c>
      <c r="F741" t="s">
        <v>3072</v>
      </c>
      <c r="G741" t="s">
        <v>16</v>
      </c>
      <c r="H741" t="s">
        <v>15</v>
      </c>
      <c r="I741" t="s">
        <v>3071</v>
      </c>
      <c r="J741" t="s">
        <v>3070</v>
      </c>
      <c r="K741" t="s">
        <v>3069</v>
      </c>
      <c r="L741" t="s">
        <v>3068</v>
      </c>
      <c r="M741" t="s">
        <v>133</v>
      </c>
      <c r="N741">
        <v>3</v>
      </c>
      <c r="O741" t="s">
        <v>3067</v>
      </c>
      <c r="P741" t="s">
        <v>3066</v>
      </c>
      <c r="Q741" t="s">
        <v>3065</v>
      </c>
      <c r="R741" s="7">
        <v>33239</v>
      </c>
      <c r="S741" s="8">
        <f t="shared" si="88"/>
        <v>1991</v>
      </c>
      <c r="T741" s="8">
        <v>1991</v>
      </c>
      <c r="U741" s="8">
        <f t="shared" si="89"/>
        <v>31</v>
      </c>
      <c r="V741" s="7">
        <v>33298</v>
      </c>
      <c r="W741" t="s">
        <v>1807</v>
      </c>
      <c r="X741" s="2">
        <v>1.6519999999999999</v>
      </c>
      <c r="Y741" s="6">
        <f t="shared" si="94"/>
        <v>4.409919649769093E-2</v>
      </c>
      <c r="AA741" t="s">
        <v>1806</v>
      </c>
      <c r="AB741">
        <v>17337</v>
      </c>
      <c r="AC741">
        <v>15582221</v>
      </c>
      <c r="AD741" t="s">
        <v>5</v>
      </c>
      <c r="AE741">
        <v>39</v>
      </c>
      <c r="AF741">
        <v>3</v>
      </c>
      <c r="AH741" t="s">
        <v>3064</v>
      </c>
      <c r="AI741" t="s">
        <v>3063</v>
      </c>
      <c r="AK741" t="s">
        <v>3062</v>
      </c>
      <c r="AL741">
        <v>8</v>
      </c>
      <c r="AM741" s="5">
        <f t="shared" si="90"/>
        <v>0.25806451612903225</v>
      </c>
      <c r="AN741" s="4">
        <f t="shared" si="95"/>
        <v>3.9085879004775807E-4</v>
      </c>
      <c r="AO741" s="3"/>
      <c r="AP741">
        <v>0</v>
      </c>
      <c r="AR741" t="s">
        <v>0</v>
      </c>
      <c r="AT741" s="2" t="s">
        <v>33</v>
      </c>
      <c r="AU741" s="1">
        <f t="shared" si="91"/>
        <v>3.0986695185397974</v>
      </c>
      <c r="AV741" s="1">
        <f t="shared" si="92"/>
        <v>2.2245027643869344</v>
      </c>
      <c r="AW741" s="1">
        <f t="shared" si="93"/>
        <v>1.3503360102340709</v>
      </c>
    </row>
    <row r="742" spans="1:49" x14ac:dyDescent="0.2">
      <c r="A742">
        <v>740</v>
      </c>
      <c r="B742" t="s">
        <v>3061</v>
      </c>
      <c r="C742" t="s">
        <v>3060</v>
      </c>
      <c r="F742" t="s">
        <v>3059</v>
      </c>
      <c r="G742" t="s">
        <v>16</v>
      </c>
      <c r="H742" t="s">
        <v>15</v>
      </c>
      <c r="I742" t="s">
        <v>1546</v>
      </c>
      <c r="J742">
        <v>60015099</v>
      </c>
      <c r="K742" t="s">
        <v>3058</v>
      </c>
      <c r="L742" t="s">
        <v>1195</v>
      </c>
      <c r="M742" t="s">
        <v>57</v>
      </c>
      <c r="N742">
        <v>2</v>
      </c>
      <c r="O742" t="s">
        <v>3057</v>
      </c>
      <c r="P742" t="s">
        <v>3056</v>
      </c>
      <c r="Q742" t="s">
        <v>3055</v>
      </c>
      <c r="R742" s="7">
        <v>33239</v>
      </c>
      <c r="S742" s="8">
        <f t="shared" si="88"/>
        <v>1991</v>
      </c>
      <c r="T742" s="8">
        <v>1991</v>
      </c>
      <c r="U742" s="8">
        <f t="shared" si="89"/>
        <v>31</v>
      </c>
      <c r="V742" s="7">
        <v>33298</v>
      </c>
      <c r="W742" t="s">
        <v>1807</v>
      </c>
      <c r="X742" s="2">
        <v>1.6519999999999999</v>
      </c>
      <c r="Y742" s="6">
        <f t="shared" si="94"/>
        <v>4.409919649769093E-2</v>
      </c>
      <c r="AA742" t="s">
        <v>1806</v>
      </c>
      <c r="AB742">
        <v>17337</v>
      </c>
      <c r="AC742">
        <v>15582221</v>
      </c>
      <c r="AD742" t="s">
        <v>5</v>
      </c>
      <c r="AE742">
        <v>39</v>
      </c>
      <c r="AF742">
        <v>3</v>
      </c>
      <c r="AH742" t="s">
        <v>3054</v>
      </c>
      <c r="AI742" t="s">
        <v>3053</v>
      </c>
      <c r="AK742" t="s">
        <v>3052</v>
      </c>
      <c r="AL742">
        <v>112</v>
      </c>
      <c r="AM742" s="5">
        <f t="shared" si="90"/>
        <v>3.6129032258064515</v>
      </c>
      <c r="AN742" s="4">
        <f t="shared" si="95"/>
        <v>5.4720230606686128E-3</v>
      </c>
      <c r="AO742" s="3"/>
      <c r="AP742">
        <v>0</v>
      </c>
      <c r="AR742" t="s">
        <v>0</v>
      </c>
      <c r="AT742" s="2" t="s">
        <v>33</v>
      </c>
      <c r="AU742" s="1">
        <f t="shared" si="91"/>
        <v>3.2511044466584234</v>
      </c>
      <c r="AV742" s="1">
        <f t="shared" si="92"/>
        <v>2.4785609779179771</v>
      </c>
      <c r="AW742" s="1">
        <f t="shared" si="93"/>
        <v>1.7060175091775307</v>
      </c>
    </row>
    <row r="743" spans="1:49" x14ac:dyDescent="0.2">
      <c r="A743">
        <v>741</v>
      </c>
      <c r="B743" t="s">
        <v>3051</v>
      </c>
      <c r="C743" t="s">
        <v>3050</v>
      </c>
      <c r="F743" t="s">
        <v>3049</v>
      </c>
      <c r="G743" t="s">
        <v>16</v>
      </c>
      <c r="H743" t="s">
        <v>15</v>
      </c>
      <c r="I743" t="s">
        <v>3048</v>
      </c>
      <c r="J743">
        <v>60007776</v>
      </c>
      <c r="K743" t="s">
        <v>3047</v>
      </c>
      <c r="L743" t="s">
        <v>3046</v>
      </c>
      <c r="M743" t="s">
        <v>57</v>
      </c>
      <c r="N743">
        <v>2</v>
      </c>
      <c r="O743" t="s">
        <v>3045</v>
      </c>
      <c r="P743" t="s">
        <v>3044</v>
      </c>
      <c r="Q743" t="s">
        <v>3043</v>
      </c>
      <c r="R743" s="7">
        <v>33239</v>
      </c>
      <c r="S743" s="8">
        <f t="shared" si="88"/>
        <v>1991</v>
      </c>
      <c r="T743" s="8">
        <v>1991</v>
      </c>
      <c r="U743" s="8">
        <f t="shared" si="89"/>
        <v>31</v>
      </c>
      <c r="V743" s="7">
        <v>33270</v>
      </c>
      <c r="W743" t="s">
        <v>3042</v>
      </c>
      <c r="X743" s="2">
        <v>1.421</v>
      </c>
      <c r="Y743" s="6">
        <f t="shared" si="94"/>
        <v>3.7932783428098561E-2</v>
      </c>
      <c r="AA743">
        <v>295981</v>
      </c>
      <c r="AB743">
        <v>12336</v>
      </c>
      <c r="AC743">
        <v>10970207</v>
      </c>
      <c r="AD743" t="s">
        <v>5</v>
      </c>
      <c r="AE743">
        <v>31</v>
      </c>
      <c r="AF743">
        <v>2</v>
      </c>
      <c r="AH743" t="s">
        <v>3041</v>
      </c>
      <c r="AI743" t="s">
        <v>3040</v>
      </c>
      <c r="AK743" t="s">
        <v>3039</v>
      </c>
      <c r="AL743">
        <v>63</v>
      </c>
      <c r="AM743" s="5">
        <f t="shared" si="90"/>
        <v>2.032258064516129</v>
      </c>
      <c r="AN743" s="4">
        <f t="shared" si="95"/>
        <v>3.0780129716260949E-3</v>
      </c>
      <c r="AO743" s="3"/>
      <c r="AP743">
        <v>0</v>
      </c>
      <c r="AR743" t="s">
        <v>0</v>
      </c>
      <c r="AT743" s="2" t="s">
        <v>33</v>
      </c>
      <c r="AU743" s="1">
        <f t="shared" si="91"/>
        <v>2.7476352291156818</v>
      </c>
      <c r="AV743" s="1">
        <f t="shared" si="92"/>
        <v>2.0505398199862328</v>
      </c>
      <c r="AW743" s="1">
        <f t="shared" si="93"/>
        <v>1.3534444108567834</v>
      </c>
    </row>
    <row r="744" spans="1:49" x14ac:dyDescent="0.2">
      <c r="A744">
        <v>742</v>
      </c>
      <c r="B744" t="s">
        <v>3038</v>
      </c>
      <c r="C744" t="s">
        <v>3037</v>
      </c>
      <c r="F744" t="s">
        <v>3036</v>
      </c>
      <c r="G744" t="s">
        <v>16</v>
      </c>
      <c r="H744" t="s">
        <v>15</v>
      </c>
      <c r="I744" t="s">
        <v>3035</v>
      </c>
      <c r="J744">
        <v>60021859</v>
      </c>
      <c r="K744" t="s">
        <v>3034</v>
      </c>
      <c r="L744" t="s">
        <v>3033</v>
      </c>
      <c r="M744" t="s">
        <v>341</v>
      </c>
      <c r="N744">
        <v>1</v>
      </c>
      <c r="O744" t="s">
        <v>3032</v>
      </c>
      <c r="P744">
        <v>7004546782</v>
      </c>
      <c r="Q744">
        <v>60021859</v>
      </c>
      <c r="R744" s="7">
        <v>33239</v>
      </c>
      <c r="S744" s="8">
        <f t="shared" si="88"/>
        <v>1991</v>
      </c>
      <c r="T744" s="8">
        <v>1991</v>
      </c>
      <c r="U744" s="8">
        <f t="shared" si="89"/>
        <v>31</v>
      </c>
      <c r="V744" s="7">
        <v>33270</v>
      </c>
      <c r="W744" t="s">
        <v>3031</v>
      </c>
      <c r="X744" s="2">
        <v>1.5980000000000001</v>
      </c>
      <c r="Y744" s="6">
        <f t="shared" si="94"/>
        <v>4.2657697338565448E-2</v>
      </c>
      <c r="AA744">
        <v>7339445</v>
      </c>
      <c r="AB744">
        <v>16305</v>
      </c>
      <c r="AD744" t="s">
        <v>5</v>
      </c>
      <c r="AE744">
        <v>117</v>
      </c>
      <c r="AF744">
        <v>2</v>
      </c>
      <c r="AH744" t="s">
        <v>3030</v>
      </c>
      <c r="AI744" t="s">
        <v>3029</v>
      </c>
      <c r="AK744" t="s">
        <v>3028</v>
      </c>
      <c r="AL744">
        <v>27</v>
      </c>
      <c r="AM744" s="5">
        <f t="shared" si="90"/>
        <v>0.87096774193548387</v>
      </c>
      <c r="AN744" s="4">
        <f t="shared" si="95"/>
        <v>1.3191484164111836E-3</v>
      </c>
      <c r="AO744" s="3"/>
      <c r="AP744">
        <v>0</v>
      </c>
      <c r="AR744" t="s">
        <v>0</v>
      </c>
      <c r="AT744" s="2" t="s">
        <v>33</v>
      </c>
      <c r="AU744" s="1">
        <f t="shared" si="91"/>
        <v>3.0256132661919168</v>
      </c>
      <c r="AV744" s="1">
        <f t="shared" si="92"/>
        <v>2.1988422877488314</v>
      </c>
      <c r="AW744" s="1">
        <f t="shared" si="93"/>
        <v>1.3720713093057462</v>
      </c>
    </row>
    <row r="745" spans="1:49" x14ac:dyDescent="0.2">
      <c r="A745">
        <v>743</v>
      </c>
      <c r="B745" t="s">
        <v>3027</v>
      </c>
      <c r="C745" t="s">
        <v>3026</v>
      </c>
      <c r="F745" t="s">
        <v>3025</v>
      </c>
      <c r="G745" t="s">
        <v>16</v>
      </c>
      <c r="H745" t="s">
        <v>15</v>
      </c>
      <c r="I745" t="s">
        <v>3024</v>
      </c>
      <c r="J745">
        <v>60014652</v>
      </c>
      <c r="K745" t="s">
        <v>2561</v>
      </c>
      <c r="L745" t="s">
        <v>2560</v>
      </c>
      <c r="M745" t="s">
        <v>326</v>
      </c>
      <c r="N745">
        <v>4</v>
      </c>
      <c r="O745" t="s">
        <v>3023</v>
      </c>
      <c r="P745" t="s">
        <v>3022</v>
      </c>
      <c r="Q745" t="s">
        <v>3021</v>
      </c>
      <c r="R745" s="7">
        <v>33239</v>
      </c>
      <c r="S745" s="8">
        <f t="shared" si="88"/>
        <v>1991</v>
      </c>
      <c r="T745" s="8">
        <v>1991</v>
      </c>
      <c r="U745" s="8">
        <f t="shared" si="89"/>
        <v>31</v>
      </c>
      <c r="V745" s="7">
        <v>33270</v>
      </c>
      <c r="W745" t="s">
        <v>1807</v>
      </c>
      <c r="X745" s="2">
        <v>1.6519999999999999</v>
      </c>
      <c r="Y745" s="6">
        <f t="shared" si="94"/>
        <v>4.409919649769093E-2</v>
      </c>
      <c r="AA745" t="s">
        <v>1806</v>
      </c>
      <c r="AB745">
        <v>17337</v>
      </c>
      <c r="AC745">
        <v>15582221</v>
      </c>
      <c r="AD745" t="s">
        <v>5</v>
      </c>
      <c r="AE745">
        <v>39</v>
      </c>
      <c r="AF745">
        <v>2</v>
      </c>
      <c r="AH745" t="s">
        <v>3020</v>
      </c>
      <c r="AI745" t="s">
        <v>3019</v>
      </c>
      <c r="AK745" t="s">
        <v>3018</v>
      </c>
      <c r="AL745">
        <v>108</v>
      </c>
      <c r="AM745" s="5">
        <f t="shared" si="90"/>
        <v>3.4838709677419355</v>
      </c>
      <c r="AN745" s="4">
        <f t="shared" si="95"/>
        <v>5.2765936656447342E-3</v>
      </c>
      <c r="AO745" s="3"/>
      <c r="AP745">
        <v>0</v>
      </c>
      <c r="AR745" t="s">
        <v>0</v>
      </c>
      <c r="AT745" s="2" t="s">
        <v>33</v>
      </c>
      <c r="AU745" s="1">
        <f t="shared" si="91"/>
        <v>3.2452415648077069</v>
      </c>
      <c r="AV745" s="1">
        <f t="shared" si="92"/>
        <v>2.4687895081667834</v>
      </c>
      <c r="AW745" s="1">
        <f t="shared" si="93"/>
        <v>1.6923374515258591</v>
      </c>
    </row>
    <row r="746" spans="1:49" x14ac:dyDescent="0.2">
      <c r="A746">
        <v>744</v>
      </c>
      <c r="B746" t="s">
        <v>3017</v>
      </c>
      <c r="C746" t="s">
        <v>3016</v>
      </c>
      <c r="F746" t="s">
        <v>3015</v>
      </c>
      <c r="G746" t="s">
        <v>16</v>
      </c>
      <c r="H746" t="s">
        <v>15</v>
      </c>
      <c r="I746" t="s">
        <v>3014</v>
      </c>
      <c r="J746">
        <v>60031701</v>
      </c>
      <c r="K746" t="s">
        <v>3013</v>
      </c>
      <c r="L746" t="s">
        <v>3012</v>
      </c>
      <c r="M746" t="s">
        <v>326</v>
      </c>
      <c r="N746">
        <v>1</v>
      </c>
      <c r="O746" t="s">
        <v>3011</v>
      </c>
      <c r="P746">
        <v>7403577519</v>
      </c>
      <c r="Q746">
        <v>60031701</v>
      </c>
      <c r="R746" s="7">
        <v>33239</v>
      </c>
      <c r="S746" s="8">
        <f t="shared" si="88"/>
        <v>1991</v>
      </c>
      <c r="T746" s="8">
        <v>1991</v>
      </c>
      <c r="U746" s="8">
        <f t="shared" si="89"/>
        <v>31</v>
      </c>
      <c r="V746" s="7">
        <v>33270</v>
      </c>
      <c r="W746" t="s">
        <v>2721</v>
      </c>
      <c r="X746" s="2">
        <v>0.82</v>
      </c>
      <c r="Y746" s="6">
        <f t="shared" si="94"/>
        <v>2.1889431675609299E-2</v>
      </c>
      <c r="AA746">
        <v>189456</v>
      </c>
      <c r="AB746">
        <v>15361</v>
      </c>
      <c r="AC746">
        <v>15579662</v>
      </c>
      <c r="AD746" t="s">
        <v>5</v>
      </c>
      <c r="AE746">
        <v>40</v>
      </c>
      <c r="AF746">
        <v>1</v>
      </c>
      <c r="AH746" t="s">
        <v>3010</v>
      </c>
      <c r="AI746" t="s">
        <v>3009</v>
      </c>
      <c r="AK746" t="s">
        <v>3008</v>
      </c>
      <c r="AL746">
        <v>11</v>
      </c>
      <c r="AM746" s="5">
        <f t="shared" si="90"/>
        <v>0.35483870967741937</v>
      </c>
      <c r="AN746" s="4">
        <f t="shared" si="95"/>
        <v>5.3743083631566731E-4</v>
      </c>
      <c r="AO746" s="3"/>
      <c r="AP746">
        <v>0</v>
      </c>
      <c r="AR746" t="s">
        <v>0</v>
      </c>
      <c r="AT746" s="2" t="s">
        <v>33</v>
      </c>
      <c r="AU746" s="1">
        <f t="shared" si="91"/>
        <v>1.5483831423821208</v>
      </c>
      <c r="AV746" s="1">
        <f t="shared" si="92"/>
        <v>1.1213431255962483</v>
      </c>
      <c r="AW746" s="1">
        <f t="shared" si="93"/>
        <v>0.69430310881037571</v>
      </c>
    </row>
    <row r="747" spans="1:49" x14ac:dyDescent="0.2">
      <c r="A747">
        <v>745</v>
      </c>
      <c r="B747" t="s">
        <v>3007</v>
      </c>
      <c r="C747" t="s">
        <v>3006</v>
      </c>
      <c r="F747" t="s">
        <v>3005</v>
      </c>
      <c r="G747" t="s">
        <v>16</v>
      </c>
      <c r="H747" t="s">
        <v>15</v>
      </c>
      <c r="I747" t="s">
        <v>3004</v>
      </c>
      <c r="J747">
        <v>60030526</v>
      </c>
      <c r="K747" t="s">
        <v>3003</v>
      </c>
      <c r="L747" t="s">
        <v>327</v>
      </c>
      <c r="M747" t="s">
        <v>326</v>
      </c>
      <c r="N747">
        <v>2</v>
      </c>
      <c r="O747" t="s">
        <v>3002</v>
      </c>
      <c r="P747" t="s">
        <v>3001</v>
      </c>
      <c r="Q747" t="s">
        <v>3000</v>
      </c>
      <c r="R747" s="7">
        <v>33239</v>
      </c>
      <c r="S747" s="8">
        <f t="shared" si="88"/>
        <v>1991</v>
      </c>
      <c r="T747" s="8">
        <v>1991</v>
      </c>
      <c r="U747" s="8">
        <f t="shared" si="89"/>
        <v>31</v>
      </c>
      <c r="V747" s="7" t="s">
        <v>2636</v>
      </c>
      <c r="W747" s="11" t="s">
        <v>2635</v>
      </c>
      <c r="X747" s="2">
        <v>2.383</v>
      </c>
      <c r="Y747" s="6">
        <f t="shared" si="94"/>
        <v>6.3612824003630442E-2</v>
      </c>
      <c r="AA747" t="s">
        <v>2634</v>
      </c>
      <c r="AB747">
        <v>101151</v>
      </c>
      <c r="AD747" t="s">
        <v>5</v>
      </c>
      <c r="AE747">
        <v>138</v>
      </c>
      <c r="AF747">
        <v>1</v>
      </c>
      <c r="AH747" t="s">
        <v>2999</v>
      </c>
      <c r="AI747" t="s">
        <v>2998</v>
      </c>
      <c r="AK747" t="s">
        <v>2997</v>
      </c>
      <c r="AL747">
        <v>17</v>
      </c>
      <c r="AM747" s="5">
        <f t="shared" si="90"/>
        <v>0.54838709677419351</v>
      </c>
      <c r="AN747" s="4">
        <f t="shared" si="95"/>
        <v>8.3057492885148579E-4</v>
      </c>
      <c r="AO747" s="3"/>
      <c r="AP747">
        <v>0</v>
      </c>
      <c r="AR747" t="s">
        <v>0</v>
      </c>
      <c r="AT747" s="2" t="s">
        <v>33</v>
      </c>
      <c r="AU747" s="1">
        <f t="shared" si="91"/>
        <v>4.4778149281196757</v>
      </c>
      <c r="AV747" s="1">
        <f t="shared" si="92"/>
        <v>3.2221699466240961</v>
      </c>
      <c r="AW747" s="1">
        <f t="shared" si="93"/>
        <v>1.966524965128517</v>
      </c>
    </row>
    <row r="748" spans="1:49" x14ac:dyDescent="0.2">
      <c r="A748">
        <v>746</v>
      </c>
      <c r="B748" t="s">
        <v>2996</v>
      </c>
      <c r="C748" t="s">
        <v>2995</v>
      </c>
      <c r="F748" t="s">
        <v>2994</v>
      </c>
      <c r="G748" t="s">
        <v>16</v>
      </c>
      <c r="H748" t="s">
        <v>15</v>
      </c>
      <c r="I748" t="s">
        <v>2993</v>
      </c>
      <c r="J748">
        <v>60003500</v>
      </c>
      <c r="K748" t="s">
        <v>1115</v>
      </c>
      <c r="L748" t="s">
        <v>1114</v>
      </c>
      <c r="M748" t="s">
        <v>57</v>
      </c>
      <c r="N748">
        <v>2</v>
      </c>
      <c r="O748" t="s">
        <v>2992</v>
      </c>
      <c r="P748" t="s">
        <v>2991</v>
      </c>
      <c r="Q748" t="s">
        <v>2990</v>
      </c>
      <c r="R748" s="7">
        <v>33239</v>
      </c>
      <c r="S748" s="8">
        <f t="shared" si="88"/>
        <v>1991</v>
      </c>
      <c r="T748" s="8">
        <v>1991</v>
      </c>
      <c r="U748" s="8">
        <f t="shared" si="89"/>
        <v>31</v>
      </c>
      <c r="V748" s="7">
        <v>33270</v>
      </c>
      <c r="W748" t="s">
        <v>1807</v>
      </c>
      <c r="X748" s="2">
        <v>1.6519999999999999</v>
      </c>
      <c r="Y748" s="6">
        <f t="shared" si="94"/>
        <v>4.409919649769093E-2</v>
      </c>
      <c r="AA748" t="s">
        <v>1806</v>
      </c>
      <c r="AB748">
        <v>17337</v>
      </c>
      <c r="AC748">
        <v>15582221</v>
      </c>
      <c r="AD748" t="s">
        <v>5</v>
      </c>
      <c r="AE748">
        <v>39</v>
      </c>
      <c r="AF748">
        <v>2</v>
      </c>
      <c r="AH748" t="s">
        <v>2989</v>
      </c>
      <c r="AI748" t="s">
        <v>2988</v>
      </c>
      <c r="AK748" t="s">
        <v>2987</v>
      </c>
      <c r="AL748">
        <v>3</v>
      </c>
      <c r="AM748" s="5">
        <f t="shared" si="90"/>
        <v>9.6774193548387094E-2</v>
      </c>
      <c r="AN748" s="4">
        <f t="shared" si="95"/>
        <v>1.4657204626790927E-4</v>
      </c>
      <c r="AO748" s="3"/>
      <c r="AP748">
        <v>0</v>
      </c>
      <c r="AR748" t="s">
        <v>0</v>
      </c>
      <c r="AT748" s="2" t="s">
        <v>33</v>
      </c>
      <c r="AU748" s="1">
        <f t="shared" si="91"/>
        <v>3.0913409162264025</v>
      </c>
      <c r="AV748" s="1">
        <f t="shared" si="92"/>
        <v>2.2122884271979419</v>
      </c>
      <c r="AW748" s="1">
        <f t="shared" si="93"/>
        <v>1.3332359381694814</v>
      </c>
    </row>
    <row r="749" spans="1:49" x14ac:dyDescent="0.2">
      <c r="A749">
        <v>747</v>
      </c>
      <c r="B749" t="s">
        <v>2986</v>
      </c>
      <c r="C749" t="s">
        <v>2985</v>
      </c>
      <c r="F749" t="s">
        <v>2984</v>
      </c>
      <c r="G749" t="s">
        <v>16</v>
      </c>
      <c r="H749" t="s">
        <v>15</v>
      </c>
      <c r="I749" t="s">
        <v>2983</v>
      </c>
      <c r="J749">
        <v>60009358</v>
      </c>
      <c r="K749" t="s">
        <v>2982</v>
      </c>
      <c r="L749" t="s">
        <v>2981</v>
      </c>
      <c r="M749" t="s">
        <v>146</v>
      </c>
      <c r="N749">
        <v>4</v>
      </c>
      <c r="O749" t="s">
        <v>2980</v>
      </c>
      <c r="P749" t="s">
        <v>2979</v>
      </c>
      <c r="Q749" t="s">
        <v>2978</v>
      </c>
      <c r="R749" s="7">
        <v>33239</v>
      </c>
      <c r="S749" s="8">
        <f t="shared" si="88"/>
        <v>1991</v>
      </c>
      <c r="T749" s="8">
        <v>1991</v>
      </c>
      <c r="U749" s="8">
        <f t="shared" si="89"/>
        <v>31</v>
      </c>
      <c r="V749" s="7">
        <v>33270</v>
      </c>
      <c r="W749" t="s">
        <v>2537</v>
      </c>
      <c r="X749" s="2">
        <v>1.365</v>
      </c>
      <c r="Y749" s="6">
        <f t="shared" si="94"/>
        <v>3.6437895411227675E-2</v>
      </c>
      <c r="AA749">
        <v>189545</v>
      </c>
      <c r="AB749">
        <v>17393</v>
      </c>
      <c r="AC749">
        <v>19399359</v>
      </c>
      <c r="AD749" t="s">
        <v>5</v>
      </c>
      <c r="AE749">
        <v>40</v>
      </c>
      <c r="AF749">
        <v>1</v>
      </c>
      <c r="AH749" t="s">
        <v>2977</v>
      </c>
      <c r="AI749" t="s">
        <v>2976</v>
      </c>
      <c r="AK749" t="s">
        <v>2975</v>
      </c>
      <c r="AL749">
        <v>177</v>
      </c>
      <c r="AM749" s="5">
        <f t="shared" si="90"/>
        <v>5.709677419354839</v>
      </c>
      <c r="AN749" s="4">
        <f t="shared" si="95"/>
        <v>8.6477507298066466E-3</v>
      </c>
      <c r="AO749" s="3"/>
      <c r="AP749">
        <v>0</v>
      </c>
      <c r="AR749" t="s">
        <v>0</v>
      </c>
      <c r="AT749" s="2" t="s">
        <v>33</v>
      </c>
      <c r="AU749" s="1">
        <f t="shared" si="91"/>
        <v>2.8100852006801365</v>
      </c>
      <c r="AV749" s="1">
        <f t="shared" si="92"/>
        <v>2.254282307051716</v>
      </c>
      <c r="AW749" s="1">
        <f t="shared" si="93"/>
        <v>1.6984794134232954</v>
      </c>
    </row>
    <row r="750" spans="1:49" x14ac:dyDescent="0.2">
      <c r="A750">
        <v>748</v>
      </c>
      <c r="B750" t="s">
        <v>2974</v>
      </c>
      <c r="C750" t="s">
        <v>2973</v>
      </c>
      <c r="F750" t="s">
        <v>2972</v>
      </c>
      <c r="G750" t="s">
        <v>16</v>
      </c>
      <c r="H750" t="s">
        <v>15</v>
      </c>
      <c r="I750" t="s">
        <v>376</v>
      </c>
      <c r="J750">
        <v>60009037</v>
      </c>
      <c r="K750" t="s">
        <v>375</v>
      </c>
      <c r="L750" t="s">
        <v>374</v>
      </c>
      <c r="M750" t="s">
        <v>57</v>
      </c>
      <c r="N750">
        <v>1</v>
      </c>
      <c r="O750" t="s">
        <v>373</v>
      </c>
      <c r="P750">
        <v>7408102852</v>
      </c>
      <c r="Q750">
        <v>60009037</v>
      </c>
      <c r="R750" s="7">
        <v>33239</v>
      </c>
      <c r="S750" s="8">
        <f t="shared" si="88"/>
        <v>1991</v>
      </c>
      <c r="T750" s="8">
        <v>1991</v>
      </c>
      <c r="U750" s="8">
        <f t="shared" si="89"/>
        <v>31</v>
      </c>
      <c r="V750" s="7">
        <v>33270</v>
      </c>
      <c r="W750" t="s">
        <v>561</v>
      </c>
      <c r="X750" s="2">
        <v>0.30399999999999999</v>
      </c>
      <c r="Y750" s="6">
        <f t="shared" si="94"/>
        <v>8.115106377299057E-3</v>
      </c>
      <c r="AA750">
        <v>8952477</v>
      </c>
      <c r="AB750">
        <v>12250</v>
      </c>
      <c r="AC750">
        <v>10982760</v>
      </c>
      <c r="AD750" t="s">
        <v>5</v>
      </c>
      <c r="AE750">
        <v>4</v>
      </c>
      <c r="AF750">
        <v>3</v>
      </c>
      <c r="AH750" t="s">
        <v>2971</v>
      </c>
      <c r="AI750" t="s">
        <v>2970</v>
      </c>
      <c r="AJ750" t="s">
        <v>2969</v>
      </c>
      <c r="AK750" t="s">
        <v>2968</v>
      </c>
      <c r="AL750">
        <v>30</v>
      </c>
      <c r="AM750" s="5">
        <f t="shared" si="90"/>
        <v>0.967741935483871</v>
      </c>
      <c r="AN750" s="4">
        <f t="shared" si="95"/>
        <v>1.4657204626790927E-3</v>
      </c>
      <c r="AO750" s="3"/>
      <c r="AP750">
        <v>0</v>
      </c>
      <c r="AR750" t="s">
        <v>0</v>
      </c>
      <c r="AT750" s="2" t="s">
        <v>33</v>
      </c>
      <c r="AU750" s="1">
        <f t="shared" si="91"/>
        <v>0.61202906029130677</v>
      </c>
      <c r="AV750" s="1">
        <f t="shared" si="92"/>
        <v>0.47904134199890752</v>
      </c>
      <c r="AW750" s="1">
        <f t="shared" si="93"/>
        <v>0.34605362370650822</v>
      </c>
    </row>
    <row r="751" spans="1:49" x14ac:dyDescent="0.2">
      <c r="A751">
        <v>749</v>
      </c>
      <c r="B751" t="s">
        <v>2967</v>
      </c>
      <c r="C751" t="s">
        <v>2966</v>
      </c>
      <c r="F751" t="s">
        <v>2965</v>
      </c>
      <c r="G751" t="s">
        <v>16</v>
      </c>
      <c r="H751" t="s">
        <v>15</v>
      </c>
      <c r="I751" t="s">
        <v>2964</v>
      </c>
      <c r="J751" t="s">
        <v>2963</v>
      </c>
      <c r="K751" t="s">
        <v>2962</v>
      </c>
      <c r="L751" t="s">
        <v>2961</v>
      </c>
      <c r="M751" t="s">
        <v>133</v>
      </c>
      <c r="N751">
        <v>3</v>
      </c>
      <c r="O751" t="s">
        <v>2960</v>
      </c>
      <c r="P751" t="s">
        <v>2959</v>
      </c>
      <c r="Q751" t="s">
        <v>2958</v>
      </c>
      <c r="R751" s="7">
        <v>33239</v>
      </c>
      <c r="S751" s="8">
        <f t="shared" si="88"/>
        <v>1991</v>
      </c>
      <c r="T751" s="8">
        <v>1991</v>
      </c>
      <c r="U751" s="8">
        <f t="shared" si="89"/>
        <v>31</v>
      </c>
      <c r="V751" s="7">
        <v>33270</v>
      </c>
      <c r="W751" t="s">
        <v>2759</v>
      </c>
      <c r="X751" s="2">
        <v>0.81</v>
      </c>
      <c r="Y751" s="6">
        <f t="shared" si="94"/>
        <v>2.1622487386882359E-2</v>
      </c>
      <c r="AA751">
        <v>10411135</v>
      </c>
      <c r="AB751">
        <v>12116</v>
      </c>
      <c r="AC751">
        <v>19410174</v>
      </c>
      <c r="AD751" t="s">
        <v>5</v>
      </c>
      <c r="AE751">
        <v>3</v>
      </c>
      <c r="AF751">
        <v>2</v>
      </c>
      <c r="AH751" t="s">
        <v>2957</v>
      </c>
      <c r="AI751" t="s">
        <v>2956</v>
      </c>
      <c r="AK751" t="s">
        <v>2955</v>
      </c>
      <c r="AL751">
        <v>33</v>
      </c>
      <c r="AM751" s="5">
        <f t="shared" si="90"/>
        <v>1.064516129032258</v>
      </c>
      <c r="AN751" s="4">
        <f t="shared" si="95"/>
        <v>1.6122925089470019E-3</v>
      </c>
      <c r="AO751" s="3"/>
      <c r="AP751">
        <v>0</v>
      </c>
      <c r="AR751" t="s">
        <v>0</v>
      </c>
      <c r="AT751" s="2">
        <v>2.468</v>
      </c>
      <c r="AU751" s="1">
        <f t="shared" si="91"/>
        <v>1.561942892350175</v>
      </c>
      <c r="AV751" s="1">
        <f t="shared" si="92"/>
        <v>1.161738994791468</v>
      </c>
      <c r="AW751" s="1">
        <f t="shared" si="93"/>
        <v>0.76153509723276092</v>
      </c>
    </row>
    <row r="752" spans="1:49" x14ac:dyDescent="0.2">
      <c r="A752">
        <v>750</v>
      </c>
      <c r="B752" t="s">
        <v>2954</v>
      </c>
      <c r="C752" t="s">
        <v>2953</v>
      </c>
      <c r="F752" t="s">
        <v>2952</v>
      </c>
      <c r="G752" t="s">
        <v>16</v>
      </c>
      <c r="H752" t="s">
        <v>15</v>
      </c>
      <c r="I752" t="s">
        <v>2951</v>
      </c>
      <c r="J752">
        <v>60020444</v>
      </c>
      <c r="K752" t="s">
        <v>2950</v>
      </c>
      <c r="L752" t="s">
        <v>2493</v>
      </c>
      <c r="M752" t="s">
        <v>57</v>
      </c>
      <c r="N752">
        <v>1</v>
      </c>
      <c r="O752" t="s">
        <v>2949</v>
      </c>
      <c r="P752">
        <v>6603278447</v>
      </c>
      <c r="Q752">
        <v>60020444</v>
      </c>
      <c r="R752" s="7">
        <v>33239</v>
      </c>
      <c r="S752" s="8">
        <f t="shared" si="88"/>
        <v>1991</v>
      </c>
      <c r="T752" s="8">
        <v>1991</v>
      </c>
      <c r="U752" s="8">
        <f t="shared" si="89"/>
        <v>31</v>
      </c>
      <c r="V752" s="7">
        <v>33270</v>
      </c>
      <c r="W752" t="s">
        <v>2685</v>
      </c>
      <c r="X752" s="2">
        <v>0.65500000000000003</v>
      </c>
      <c r="Y752" s="6">
        <f t="shared" si="94"/>
        <v>1.7484850911614749E-2</v>
      </c>
      <c r="AA752">
        <v>189375</v>
      </c>
      <c r="AB752">
        <v>26051</v>
      </c>
      <c r="AC752" t="s">
        <v>2684</v>
      </c>
      <c r="AD752" t="s">
        <v>5</v>
      </c>
      <c r="AE752">
        <v>33</v>
      </c>
      <c r="AF752">
        <v>1</v>
      </c>
      <c r="AH752" t="s">
        <v>2948</v>
      </c>
      <c r="AI752" t="s">
        <v>2947</v>
      </c>
      <c r="AJ752" t="s">
        <v>2946</v>
      </c>
      <c r="AK752" t="s">
        <v>2945</v>
      </c>
      <c r="AL752">
        <v>0</v>
      </c>
      <c r="AM752" s="5">
        <f t="shared" si="90"/>
        <v>0</v>
      </c>
      <c r="AN752" s="4">
        <f t="shared" si="95"/>
        <v>0</v>
      </c>
      <c r="AO752" s="3"/>
      <c r="AP752">
        <v>0</v>
      </c>
      <c r="AR752" t="s">
        <v>0</v>
      </c>
      <c r="AT752" s="2" t="s">
        <v>33</v>
      </c>
      <c r="AU752" s="1">
        <f t="shared" si="91"/>
        <v>1.2239395638130324</v>
      </c>
      <c r="AV752" s="1">
        <f t="shared" si="92"/>
        <v>0.87424254558073744</v>
      </c>
      <c r="AW752" s="1">
        <f t="shared" si="93"/>
        <v>0.52454552734844251</v>
      </c>
    </row>
    <row r="753" spans="1:49" x14ac:dyDescent="0.2">
      <c r="A753">
        <v>751</v>
      </c>
      <c r="B753" t="s">
        <v>2944</v>
      </c>
      <c r="C753" t="s">
        <v>2943</v>
      </c>
      <c r="F753" t="s">
        <v>2942</v>
      </c>
      <c r="G753" t="s">
        <v>16</v>
      </c>
      <c r="H753" t="s">
        <v>15</v>
      </c>
      <c r="I753" t="s">
        <v>2941</v>
      </c>
      <c r="J753">
        <v>60002798</v>
      </c>
      <c r="K753" t="s">
        <v>2662</v>
      </c>
      <c r="L753" t="s">
        <v>2661</v>
      </c>
      <c r="M753" t="s">
        <v>2661</v>
      </c>
      <c r="N753">
        <v>2</v>
      </c>
      <c r="O753" t="s">
        <v>2940</v>
      </c>
      <c r="P753" t="s">
        <v>2939</v>
      </c>
      <c r="Q753" t="s">
        <v>2658</v>
      </c>
      <c r="R753" s="7">
        <v>33239</v>
      </c>
      <c r="S753" s="8">
        <f t="shared" ref="S753:S816" si="96">YEAR(R753)</f>
        <v>1991</v>
      </c>
      <c r="T753" s="8">
        <v>1991</v>
      </c>
      <c r="U753" s="8">
        <f t="shared" ref="U753:U816" si="97">2022-T753</f>
        <v>31</v>
      </c>
      <c r="V753" s="7" t="s">
        <v>2636</v>
      </c>
      <c r="W753" s="11" t="s">
        <v>2635</v>
      </c>
      <c r="X753" s="2">
        <v>2.383</v>
      </c>
      <c r="Y753" s="6">
        <f t="shared" si="94"/>
        <v>6.3612824003630442E-2</v>
      </c>
      <c r="AA753" t="s">
        <v>2634</v>
      </c>
      <c r="AB753">
        <v>101151</v>
      </c>
      <c r="AD753" t="s">
        <v>5</v>
      </c>
      <c r="AE753">
        <v>138</v>
      </c>
      <c r="AF753">
        <v>1</v>
      </c>
      <c r="AH753" t="s">
        <v>2938</v>
      </c>
      <c r="AI753" t="s">
        <v>2937</v>
      </c>
      <c r="AK753" t="s">
        <v>2936</v>
      </c>
      <c r="AL753">
        <v>30</v>
      </c>
      <c r="AM753" s="5">
        <f t="shared" ref="AM753:AM816" si="98">AL753/U753</f>
        <v>0.967741935483871</v>
      </c>
      <c r="AN753" s="4">
        <f t="shared" si="95"/>
        <v>1.4657204626790927E-3</v>
      </c>
      <c r="AO753" s="3"/>
      <c r="AP753">
        <v>0</v>
      </c>
      <c r="AR753" t="s">
        <v>0</v>
      </c>
      <c r="AT753" s="2" t="s">
        <v>33</v>
      </c>
      <c r="AU753" s="1">
        <f t="shared" ref="AU753:AU816" si="99">(Y753*0.7+AN753*0.3)*100</f>
        <v>4.4968692941345036</v>
      </c>
      <c r="AV753" s="1">
        <f t="shared" ref="AV753:AV816" si="100">(Y753*0.5+AN753*0.5)*100</f>
        <v>3.2539272233154768</v>
      </c>
      <c r="AW753" s="1">
        <f t="shared" ref="AW753:AW816" si="101">(Y753*0.3+AN753*0.7)*100</f>
        <v>2.0109851524964495</v>
      </c>
    </row>
    <row r="754" spans="1:49" x14ac:dyDescent="0.2">
      <c r="A754">
        <v>752</v>
      </c>
      <c r="B754" t="s">
        <v>2935</v>
      </c>
      <c r="C754" t="s">
        <v>2934</v>
      </c>
      <c r="F754" t="s">
        <v>2933</v>
      </c>
      <c r="G754" t="s">
        <v>16</v>
      </c>
      <c r="H754" t="s">
        <v>15</v>
      </c>
      <c r="I754" t="s">
        <v>2932</v>
      </c>
      <c r="N754">
        <v>1</v>
      </c>
      <c r="O754" t="s">
        <v>2931</v>
      </c>
      <c r="P754">
        <v>7102122144</v>
      </c>
      <c r="R754" s="7">
        <v>33239</v>
      </c>
      <c r="S754" s="8">
        <f t="shared" si="96"/>
        <v>1991</v>
      </c>
      <c r="T754" s="8">
        <v>1991</v>
      </c>
      <c r="U754" s="8">
        <f t="shared" si="97"/>
        <v>31</v>
      </c>
      <c r="V754" s="7">
        <v>33270</v>
      </c>
      <c r="W754" t="s">
        <v>1807</v>
      </c>
      <c r="X754" s="2">
        <v>1.6519999999999999</v>
      </c>
      <c r="Y754" s="6">
        <f t="shared" si="94"/>
        <v>4.409919649769093E-2</v>
      </c>
      <c r="AA754" t="s">
        <v>1806</v>
      </c>
      <c r="AB754">
        <v>17337</v>
      </c>
      <c r="AC754">
        <v>15582221</v>
      </c>
      <c r="AD754" t="s">
        <v>5</v>
      </c>
      <c r="AE754">
        <v>39</v>
      </c>
      <c r="AF754">
        <v>2</v>
      </c>
      <c r="AH754" t="s">
        <v>2930</v>
      </c>
      <c r="AI754" t="s">
        <v>2929</v>
      </c>
      <c r="AK754" t="s">
        <v>2928</v>
      </c>
      <c r="AL754">
        <v>16</v>
      </c>
      <c r="AM754" s="5">
        <f t="shared" si="98"/>
        <v>0.5161290322580645</v>
      </c>
      <c r="AN754" s="4">
        <f t="shared" si="95"/>
        <v>7.8171758009551613E-4</v>
      </c>
      <c r="AO754" s="3"/>
      <c r="AP754">
        <v>0</v>
      </c>
      <c r="AR754" t="s">
        <v>0</v>
      </c>
      <c r="AT754" s="2" t="s">
        <v>33</v>
      </c>
      <c r="AU754" s="1">
        <f t="shared" si="99"/>
        <v>3.1103952822412304</v>
      </c>
      <c r="AV754" s="1">
        <f t="shared" si="100"/>
        <v>2.2440457038893222</v>
      </c>
      <c r="AW754" s="1">
        <f t="shared" si="101"/>
        <v>1.3776961255374138</v>
      </c>
    </row>
    <row r="755" spans="1:49" x14ac:dyDescent="0.2">
      <c r="A755">
        <v>753</v>
      </c>
      <c r="B755" t="s">
        <v>2927</v>
      </c>
      <c r="C755" t="s">
        <v>2926</v>
      </c>
      <c r="F755" t="s">
        <v>2925</v>
      </c>
      <c r="G755" t="s">
        <v>16</v>
      </c>
      <c r="H755" t="s">
        <v>15</v>
      </c>
      <c r="I755" t="s">
        <v>2924</v>
      </c>
      <c r="J755">
        <v>60031225</v>
      </c>
      <c r="K755" t="s">
        <v>2923</v>
      </c>
      <c r="L755" t="s">
        <v>2922</v>
      </c>
      <c r="M755" t="s">
        <v>326</v>
      </c>
      <c r="N755">
        <v>2</v>
      </c>
      <c r="O755" t="s">
        <v>2921</v>
      </c>
      <c r="P755" t="s">
        <v>2920</v>
      </c>
      <c r="Q755" t="s">
        <v>2919</v>
      </c>
      <c r="R755" s="7">
        <v>33239</v>
      </c>
      <c r="S755" s="8">
        <f t="shared" si="96"/>
        <v>1991</v>
      </c>
      <c r="T755" s="8">
        <v>1991</v>
      </c>
      <c r="U755" s="8">
        <f t="shared" si="97"/>
        <v>31</v>
      </c>
      <c r="V755" s="7">
        <v>1991</v>
      </c>
      <c r="W755" t="s">
        <v>2802</v>
      </c>
      <c r="X755" s="2">
        <v>0.13900000000000001</v>
      </c>
      <c r="Y755" s="6">
        <f t="shared" si="94"/>
        <v>3.7105256133045036E-3</v>
      </c>
      <c r="AA755" t="s">
        <v>2801</v>
      </c>
      <c r="AB755">
        <v>24891</v>
      </c>
      <c r="AC755">
        <v>15206432</v>
      </c>
      <c r="AD755" t="s">
        <v>5</v>
      </c>
      <c r="AE755">
        <v>74</v>
      </c>
      <c r="AF755">
        <v>2</v>
      </c>
      <c r="AH755" t="s">
        <v>2918</v>
      </c>
      <c r="AI755" t="s">
        <v>2917</v>
      </c>
      <c r="AK755" t="s">
        <v>2916</v>
      </c>
      <c r="AL755">
        <v>1</v>
      </c>
      <c r="AM755" s="5">
        <f t="shared" si="98"/>
        <v>3.2258064516129031E-2</v>
      </c>
      <c r="AN755" s="4">
        <f t="shared" si="95"/>
        <v>4.8857348755969758E-5</v>
      </c>
      <c r="AO755" s="3"/>
      <c r="AP755">
        <v>0</v>
      </c>
      <c r="AR755" t="s">
        <v>0</v>
      </c>
      <c r="AT755" s="2" t="s">
        <v>33</v>
      </c>
      <c r="AU755" s="1">
        <f t="shared" si="99"/>
        <v>0.26120251339399431</v>
      </c>
      <c r="AV755" s="1">
        <f t="shared" si="100"/>
        <v>0.18796914810302368</v>
      </c>
      <c r="AW755" s="1">
        <f t="shared" si="101"/>
        <v>0.11473578281205299</v>
      </c>
    </row>
    <row r="756" spans="1:49" x14ac:dyDescent="0.2">
      <c r="A756">
        <v>754</v>
      </c>
      <c r="B756" t="s">
        <v>2915</v>
      </c>
      <c r="C756" t="s">
        <v>2914</v>
      </c>
      <c r="F756" t="s">
        <v>2913</v>
      </c>
      <c r="G756" t="s">
        <v>16</v>
      </c>
      <c r="H756" t="s">
        <v>15</v>
      </c>
      <c r="I756" t="s">
        <v>2912</v>
      </c>
      <c r="J756" t="s">
        <v>2911</v>
      </c>
      <c r="K756" t="s">
        <v>2910</v>
      </c>
      <c r="L756" t="s">
        <v>2909</v>
      </c>
      <c r="M756" t="s">
        <v>2908</v>
      </c>
      <c r="N756">
        <v>3</v>
      </c>
      <c r="O756" t="s">
        <v>2907</v>
      </c>
      <c r="P756" t="s">
        <v>2906</v>
      </c>
      <c r="Q756" t="s">
        <v>2905</v>
      </c>
      <c r="R756" s="7">
        <v>33239</v>
      </c>
      <c r="S756" s="8">
        <f t="shared" si="96"/>
        <v>1991</v>
      </c>
      <c r="T756" s="8">
        <v>1991</v>
      </c>
      <c r="U756" s="8">
        <f t="shared" si="97"/>
        <v>31</v>
      </c>
      <c r="V756" s="7">
        <v>33270</v>
      </c>
      <c r="W756" t="s">
        <v>1807</v>
      </c>
      <c r="X756" s="2">
        <v>1.6519999999999999</v>
      </c>
      <c r="Y756" s="6">
        <f t="shared" si="94"/>
        <v>4.409919649769093E-2</v>
      </c>
      <c r="AA756" t="s">
        <v>1806</v>
      </c>
      <c r="AB756">
        <v>17337</v>
      </c>
      <c r="AC756">
        <v>15582221</v>
      </c>
      <c r="AD756" t="s">
        <v>5</v>
      </c>
      <c r="AE756">
        <v>39</v>
      </c>
      <c r="AF756">
        <v>2</v>
      </c>
      <c r="AH756" t="s">
        <v>2904</v>
      </c>
      <c r="AI756" t="s">
        <v>2903</v>
      </c>
      <c r="AK756" t="s">
        <v>2902</v>
      </c>
      <c r="AL756">
        <v>0</v>
      </c>
      <c r="AM756" s="5">
        <f t="shared" si="98"/>
        <v>0</v>
      </c>
      <c r="AN756" s="4">
        <f t="shared" si="95"/>
        <v>0</v>
      </c>
      <c r="AO756" s="3"/>
      <c r="AP756">
        <v>0</v>
      </c>
      <c r="AR756" t="s">
        <v>0</v>
      </c>
      <c r="AT756" s="2" t="s">
        <v>33</v>
      </c>
      <c r="AU756" s="1">
        <f t="shared" si="99"/>
        <v>3.0869437548383649</v>
      </c>
      <c r="AV756" s="1">
        <f t="shared" si="100"/>
        <v>2.2049598248845466</v>
      </c>
      <c r="AW756" s="1">
        <f t="shared" si="101"/>
        <v>1.3229758949307278</v>
      </c>
    </row>
    <row r="757" spans="1:49" x14ac:dyDescent="0.2">
      <c r="A757">
        <v>755</v>
      </c>
      <c r="B757" t="s">
        <v>2901</v>
      </c>
      <c r="C757" t="s">
        <v>2900</v>
      </c>
      <c r="F757" t="s">
        <v>2899</v>
      </c>
      <c r="G757" t="s">
        <v>16</v>
      </c>
      <c r="H757" t="s">
        <v>15</v>
      </c>
      <c r="I757" t="s">
        <v>2898</v>
      </c>
      <c r="J757">
        <v>60031720</v>
      </c>
      <c r="K757" t="s">
        <v>2897</v>
      </c>
      <c r="L757" t="s">
        <v>2896</v>
      </c>
      <c r="M757" t="s">
        <v>326</v>
      </c>
      <c r="N757">
        <v>2</v>
      </c>
      <c r="O757" t="s">
        <v>2895</v>
      </c>
      <c r="P757" t="s">
        <v>2894</v>
      </c>
      <c r="Q757" t="s">
        <v>2893</v>
      </c>
      <c r="R757" s="7">
        <v>33239</v>
      </c>
      <c r="S757" s="8">
        <f t="shared" si="96"/>
        <v>1991</v>
      </c>
      <c r="T757" s="8">
        <v>1991</v>
      </c>
      <c r="U757" s="8">
        <f t="shared" si="97"/>
        <v>31</v>
      </c>
      <c r="V757" s="7">
        <v>33270</v>
      </c>
      <c r="W757" t="s">
        <v>2569</v>
      </c>
      <c r="X757" s="2">
        <v>0.111</v>
      </c>
      <c r="Y757" s="6">
        <f t="shared" si="94"/>
        <v>2.9630816048690639E-3</v>
      </c>
      <c r="AA757">
        <v>87566621</v>
      </c>
      <c r="AB757">
        <v>24890</v>
      </c>
      <c r="AC757">
        <v>15206424</v>
      </c>
      <c r="AD757" t="s">
        <v>5</v>
      </c>
      <c r="AE757">
        <v>74</v>
      </c>
      <c r="AF757">
        <v>2</v>
      </c>
      <c r="AH757" t="s">
        <v>2892</v>
      </c>
      <c r="AI757" t="s">
        <v>2891</v>
      </c>
      <c r="AK757" t="s">
        <v>2890</v>
      </c>
      <c r="AL757">
        <v>0</v>
      </c>
      <c r="AM757" s="5">
        <f t="shared" si="98"/>
        <v>0</v>
      </c>
      <c r="AN757" s="4">
        <f t="shared" si="95"/>
        <v>0</v>
      </c>
      <c r="AO757" s="3"/>
      <c r="AP757">
        <v>0</v>
      </c>
      <c r="AR757" t="s">
        <v>0</v>
      </c>
      <c r="AT757" s="2" t="s">
        <v>33</v>
      </c>
      <c r="AU757" s="1">
        <f t="shared" si="99"/>
        <v>0.20741571234083445</v>
      </c>
      <c r="AV757" s="1">
        <f t="shared" si="100"/>
        <v>0.1481540802434532</v>
      </c>
      <c r="AW757" s="1">
        <f t="shared" si="101"/>
        <v>8.8892448146071903E-2</v>
      </c>
    </row>
    <row r="758" spans="1:49" x14ac:dyDescent="0.2">
      <c r="A758">
        <v>756</v>
      </c>
      <c r="B758" t="s">
        <v>2889</v>
      </c>
      <c r="C758" t="s">
        <v>2888</v>
      </c>
      <c r="F758" t="s">
        <v>2887</v>
      </c>
      <c r="G758" t="s">
        <v>16</v>
      </c>
      <c r="H758" t="s">
        <v>15</v>
      </c>
      <c r="I758" t="s">
        <v>2886</v>
      </c>
      <c r="J758">
        <v>60015623</v>
      </c>
      <c r="K758" t="s">
        <v>2885</v>
      </c>
      <c r="L758" t="s">
        <v>513</v>
      </c>
      <c r="M758" t="s">
        <v>57</v>
      </c>
      <c r="N758">
        <v>1</v>
      </c>
      <c r="O758" t="s">
        <v>2884</v>
      </c>
      <c r="P758">
        <v>7006807417</v>
      </c>
      <c r="Q758">
        <v>60015623</v>
      </c>
      <c r="R758" s="7">
        <v>33239</v>
      </c>
      <c r="S758" s="8">
        <f t="shared" si="96"/>
        <v>1991</v>
      </c>
      <c r="T758" s="8">
        <v>1991</v>
      </c>
      <c r="U758" s="8">
        <f t="shared" si="97"/>
        <v>31</v>
      </c>
      <c r="V758" s="7">
        <v>33270</v>
      </c>
      <c r="W758" t="s">
        <v>1807</v>
      </c>
      <c r="X758" s="2">
        <v>1.6519999999999999</v>
      </c>
      <c r="Y758" s="6">
        <f t="shared" si="94"/>
        <v>4.409919649769093E-2</v>
      </c>
      <c r="AA758" t="s">
        <v>1806</v>
      </c>
      <c r="AB758">
        <v>17337</v>
      </c>
      <c r="AC758">
        <v>15582221</v>
      </c>
      <c r="AD758" t="s">
        <v>5</v>
      </c>
      <c r="AE758">
        <v>39</v>
      </c>
      <c r="AF758">
        <v>2</v>
      </c>
      <c r="AH758" t="s">
        <v>2883</v>
      </c>
      <c r="AI758" t="s">
        <v>2882</v>
      </c>
      <c r="AK758" t="s">
        <v>2881</v>
      </c>
      <c r="AL758">
        <v>8</v>
      </c>
      <c r="AM758" s="5">
        <f t="shared" si="98"/>
        <v>0.25806451612903225</v>
      </c>
      <c r="AN758" s="4">
        <f t="shared" si="95"/>
        <v>3.9085879004775807E-4</v>
      </c>
      <c r="AO758" s="3"/>
      <c r="AP758">
        <v>0</v>
      </c>
      <c r="AR758" t="s">
        <v>0</v>
      </c>
      <c r="AT758" s="2" t="s">
        <v>33</v>
      </c>
      <c r="AU758" s="1">
        <f t="shared" si="99"/>
        <v>3.0986695185397974</v>
      </c>
      <c r="AV758" s="1">
        <f t="shared" si="100"/>
        <v>2.2245027643869344</v>
      </c>
      <c r="AW758" s="1">
        <f t="shared" si="101"/>
        <v>1.3503360102340709</v>
      </c>
    </row>
    <row r="759" spans="1:49" x14ac:dyDescent="0.2">
      <c r="A759">
        <v>757</v>
      </c>
      <c r="B759" t="s">
        <v>2880</v>
      </c>
      <c r="C759" t="s">
        <v>2879</v>
      </c>
      <c r="F759" t="s">
        <v>2878</v>
      </c>
      <c r="G759" t="s">
        <v>16</v>
      </c>
      <c r="H759" t="s">
        <v>15</v>
      </c>
      <c r="I759" t="s">
        <v>2776</v>
      </c>
      <c r="J759">
        <v>60102558</v>
      </c>
      <c r="K759" t="s">
        <v>2775</v>
      </c>
      <c r="L759" t="s">
        <v>2774</v>
      </c>
      <c r="M759" t="s">
        <v>57</v>
      </c>
      <c r="N759">
        <v>1</v>
      </c>
      <c r="O759" t="s">
        <v>2877</v>
      </c>
      <c r="P759">
        <v>7006637880</v>
      </c>
      <c r="Q759">
        <v>60102558</v>
      </c>
      <c r="R759" s="7">
        <v>33239</v>
      </c>
      <c r="S759" s="8">
        <f t="shared" si="96"/>
        <v>1991</v>
      </c>
      <c r="T759" s="8">
        <v>1991</v>
      </c>
      <c r="U759" s="8">
        <f t="shared" si="97"/>
        <v>31</v>
      </c>
      <c r="V759" s="7">
        <v>33270</v>
      </c>
      <c r="W759" t="s">
        <v>2685</v>
      </c>
      <c r="X759" s="2">
        <v>0.65500000000000003</v>
      </c>
      <c r="Y759" s="6">
        <f t="shared" si="94"/>
        <v>1.7484850911614749E-2</v>
      </c>
      <c r="AA759">
        <v>189375</v>
      </c>
      <c r="AB759">
        <v>26051</v>
      </c>
      <c r="AC759" t="s">
        <v>2684</v>
      </c>
      <c r="AD759" t="s">
        <v>5</v>
      </c>
      <c r="AE759">
        <v>33</v>
      </c>
      <c r="AF759">
        <v>1</v>
      </c>
      <c r="AH759" t="s">
        <v>2876</v>
      </c>
      <c r="AI759" t="s">
        <v>2875</v>
      </c>
      <c r="AK759" t="s">
        <v>2874</v>
      </c>
      <c r="AL759">
        <v>0</v>
      </c>
      <c r="AM759" s="5">
        <f t="shared" si="98"/>
        <v>0</v>
      </c>
      <c r="AN759" s="4">
        <f t="shared" si="95"/>
        <v>0</v>
      </c>
      <c r="AO759" s="3"/>
      <c r="AP759">
        <v>0</v>
      </c>
      <c r="AR759" t="s">
        <v>0</v>
      </c>
      <c r="AT759" s="2" t="s">
        <v>33</v>
      </c>
      <c r="AU759" s="1">
        <f t="shared" si="99"/>
        <v>1.2239395638130324</v>
      </c>
      <c r="AV759" s="1">
        <f t="shared" si="100"/>
        <v>0.87424254558073744</v>
      </c>
      <c r="AW759" s="1">
        <f t="shared" si="101"/>
        <v>0.52454552734844251</v>
      </c>
    </row>
    <row r="760" spans="1:49" x14ac:dyDescent="0.2">
      <c r="A760">
        <v>758</v>
      </c>
      <c r="B760" t="s">
        <v>2873</v>
      </c>
      <c r="C760" t="s">
        <v>2872</v>
      </c>
      <c r="F760" t="s">
        <v>2871</v>
      </c>
      <c r="G760" t="s">
        <v>16</v>
      </c>
      <c r="H760" t="s">
        <v>15</v>
      </c>
      <c r="I760" t="s">
        <v>2870</v>
      </c>
      <c r="J760">
        <v>60029470</v>
      </c>
      <c r="K760" t="s">
        <v>2869</v>
      </c>
      <c r="L760" t="s">
        <v>576</v>
      </c>
      <c r="M760" t="s">
        <v>426</v>
      </c>
      <c r="N760">
        <v>2</v>
      </c>
      <c r="O760" t="s">
        <v>2868</v>
      </c>
      <c r="P760" t="s">
        <v>2867</v>
      </c>
      <c r="Q760" t="s">
        <v>2866</v>
      </c>
      <c r="R760" s="7">
        <v>33239</v>
      </c>
      <c r="S760" s="8">
        <f t="shared" si="96"/>
        <v>1991</v>
      </c>
      <c r="T760" s="8">
        <v>1991</v>
      </c>
      <c r="U760" s="8">
        <f t="shared" si="97"/>
        <v>31</v>
      </c>
      <c r="V760" s="7">
        <v>33270</v>
      </c>
      <c r="W760" t="s">
        <v>731</v>
      </c>
      <c r="X760" s="2">
        <v>1.3720000000000001</v>
      </c>
      <c r="Y760" s="6">
        <f t="shared" si="94"/>
        <v>3.662475641333654E-2</v>
      </c>
      <c r="AA760">
        <v>189480</v>
      </c>
      <c r="AB760">
        <v>17366</v>
      </c>
      <c r="AC760">
        <v>15579670</v>
      </c>
      <c r="AD760" t="s">
        <v>5</v>
      </c>
      <c r="AE760">
        <v>39</v>
      </c>
      <c r="AF760">
        <v>2</v>
      </c>
      <c r="AH760" t="s">
        <v>2865</v>
      </c>
      <c r="AI760" t="s">
        <v>2864</v>
      </c>
      <c r="AK760" t="s">
        <v>2863</v>
      </c>
      <c r="AL760">
        <v>89</v>
      </c>
      <c r="AM760" s="5">
        <f t="shared" si="98"/>
        <v>2.870967741935484</v>
      </c>
      <c r="AN760" s="4">
        <f t="shared" si="95"/>
        <v>4.348304039281309E-3</v>
      </c>
      <c r="AO760" s="3"/>
      <c r="AP760">
        <v>0</v>
      </c>
      <c r="AR760" t="s">
        <v>0</v>
      </c>
      <c r="AT760" s="2" t="s">
        <v>33</v>
      </c>
      <c r="AU760" s="1">
        <f t="shared" si="99"/>
        <v>2.6941820701119967</v>
      </c>
      <c r="AV760" s="1">
        <f t="shared" si="100"/>
        <v>2.0486530226308926</v>
      </c>
      <c r="AW760" s="1">
        <f t="shared" si="101"/>
        <v>1.4031239751497879</v>
      </c>
    </row>
    <row r="761" spans="1:49" x14ac:dyDescent="0.2">
      <c r="A761">
        <v>759</v>
      </c>
      <c r="B761" t="s">
        <v>2862</v>
      </c>
      <c r="C761" t="s">
        <v>2861</v>
      </c>
      <c r="F761" t="s">
        <v>2860</v>
      </c>
      <c r="G761" t="s">
        <v>16</v>
      </c>
      <c r="H761" t="s">
        <v>15</v>
      </c>
      <c r="I761" t="s">
        <v>2859</v>
      </c>
      <c r="N761">
        <v>1</v>
      </c>
      <c r="O761" t="s">
        <v>2858</v>
      </c>
      <c r="P761">
        <v>7202865709</v>
      </c>
      <c r="R761" s="7">
        <v>33239</v>
      </c>
      <c r="S761" s="8">
        <f t="shared" si="96"/>
        <v>1991</v>
      </c>
      <c r="T761" s="8">
        <v>1991</v>
      </c>
      <c r="U761" s="8">
        <f t="shared" si="97"/>
        <v>31</v>
      </c>
      <c r="V761" s="7">
        <v>33270</v>
      </c>
      <c r="W761" t="s">
        <v>1807</v>
      </c>
      <c r="X761" s="2">
        <v>1.6519999999999999</v>
      </c>
      <c r="Y761" s="6">
        <f t="shared" si="94"/>
        <v>4.409919649769093E-2</v>
      </c>
      <c r="AA761" t="s">
        <v>1806</v>
      </c>
      <c r="AB761">
        <v>17337</v>
      </c>
      <c r="AC761">
        <v>15582221</v>
      </c>
      <c r="AD761" t="s">
        <v>5</v>
      </c>
      <c r="AE761">
        <v>39</v>
      </c>
      <c r="AF761">
        <v>2</v>
      </c>
      <c r="AH761" t="s">
        <v>2857</v>
      </c>
      <c r="AI761" t="s">
        <v>2856</v>
      </c>
      <c r="AK761" t="s">
        <v>2855</v>
      </c>
      <c r="AL761">
        <v>3</v>
      </c>
      <c r="AM761" s="5">
        <f t="shared" si="98"/>
        <v>9.6774193548387094E-2</v>
      </c>
      <c r="AN761" s="4">
        <f t="shared" si="95"/>
        <v>1.4657204626790927E-4</v>
      </c>
      <c r="AO761" s="3"/>
      <c r="AP761">
        <v>0</v>
      </c>
      <c r="AR761" t="s">
        <v>0</v>
      </c>
      <c r="AT761" s="2" t="s">
        <v>33</v>
      </c>
      <c r="AU761" s="1">
        <f t="shared" si="99"/>
        <v>3.0913409162264025</v>
      </c>
      <c r="AV761" s="1">
        <f t="shared" si="100"/>
        <v>2.2122884271979419</v>
      </c>
      <c r="AW761" s="1">
        <f t="shared" si="101"/>
        <v>1.3332359381694814</v>
      </c>
    </row>
    <row r="762" spans="1:49" x14ac:dyDescent="0.2">
      <c r="A762">
        <v>760</v>
      </c>
      <c r="B762" t="s">
        <v>2854</v>
      </c>
      <c r="C762" t="s">
        <v>2853</v>
      </c>
      <c r="F762" t="s">
        <v>2852</v>
      </c>
      <c r="G762" t="s">
        <v>16</v>
      </c>
      <c r="H762" t="s">
        <v>15</v>
      </c>
      <c r="I762" t="s">
        <v>2851</v>
      </c>
      <c r="N762">
        <v>3</v>
      </c>
      <c r="O762" t="s">
        <v>2850</v>
      </c>
      <c r="P762" t="s">
        <v>2849</v>
      </c>
      <c r="Q762" t="s">
        <v>757</v>
      </c>
      <c r="R762" s="7">
        <v>33239</v>
      </c>
      <c r="S762" s="8">
        <f t="shared" si="96"/>
        <v>1991</v>
      </c>
      <c r="T762" s="8">
        <v>1991</v>
      </c>
      <c r="U762" s="8">
        <f t="shared" si="97"/>
        <v>31</v>
      </c>
      <c r="V762" s="7">
        <v>33270</v>
      </c>
      <c r="W762" t="s">
        <v>1807</v>
      </c>
      <c r="X762" s="2">
        <v>1.6519999999999999</v>
      </c>
      <c r="Y762" s="6">
        <f t="shared" si="94"/>
        <v>4.409919649769093E-2</v>
      </c>
      <c r="AA762" t="s">
        <v>1806</v>
      </c>
      <c r="AB762">
        <v>17337</v>
      </c>
      <c r="AC762">
        <v>15582221</v>
      </c>
      <c r="AD762" t="s">
        <v>5</v>
      </c>
      <c r="AE762">
        <v>39</v>
      </c>
      <c r="AF762">
        <v>2</v>
      </c>
      <c r="AH762" t="s">
        <v>2848</v>
      </c>
      <c r="AI762" t="s">
        <v>2847</v>
      </c>
      <c r="AK762" t="s">
        <v>2846</v>
      </c>
      <c r="AL762">
        <v>0</v>
      </c>
      <c r="AM762" s="5">
        <f t="shared" si="98"/>
        <v>0</v>
      </c>
      <c r="AN762" s="4">
        <f t="shared" si="95"/>
        <v>0</v>
      </c>
      <c r="AO762" s="3"/>
      <c r="AP762">
        <v>0</v>
      </c>
      <c r="AR762" t="s">
        <v>0</v>
      </c>
      <c r="AT762" s="2" t="s">
        <v>33</v>
      </c>
      <c r="AU762" s="1">
        <f t="shared" si="99"/>
        <v>3.0869437548383649</v>
      </c>
      <c r="AV762" s="1">
        <f t="shared" si="100"/>
        <v>2.2049598248845466</v>
      </c>
      <c r="AW762" s="1">
        <f t="shared" si="101"/>
        <v>1.3229758949307278</v>
      </c>
    </row>
    <row r="763" spans="1:49" x14ac:dyDescent="0.2">
      <c r="A763">
        <v>761</v>
      </c>
      <c r="B763" t="s">
        <v>2845</v>
      </c>
      <c r="C763" t="s">
        <v>2844</v>
      </c>
      <c r="F763" t="s">
        <v>2843</v>
      </c>
      <c r="G763" t="s">
        <v>16</v>
      </c>
      <c r="H763" t="s">
        <v>15</v>
      </c>
      <c r="I763" t="s">
        <v>2842</v>
      </c>
      <c r="J763">
        <v>60092258</v>
      </c>
      <c r="K763" t="s">
        <v>2841</v>
      </c>
      <c r="L763" t="s">
        <v>2840</v>
      </c>
      <c r="M763" t="s">
        <v>326</v>
      </c>
      <c r="N763">
        <v>3</v>
      </c>
      <c r="O763" t="s">
        <v>2839</v>
      </c>
      <c r="P763" t="s">
        <v>2838</v>
      </c>
      <c r="Q763" t="s">
        <v>2837</v>
      </c>
      <c r="R763" s="7">
        <v>33239</v>
      </c>
      <c r="S763" s="8">
        <f t="shared" si="96"/>
        <v>1991</v>
      </c>
      <c r="T763" s="8">
        <v>1991</v>
      </c>
      <c r="U763" s="8">
        <f t="shared" si="97"/>
        <v>31</v>
      </c>
      <c r="V763" s="7">
        <v>33298</v>
      </c>
      <c r="W763" t="s">
        <v>674</v>
      </c>
      <c r="X763" s="2">
        <v>1.137</v>
      </c>
      <c r="Y763" s="6">
        <f t="shared" si="94"/>
        <v>3.0351565628253384E-2</v>
      </c>
      <c r="AA763">
        <v>189251</v>
      </c>
      <c r="AB763">
        <v>17336</v>
      </c>
      <c r="AD763" t="s">
        <v>5</v>
      </c>
      <c r="AE763">
        <v>27</v>
      </c>
      <c r="AF763">
        <v>2</v>
      </c>
      <c r="AH763" t="s">
        <v>2836</v>
      </c>
      <c r="AI763" t="s">
        <v>2835</v>
      </c>
      <c r="AK763" t="s">
        <v>2834</v>
      </c>
      <c r="AL763">
        <v>18</v>
      </c>
      <c r="AM763" s="5">
        <f t="shared" si="98"/>
        <v>0.58064516129032262</v>
      </c>
      <c r="AN763" s="4">
        <f t="shared" si="95"/>
        <v>8.7943227760745566E-4</v>
      </c>
      <c r="AO763" s="3"/>
      <c r="AP763">
        <v>0</v>
      </c>
      <c r="AR763" t="s">
        <v>0</v>
      </c>
      <c r="AT763" s="2" t="s">
        <v>33</v>
      </c>
      <c r="AU763" s="1">
        <f t="shared" si="99"/>
        <v>2.1509925623059605</v>
      </c>
      <c r="AV763" s="1">
        <f t="shared" si="100"/>
        <v>1.561549895293042</v>
      </c>
      <c r="AW763" s="1">
        <f t="shared" si="101"/>
        <v>0.97210722828012341</v>
      </c>
    </row>
    <row r="764" spans="1:49" x14ac:dyDescent="0.2">
      <c r="A764">
        <v>762</v>
      </c>
      <c r="B764" t="s">
        <v>2833</v>
      </c>
      <c r="C764" t="s">
        <v>2832</v>
      </c>
      <c r="F764" t="s">
        <v>2831</v>
      </c>
      <c r="G764" t="s">
        <v>16</v>
      </c>
      <c r="H764" t="s">
        <v>15</v>
      </c>
      <c r="I764" t="s">
        <v>2830</v>
      </c>
      <c r="J764" t="s">
        <v>2829</v>
      </c>
      <c r="K764" t="s">
        <v>2828</v>
      </c>
      <c r="L764" t="s">
        <v>2827</v>
      </c>
      <c r="M764" t="s">
        <v>133</v>
      </c>
      <c r="N764">
        <v>2</v>
      </c>
      <c r="O764" t="s">
        <v>2826</v>
      </c>
      <c r="P764" t="s">
        <v>2825</v>
      </c>
      <c r="Q764" t="s">
        <v>2824</v>
      </c>
      <c r="R764" s="7">
        <v>33239</v>
      </c>
      <c r="S764" s="8">
        <f t="shared" si="96"/>
        <v>1991</v>
      </c>
      <c r="T764" s="8">
        <v>1991</v>
      </c>
      <c r="U764" s="8">
        <f t="shared" si="97"/>
        <v>31</v>
      </c>
      <c r="V764" s="7">
        <v>33270</v>
      </c>
      <c r="W764" t="s">
        <v>2685</v>
      </c>
      <c r="X764" s="2">
        <v>0.65500000000000003</v>
      </c>
      <c r="Y764" s="6">
        <f t="shared" si="94"/>
        <v>1.7484850911614749E-2</v>
      </c>
      <c r="AA764">
        <v>189375</v>
      </c>
      <c r="AB764">
        <v>26051</v>
      </c>
      <c r="AC764" t="s">
        <v>2684</v>
      </c>
      <c r="AD764" t="s">
        <v>5</v>
      </c>
      <c r="AE764">
        <v>33</v>
      </c>
      <c r="AF764">
        <v>1</v>
      </c>
      <c r="AH764" s="9">
        <v>44440</v>
      </c>
      <c r="AI764" t="s">
        <v>2823</v>
      </c>
      <c r="AK764" t="s">
        <v>2822</v>
      </c>
      <c r="AL764">
        <v>14</v>
      </c>
      <c r="AM764" s="5">
        <f t="shared" si="98"/>
        <v>0.45161290322580644</v>
      </c>
      <c r="AN764" s="4">
        <f t="shared" si="95"/>
        <v>6.840028825835766E-4</v>
      </c>
      <c r="AO764" s="3"/>
      <c r="AP764">
        <v>0</v>
      </c>
      <c r="AR764" t="s">
        <v>0</v>
      </c>
      <c r="AT764" s="2" t="s">
        <v>33</v>
      </c>
      <c r="AU764" s="1">
        <f t="shared" si="99"/>
        <v>1.2444596502905396</v>
      </c>
      <c r="AV764" s="1">
        <f t="shared" si="100"/>
        <v>0.90844268970991615</v>
      </c>
      <c r="AW764" s="1">
        <f t="shared" si="101"/>
        <v>0.57242572912929279</v>
      </c>
    </row>
    <row r="765" spans="1:49" x14ac:dyDescent="0.2">
      <c r="A765">
        <v>763</v>
      </c>
      <c r="B765" t="s">
        <v>2821</v>
      </c>
      <c r="C765" t="s">
        <v>2820</v>
      </c>
      <c r="F765" t="s">
        <v>2819</v>
      </c>
      <c r="G765" t="s">
        <v>16</v>
      </c>
      <c r="H765" t="s">
        <v>15</v>
      </c>
      <c r="I765" t="s">
        <v>2818</v>
      </c>
      <c r="J765">
        <v>60029701</v>
      </c>
      <c r="K765" t="s">
        <v>2817</v>
      </c>
      <c r="L765" t="s">
        <v>2816</v>
      </c>
      <c r="M765" t="s">
        <v>326</v>
      </c>
      <c r="N765">
        <v>5</v>
      </c>
      <c r="O765" t="s">
        <v>2815</v>
      </c>
      <c r="P765" t="s">
        <v>2814</v>
      </c>
      <c r="Q765" t="s">
        <v>2813</v>
      </c>
      <c r="R765" s="7">
        <v>33239</v>
      </c>
      <c r="S765" s="8">
        <f t="shared" si="96"/>
        <v>1991</v>
      </c>
      <c r="T765" s="8">
        <v>1991</v>
      </c>
      <c r="U765" s="8">
        <f t="shared" si="97"/>
        <v>31</v>
      </c>
      <c r="V765" s="7">
        <v>33270</v>
      </c>
      <c r="W765" t="s">
        <v>2569</v>
      </c>
      <c r="X765" s="2">
        <v>0.111</v>
      </c>
      <c r="Y765" s="6">
        <f t="shared" si="94"/>
        <v>2.9630816048690639E-3</v>
      </c>
      <c r="AA765">
        <v>87566621</v>
      </c>
      <c r="AB765">
        <v>24890</v>
      </c>
      <c r="AC765">
        <v>15206424</v>
      </c>
      <c r="AD765" t="s">
        <v>5</v>
      </c>
      <c r="AE765">
        <v>74</v>
      </c>
      <c r="AF765">
        <v>2</v>
      </c>
      <c r="AH765" t="s">
        <v>2812</v>
      </c>
      <c r="AI765" t="s">
        <v>2811</v>
      </c>
      <c r="AK765" t="s">
        <v>2810</v>
      </c>
      <c r="AL765">
        <v>0</v>
      </c>
      <c r="AM765" s="5">
        <f t="shared" si="98"/>
        <v>0</v>
      </c>
      <c r="AN765" s="4">
        <f t="shared" si="95"/>
        <v>0</v>
      </c>
      <c r="AO765" s="3"/>
      <c r="AP765">
        <v>0</v>
      </c>
      <c r="AR765" t="s">
        <v>0</v>
      </c>
      <c r="AT765" s="2" t="s">
        <v>33</v>
      </c>
      <c r="AU765" s="1">
        <f t="shared" si="99"/>
        <v>0.20741571234083445</v>
      </c>
      <c r="AV765" s="1">
        <f t="shared" si="100"/>
        <v>0.1481540802434532</v>
      </c>
      <c r="AW765" s="1">
        <f t="shared" si="101"/>
        <v>8.8892448146071903E-2</v>
      </c>
    </row>
    <row r="766" spans="1:49" x14ac:dyDescent="0.2">
      <c r="A766">
        <v>764</v>
      </c>
      <c r="B766" t="s">
        <v>2809</v>
      </c>
      <c r="C766" t="s">
        <v>2808</v>
      </c>
      <c r="F766" t="s">
        <v>2807</v>
      </c>
      <c r="G766" t="s">
        <v>16</v>
      </c>
      <c r="H766" t="s">
        <v>15</v>
      </c>
      <c r="I766" t="s">
        <v>2806</v>
      </c>
      <c r="J766">
        <v>60008435</v>
      </c>
      <c r="K766" t="s">
        <v>2805</v>
      </c>
      <c r="L766" t="s">
        <v>2804</v>
      </c>
      <c r="M766" t="s">
        <v>326</v>
      </c>
      <c r="N766">
        <v>1</v>
      </c>
      <c r="O766" t="s">
        <v>2803</v>
      </c>
      <c r="P766">
        <v>7202091831</v>
      </c>
      <c r="Q766">
        <v>60008435</v>
      </c>
      <c r="R766" s="7">
        <v>33239</v>
      </c>
      <c r="S766" s="8">
        <f t="shared" si="96"/>
        <v>1991</v>
      </c>
      <c r="T766" s="8">
        <v>1991</v>
      </c>
      <c r="U766" s="8">
        <f t="shared" si="97"/>
        <v>31</v>
      </c>
      <c r="V766" s="7">
        <v>1991</v>
      </c>
      <c r="W766" t="s">
        <v>2802</v>
      </c>
      <c r="X766" s="2">
        <v>0.13900000000000001</v>
      </c>
      <c r="Y766" s="6">
        <f t="shared" si="94"/>
        <v>3.7105256133045036E-3</v>
      </c>
      <c r="AA766" t="s">
        <v>2801</v>
      </c>
      <c r="AB766">
        <v>24891</v>
      </c>
      <c r="AC766">
        <v>15206432</v>
      </c>
      <c r="AD766" t="s">
        <v>5</v>
      </c>
      <c r="AE766">
        <v>74</v>
      </c>
      <c r="AF766">
        <v>2</v>
      </c>
      <c r="AH766" t="s">
        <v>2800</v>
      </c>
      <c r="AI766" t="s">
        <v>2799</v>
      </c>
      <c r="AK766" t="s">
        <v>2798</v>
      </c>
      <c r="AL766">
        <v>18</v>
      </c>
      <c r="AM766" s="5">
        <f t="shared" si="98"/>
        <v>0.58064516129032262</v>
      </c>
      <c r="AN766" s="4">
        <f t="shared" si="95"/>
        <v>8.7943227760745566E-4</v>
      </c>
      <c r="AO766" s="3"/>
      <c r="AP766">
        <v>0</v>
      </c>
      <c r="AR766" t="s">
        <v>0</v>
      </c>
      <c r="AT766" s="2" t="s">
        <v>33</v>
      </c>
      <c r="AU766" s="1">
        <f t="shared" si="99"/>
        <v>0.28611976125953886</v>
      </c>
      <c r="AV766" s="1">
        <f t="shared" si="100"/>
        <v>0.22949789454559796</v>
      </c>
      <c r="AW766" s="1">
        <f t="shared" si="101"/>
        <v>0.17287602783165701</v>
      </c>
    </row>
    <row r="767" spans="1:49" x14ac:dyDescent="0.2">
      <c r="A767">
        <v>765</v>
      </c>
      <c r="B767" t="s">
        <v>2797</v>
      </c>
      <c r="C767" t="s">
        <v>2796</v>
      </c>
      <c r="F767" t="s">
        <v>2795</v>
      </c>
      <c r="G767" t="s">
        <v>16</v>
      </c>
      <c r="H767" t="s">
        <v>15</v>
      </c>
      <c r="I767" t="s">
        <v>2794</v>
      </c>
      <c r="N767">
        <v>2</v>
      </c>
      <c r="O767" t="s">
        <v>2793</v>
      </c>
      <c r="P767" t="s">
        <v>2792</v>
      </c>
      <c r="Q767" t="s">
        <v>592</v>
      </c>
      <c r="R767" s="7">
        <v>33239</v>
      </c>
      <c r="S767" s="8">
        <f t="shared" si="96"/>
        <v>1991</v>
      </c>
      <c r="T767" s="8">
        <v>1991</v>
      </c>
      <c r="U767" s="8">
        <f t="shared" si="97"/>
        <v>31</v>
      </c>
      <c r="V767" s="7">
        <v>33270</v>
      </c>
      <c r="W767" t="s">
        <v>324</v>
      </c>
      <c r="X767" s="2">
        <v>0.88100000000000001</v>
      </c>
      <c r="Y767" s="6">
        <f t="shared" si="94"/>
        <v>2.3517791836843653E-2</v>
      </c>
      <c r="AA767">
        <v>10459243</v>
      </c>
      <c r="AB767">
        <v>17248</v>
      </c>
      <c r="AD767" t="s">
        <v>5</v>
      </c>
      <c r="AE767">
        <v>33</v>
      </c>
      <c r="AF767">
        <v>1</v>
      </c>
      <c r="AH767" t="s">
        <v>2791</v>
      </c>
      <c r="AL767">
        <v>19</v>
      </c>
      <c r="AM767" s="5">
        <f t="shared" si="98"/>
        <v>0.61290322580645162</v>
      </c>
      <c r="AN767" s="4">
        <f t="shared" si="95"/>
        <v>9.2828962636342543E-4</v>
      </c>
      <c r="AO767" s="3"/>
      <c r="AP767">
        <v>0</v>
      </c>
      <c r="AR767" t="s">
        <v>0</v>
      </c>
      <c r="AT767" s="2" t="s">
        <v>33</v>
      </c>
      <c r="AU767" s="1">
        <f t="shared" si="99"/>
        <v>1.6740941173699584</v>
      </c>
      <c r="AV767" s="1">
        <f t="shared" si="100"/>
        <v>1.2223040731603538</v>
      </c>
      <c r="AW767" s="1">
        <f t="shared" si="101"/>
        <v>0.77051402895074939</v>
      </c>
    </row>
    <row r="768" spans="1:49" x14ac:dyDescent="0.2">
      <c r="A768">
        <v>766</v>
      </c>
      <c r="B768" t="s">
        <v>2790</v>
      </c>
      <c r="C768" t="s">
        <v>2789</v>
      </c>
      <c r="F768" t="s">
        <v>2788</v>
      </c>
      <c r="G768" t="s">
        <v>16</v>
      </c>
      <c r="H768" t="s">
        <v>15</v>
      </c>
      <c r="I768" t="s">
        <v>2787</v>
      </c>
      <c r="J768">
        <v>60025555</v>
      </c>
      <c r="K768" t="s">
        <v>2786</v>
      </c>
      <c r="L768" t="s">
        <v>327</v>
      </c>
      <c r="M768" t="s">
        <v>326</v>
      </c>
      <c r="N768">
        <v>2</v>
      </c>
      <c r="O768" t="s">
        <v>2785</v>
      </c>
      <c r="P768" t="s">
        <v>2784</v>
      </c>
      <c r="Q768" t="s">
        <v>2783</v>
      </c>
      <c r="R768" s="7">
        <v>33239</v>
      </c>
      <c r="S768" s="8">
        <f t="shared" si="96"/>
        <v>1991</v>
      </c>
      <c r="T768" s="8">
        <v>1991</v>
      </c>
      <c r="U768" s="8">
        <f t="shared" si="97"/>
        <v>31</v>
      </c>
      <c r="V768" s="7">
        <v>33270</v>
      </c>
      <c r="W768" t="s">
        <v>2569</v>
      </c>
      <c r="X768" s="2">
        <v>0.111</v>
      </c>
      <c r="Y768" s="6">
        <f t="shared" si="94"/>
        <v>2.9630816048690639E-3</v>
      </c>
      <c r="AA768">
        <v>87566621</v>
      </c>
      <c r="AB768">
        <v>24890</v>
      </c>
      <c r="AC768">
        <v>15206424</v>
      </c>
      <c r="AD768" t="s">
        <v>5</v>
      </c>
      <c r="AE768">
        <v>74</v>
      </c>
      <c r="AF768">
        <v>2</v>
      </c>
      <c r="AH768" t="s">
        <v>2782</v>
      </c>
      <c r="AI768" t="s">
        <v>2781</v>
      </c>
      <c r="AK768" t="s">
        <v>2780</v>
      </c>
      <c r="AL768">
        <v>0</v>
      </c>
      <c r="AM768" s="5">
        <f t="shared" si="98"/>
        <v>0</v>
      </c>
      <c r="AN768" s="4">
        <f t="shared" si="95"/>
        <v>0</v>
      </c>
      <c r="AO768" s="3"/>
      <c r="AP768">
        <v>0</v>
      </c>
      <c r="AR768" t="s">
        <v>0</v>
      </c>
      <c r="AT768" s="2" t="s">
        <v>33</v>
      </c>
      <c r="AU768" s="1">
        <f t="shared" si="99"/>
        <v>0.20741571234083445</v>
      </c>
      <c r="AV768" s="1">
        <f t="shared" si="100"/>
        <v>0.1481540802434532</v>
      </c>
      <c r="AW768" s="1">
        <f t="shared" si="101"/>
        <v>8.8892448146071903E-2</v>
      </c>
    </row>
    <row r="769" spans="1:49" x14ac:dyDescent="0.2">
      <c r="A769">
        <v>767</v>
      </c>
      <c r="B769" t="s">
        <v>2779</v>
      </c>
      <c r="C769" t="s">
        <v>2778</v>
      </c>
      <c r="F769" t="s">
        <v>2777</v>
      </c>
      <c r="G769" t="s">
        <v>16</v>
      </c>
      <c r="H769" t="s">
        <v>15</v>
      </c>
      <c r="I769" t="s">
        <v>2776</v>
      </c>
      <c r="J769">
        <v>60102558</v>
      </c>
      <c r="K769" t="s">
        <v>2775</v>
      </c>
      <c r="L769" t="s">
        <v>2774</v>
      </c>
      <c r="M769" t="s">
        <v>57</v>
      </c>
      <c r="N769">
        <v>1</v>
      </c>
      <c r="O769" t="s">
        <v>2773</v>
      </c>
      <c r="P769">
        <v>7006637880</v>
      </c>
      <c r="Q769">
        <v>60102558</v>
      </c>
      <c r="R769" s="7">
        <v>33239</v>
      </c>
      <c r="S769" s="8">
        <f t="shared" si="96"/>
        <v>1991</v>
      </c>
      <c r="T769" s="8">
        <v>1991</v>
      </c>
      <c r="U769" s="8">
        <f t="shared" si="97"/>
        <v>31</v>
      </c>
      <c r="V769" s="7" t="s">
        <v>2636</v>
      </c>
      <c r="W769" s="11" t="s">
        <v>2635</v>
      </c>
      <c r="X769" s="2">
        <v>2.383</v>
      </c>
      <c r="Y769" s="6">
        <f t="shared" si="94"/>
        <v>6.3612824003630442E-2</v>
      </c>
      <c r="AA769" t="s">
        <v>2634</v>
      </c>
      <c r="AB769">
        <v>101151</v>
      </c>
      <c r="AD769" t="s">
        <v>5</v>
      </c>
      <c r="AE769">
        <v>138</v>
      </c>
      <c r="AF769">
        <v>1</v>
      </c>
      <c r="AH769" t="s">
        <v>2772</v>
      </c>
      <c r="AI769" t="s">
        <v>2771</v>
      </c>
      <c r="AK769" t="s">
        <v>2770</v>
      </c>
      <c r="AL769">
        <v>1</v>
      </c>
      <c r="AM769" s="5">
        <f t="shared" si="98"/>
        <v>3.2258064516129031E-2</v>
      </c>
      <c r="AN769" s="4">
        <f t="shared" si="95"/>
        <v>4.8857348755969758E-5</v>
      </c>
      <c r="AO769" s="3"/>
      <c r="AP769">
        <v>0</v>
      </c>
      <c r="AR769" t="s">
        <v>0</v>
      </c>
      <c r="AT769" s="2" t="s">
        <v>33</v>
      </c>
      <c r="AU769" s="1">
        <f t="shared" si="99"/>
        <v>4.4543634007168098</v>
      </c>
      <c r="AV769" s="1">
        <f t="shared" si="100"/>
        <v>3.1830840676193204</v>
      </c>
      <c r="AW769" s="1">
        <f t="shared" si="101"/>
        <v>1.9118047345218312</v>
      </c>
    </row>
    <row r="770" spans="1:49" x14ac:dyDescent="0.2">
      <c r="A770">
        <v>768</v>
      </c>
      <c r="B770" t="s">
        <v>2769</v>
      </c>
      <c r="C770" t="s">
        <v>2768</v>
      </c>
      <c r="F770" t="s">
        <v>2767</v>
      </c>
      <c r="G770" t="s">
        <v>16</v>
      </c>
      <c r="H770" t="s">
        <v>15</v>
      </c>
      <c r="I770" t="s">
        <v>2766</v>
      </c>
      <c r="J770" t="s">
        <v>2765</v>
      </c>
      <c r="K770" t="s">
        <v>2764</v>
      </c>
      <c r="L770" t="s">
        <v>2763</v>
      </c>
      <c r="M770" t="s">
        <v>133</v>
      </c>
      <c r="N770">
        <v>6</v>
      </c>
      <c r="O770" t="s">
        <v>2762</v>
      </c>
      <c r="P770" t="s">
        <v>2761</v>
      </c>
      <c r="Q770" t="s">
        <v>2760</v>
      </c>
      <c r="R770" s="7">
        <v>33239</v>
      </c>
      <c r="S770" s="8">
        <f t="shared" si="96"/>
        <v>1991</v>
      </c>
      <c r="T770" s="8">
        <v>1991</v>
      </c>
      <c r="U770" s="8">
        <f t="shared" si="97"/>
        <v>31</v>
      </c>
      <c r="V770" s="7">
        <v>33270</v>
      </c>
      <c r="W770" t="s">
        <v>2759</v>
      </c>
      <c r="X770" s="2">
        <v>0.81</v>
      </c>
      <c r="Y770" s="6">
        <f t="shared" ref="Y770:Y833" si="102">(X770-$Z$4)/($Z$3-$Z$4)</f>
        <v>2.1622487386882359E-2</v>
      </c>
      <c r="AA770">
        <v>10411135</v>
      </c>
      <c r="AB770">
        <v>12116</v>
      </c>
      <c r="AC770">
        <v>19410174</v>
      </c>
      <c r="AD770" t="s">
        <v>5</v>
      </c>
      <c r="AE770">
        <v>3</v>
      </c>
      <c r="AF770">
        <v>2</v>
      </c>
      <c r="AH770" t="s">
        <v>2758</v>
      </c>
      <c r="AI770" t="s">
        <v>2757</v>
      </c>
      <c r="AK770" t="s">
        <v>2756</v>
      </c>
      <c r="AL770">
        <v>11</v>
      </c>
      <c r="AM770" s="5">
        <f t="shared" si="98"/>
        <v>0.35483870967741937</v>
      </c>
      <c r="AN770" s="4">
        <f t="shared" ref="AN770:AN833" si="103">(AM770-$AO$4)/($AO$3-$AO$4)</f>
        <v>5.3743083631566731E-4</v>
      </c>
      <c r="AO770" s="3"/>
      <c r="AP770">
        <v>0</v>
      </c>
      <c r="AR770" t="s">
        <v>0</v>
      </c>
      <c r="AT770" s="2">
        <v>2.468</v>
      </c>
      <c r="AU770" s="1">
        <f t="shared" si="99"/>
        <v>1.5296970421712348</v>
      </c>
      <c r="AV770" s="1">
        <f t="shared" si="100"/>
        <v>1.1079959111599014</v>
      </c>
      <c r="AW770" s="1">
        <f t="shared" si="101"/>
        <v>0.68629478014856748</v>
      </c>
    </row>
    <row r="771" spans="1:49" x14ac:dyDescent="0.2">
      <c r="A771">
        <v>769</v>
      </c>
      <c r="B771" t="s">
        <v>2755</v>
      </c>
      <c r="C771" t="s">
        <v>2754</v>
      </c>
      <c r="F771" t="s">
        <v>2753</v>
      </c>
      <c r="G771" t="s">
        <v>16</v>
      </c>
      <c r="H771" t="s">
        <v>15</v>
      </c>
      <c r="I771" t="s">
        <v>2752</v>
      </c>
      <c r="J771">
        <v>60006288</v>
      </c>
      <c r="K771" t="s">
        <v>2751</v>
      </c>
      <c r="L771" t="s">
        <v>1654</v>
      </c>
      <c r="M771" t="s">
        <v>272</v>
      </c>
      <c r="N771">
        <v>2</v>
      </c>
      <c r="O771" t="s">
        <v>2750</v>
      </c>
      <c r="P771" t="s">
        <v>2749</v>
      </c>
      <c r="Q771" t="s">
        <v>2748</v>
      </c>
      <c r="R771" s="7">
        <v>33239</v>
      </c>
      <c r="S771" s="8">
        <f t="shared" si="96"/>
        <v>1991</v>
      </c>
      <c r="T771" s="8">
        <v>1991</v>
      </c>
      <c r="U771" s="8">
        <f t="shared" si="97"/>
        <v>31</v>
      </c>
      <c r="V771" s="7">
        <v>33270</v>
      </c>
      <c r="W771" t="s">
        <v>2747</v>
      </c>
      <c r="X771" s="2">
        <v>1.6379999999999999</v>
      </c>
      <c r="Y771" s="6">
        <f t="shared" si="102"/>
        <v>4.3725474493473214E-2</v>
      </c>
      <c r="AA771" t="s">
        <v>2746</v>
      </c>
      <c r="AB771">
        <v>17391</v>
      </c>
      <c r="AC771">
        <v>19410476</v>
      </c>
      <c r="AD771" t="s">
        <v>5</v>
      </c>
      <c r="AE771">
        <v>39</v>
      </c>
      <c r="AF771">
        <v>2</v>
      </c>
      <c r="AH771" t="s">
        <v>2745</v>
      </c>
      <c r="AI771" t="s">
        <v>2744</v>
      </c>
      <c r="AK771" t="s">
        <v>2743</v>
      </c>
      <c r="AL771">
        <v>16</v>
      </c>
      <c r="AM771" s="5">
        <f t="shared" si="98"/>
        <v>0.5161290322580645</v>
      </c>
      <c r="AN771" s="4">
        <f t="shared" si="103"/>
        <v>7.8171758009551613E-4</v>
      </c>
      <c r="AO771" s="3"/>
      <c r="AP771">
        <v>0</v>
      </c>
      <c r="AR771" t="s">
        <v>0</v>
      </c>
      <c r="AT771" s="2">
        <v>4.931</v>
      </c>
      <c r="AU771" s="1">
        <f t="shared" si="99"/>
        <v>3.0842347419459903</v>
      </c>
      <c r="AV771" s="1">
        <f t="shared" si="100"/>
        <v>2.2253596036784362</v>
      </c>
      <c r="AW771" s="1">
        <f t="shared" si="101"/>
        <v>1.3664844654108825</v>
      </c>
    </row>
    <row r="772" spans="1:49" x14ac:dyDescent="0.2">
      <c r="A772">
        <v>770</v>
      </c>
      <c r="B772" t="s">
        <v>2742</v>
      </c>
      <c r="C772" t="s">
        <v>2741</v>
      </c>
      <c r="F772" t="s">
        <v>2740</v>
      </c>
      <c r="G772" t="s">
        <v>16</v>
      </c>
      <c r="H772" t="s">
        <v>15</v>
      </c>
      <c r="I772" t="s">
        <v>2739</v>
      </c>
      <c r="J772" t="s">
        <v>2734</v>
      </c>
      <c r="K772" t="s">
        <v>2738</v>
      </c>
      <c r="L772" t="s">
        <v>2737</v>
      </c>
      <c r="M772" t="s">
        <v>133</v>
      </c>
      <c r="N772">
        <v>2</v>
      </c>
      <c r="O772" t="s">
        <v>2736</v>
      </c>
      <c r="P772" t="s">
        <v>2735</v>
      </c>
      <c r="Q772" t="s">
        <v>2734</v>
      </c>
      <c r="R772" s="7">
        <v>33239</v>
      </c>
      <c r="S772" s="8">
        <f t="shared" si="96"/>
        <v>1991</v>
      </c>
      <c r="T772" s="8">
        <v>1991</v>
      </c>
      <c r="U772" s="8">
        <f t="shared" si="97"/>
        <v>31</v>
      </c>
      <c r="V772" s="7">
        <v>33270</v>
      </c>
      <c r="W772" t="s">
        <v>1807</v>
      </c>
      <c r="X772" s="2">
        <v>1.6519999999999999</v>
      </c>
      <c r="Y772" s="6">
        <f t="shared" si="102"/>
        <v>4.409919649769093E-2</v>
      </c>
      <c r="AA772" t="s">
        <v>1806</v>
      </c>
      <c r="AB772">
        <v>17337</v>
      </c>
      <c r="AC772">
        <v>15582221</v>
      </c>
      <c r="AD772" t="s">
        <v>5</v>
      </c>
      <c r="AE772">
        <v>39</v>
      </c>
      <c r="AF772">
        <v>2</v>
      </c>
      <c r="AH772" t="s">
        <v>2733</v>
      </c>
      <c r="AI772" t="s">
        <v>2732</v>
      </c>
      <c r="AK772" t="s">
        <v>2731</v>
      </c>
      <c r="AL772">
        <v>5</v>
      </c>
      <c r="AM772" s="5">
        <f t="shared" si="98"/>
        <v>0.16129032258064516</v>
      </c>
      <c r="AN772" s="4">
        <f t="shared" si="103"/>
        <v>2.4428674377984877E-4</v>
      </c>
      <c r="AO772" s="3"/>
      <c r="AP772">
        <v>0</v>
      </c>
      <c r="AR772" t="s">
        <v>0</v>
      </c>
      <c r="AT772" s="2" t="s">
        <v>33</v>
      </c>
      <c r="AU772" s="1">
        <f t="shared" si="99"/>
        <v>3.0942723571517607</v>
      </c>
      <c r="AV772" s="1">
        <f t="shared" si="100"/>
        <v>2.217174162073539</v>
      </c>
      <c r="AW772" s="1">
        <f t="shared" si="101"/>
        <v>1.3400759669953173</v>
      </c>
    </row>
    <row r="773" spans="1:49" x14ac:dyDescent="0.2">
      <c r="A773">
        <v>771</v>
      </c>
      <c r="B773" t="s">
        <v>2730</v>
      </c>
      <c r="C773" t="s">
        <v>2729</v>
      </c>
      <c r="F773" t="s">
        <v>2728</v>
      </c>
      <c r="G773" t="s">
        <v>16</v>
      </c>
      <c r="H773" t="s">
        <v>15</v>
      </c>
      <c r="I773" t="s">
        <v>2727</v>
      </c>
      <c r="J773">
        <v>60001439</v>
      </c>
      <c r="K773" t="s">
        <v>2726</v>
      </c>
      <c r="L773" t="s">
        <v>2725</v>
      </c>
      <c r="M773" t="s">
        <v>57</v>
      </c>
      <c r="N773">
        <v>4</v>
      </c>
      <c r="O773" t="s">
        <v>2724</v>
      </c>
      <c r="P773" t="s">
        <v>2723</v>
      </c>
      <c r="Q773" t="s">
        <v>2722</v>
      </c>
      <c r="R773" s="7">
        <v>33239</v>
      </c>
      <c r="S773" s="8">
        <f t="shared" si="96"/>
        <v>1991</v>
      </c>
      <c r="T773" s="8">
        <v>1991</v>
      </c>
      <c r="U773" s="8">
        <f t="shared" si="97"/>
        <v>31</v>
      </c>
      <c r="V773" s="7">
        <v>33270</v>
      </c>
      <c r="W773" t="s">
        <v>2721</v>
      </c>
      <c r="X773" s="2">
        <v>0.82</v>
      </c>
      <c r="Y773" s="6">
        <f t="shared" si="102"/>
        <v>2.1889431675609299E-2</v>
      </c>
      <c r="AA773">
        <v>189456</v>
      </c>
      <c r="AB773">
        <v>15361</v>
      </c>
      <c r="AC773">
        <v>15579662</v>
      </c>
      <c r="AD773" t="s">
        <v>5</v>
      </c>
      <c r="AE773">
        <v>40</v>
      </c>
      <c r="AF773">
        <v>1</v>
      </c>
      <c r="AH773" t="s">
        <v>2720</v>
      </c>
      <c r="AI773" t="s">
        <v>2719</v>
      </c>
      <c r="AK773" t="s">
        <v>2718</v>
      </c>
      <c r="AL773">
        <v>48</v>
      </c>
      <c r="AM773" s="5">
        <f t="shared" si="98"/>
        <v>1.5483870967741935</v>
      </c>
      <c r="AN773" s="4">
        <f t="shared" si="103"/>
        <v>2.3451527402865483E-3</v>
      </c>
      <c r="AO773" s="3"/>
      <c r="AP773">
        <v>0</v>
      </c>
      <c r="AR773" t="s">
        <v>0</v>
      </c>
      <c r="AT773" s="2" t="s">
        <v>33</v>
      </c>
      <c r="AU773" s="1">
        <f t="shared" si="99"/>
        <v>1.6026147995012472</v>
      </c>
      <c r="AV773" s="1">
        <f t="shared" si="100"/>
        <v>1.2117292207947923</v>
      </c>
      <c r="AW773" s="1">
        <f t="shared" si="101"/>
        <v>0.82084364208833727</v>
      </c>
    </row>
    <row r="774" spans="1:49" x14ac:dyDescent="0.2">
      <c r="A774">
        <v>772</v>
      </c>
      <c r="B774" t="s">
        <v>2717</v>
      </c>
      <c r="C774" t="s">
        <v>2716</v>
      </c>
      <c r="F774" t="s">
        <v>2715</v>
      </c>
      <c r="G774" t="s">
        <v>16</v>
      </c>
      <c r="H774" t="s">
        <v>15</v>
      </c>
      <c r="I774" t="s">
        <v>2714</v>
      </c>
      <c r="J774" t="s">
        <v>2713</v>
      </c>
      <c r="K774" t="s">
        <v>2712</v>
      </c>
      <c r="L774" t="s">
        <v>2711</v>
      </c>
      <c r="M774" t="s">
        <v>1678</v>
      </c>
      <c r="N774">
        <v>3</v>
      </c>
      <c r="O774" t="s">
        <v>2710</v>
      </c>
      <c r="P774" t="s">
        <v>2709</v>
      </c>
      <c r="Q774" t="s">
        <v>2708</v>
      </c>
      <c r="R774" s="7">
        <v>33239</v>
      </c>
      <c r="S774" s="8">
        <f t="shared" si="96"/>
        <v>1991</v>
      </c>
      <c r="T774" s="8">
        <v>1991</v>
      </c>
      <c r="U774" s="8">
        <f t="shared" si="97"/>
        <v>31</v>
      </c>
      <c r="V774" s="7">
        <v>33298</v>
      </c>
      <c r="W774" t="s">
        <v>674</v>
      </c>
      <c r="X774" s="2">
        <v>1.137</v>
      </c>
      <c r="Y774" s="6">
        <f t="shared" si="102"/>
        <v>3.0351565628253384E-2</v>
      </c>
      <c r="AA774">
        <v>189251</v>
      </c>
      <c r="AB774">
        <v>17336</v>
      </c>
      <c r="AD774" t="s">
        <v>5</v>
      </c>
      <c r="AE774">
        <v>27</v>
      </c>
      <c r="AF774">
        <v>2</v>
      </c>
      <c r="AH774" t="s">
        <v>2707</v>
      </c>
      <c r="AI774" t="s">
        <v>2706</v>
      </c>
      <c r="AK774" t="s">
        <v>2705</v>
      </c>
      <c r="AL774">
        <v>552</v>
      </c>
      <c r="AM774" s="5">
        <f t="shared" si="98"/>
        <v>17.806451612903224</v>
      </c>
      <c r="AN774" s="4">
        <f t="shared" si="103"/>
        <v>2.6969256513295303E-2</v>
      </c>
      <c r="AO774" s="3"/>
      <c r="AP774">
        <v>0</v>
      </c>
      <c r="AR774" t="s">
        <v>0</v>
      </c>
      <c r="AT774" s="2" t="s">
        <v>33</v>
      </c>
      <c r="AU774" s="1">
        <f t="shared" si="99"/>
        <v>2.9336872893765955</v>
      </c>
      <c r="AV774" s="1">
        <f t="shared" si="100"/>
        <v>2.8660411070774341</v>
      </c>
      <c r="AW774" s="1">
        <f t="shared" si="101"/>
        <v>2.7983949247782727</v>
      </c>
    </row>
    <row r="775" spans="1:49" x14ac:dyDescent="0.2">
      <c r="A775">
        <v>773</v>
      </c>
      <c r="B775" t="s">
        <v>2704</v>
      </c>
      <c r="C775" t="s">
        <v>2703</v>
      </c>
      <c r="F775" t="s">
        <v>2702</v>
      </c>
      <c r="G775" t="s">
        <v>16</v>
      </c>
      <c r="H775" t="s">
        <v>15</v>
      </c>
      <c r="I775" t="s">
        <v>2701</v>
      </c>
      <c r="J775">
        <v>60103653</v>
      </c>
      <c r="K775" t="s">
        <v>2700</v>
      </c>
      <c r="L775" t="s">
        <v>2699</v>
      </c>
      <c r="M775" t="s">
        <v>173</v>
      </c>
      <c r="N775">
        <v>3</v>
      </c>
      <c r="O775" t="s">
        <v>2698</v>
      </c>
      <c r="P775" t="s">
        <v>2697</v>
      </c>
      <c r="Q775" t="s">
        <v>2696</v>
      </c>
      <c r="R775" s="7">
        <v>33239</v>
      </c>
      <c r="S775" s="8">
        <f t="shared" si="96"/>
        <v>1991</v>
      </c>
      <c r="T775" s="8">
        <v>1991</v>
      </c>
      <c r="U775" s="8">
        <f t="shared" si="97"/>
        <v>31</v>
      </c>
      <c r="V775" s="7" t="s">
        <v>2636</v>
      </c>
      <c r="W775" s="11" t="s">
        <v>2635</v>
      </c>
      <c r="X775" s="2">
        <v>2.383</v>
      </c>
      <c r="Y775" s="6">
        <f t="shared" si="102"/>
        <v>6.3612824003630442E-2</v>
      </c>
      <c r="AA775" t="s">
        <v>2634</v>
      </c>
      <c r="AB775">
        <v>101151</v>
      </c>
      <c r="AD775" t="s">
        <v>5</v>
      </c>
      <c r="AE775">
        <v>138</v>
      </c>
      <c r="AF775">
        <v>1</v>
      </c>
      <c r="AH775" t="s">
        <v>2695</v>
      </c>
      <c r="AI775" t="s">
        <v>2694</v>
      </c>
      <c r="AK775" t="s">
        <v>2693</v>
      </c>
      <c r="AL775">
        <v>1</v>
      </c>
      <c r="AM775" s="5">
        <f t="shared" si="98"/>
        <v>3.2258064516129031E-2</v>
      </c>
      <c r="AN775" s="4">
        <f t="shared" si="103"/>
        <v>4.8857348755969758E-5</v>
      </c>
      <c r="AO775" s="3"/>
      <c r="AP775">
        <v>0</v>
      </c>
      <c r="AR775" t="s">
        <v>0</v>
      </c>
      <c r="AT775" s="2" t="s">
        <v>33</v>
      </c>
      <c r="AU775" s="1">
        <f t="shared" si="99"/>
        <v>4.4543634007168098</v>
      </c>
      <c r="AV775" s="1">
        <f t="shared" si="100"/>
        <v>3.1830840676193204</v>
      </c>
      <c r="AW775" s="1">
        <f t="shared" si="101"/>
        <v>1.9118047345218312</v>
      </c>
    </row>
    <row r="776" spans="1:49" x14ac:dyDescent="0.2">
      <c r="A776">
        <v>774</v>
      </c>
      <c r="B776" t="s">
        <v>2692</v>
      </c>
      <c r="C776" t="s">
        <v>2691</v>
      </c>
      <c r="F776" t="s">
        <v>2690</v>
      </c>
      <c r="G776" t="s">
        <v>16</v>
      </c>
      <c r="H776" t="s">
        <v>15</v>
      </c>
      <c r="I776" t="s">
        <v>2689</v>
      </c>
      <c r="J776">
        <v>60025371</v>
      </c>
      <c r="K776" t="s">
        <v>2688</v>
      </c>
      <c r="L776" t="s">
        <v>2687</v>
      </c>
      <c r="M776" t="s">
        <v>57</v>
      </c>
      <c r="N776">
        <v>1</v>
      </c>
      <c r="O776" t="s">
        <v>2686</v>
      </c>
      <c r="P776">
        <v>6603766888</v>
      </c>
      <c r="Q776">
        <v>60025371</v>
      </c>
      <c r="R776" s="7">
        <v>33239</v>
      </c>
      <c r="S776" s="8">
        <f t="shared" si="96"/>
        <v>1991</v>
      </c>
      <c r="T776" s="8">
        <v>1991</v>
      </c>
      <c r="U776" s="8">
        <f t="shared" si="97"/>
        <v>31</v>
      </c>
      <c r="V776" s="7">
        <v>33270</v>
      </c>
      <c r="W776" t="s">
        <v>2685</v>
      </c>
      <c r="X776" s="2">
        <v>0.65500000000000003</v>
      </c>
      <c r="Y776" s="6">
        <f t="shared" si="102"/>
        <v>1.7484850911614749E-2</v>
      </c>
      <c r="AA776">
        <v>189375</v>
      </c>
      <c r="AB776">
        <v>26051</v>
      </c>
      <c r="AC776" t="s">
        <v>2684</v>
      </c>
      <c r="AD776" t="s">
        <v>5</v>
      </c>
      <c r="AE776">
        <v>33</v>
      </c>
      <c r="AF776">
        <v>1</v>
      </c>
      <c r="AH776" t="s">
        <v>2683</v>
      </c>
      <c r="AI776" t="s">
        <v>2682</v>
      </c>
      <c r="AK776" t="s">
        <v>2681</v>
      </c>
      <c r="AL776">
        <v>1</v>
      </c>
      <c r="AM776" s="5">
        <f t="shared" si="98"/>
        <v>3.2258064516129031E-2</v>
      </c>
      <c r="AN776" s="4">
        <f t="shared" si="103"/>
        <v>4.8857348755969758E-5</v>
      </c>
      <c r="AO776" s="3"/>
      <c r="AP776">
        <v>0</v>
      </c>
      <c r="AR776" t="s">
        <v>0</v>
      </c>
      <c r="AT776" s="2" t="s">
        <v>33</v>
      </c>
      <c r="AU776" s="1">
        <f t="shared" si="99"/>
        <v>1.2254052842757113</v>
      </c>
      <c r="AV776" s="1">
        <f t="shared" si="100"/>
        <v>0.87668541301853598</v>
      </c>
      <c r="AW776" s="1">
        <f t="shared" si="101"/>
        <v>0.52796554176136035</v>
      </c>
    </row>
    <row r="777" spans="1:49" x14ac:dyDescent="0.2">
      <c r="A777">
        <v>775</v>
      </c>
      <c r="B777" t="s">
        <v>2680</v>
      </c>
      <c r="C777" t="s">
        <v>2679</v>
      </c>
      <c r="F777" t="s">
        <v>2678</v>
      </c>
      <c r="G777" t="s">
        <v>16</v>
      </c>
      <c r="H777" t="s">
        <v>15</v>
      </c>
      <c r="I777" t="s">
        <v>2677</v>
      </c>
      <c r="J777">
        <v>60030835</v>
      </c>
      <c r="K777" t="s">
        <v>2676</v>
      </c>
      <c r="L777" t="s">
        <v>2675</v>
      </c>
      <c r="M777" t="s">
        <v>1543</v>
      </c>
      <c r="N777">
        <v>3</v>
      </c>
      <c r="O777" t="s">
        <v>2674</v>
      </c>
      <c r="P777" t="s">
        <v>2673</v>
      </c>
      <c r="Q777" t="s">
        <v>2672</v>
      </c>
      <c r="R777" s="7">
        <v>33239</v>
      </c>
      <c r="S777" s="8">
        <f t="shared" si="96"/>
        <v>1991</v>
      </c>
      <c r="T777" s="8">
        <v>1991</v>
      </c>
      <c r="U777" s="8">
        <f t="shared" si="97"/>
        <v>31</v>
      </c>
      <c r="V777" s="7">
        <v>33270</v>
      </c>
      <c r="W777" t="s">
        <v>731</v>
      </c>
      <c r="X777" s="2">
        <v>1.3720000000000001</v>
      </c>
      <c r="Y777" s="6">
        <f t="shared" si="102"/>
        <v>3.662475641333654E-2</v>
      </c>
      <c r="AA777">
        <v>189480</v>
      </c>
      <c r="AB777">
        <v>17366</v>
      </c>
      <c r="AC777">
        <v>15579670</v>
      </c>
      <c r="AD777" t="s">
        <v>5</v>
      </c>
      <c r="AE777">
        <v>39</v>
      </c>
      <c r="AF777">
        <v>2</v>
      </c>
      <c r="AH777" t="s">
        <v>2671</v>
      </c>
      <c r="AI777" t="s">
        <v>2670</v>
      </c>
      <c r="AK777" t="s">
        <v>2669</v>
      </c>
      <c r="AL777">
        <v>10</v>
      </c>
      <c r="AM777" s="5">
        <f t="shared" si="98"/>
        <v>0.32258064516129031</v>
      </c>
      <c r="AN777" s="4">
        <f t="shared" si="103"/>
        <v>4.8857348755969754E-4</v>
      </c>
      <c r="AO777" s="3"/>
      <c r="AP777">
        <v>0</v>
      </c>
      <c r="AQ777" t="s">
        <v>2668</v>
      </c>
      <c r="AR777" t="s">
        <v>0</v>
      </c>
      <c r="AS777" t="s">
        <v>2667</v>
      </c>
      <c r="AT777" s="2" t="s">
        <v>33</v>
      </c>
      <c r="AU777" s="1">
        <f t="shared" si="99"/>
        <v>2.5783901535603486</v>
      </c>
      <c r="AV777" s="1">
        <f t="shared" si="100"/>
        <v>1.8556664950448121</v>
      </c>
      <c r="AW777" s="1">
        <f t="shared" si="101"/>
        <v>1.1329428365292751</v>
      </c>
    </row>
    <row r="778" spans="1:49" x14ac:dyDescent="0.2">
      <c r="A778">
        <v>776</v>
      </c>
      <c r="B778" t="s">
        <v>2666</v>
      </c>
      <c r="C778" t="s">
        <v>2665</v>
      </c>
      <c r="F778" t="s">
        <v>2664</v>
      </c>
      <c r="G778" t="s">
        <v>16</v>
      </c>
      <c r="H778" t="s">
        <v>15</v>
      </c>
      <c r="I778" t="s">
        <v>2663</v>
      </c>
      <c r="J778">
        <v>60002798</v>
      </c>
      <c r="K778" t="s">
        <v>2662</v>
      </c>
      <c r="L778" t="s">
        <v>2661</v>
      </c>
      <c r="M778" t="s">
        <v>2661</v>
      </c>
      <c r="N778">
        <v>2</v>
      </c>
      <c r="O778" t="s">
        <v>2660</v>
      </c>
      <c r="P778" t="s">
        <v>2659</v>
      </c>
      <c r="Q778" t="s">
        <v>2658</v>
      </c>
      <c r="R778" s="7">
        <v>33239</v>
      </c>
      <c r="S778" s="8">
        <f t="shared" si="96"/>
        <v>1991</v>
      </c>
      <c r="T778" s="8">
        <v>1991</v>
      </c>
      <c r="U778" s="8">
        <f t="shared" si="97"/>
        <v>31</v>
      </c>
      <c r="V778" s="7" t="s">
        <v>2636</v>
      </c>
      <c r="W778" s="11" t="s">
        <v>2635</v>
      </c>
      <c r="X778" s="2">
        <v>2.383</v>
      </c>
      <c r="Y778" s="6">
        <f t="shared" si="102"/>
        <v>6.3612824003630442E-2</v>
      </c>
      <c r="AA778" t="s">
        <v>2634</v>
      </c>
      <c r="AB778">
        <v>101151</v>
      </c>
      <c r="AD778" t="s">
        <v>5</v>
      </c>
      <c r="AE778">
        <v>138</v>
      </c>
      <c r="AF778">
        <v>1</v>
      </c>
      <c r="AH778" t="s">
        <v>2657</v>
      </c>
      <c r="AI778" t="s">
        <v>2656</v>
      </c>
      <c r="AK778" t="s">
        <v>2655</v>
      </c>
      <c r="AL778">
        <v>13</v>
      </c>
      <c r="AM778" s="5">
        <f t="shared" si="98"/>
        <v>0.41935483870967744</v>
      </c>
      <c r="AN778" s="4">
        <f t="shared" si="103"/>
        <v>6.3514553382760684E-4</v>
      </c>
      <c r="AO778" s="3"/>
      <c r="AP778">
        <v>0</v>
      </c>
      <c r="AR778" t="s">
        <v>0</v>
      </c>
      <c r="AT778" s="2" t="s">
        <v>33</v>
      </c>
      <c r="AU778" s="1">
        <f t="shared" si="99"/>
        <v>4.4719520462689593</v>
      </c>
      <c r="AV778" s="1">
        <f t="shared" si="100"/>
        <v>3.2123984768729028</v>
      </c>
      <c r="AW778" s="1">
        <f t="shared" si="101"/>
        <v>1.9528449074768459</v>
      </c>
    </row>
    <row r="779" spans="1:49" x14ac:dyDescent="0.2">
      <c r="A779">
        <v>777</v>
      </c>
      <c r="B779" t="s">
        <v>2654</v>
      </c>
      <c r="C779" t="s">
        <v>2653</v>
      </c>
      <c r="F779" t="s">
        <v>2652</v>
      </c>
      <c r="G779" t="s">
        <v>16</v>
      </c>
      <c r="H779" t="s">
        <v>15</v>
      </c>
      <c r="I779" t="s">
        <v>2651</v>
      </c>
      <c r="J779">
        <v>60005322</v>
      </c>
      <c r="K779" t="s">
        <v>2346</v>
      </c>
      <c r="L779" t="s">
        <v>2345</v>
      </c>
      <c r="M779" t="s">
        <v>25</v>
      </c>
      <c r="N779">
        <v>2</v>
      </c>
      <c r="O779" t="s">
        <v>2650</v>
      </c>
      <c r="P779" t="s">
        <v>2649</v>
      </c>
      <c r="Q779" t="s">
        <v>2342</v>
      </c>
      <c r="R779" s="7">
        <v>33239</v>
      </c>
      <c r="S779" s="8">
        <f t="shared" si="96"/>
        <v>1991</v>
      </c>
      <c r="T779" s="8">
        <v>1991</v>
      </c>
      <c r="U779" s="8">
        <f t="shared" si="97"/>
        <v>31</v>
      </c>
      <c r="V779" s="7" t="s">
        <v>2636</v>
      </c>
      <c r="W779" s="11" t="s">
        <v>2635</v>
      </c>
      <c r="X779" s="2">
        <v>2.383</v>
      </c>
      <c r="Y779" s="6">
        <f t="shared" si="102"/>
        <v>6.3612824003630442E-2</v>
      </c>
      <c r="AA779" t="s">
        <v>2634</v>
      </c>
      <c r="AB779">
        <v>101151</v>
      </c>
      <c r="AD779" t="s">
        <v>5</v>
      </c>
      <c r="AE779">
        <v>138</v>
      </c>
      <c r="AF779">
        <v>1</v>
      </c>
      <c r="AH779" s="9">
        <v>44409</v>
      </c>
      <c r="AI779" t="s">
        <v>2648</v>
      </c>
      <c r="AK779" t="s">
        <v>2647</v>
      </c>
      <c r="AL779">
        <v>5</v>
      </c>
      <c r="AM779" s="5">
        <f t="shared" si="98"/>
        <v>0.16129032258064516</v>
      </c>
      <c r="AN779" s="4">
        <f t="shared" si="103"/>
        <v>2.4428674377984877E-4</v>
      </c>
      <c r="AO779" s="3"/>
      <c r="AP779">
        <v>0</v>
      </c>
      <c r="AR779" t="s">
        <v>0</v>
      </c>
      <c r="AT779" s="2" t="s">
        <v>33</v>
      </c>
      <c r="AU779" s="1">
        <f t="shared" si="99"/>
        <v>4.4602262825675263</v>
      </c>
      <c r="AV779" s="1">
        <f t="shared" si="100"/>
        <v>3.192855537370515</v>
      </c>
      <c r="AW779" s="1">
        <f t="shared" si="101"/>
        <v>1.9254847921735028</v>
      </c>
    </row>
    <row r="780" spans="1:49" x14ac:dyDescent="0.2">
      <c r="A780">
        <v>778</v>
      </c>
      <c r="B780" t="s">
        <v>2646</v>
      </c>
      <c r="C780" t="s">
        <v>2645</v>
      </c>
      <c r="F780" t="s">
        <v>2644</v>
      </c>
      <c r="G780" t="s">
        <v>16</v>
      </c>
      <c r="H780" t="s">
        <v>15</v>
      </c>
      <c r="I780" t="s">
        <v>2643</v>
      </c>
      <c r="J780">
        <v>60020585</v>
      </c>
      <c r="K780" t="s">
        <v>2642</v>
      </c>
      <c r="L780" t="s">
        <v>2641</v>
      </c>
      <c r="M780" t="s">
        <v>2640</v>
      </c>
      <c r="N780">
        <v>2</v>
      </c>
      <c r="O780" t="s">
        <v>2639</v>
      </c>
      <c r="P780" t="s">
        <v>2638</v>
      </c>
      <c r="Q780" t="s">
        <v>2637</v>
      </c>
      <c r="R780" s="7">
        <v>33239</v>
      </c>
      <c r="S780" s="8">
        <f t="shared" si="96"/>
        <v>1991</v>
      </c>
      <c r="T780" s="8">
        <v>1991</v>
      </c>
      <c r="U780" s="8">
        <f t="shared" si="97"/>
        <v>31</v>
      </c>
      <c r="V780" s="7" t="s">
        <v>2636</v>
      </c>
      <c r="W780" s="11" t="s">
        <v>2635</v>
      </c>
      <c r="X780" s="2">
        <v>2.383</v>
      </c>
      <c r="Y780" s="6">
        <f t="shared" si="102"/>
        <v>6.3612824003630442E-2</v>
      </c>
      <c r="AA780" t="s">
        <v>2634</v>
      </c>
      <c r="AB780">
        <v>101151</v>
      </c>
      <c r="AD780" t="s">
        <v>5</v>
      </c>
      <c r="AE780">
        <v>138</v>
      </c>
      <c r="AF780">
        <v>1</v>
      </c>
      <c r="AH780" t="s">
        <v>2633</v>
      </c>
      <c r="AI780" t="s">
        <v>2632</v>
      </c>
      <c r="AK780" t="s">
        <v>2631</v>
      </c>
      <c r="AL780">
        <v>136</v>
      </c>
      <c r="AM780" s="5">
        <f t="shared" si="98"/>
        <v>4.387096774193548</v>
      </c>
      <c r="AN780" s="4">
        <f t="shared" si="103"/>
        <v>6.6445994308118863E-3</v>
      </c>
      <c r="AO780" s="3"/>
      <c r="AP780">
        <v>0</v>
      </c>
      <c r="AR780" t="s">
        <v>0</v>
      </c>
      <c r="AT780" s="2" t="s">
        <v>33</v>
      </c>
      <c r="AU780" s="1">
        <f t="shared" si="99"/>
        <v>4.6522356631784874</v>
      </c>
      <c r="AV780" s="1">
        <f t="shared" si="100"/>
        <v>3.5128711717221166</v>
      </c>
      <c r="AW780" s="1">
        <f t="shared" si="101"/>
        <v>2.3735066802657454</v>
      </c>
    </row>
    <row r="781" spans="1:49" x14ac:dyDescent="0.2">
      <c r="A781">
        <v>779</v>
      </c>
      <c r="B781" t="s">
        <v>2630</v>
      </c>
      <c r="C781" t="s">
        <v>2629</v>
      </c>
      <c r="F781" t="s">
        <v>2628</v>
      </c>
      <c r="G781" t="s">
        <v>16</v>
      </c>
      <c r="H781" t="s">
        <v>15</v>
      </c>
      <c r="I781" t="s">
        <v>2627</v>
      </c>
      <c r="N781">
        <v>1</v>
      </c>
      <c r="O781" t="s">
        <v>2626</v>
      </c>
      <c r="P781">
        <v>7202912672</v>
      </c>
      <c r="R781" s="7">
        <v>33239</v>
      </c>
      <c r="S781" s="8">
        <f t="shared" si="96"/>
        <v>1991</v>
      </c>
      <c r="T781" s="8">
        <v>1991</v>
      </c>
      <c r="U781" s="8">
        <f t="shared" si="97"/>
        <v>31</v>
      </c>
      <c r="V781" s="7">
        <v>33270</v>
      </c>
      <c r="W781" t="s">
        <v>2625</v>
      </c>
      <c r="X781" s="2">
        <v>0.76700000000000002</v>
      </c>
      <c r="Y781" s="6">
        <f t="shared" si="102"/>
        <v>2.0474626945356504E-2</v>
      </c>
      <c r="AA781">
        <v>983063</v>
      </c>
      <c r="AB781">
        <v>26048</v>
      </c>
      <c r="AD781" t="s">
        <v>5</v>
      </c>
      <c r="AE781">
        <v>37</v>
      </c>
      <c r="AF781">
        <v>1</v>
      </c>
      <c r="AH781" s="10">
        <v>41821</v>
      </c>
      <c r="AI781" t="s">
        <v>2624</v>
      </c>
      <c r="AK781" t="s">
        <v>2623</v>
      </c>
      <c r="AL781">
        <v>0</v>
      </c>
      <c r="AM781" s="5">
        <f t="shared" si="98"/>
        <v>0</v>
      </c>
      <c r="AN781" s="4">
        <f t="shared" si="103"/>
        <v>0</v>
      </c>
      <c r="AO781" s="3"/>
      <c r="AP781">
        <v>0</v>
      </c>
      <c r="AR781" t="s">
        <v>0</v>
      </c>
      <c r="AT781" s="2" t="s">
        <v>33</v>
      </c>
      <c r="AU781" s="1">
        <f t="shared" si="99"/>
        <v>1.4332238861749553</v>
      </c>
      <c r="AV781" s="1">
        <f t="shared" si="100"/>
        <v>1.0237313472678251</v>
      </c>
      <c r="AW781" s="1">
        <f t="shared" si="101"/>
        <v>0.61423880836069511</v>
      </c>
    </row>
    <row r="782" spans="1:49" x14ac:dyDescent="0.2">
      <c r="A782">
        <v>780</v>
      </c>
      <c r="B782" t="s">
        <v>2622</v>
      </c>
      <c r="C782" t="s">
        <v>2621</v>
      </c>
      <c r="F782" t="s">
        <v>2620</v>
      </c>
      <c r="G782" t="s">
        <v>16</v>
      </c>
      <c r="H782" t="s">
        <v>15</v>
      </c>
      <c r="I782" t="s">
        <v>2619</v>
      </c>
      <c r="J782">
        <v>60026242</v>
      </c>
      <c r="K782" t="s">
        <v>2618</v>
      </c>
      <c r="L782" t="s">
        <v>2617</v>
      </c>
      <c r="M782" t="s">
        <v>117</v>
      </c>
      <c r="N782">
        <v>2</v>
      </c>
      <c r="O782" t="s">
        <v>2616</v>
      </c>
      <c r="P782" t="s">
        <v>2615</v>
      </c>
      <c r="Q782" t="s">
        <v>2614</v>
      </c>
      <c r="R782" s="7">
        <v>33239</v>
      </c>
      <c r="S782" s="8">
        <f t="shared" si="96"/>
        <v>1991</v>
      </c>
      <c r="T782" s="8">
        <v>1991</v>
      </c>
      <c r="U782" s="8">
        <f t="shared" si="97"/>
        <v>31</v>
      </c>
      <c r="V782" s="7">
        <v>33270</v>
      </c>
      <c r="W782" t="s">
        <v>2613</v>
      </c>
      <c r="X782" s="2">
        <v>0.312</v>
      </c>
      <c r="Y782" s="6">
        <f t="shared" si="102"/>
        <v>8.3286618082806119E-3</v>
      </c>
      <c r="AA782">
        <v>9540695</v>
      </c>
      <c r="AB782">
        <v>61637</v>
      </c>
      <c r="AD782" t="s">
        <v>5</v>
      </c>
      <c r="AE782">
        <v>3</v>
      </c>
      <c r="AF782">
        <v>1</v>
      </c>
      <c r="AH782" t="s">
        <v>2612</v>
      </c>
      <c r="AI782" t="s">
        <v>2611</v>
      </c>
      <c r="AK782" t="s">
        <v>2610</v>
      </c>
      <c r="AL782">
        <v>23</v>
      </c>
      <c r="AM782" s="5">
        <f t="shared" si="98"/>
        <v>0.74193548387096775</v>
      </c>
      <c r="AN782" s="4">
        <f t="shared" si="103"/>
        <v>1.1237190213873045E-3</v>
      </c>
      <c r="AO782" s="3"/>
      <c r="AP782">
        <v>0</v>
      </c>
      <c r="AR782" t="s">
        <v>0</v>
      </c>
      <c r="AT782" s="2" t="s">
        <v>33</v>
      </c>
      <c r="AU782" s="1">
        <f t="shared" si="99"/>
        <v>0.61671789722126191</v>
      </c>
      <c r="AV782" s="1">
        <f t="shared" si="100"/>
        <v>0.47261904148339579</v>
      </c>
      <c r="AW782" s="1">
        <f t="shared" si="101"/>
        <v>0.32852018574552966</v>
      </c>
    </row>
    <row r="783" spans="1:49" x14ac:dyDescent="0.2">
      <c r="A783">
        <v>781</v>
      </c>
      <c r="B783" t="s">
        <v>2609</v>
      </c>
      <c r="C783" t="s">
        <v>2608</v>
      </c>
      <c r="F783" t="s">
        <v>2607</v>
      </c>
      <c r="G783" t="s">
        <v>16</v>
      </c>
      <c r="H783" t="s">
        <v>15</v>
      </c>
      <c r="I783" t="s">
        <v>2543</v>
      </c>
      <c r="J783">
        <v>60021378</v>
      </c>
      <c r="K783" t="s">
        <v>2542</v>
      </c>
      <c r="L783" t="s">
        <v>2541</v>
      </c>
      <c r="M783" t="s">
        <v>57</v>
      </c>
      <c r="N783">
        <v>4</v>
      </c>
      <c r="O783" t="s">
        <v>2606</v>
      </c>
      <c r="P783" t="s">
        <v>2605</v>
      </c>
      <c r="Q783" t="s">
        <v>2538</v>
      </c>
      <c r="R783" s="7">
        <v>33239</v>
      </c>
      <c r="S783" s="8">
        <f t="shared" si="96"/>
        <v>1991</v>
      </c>
      <c r="T783" s="8">
        <v>1991</v>
      </c>
      <c r="U783" s="8">
        <f t="shared" si="97"/>
        <v>31</v>
      </c>
      <c r="V783" s="7">
        <v>33270</v>
      </c>
      <c r="W783" t="s">
        <v>2537</v>
      </c>
      <c r="X783" s="2">
        <v>1.365</v>
      </c>
      <c r="Y783" s="6">
        <f t="shared" si="102"/>
        <v>3.6437895411227675E-2</v>
      </c>
      <c r="AA783">
        <v>189545</v>
      </c>
      <c r="AB783">
        <v>17393</v>
      </c>
      <c r="AC783">
        <v>19399359</v>
      </c>
      <c r="AD783" t="s">
        <v>5</v>
      </c>
      <c r="AE783">
        <v>40</v>
      </c>
      <c r="AF783">
        <v>1</v>
      </c>
      <c r="AH783" t="s">
        <v>2604</v>
      </c>
      <c r="AI783" t="s">
        <v>2603</v>
      </c>
      <c r="AK783" t="s">
        <v>2602</v>
      </c>
      <c r="AL783">
        <v>199</v>
      </c>
      <c r="AM783" s="5">
        <f t="shared" si="98"/>
        <v>6.419354838709677</v>
      </c>
      <c r="AN783" s="4">
        <f t="shared" si="103"/>
        <v>9.7226124024379808E-3</v>
      </c>
      <c r="AO783" s="3"/>
      <c r="AP783">
        <v>0</v>
      </c>
      <c r="AR783" t="s">
        <v>0</v>
      </c>
      <c r="AT783" s="2" t="s">
        <v>33</v>
      </c>
      <c r="AU783" s="1">
        <f t="shared" si="99"/>
        <v>2.8423310508590762</v>
      </c>
      <c r="AV783" s="1">
        <f t="shared" si="100"/>
        <v>2.3080253906832828</v>
      </c>
      <c r="AW783" s="1">
        <f t="shared" si="101"/>
        <v>1.7737197305074888</v>
      </c>
    </row>
    <row r="784" spans="1:49" x14ac:dyDescent="0.2">
      <c r="A784">
        <v>782</v>
      </c>
      <c r="B784" t="s">
        <v>2601</v>
      </c>
      <c r="C784" t="s">
        <v>2600</v>
      </c>
      <c r="F784" t="s">
        <v>2599</v>
      </c>
      <c r="G784" t="s">
        <v>16</v>
      </c>
      <c r="H784" t="s">
        <v>15</v>
      </c>
      <c r="I784" t="s">
        <v>2598</v>
      </c>
      <c r="J784">
        <v>60000745</v>
      </c>
      <c r="K784" t="s">
        <v>2506</v>
      </c>
      <c r="L784" t="s">
        <v>2505</v>
      </c>
      <c r="M784" t="s">
        <v>57</v>
      </c>
      <c r="N784">
        <v>2</v>
      </c>
      <c r="O784" t="s">
        <v>2597</v>
      </c>
      <c r="P784" t="s">
        <v>2596</v>
      </c>
      <c r="Q784" t="s">
        <v>2595</v>
      </c>
      <c r="R784" s="7">
        <v>33239</v>
      </c>
      <c r="S784" s="8">
        <f t="shared" si="96"/>
        <v>1991</v>
      </c>
      <c r="T784" s="8">
        <v>1991</v>
      </c>
      <c r="U784" s="8">
        <f t="shared" si="97"/>
        <v>31</v>
      </c>
      <c r="V784" s="7">
        <v>33270</v>
      </c>
      <c r="W784" t="s">
        <v>1807</v>
      </c>
      <c r="X784" s="2">
        <v>1.6519999999999999</v>
      </c>
      <c r="Y784" s="6">
        <f t="shared" si="102"/>
        <v>4.409919649769093E-2</v>
      </c>
      <c r="AA784" t="s">
        <v>1806</v>
      </c>
      <c r="AB784">
        <v>17337</v>
      </c>
      <c r="AC784">
        <v>15582221</v>
      </c>
      <c r="AD784" t="s">
        <v>5</v>
      </c>
      <c r="AE784">
        <v>39</v>
      </c>
      <c r="AF784">
        <v>2</v>
      </c>
      <c r="AH784" t="s">
        <v>2594</v>
      </c>
      <c r="AI784" t="s">
        <v>2593</v>
      </c>
      <c r="AK784" t="s">
        <v>2592</v>
      </c>
      <c r="AL784">
        <v>3</v>
      </c>
      <c r="AM784" s="5">
        <f t="shared" si="98"/>
        <v>9.6774193548387094E-2</v>
      </c>
      <c r="AN784" s="4">
        <f t="shared" si="103"/>
        <v>1.4657204626790927E-4</v>
      </c>
      <c r="AO784" s="3"/>
      <c r="AP784">
        <v>0</v>
      </c>
      <c r="AR784" t="s">
        <v>0</v>
      </c>
      <c r="AT784" s="2" t="s">
        <v>33</v>
      </c>
      <c r="AU784" s="1">
        <f t="shared" si="99"/>
        <v>3.0913409162264025</v>
      </c>
      <c r="AV784" s="1">
        <f t="shared" si="100"/>
        <v>2.2122884271979419</v>
      </c>
      <c r="AW784" s="1">
        <f t="shared" si="101"/>
        <v>1.3332359381694814</v>
      </c>
    </row>
    <row r="785" spans="1:49" x14ac:dyDescent="0.2">
      <c r="A785">
        <v>783</v>
      </c>
      <c r="B785" t="s">
        <v>2591</v>
      </c>
      <c r="C785" t="s">
        <v>2590</v>
      </c>
      <c r="F785" t="s">
        <v>2589</v>
      </c>
      <c r="G785" t="s">
        <v>16</v>
      </c>
      <c r="H785" t="s">
        <v>15</v>
      </c>
      <c r="I785" t="s">
        <v>2588</v>
      </c>
      <c r="J785" t="s">
        <v>2587</v>
      </c>
      <c r="K785" t="s">
        <v>2586</v>
      </c>
      <c r="L785" t="s">
        <v>2585</v>
      </c>
      <c r="M785" t="s">
        <v>2584</v>
      </c>
      <c r="N785">
        <v>2</v>
      </c>
      <c r="O785" t="s">
        <v>2583</v>
      </c>
      <c r="P785" t="s">
        <v>2582</v>
      </c>
      <c r="Q785" t="s">
        <v>2581</v>
      </c>
      <c r="R785" s="7">
        <v>33239</v>
      </c>
      <c r="S785" s="8">
        <f t="shared" si="96"/>
        <v>1991</v>
      </c>
      <c r="T785" s="8">
        <v>1991</v>
      </c>
      <c r="U785" s="8">
        <f t="shared" si="97"/>
        <v>31</v>
      </c>
      <c r="V785" s="7">
        <v>33270</v>
      </c>
      <c r="W785" t="s">
        <v>987</v>
      </c>
      <c r="X785" s="2">
        <v>1.774</v>
      </c>
      <c r="Y785" s="6">
        <f t="shared" si="102"/>
        <v>4.7355916820159633E-2</v>
      </c>
      <c r="AA785">
        <v>295515</v>
      </c>
      <c r="AB785">
        <v>29066</v>
      </c>
      <c r="AC785">
        <v>17414326</v>
      </c>
      <c r="AD785" t="s">
        <v>5</v>
      </c>
      <c r="AE785">
        <v>31</v>
      </c>
      <c r="AF785">
        <v>2</v>
      </c>
      <c r="AH785" t="s">
        <v>2580</v>
      </c>
      <c r="AI785" t="s">
        <v>2579</v>
      </c>
      <c r="AK785" t="s">
        <v>2578</v>
      </c>
      <c r="AL785">
        <v>8</v>
      </c>
      <c r="AM785" s="5">
        <f t="shared" si="98"/>
        <v>0.25806451612903225</v>
      </c>
      <c r="AN785" s="4">
        <f t="shared" si="103"/>
        <v>3.9085879004775807E-4</v>
      </c>
      <c r="AO785" s="3"/>
      <c r="AP785">
        <v>0</v>
      </c>
      <c r="AR785" t="s">
        <v>0</v>
      </c>
      <c r="AT785" s="2">
        <v>3.1789999999999998</v>
      </c>
      <c r="AU785" s="1">
        <f t="shared" si="99"/>
        <v>3.3266399411126066</v>
      </c>
      <c r="AV785" s="1">
        <f t="shared" si="100"/>
        <v>2.3873387805103694</v>
      </c>
      <c r="AW785" s="1">
        <f t="shared" si="101"/>
        <v>1.448037619908132</v>
      </c>
    </row>
    <row r="786" spans="1:49" x14ac:dyDescent="0.2">
      <c r="A786">
        <v>784</v>
      </c>
      <c r="B786" t="s">
        <v>2577</v>
      </c>
      <c r="C786" t="s">
        <v>2576</v>
      </c>
      <c r="F786" t="s">
        <v>2575</v>
      </c>
      <c r="G786" t="s">
        <v>16</v>
      </c>
      <c r="H786" t="s">
        <v>15</v>
      </c>
      <c r="I786" t="s">
        <v>2574</v>
      </c>
      <c r="J786">
        <v>60023462</v>
      </c>
      <c r="K786" t="s">
        <v>2573</v>
      </c>
      <c r="L786" t="s">
        <v>327</v>
      </c>
      <c r="M786" t="s">
        <v>326</v>
      </c>
      <c r="N786">
        <v>7</v>
      </c>
      <c r="O786" t="s">
        <v>2572</v>
      </c>
      <c r="P786" t="s">
        <v>2571</v>
      </c>
      <c r="Q786" t="s">
        <v>2570</v>
      </c>
      <c r="R786" s="7">
        <v>33239</v>
      </c>
      <c r="S786" s="8">
        <f t="shared" si="96"/>
        <v>1991</v>
      </c>
      <c r="T786" s="8">
        <v>1991</v>
      </c>
      <c r="U786" s="8">
        <f t="shared" si="97"/>
        <v>31</v>
      </c>
      <c r="V786" s="7">
        <v>33270</v>
      </c>
      <c r="W786" t="s">
        <v>2569</v>
      </c>
      <c r="X786" s="2">
        <v>0.111</v>
      </c>
      <c r="Y786" s="6">
        <f t="shared" si="102"/>
        <v>2.9630816048690639E-3</v>
      </c>
      <c r="AA786">
        <v>87566621</v>
      </c>
      <c r="AB786">
        <v>24890</v>
      </c>
      <c r="AC786">
        <v>15206424</v>
      </c>
      <c r="AD786" t="s">
        <v>5</v>
      </c>
      <c r="AE786">
        <v>74</v>
      </c>
      <c r="AF786">
        <v>2</v>
      </c>
      <c r="AH786" t="s">
        <v>2568</v>
      </c>
      <c r="AI786" t="s">
        <v>2567</v>
      </c>
      <c r="AK786" t="s">
        <v>2566</v>
      </c>
      <c r="AL786">
        <v>4</v>
      </c>
      <c r="AM786" s="5">
        <f t="shared" si="98"/>
        <v>0.12903225806451613</v>
      </c>
      <c r="AN786" s="4">
        <f t="shared" si="103"/>
        <v>1.9542939502387903E-4</v>
      </c>
      <c r="AO786" s="3"/>
      <c r="AP786">
        <v>0</v>
      </c>
      <c r="AR786" t="s">
        <v>0</v>
      </c>
      <c r="AT786" s="2" t="s">
        <v>33</v>
      </c>
      <c r="AU786" s="1">
        <f t="shared" si="99"/>
        <v>0.21327859419155082</v>
      </c>
      <c r="AV786" s="1">
        <f t="shared" si="100"/>
        <v>0.15792554999464714</v>
      </c>
      <c r="AW786" s="1">
        <f t="shared" si="101"/>
        <v>0.10257250579774344</v>
      </c>
    </row>
    <row r="787" spans="1:49" x14ac:dyDescent="0.2">
      <c r="A787">
        <v>785</v>
      </c>
      <c r="B787" t="s">
        <v>2565</v>
      </c>
      <c r="C787" t="s">
        <v>2564</v>
      </c>
      <c r="F787" t="s">
        <v>2563</v>
      </c>
      <c r="G787" t="s">
        <v>16</v>
      </c>
      <c r="H787" t="s">
        <v>15</v>
      </c>
      <c r="I787" t="s">
        <v>2562</v>
      </c>
      <c r="J787">
        <v>60014652</v>
      </c>
      <c r="K787" t="s">
        <v>2561</v>
      </c>
      <c r="L787" t="s">
        <v>2560</v>
      </c>
      <c r="M787" t="s">
        <v>326</v>
      </c>
      <c r="N787">
        <v>3</v>
      </c>
      <c r="O787" t="s">
        <v>2559</v>
      </c>
      <c r="P787" t="s">
        <v>2558</v>
      </c>
      <c r="Q787" t="s">
        <v>2557</v>
      </c>
      <c r="R787" s="7">
        <v>33239</v>
      </c>
      <c r="S787" s="8">
        <f t="shared" si="96"/>
        <v>1991</v>
      </c>
      <c r="T787" s="8">
        <v>1991</v>
      </c>
      <c r="U787" s="8">
        <f t="shared" si="97"/>
        <v>31</v>
      </c>
      <c r="V787" s="7">
        <v>33270</v>
      </c>
      <c r="W787" t="s">
        <v>1807</v>
      </c>
      <c r="X787" s="2">
        <v>1.6519999999999999</v>
      </c>
      <c r="Y787" s="6">
        <f t="shared" si="102"/>
        <v>4.409919649769093E-2</v>
      </c>
      <c r="AA787" t="s">
        <v>1806</v>
      </c>
      <c r="AB787">
        <v>17337</v>
      </c>
      <c r="AC787">
        <v>15582221</v>
      </c>
      <c r="AD787" t="s">
        <v>5</v>
      </c>
      <c r="AE787">
        <v>39</v>
      </c>
      <c r="AF787">
        <v>2</v>
      </c>
      <c r="AH787" t="s">
        <v>2556</v>
      </c>
      <c r="AI787" t="s">
        <v>2555</v>
      </c>
      <c r="AK787" t="s">
        <v>2554</v>
      </c>
      <c r="AL787">
        <v>4</v>
      </c>
      <c r="AM787" s="5">
        <f t="shared" si="98"/>
        <v>0.12903225806451613</v>
      </c>
      <c r="AN787" s="4">
        <f t="shared" si="103"/>
        <v>1.9542939502387903E-4</v>
      </c>
      <c r="AO787" s="3"/>
      <c r="AP787">
        <v>0</v>
      </c>
      <c r="AR787" t="s">
        <v>0</v>
      </c>
      <c r="AT787" s="2" t="s">
        <v>33</v>
      </c>
      <c r="AU787" s="1">
        <f t="shared" si="99"/>
        <v>3.0928066366890814</v>
      </c>
      <c r="AV787" s="1">
        <f t="shared" si="100"/>
        <v>2.2147312946357403</v>
      </c>
      <c r="AW787" s="1">
        <f t="shared" si="101"/>
        <v>1.3366559525823993</v>
      </c>
    </row>
    <row r="788" spans="1:49" x14ac:dyDescent="0.2">
      <c r="A788">
        <v>786</v>
      </c>
      <c r="B788" t="s">
        <v>2553</v>
      </c>
      <c r="C788" t="s">
        <v>2552</v>
      </c>
      <c r="F788" t="s">
        <v>2551</v>
      </c>
      <c r="G788" t="s">
        <v>16</v>
      </c>
      <c r="H788" t="s">
        <v>15</v>
      </c>
      <c r="I788" t="s">
        <v>2507</v>
      </c>
      <c r="J788">
        <v>60000745</v>
      </c>
      <c r="K788" t="s">
        <v>2506</v>
      </c>
      <c r="L788" t="s">
        <v>2505</v>
      </c>
      <c r="M788" t="s">
        <v>57</v>
      </c>
      <c r="N788">
        <v>1</v>
      </c>
      <c r="O788" t="s">
        <v>2550</v>
      </c>
      <c r="P788">
        <v>7004288007</v>
      </c>
      <c r="Q788">
        <v>60000745</v>
      </c>
      <c r="R788" s="7">
        <v>33239</v>
      </c>
      <c r="S788" s="8">
        <f t="shared" si="96"/>
        <v>1991</v>
      </c>
      <c r="T788" s="8">
        <v>1991</v>
      </c>
      <c r="U788" s="8">
        <f t="shared" si="97"/>
        <v>31</v>
      </c>
      <c r="V788" s="7">
        <v>33270</v>
      </c>
      <c r="W788" t="s">
        <v>1807</v>
      </c>
      <c r="X788" s="2">
        <v>1.6519999999999999</v>
      </c>
      <c r="Y788" s="6">
        <f t="shared" si="102"/>
        <v>4.409919649769093E-2</v>
      </c>
      <c r="AA788" t="s">
        <v>1806</v>
      </c>
      <c r="AB788">
        <v>17337</v>
      </c>
      <c r="AC788">
        <v>15582221</v>
      </c>
      <c r="AD788" t="s">
        <v>5</v>
      </c>
      <c r="AE788">
        <v>39</v>
      </c>
      <c r="AF788">
        <v>2</v>
      </c>
      <c r="AH788" t="s">
        <v>2549</v>
      </c>
      <c r="AI788" t="s">
        <v>2548</v>
      </c>
      <c r="AK788" t="s">
        <v>2547</v>
      </c>
      <c r="AL788">
        <v>3</v>
      </c>
      <c r="AM788" s="5">
        <f t="shared" si="98"/>
        <v>9.6774193548387094E-2</v>
      </c>
      <c r="AN788" s="4">
        <f t="shared" si="103"/>
        <v>1.4657204626790927E-4</v>
      </c>
      <c r="AO788" s="3"/>
      <c r="AP788">
        <v>0</v>
      </c>
      <c r="AR788" t="s">
        <v>0</v>
      </c>
      <c r="AT788" s="2" t="s">
        <v>33</v>
      </c>
      <c r="AU788" s="1">
        <f t="shared" si="99"/>
        <v>3.0913409162264025</v>
      </c>
      <c r="AV788" s="1">
        <f t="shared" si="100"/>
        <v>2.2122884271979419</v>
      </c>
      <c r="AW788" s="1">
        <f t="shared" si="101"/>
        <v>1.3332359381694814</v>
      </c>
    </row>
    <row r="789" spans="1:49" x14ac:dyDescent="0.2">
      <c r="A789">
        <v>787</v>
      </c>
      <c r="B789" t="s">
        <v>2546</v>
      </c>
      <c r="C789" t="s">
        <v>2545</v>
      </c>
      <c r="F789" t="s">
        <v>2544</v>
      </c>
      <c r="G789" t="s">
        <v>16</v>
      </c>
      <c r="H789" t="s">
        <v>15</v>
      </c>
      <c r="I789" t="s">
        <v>2543</v>
      </c>
      <c r="J789">
        <v>60021378</v>
      </c>
      <c r="K789" t="s">
        <v>2542</v>
      </c>
      <c r="L789" t="s">
        <v>2541</v>
      </c>
      <c r="M789" t="s">
        <v>57</v>
      </c>
      <c r="N789">
        <v>4</v>
      </c>
      <c r="O789" t="s">
        <v>2540</v>
      </c>
      <c r="P789" t="s">
        <v>2539</v>
      </c>
      <c r="Q789" t="s">
        <v>2538</v>
      </c>
      <c r="R789" s="7">
        <v>33239</v>
      </c>
      <c r="S789" s="8">
        <f t="shared" si="96"/>
        <v>1991</v>
      </c>
      <c r="T789" s="8">
        <v>1991</v>
      </c>
      <c r="U789" s="8">
        <f t="shared" si="97"/>
        <v>31</v>
      </c>
      <c r="V789" s="7">
        <v>33270</v>
      </c>
      <c r="W789" t="s">
        <v>2537</v>
      </c>
      <c r="X789" s="2">
        <v>1.365</v>
      </c>
      <c r="Y789" s="6">
        <f t="shared" si="102"/>
        <v>3.6437895411227675E-2</v>
      </c>
      <c r="AA789">
        <v>189545</v>
      </c>
      <c r="AB789">
        <v>17393</v>
      </c>
      <c r="AC789">
        <v>19399359</v>
      </c>
      <c r="AD789" t="s">
        <v>5</v>
      </c>
      <c r="AE789">
        <v>40</v>
      </c>
      <c r="AF789">
        <v>1</v>
      </c>
      <c r="AH789" t="s">
        <v>2536</v>
      </c>
      <c r="AI789" t="s">
        <v>2535</v>
      </c>
      <c r="AK789" t="s">
        <v>2534</v>
      </c>
      <c r="AL789">
        <v>14</v>
      </c>
      <c r="AM789" s="5">
        <f t="shared" si="98"/>
        <v>0.45161290322580644</v>
      </c>
      <c r="AN789" s="4">
        <f t="shared" si="103"/>
        <v>6.840028825835766E-4</v>
      </c>
      <c r="AO789" s="3"/>
      <c r="AP789">
        <v>0</v>
      </c>
      <c r="AR789" t="s">
        <v>0</v>
      </c>
      <c r="AT789" s="2" t="s">
        <v>33</v>
      </c>
      <c r="AU789" s="1">
        <f t="shared" si="99"/>
        <v>2.5711727652634444</v>
      </c>
      <c r="AV789" s="1">
        <f t="shared" si="100"/>
        <v>1.8560949146905628</v>
      </c>
      <c r="AW789" s="1">
        <f t="shared" si="101"/>
        <v>1.1410170641176804</v>
      </c>
    </row>
    <row r="790" spans="1:49" x14ac:dyDescent="0.2">
      <c r="A790">
        <v>788</v>
      </c>
      <c r="B790" t="s">
        <v>2533</v>
      </c>
      <c r="C790" t="s">
        <v>2532</v>
      </c>
      <c r="F790" t="s">
        <v>2531</v>
      </c>
      <c r="G790" t="s">
        <v>16</v>
      </c>
      <c r="H790" t="s">
        <v>15</v>
      </c>
      <c r="I790" t="s">
        <v>2530</v>
      </c>
      <c r="J790">
        <v>60002644</v>
      </c>
      <c r="K790" t="s">
        <v>2529</v>
      </c>
      <c r="L790" t="s">
        <v>2528</v>
      </c>
      <c r="M790" t="s">
        <v>1904</v>
      </c>
      <c r="N790">
        <v>5</v>
      </c>
      <c r="O790" t="s">
        <v>2527</v>
      </c>
      <c r="P790" t="s">
        <v>2526</v>
      </c>
      <c r="Q790" t="s">
        <v>2525</v>
      </c>
      <c r="R790" s="7">
        <v>33239</v>
      </c>
      <c r="S790" s="8">
        <f t="shared" si="96"/>
        <v>1991</v>
      </c>
      <c r="T790" s="8">
        <v>1991</v>
      </c>
      <c r="U790" s="8">
        <f t="shared" si="97"/>
        <v>31</v>
      </c>
      <c r="V790" s="7">
        <v>33270</v>
      </c>
      <c r="W790" t="s">
        <v>561</v>
      </c>
      <c r="X790" s="2">
        <v>0.30399999999999999</v>
      </c>
      <c r="Y790" s="6">
        <f t="shared" si="102"/>
        <v>8.115106377299057E-3</v>
      </c>
      <c r="AA790">
        <v>8952477</v>
      </c>
      <c r="AB790">
        <v>12250</v>
      </c>
      <c r="AC790">
        <v>10982760</v>
      </c>
      <c r="AD790" t="s">
        <v>5</v>
      </c>
      <c r="AE790">
        <v>4</v>
      </c>
      <c r="AF790">
        <v>3</v>
      </c>
      <c r="AH790" t="s">
        <v>2524</v>
      </c>
      <c r="AI790" t="s">
        <v>2523</v>
      </c>
      <c r="AJ790" t="s">
        <v>2522</v>
      </c>
      <c r="AK790" t="s">
        <v>2521</v>
      </c>
      <c r="AL790">
        <v>2</v>
      </c>
      <c r="AM790" s="5">
        <f t="shared" si="98"/>
        <v>6.4516129032258063E-2</v>
      </c>
      <c r="AN790" s="4">
        <f t="shared" si="103"/>
        <v>9.7714697511939517E-5</v>
      </c>
      <c r="AO790" s="3"/>
      <c r="AP790">
        <v>0</v>
      </c>
      <c r="AR790" t="s">
        <v>0</v>
      </c>
      <c r="AT790" s="2" t="s">
        <v>33</v>
      </c>
      <c r="AU790" s="1">
        <f t="shared" si="99"/>
        <v>0.57098888733629205</v>
      </c>
      <c r="AV790" s="1">
        <f t="shared" si="100"/>
        <v>0.41064105374054982</v>
      </c>
      <c r="AW790" s="1">
        <f t="shared" si="101"/>
        <v>0.25029322014480748</v>
      </c>
    </row>
    <row r="791" spans="1:49" x14ac:dyDescent="0.2">
      <c r="A791">
        <v>789</v>
      </c>
      <c r="B791" t="s">
        <v>2520</v>
      </c>
      <c r="C791" t="s">
        <v>2519</v>
      </c>
      <c r="F791" t="s">
        <v>2518</v>
      </c>
      <c r="G791" t="s">
        <v>16</v>
      </c>
      <c r="H791" t="s">
        <v>15</v>
      </c>
      <c r="I791" t="s">
        <v>2517</v>
      </c>
      <c r="J791">
        <v>60031828</v>
      </c>
      <c r="K791" t="s">
        <v>1545</v>
      </c>
      <c r="L791" t="s">
        <v>1544</v>
      </c>
      <c r="M791" t="s">
        <v>1543</v>
      </c>
      <c r="N791">
        <v>4</v>
      </c>
      <c r="O791" t="s">
        <v>2516</v>
      </c>
      <c r="P791" t="s">
        <v>2515</v>
      </c>
      <c r="Q791" t="s">
        <v>1540</v>
      </c>
      <c r="R791" s="7">
        <v>33239</v>
      </c>
      <c r="S791" s="8">
        <f t="shared" si="96"/>
        <v>1991</v>
      </c>
      <c r="T791" s="8">
        <v>1991</v>
      </c>
      <c r="U791" s="8">
        <f t="shared" si="97"/>
        <v>31</v>
      </c>
      <c r="V791" s="7">
        <v>33270</v>
      </c>
      <c r="W791" t="s">
        <v>561</v>
      </c>
      <c r="X791" s="2">
        <v>0.30399999999999999</v>
      </c>
      <c r="Y791" s="6">
        <f t="shared" si="102"/>
        <v>8.115106377299057E-3</v>
      </c>
      <c r="AA791">
        <v>8952477</v>
      </c>
      <c r="AB791">
        <v>12250</v>
      </c>
      <c r="AC791">
        <v>10982760</v>
      </c>
      <c r="AD791" t="s">
        <v>5</v>
      </c>
      <c r="AE791">
        <v>4</v>
      </c>
      <c r="AF791">
        <v>3</v>
      </c>
      <c r="AH791" t="s">
        <v>2514</v>
      </c>
      <c r="AI791" t="s">
        <v>2513</v>
      </c>
      <c r="AJ791" t="s">
        <v>2512</v>
      </c>
      <c r="AK791" t="s">
        <v>2511</v>
      </c>
      <c r="AL791">
        <v>7</v>
      </c>
      <c r="AM791" s="5">
        <f t="shared" si="98"/>
        <v>0.22580645161290322</v>
      </c>
      <c r="AN791" s="4">
        <f t="shared" si="103"/>
        <v>3.420014412917883E-4</v>
      </c>
      <c r="AO791" s="3"/>
      <c r="AP791">
        <v>0</v>
      </c>
      <c r="AR791" t="s">
        <v>0</v>
      </c>
      <c r="AT791" s="2" t="s">
        <v>33</v>
      </c>
      <c r="AU791" s="1">
        <f t="shared" si="99"/>
        <v>0.57831748964968765</v>
      </c>
      <c r="AV791" s="1">
        <f t="shared" si="100"/>
        <v>0.42285539092954222</v>
      </c>
      <c r="AW791" s="1">
        <f t="shared" si="101"/>
        <v>0.26739329220939689</v>
      </c>
    </row>
    <row r="792" spans="1:49" x14ac:dyDescent="0.2">
      <c r="A792">
        <v>790</v>
      </c>
      <c r="B792" t="s">
        <v>2510</v>
      </c>
      <c r="C792" t="s">
        <v>2509</v>
      </c>
      <c r="F792" t="s">
        <v>2508</v>
      </c>
      <c r="G792" t="s">
        <v>16</v>
      </c>
      <c r="H792" t="s">
        <v>15</v>
      </c>
      <c r="I792" t="s">
        <v>2507</v>
      </c>
      <c r="J792">
        <v>60000745</v>
      </c>
      <c r="K792" t="s">
        <v>2506</v>
      </c>
      <c r="L792" t="s">
        <v>2505</v>
      </c>
      <c r="M792" t="s">
        <v>57</v>
      </c>
      <c r="N792">
        <v>3</v>
      </c>
      <c r="O792" t="s">
        <v>2504</v>
      </c>
      <c r="P792" t="s">
        <v>2503</v>
      </c>
      <c r="Q792" t="s">
        <v>2502</v>
      </c>
      <c r="R792" s="7">
        <v>33239</v>
      </c>
      <c r="S792" s="8">
        <f t="shared" si="96"/>
        <v>1991</v>
      </c>
      <c r="T792" s="8">
        <v>1991</v>
      </c>
      <c r="U792" s="8">
        <f t="shared" si="97"/>
        <v>31</v>
      </c>
      <c r="V792" s="7">
        <v>33270</v>
      </c>
      <c r="W792" t="s">
        <v>1807</v>
      </c>
      <c r="X792" s="2">
        <v>1.6519999999999999</v>
      </c>
      <c r="Y792" s="6">
        <f t="shared" si="102"/>
        <v>4.409919649769093E-2</v>
      </c>
      <c r="AA792" t="s">
        <v>1806</v>
      </c>
      <c r="AB792">
        <v>17337</v>
      </c>
      <c r="AC792">
        <v>15582221</v>
      </c>
      <c r="AD792" t="s">
        <v>5</v>
      </c>
      <c r="AE792">
        <v>39</v>
      </c>
      <c r="AF792">
        <v>2</v>
      </c>
      <c r="AH792" t="s">
        <v>2501</v>
      </c>
      <c r="AI792" t="s">
        <v>2500</v>
      </c>
      <c r="AK792" t="s">
        <v>2499</v>
      </c>
      <c r="AL792">
        <v>17</v>
      </c>
      <c r="AM792" s="5">
        <f t="shared" si="98"/>
        <v>0.54838709677419351</v>
      </c>
      <c r="AN792" s="4">
        <f t="shared" si="103"/>
        <v>8.3057492885148579E-4</v>
      </c>
      <c r="AO792" s="3"/>
      <c r="AP792">
        <v>0</v>
      </c>
      <c r="AR792" t="s">
        <v>0</v>
      </c>
      <c r="AT792" s="2" t="s">
        <v>33</v>
      </c>
      <c r="AU792" s="1">
        <f t="shared" si="99"/>
        <v>3.1118610027039093</v>
      </c>
      <c r="AV792" s="1">
        <f t="shared" si="100"/>
        <v>2.2464885713271205</v>
      </c>
      <c r="AW792" s="1">
        <f t="shared" si="101"/>
        <v>1.3811161399503318</v>
      </c>
    </row>
    <row r="793" spans="1:49" x14ac:dyDescent="0.2">
      <c r="A793">
        <v>791</v>
      </c>
      <c r="B793" t="s">
        <v>2498</v>
      </c>
      <c r="C793" t="s">
        <v>2497</v>
      </c>
      <c r="F793" t="s">
        <v>2496</v>
      </c>
      <c r="G793" t="s">
        <v>16</v>
      </c>
      <c r="H793" t="s">
        <v>15</v>
      </c>
      <c r="I793" t="s">
        <v>2495</v>
      </c>
      <c r="J793">
        <v>60027271</v>
      </c>
      <c r="K793" t="s">
        <v>2494</v>
      </c>
      <c r="L793" t="s">
        <v>2493</v>
      </c>
      <c r="M793" t="s">
        <v>57</v>
      </c>
      <c r="N793">
        <v>1</v>
      </c>
      <c r="O793" t="s">
        <v>2492</v>
      </c>
      <c r="P793">
        <v>35607620700</v>
      </c>
      <c r="Q793">
        <v>60027271</v>
      </c>
      <c r="R793" s="7">
        <v>33239</v>
      </c>
      <c r="S793" s="8">
        <f t="shared" si="96"/>
        <v>1991</v>
      </c>
      <c r="T793" s="8">
        <v>1991</v>
      </c>
      <c r="U793" s="8">
        <f t="shared" si="97"/>
        <v>31</v>
      </c>
      <c r="V793" s="7">
        <v>33298</v>
      </c>
      <c r="W793" t="s">
        <v>674</v>
      </c>
      <c r="X793" s="2">
        <v>1.137</v>
      </c>
      <c r="Y793" s="6">
        <f t="shared" si="102"/>
        <v>3.0351565628253384E-2</v>
      </c>
      <c r="AA793">
        <v>189251</v>
      </c>
      <c r="AB793">
        <v>17336</v>
      </c>
      <c r="AD793" t="s">
        <v>5</v>
      </c>
      <c r="AE793">
        <v>27</v>
      </c>
      <c r="AF793">
        <v>2</v>
      </c>
      <c r="AH793" t="s">
        <v>2491</v>
      </c>
      <c r="AI793" t="s">
        <v>2490</v>
      </c>
      <c r="AK793" t="s">
        <v>2489</v>
      </c>
      <c r="AL793">
        <v>3</v>
      </c>
      <c r="AM793" s="5">
        <f t="shared" si="98"/>
        <v>9.6774193548387094E-2</v>
      </c>
      <c r="AN793" s="4">
        <f t="shared" si="103"/>
        <v>1.4657204626790927E-4</v>
      </c>
      <c r="AO793" s="3"/>
      <c r="AP793">
        <v>0</v>
      </c>
      <c r="AR793" t="s">
        <v>0</v>
      </c>
      <c r="AT793" s="2" t="s">
        <v>33</v>
      </c>
      <c r="AU793" s="1">
        <f t="shared" si="99"/>
        <v>2.1290067553657739</v>
      </c>
      <c r="AV793" s="1">
        <f t="shared" si="100"/>
        <v>1.5249068837260646</v>
      </c>
      <c r="AW793" s="1">
        <f t="shared" si="101"/>
        <v>0.92080701208635518</v>
      </c>
    </row>
    <row r="794" spans="1:49" x14ac:dyDescent="0.2">
      <c r="A794">
        <v>792</v>
      </c>
      <c r="B794" t="s">
        <v>2488</v>
      </c>
      <c r="C794" t="s">
        <v>2487</v>
      </c>
      <c r="F794" t="s">
        <v>2486</v>
      </c>
      <c r="G794" t="s">
        <v>16</v>
      </c>
      <c r="H794" t="s">
        <v>15</v>
      </c>
      <c r="I794" t="s">
        <v>2485</v>
      </c>
      <c r="J794" t="s">
        <v>2484</v>
      </c>
      <c r="K794" t="s">
        <v>2483</v>
      </c>
      <c r="L794" t="s">
        <v>2482</v>
      </c>
      <c r="M794" t="s">
        <v>2481</v>
      </c>
      <c r="N794">
        <v>5</v>
      </c>
      <c r="O794" t="s">
        <v>2480</v>
      </c>
      <c r="P794" t="s">
        <v>2479</v>
      </c>
      <c r="Q794" t="s">
        <v>2478</v>
      </c>
      <c r="R794" s="7">
        <v>33239</v>
      </c>
      <c r="S794" s="8">
        <f t="shared" si="96"/>
        <v>1991</v>
      </c>
      <c r="T794" s="8">
        <v>1991</v>
      </c>
      <c r="U794" s="8">
        <f t="shared" si="97"/>
        <v>31</v>
      </c>
      <c r="V794" s="7">
        <v>33270</v>
      </c>
      <c r="W794" t="s">
        <v>731</v>
      </c>
      <c r="X794" s="2">
        <v>1.3720000000000001</v>
      </c>
      <c r="Y794" s="6">
        <f t="shared" si="102"/>
        <v>3.662475641333654E-2</v>
      </c>
      <c r="AA794">
        <v>189480</v>
      </c>
      <c r="AB794">
        <v>17366</v>
      </c>
      <c r="AC794">
        <v>15579670</v>
      </c>
      <c r="AD794" t="s">
        <v>5</v>
      </c>
      <c r="AE794">
        <v>39</v>
      </c>
      <c r="AF794">
        <v>2</v>
      </c>
      <c r="AH794" t="s">
        <v>2477</v>
      </c>
      <c r="AI794" t="s">
        <v>2476</v>
      </c>
      <c r="AK794" t="s">
        <v>2475</v>
      </c>
      <c r="AL794">
        <v>12</v>
      </c>
      <c r="AM794" s="5">
        <f t="shared" si="98"/>
        <v>0.38709677419354838</v>
      </c>
      <c r="AN794" s="4">
        <f t="shared" si="103"/>
        <v>5.8628818507163707E-4</v>
      </c>
      <c r="AO794" s="3"/>
      <c r="AP794">
        <v>0</v>
      </c>
      <c r="AQ794" t="s">
        <v>2474</v>
      </c>
      <c r="AR794" t="s">
        <v>0</v>
      </c>
      <c r="AS794" t="s">
        <v>2473</v>
      </c>
      <c r="AT794" s="2" t="s">
        <v>33</v>
      </c>
      <c r="AU794" s="1">
        <f t="shared" si="99"/>
        <v>2.5813215944857069</v>
      </c>
      <c r="AV794" s="1">
        <f t="shared" si="100"/>
        <v>1.8605522299204087</v>
      </c>
      <c r="AW794" s="1">
        <f t="shared" si="101"/>
        <v>1.1397828653551108</v>
      </c>
    </row>
    <row r="795" spans="1:49" x14ac:dyDescent="0.2">
      <c r="A795">
        <v>793</v>
      </c>
      <c r="B795" t="s">
        <v>2472</v>
      </c>
      <c r="C795" t="s">
        <v>2471</v>
      </c>
      <c r="D795" t="s">
        <v>2470</v>
      </c>
      <c r="E795">
        <v>1996445</v>
      </c>
      <c r="F795" t="s">
        <v>2469</v>
      </c>
      <c r="G795" t="s">
        <v>16</v>
      </c>
      <c r="H795" t="s">
        <v>15</v>
      </c>
      <c r="I795" t="s">
        <v>2468</v>
      </c>
      <c r="J795">
        <v>60012957</v>
      </c>
      <c r="K795" t="s">
        <v>2467</v>
      </c>
      <c r="L795" t="s">
        <v>2096</v>
      </c>
      <c r="M795" t="s">
        <v>57</v>
      </c>
      <c r="N795">
        <v>3</v>
      </c>
      <c r="O795" t="s">
        <v>2466</v>
      </c>
      <c r="P795" t="s">
        <v>2465</v>
      </c>
      <c r="Q795" t="s">
        <v>2464</v>
      </c>
      <c r="R795" s="7">
        <v>33239</v>
      </c>
      <c r="S795" s="8">
        <f t="shared" si="96"/>
        <v>1991</v>
      </c>
      <c r="T795" s="8">
        <v>1991</v>
      </c>
      <c r="U795" s="8">
        <f t="shared" si="97"/>
        <v>31</v>
      </c>
      <c r="V795" s="7">
        <v>33298</v>
      </c>
      <c r="W795" t="s">
        <v>2463</v>
      </c>
      <c r="X795" s="2" t="s">
        <v>33</v>
      </c>
      <c r="Y795" s="6" t="e">
        <f t="shared" si="102"/>
        <v>#VALUE!</v>
      </c>
      <c r="AA795">
        <v>903019</v>
      </c>
      <c r="AB795">
        <v>19199</v>
      </c>
      <c r="AD795" t="s">
        <v>5</v>
      </c>
      <c r="AE795">
        <v>35</v>
      </c>
      <c r="AF795">
        <v>3</v>
      </c>
      <c r="AH795" t="s">
        <v>2462</v>
      </c>
      <c r="AI795" t="s">
        <v>2461</v>
      </c>
      <c r="AJ795" t="s">
        <v>2460</v>
      </c>
      <c r="AK795" t="s">
        <v>2459</v>
      </c>
      <c r="AL795">
        <v>60</v>
      </c>
      <c r="AM795" s="5">
        <f t="shared" si="98"/>
        <v>1.935483870967742</v>
      </c>
      <c r="AN795" s="4">
        <f t="shared" si="103"/>
        <v>2.9314409253581855E-3</v>
      </c>
      <c r="AO795" s="3"/>
      <c r="AP795">
        <v>0</v>
      </c>
      <c r="AQ795" t="s">
        <v>2458</v>
      </c>
      <c r="AR795" t="s">
        <v>0</v>
      </c>
      <c r="AS795" t="s">
        <v>2457</v>
      </c>
      <c r="AT795" s="2" t="s">
        <v>33</v>
      </c>
      <c r="AU795" s="1" t="e">
        <f t="shared" si="99"/>
        <v>#VALUE!</v>
      </c>
      <c r="AV795" s="1" t="e">
        <f t="shared" si="100"/>
        <v>#VALUE!</v>
      </c>
      <c r="AW795" s="1" t="e">
        <f t="shared" si="101"/>
        <v>#VALUE!</v>
      </c>
    </row>
    <row r="796" spans="1:49" x14ac:dyDescent="0.2">
      <c r="A796">
        <v>794</v>
      </c>
      <c r="B796" t="s">
        <v>2456</v>
      </c>
      <c r="C796" t="s">
        <v>2455</v>
      </c>
      <c r="F796" t="s">
        <v>2454</v>
      </c>
      <c r="G796" t="s">
        <v>16</v>
      </c>
      <c r="H796" t="s">
        <v>15</v>
      </c>
      <c r="I796" t="s">
        <v>2453</v>
      </c>
      <c r="N796">
        <v>1</v>
      </c>
      <c r="O796" t="s">
        <v>2452</v>
      </c>
      <c r="P796">
        <v>26643441900</v>
      </c>
      <c r="R796" s="7">
        <v>33239</v>
      </c>
      <c r="S796" s="8">
        <f t="shared" si="96"/>
        <v>1991</v>
      </c>
      <c r="T796" s="8">
        <v>1991</v>
      </c>
      <c r="U796" s="8">
        <f t="shared" si="97"/>
        <v>31</v>
      </c>
      <c r="V796" s="7">
        <v>1991</v>
      </c>
      <c r="W796" t="s">
        <v>2029</v>
      </c>
      <c r="X796" s="2" t="s">
        <v>33</v>
      </c>
      <c r="Y796" s="6" t="e">
        <f t="shared" si="102"/>
        <v>#VALUE!</v>
      </c>
      <c r="AA796">
        <v>7390572</v>
      </c>
      <c r="AB796">
        <v>13549</v>
      </c>
      <c r="AD796" t="s">
        <v>5</v>
      </c>
      <c r="AE796">
        <v>8</v>
      </c>
      <c r="AF796" s="9">
        <v>44288</v>
      </c>
      <c r="AH796" t="s">
        <v>2451</v>
      </c>
      <c r="AI796" t="s">
        <v>2450</v>
      </c>
      <c r="AK796" t="s">
        <v>2449</v>
      </c>
      <c r="AL796">
        <v>11</v>
      </c>
      <c r="AM796" s="5">
        <f t="shared" si="98"/>
        <v>0.35483870967741937</v>
      </c>
      <c r="AN796" s="4">
        <f t="shared" si="103"/>
        <v>5.3743083631566731E-4</v>
      </c>
      <c r="AO796" s="3"/>
      <c r="AP796">
        <v>0</v>
      </c>
      <c r="AR796" t="s">
        <v>0</v>
      </c>
      <c r="AT796" s="2" t="s">
        <v>33</v>
      </c>
      <c r="AU796" s="1" t="e">
        <f t="shared" si="99"/>
        <v>#VALUE!</v>
      </c>
      <c r="AV796" s="1" t="e">
        <f t="shared" si="100"/>
        <v>#VALUE!</v>
      </c>
      <c r="AW796" s="1" t="e">
        <f t="shared" si="101"/>
        <v>#VALUE!</v>
      </c>
    </row>
    <row r="797" spans="1:49" x14ac:dyDescent="0.2">
      <c r="A797">
        <v>795</v>
      </c>
      <c r="B797" t="s">
        <v>2448</v>
      </c>
      <c r="C797" t="s">
        <v>2447</v>
      </c>
      <c r="F797" t="s">
        <v>2446</v>
      </c>
      <c r="G797" t="s">
        <v>16</v>
      </c>
      <c r="H797" t="s">
        <v>15</v>
      </c>
      <c r="I797" t="s">
        <v>2445</v>
      </c>
      <c r="J797">
        <v>60017161</v>
      </c>
      <c r="K797" t="s">
        <v>2444</v>
      </c>
      <c r="L797" t="s">
        <v>1408</v>
      </c>
      <c r="M797" t="s">
        <v>1407</v>
      </c>
      <c r="N797">
        <v>1</v>
      </c>
      <c r="O797" t="s">
        <v>2443</v>
      </c>
      <c r="P797">
        <v>7202596473</v>
      </c>
      <c r="Q797">
        <v>60017161</v>
      </c>
      <c r="R797" s="7">
        <v>33239</v>
      </c>
      <c r="S797" s="8">
        <f t="shared" si="96"/>
        <v>1991</v>
      </c>
      <c r="T797" s="8">
        <v>1991</v>
      </c>
      <c r="U797" s="8">
        <f t="shared" si="97"/>
        <v>31</v>
      </c>
      <c r="V797" s="7">
        <v>33239</v>
      </c>
      <c r="W797" t="s">
        <v>1807</v>
      </c>
      <c r="X797" s="2">
        <v>1.6519999999999999</v>
      </c>
      <c r="Y797" s="6">
        <f t="shared" si="102"/>
        <v>4.409919649769093E-2</v>
      </c>
      <c r="AA797" t="s">
        <v>1806</v>
      </c>
      <c r="AB797">
        <v>17337</v>
      </c>
      <c r="AC797">
        <v>15582221</v>
      </c>
      <c r="AD797" t="s">
        <v>5</v>
      </c>
      <c r="AE797">
        <v>39</v>
      </c>
      <c r="AF797">
        <v>1</v>
      </c>
      <c r="AH797" t="s">
        <v>2442</v>
      </c>
      <c r="AI797" t="s">
        <v>2441</v>
      </c>
      <c r="AK797" t="s">
        <v>2440</v>
      </c>
      <c r="AL797">
        <v>7</v>
      </c>
      <c r="AM797" s="5">
        <f t="shared" si="98"/>
        <v>0.22580645161290322</v>
      </c>
      <c r="AN797" s="4">
        <f t="shared" si="103"/>
        <v>3.420014412917883E-4</v>
      </c>
      <c r="AO797" s="3"/>
      <c r="AP797">
        <v>0</v>
      </c>
      <c r="AR797" t="s">
        <v>0</v>
      </c>
      <c r="AT797" s="2" t="s">
        <v>33</v>
      </c>
      <c r="AU797" s="1">
        <f t="shared" si="99"/>
        <v>3.0972037980771185</v>
      </c>
      <c r="AV797" s="1">
        <f t="shared" si="100"/>
        <v>2.2220598969491361</v>
      </c>
      <c r="AW797" s="1">
        <f t="shared" si="101"/>
        <v>1.346915995821153</v>
      </c>
    </row>
    <row r="798" spans="1:49" x14ac:dyDescent="0.2">
      <c r="A798">
        <v>796</v>
      </c>
      <c r="B798" t="s">
        <v>2439</v>
      </c>
      <c r="C798" t="s">
        <v>2438</v>
      </c>
      <c r="E798">
        <v>1806646</v>
      </c>
      <c r="F798" t="s">
        <v>2437</v>
      </c>
      <c r="G798" t="s">
        <v>16</v>
      </c>
      <c r="H798" t="s">
        <v>15</v>
      </c>
      <c r="I798" t="s">
        <v>2436</v>
      </c>
      <c r="J798" t="s">
        <v>2435</v>
      </c>
      <c r="K798" t="s">
        <v>2434</v>
      </c>
      <c r="L798" t="s">
        <v>2433</v>
      </c>
      <c r="M798" t="s">
        <v>133</v>
      </c>
      <c r="N798">
        <v>6</v>
      </c>
      <c r="O798" t="s">
        <v>2432</v>
      </c>
      <c r="P798" t="s">
        <v>2431</v>
      </c>
      <c r="Q798" t="s">
        <v>2430</v>
      </c>
      <c r="R798" s="7">
        <v>33239</v>
      </c>
      <c r="S798" s="8">
        <f t="shared" si="96"/>
        <v>1991</v>
      </c>
      <c r="T798" s="8">
        <v>1991</v>
      </c>
      <c r="U798" s="8">
        <f t="shared" si="97"/>
        <v>31</v>
      </c>
      <c r="V798" s="7">
        <v>1991</v>
      </c>
      <c r="W798" t="s">
        <v>609</v>
      </c>
      <c r="X798" s="2">
        <v>0.89600000000000002</v>
      </c>
      <c r="Y798" s="6">
        <f t="shared" si="102"/>
        <v>2.3918208269934065E-2</v>
      </c>
      <c r="AA798">
        <v>2656736</v>
      </c>
      <c r="AB798">
        <v>29901</v>
      </c>
      <c r="AD798" t="s">
        <v>5</v>
      </c>
      <c r="AE798">
        <v>7</v>
      </c>
      <c r="AF798">
        <v>6</v>
      </c>
      <c r="AH798" t="s">
        <v>2429</v>
      </c>
      <c r="AI798" t="s">
        <v>2428</v>
      </c>
      <c r="AJ798" t="s">
        <v>2427</v>
      </c>
      <c r="AK798" t="s">
        <v>2426</v>
      </c>
      <c r="AL798">
        <v>19</v>
      </c>
      <c r="AM798" s="5">
        <f t="shared" si="98"/>
        <v>0.61290322580645162</v>
      </c>
      <c r="AN798" s="4">
        <f t="shared" si="103"/>
        <v>9.2828962636342543E-4</v>
      </c>
      <c r="AO798" s="3"/>
      <c r="AP798">
        <v>0</v>
      </c>
      <c r="AR798" t="s">
        <v>0</v>
      </c>
      <c r="AT798" s="2">
        <v>3.9140000000000001</v>
      </c>
      <c r="AU798" s="1">
        <f t="shared" si="99"/>
        <v>1.7021232676862872</v>
      </c>
      <c r="AV798" s="1">
        <f t="shared" si="100"/>
        <v>1.2423248948148744</v>
      </c>
      <c r="AW798" s="1">
        <f t="shared" si="101"/>
        <v>0.78252652194346162</v>
      </c>
    </row>
    <row r="799" spans="1:49" x14ac:dyDescent="0.2">
      <c r="A799">
        <v>797</v>
      </c>
      <c r="B799" t="s">
        <v>2425</v>
      </c>
      <c r="C799" t="s">
        <v>2424</v>
      </c>
      <c r="E799">
        <v>2051072</v>
      </c>
      <c r="F799" t="s">
        <v>2423</v>
      </c>
      <c r="G799" t="s">
        <v>16</v>
      </c>
      <c r="H799" t="s">
        <v>15</v>
      </c>
      <c r="I799" t="s">
        <v>2422</v>
      </c>
      <c r="J799">
        <v>60026227</v>
      </c>
      <c r="K799" t="s">
        <v>2421</v>
      </c>
      <c r="L799" t="s">
        <v>2420</v>
      </c>
      <c r="M799" t="s">
        <v>57</v>
      </c>
      <c r="N799">
        <v>2</v>
      </c>
      <c r="O799" t="s">
        <v>2419</v>
      </c>
      <c r="P799" t="s">
        <v>2418</v>
      </c>
      <c r="Q799" t="s">
        <v>2417</v>
      </c>
      <c r="R799" s="7">
        <v>33239</v>
      </c>
      <c r="S799" s="8">
        <f t="shared" si="96"/>
        <v>1991</v>
      </c>
      <c r="T799" s="8">
        <v>1991</v>
      </c>
      <c r="U799" s="8">
        <f t="shared" si="97"/>
        <v>31</v>
      </c>
      <c r="V799" s="7">
        <v>1991</v>
      </c>
      <c r="W799" t="s">
        <v>609</v>
      </c>
      <c r="X799" s="2">
        <v>0.89600000000000002</v>
      </c>
      <c r="Y799" s="6">
        <f t="shared" si="102"/>
        <v>2.3918208269934065E-2</v>
      </c>
      <c r="AA799">
        <v>2656736</v>
      </c>
      <c r="AB799">
        <v>29901</v>
      </c>
      <c r="AD799" t="s">
        <v>5</v>
      </c>
      <c r="AE799">
        <v>7</v>
      </c>
      <c r="AF799">
        <v>1</v>
      </c>
      <c r="AH799" t="s">
        <v>2416</v>
      </c>
      <c r="AI799" t="s">
        <v>2415</v>
      </c>
      <c r="AJ799" t="s">
        <v>2414</v>
      </c>
      <c r="AK799" t="s">
        <v>2413</v>
      </c>
      <c r="AL799">
        <v>1</v>
      </c>
      <c r="AM799" s="5">
        <f t="shared" si="98"/>
        <v>3.2258064516129031E-2</v>
      </c>
      <c r="AN799" s="4">
        <f t="shared" si="103"/>
        <v>4.8857348755969758E-5</v>
      </c>
      <c r="AO799" s="3"/>
      <c r="AP799">
        <v>0</v>
      </c>
      <c r="AQ799" t="s">
        <v>508</v>
      </c>
      <c r="AR799" t="s">
        <v>2412</v>
      </c>
      <c r="AS799" t="s">
        <v>507</v>
      </c>
      <c r="AT799" s="2">
        <v>3.9140000000000001</v>
      </c>
      <c r="AU799" s="1">
        <f t="shared" si="99"/>
        <v>1.6757402993580635</v>
      </c>
      <c r="AV799" s="1">
        <f t="shared" si="100"/>
        <v>1.1983532809345019</v>
      </c>
      <c r="AW799" s="1">
        <f t="shared" si="101"/>
        <v>0.72096626251093976</v>
      </c>
    </row>
    <row r="800" spans="1:49" x14ac:dyDescent="0.2">
      <c r="A800">
        <v>798</v>
      </c>
      <c r="B800" t="s">
        <v>2411</v>
      </c>
      <c r="C800" t="s">
        <v>2410</v>
      </c>
      <c r="F800" t="s">
        <v>2409</v>
      </c>
      <c r="G800" t="s">
        <v>16</v>
      </c>
      <c r="H800" t="s">
        <v>15</v>
      </c>
      <c r="I800" t="s">
        <v>2408</v>
      </c>
      <c r="J800" t="s">
        <v>2407</v>
      </c>
      <c r="K800" t="s">
        <v>2406</v>
      </c>
      <c r="L800" t="s">
        <v>2405</v>
      </c>
      <c r="M800" t="s">
        <v>821</v>
      </c>
      <c r="N800">
        <v>3</v>
      </c>
      <c r="O800" t="s">
        <v>2404</v>
      </c>
      <c r="P800" t="s">
        <v>2403</v>
      </c>
      <c r="Q800" t="s">
        <v>2402</v>
      </c>
      <c r="R800" s="7">
        <v>33239</v>
      </c>
      <c r="S800" s="8">
        <f t="shared" si="96"/>
        <v>1991</v>
      </c>
      <c r="T800" s="8">
        <v>1991</v>
      </c>
      <c r="U800" s="8">
        <f t="shared" si="97"/>
        <v>31</v>
      </c>
      <c r="V800" s="7">
        <v>33239</v>
      </c>
      <c r="W800" t="s">
        <v>1807</v>
      </c>
      <c r="X800" s="2">
        <v>1.6519999999999999</v>
      </c>
      <c r="Y800" s="6">
        <f t="shared" si="102"/>
        <v>4.409919649769093E-2</v>
      </c>
      <c r="AA800" t="s">
        <v>1806</v>
      </c>
      <c r="AB800">
        <v>17337</v>
      </c>
      <c r="AC800">
        <v>15582221</v>
      </c>
      <c r="AD800" t="s">
        <v>5</v>
      </c>
      <c r="AE800">
        <v>39</v>
      </c>
      <c r="AF800">
        <v>1</v>
      </c>
      <c r="AH800" s="9">
        <v>44378</v>
      </c>
      <c r="AI800" t="s">
        <v>2401</v>
      </c>
      <c r="AK800" t="s">
        <v>2400</v>
      </c>
      <c r="AL800">
        <v>9</v>
      </c>
      <c r="AM800" s="5">
        <f t="shared" si="98"/>
        <v>0.29032258064516131</v>
      </c>
      <c r="AN800" s="4">
        <f t="shared" si="103"/>
        <v>4.3971613880372783E-4</v>
      </c>
      <c r="AO800" s="3"/>
      <c r="AP800">
        <v>0</v>
      </c>
      <c r="AR800" t="s">
        <v>0</v>
      </c>
      <c r="AT800" s="2" t="s">
        <v>33</v>
      </c>
      <c r="AU800" s="1">
        <f t="shared" si="99"/>
        <v>3.1001352390024768</v>
      </c>
      <c r="AV800" s="1">
        <f t="shared" si="100"/>
        <v>2.2269456318247327</v>
      </c>
      <c r="AW800" s="1">
        <f t="shared" si="101"/>
        <v>1.3537560246469886</v>
      </c>
    </row>
    <row r="801" spans="1:49" x14ac:dyDescent="0.2">
      <c r="A801">
        <v>799</v>
      </c>
      <c r="B801" t="s">
        <v>2399</v>
      </c>
      <c r="C801" t="s">
        <v>2398</v>
      </c>
      <c r="F801" t="s">
        <v>2397</v>
      </c>
      <c r="G801" t="s">
        <v>16</v>
      </c>
      <c r="H801" t="s">
        <v>15</v>
      </c>
      <c r="I801" t="s">
        <v>2396</v>
      </c>
      <c r="J801">
        <v>60025778</v>
      </c>
      <c r="K801" t="s">
        <v>2395</v>
      </c>
      <c r="L801" t="s">
        <v>2394</v>
      </c>
      <c r="M801" t="s">
        <v>57</v>
      </c>
      <c r="N801">
        <v>4</v>
      </c>
      <c r="O801" t="s">
        <v>2393</v>
      </c>
      <c r="P801" t="s">
        <v>2392</v>
      </c>
      <c r="Q801" t="s">
        <v>2391</v>
      </c>
      <c r="R801" s="7">
        <v>33239</v>
      </c>
      <c r="S801" s="8">
        <f t="shared" si="96"/>
        <v>1991</v>
      </c>
      <c r="T801" s="8">
        <v>1991</v>
      </c>
      <c r="U801" s="8">
        <f t="shared" si="97"/>
        <v>31</v>
      </c>
      <c r="V801" s="7">
        <v>33239</v>
      </c>
      <c r="W801" t="s">
        <v>1807</v>
      </c>
      <c r="X801" s="2">
        <v>1.6519999999999999</v>
      </c>
      <c r="Y801" s="6">
        <f t="shared" si="102"/>
        <v>4.409919649769093E-2</v>
      </c>
      <c r="AA801" t="s">
        <v>1806</v>
      </c>
      <c r="AB801">
        <v>17337</v>
      </c>
      <c r="AC801">
        <v>15582221</v>
      </c>
      <c r="AD801" t="s">
        <v>5</v>
      </c>
      <c r="AE801">
        <v>39</v>
      </c>
      <c r="AF801">
        <v>1</v>
      </c>
      <c r="AH801" t="s">
        <v>2390</v>
      </c>
      <c r="AI801" t="s">
        <v>2389</v>
      </c>
      <c r="AK801" t="s">
        <v>2388</v>
      </c>
      <c r="AL801">
        <v>107</v>
      </c>
      <c r="AM801" s="5">
        <f t="shared" si="98"/>
        <v>3.4516129032258065</v>
      </c>
      <c r="AN801" s="4">
        <f t="shared" si="103"/>
        <v>5.2277363168887637E-3</v>
      </c>
      <c r="AO801" s="3"/>
      <c r="AP801">
        <v>0</v>
      </c>
      <c r="AR801" t="s">
        <v>0</v>
      </c>
      <c r="AT801" s="2" t="s">
        <v>33</v>
      </c>
      <c r="AU801" s="1">
        <f t="shared" si="99"/>
        <v>3.243775844345028</v>
      </c>
      <c r="AV801" s="1">
        <f t="shared" si="100"/>
        <v>2.4663466407289847</v>
      </c>
      <c r="AW801" s="1">
        <f t="shared" si="101"/>
        <v>1.6889174371129412</v>
      </c>
    </row>
    <row r="802" spans="1:49" x14ac:dyDescent="0.2">
      <c r="A802">
        <v>800</v>
      </c>
      <c r="B802" t="s">
        <v>2387</v>
      </c>
      <c r="C802" t="s">
        <v>2386</v>
      </c>
      <c r="E802">
        <v>1997888</v>
      </c>
      <c r="F802" t="s">
        <v>2385</v>
      </c>
      <c r="G802" t="s">
        <v>16</v>
      </c>
      <c r="H802" t="s">
        <v>15</v>
      </c>
      <c r="I802" t="s">
        <v>2384</v>
      </c>
      <c r="J802">
        <v>60023691</v>
      </c>
      <c r="K802" t="s">
        <v>2383</v>
      </c>
      <c r="L802" t="s">
        <v>2382</v>
      </c>
      <c r="M802" t="s">
        <v>57</v>
      </c>
      <c r="N802">
        <v>11</v>
      </c>
      <c r="O802" t="s">
        <v>2381</v>
      </c>
      <c r="P802" t="s">
        <v>2380</v>
      </c>
      <c r="Q802" t="s">
        <v>2379</v>
      </c>
      <c r="R802" s="7">
        <v>33239</v>
      </c>
      <c r="S802" s="8">
        <f t="shared" si="96"/>
        <v>1991</v>
      </c>
      <c r="T802" s="8">
        <v>1991</v>
      </c>
      <c r="U802" s="8">
        <f t="shared" si="97"/>
        <v>31</v>
      </c>
      <c r="V802" s="7">
        <v>1991</v>
      </c>
      <c r="W802" t="s">
        <v>2378</v>
      </c>
      <c r="X802" s="2">
        <v>1.4550000000000001</v>
      </c>
      <c r="Y802" s="6">
        <f t="shared" si="102"/>
        <v>3.8840394009770164E-2</v>
      </c>
      <c r="AA802" t="s">
        <v>2377</v>
      </c>
      <c r="AB802">
        <v>18069</v>
      </c>
      <c r="AD802" t="s">
        <v>5</v>
      </c>
      <c r="AE802">
        <v>28</v>
      </c>
      <c r="AF802">
        <v>2</v>
      </c>
      <c r="AH802" t="s">
        <v>2376</v>
      </c>
      <c r="AI802" t="s">
        <v>2375</v>
      </c>
      <c r="AJ802" t="s">
        <v>2374</v>
      </c>
      <c r="AK802" t="s">
        <v>2373</v>
      </c>
      <c r="AL802">
        <v>53</v>
      </c>
      <c r="AM802" s="5">
        <f t="shared" si="98"/>
        <v>1.7096774193548387</v>
      </c>
      <c r="AN802" s="4">
        <f t="shared" si="103"/>
        <v>2.589439484066397E-3</v>
      </c>
      <c r="AO802" s="3"/>
      <c r="AP802">
        <v>0</v>
      </c>
      <c r="AQ802" t="s">
        <v>1129</v>
      </c>
      <c r="AR802" t="s">
        <v>2372</v>
      </c>
      <c r="AS802" t="s">
        <v>1127</v>
      </c>
      <c r="AT802" s="2">
        <v>4.6539999999999999</v>
      </c>
      <c r="AU802" s="1">
        <f t="shared" si="99"/>
        <v>2.7965107652059036</v>
      </c>
      <c r="AV802" s="1">
        <f t="shared" si="100"/>
        <v>2.0714916746918282</v>
      </c>
      <c r="AW802" s="1">
        <f t="shared" si="101"/>
        <v>1.3464725841777527</v>
      </c>
    </row>
    <row r="803" spans="1:49" x14ac:dyDescent="0.2">
      <c r="A803">
        <v>801</v>
      </c>
      <c r="B803" t="s">
        <v>2371</v>
      </c>
      <c r="C803" t="s">
        <v>2370</v>
      </c>
      <c r="F803" t="s">
        <v>2369</v>
      </c>
      <c r="G803" t="s">
        <v>16</v>
      </c>
      <c r="H803" t="s">
        <v>15</v>
      </c>
      <c r="I803" t="s">
        <v>2368</v>
      </c>
      <c r="N803">
        <v>1</v>
      </c>
      <c r="O803" t="s">
        <v>2367</v>
      </c>
      <c r="P803">
        <v>57196566493</v>
      </c>
      <c r="R803" s="7">
        <v>33239</v>
      </c>
      <c r="S803" s="8">
        <f t="shared" si="96"/>
        <v>1991</v>
      </c>
      <c r="T803" s="8">
        <v>1991</v>
      </c>
      <c r="U803" s="8">
        <f t="shared" si="97"/>
        <v>31</v>
      </c>
      <c r="V803" s="7">
        <v>1991</v>
      </c>
      <c r="W803" t="s">
        <v>2029</v>
      </c>
      <c r="X803" s="2" t="s">
        <v>33</v>
      </c>
      <c r="Y803" s="6" t="e">
        <f t="shared" si="102"/>
        <v>#VALUE!</v>
      </c>
      <c r="AA803">
        <v>7390572</v>
      </c>
      <c r="AB803">
        <v>13549</v>
      </c>
      <c r="AD803" t="s">
        <v>5</v>
      </c>
      <c r="AE803">
        <v>8</v>
      </c>
      <c r="AF803">
        <v>6</v>
      </c>
      <c r="AH803" t="s">
        <v>2366</v>
      </c>
      <c r="AI803" t="s">
        <v>2365</v>
      </c>
      <c r="AK803" t="s">
        <v>2364</v>
      </c>
      <c r="AL803">
        <v>2</v>
      </c>
      <c r="AM803" s="5">
        <f t="shared" si="98"/>
        <v>6.4516129032258063E-2</v>
      </c>
      <c r="AN803" s="4">
        <f t="shared" si="103"/>
        <v>9.7714697511939517E-5</v>
      </c>
      <c r="AO803" s="3"/>
      <c r="AP803">
        <v>0</v>
      </c>
      <c r="AR803" t="s">
        <v>0</v>
      </c>
      <c r="AT803" s="2" t="s">
        <v>33</v>
      </c>
      <c r="AU803" s="1" t="e">
        <f t="shared" si="99"/>
        <v>#VALUE!</v>
      </c>
      <c r="AV803" s="1" t="e">
        <f t="shared" si="100"/>
        <v>#VALUE!</v>
      </c>
      <c r="AW803" s="1" t="e">
        <f t="shared" si="101"/>
        <v>#VALUE!</v>
      </c>
    </row>
    <row r="804" spans="1:49" x14ac:dyDescent="0.2">
      <c r="A804">
        <v>802</v>
      </c>
      <c r="B804" t="s">
        <v>2363</v>
      </c>
      <c r="C804" t="s">
        <v>2362</v>
      </c>
      <c r="F804" t="s">
        <v>2361</v>
      </c>
      <c r="G804" t="s">
        <v>16</v>
      </c>
      <c r="H804" t="s">
        <v>15</v>
      </c>
      <c r="I804" t="s">
        <v>2360</v>
      </c>
      <c r="J804" t="s">
        <v>2359</v>
      </c>
      <c r="K804" t="s">
        <v>2358</v>
      </c>
      <c r="L804" t="s">
        <v>2357</v>
      </c>
      <c r="M804" t="s">
        <v>1678</v>
      </c>
      <c r="N804">
        <v>3</v>
      </c>
      <c r="O804" t="s">
        <v>2356</v>
      </c>
      <c r="P804" t="s">
        <v>2355</v>
      </c>
      <c r="Q804" t="s">
        <v>2354</v>
      </c>
      <c r="R804" s="7">
        <v>33239</v>
      </c>
      <c r="S804" s="8">
        <f t="shared" si="96"/>
        <v>1991</v>
      </c>
      <c r="T804" s="8">
        <v>1991</v>
      </c>
      <c r="U804" s="8">
        <f t="shared" si="97"/>
        <v>31</v>
      </c>
      <c r="V804" s="7">
        <v>33239</v>
      </c>
      <c r="W804" t="s">
        <v>1807</v>
      </c>
      <c r="X804" s="2">
        <v>1.6519999999999999</v>
      </c>
      <c r="Y804" s="6">
        <f t="shared" si="102"/>
        <v>4.409919649769093E-2</v>
      </c>
      <c r="AA804" t="s">
        <v>1806</v>
      </c>
      <c r="AB804">
        <v>17337</v>
      </c>
      <c r="AC804">
        <v>15582221</v>
      </c>
      <c r="AD804" t="s">
        <v>5</v>
      </c>
      <c r="AE804">
        <v>39</v>
      </c>
      <c r="AF804">
        <v>1</v>
      </c>
      <c r="AH804" t="s">
        <v>2353</v>
      </c>
      <c r="AI804" t="s">
        <v>2352</v>
      </c>
      <c r="AK804" t="s">
        <v>2351</v>
      </c>
      <c r="AL804">
        <v>88</v>
      </c>
      <c r="AM804" s="5">
        <f t="shared" si="98"/>
        <v>2.838709677419355</v>
      </c>
      <c r="AN804" s="4">
        <f t="shared" si="103"/>
        <v>4.2994466905253385E-3</v>
      </c>
      <c r="AO804" s="3"/>
      <c r="AP804">
        <v>0</v>
      </c>
      <c r="AR804" t="s">
        <v>0</v>
      </c>
      <c r="AT804" s="2" t="s">
        <v>33</v>
      </c>
      <c r="AU804" s="1">
        <f t="shared" si="99"/>
        <v>3.2159271555541253</v>
      </c>
      <c r="AV804" s="1">
        <f t="shared" si="100"/>
        <v>2.4199321594108132</v>
      </c>
      <c r="AW804" s="1">
        <f t="shared" si="101"/>
        <v>1.6239371632675015</v>
      </c>
    </row>
    <row r="805" spans="1:49" x14ac:dyDescent="0.2">
      <c r="A805">
        <v>803</v>
      </c>
      <c r="B805" t="s">
        <v>2350</v>
      </c>
      <c r="C805" t="s">
        <v>2349</v>
      </c>
      <c r="F805" t="s">
        <v>2348</v>
      </c>
      <c r="G805" t="s">
        <v>16</v>
      </c>
      <c r="H805" t="s">
        <v>15</v>
      </c>
      <c r="I805" t="s">
        <v>2347</v>
      </c>
      <c r="J805">
        <v>60005322</v>
      </c>
      <c r="K805" t="s">
        <v>2346</v>
      </c>
      <c r="L805" t="s">
        <v>2345</v>
      </c>
      <c r="M805" t="s">
        <v>25</v>
      </c>
      <c r="N805">
        <v>2</v>
      </c>
      <c r="O805" t="s">
        <v>2344</v>
      </c>
      <c r="P805" t="s">
        <v>2343</v>
      </c>
      <c r="Q805" t="s">
        <v>2342</v>
      </c>
      <c r="R805" s="7">
        <v>33239</v>
      </c>
      <c r="S805" s="8">
        <f t="shared" si="96"/>
        <v>1991</v>
      </c>
      <c r="T805" s="8">
        <v>1991</v>
      </c>
      <c r="U805" s="8">
        <f t="shared" si="97"/>
        <v>31</v>
      </c>
      <c r="V805" s="7" t="s">
        <v>1846</v>
      </c>
      <c r="W805" t="s">
        <v>53</v>
      </c>
      <c r="X805" s="2">
        <v>0.22500000000000001</v>
      </c>
      <c r="Y805" s="6">
        <f t="shared" si="102"/>
        <v>6.0062464963562111E-3</v>
      </c>
      <c r="AA805">
        <v>2726343</v>
      </c>
      <c r="AB805">
        <v>16128</v>
      </c>
      <c r="AC805" t="s">
        <v>52</v>
      </c>
      <c r="AD805" t="s">
        <v>5</v>
      </c>
      <c r="AE805">
        <v>11</v>
      </c>
      <c r="AF805">
        <v>1</v>
      </c>
      <c r="AH805" t="s">
        <v>2341</v>
      </c>
      <c r="AI805" t="s">
        <v>2340</v>
      </c>
      <c r="AK805" t="s">
        <v>2339</v>
      </c>
      <c r="AL805">
        <v>5</v>
      </c>
      <c r="AM805" s="5">
        <f t="shared" si="98"/>
        <v>0.16129032258064516</v>
      </c>
      <c r="AN805" s="4">
        <f t="shared" si="103"/>
        <v>2.4428674377984877E-4</v>
      </c>
      <c r="AO805" s="3"/>
      <c r="AP805">
        <v>0</v>
      </c>
      <c r="AR805" t="s">
        <v>0</v>
      </c>
      <c r="AT805" s="2">
        <v>1.099</v>
      </c>
      <c r="AU805" s="1">
        <f t="shared" si="99"/>
        <v>0.4277658570583302</v>
      </c>
      <c r="AV805" s="1">
        <f t="shared" si="100"/>
        <v>0.31252666200680301</v>
      </c>
      <c r="AW805" s="1">
        <f t="shared" si="101"/>
        <v>0.19728746695527574</v>
      </c>
    </row>
    <row r="806" spans="1:49" x14ac:dyDescent="0.2">
      <c r="A806">
        <v>804</v>
      </c>
      <c r="B806" t="s">
        <v>2338</v>
      </c>
      <c r="C806" t="s">
        <v>2337</v>
      </c>
      <c r="F806" t="s">
        <v>2336</v>
      </c>
      <c r="G806" t="s">
        <v>16</v>
      </c>
      <c r="H806" t="s">
        <v>15</v>
      </c>
      <c r="I806" t="s">
        <v>2335</v>
      </c>
      <c r="J806" t="s">
        <v>2334</v>
      </c>
      <c r="K806" t="s">
        <v>2333</v>
      </c>
      <c r="L806" t="s">
        <v>2332</v>
      </c>
      <c r="M806" t="s">
        <v>133</v>
      </c>
      <c r="N806">
        <v>3</v>
      </c>
      <c r="O806" t="s">
        <v>2331</v>
      </c>
      <c r="P806" t="s">
        <v>2330</v>
      </c>
      <c r="Q806" t="s">
        <v>2329</v>
      </c>
      <c r="R806" s="7">
        <v>33239</v>
      </c>
      <c r="S806" s="8">
        <f t="shared" si="96"/>
        <v>1991</v>
      </c>
      <c r="T806" s="8">
        <v>1991</v>
      </c>
      <c r="U806" s="8">
        <f t="shared" si="97"/>
        <v>31</v>
      </c>
      <c r="V806" s="7">
        <v>33270</v>
      </c>
      <c r="W806" t="s">
        <v>1353</v>
      </c>
      <c r="X806" s="2">
        <v>0.61899999999999999</v>
      </c>
      <c r="Y806" s="6">
        <f t="shared" si="102"/>
        <v>1.6523851472197752E-2</v>
      </c>
      <c r="AA806">
        <v>14966</v>
      </c>
      <c r="AB806">
        <v>12936</v>
      </c>
      <c r="AC806" t="s">
        <v>1068</v>
      </c>
      <c r="AD806" t="s">
        <v>5</v>
      </c>
      <c r="AE806">
        <v>89</v>
      </c>
      <c r="AF806">
        <v>2</v>
      </c>
      <c r="AH806" t="s">
        <v>2328</v>
      </c>
      <c r="AI806" t="s">
        <v>2327</v>
      </c>
      <c r="AK806" t="s">
        <v>2326</v>
      </c>
      <c r="AL806">
        <v>2</v>
      </c>
      <c r="AM806" s="5">
        <f t="shared" si="98"/>
        <v>6.4516129032258063E-2</v>
      </c>
      <c r="AN806" s="4">
        <f t="shared" si="103"/>
        <v>9.7714697511939517E-5</v>
      </c>
      <c r="AO806" s="3"/>
      <c r="AP806">
        <v>0</v>
      </c>
      <c r="AR806" t="s">
        <v>0</v>
      </c>
      <c r="AT806" s="2" t="s">
        <v>33</v>
      </c>
      <c r="AU806" s="1">
        <f t="shared" si="99"/>
        <v>1.1596010439792006</v>
      </c>
      <c r="AV806" s="1">
        <f t="shared" si="100"/>
        <v>0.83107830848548458</v>
      </c>
      <c r="AW806" s="1">
        <f t="shared" si="101"/>
        <v>0.50255557299176834</v>
      </c>
    </row>
    <row r="807" spans="1:49" x14ac:dyDescent="0.2">
      <c r="A807">
        <v>805</v>
      </c>
      <c r="B807" t="s">
        <v>2325</v>
      </c>
      <c r="C807" t="s">
        <v>2324</v>
      </c>
      <c r="F807" t="s">
        <v>2323</v>
      </c>
      <c r="G807" t="s">
        <v>16</v>
      </c>
      <c r="H807" t="s">
        <v>15</v>
      </c>
      <c r="I807" t="s">
        <v>2322</v>
      </c>
      <c r="J807">
        <v>60005429</v>
      </c>
      <c r="K807" t="s">
        <v>2321</v>
      </c>
      <c r="L807" t="s">
        <v>2320</v>
      </c>
      <c r="M807" t="s">
        <v>2319</v>
      </c>
      <c r="N807">
        <v>3</v>
      </c>
      <c r="O807" t="s">
        <v>2318</v>
      </c>
      <c r="P807" t="s">
        <v>2317</v>
      </c>
      <c r="Q807" t="s">
        <v>2316</v>
      </c>
      <c r="R807" s="7">
        <v>33239</v>
      </c>
      <c r="S807" s="8">
        <f t="shared" si="96"/>
        <v>1991</v>
      </c>
      <c r="T807" s="8">
        <v>1991</v>
      </c>
      <c r="U807" s="8">
        <f t="shared" si="97"/>
        <v>31</v>
      </c>
      <c r="V807" s="7">
        <v>33239</v>
      </c>
      <c r="W807" t="s">
        <v>1807</v>
      </c>
      <c r="X807" s="2">
        <v>1.6519999999999999</v>
      </c>
      <c r="Y807" s="6">
        <f t="shared" si="102"/>
        <v>4.409919649769093E-2</v>
      </c>
      <c r="AA807" t="s">
        <v>1806</v>
      </c>
      <c r="AB807">
        <v>17337</v>
      </c>
      <c r="AC807">
        <v>15582221</v>
      </c>
      <c r="AD807" t="s">
        <v>5</v>
      </c>
      <c r="AE807">
        <v>39</v>
      </c>
      <c r="AF807">
        <v>1</v>
      </c>
      <c r="AH807" t="s">
        <v>2315</v>
      </c>
      <c r="AI807" t="s">
        <v>2314</v>
      </c>
      <c r="AK807" t="s">
        <v>2313</v>
      </c>
      <c r="AL807">
        <v>38</v>
      </c>
      <c r="AM807" s="5">
        <f t="shared" si="98"/>
        <v>1.2258064516129032</v>
      </c>
      <c r="AN807" s="4">
        <f t="shared" si="103"/>
        <v>1.8565792527268509E-3</v>
      </c>
      <c r="AO807" s="3"/>
      <c r="AP807">
        <v>0</v>
      </c>
      <c r="AR807" t="s">
        <v>0</v>
      </c>
      <c r="AT807" s="2" t="s">
        <v>33</v>
      </c>
      <c r="AU807" s="1">
        <f t="shared" si="99"/>
        <v>3.1426411324201711</v>
      </c>
      <c r="AV807" s="1">
        <f t="shared" si="100"/>
        <v>2.2977887875208891</v>
      </c>
      <c r="AW807" s="1">
        <f t="shared" si="101"/>
        <v>1.4529364426216074</v>
      </c>
    </row>
    <row r="808" spans="1:49" x14ac:dyDescent="0.2">
      <c r="A808">
        <v>806</v>
      </c>
      <c r="B808" t="s">
        <v>2312</v>
      </c>
      <c r="C808" t="s">
        <v>2311</v>
      </c>
      <c r="F808" t="s">
        <v>2310</v>
      </c>
      <c r="G808" t="s">
        <v>16</v>
      </c>
      <c r="H808" t="s">
        <v>15</v>
      </c>
      <c r="I808" t="s">
        <v>2309</v>
      </c>
      <c r="J808" t="s">
        <v>2308</v>
      </c>
      <c r="K808" t="s">
        <v>2307</v>
      </c>
      <c r="L808" t="s">
        <v>2306</v>
      </c>
      <c r="M808" t="s">
        <v>133</v>
      </c>
      <c r="N808">
        <v>2</v>
      </c>
      <c r="O808" t="s">
        <v>2305</v>
      </c>
      <c r="P808" t="s">
        <v>2304</v>
      </c>
      <c r="Q808" t="s">
        <v>2303</v>
      </c>
      <c r="R808" s="7">
        <v>33239</v>
      </c>
      <c r="S808" s="8">
        <f t="shared" si="96"/>
        <v>1991</v>
      </c>
      <c r="T808" s="8">
        <v>1991</v>
      </c>
      <c r="U808" s="8">
        <f t="shared" si="97"/>
        <v>31</v>
      </c>
      <c r="V808" s="7" t="s">
        <v>1846</v>
      </c>
      <c r="W808" t="s">
        <v>53</v>
      </c>
      <c r="X808" s="2">
        <v>0.22500000000000001</v>
      </c>
      <c r="Y808" s="6">
        <f t="shared" si="102"/>
        <v>6.0062464963562111E-3</v>
      </c>
      <c r="AA808">
        <v>2726343</v>
      </c>
      <c r="AB808">
        <v>16128</v>
      </c>
      <c r="AC808" t="s">
        <v>52</v>
      </c>
      <c r="AD808" t="s">
        <v>5</v>
      </c>
      <c r="AE808">
        <v>11</v>
      </c>
      <c r="AF808">
        <v>1</v>
      </c>
      <c r="AH808" s="10">
        <v>43466</v>
      </c>
      <c r="AI808" t="s">
        <v>1857</v>
      </c>
      <c r="AK808" t="s">
        <v>1856</v>
      </c>
      <c r="AL808">
        <v>35</v>
      </c>
      <c r="AM808" s="5">
        <f t="shared" si="98"/>
        <v>1.1290322580645162</v>
      </c>
      <c r="AN808" s="4">
        <f t="shared" si="103"/>
        <v>1.7100072064589417E-3</v>
      </c>
      <c r="AO808" s="3"/>
      <c r="AP808">
        <v>0</v>
      </c>
      <c r="AQ808" t="s">
        <v>508</v>
      </c>
      <c r="AR808" t="s">
        <v>0</v>
      </c>
      <c r="AS808" t="s">
        <v>507</v>
      </c>
      <c r="AT808" s="2">
        <v>1.099</v>
      </c>
      <c r="AU808" s="1">
        <f t="shared" si="99"/>
        <v>0.471737470938703</v>
      </c>
      <c r="AV808" s="1">
        <f t="shared" si="100"/>
        <v>0.38581268514075762</v>
      </c>
      <c r="AW808" s="1">
        <f t="shared" si="101"/>
        <v>0.29988789934281229</v>
      </c>
    </row>
    <row r="809" spans="1:49" x14ac:dyDescent="0.2">
      <c r="A809">
        <v>807</v>
      </c>
      <c r="B809" t="s">
        <v>2302</v>
      </c>
      <c r="C809" t="s">
        <v>2301</v>
      </c>
      <c r="E809">
        <v>2010751</v>
      </c>
      <c r="F809" t="s">
        <v>2300</v>
      </c>
      <c r="G809" t="s">
        <v>16</v>
      </c>
      <c r="H809" t="s">
        <v>15</v>
      </c>
      <c r="I809" t="s">
        <v>2299</v>
      </c>
      <c r="J809" t="s">
        <v>2298</v>
      </c>
      <c r="K809" t="s">
        <v>2297</v>
      </c>
      <c r="L809" t="s">
        <v>2296</v>
      </c>
      <c r="M809" t="s">
        <v>133</v>
      </c>
      <c r="N809">
        <v>3</v>
      </c>
      <c r="O809" t="s">
        <v>2295</v>
      </c>
      <c r="P809" t="s">
        <v>2294</v>
      </c>
      <c r="Q809" t="s">
        <v>2293</v>
      </c>
      <c r="R809" s="7">
        <v>33239</v>
      </c>
      <c r="S809" s="8">
        <f t="shared" si="96"/>
        <v>1991</v>
      </c>
      <c r="T809" s="8">
        <v>1991</v>
      </c>
      <c r="U809" s="8">
        <f t="shared" si="97"/>
        <v>31</v>
      </c>
      <c r="V809" s="7">
        <v>33239</v>
      </c>
      <c r="W809" t="s">
        <v>1987</v>
      </c>
      <c r="X809" s="2" t="s">
        <v>33</v>
      </c>
      <c r="Y809" s="6" t="e">
        <f t="shared" si="102"/>
        <v>#VALUE!</v>
      </c>
      <c r="AA809">
        <v>223034</v>
      </c>
      <c r="AB809">
        <v>23463</v>
      </c>
      <c r="AC809">
        <v>10974695</v>
      </c>
      <c r="AD809" t="s">
        <v>5</v>
      </c>
      <c r="AE809">
        <v>22</v>
      </c>
      <c r="AF809">
        <v>1</v>
      </c>
      <c r="AH809" t="s">
        <v>2292</v>
      </c>
      <c r="AI809" t="s">
        <v>2291</v>
      </c>
      <c r="AK809" t="s">
        <v>2290</v>
      </c>
      <c r="AL809">
        <v>294</v>
      </c>
      <c r="AM809" s="5">
        <f t="shared" si="98"/>
        <v>9.4838709677419359</v>
      </c>
      <c r="AN809" s="4">
        <f t="shared" si="103"/>
        <v>1.4364060534255109E-2</v>
      </c>
      <c r="AO809" s="3"/>
      <c r="AP809">
        <v>0</v>
      </c>
      <c r="AR809" t="s">
        <v>0</v>
      </c>
      <c r="AT809" s="2" t="s">
        <v>33</v>
      </c>
      <c r="AU809" s="1" t="e">
        <f t="shared" si="99"/>
        <v>#VALUE!</v>
      </c>
      <c r="AV809" s="1" t="e">
        <f t="shared" si="100"/>
        <v>#VALUE!</v>
      </c>
      <c r="AW809" s="1" t="e">
        <f t="shared" si="101"/>
        <v>#VALUE!</v>
      </c>
    </row>
    <row r="810" spans="1:49" x14ac:dyDescent="0.2">
      <c r="A810">
        <v>808</v>
      </c>
      <c r="B810" t="s">
        <v>2289</v>
      </c>
      <c r="C810" t="s">
        <v>2288</v>
      </c>
      <c r="E810">
        <v>1748732</v>
      </c>
      <c r="F810" t="s">
        <v>2287</v>
      </c>
      <c r="G810" t="s">
        <v>16</v>
      </c>
      <c r="H810" t="s">
        <v>15</v>
      </c>
      <c r="I810" t="s">
        <v>2286</v>
      </c>
      <c r="J810" t="s">
        <v>2285</v>
      </c>
      <c r="K810" t="s">
        <v>2284</v>
      </c>
      <c r="L810" t="s">
        <v>2283</v>
      </c>
      <c r="M810" t="s">
        <v>2282</v>
      </c>
      <c r="N810">
        <v>3</v>
      </c>
      <c r="O810" t="s">
        <v>2281</v>
      </c>
      <c r="P810" t="s">
        <v>2280</v>
      </c>
      <c r="Q810" t="s">
        <v>2279</v>
      </c>
      <c r="R810" s="7">
        <v>33239</v>
      </c>
      <c r="S810" s="8">
        <f t="shared" si="96"/>
        <v>1991</v>
      </c>
      <c r="T810" s="8">
        <v>1991</v>
      </c>
      <c r="U810" s="8">
        <f t="shared" si="97"/>
        <v>31</v>
      </c>
      <c r="V810" s="7">
        <v>33519</v>
      </c>
      <c r="W810" t="s">
        <v>1588</v>
      </c>
      <c r="X810" s="2">
        <v>1.855</v>
      </c>
      <c r="Y810" s="6">
        <f t="shared" si="102"/>
        <v>4.9518165558847867E-2</v>
      </c>
      <c r="AA810">
        <v>219967</v>
      </c>
      <c r="AB810">
        <v>16689</v>
      </c>
      <c r="AC810">
        <v>10969861</v>
      </c>
      <c r="AD810" t="s">
        <v>5</v>
      </c>
      <c r="AE810">
        <v>312</v>
      </c>
      <c r="AF810">
        <v>2</v>
      </c>
      <c r="AH810" t="s">
        <v>2278</v>
      </c>
      <c r="AI810" t="s">
        <v>2277</v>
      </c>
      <c r="AJ810" t="s">
        <v>2276</v>
      </c>
      <c r="AK810" t="s">
        <v>2275</v>
      </c>
      <c r="AL810">
        <v>153</v>
      </c>
      <c r="AM810" s="5">
        <f t="shared" si="98"/>
        <v>4.935483870967742</v>
      </c>
      <c r="AN810" s="4">
        <f t="shared" si="103"/>
        <v>7.4751743596633731E-3</v>
      </c>
      <c r="AO810" s="3"/>
      <c r="AP810">
        <v>0</v>
      </c>
      <c r="AQ810" t="s">
        <v>1994</v>
      </c>
      <c r="AR810" t="s">
        <v>2274</v>
      </c>
      <c r="AS810" t="s">
        <v>1992</v>
      </c>
      <c r="AT810" s="2">
        <v>3.2149999999999999</v>
      </c>
      <c r="AU810" s="1">
        <f t="shared" si="99"/>
        <v>3.6905268199092518</v>
      </c>
      <c r="AV810" s="1">
        <f t="shared" si="100"/>
        <v>2.8496669959255621</v>
      </c>
      <c r="AW810" s="1">
        <f t="shared" si="101"/>
        <v>2.0088071719418719</v>
      </c>
    </row>
    <row r="811" spans="1:49" x14ac:dyDescent="0.2">
      <c r="A811">
        <v>809</v>
      </c>
      <c r="B811" t="s">
        <v>2273</v>
      </c>
      <c r="C811" t="s">
        <v>2272</v>
      </c>
      <c r="F811" t="s">
        <v>2271</v>
      </c>
      <c r="G811" t="s">
        <v>16</v>
      </c>
      <c r="H811" t="s">
        <v>15</v>
      </c>
      <c r="I811" t="s">
        <v>2270</v>
      </c>
      <c r="J811">
        <v>60002793</v>
      </c>
      <c r="K811" t="s">
        <v>2269</v>
      </c>
      <c r="L811" t="s">
        <v>2268</v>
      </c>
      <c r="M811" t="s">
        <v>117</v>
      </c>
      <c r="N811">
        <v>2</v>
      </c>
      <c r="O811" t="s">
        <v>2267</v>
      </c>
      <c r="P811" t="s">
        <v>2266</v>
      </c>
      <c r="Q811" t="s">
        <v>2265</v>
      </c>
      <c r="R811" s="7">
        <v>33239</v>
      </c>
      <c r="S811" s="8">
        <f t="shared" si="96"/>
        <v>1991</v>
      </c>
      <c r="T811" s="8">
        <v>1991</v>
      </c>
      <c r="U811" s="8">
        <f t="shared" si="97"/>
        <v>31</v>
      </c>
      <c r="V811" s="7">
        <v>33298</v>
      </c>
      <c r="W811" t="s">
        <v>497</v>
      </c>
      <c r="X811" s="2">
        <v>0.69299999999999995</v>
      </c>
      <c r="Y811" s="6">
        <f t="shared" si="102"/>
        <v>1.8499239208777128E-2</v>
      </c>
      <c r="AA811">
        <v>3076962</v>
      </c>
      <c r="AB811">
        <v>21084</v>
      </c>
      <c r="AC811">
        <v>13653032</v>
      </c>
      <c r="AD811" t="s">
        <v>5</v>
      </c>
      <c r="AE811">
        <v>16</v>
      </c>
      <c r="AF811">
        <v>1</v>
      </c>
      <c r="AH811" t="s">
        <v>2264</v>
      </c>
      <c r="AI811" t="s">
        <v>2263</v>
      </c>
      <c r="AJ811" t="s">
        <v>2262</v>
      </c>
      <c r="AK811" t="s">
        <v>2261</v>
      </c>
      <c r="AL811">
        <v>24</v>
      </c>
      <c r="AM811" s="5">
        <f t="shared" si="98"/>
        <v>0.77419354838709675</v>
      </c>
      <c r="AN811" s="4">
        <f t="shared" si="103"/>
        <v>1.1725763701432741E-3</v>
      </c>
      <c r="AO811" s="3"/>
      <c r="AP811">
        <v>0</v>
      </c>
      <c r="AR811" t="s">
        <v>0</v>
      </c>
      <c r="AT811" s="2">
        <v>1.833</v>
      </c>
      <c r="AU811" s="1">
        <f t="shared" si="99"/>
        <v>1.3301240357186972</v>
      </c>
      <c r="AV811" s="1">
        <f t="shared" si="100"/>
        <v>0.98359077894602021</v>
      </c>
      <c r="AW811" s="1">
        <f t="shared" si="101"/>
        <v>0.63705752217334299</v>
      </c>
    </row>
    <row r="812" spans="1:49" x14ac:dyDescent="0.2">
      <c r="A812">
        <v>810</v>
      </c>
      <c r="B812" t="s">
        <v>2260</v>
      </c>
      <c r="C812" t="s">
        <v>2259</v>
      </c>
      <c r="F812" t="s">
        <v>2258</v>
      </c>
      <c r="G812" t="s">
        <v>16</v>
      </c>
      <c r="H812" t="s">
        <v>15</v>
      </c>
      <c r="I812" t="s">
        <v>2257</v>
      </c>
      <c r="J812" t="s">
        <v>2256</v>
      </c>
      <c r="K812" t="s">
        <v>2255</v>
      </c>
      <c r="L812" t="s">
        <v>2254</v>
      </c>
      <c r="M812" t="s">
        <v>133</v>
      </c>
      <c r="N812">
        <v>3</v>
      </c>
      <c r="O812" t="s">
        <v>2253</v>
      </c>
      <c r="P812" t="s">
        <v>2252</v>
      </c>
      <c r="Q812" t="s">
        <v>2251</v>
      </c>
      <c r="R812" s="7">
        <v>33239</v>
      </c>
      <c r="S812" s="8">
        <f t="shared" si="96"/>
        <v>1991</v>
      </c>
      <c r="T812" s="8">
        <v>1991</v>
      </c>
      <c r="U812" s="8">
        <f t="shared" si="97"/>
        <v>31</v>
      </c>
      <c r="V812" s="7" t="s">
        <v>1846</v>
      </c>
      <c r="W812" t="s">
        <v>53</v>
      </c>
      <c r="X812" s="2">
        <v>0.22500000000000001</v>
      </c>
      <c r="Y812" s="6">
        <f t="shared" si="102"/>
        <v>6.0062464963562111E-3</v>
      </c>
      <c r="AA812">
        <v>2726343</v>
      </c>
      <c r="AB812">
        <v>16128</v>
      </c>
      <c r="AC812" t="s">
        <v>52</v>
      </c>
      <c r="AD812" t="s">
        <v>5</v>
      </c>
      <c r="AE812">
        <v>11</v>
      </c>
      <c r="AF812">
        <v>1</v>
      </c>
      <c r="AH812" t="s">
        <v>2250</v>
      </c>
      <c r="AI812" t="s">
        <v>2249</v>
      </c>
      <c r="AK812" t="s">
        <v>2248</v>
      </c>
      <c r="AL812">
        <v>1</v>
      </c>
      <c r="AM812" s="5">
        <f t="shared" si="98"/>
        <v>3.2258064516129031E-2</v>
      </c>
      <c r="AN812" s="4">
        <f t="shared" si="103"/>
        <v>4.8857348755969758E-5</v>
      </c>
      <c r="AO812" s="3"/>
      <c r="AP812">
        <v>0</v>
      </c>
      <c r="AR812" t="s">
        <v>0</v>
      </c>
      <c r="AT812" s="2">
        <v>1.099</v>
      </c>
      <c r="AU812" s="1">
        <f t="shared" si="99"/>
        <v>0.42190297520761383</v>
      </c>
      <c r="AV812" s="1">
        <f t="shared" si="100"/>
        <v>0.30275519225560904</v>
      </c>
      <c r="AW812" s="1">
        <f t="shared" si="101"/>
        <v>0.18360740930360422</v>
      </c>
    </row>
    <row r="813" spans="1:49" x14ac:dyDescent="0.2">
      <c r="A813">
        <v>811</v>
      </c>
      <c r="B813" t="s">
        <v>2247</v>
      </c>
      <c r="C813" t="s">
        <v>2246</v>
      </c>
      <c r="F813" t="s">
        <v>2245</v>
      </c>
      <c r="G813" t="s">
        <v>16</v>
      </c>
      <c r="H813" t="s">
        <v>15</v>
      </c>
      <c r="I813" t="s">
        <v>2244</v>
      </c>
      <c r="J813">
        <v>60000221</v>
      </c>
      <c r="K813" t="s">
        <v>244</v>
      </c>
      <c r="L813" t="s">
        <v>243</v>
      </c>
      <c r="M813" t="s">
        <v>57</v>
      </c>
      <c r="N813">
        <v>2</v>
      </c>
      <c r="O813" t="s">
        <v>2243</v>
      </c>
      <c r="P813" t="s">
        <v>2242</v>
      </c>
      <c r="Q813" t="s">
        <v>240</v>
      </c>
      <c r="R813" s="7">
        <v>33239</v>
      </c>
      <c r="S813" s="8">
        <f t="shared" si="96"/>
        <v>1991</v>
      </c>
      <c r="T813" s="8">
        <v>1991</v>
      </c>
      <c r="U813" s="8">
        <f t="shared" si="97"/>
        <v>31</v>
      </c>
      <c r="V813" s="7">
        <v>33239</v>
      </c>
      <c r="W813" t="s">
        <v>1807</v>
      </c>
      <c r="X813" s="2">
        <v>1.6519999999999999</v>
      </c>
      <c r="Y813" s="6">
        <f t="shared" si="102"/>
        <v>4.409919649769093E-2</v>
      </c>
      <c r="AA813" t="s">
        <v>1806</v>
      </c>
      <c r="AB813">
        <v>17337</v>
      </c>
      <c r="AC813">
        <v>15582221</v>
      </c>
      <c r="AD813" t="s">
        <v>5</v>
      </c>
      <c r="AE813">
        <v>39</v>
      </c>
      <c r="AF813">
        <v>1</v>
      </c>
      <c r="AH813" t="s">
        <v>2241</v>
      </c>
      <c r="AI813" t="s">
        <v>2240</v>
      </c>
      <c r="AK813" t="s">
        <v>2239</v>
      </c>
      <c r="AL813">
        <v>25</v>
      </c>
      <c r="AM813" s="5">
        <f t="shared" si="98"/>
        <v>0.80645161290322576</v>
      </c>
      <c r="AN813" s="4">
        <f t="shared" si="103"/>
        <v>1.2214337188992438E-3</v>
      </c>
      <c r="AO813" s="3"/>
      <c r="AP813">
        <v>0</v>
      </c>
      <c r="AR813" t="s">
        <v>0</v>
      </c>
      <c r="AT813" s="2" t="s">
        <v>33</v>
      </c>
      <c r="AU813" s="1">
        <f t="shared" si="99"/>
        <v>3.1235867664053423</v>
      </c>
      <c r="AV813" s="1">
        <f t="shared" si="100"/>
        <v>2.2660315108295088</v>
      </c>
      <c r="AW813" s="1">
        <f t="shared" si="101"/>
        <v>1.4084762552536747</v>
      </c>
    </row>
    <row r="814" spans="1:49" x14ac:dyDescent="0.2">
      <c r="A814">
        <v>812</v>
      </c>
      <c r="B814" t="s">
        <v>2238</v>
      </c>
      <c r="C814" t="s">
        <v>2237</v>
      </c>
      <c r="F814" t="s">
        <v>2236</v>
      </c>
      <c r="G814" t="s">
        <v>16</v>
      </c>
      <c r="H814" t="s">
        <v>15</v>
      </c>
      <c r="I814" t="s">
        <v>2235</v>
      </c>
      <c r="J814" t="s">
        <v>2234</v>
      </c>
      <c r="K814" t="s">
        <v>2233</v>
      </c>
      <c r="L814" t="s">
        <v>2232</v>
      </c>
      <c r="M814" t="s">
        <v>2231</v>
      </c>
      <c r="N814">
        <v>3</v>
      </c>
      <c r="O814" t="s">
        <v>2230</v>
      </c>
      <c r="P814" t="s">
        <v>2229</v>
      </c>
      <c r="Q814" t="s">
        <v>2228</v>
      </c>
      <c r="R814" s="7">
        <v>33239</v>
      </c>
      <c r="S814" s="8">
        <f t="shared" si="96"/>
        <v>1991</v>
      </c>
      <c r="T814" s="8">
        <v>1991</v>
      </c>
      <c r="U814" s="8">
        <f t="shared" si="97"/>
        <v>31</v>
      </c>
      <c r="V814" s="7">
        <v>33239</v>
      </c>
      <c r="W814" t="s">
        <v>1807</v>
      </c>
      <c r="X814" s="2">
        <v>1.6519999999999999</v>
      </c>
      <c r="Y814" s="6">
        <f t="shared" si="102"/>
        <v>4.409919649769093E-2</v>
      </c>
      <c r="AA814" t="s">
        <v>1806</v>
      </c>
      <c r="AB814">
        <v>17337</v>
      </c>
      <c r="AC814">
        <v>15582221</v>
      </c>
      <c r="AD814" t="s">
        <v>5</v>
      </c>
      <c r="AE814">
        <v>39</v>
      </c>
      <c r="AF814">
        <v>1</v>
      </c>
      <c r="AH814" t="s">
        <v>2227</v>
      </c>
      <c r="AI814" t="s">
        <v>2226</v>
      </c>
      <c r="AK814" t="s">
        <v>2225</v>
      </c>
      <c r="AL814">
        <v>11</v>
      </c>
      <c r="AM814" s="5">
        <f t="shared" si="98"/>
        <v>0.35483870967741937</v>
      </c>
      <c r="AN814" s="4">
        <f t="shared" si="103"/>
        <v>5.3743083631566731E-4</v>
      </c>
      <c r="AO814" s="3"/>
      <c r="AP814">
        <v>0</v>
      </c>
      <c r="AR814" t="s">
        <v>0</v>
      </c>
      <c r="AT814" s="2" t="s">
        <v>33</v>
      </c>
      <c r="AU814" s="1">
        <f t="shared" si="99"/>
        <v>3.103066679927835</v>
      </c>
      <c r="AV814" s="1">
        <f t="shared" si="100"/>
        <v>2.2318313667003298</v>
      </c>
      <c r="AW814" s="1">
        <f t="shared" si="101"/>
        <v>1.3605960534728245</v>
      </c>
    </row>
    <row r="815" spans="1:49" x14ac:dyDescent="0.2">
      <c r="A815">
        <v>813</v>
      </c>
      <c r="B815" t="s">
        <v>2224</v>
      </c>
      <c r="C815" t="s">
        <v>2223</v>
      </c>
      <c r="E815">
        <v>1885514</v>
      </c>
      <c r="F815" t="s">
        <v>2222</v>
      </c>
      <c r="G815" t="s">
        <v>16</v>
      </c>
      <c r="H815" t="s">
        <v>15</v>
      </c>
      <c r="I815" t="s">
        <v>2221</v>
      </c>
      <c r="J815">
        <v>60025641</v>
      </c>
      <c r="K815" t="s">
        <v>1492</v>
      </c>
      <c r="L815" t="s">
        <v>1491</v>
      </c>
      <c r="M815" t="s">
        <v>25</v>
      </c>
      <c r="N815">
        <v>2</v>
      </c>
      <c r="O815" t="s">
        <v>2220</v>
      </c>
      <c r="P815" t="s">
        <v>2219</v>
      </c>
      <c r="Q815" t="s">
        <v>2218</v>
      </c>
      <c r="R815" s="7">
        <v>33239</v>
      </c>
      <c r="S815" s="8">
        <f t="shared" si="96"/>
        <v>1991</v>
      </c>
      <c r="T815" s="8">
        <v>1991</v>
      </c>
      <c r="U815" s="8">
        <f t="shared" si="97"/>
        <v>31</v>
      </c>
      <c r="V815" s="7">
        <v>1991</v>
      </c>
      <c r="W815" t="s">
        <v>2105</v>
      </c>
      <c r="X815" s="2">
        <v>1.6519999999999999</v>
      </c>
      <c r="Y815" s="6">
        <f t="shared" si="102"/>
        <v>4.409919649769093E-2</v>
      </c>
      <c r="AA815">
        <v>219193</v>
      </c>
      <c r="AB815">
        <v>20220</v>
      </c>
      <c r="AD815" t="s">
        <v>5</v>
      </c>
      <c r="AE815">
        <v>173</v>
      </c>
      <c r="AF815">
        <v>17</v>
      </c>
      <c r="AH815" t="s">
        <v>2217</v>
      </c>
      <c r="AI815" t="s">
        <v>2216</v>
      </c>
      <c r="AK815" t="s">
        <v>2215</v>
      </c>
      <c r="AL815">
        <v>23</v>
      </c>
      <c r="AM815" s="5">
        <f t="shared" si="98"/>
        <v>0.74193548387096775</v>
      </c>
      <c r="AN815" s="4">
        <f t="shared" si="103"/>
        <v>1.1237190213873045E-3</v>
      </c>
      <c r="AO815" s="3"/>
      <c r="AP815">
        <v>1</v>
      </c>
      <c r="AR815" t="s">
        <v>0</v>
      </c>
      <c r="AT815" s="2">
        <v>3.49</v>
      </c>
      <c r="AU815" s="1">
        <f t="shared" si="99"/>
        <v>3.120655325479984</v>
      </c>
      <c r="AV815" s="1">
        <f t="shared" si="100"/>
        <v>2.2611457759539118</v>
      </c>
      <c r="AW815" s="1">
        <f t="shared" si="101"/>
        <v>1.4016362264278392</v>
      </c>
    </row>
    <row r="816" spans="1:49" x14ac:dyDescent="0.2">
      <c r="A816">
        <v>814</v>
      </c>
      <c r="B816" t="s">
        <v>2214</v>
      </c>
      <c r="C816" t="s">
        <v>2213</v>
      </c>
      <c r="D816" t="s">
        <v>2212</v>
      </c>
      <c r="E816">
        <v>2058001</v>
      </c>
      <c r="F816" t="s">
        <v>2211</v>
      </c>
      <c r="G816" t="s">
        <v>16</v>
      </c>
      <c r="H816" t="s">
        <v>15</v>
      </c>
      <c r="I816" t="s">
        <v>2210</v>
      </c>
      <c r="J816">
        <v>60021285</v>
      </c>
      <c r="K816" t="s">
        <v>2209</v>
      </c>
      <c r="L816" t="s">
        <v>2208</v>
      </c>
      <c r="M816" t="s">
        <v>57</v>
      </c>
      <c r="N816">
        <v>1</v>
      </c>
      <c r="O816" t="s">
        <v>2207</v>
      </c>
      <c r="P816">
        <v>7005368658</v>
      </c>
      <c r="Q816">
        <v>60021285</v>
      </c>
      <c r="R816" s="7">
        <v>33239</v>
      </c>
      <c r="S816" s="8">
        <f t="shared" si="96"/>
        <v>1991</v>
      </c>
      <c r="T816" s="8">
        <v>1991</v>
      </c>
      <c r="U816" s="8">
        <f t="shared" si="97"/>
        <v>31</v>
      </c>
      <c r="V816" s="7">
        <v>1991</v>
      </c>
      <c r="W816" t="s">
        <v>1501</v>
      </c>
      <c r="X816" s="2">
        <v>6.29</v>
      </c>
      <c r="Y816" s="6">
        <f t="shared" si="102"/>
        <v>0.16790795760924696</v>
      </c>
      <c r="AA816">
        <v>9680004</v>
      </c>
      <c r="AB816">
        <v>14816</v>
      </c>
      <c r="AD816" t="s">
        <v>5</v>
      </c>
      <c r="AE816">
        <v>16</v>
      </c>
      <c r="AF816" t="s">
        <v>1500</v>
      </c>
      <c r="AH816" t="s">
        <v>2206</v>
      </c>
      <c r="AL816">
        <v>13</v>
      </c>
      <c r="AM816" s="5">
        <f t="shared" si="98"/>
        <v>0.41935483870967744</v>
      </c>
      <c r="AN816" s="4">
        <f t="shared" si="103"/>
        <v>6.3514553382760684E-4</v>
      </c>
      <c r="AO816" s="3"/>
      <c r="AP816">
        <v>0</v>
      </c>
      <c r="AR816" t="s">
        <v>0</v>
      </c>
      <c r="AT816" s="2">
        <v>13.807</v>
      </c>
      <c r="AU816" s="1">
        <f t="shared" si="99"/>
        <v>11.772611398662114</v>
      </c>
      <c r="AV816" s="1">
        <f t="shared" si="100"/>
        <v>8.4271551571537273</v>
      </c>
      <c r="AW816" s="1">
        <f t="shared" si="101"/>
        <v>5.0816989156453412</v>
      </c>
    </row>
    <row r="817" spans="1:49" x14ac:dyDescent="0.2">
      <c r="A817">
        <v>815</v>
      </c>
      <c r="B817" t="s">
        <v>2205</v>
      </c>
      <c r="C817" t="s">
        <v>2204</v>
      </c>
      <c r="E817">
        <v>2026439</v>
      </c>
      <c r="F817" t="s">
        <v>2203</v>
      </c>
      <c r="G817" t="s">
        <v>16</v>
      </c>
      <c r="H817" t="s">
        <v>15</v>
      </c>
      <c r="I817" t="s">
        <v>2202</v>
      </c>
      <c r="J817" t="s">
        <v>2201</v>
      </c>
      <c r="K817" t="s">
        <v>2200</v>
      </c>
      <c r="L817" t="s">
        <v>2199</v>
      </c>
      <c r="M817" t="s">
        <v>1678</v>
      </c>
      <c r="N817">
        <v>3</v>
      </c>
      <c r="O817" t="s">
        <v>2198</v>
      </c>
      <c r="P817" t="s">
        <v>2197</v>
      </c>
      <c r="Q817" t="s">
        <v>2196</v>
      </c>
      <c r="R817" s="7">
        <v>33239</v>
      </c>
      <c r="S817" s="8">
        <f t="shared" ref="S817:S880" si="104">YEAR(R817)</f>
        <v>1991</v>
      </c>
      <c r="T817" s="8">
        <v>1991</v>
      </c>
      <c r="U817" s="8">
        <f t="shared" ref="U817:U880" si="105">2022-T817</f>
        <v>31</v>
      </c>
      <c r="V817" s="7">
        <v>33239</v>
      </c>
      <c r="W817" t="s">
        <v>2188</v>
      </c>
      <c r="X817" s="2">
        <v>1.1479999999999999</v>
      </c>
      <c r="Y817" s="6">
        <f t="shared" si="102"/>
        <v>3.0645204345853019E-2</v>
      </c>
      <c r="AA817">
        <v>189294</v>
      </c>
      <c r="AB817">
        <v>16318</v>
      </c>
      <c r="AC817">
        <v>15582531</v>
      </c>
      <c r="AD817" t="s">
        <v>5</v>
      </c>
      <c r="AE817">
        <v>38</v>
      </c>
      <c r="AF817">
        <v>1</v>
      </c>
      <c r="AH817" t="s">
        <v>2195</v>
      </c>
      <c r="AI817" t="s">
        <v>2194</v>
      </c>
      <c r="AK817" t="s">
        <v>2193</v>
      </c>
      <c r="AL817">
        <v>21</v>
      </c>
      <c r="AM817" s="5">
        <f t="shared" ref="AM817:AM880" si="106">AL817/U817</f>
        <v>0.67741935483870963</v>
      </c>
      <c r="AN817" s="4">
        <f t="shared" si="103"/>
        <v>1.0260043238753647E-3</v>
      </c>
      <c r="AO817" s="3"/>
      <c r="AP817">
        <v>0</v>
      </c>
      <c r="AR817" t="s">
        <v>0</v>
      </c>
      <c r="AT817" s="2" t="s">
        <v>33</v>
      </c>
      <c r="AU817" s="1">
        <f t="shared" ref="AU817:AU880" si="107">(Y817*0.7+AN817*0.3)*100</f>
        <v>2.1759444339259724</v>
      </c>
      <c r="AV817" s="1">
        <f t="shared" ref="AV817:AV880" si="108">(Y817*0.5+AN817*0.5)*100</f>
        <v>1.5835604334864191</v>
      </c>
      <c r="AW817" s="1">
        <f t="shared" ref="AW817:AW880" si="109">(Y817*0.3+AN817*0.7)*100</f>
        <v>0.99117643304686609</v>
      </c>
    </row>
    <row r="818" spans="1:49" x14ac:dyDescent="0.2">
      <c r="A818">
        <v>816</v>
      </c>
      <c r="B818" t="s">
        <v>2192</v>
      </c>
      <c r="C818" t="s">
        <v>2191</v>
      </c>
      <c r="E818">
        <v>2026438</v>
      </c>
      <c r="F818" t="s">
        <v>2190</v>
      </c>
      <c r="G818" t="s">
        <v>16</v>
      </c>
      <c r="H818" t="s">
        <v>15</v>
      </c>
      <c r="I818" t="s">
        <v>2142</v>
      </c>
      <c r="J818" t="s">
        <v>2141</v>
      </c>
      <c r="K818" t="s">
        <v>2140</v>
      </c>
      <c r="L818" t="s">
        <v>2139</v>
      </c>
      <c r="M818" t="s">
        <v>133</v>
      </c>
      <c r="N818">
        <v>3</v>
      </c>
      <c r="O818" t="s">
        <v>2189</v>
      </c>
      <c r="P818" t="s">
        <v>2137</v>
      </c>
      <c r="Q818" t="s">
        <v>2136</v>
      </c>
      <c r="R818" s="7">
        <v>33239</v>
      </c>
      <c r="S818" s="8">
        <f t="shared" si="104"/>
        <v>1991</v>
      </c>
      <c r="T818" s="8">
        <v>1991</v>
      </c>
      <c r="U818" s="8">
        <f t="shared" si="105"/>
        <v>31</v>
      </c>
      <c r="V818" s="7">
        <v>33239</v>
      </c>
      <c r="W818" t="s">
        <v>2188</v>
      </c>
      <c r="X818" s="2">
        <v>1.1479999999999999</v>
      </c>
      <c r="Y818" s="6">
        <f t="shared" si="102"/>
        <v>3.0645204345853019E-2</v>
      </c>
      <c r="AA818">
        <v>189294</v>
      </c>
      <c r="AB818">
        <v>16318</v>
      </c>
      <c r="AC818">
        <v>15582531</v>
      </c>
      <c r="AD818" t="s">
        <v>5</v>
      </c>
      <c r="AE818">
        <v>38</v>
      </c>
      <c r="AF818">
        <v>1</v>
      </c>
      <c r="AH818" t="s">
        <v>2187</v>
      </c>
      <c r="AI818" t="s">
        <v>2186</v>
      </c>
      <c r="AK818" t="s">
        <v>2185</v>
      </c>
      <c r="AL818">
        <v>11</v>
      </c>
      <c r="AM818" s="5">
        <f t="shared" si="106"/>
        <v>0.35483870967741937</v>
      </c>
      <c r="AN818" s="4">
        <f t="shared" si="103"/>
        <v>5.3743083631566731E-4</v>
      </c>
      <c r="AO818" s="3"/>
      <c r="AP818">
        <v>0</v>
      </c>
      <c r="AQ818" t="s">
        <v>1129</v>
      </c>
      <c r="AR818" t="s">
        <v>2130</v>
      </c>
      <c r="AS818" t="s">
        <v>1127</v>
      </c>
      <c r="AT818" s="2" t="s">
        <v>33</v>
      </c>
      <c r="AU818" s="1">
        <f t="shared" si="107"/>
        <v>2.1612872292991812</v>
      </c>
      <c r="AV818" s="1">
        <f t="shared" si="108"/>
        <v>1.5591317591084344</v>
      </c>
      <c r="AW818" s="1">
        <f t="shared" si="109"/>
        <v>0.95697628891768716</v>
      </c>
    </row>
    <row r="819" spans="1:49" x14ac:dyDescent="0.2">
      <c r="A819">
        <v>817</v>
      </c>
      <c r="B819" t="s">
        <v>2184</v>
      </c>
      <c r="C819" t="s">
        <v>2183</v>
      </c>
      <c r="D819" t="s">
        <v>2182</v>
      </c>
      <c r="F819" t="s">
        <v>2181</v>
      </c>
      <c r="G819" t="s">
        <v>16</v>
      </c>
      <c r="H819" t="s">
        <v>15</v>
      </c>
      <c r="I819" t="s">
        <v>2180</v>
      </c>
      <c r="J819" t="s">
        <v>2179</v>
      </c>
      <c r="K819" t="s">
        <v>2178</v>
      </c>
      <c r="L819" t="s">
        <v>2177</v>
      </c>
      <c r="M819" t="s">
        <v>2176</v>
      </c>
      <c r="N819">
        <v>4</v>
      </c>
      <c r="O819" t="s">
        <v>2175</v>
      </c>
      <c r="P819" t="s">
        <v>2174</v>
      </c>
      <c r="Q819" t="s">
        <v>2173</v>
      </c>
      <c r="R819" s="7">
        <v>33239</v>
      </c>
      <c r="S819" s="8">
        <f t="shared" si="104"/>
        <v>1991</v>
      </c>
      <c r="T819" s="8">
        <v>1991</v>
      </c>
      <c r="U819" s="8">
        <f t="shared" si="105"/>
        <v>31</v>
      </c>
      <c r="V819" s="7">
        <v>1991</v>
      </c>
      <c r="W819" t="s">
        <v>1379</v>
      </c>
      <c r="X819" s="2">
        <v>1.7130000000000001</v>
      </c>
      <c r="Y819" s="6">
        <f t="shared" si="102"/>
        <v>4.5727556658925285E-2</v>
      </c>
      <c r="AA819">
        <v>63495</v>
      </c>
      <c r="AB819">
        <v>14859</v>
      </c>
      <c r="AD819" t="s">
        <v>5</v>
      </c>
      <c r="AE819">
        <v>59</v>
      </c>
      <c r="AF819">
        <v>2</v>
      </c>
      <c r="AH819" t="s">
        <v>2172</v>
      </c>
      <c r="AI819" t="s">
        <v>2171</v>
      </c>
      <c r="AK819" t="s">
        <v>2170</v>
      </c>
      <c r="AL819">
        <v>19</v>
      </c>
      <c r="AM819" s="5">
        <f t="shared" si="106"/>
        <v>0.61290322580645162</v>
      </c>
      <c r="AN819" s="4">
        <f t="shared" si="103"/>
        <v>9.2828962636342543E-4</v>
      </c>
      <c r="AO819" s="3"/>
      <c r="AP819">
        <v>1</v>
      </c>
      <c r="AQ819" t="s">
        <v>2169</v>
      </c>
      <c r="AR819" t="s">
        <v>2168</v>
      </c>
      <c r="AS819" t="s">
        <v>2167</v>
      </c>
      <c r="AT819" s="2">
        <v>4.0330000000000004</v>
      </c>
      <c r="AU819" s="1">
        <f t="shared" si="107"/>
        <v>3.2287776549156724</v>
      </c>
      <c r="AV819" s="1">
        <f t="shared" si="108"/>
        <v>2.3327923142644353</v>
      </c>
      <c r="AW819" s="1">
        <f t="shared" si="109"/>
        <v>1.4368069736131983</v>
      </c>
    </row>
    <row r="820" spans="1:49" x14ac:dyDescent="0.2">
      <c r="A820">
        <v>818</v>
      </c>
      <c r="B820" t="s">
        <v>2166</v>
      </c>
      <c r="C820" t="s">
        <v>2165</v>
      </c>
      <c r="E820">
        <v>1705706</v>
      </c>
      <c r="F820" t="s">
        <v>2164</v>
      </c>
      <c r="G820" t="s">
        <v>16</v>
      </c>
      <c r="H820" t="s">
        <v>15</v>
      </c>
      <c r="I820" t="s">
        <v>2163</v>
      </c>
      <c r="J820">
        <v>60016908</v>
      </c>
      <c r="K820" t="s">
        <v>2162</v>
      </c>
      <c r="L820" t="s">
        <v>1530</v>
      </c>
      <c r="M820" t="s">
        <v>25</v>
      </c>
      <c r="N820">
        <v>1</v>
      </c>
      <c r="O820" t="s">
        <v>2161</v>
      </c>
      <c r="P820">
        <v>16137779500</v>
      </c>
      <c r="Q820">
        <v>60016908</v>
      </c>
      <c r="R820" s="7">
        <v>33239</v>
      </c>
      <c r="S820" s="8">
        <f t="shared" si="104"/>
        <v>1991</v>
      </c>
      <c r="T820" s="8">
        <v>1991</v>
      </c>
      <c r="U820" s="8">
        <f t="shared" si="105"/>
        <v>31</v>
      </c>
      <c r="V820" s="7">
        <v>1991</v>
      </c>
      <c r="W820" t="s">
        <v>2160</v>
      </c>
      <c r="X820" s="2">
        <v>5.0110000000000001</v>
      </c>
      <c r="Y820" s="6">
        <f t="shared" si="102"/>
        <v>0.13376578308107098</v>
      </c>
      <c r="AA820">
        <v>278424</v>
      </c>
      <c r="AB820">
        <v>21121</v>
      </c>
      <c r="AD820" t="s">
        <v>5</v>
      </c>
      <c r="AE820">
        <v>88</v>
      </c>
      <c r="AF820">
        <v>5</v>
      </c>
      <c r="AH820" t="s">
        <v>2159</v>
      </c>
      <c r="AI820" t="s">
        <v>2158</v>
      </c>
      <c r="AJ820" t="s">
        <v>2157</v>
      </c>
      <c r="AK820" t="s">
        <v>2156</v>
      </c>
      <c r="AL820">
        <v>44</v>
      </c>
      <c r="AM820" s="5">
        <f t="shared" si="106"/>
        <v>1.4193548387096775</v>
      </c>
      <c r="AN820" s="4">
        <f t="shared" si="103"/>
        <v>2.1497233452626692E-3</v>
      </c>
      <c r="AO820" s="3"/>
      <c r="AP820">
        <v>1</v>
      </c>
      <c r="AR820" t="s">
        <v>0</v>
      </c>
      <c r="AT820" s="2" t="s">
        <v>33</v>
      </c>
      <c r="AU820" s="1">
        <f t="shared" si="107"/>
        <v>9.4280965160328485</v>
      </c>
      <c r="AV820" s="1">
        <f t="shared" si="108"/>
        <v>6.7957753213166825</v>
      </c>
      <c r="AW820" s="1">
        <f t="shared" si="109"/>
        <v>4.1634541266005156</v>
      </c>
    </row>
    <row r="821" spans="1:49" x14ac:dyDescent="0.2">
      <c r="A821">
        <v>819</v>
      </c>
      <c r="B821" t="s">
        <v>2155</v>
      </c>
      <c r="C821" t="s">
        <v>2154</v>
      </c>
      <c r="D821" t="s">
        <v>2153</v>
      </c>
      <c r="E821">
        <v>1877090</v>
      </c>
      <c r="F821" t="s">
        <v>2152</v>
      </c>
      <c r="G821" t="s">
        <v>16</v>
      </c>
      <c r="H821" t="s">
        <v>15</v>
      </c>
      <c r="I821" t="s">
        <v>2151</v>
      </c>
      <c r="J821">
        <v>60022195</v>
      </c>
      <c r="K821" t="s">
        <v>790</v>
      </c>
      <c r="L821" t="s">
        <v>789</v>
      </c>
      <c r="M821" t="s">
        <v>57</v>
      </c>
      <c r="N821">
        <v>1</v>
      </c>
      <c r="O821" t="s">
        <v>2150</v>
      </c>
      <c r="P821">
        <v>7004557866</v>
      </c>
      <c r="Q821">
        <v>60022195</v>
      </c>
      <c r="R821" s="7">
        <v>33239</v>
      </c>
      <c r="S821" s="8">
        <f t="shared" si="104"/>
        <v>1991</v>
      </c>
      <c r="T821" s="8">
        <v>1991</v>
      </c>
      <c r="U821" s="8">
        <f t="shared" si="105"/>
        <v>31</v>
      </c>
      <c r="V821" s="7">
        <v>1991</v>
      </c>
      <c r="W821" t="s">
        <v>1501</v>
      </c>
      <c r="X821" s="2">
        <v>6.29</v>
      </c>
      <c r="Y821" s="6">
        <f t="shared" si="102"/>
        <v>0.16790795760924696</v>
      </c>
      <c r="AA821">
        <v>9680004</v>
      </c>
      <c r="AB821">
        <v>14816</v>
      </c>
      <c r="AD821" t="s">
        <v>5</v>
      </c>
      <c r="AE821">
        <v>16</v>
      </c>
      <c r="AF821" t="s">
        <v>1500</v>
      </c>
      <c r="AH821" t="s">
        <v>2149</v>
      </c>
      <c r="AI821" t="s">
        <v>2148</v>
      </c>
      <c r="AK821" t="s">
        <v>2147</v>
      </c>
      <c r="AL821">
        <v>7</v>
      </c>
      <c r="AM821" s="5">
        <f t="shared" si="106"/>
        <v>0.22580645161290322</v>
      </c>
      <c r="AN821" s="4">
        <f t="shared" si="103"/>
        <v>3.420014412917883E-4</v>
      </c>
      <c r="AO821" s="3"/>
      <c r="AP821">
        <v>0</v>
      </c>
      <c r="AQ821" t="s">
        <v>126</v>
      </c>
      <c r="AR821" t="s">
        <v>2146</v>
      </c>
      <c r="AS821" t="s">
        <v>124</v>
      </c>
      <c r="AT821" s="2">
        <v>13.807</v>
      </c>
      <c r="AU821" s="1">
        <f t="shared" si="107"/>
        <v>11.763817075886038</v>
      </c>
      <c r="AV821" s="1">
        <f t="shared" si="108"/>
        <v>8.4124979525269374</v>
      </c>
      <c r="AW821" s="1">
        <f t="shared" si="109"/>
        <v>5.0611788291678339</v>
      </c>
    </row>
    <row r="822" spans="1:49" x14ac:dyDescent="0.2">
      <c r="A822">
        <v>820</v>
      </c>
      <c r="B822" t="s">
        <v>2145</v>
      </c>
      <c r="C822" t="s">
        <v>2144</v>
      </c>
      <c r="E822">
        <v>2051073</v>
      </c>
      <c r="F822" t="s">
        <v>2143</v>
      </c>
      <c r="G822" t="s">
        <v>16</v>
      </c>
      <c r="H822" t="s">
        <v>15</v>
      </c>
      <c r="I822" t="s">
        <v>2142</v>
      </c>
      <c r="J822" t="s">
        <v>2141</v>
      </c>
      <c r="K822" t="s">
        <v>2140</v>
      </c>
      <c r="L822" t="s">
        <v>2139</v>
      </c>
      <c r="M822" t="s">
        <v>133</v>
      </c>
      <c r="N822">
        <v>3</v>
      </c>
      <c r="O822" t="s">
        <v>2138</v>
      </c>
      <c r="P822" t="s">
        <v>2137</v>
      </c>
      <c r="Q822" t="s">
        <v>2136</v>
      </c>
      <c r="R822" s="7">
        <v>33239</v>
      </c>
      <c r="S822" s="8">
        <f t="shared" si="104"/>
        <v>1991</v>
      </c>
      <c r="T822" s="8">
        <v>1991</v>
      </c>
      <c r="U822" s="8">
        <f t="shared" si="105"/>
        <v>31</v>
      </c>
      <c r="V822" s="7">
        <v>1991</v>
      </c>
      <c r="W822" t="s">
        <v>609</v>
      </c>
      <c r="X822" s="2">
        <v>0.89600000000000002</v>
      </c>
      <c r="Y822" s="6">
        <f t="shared" si="102"/>
        <v>2.3918208269934065E-2</v>
      </c>
      <c r="AA822">
        <v>2656736</v>
      </c>
      <c r="AB822">
        <v>29901</v>
      </c>
      <c r="AD822" t="s">
        <v>5</v>
      </c>
      <c r="AE822">
        <v>7</v>
      </c>
      <c r="AF822">
        <v>1</v>
      </c>
      <c r="AH822" t="s">
        <v>2135</v>
      </c>
      <c r="AI822" t="s">
        <v>2134</v>
      </c>
      <c r="AJ822" t="s">
        <v>2133</v>
      </c>
      <c r="AK822" t="s">
        <v>2132</v>
      </c>
      <c r="AL822">
        <v>7</v>
      </c>
      <c r="AM822" s="5">
        <f t="shared" si="106"/>
        <v>0.22580645161290322</v>
      </c>
      <c r="AN822" s="4">
        <f t="shared" si="103"/>
        <v>3.420014412917883E-4</v>
      </c>
      <c r="AO822" s="3"/>
      <c r="AP822">
        <v>0</v>
      </c>
      <c r="AQ822" t="s">
        <v>2131</v>
      </c>
      <c r="AR822" t="s">
        <v>2130</v>
      </c>
      <c r="AS822" t="s">
        <v>2129</v>
      </c>
      <c r="AT822" s="2">
        <v>3.9140000000000001</v>
      </c>
      <c r="AU822" s="1">
        <f t="shared" si="107"/>
        <v>1.684534622134138</v>
      </c>
      <c r="AV822" s="1">
        <f t="shared" si="108"/>
        <v>1.2130104855612927</v>
      </c>
      <c r="AW822" s="1">
        <f t="shared" si="109"/>
        <v>0.74148634898844701</v>
      </c>
    </row>
    <row r="823" spans="1:49" x14ac:dyDescent="0.2">
      <c r="A823">
        <v>821</v>
      </c>
      <c r="B823" t="s">
        <v>2128</v>
      </c>
      <c r="C823" t="s">
        <v>2127</v>
      </c>
      <c r="E823">
        <v>1711088</v>
      </c>
      <c r="F823" t="s">
        <v>2126</v>
      </c>
      <c r="G823" t="s">
        <v>16</v>
      </c>
      <c r="H823" t="s">
        <v>15</v>
      </c>
      <c r="I823" t="s">
        <v>2125</v>
      </c>
      <c r="J823" t="s">
        <v>2124</v>
      </c>
      <c r="K823" t="s">
        <v>2123</v>
      </c>
      <c r="L823" t="s">
        <v>2122</v>
      </c>
      <c r="M823" t="s">
        <v>2121</v>
      </c>
      <c r="N823">
        <v>8</v>
      </c>
      <c r="O823" t="s">
        <v>2120</v>
      </c>
      <c r="P823" t="s">
        <v>2119</v>
      </c>
      <c r="Q823" t="s">
        <v>2118</v>
      </c>
      <c r="R823" s="7">
        <v>33239</v>
      </c>
      <c r="S823" s="8">
        <f t="shared" si="104"/>
        <v>1991</v>
      </c>
      <c r="T823" s="8">
        <v>1991</v>
      </c>
      <c r="U823" s="8">
        <f t="shared" si="105"/>
        <v>31</v>
      </c>
      <c r="V823" s="7">
        <v>1991</v>
      </c>
      <c r="W823" t="s">
        <v>609</v>
      </c>
      <c r="X823" s="2">
        <v>0.89600000000000002</v>
      </c>
      <c r="Y823" s="6">
        <f t="shared" si="102"/>
        <v>2.3918208269934065E-2</v>
      </c>
      <c r="AA823">
        <v>2656736</v>
      </c>
      <c r="AB823">
        <v>29901</v>
      </c>
      <c r="AD823" t="s">
        <v>5</v>
      </c>
      <c r="AE823">
        <v>7</v>
      </c>
      <c r="AF823">
        <v>1</v>
      </c>
      <c r="AH823" t="s">
        <v>2117</v>
      </c>
      <c r="AI823" t="s">
        <v>2116</v>
      </c>
      <c r="AJ823" t="s">
        <v>2115</v>
      </c>
      <c r="AK823" t="s">
        <v>2114</v>
      </c>
      <c r="AL823">
        <v>32</v>
      </c>
      <c r="AM823" s="5">
        <f t="shared" si="106"/>
        <v>1.032258064516129</v>
      </c>
      <c r="AN823" s="4">
        <f t="shared" si="103"/>
        <v>1.5634351601910323E-3</v>
      </c>
      <c r="AO823" s="3"/>
      <c r="AP823">
        <v>0</v>
      </c>
      <c r="AR823" t="s">
        <v>0</v>
      </c>
      <c r="AT823" s="2">
        <v>3.9140000000000001</v>
      </c>
      <c r="AU823" s="1">
        <f t="shared" si="107"/>
        <v>1.7211776337011153</v>
      </c>
      <c r="AV823" s="1">
        <f t="shared" si="108"/>
        <v>1.2740821715062549</v>
      </c>
      <c r="AW823" s="1">
        <f t="shared" si="109"/>
        <v>0.82698670931139417</v>
      </c>
    </row>
    <row r="824" spans="1:49" x14ac:dyDescent="0.2">
      <c r="A824">
        <v>822</v>
      </c>
      <c r="B824" t="s">
        <v>2113</v>
      </c>
      <c r="C824" t="s">
        <v>2112</v>
      </c>
      <c r="E824">
        <v>1715861</v>
      </c>
      <c r="F824" t="s">
        <v>2111</v>
      </c>
      <c r="G824" t="s">
        <v>16</v>
      </c>
      <c r="H824" t="s">
        <v>15</v>
      </c>
      <c r="I824" t="s">
        <v>2110</v>
      </c>
      <c r="J824">
        <v>60019909</v>
      </c>
      <c r="K824" t="s">
        <v>2109</v>
      </c>
      <c r="L824" t="s">
        <v>565</v>
      </c>
      <c r="M824" t="s">
        <v>57</v>
      </c>
      <c r="N824">
        <v>3</v>
      </c>
      <c r="O824" t="s">
        <v>2108</v>
      </c>
      <c r="P824" t="s">
        <v>2107</v>
      </c>
      <c r="Q824" t="s">
        <v>2106</v>
      </c>
      <c r="R824" s="7">
        <v>33239</v>
      </c>
      <c r="S824" s="8">
        <f t="shared" si="104"/>
        <v>1991</v>
      </c>
      <c r="T824" s="8">
        <v>1991</v>
      </c>
      <c r="U824" s="8">
        <f t="shared" si="105"/>
        <v>31</v>
      </c>
      <c r="V824" s="7">
        <v>1991</v>
      </c>
      <c r="W824" t="s">
        <v>2105</v>
      </c>
      <c r="X824" s="2">
        <v>1.6519999999999999</v>
      </c>
      <c r="Y824" s="6">
        <f t="shared" si="102"/>
        <v>4.409919649769093E-2</v>
      </c>
      <c r="AA824">
        <v>219193</v>
      </c>
      <c r="AB824">
        <v>20220</v>
      </c>
      <c r="AD824" t="s">
        <v>5</v>
      </c>
      <c r="AE824">
        <v>173</v>
      </c>
      <c r="AF824">
        <v>18</v>
      </c>
      <c r="AH824" t="s">
        <v>2104</v>
      </c>
      <c r="AI824" t="s">
        <v>2103</v>
      </c>
      <c r="AK824" t="s">
        <v>2102</v>
      </c>
      <c r="AL824">
        <v>11</v>
      </c>
      <c r="AM824" s="5">
        <f t="shared" si="106"/>
        <v>0.35483870967741937</v>
      </c>
      <c r="AN824" s="4">
        <f t="shared" si="103"/>
        <v>5.3743083631566731E-4</v>
      </c>
      <c r="AO824" s="3"/>
      <c r="AP824">
        <v>1</v>
      </c>
      <c r="AR824" t="s">
        <v>0</v>
      </c>
      <c r="AT824" s="2">
        <v>3.49</v>
      </c>
      <c r="AU824" s="1">
        <f t="shared" si="107"/>
        <v>3.103066679927835</v>
      </c>
      <c r="AV824" s="1">
        <f t="shared" si="108"/>
        <v>2.2318313667003298</v>
      </c>
      <c r="AW824" s="1">
        <f t="shared" si="109"/>
        <v>1.3605960534728245</v>
      </c>
    </row>
    <row r="825" spans="1:49" x14ac:dyDescent="0.2">
      <c r="A825">
        <v>823</v>
      </c>
      <c r="B825" t="s">
        <v>2101</v>
      </c>
      <c r="C825" t="s">
        <v>2100</v>
      </c>
      <c r="E825">
        <v>1671353</v>
      </c>
      <c r="F825" t="s">
        <v>2099</v>
      </c>
      <c r="G825" t="s">
        <v>16</v>
      </c>
      <c r="H825" t="s">
        <v>15</v>
      </c>
      <c r="I825" t="s">
        <v>2098</v>
      </c>
      <c r="J825">
        <v>60005248</v>
      </c>
      <c r="K825" t="s">
        <v>2097</v>
      </c>
      <c r="L825" t="s">
        <v>2096</v>
      </c>
      <c r="M825" t="s">
        <v>57</v>
      </c>
      <c r="N825">
        <v>2</v>
      </c>
      <c r="O825" t="s">
        <v>2095</v>
      </c>
      <c r="P825" t="s">
        <v>2094</v>
      </c>
      <c r="Q825" t="s">
        <v>2093</v>
      </c>
      <c r="R825" s="7">
        <v>33239</v>
      </c>
      <c r="S825" s="8">
        <f t="shared" si="104"/>
        <v>1991</v>
      </c>
      <c r="T825" s="8">
        <v>1991</v>
      </c>
      <c r="U825" s="8">
        <f t="shared" si="105"/>
        <v>31</v>
      </c>
      <c r="V825" s="7">
        <v>1991</v>
      </c>
      <c r="W825" t="s">
        <v>2092</v>
      </c>
      <c r="X825" s="2">
        <v>7.484</v>
      </c>
      <c r="Y825" s="6">
        <f t="shared" si="102"/>
        <v>0.19978110568324392</v>
      </c>
      <c r="AA825">
        <v>2614189</v>
      </c>
      <c r="AB825">
        <v>17435</v>
      </c>
      <c r="AD825" t="s">
        <v>5</v>
      </c>
      <c r="AE825">
        <v>10</v>
      </c>
      <c r="AF825">
        <v>2</v>
      </c>
      <c r="AH825" t="s">
        <v>2091</v>
      </c>
      <c r="AI825" t="s">
        <v>2090</v>
      </c>
      <c r="AJ825" t="s">
        <v>2089</v>
      </c>
      <c r="AK825" t="s">
        <v>2088</v>
      </c>
      <c r="AL825">
        <v>40</v>
      </c>
      <c r="AM825" s="5">
        <f t="shared" si="106"/>
        <v>1.2903225806451613</v>
      </c>
      <c r="AN825" s="4">
        <f t="shared" si="103"/>
        <v>1.9542939502387902E-3</v>
      </c>
      <c r="AO825" s="3"/>
      <c r="AP825">
        <v>0</v>
      </c>
      <c r="AQ825" t="s">
        <v>830</v>
      </c>
      <c r="AR825" t="s">
        <v>2087</v>
      </c>
      <c r="AS825" t="s">
        <v>828</v>
      </c>
      <c r="AT825" s="2">
        <v>11.598000000000001</v>
      </c>
      <c r="AU825" s="1">
        <f t="shared" si="107"/>
        <v>14.043306216334237</v>
      </c>
      <c r="AV825" s="1">
        <f t="shared" si="108"/>
        <v>10.086769981674136</v>
      </c>
      <c r="AW825" s="1">
        <f t="shared" si="109"/>
        <v>6.1302337470140325</v>
      </c>
    </row>
    <row r="826" spans="1:49" x14ac:dyDescent="0.2">
      <c r="A826">
        <v>824</v>
      </c>
      <c r="B826" t="s">
        <v>2086</v>
      </c>
      <c r="C826" t="s">
        <v>2085</v>
      </c>
      <c r="D826" t="s">
        <v>2084</v>
      </c>
      <c r="E826">
        <v>1938535</v>
      </c>
      <c r="F826" t="s">
        <v>2083</v>
      </c>
      <c r="G826" t="s">
        <v>16</v>
      </c>
      <c r="H826" t="s">
        <v>15</v>
      </c>
      <c r="I826" t="s">
        <v>2082</v>
      </c>
      <c r="J826">
        <v>60013227</v>
      </c>
      <c r="K826" t="s">
        <v>2081</v>
      </c>
      <c r="L826" t="s">
        <v>452</v>
      </c>
      <c r="M826" t="s">
        <v>57</v>
      </c>
      <c r="N826">
        <v>6</v>
      </c>
      <c r="O826" t="s">
        <v>2080</v>
      </c>
      <c r="P826" t="s">
        <v>2079</v>
      </c>
      <c r="Q826" t="s">
        <v>2078</v>
      </c>
      <c r="R826" s="7">
        <v>33239</v>
      </c>
      <c r="S826" s="8">
        <f t="shared" si="104"/>
        <v>1991</v>
      </c>
      <c r="T826" s="8">
        <v>1991</v>
      </c>
      <c r="U826" s="8">
        <f t="shared" si="105"/>
        <v>31</v>
      </c>
      <c r="V826" s="7">
        <v>33512</v>
      </c>
      <c r="W826" t="s">
        <v>1134</v>
      </c>
      <c r="X826" s="2" t="s">
        <v>33</v>
      </c>
      <c r="Y826" s="6" t="e">
        <f t="shared" si="102"/>
        <v>#VALUE!</v>
      </c>
      <c r="AA826">
        <v>3603016</v>
      </c>
      <c r="AB826">
        <v>17191</v>
      </c>
      <c r="AD826" t="s">
        <v>5</v>
      </c>
      <c r="AE826">
        <v>21</v>
      </c>
      <c r="AF826">
        <v>5</v>
      </c>
      <c r="AH826" t="s">
        <v>2077</v>
      </c>
      <c r="AI826" t="s">
        <v>2076</v>
      </c>
      <c r="AJ826" t="s">
        <v>2075</v>
      </c>
      <c r="AK826" t="s">
        <v>2074</v>
      </c>
      <c r="AL826">
        <v>27</v>
      </c>
      <c r="AM826" s="5">
        <f t="shared" si="106"/>
        <v>0.87096774193548387</v>
      </c>
      <c r="AN826" s="4">
        <f t="shared" si="103"/>
        <v>1.3191484164111836E-3</v>
      </c>
      <c r="AO826" s="3"/>
      <c r="AP826">
        <v>0</v>
      </c>
      <c r="AR826" t="s">
        <v>0</v>
      </c>
      <c r="AT826" s="2" t="s">
        <v>33</v>
      </c>
      <c r="AU826" s="1" t="e">
        <f t="shared" si="107"/>
        <v>#VALUE!</v>
      </c>
      <c r="AV826" s="1" t="e">
        <f t="shared" si="108"/>
        <v>#VALUE!</v>
      </c>
      <c r="AW826" s="1" t="e">
        <f t="shared" si="109"/>
        <v>#VALUE!</v>
      </c>
    </row>
    <row r="827" spans="1:49" x14ac:dyDescent="0.2">
      <c r="A827">
        <v>825</v>
      </c>
      <c r="B827" t="s">
        <v>2073</v>
      </c>
      <c r="C827" t="s">
        <v>2072</v>
      </c>
      <c r="F827" t="s">
        <v>2071</v>
      </c>
      <c r="G827" t="s">
        <v>16</v>
      </c>
      <c r="H827" t="s">
        <v>15</v>
      </c>
      <c r="I827" t="s">
        <v>2070</v>
      </c>
      <c r="N827">
        <v>1</v>
      </c>
      <c r="O827" t="s">
        <v>2069</v>
      </c>
      <c r="P827">
        <v>57217393673</v>
      </c>
      <c r="R827" s="7">
        <v>33239</v>
      </c>
      <c r="S827" s="8">
        <f t="shared" si="104"/>
        <v>1991</v>
      </c>
      <c r="T827" s="8">
        <v>1991</v>
      </c>
      <c r="U827" s="8">
        <f t="shared" si="105"/>
        <v>31</v>
      </c>
      <c r="V827" s="7">
        <v>1991</v>
      </c>
      <c r="W827" t="s">
        <v>2029</v>
      </c>
      <c r="X827" s="2" t="s">
        <v>33</v>
      </c>
      <c r="Y827" s="6" t="e">
        <f t="shared" si="102"/>
        <v>#VALUE!</v>
      </c>
      <c r="AA827">
        <v>7390572</v>
      </c>
      <c r="AB827">
        <v>13549</v>
      </c>
      <c r="AD827" t="s">
        <v>5</v>
      </c>
      <c r="AE827">
        <v>8</v>
      </c>
      <c r="AF827">
        <v>5</v>
      </c>
      <c r="AH827" t="s">
        <v>2068</v>
      </c>
      <c r="AI827" t="s">
        <v>2067</v>
      </c>
      <c r="AK827" t="s">
        <v>2066</v>
      </c>
      <c r="AL827">
        <v>3</v>
      </c>
      <c r="AM827" s="5">
        <f t="shared" si="106"/>
        <v>9.6774193548387094E-2</v>
      </c>
      <c r="AN827" s="4">
        <f t="shared" si="103"/>
        <v>1.4657204626790927E-4</v>
      </c>
      <c r="AO827" s="3"/>
      <c r="AP827">
        <v>0</v>
      </c>
      <c r="AR827" t="s">
        <v>0</v>
      </c>
      <c r="AT827" s="2" t="s">
        <v>33</v>
      </c>
      <c r="AU827" s="1" t="e">
        <f t="shared" si="107"/>
        <v>#VALUE!</v>
      </c>
      <c r="AV827" s="1" t="e">
        <f t="shared" si="108"/>
        <v>#VALUE!</v>
      </c>
      <c r="AW827" s="1" t="e">
        <f t="shared" si="109"/>
        <v>#VALUE!</v>
      </c>
    </row>
    <row r="828" spans="1:49" x14ac:dyDescent="0.2">
      <c r="A828">
        <v>826</v>
      </c>
      <c r="B828" t="s">
        <v>2065</v>
      </c>
      <c r="C828" t="s">
        <v>2064</v>
      </c>
      <c r="F828" t="s">
        <v>2063</v>
      </c>
      <c r="G828" t="s">
        <v>16</v>
      </c>
      <c r="H828" t="s">
        <v>15</v>
      </c>
      <c r="I828" t="s">
        <v>2062</v>
      </c>
      <c r="N828">
        <v>1</v>
      </c>
      <c r="O828" t="s">
        <v>2061</v>
      </c>
      <c r="P828">
        <v>6701592281</v>
      </c>
      <c r="R828" s="7">
        <v>33239</v>
      </c>
      <c r="S828" s="8">
        <f t="shared" si="104"/>
        <v>1991</v>
      </c>
      <c r="T828" s="8">
        <v>1991</v>
      </c>
      <c r="U828" s="8">
        <f t="shared" si="105"/>
        <v>31</v>
      </c>
      <c r="V828" s="7" t="s">
        <v>1846</v>
      </c>
      <c r="W828" t="s">
        <v>53</v>
      </c>
      <c r="X828" s="2">
        <v>0.22500000000000001</v>
      </c>
      <c r="Y828" s="6">
        <f t="shared" si="102"/>
        <v>6.0062464963562111E-3</v>
      </c>
      <c r="AA828">
        <v>2726343</v>
      </c>
      <c r="AB828">
        <v>16128</v>
      </c>
      <c r="AC828" t="s">
        <v>52</v>
      </c>
      <c r="AD828" t="s">
        <v>5</v>
      </c>
      <c r="AE828">
        <v>11</v>
      </c>
      <c r="AF828">
        <v>1</v>
      </c>
      <c r="AH828" t="s">
        <v>2060</v>
      </c>
      <c r="AI828" t="s">
        <v>2059</v>
      </c>
      <c r="AK828" t="s">
        <v>2058</v>
      </c>
      <c r="AL828">
        <v>5</v>
      </c>
      <c r="AM828" s="5">
        <f t="shared" si="106"/>
        <v>0.16129032258064516</v>
      </c>
      <c r="AN828" s="4">
        <f t="shared" si="103"/>
        <v>2.4428674377984877E-4</v>
      </c>
      <c r="AO828" s="3"/>
      <c r="AP828">
        <v>0</v>
      </c>
      <c r="AR828" t="s">
        <v>0</v>
      </c>
      <c r="AT828" s="2">
        <v>1.099</v>
      </c>
      <c r="AU828" s="1">
        <f t="shared" si="107"/>
        <v>0.4277658570583302</v>
      </c>
      <c r="AV828" s="1">
        <f t="shared" si="108"/>
        <v>0.31252666200680301</v>
      </c>
      <c r="AW828" s="1">
        <f t="shared" si="109"/>
        <v>0.19728746695527574</v>
      </c>
    </row>
    <row r="829" spans="1:49" x14ac:dyDescent="0.2">
      <c r="A829">
        <v>827</v>
      </c>
      <c r="B829" t="s">
        <v>2057</v>
      </c>
      <c r="C829" t="s">
        <v>2056</v>
      </c>
      <c r="F829" t="s">
        <v>2055</v>
      </c>
      <c r="G829" t="s">
        <v>16</v>
      </c>
      <c r="H829" t="s">
        <v>15</v>
      </c>
      <c r="I829" t="s">
        <v>2054</v>
      </c>
      <c r="J829">
        <v>60005837</v>
      </c>
      <c r="K829" t="s">
        <v>2053</v>
      </c>
      <c r="L829" t="s">
        <v>2052</v>
      </c>
      <c r="M829" t="s">
        <v>57</v>
      </c>
      <c r="N829">
        <v>3</v>
      </c>
      <c r="O829" t="s">
        <v>2051</v>
      </c>
      <c r="P829" t="s">
        <v>2050</v>
      </c>
      <c r="Q829" t="s">
        <v>2049</v>
      </c>
      <c r="R829" s="7">
        <v>33239</v>
      </c>
      <c r="S829" s="8">
        <f t="shared" si="104"/>
        <v>1991</v>
      </c>
      <c r="T829" s="8">
        <v>1991</v>
      </c>
      <c r="U829" s="8">
        <f t="shared" si="105"/>
        <v>31</v>
      </c>
      <c r="V829" s="7">
        <v>33239</v>
      </c>
      <c r="W829" t="s">
        <v>1807</v>
      </c>
      <c r="X829" s="2">
        <v>1.6519999999999999</v>
      </c>
      <c r="Y829" s="6">
        <f t="shared" si="102"/>
        <v>4.409919649769093E-2</v>
      </c>
      <c r="AA829" t="s">
        <v>1806</v>
      </c>
      <c r="AB829">
        <v>17337</v>
      </c>
      <c r="AC829">
        <v>15582221</v>
      </c>
      <c r="AD829" t="s">
        <v>5</v>
      </c>
      <c r="AE829">
        <v>39</v>
      </c>
      <c r="AF829">
        <v>1</v>
      </c>
      <c r="AH829" t="s">
        <v>2048</v>
      </c>
      <c r="AI829" t="s">
        <v>2047</v>
      </c>
      <c r="AK829" t="s">
        <v>2046</v>
      </c>
      <c r="AL829">
        <v>133</v>
      </c>
      <c r="AM829" s="5">
        <f t="shared" si="106"/>
        <v>4.290322580645161</v>
      </c>
      <c r="AN829" s="4">
        <f t="shared" si="103"/>
        <v>6.4980273845439774E-3</v>
      </c>
      <c r="AO829" s="3"/>
      <c r="AP829">
        <v>0</v>
      </c>
      <c r="AR829" t="s">
        <v>0</v>
      </c>
      <c r="AT829" s="2" t="s">
        <v>33</v>
      </c>
      <c r="AU829" s="1">
        <f t="shared" si="107"/>
        <v>3.2818845763746842</v>
      </c>
      <c r="AV829" s="1">
        <f t="shared" si="108"/>
        <v>2.5298611941117453</v>
      </c>
      <c r="AW829" s="1">
        <f t="shared" si="109"/>
        <v>1.7778378118488063</v>
      </c>
    </row>
    <row r="830" spans="1:49" x14ac:dyDescent="0.2">
      <c r="A830">
        <v>828</v>
      </c>
      <c r="B830" t="s">
        <v>2045</v>
      </c>
      <c r="C830" t="s">
        <v>2044</v>
      </c>
      <c r="D830" t="s">
        <v>2043</v>
      </c>
      <c r="E830">
        <v>1799971</v>
      </c>
      <c r="F830" t="s">
        <v>2042</v>
      </c>
      <c r="G830" t="s">
        <v>16</v>
      </c>
      <c r="H830" t="s">
        <v>15</v>
      </c>
      <c r="I830" t="s">
        <v>2041</v>
      </c>
      <c r="J830">
        <v>60008134</v>
      </c>
      <c r="K830" t="s">
        <v>1102</v>
      </c>
      <c r="L830" t="s">
        <v>1101</v>
      </c>
      <c r="M830" t="s">
        <v>213</v>
      </c>
      <c r="N830">
        <v>1</v>
      </c>
      <c r="O830" t="s">
        <v>2040</v>
      </c>
      <c r="P830">
        <v>36881128500</v>
      </c>
      <c r="Q830">
        <v>60008134</v>
      </c>
      <c r="R830" s="7">
        <v>33239</v>
      </c>
      <c r="S830" s="8">
        <f t="shared" si="104"/>
        <v>1991</v>
      </c>
      <c r="T830" s="8">
        <v>1991</v>
      </c>
      <c r="U830" s="8">
        <f t="shared" si="105"/>
        <v>31</v>
      </c>
      <c r="V830" s="7">
        <v>1991</v>
      </c>
      <c r="W830" t="s">
        <v>2039</v>
      </c>
      <c r="X830" s="2">
        <v>0.59599999999999997</v>
      </c>
      <c r="Y830" s="6">
        <f t="shared" si="102"/>
        <v>1.5909879608125784E-2</v>
      </c>
      <c r="AA830">
        <v>3050491</v>
      </c>
      <c r="AB830">
        <v>17373</v>
      </c>
      <c r="AD830" t="s">
        <v>5</v>
      </c>
      <c r="AE830">
        <v>100</v>
      </c>
      <c r="AF830">
        <v>2</v>
      </c>
      <c r="AH830" t="s">
        <v>2038</v>
      </c>
      <c r="AI830" t="s">
        <v>2037</v>
      </c>
      <c r="AK830" t="s">
        <v>2036</v>
      </c>
      <c r="AL830">
        <v>1</v>
      </c>
      <c r="AM830" s="5">
        <f t="shared" si="106"/>
        <v>3.2258064516129031E-2</v>
      </c>
      <c r="AN830" s="4">
        <f t="shared" si="103"/>
        <v>4.8857348755969758E-5</v>
      </c>
      <c r="AO830" s="3"/>
      <c r="AP830">
        <v>0</v>
      </c>
      <c r="AR830" t="s">
        <v>0</v>
      </c>
      <c r="AT830" s="2" t="s">
        <v>33</v>
      </c>
      <c r="AU830" s="1">
        <f t="shared" si="107"/>
        <v>1.1151572930314839</v>
      </c>
      <c r="AV830" s="1">
        <f t="shared" si="108"/>
        <v>0.7979368478440878</v>
      </c>
      <c r="AW830" s="1">
        <f t="shared" si="109"/>
        <v>0.48071640265669136</v>
      </c>
    </row>
    <row r="831" spans="1:49" x14ac:dyDescent="0.2">
      <c r="A831">
        <v>829</v>
      </c>
      <c r="B831" t="s">
        <v>2035</v>
      </c>
      <c r="C831" t="s">
        <v>2034</v>
      </c>
      <c r="F831" t="s">
        <v>2033</v>
      </c>
      <c r="G831" t="s">
        <v>16</v>
      </c>
      <c r="H831" t="s">
        <v>15</v>
      </c>
      <c r="I831" t="s">
        <v>2032</v>
      </c>
      <c r="N831">
        <v>2</v>
      </c>
      <c r="O831" t="s">
        <v>2031</v>
      </c>
      <c r="P831" t="s">
        <v>2030</v>
      </c>
      <c r="Q831" t="s">
        <v>592</v>
      </c>
      <c r="R831" s="7">
        <v>33239</v>
      </c>
      <c r="S831" s="8">
        <f t="shared" si="104"/>
        <v>1991</v>
      </c>
      <c r="T831" s="8">
        <v>1991</v>
      </c>
      <c r="U831" s="8">
        <f t="shared" si="105"/>
        <v>31</v>
      </c>
      <c r="V831" s="7">
        <v>1991</v>
      </c>
      <c r="W831" t="s">
        <v>2029</v>
      </c>
      <c r="X831" s="2" t="s">
        <v>33</v>
      </c>
      <c r="Y831" s="6" t="e">
        <f t="shared" si="102"/>
        <v>#VALUE!</v>
      </c>
      <c r="AA831">
        <v>7390572</v>
      </c>
      <c r="AB831">
        <v>13549</v>
      </c>
      <c r="AD831" t="s">
        <v>5</v>
      </c>
      <c r="AE831">
        <v>8</v>
      </c>
      <c r="AF831">
        <v>4</v>
      </c>
      <c r="AH831" t="s">
        <v>2028</v>
      </c>
      <c r="AI831" t="s">
        <v>2027</v>
      </c>
      <c r="AK831" t="s">
        <v>2026</v>
      </c>
      <c r="AL831">
        <v>46</v>
      </c>
      <c r="AM831" s="5">
        <f t="shared" si="106"/>
        <v>1.4838709677419355</v>
      </c>
      <c r="AN831" s="4">
        <f t="shared" si="103"/>
        <v>2.247438042774609E-3</v>
      </c>
      <c r="AO831" s="3"/>
      <c r="AP831">
        <v>1</v>
      </c>
      <c r="AR831" t="s">
        <v>0</v>
      </c>
      <c r="AT831" s="2" t="s">
        <v>33</v>
      </c>
      <c r="AU831" s="1" t="e">
        <f t="shared" si="107"/>
        <v>#VALUE!</v>
      </c>
      <c r="AV831" s="1" t="e">
        <f t="shared" si="108"/>
        <v>#VALUE!</v>
      </c>
      <c r="AW831" s="1" t="e">
        <f t="shared" si="109"/>
        <v>#VALUE!</v>
      </c>
    </row>
    <row r="832" spans="1:49" x14ac:dyDescent="0.2">
      <c r="A832">
        <v>830</v>
      </c>
      <c r="B832" t="s">
        <v>2025</v>
      </c>
      <c r="C832" t="s">
        <v>2024</v>
      </c>
      <c r="D832" t="s">
        <v>2023</v>
      </c>
      <c r="F832" t="s">
        <v>2022</v>
      </c>
      <c r="G832" t="s">
        <v>16</v>
      </c>
      <c r="H832" t="s">
        <v>15</v>
      </c>
      <c r="I832" t="s">
        <v>2021</v>
      </c>
      <c r="J832">
        <v>60006925</v>
      </c>
      <c r="K832" t="s">
        <v>2020</v>
      </c>
      <c r="L832" t="s">
        <v>576</v>
      </c>
      <c r="M832" t="s">
        <v>426</v>
      </c>
      <c r="N832">
        <v>1</v>
      </c>
      <c r="O832" t="s">
        <v>2019</v>
      </c>
      <c r="P832">
        <v>24545701600</v>
      </c>
      <c r="Q832">
        <v>60006925</v>
      </c>
      <c r="R832" s="7">
        <v>33239</v>
      </c>
      <c r="S832" s="8">
        <f t="shared" si="104"/>
        <v>1991</v>
      </c>
      <c r="T832" s="8">
        <v>1991</v>
      </c>
      <c r="U832" s="8">
        <f t="shared" si="105"/>
        <v>31</v>
      </c>
      <c r="V832" s="7" t="s">
        <v>885</v>
      </c>
      <c r="W832" t="s">
        <v>282</v>
      </c>
      <c r="X832" s="2">
        <v>0.51500000000000001</v>
      </c>
      <c r="Y832" s="6">
        <f t="shared" si="102"/>
        <v>1.374763086943755E-2</v>
      </c>
      <c r="AA832">
        <v>219169</v>
      </c>
      <c r="AB832">
        <v>30966</v>
      </c>
      <c r="AD832" t="s">
        <v>5</v>
      </c>
      <c r="AE832">
        <v>53</v>
      </c>
      <c r="AF832" s="9">
        <v>44228</v>
      </c>
      <c r="AH832" t="s">
        <v>2018</v>
      </c>
      <c r="AI832" t="s">
        <v>2017</v>
      </c>
      <c r="AK832" t="s">
        <v>2016</v>
      </c>
      <c r="AL832">
        <v>18</v>
      </c>
      <c r="AM832" s="5">
        <f t="shared" si="106"/>
        <v>0.58064516129032262</v>
      </c>
      <c r="AN832" s="4">
        <f t="shared" si="103"/>
        <v>8.7943227760745566E-4</v>
      </c>
      <c r="AO832" s="3"/>
      <c r="AP832">
        <v>0</v>
      </c>
      <c r="AR832" t="s">
        <v>0</v>
      </c>
      <c r="AT832" s="2" t="s">
        <v>33</v>
      </c>
      <c r="AU832" s="1">
        <f t="shared" si="107"/>
        <v>0.98871712918885202</v>
      </c>
      <c r="AV832" s="1">
        <f t="shared" si="108"/>
        <v>0.73135315735225026</v>
      </c>
      <c r="AW832" s="1">
        <f t="shared" si="109"/>
        <v>0.47398918551564845</v>
      </c>
    </row>
    <row r="833" spans="1:49" x14ac:dyDescent="0.2">
      <c r="A833">
        <v>831</v>
      </c>
      <c r="B833" t="s">
        <v>2015</v>
      </c>
      <c r="C833" t="s">
        <v>2014</v>
      </c>
      <c r="E833">
        <v>1745119</v>
      </c>
      <c r="F833" t="s">
        <v>2013</v>
      </c>
      <c r="G833" t="s">
        <v>16</v>
      </c>
      <c r="H833" t="s">
        <v>15</v>
      </c>
      <c r="I833" t="s">
        <v>2012</v>
      </c>
      <c r="J833">
        <v>60021681</v>
      </c>
      <c r="K833" t="s">
        <v>2011</v>
      </c>
      <c r="L833" t="s">
        <v>273</v>
      </c>
      <c r="M833" t="s">
        <v>272</v>
      </c>
      <c r="N833">
        <v>1</v>
      </c>
      <c r="O833" t="s">
        <v>2010</v>
      </c>
      <c r="P833">
        <v>6602539800</v>
      </c>
      <c r="Q833">
        <v>60021681</v>
      </c>
      <c r="R833" s="7">
        <v>33239</v>
      </c>
      <c r="S833" s="8">
        <f t="shared" si="104"/>
        <v>1991</v>
      </c>
      <c r="T833" s="8">
        <v>1991</v>
      </c>
      <c r="U833" s="8">
        <f t="shared" si="105"/>
        <v>31</v>
      </c>
      <c r="V833" s="7">
        <v>33512</v>
      </c>
      <c r="W833" t="s">
        <v>688</v>
      </c>
      <c r="X833" s="2">
        <v>1.696</v>
      </c>
      <c r="Y833" s="6">
        <f t="shared" si="102"/>
        <v>4.5273751368089483E-2</v>
      </c>
      <c r="AA833">
        <v>7403194</v>
      </c>
      <c r="AB833">
        <v>17267</v>
      </c>
      <c r="AC833">
        <v>15222594</v>
      </c>
      <c r="AD833" t="s">
        <v>5</v>
      </c>
      <c r="AE833">
        <v>21</v>
      </c>
      <c r="AF833">
        <v>2</v>
      </c>
      <c r="AH833" t="s">
        <v>2009</v>
      </c>
      <c r="AI833" t="s">
        <v>2008</v>
      </c>
      <c r="AK833" t="s">
        <v>2007</v>
      </c>
      <c r="AL833">
        <v>15</v>
      </c>
      <c r="AM833" s="5">
        <f t="shared" si="106"/>
        <v>0.4838709677419355</v>
      </c>
      <c r="AN833" s="4">
        <f t="shared" si="103"/>
        <v>7.3286023133954637E-4</v>
      </c>
      <c r="AO833" s="3"/>
      <c r="AP833">
        <v>0</v>
      </c>
      <c r="AR833" t="s">
        <v>0</v>
      </c>
      <c r="AT833" s="2">
        <v>4.6680000000000001</v>
      </c>
      <c r="AU833" s="1">
        <f t="shared" si="107"/>
        <v>3.1911484027064501</v>
      </c>
      <c r="AV833" s="1">
        <f t="shared" si="108"/>
        <v>2.3003305799714515</v>
      </c>
      <c r="AW833" s="1">
        <f t="shared" si="109"/>
        <v>1.4095127572364525</v>
      </c>
    </row>
    <row r="834" spans="1:49" x14ac:dyDescent="0.2">
      <c r="A834">
        <v>832</v>
      </c>
      <c r="B834" t="s">
        <v>2006</v>
      </c>
      <c r="C834" t="s">
        <v>2005</v>
      </c>
      <c r="E834">
        <v>1849175</v>
      </c>
      <c r="F834" t="s">
        <v>2004</v>
      </c>
      <c r="G834" t="s">
        <v>16</v>
      </c>
      <c r="H834" t="s">
        <v>15</v>
      </c>
      <c r="I834" t="s">
        <v>204</v>
      </c>
      <c r="J834">
        <v>60010065</v>
      </c>
      <c r="K834" t="s">
        <v>2003</v>
      </c>
      <c r="L834" t="s">
        <v>2002</v>
      </c>
      <c r="M834" t="s">
        <v>57</v>
      </c>
      <c r="N834">
        <v>5</v>
      </c>
      <c r="O834" t="s">
        <v>2001</v>
      </c>
      <c r="P834" t="s">
        <v>2000</v>
      </c>
      <c r="Q834" t="s">
        <v>1999</v>
      </c>
      <c r="R834" s="7">
        <v>33239</v>
      </c>
      <c r="S834" s="8">
        <f t="shared" si="104"/>
        <v>1991</v>
      </c>
      <c r="T834" s="8">
        <v>1991</v>
      </c>
      <c r="U834" s="8">
        <f t="shared" si="105"/>
        <v>31</v>
      </c>
      <c r="V834" s="7">
        <v>1991</v>
      </c>
      <c r="W834" t="s">
        <v>1998</v>
      </c>
      <c r="X834" s="2">
        <v>3.4830000000000001</v>
      </c>
      <c r="Y834" s="6">
        <f t="shared" ref="Y834:Y897" si="110">(X834-$Z$4)/($Z$3-$Z$4)</f>
        <v>9.2976695763594144E-2</v>
      </c>
      <c r="AA834">
        <v>2706474</v>
      </c>
      <c r="AB834">
        <v>16764</v>
      </c>
      <c r="AD834" t="s">
        <v>5</v>
      </c>
      <c r="AE834">
        <v>11</v>
      </c>
      <c r="AF834">
        <v>4</v>
      </c>
      <c r="AH834" t="s">
        <v>1997</v>
      </c>
      <c r="AI834" t="s">
        <v>1996</v>
      </c>
      <c r="AK834" t="s">
        <v>1995</v>
      </c>
      <c r="AL834">
        <v>52</v>
      </c>
      <c r="AM834" s="5">
        <f t="shared" si="106"/>
        <v>1.6774193548387097</v>
      </c>
      <c r="AN834" s="4">
        <f t="shared" ref="AN834:AN897" si="111">(AM834-$AO$4)/($AO$3-$AO$4)</f>
        <v>2.5405821353104274E-3</v>
      </c>
      <c r="AO834" s="3"/>
      <c r="AP834">
        <v>1</v>
      </c>
      <c r="AQ834" t="s">
        <v>1994</v>
      </c>
      <c r="AR834" t="s">
        <v>1993</v>
      </c>
      <c r="AS834" t="s">
        <v>1992</v>
      </c>
      <c r="AT834" s="2">
        <v>6.1669999999999998</v>
      </c>
      <c r="AU834" s="1">
        <f t="shared" si="107"/>
        <v>6.5845861675109019</v>
      </c>
      <c r="AV834" s="1">
        <f t="shared" si="108"/>
        <v>4.7758638949452283</v>
      </c>
      <c r="AW834" s="1">
        <f t="shared" si="109"/>
        <v>2.9671416223795539</v>
      </c>
    </row>
    <row r="835" spans="1:49" x14ac:dyDescent="0.2">
      <c r="A835">
        <v>833</v>
      </c>
      <c r="B835" t="s">
        <v>1991</v>
      </c>
      <c r="C835" t="s">
        <v>1990</v>
      </c>
      <c r="E835">
        <v>1779223</v>
      </c>
      <c r="F835" t="s">
        <v>1989</v>
      </c>
      <c r="G835" t="s">
        <v>16</v>
      </c>
      <c r="H835" t="s">
        <v>15</v>
      </c>
      <c r="I835" t="s">
        <v>1060</v>
      </c>
      <c r="J835">
        <v>60003274</v>
      </c>
      <c r="K835" t="s">
        <v>1059</v>
      </c>
      <c r="L835" t="s">
        <v>1058</v>
      </c>
      <c r="M835" t="s">
        <v>213</v>
      </c>
      <c r="N835">
        <v>2</v>
      </c>
      <c r="O835" t="s">
        <v>1988</v>
      </c>
      <c r="P835" t="s">
        <v>1056</v>
      </c>
      <c r="Q835" t="s">
        <v>1055</v>
      </c>
      <c r="R835" s="7">
        <v>33239</v>
      </c>
      <c r="S835" s="8">
        <f t="shared" si="104"/>
        <v>1991</v>
      </c>
      <c r="T835" s="8">
        <v>1991</v>
      </c>
      <c r="U835" s="8">
        <f t="shared" si="105"/>
        <v>31</v>
      </c>
      <c r="V835" s="7">
        <v>33543</v>
      </c>
      <c r="W835" t="s">
        <v>1987</v>
      </c>
      <c r="X835" s="2" t="s">
        <v>33</v>
      </c>
      <c r="Y835" s="6" t="e">
        <f t="shared" si="110"/>
        <v>#VALUE!</v>
      </c>
      <c r="AA835">
        <v>223034</v>
      </c>
      <c r="AB835">
        <v>23463</v>
      </c>
      <c r="AC835">
        <v>10974695</v>
      </c>
      <c r="AD835" t="s">
        <v>5</v>
      </c>
      <c r="AE835">
        <v>22</v>
      </c>
      <c r="AF835">
        <v>8</v>
      </c>
      <c r="AH835" t="s">
        <v>1986</v>
      </c>
      <c r="AI835" t="s">
        <v>1985</v>
      </c>
      <c r="AK835" t="s">
        <v>1984</v>
      </c>
      <c r="AL835">
        <v>47</v>
      </c>
      <c r="AM835" s="5">
        <f t="shared" si="106"/>
        <v>1.5161290322580645</v>
      </c>
      <c r="AN835" s="4">
        <f t="shared" si="111"/>
        <v>2.2962953915305786E-3</v>
      </c>
      <c r="AO835" s="3"/>
      <c r="AP835">
        <v>0</v>
      </c>
      <c r="AR835" t="s">
        <v>0</v>
      </c>
      <c r="AT835" s="2" t="s">
        <v>33</v>
      </c>
      <c r="AU835" s="1" t="e">
        <f t="shared" si="107"/>
        <v>#VALUE!</v>
      </c>
      <c r="AV835" s="1" t="e">
        <f t="shared" si="108"/>
        <v>#VALUE!</v>
      </c>
      <c r="AW835" s="1" t="e">
        <f t="shared" si="109"/>
        <v>#VALUE!</v>
      </c>
    </row>
    <row r="836" spans="1:49" x14ac:dyDescent="0.2">
      <c r="A836">
        <v>834</v>
      </c>
      <c r="B836" t="s">
        <v>1983</v>
      </c>
      <c r="C836" t="s">
        <v>1982</v>
      </c>
      <c r="F836" t="s">
        <v>1981</v>
      </c>
      <c r="G836" t="s">
        <v>16</v>
      </c>
      <c r="H836" t="s">
        <v>15</v>
      </c>
      <c r="I836" t="s">
        <v>1980</v>
      </c>
      <c r="J836">
        <v>60020680</v>
      </c>
      <c r="K836" t="s">
        <v>1979</v>
      </c>
      <c r="L836" t="s">
        <v>789</v>
      </c>
      <c r="M836" t="s">
        <v>57</v>
      </c>
      <c r="N836">
        <v>3</v>
      </c>
      <c r="O836" t="s">
        <v>1978</v>
      </c>
      <c r="P836" t="s">
        <v>1977</v>
      </c>
      <c r="Q836" t="s">
        <v>1976</v>
      </c>
      <c r="R836" s="7">
        <v>33239</v>
      </c>
      <c r="S836" s="8">
        <f t="shared" si="104"/>
        <v>1991</v>
      </c>
      <c r="T836" s="8">
        <v>1991</v>
      </c>
      <c r="U836" s="8">
        <f t="shared" si="105"/>
        <v>31</v>
      </c>
      <c r="V836" s="7">
        <v>1991</v>
      </c>
      <c r="W836" t="s">
        <v>1975</v>
      </c>
      <c r="X836" s="2">
        <v>1.67</v>
      </c>
      <c r="Y836" s="6">
        <f t="shared" si="110"/>
        <v>4.4579696217399427E-2</v>
      </c>
      <c r="AA836">
        <v>1480227</v>
      </c>
      <c r="AB836">
        <v>28428</v>
      </c>
      <c r="AD836" t="s">
        <v>5</v>
      </c>
      <c r="AE836">
        <v>96</v>
      </c>
      <c r="AF836" t="s">
        <v>1974</v>
      </c>
      <c r="AH836" t="s">
        <v>1973</v>
      </c>
      <c r="AI836" t="s">
        <v>1972</v>
      </c>
      <c r="AK836" t="s">
        <v>1971</v>
      </c>
      <c r="AL836">
        <v>14</v>
      </c>
      <c r="AM836" s="5">
        <f t="shared" si="106"/>
        <v>0.45161290322580644</v>
      </c>
      <c r="AN836" s="4">
        <f t="shared" si="111"/>
        <v>6.840028825835766E-4</v>
      </c>
      <c r="AO836" s="3"/>
      <c r="AP836">
        <v>0</v>
      </c>
      <c r="AR836" t="s">
        <v>0</v>
      </c>
      <c r="AT836" s="2" t="s">
        <v>33</v>
      </c>
      <c r="AU836" s="1">
        <f t="shared" si="107"/>
        <v>3.1410988216954672</v>
      </c>
      <c r="AV836" s="1">
        <f t="shared" si="108"/>
        <v>2.2631849549991503</v>
      </c>
      <c r="AW836" s="1">
        <f t="shared" si="109"/>
        <v>1.3852710883028332</v>
      </c>
    </row>
    <row r="837" spans="1:49" x14ac:dyDescent="0.2">
      <c r="A837">
        <v>835</v>
      </c>
      <c r="B837" t="s">
        <v>1970</v>
      </c>
      <c r="C837" t="s">
        <v>1969</v>
      </c>
      <c r="E837">
        <v>1854355</v>
      </c>
      <c r="F837" t="s">
        <v>1968</v>
      </c>
      <c r="G837" t="s">
        <v>16</v>
      </c>
      <c r="H837" t="s">
        <v>15</v>
      </c>
      <c r="I837" t="s">
        <v>1967</v>
      </c>
      <c r="J837" t="s">
        <v>1966</v>
      </c>
      <c r="K837" t="s">
        <v>1965</v>
      </c>
      <c r="L837" t="s">
        <v>1964</v>
      </c>
      <c r="M837" t="s">
        <v>133</v>
      </c>
      <c r="N837">
        <v>4</v>
      </c>
      <c r="O837" t="s">
        <v>1963</v>
      </c>
      <c r="P837" t="s">
        <v>1962</v>
      </c>
      <c r="Q837" t="s">
        <v>1961</v>
      </c>
      <c r="R837" s="7">
        <v>33239</v>
      </c>
      <c r="S837" s="8">
        <f t="shared" si="104"/>
        <v>1991</v>
      </c>
      <c r="T837" s="8">
        <v>1991</v>
      </c>
      <c r="U837" s="8">
        <f t="shared" si="105"/>
        <v>31</v>
      </c>
      <c r="V837" s="7">
        <v>1991</v>
      </c>
      <c r="W837" t="s">
        <v>1960</v>
      </c>
      <c r="X837" s="2">
        <v>0.435</v>
      </c>
      <c r="Y837" s="6">
        <f t="shared" si="110"/>
        <v>1.1612076559622007E-2</v>
      </c>
      <c r="AA837">
        <v>1978462</v>
      </c>
      <c r="AB837">
        <v>14839</v>
      </c>
      <c r="AC837" t="s">
        <v>1959</v>
      </c>
      <c r="AD837" t="s">
        <v>5</v>
      </c>
      <c r="AE837">
        <v>12</v>
      </c>
      <c r="AF837">
        <v>3</v>
      </c>
      <c r="AH837" t="s">
        <v>1958</v>
      </c>
      <c r="AI837" t="s">
        <v>1957</v>
      </c>
      <c r="AJ837" t="s">
        <v>1956</v>
      </c>
      <c r="AK837" t="s">
        <v>1955</v>
      </c>
      <c r="AL837">
        <v>7</v>
      </c>
      <c r="AM837" s="5">
        <f t="shared" si="106"/>
        <v>0.22580645161290322</v>
      </c>
      <c r="AN837" s="4">
        <f t="shared" si="111"/>
        <v>3.420014412917883E-4</v>
      </c>
      <c r="AO837" s="3"/>
      <c r="AP837">
        <v>0</v>
      </c>
      <c r="AR837" t="s">
        <v>0</v>
      </c>
      <c r="AT837" s="2">
        <v>2.0099999999999998</v>
      </c>
      <c r="AU837" s="1">
        <f t="shared" si="107"/>
        <v>0.82310540241229413</v>
      </c>
      <c r="AV837" s="1">
        <f t="shared" si="108"/>
        <v>0.59770390004568974</v>
      </c>
      <c r="AW837" s="1">
        <f t="shared" si="109"/>
        <v>0.37230239767908535</v>
      </c>
    </row>
    <row r="838" spans="1:49" x14ac:dyDescent="0.2">
      <c r="A838">
        <v>836</v>
      </c>
      <c r="B838" t="s">
        <v>1954</v>
      </c>
      <c r="C838" t="s">
        <v>1953</v>
      </c>
      <c r="D838" t="s">
        <v>1952</v>
      </c>
      <c r="E838">
        <v>1904920</v>
      </c>
      <c r="F838" t="s">
        <v>1951</v>
      </c>
      <c r="G838" t="s">
        <v>16</v>
      </c>
      <c r="H838" t="s">
        <v>15</v>
      </c>
      <c r="I838" t="s">
        <v>1950</v>
      </c>
      <c r="J838">
        <v>60025858</v>
      </c>
      <c r="K838" t="s">
        <v>1767</v>
      </c>
      <c r="L838" t="s">
        <v>1766</v>
      </c>
      <c r="M838" t="s">
        <v>1765</v>
      </c>
      <c r="N838">
        <v>4</v>
      </c>
      <c r="O838" t="s">
        <v>1949</v>
      </c>
      <c r="P838" t="s">
        <v>1948</v>
      </c>
      <c r="Q838" t="s">
        <v>1947</v>
      </c>
      <c r="R838" s="7">
        <v>33239</v>
      </c>
      <c r="S838" s="8">
        <f t="shared" si="104"/>
        <v>1991</v>
      </c>
      <c r="T838" s="8">
        <v>1991</v>
      </c>
      <c r="U838" s="8">
        <f t="shared" si="105"/>
        <v>31</v>
      </c>
      <c r="V838" s="7">
        <v>33239</v>
      </c>
      <c r="W838" t="s">
        <v>465</v>
      </c>
      <c r="X838" s="2" t="s">
        <v>33</v>
      </c>
      <c r="Y838" s="6" t="e">
        <f t="shared" si="110"/>
        <v>#VALUE!</v>
      </c>
      <c r="AA838">
        <v>10111344</v>
      </c>
      <c r="AB838">
        <v>17622</v>
      </c>
      <c r="AD838" t="s">
        <v>5</v>
      </c>
      <c r="AE838">
        <v>8</v>
      </c>
      <c r="AF838">
        <v>2</v>
      </c>
      <c r="AH838" t="s">
        <v>1946</v>
      </c>
      <c r="AI838" t="s">
        <v>1945</v>
      </c>
      <c r="AJ838" t="s">
        <v>1944</v>
      </c>
      <c r="AK838" t="s">
        <v>1943</v>
      </c>
      <c r="AL838">
        <v>8</v>
      </c>
      <c r="AM838" s="5">
        <f t="shared" si="106"/>
        <v>0.25806451612903225</v>
      </c>
      <c r="AN838" s="4">
        <f t="shared" si="111"/>
        <v>3.9085879004775807E-4</v>
      </c>
      <c r="AO838" s="3"/>
      <c r="AP838">
        <v>0</v>
      </c>
      <c r="AQ838" t="s">
        <v>1942</v>
      </c>
      <c r="AR838" t="s">
        <v>1941</v>
      </c>
      <c r="AS838" t="s">
        <v>1940</v>
      </c>
      <c r="AT838" s="2" t="s">
        <v>33</v>
      </c>
      <c r="AU838" s="1" t="e">
        <f t="shared" si="107"/>
        <v>#VALUE!</v>
      </c>
      <c r="AV838" s="1" t="e">
        <f t="shared" si="108"/>
        <v>#VALUE!</v>
      </c>
      <c r="AW838" s="1" t="e">
        <f t="shared" si="109"/>
        <v>#VALUE!</v>
      </c>
    </row>
    <row r="839" spans="1:49" x14ac:dyDescent="0.2">
      <c r="A839">
        <v>837</v>
      </c>
      <c r="B839" t="s">
        <v>1939</v>
      </c>
      <c r="C839" t="s">
        <v>1938</v>
      </c>
      <c r="D839" t="s">
        <v>1937</v>
      </c>
      <c r="E839">
        <v>1995539</v>
      </c>
      <c r="F839" t="s">
        <v>1936</v>
      </c>
      <c r="G839" t="s">
        <v>16</v>
      </c>
      <c r="H839" t="s">
        <v>15</v>
      </c>
      <c r="I839" t="s">
        <v>1935</v>
      </c>
      <c r="J839" t="s">
        <v>1934</v>
      </c>
      <c r="K839" t="s">
        <v>1933</v>
      </c>
      <c r="L839" t="s">
        <v>1932</v>
      </c>
      <c r="M839" t="s">
        <v>133</v>
      </c>
      <c r="N839">
        <v>5</v>
      </c>
      <c r="O839" t="s">
        <v>1931</v>
      </c>
      <c r="P839" t="s">
        <v>1930</v>
      </c>
      <c r="Q839" t="s">
        <v>1929</v>
      </c>
      <c r="R839" s="7">
        <v>33239</v>
      </c>
      <c r="S839" s="8">
        <f t="shared" si="104"/>
        <v>1991</v>
      </c>
      <c r="T839" s="8">
        <v>1991</v>
      </c>
      <c r="U839" s="8">
        <f t="shared" si="105"/>
        <v>31</v>
      </c>
      <c r="V839" s="7">
        <v>33298</v>
      </c>
      <c r="W839" t="s">
        <v>1134</v>
      </c>
      <c r="X839" s="2" t="s">
        <v>33</v>
      </c>
      <c r="Y839" s="6" t="e">
        <f t="shared" si="110"/>
        <v>#VALUE!</v>
      </c>
      <c r="AA839">
        <v>3603016</v>
      </c>
      <c r="AB839">
        <v>17191</v>
      </c>
      <c r="AD839" t="s">
        <v>5</v>
      </c>
      <c r="AE839">
        <v>20</v>
      </c>
      <c r="AF839">
        <v>3</v>
      </c>
      <c r="AH839" t="s">
        <v>1928</v>
      </c>
      <c r="AI839" t="s">
        <v>1927</v>
      </c>
      <c r="AJ839" t="s">
        <v>1926</v>
      </c>
      <c r="AK839" t="s">
        <v>1925</v>
      </c>
      <c r="AL839">
        <v>12</v>
      </c>
      <c r="AM839" s="5">
        <f t="shared" si="106"/>
        <v>0.38709677419354838</v>
      </c>
      <c r="AN839" s="4">
        <f t="shared" si="111"/>
        <v>5.8628818507163707E-4</v>
      </c>
      <c r="AO839" s="3"/>
      <c r="AP839">
        <v>0</v>
      </c>
      <c r="AR839" t="s">
        <v>0</v>
      </c>
      <c r="AT839" s="2" t="s">
        <v>33</v>
      </c>
      <c r="AU839" s="1" t="e">
        <f t="shared" si="107"/>
        <v>#VALUE!</v>
      </c>
      <c r="AV839" s="1" t="e">
        <f t="shared" si="108"/>
        <v>#VALUE!</v>
      </c>
      <c r="AW839" s="1" t="e">
        <f t="shared" si="109"/>
        <v>#VALUE!</v>
      </c>
    </row>
    <row r="840" spans="1:49" x14ac:dyDescent="0.2">
      <c r="A840">
        <v>838</v>
      </c>
      <c r="B840" t="s">
        <v>1924</v>
      </c>
      <c r="C840" t="s">
        <v>1923</v>
      </c>
      <c r="E840">
        <v>1997323</v>
      </c>
      <c r="F840" t="s">
        <v>1922</v>
      </c>
      <c r="G840" t="s">
        <v>16</v>
      </c>
      <c r="H840" t="s">
        <v>15</v>
      </c>
      <c r="I840" t="s">
        <v>1921</v>
      </c>
      <c r="J840" t="s">
        <v>1920</v>
      </c>
      <c r="K840" t="s">
        <v>1919</v>
      </c>
      <c r="L840" t="s">
        <v>1918</v>
      </c>
      <c r="M840" t="s">
        <v>1917</v>
      </c>
      <c r="N840">
        <v>7</v>
      </c>
      <c r="O840" t="s">
        <v>1916</v>
      </c>
      <c r="P840" t="s">
        <v>1915</v>
      </c>
      <c r="Q840" t="s">
        <v>1914</v>
      </c>
      <c r="R840" s="7">
        <v>33239</v>
      </c>
      <c r="S840" s="8">
        <f t="shared" si="104"/>
        <v>1991</v>
      </c>
      <c r="T840" s="8">
        <v>1991</v>
      </c>
      <c r="U840" s="8">
        <f t="shared" si="105"/>
        <v>31</v>
      </c>
      <c r="V840" s="7">
        <v>33239</v>
      </c>
      <c r="W840" t="s">
        <v>1761</v>
      </c>
      <c r="X840" s="2">
        <v>1.9810000000000001</v>
      </c>
      <c r="Y840" s="6">
        <f t="shared" si="110"/>
        <v>5.2881663596807349E-2</v>
      </c>
      <c r="AA840">
        <v>142956</v>
      </c>
      <c r="AB840">
        <v>39034</v>
      </c>
      <c r="AC840">
        <v>14321033</v>
      </c>
      <c r="AD840" t="s">
        <v>5</v>
      </c>
      <c r="AE840">
        <v>195</v>
      </c>
      <c r="AF840">
        <v>2</v>
      </c>
      <c r="AH840" t="s">
        <v>1913</v>
      </c>
      <c r="AI840" t="s">
        <v>1912</v>
      </c>
      <c r="AK840" t="s">
        <v>1911</v>
      </c>
      <c r="AL840">
        <v>23</v>
      </c>
      <c r="AM840" s="5">
        <f t="shared" si="106"/>
        <v>0.74193548387096775</v>
      </c>
      <c r="AN840" s="4">
        <f t="shared" si="111"/>
        <v>1.1237190213873045E-3</v>
      </c>
      <c r="AO840" s="3"/>
      <c r="AP840">
        <v>1</v>
      </c>
      <c r="AR840" t="s">
        <v>0</v>
      </c>
      <c r="AT840" s="2" t="s">
        <v>33</v>
      </c>
      <c r="AU840" s="1">
        <f t="shared" si="107"/>
        <v>3.7354280224181329</v>
      </c>
      <c r="AV840" s="1">
        <f t="shared" si="108"/>
        <v>2.7002691309097324</v>
      </c>
      <c r="AW840" s="1">
        <f t="shared" si="109"/>
        <v>1.6651102394013315</v>
      </c>
    </row>
    <row r="841" spans="1:49" x14ac:dyDescent="0.2">
      <c r="A841">
        <v>839</v>
      </c>
      <c r="B841" t="s">
        <v>1910</v>
      </c>
      <c r="C841" t="s">
        <v>1909</v>
      </c>
      <c r="E841">
        <v>1901490</v>
      </c>
      <c r="F841" t="s">
        <v>1908</v>
      </c>
      <c r="G841" t="s">
        <v>16</v>
      </c>
      <c r="H841" t="s">
        <v>15</v>
      </c>
      <c r="I841" t="s">
        <v>1907</v>
      </c>
      <c r="J841">
        <v>60009305</v>
      </c>
      <c r="K841" t="s">
        <v>1906</v>
      </c>
      <c r="L841" t="s">
        <v>1905</v>
      </c>
      <c r="M841" t="s">
        <v>1904</v>
      </c>
      <c r="N841">
        <v>4</v>
      </c>
      <c r="O841" t="s">
        <v>1903</v>
      </c>
      <c r="P841" t="s">
        <v>1902</v>
      </c>
      <c r="Q841" t="s">
        <v>1901</v>
      </c>
      <c r="R841" s="7">
        <v>33239</v>
      </c>
      <c r="S841" s="8">
        <f t="shared" si="104"/>
        <v>1991</v>
      </c>
      <c r="T841" s="8">
        <v>1991</v>
      </c>
      <c r="U841" s="8">
        <f t="shared" si="105"/>
        <v>31</v>
      </c>
      <c r="V841" s="7">
        <v>1991</v>
      </c>
      <c r="W841" t="s">
        <v>637</v>
      </c>
      <c r="X841" s="2">
        <v>1.706</v>
      </c>
      <c r="Y841" s="6">
        <f t="shared" si="110"/>
        <v>4.554069565681642E-2</v>
      </c>
      <c r="AA841">
        <v>2646021</v>
      </c>
      <c r="AB841">
        <v>16850</v>
      </c>
      <c r="AD841" t="s">
        <v>5</v>
      </c>
      <c r="AE841">
        <v>274</v>
      </c>
      <c r="AF841">
        <v>3</v>
      </c>
      <c r="AH841" t="s">
        <v>1900</v>
      </c>
      <c r="AI841" t="s">
        <v>1899</v>
      </c>
      <c r="AK841" t="s">
        <v>1898</v>
      </c>
      <c r="AL841">
        <v>8</v>
      </c>
      <c r="AM841" s="5">
        <f t="shared" si="106"/>
        <v>0.25806451612903225</v>
      </c>
      <c r="AN841" s="4">
        <f t="shared" si="111"/>
        <v>3.9085879004775807E-4</v>
      </c>
      <c r="AO841" s="3"/>
      <c r="AP841">
        <v>0</v>
      </c>
      <c r="AR841" t="s">
        <v>0</v>
      </c>
      <c r="AT841" s="2">
        <v>3.8570000000000002</v>
      </c>
      <c r="AU841" s="1">
        <f t="shared" si="107"/>
        <v>3.1995744596785816</v>
      </c>
      <c r="AV841" s="1">
        <f t="shared" si="108"/>
        <v>2.2965777223432089</v>
      </c>
      <c r="AW841" s="1">
        <f t="shared" si="109"/>
        <v>1.3935809850078358</v>
      </c>
    </row>
    <row r="842" spans="1:49" x14ac:dyDescent="0.2">
      <c r="A842">
        <v>840</v>
      </c>
      <c r="B842" t="s">
        <v>1897</v>
      </c>
      <c r="C842" t="s">
        <v>1896</v>
      </c>
      <c r="E842">
        <v>1904913</v>
      </c>
      <c r="F842" t="s">
        <v>1895</v>
      </c>
      <c r="G842" t="s">
        <v>16</v>
      </c>
      <c r="H842" t="s">
        <v>15</v>
      </c>
      <c r="I842" t="s">
        <v>1894</v>
      </c>
      <c r="J842">
        <v>60005455</v>
      </c>
      <c r="K842" t="s">
        <v>161</v>
      </c>
      <c r="L842" t="s">
        <v>160</v>
      </c>
      <c r="M842" t="s">
        <v>57</v>
      </c>
      <c r="N842">
        <v>1</v>
      </c>
      <c r="O842" t="s">
        <v>1893</v>
      </c>
      <c r="P842">
        <v>6602075982</v>
      </c>
      <c r="Q842">
        <v>60005455</v>
      </c>
      <c r="R842" s="7">
        <v>33239</v>
      </c>
      <c r="S842" s="8">
        <f t="shared" si="104"/>
        <v>1991</v>
      </c>
      <c r="T842" s="8">
        <v>1991</v>
      </c>
      <c r="U842" s="8">
        <f t="shared" si="105"/>
        <v>31</v>
      </c>
      <c r="V842" s="7">
        <v>1991</v>
      </c>
      <c r="W842" t="s">
        <v>1191</v>
      </c>
      <c r="X842" s="2">
        <v>1.302</v>
      </c>
      <c r="Y842" s="6">
        <f t="shared" si="110"/>
        <v>3.4756146392247937E-2</v>
      </c>
      <c r="AA842">
        <v>223077</v>
      </c>
      <c r="AB842">
        <v>23475</v>
      </c>
      <c r="AD842" t="s">
        <v>5</v>
      </c>
      <c r="AE842">
        <v>65</v>
      </c>
      <c r="AF842">
        <v>3</v>
      </c>
      <c r="AH842" t="s">
        <v>1892</v>
      </c>
      <c r="AI842" t="s">
        <v>1891</v>
      </c>
      <c r="AK842" t="s">
        <v>1890</v>
      </c>
      <c r="AL842">
        <v>44</v>
      </c>
      <c r="AM842" s="5">
        <f t="shared" si="106"/>
        <v>1.4193548387096775</v>
      </c>
      <c r="AN842" s="4">
        <f t="shared" si="111"/>
        <v>2.1497233452626692E-3</v>
      </c>
      <c r="AO842" s="3"/>
      <c r="AP842">
        <v>0</v>
      </c>
      <c r="AR842" t="s">
        <v>0</v>
      </c>
      <c r="AT842" s="2">
        <v>2.714</v>
      </c>
      <c r="AU842" s="1">
        <f t="shared" si="107"/>
        <v>2.4974219478152357</v>
      </c>
      <c r="AV842" s="1">
        <f t="shared" si="108"/>
        <v>1.8452934868755304</v>
      </c>
      <c r="AW842" s="1">
        <f t="shared" si="109"/>
        <v>1.1931650259358249</v>
      </c>
    </row>
    <row r="843" spans="1:49" x14ac:dyDescent="0.2">
      <c r="A843">
        <v>841</v>
      </c>
      <c r="B843" t="s">
        <v>1889</v>
      </c>
      <c r="C843" t="s">
        <v>1888</v>
      </c>
      <c r="F843" t="s">
        <v>1887</v>
      </c>
      <c r="G843" t="s">
        <v>16</v>
      </c>
      <c r="H843" t="s">
        <v>15</v>
      </c>
      <c r="I843" t="s">
        <v>1357</v>
      </c>
      <c r="J843">
        <v>60026708</v>
      </c>
      <c r="K843" t="s">
        <v>1356</v>
      </c>
      <c r="L843" t="s">
        <v>1355</v>
      </c>
      <c r="M843" t="s">
        <v>426</v>
      </c>
      <c r="N843">
        <v>1</v>
      </c>
      <c r="O843" t="s">
        <v>1354</v>
      </c>
      <c r="P843">
        <v>7003446625</v>
      </c>
      <c r="Q843">
        <v>60026708</v>
      </c>
      <c r="R843" s="7">
        <v>33239</v>
      </c>
      <c r="S843" s="8">
        <f t="shared" si="104"/>
        <v>1991</v>
      </c>
      <c r="T843" s="8">
        <v>1991</v>
      </c>
      <c r="U843" s="8">
        <f t="shared" si="105"/>
        <v>31</v>
      </c>
      <c r="V843" s="7">
        <v>33239</v>
      </c>
      <c r="W843" t="s">
        <v>1353</v>
      </c>
      <c r="X843" s="2">
        <v>0.61899999999999999</v>
      </c>
      <c r="Y843" s="6">
        <f t="shared" si="110"/>
        <v>1.6523851472197752E-2</v>
      </c>
      <c r="AA843">
        <v>14966</v>
      </c>
      <c r="AB843">
        <v>12936</v>
      </c>
      <c r="AC843" t="s">
        <v>1068</v>
      </c>
      <c r="AD843" t="s">
        <v>5</v>
      </c>
      <c r="AE843">
        <v>89</v>
      </c>
      <c r="AF843">
        <v>1</v>
      </c>
      <c r="AH843" t="s">
        <v>1886</v>
      </c>
      <c r="AI843" t="s">
        <v>1885</v>
      </c>
      <c r="AK843" t="s">
        <v>1884</v>
      </c>
      <c r="AL843">
        <v>7</v>
      </c>
      <c r="AM843" s="5">
        <f t="shared" si="106"/>
        <v>0.22580645161290322</v>
      </c>
      <c r="AN843" s="4">
        <f t="shared" si="111"/>
        <v>3.420014412917883E-4</v>
      </c>
      <c r="AO843" s="3"/>
      <c r="AP843">
        <v>0</v>
      </c>
      <c r="AR843" t="s">
        <v>0</v>
      </c>
      <c r="AT843" s="2" t="s">
        <v>33</v>
      </c>
      <c r="AU843" s="1">
        <f t="shared" si="107"/>
        <v>1.1669296462925962</v>
      </c>
      <c r="AV843" s="1">
        <f t="shared" si="108"/>
        <v>0.84329264567447704</v>
      </c>
      <c r="AW843" s="1">
        <f t="shared" si="109"/>
        <v>0.51965564505635775</v>
      </c>
    </row>
    <row r="844" spans="1:49" x14ac:dyDescent="0.2">
      <c r="A844">
        <v>842</v>
      </c>
      <c r="B844" t="s">
        <v>1883</v>
      </c>
      <c r="C844" t="s">
        <v>1882</v>
      </c>
      <c r="E844">
        <v>2051069</v>
      </c>
      <c r="F844" t="s">
        <v>1881</v>
      </c>
      <c r="G844" t="s">
        <v>16</v>
      </c>
      <c r="H844" t="s">
        <v>15</v>
      </c>
      <c r="I844" t="s">
        <v>1880</v>
      </c>
      <c r="J844">
        <v>60020416</v>
      </c>
      <c r="K844" t="s">
        <v>1879</v>
      </c>
      <c r="L844" t="s">
        <v>118</v>
      </c>
      <c r="M844" t="s">
        <v>117</v>
      </c>
      <c r="N844">
        <v>1</v>
      </c>
      <c r="O844" t="s">
        <v>1878</v>
      </c>
      <c r="P844">
        <v>7103059547</v>
      </c>
      <c r="Q844">
        <v>60020416</v>
      </c>
      <c r="R844" s="7">
        <v>33239</v>
      </c>
      <c r="S844" s="8">
        <f t="shared" si="104"/>
        <v>1991</v>
      </c>
      <c r="T844" s="8">
        <v>1991</v>
      </c>
      <c r="U844" s="8">
        <f t="shared" si="105"/>
        <v>31</v>
      </c>
      <c r="V844" s="7">
        <v>1991</v>
      </c>
      <c r="W844" t="s">
        <v>609</v>
      </c>
      <c r="X844" s="2">
        <v>0.89600000000000002</v>
      </c>
      <c r="Y844" s="6">
        <f t="shared" si="110"/>
        <v>2.3918208269934065E-2</v>
      </c>
      <c r="AA844">
        <v>2656736</v>
      </c>
      <c r="AB844">
        <v>29901</v>
      </c>
      <c r="AD844" t="s">
        <v>5</v>
      </c>
      <c r="AE844">
        <v>7</v>
      </c>
      <c r="AF844">
        <v>1</v>
      </c>
      <c r="AH844" t="s">
        <v>1877</v>
      </c>
      <c r="AI844" t="s">
        <v>1876</v>
      </c>
      <c r="AJ844" t="s">
        <v>1875</v>
      </c>
      <c r="AK844" t="s">
        <v>1874</v>
      </c>
      <c r="AL844">
        <v>7</v>
      </c>
      <c r="AM844" s="5">
        <f t="shared" si="106"/>
        <v>0.22580645161290322</v>
      </c>
      <c r="AN844" s="4">
        <f t="shared" si="111"/>
        <v>3.420014412917883E-4</v>
      </c>
      <c r="AO844" s="3"/>
      <c r="AP844">
        <v>0</v>
      </c>
      <c r="AR844" t="s">
        <v>0</v>
      </c>
      <c r="AT844" s="2">
        <v>3.9140000000000001</v>
      </c>
      <c r="AU844" s="1">
        <f t="shared" si="107"/>
        <v>1.684534622134138</v>
      </c>
      <c r="AV844" s="1">
        <f t="shared" si="108"/>
        <v>1.2130104855612927</v>
      </c>
      <c r="AW844" s="1">
        <f t="shared" si="109"/>
        <v>0.74148634898844701</v>
      </c>
    </row>
    <row r="845" spans="1:49" x14ac:dyDescent="0.2">
      <c r="A845">
        <v>843</v>
      </c>
      <c r="B845" t="s">
        <v>1873</v>
      </c>
      <c r="F845" t="s">
        <v>1872</v>
      </c>
      <c r="G845" t="s">
        <v>16</v>
      </c>
      <c r="H845" t="s">
        <v>15</v>
      </c>
      <c r="I845" t="s">
        <v>1871</v>
      </c>
      <c r="N845">
        <v>3</v>
      </c>
      <c r="O845" t="s">
        <v>1870</v>
      </c>
      <c r="P845" t="s">
        <v>1869</v>
      </c>
      <c r="Q845" t="s">
        <v>757</v>
      </c>
      <c r="R845" s="7">
        <v>33239</v>
      </c>
      <c r="S845" s="8">
        <f t="shared" si="104"/>
        <v>1991</v>
      </c>
      <c r="T845" s="8">
        <v>1991</v>
      </c>
      <c r="U845" s="8">
        <f t="shared" si="105"/>
        <v>31</v>
      </c>
      <c r="V845" s="7">
        <v>1991</v>
      </c>
      <c r="W845" t="s">
        <v>1868</v>
      </c>
      <c r="X845" s="2" t="s">
        <v>33</v>
      </c>
      <c r="Y845" s="6" t="e">
        <f t="shared" si="110"/>
        <v>#VALUE!</v>
      </c>
      <c r="AA845">
        <v>10457828</v>
      </c>
      <c r="AB845">
        <v>20944</v>
      </c>
      <c r="AD845" t="s">
        <v>5</v>
      </c>
      <c r="AE845">
        <v>36</v>
      </c>
      <c r="AF845">
        <v>7</v>
      </c>
      <c r="AH845" t="s">
        <v>1867</v>
      </c>
      <c r="AI845" t="s">
        <v>1866</v>
      </c>
      <c r="AK845" t="s">
        <v>1865</v>
      </c>
      <c r="AL845">
        <v>0</v>
      </c>
      <c r="AM845" s="5">
        <f t="shared" si="106"/>
        <v>0</v>
      </c>
      <c r="AN845" s="4">
        <f t="shared" si="111"/>
        <v>0</v>
      </c>
      <c r="AO845" s="3"/>
      <c r="AP845">
        <v>0</v>
      </c>
      <c r="AR845" t="s">
        <v>0</v>
      </c>
      <c r="AT845" s="2" t="s">
        <v>33</v>
      </c>
      <c r="AU845" s="1" t="e">
        <f t="shared" si="107"/>
        <v>#VALUE!</v>
      </c>
      <c r="AV845" s="1" t="e">
        <f t="shared" si="108"/>
        <v>#VALUE!</v>
      </c>
      <c r="AW845" s="1" t="e">
        <f t="shared" si="109"/>
        <v>#VALUE!</v>
      </c>
    </row>
    <row r="846" spans="1:49" x14ac:dyDescent="0.2">
      <c r="A846">
        <v>844</v>
      </c>
      <c r="B846" t="s">
        <v>1864</v>
      </c>
      <c r="C846" t="s">
        <v>1863</v>
      </c>
      <c r="F846" t="s">
        <v>1862</v>
      </c>
      <c r="G846" t="s">
        <v>16</v>
      </c>
      <c r="H846" t="s">
        <v>15</v>
      </c>
      <c r="I846" t="s">
        <v>1861</v>
      </c>
      <c r="J846">
        <v>120570187</v>
      </c>
      <c r="K846" t="s">
        <v>1860</v>
      </c>
      <c r="L846" t="s">
        <v>1286</v>
      </c>
      <c r="M846" t="s">
        <v>57</v>
      </c>
      <c r="N846">
        <v>1</v>
      </c>
      <c r="O846" t="s">
        <v>1859</v>
      </c>
      <c r="P846">
        <v>7006764320</v>
      </c>
      <c r="Q846">
        <v>120570187</v>
      </c>
      <c r="R846" s="7">
        <v>33239</v>
      </c>
      <c r="S846" s="8">
        <f t="shared" si="104"/>
        <v>1991</v>
      </c>
      <c r="T846" s="8">
        <v>1991</v>
      </c>
      <c r="U846" s="8">
        <f t="shared" si="105"/>
        <v>31</v>
      </c>
      <c r="V846" s="7" t="s">
        <v>1846</v>
      </c>
      <c r="W846" t="s">
        <v>53</v>
      </c>
      <c r="X846" s="2">
        <v>0.22500000000000001</v>
      </c>
      <c r="Y846" s="6">
        <f t="shared" si="110"/>
        <v>6.0062464963562111E-3</v>
      </c>
      <c r="AA846">
        <v>2726343</v>
      </c>
      <c r="AB846">
        <v>16128</v>
      </c>
      <c r="AC846" t="s">
        <v>52</v>
      </c>
      <c r="AD846" t="s">
        <v>5</v>
      </c>
      <c r="AE846">
        <v>11</v>
      </c>
      <c r="AF846">
        <v>1</v>
      </c>
      <c r="AH846" t="s">
        <v>1858</v>
      </c>
      <c r="AI846" t="s">
        <v>1857</v>
      </c>
      <c r="AK846" t="s">
        <v>1856</v>
      </c>
      <c r="AL846">
        <v>5</v>
      </c>
      <c r="AM846" s="5">
        <f t="shared" si="106"/>
        <v>0.16129032258064516</v>
      </c>
      <c r="AN846" s="4">
        <f t="shared" si="111"/>
        <v>2.4428674377984877E-4</v>
      </c>
      <c r="AO846" s="3"/>
      <c r="AP846">
        <v>0</v>
      </c>
      <c r="AR846" t="s">
        <v>0</v>
      </c>
      <c r="AT846" s="2">
        <v>1.099</v>
      </c>
      <c r="AU846" s="1">
        <f t="shared" si="107"/>
        <v>0.4277658570583302</v>
      </c>
      <c r="AV846" s="1">
        <f t="shared" si="108"/>
        <v>0.31252666200680301</v>
      </c>
      <c r="AW846" s="1">
        <f t="shared" si="109"/>
        <v>0.19728746695527574</v>
      </c>
    </row>
    <row r="847" spans="1:49" x14ac:dyDescent="0.2">
      <c r="A847">
        <v>845</v>
      </c>
      <c r="B847" t="s">
        <v>1855</v>
      </c>
      <c r="C847" t="s">
        <v>1854</v>
      </c>
      <c r="F847" t="s">
        <v>1853</v>
      </c>
      <c r="G847" t="s">
        <v>16</v>
      </c>
      <c r="H847" t="s">
        <v>15</v>
      </c>
      <c r="I847" t="s">
        <v>1852</v>
      </c>
      <c r="J847">
        <v>115569186</v>
      </c>
      <c r="K847" t="s">
        <v>1851</v>
      </c>
      <c r="L847" t="s">
        <v>1850</v>
      </c>
      <c r="M847" t="s">
        <v>57</v>
      </c>
      <c r="N847">
        <v>2</v>
      </c>
      <c r="O847" t="s">
        <v>1849</v>
      </c>
      <c r="P847" t="s">
        <v>1848</v>
      </c>
      <c r="Q847" t="s">
        <v>1847</v>
      </c>
      <c r="R847" s="7">
        <v>33239</v>
      </c>
      <c r="S847" s="8">
        <f t="shared" si="104"/>
        <v>1991</v>
      </c>
      <c r="T847" s="8">
        <v>1991</v>
      </c>
      <c r="U847" s="8">
        <f t="shared" si="105"/>
        <v>31</v>
      </c>
      <c r="V847" s="7" t="s">
        <v>1846</v>
      </c>
      <c r="W847" t="s">
        <v>53</v>
      </c>
      <c r="X847" s="2">
        <v>0.22500000000000001</v>
      </c>
      <c r="Y847" s="6">
        <f t="shared" si="110"/>
        <v>6.0062464963562111E-3</v>
      </c>
      <c r="AA847">
        <v>2726343</v>
      </c>
      <c r="AB847">
        <v>16128</v>
      </c>
      <c r="AC847" t="s">
        <v>52</v>
      </c>
      <c r="AD847" t="s">
        <v>5</v>
      </c>
      <c r="AE847">
        <v>11</v>
      </c>
      <c r="AF847">
        <v>1</v>
      </c>
      <c r="AH847" t="s">
        <v>1845</v>
      </c>
      <c r="AI847" t="s">
        <v>1844</v>
      </c>
      <c r="AK847" t="s">
        <v>1843</v>
      </c>
      <c r="AL847">
        <v>19</v>
      </c>
      <c r="AM847" s="5">
        <f t="shared" si="106"/>
        <v>0.61290322580645162</v>
      </c>
      <c r="AN847" s="4">
        <f t="shared" si="111"/>
        <v>9.2828962636342543E-4</v>
      </c>
      <c r="AO847" s="3"/>
      <c r="AP847">
        <v>0</v>
      </c>
      <c r="AQ847" t="s">
        <v>1842</v>
      </c>
      <c r="AR847" t="s">
        <v>0</v>
      </c>
      <c r="AS847" t="s">
        <v>1841</v>
      </c>
      <c r="AT847" s="2">
        <v>1.099</v>
      </c>
      <c r="AU847" s="1">
        <f t="shared" si="107"/>
        <v>0.44828594353583751</v>
      </c>
      <c r="AV847" s="1">
        <f t="shared" si="108"/>
        <v>0.34672680613598184</v>
      </c>
      <c r="AW847" s="1">
        <f t="shared" si="109"/>
        <v>0.24516766873612611</v>
      </c>
    </row>
    <row r="848" spans="1:49" x14ac:dyDescent="0.2">
      <c r="A848">
        <v>846</v>
      </c>
      <c r="B848" t="s">
        <v>1840</v>
      </c>
      <c r="C848" t="s">
        <v>1839</v>
      </c>
      <c r="F848" t="s">
        <v>1838</v>
      </c>
      <c r="G848" t="s">
        <v>16</v>
      </c>
      <c r="H848" t="s">
        <v>15</v>
      </c>
      <c r="I848" t="s">
        <v>1837</v>
      </c>
      <c r="J848">
        <v>60019983</v>
      </c>
      <c r="K848" t="s">
        <v>1836</v>
      </c>
      <c r="L848" t="s">
        <v>1835</v>
      </c>
      <c r="M848" t="s">
        <v>326</v>
      </c>
      <c r="N848">
        <v>2</v>
      </c>
      <c r="O848" t="s">
        <v>1834</v>
      </c>
      <c r="P848" t="s">
        <v>1833</v>
      </c>
      <c r="Q848" t="s">
        <v>1832</v>
      </c>
      <c r="R848" s="7">
        <v>33239</v>
      </c>
      <c r="S848" s="8">
        <f t="shared" si="104"/>
        <v>1991</v>
      </c>
      <c r="T848" s="8">
        <v>1991</v>
      </c>
      <c r="U848" s="8">
        <f t="shared" si="105"/>
        <v>31</v>
      </c>
      <c r="V848" s="7">
        <v>33239</v>
      </c>
      <c r="W848" t="s">
        <v>1807</v>
      </c>
      <c r="X848" s="2">
        <v>1.6519999999999999</v>
      </c>
      <c r="Y848" s="6">
        <f t="shared" si="110"/>
        <v>4.409919649769093E-2</v>
      </c>
      <c r="AA848" t="s">
        <v>1806</v>
      </c>
      <c r="AB848">
        <v>17337</v>
      </c>
      <c r="AC848">
        <v>15582221</v>
      </c>
      <c r="AD848" t="s">
        <v>5</v>
      </c>
      <c r="AE848">
        <v>39</v>
      </c>
      <c r="AF848">
        <v>1</v>
      </c>
      <c r="AH848" t="s">
        <v>1831</v>
      </c>
      <c r="AI848" t="s">
        <v>1830</v>
      </c>
      <c r="AK848" t="s">
        <v>1829</v>
      </c>
      <c r="AL848">
        <v>11</v>
      </c>
      <c r="AM848" s="5">
        <f t="shared" si="106"/>
        <v>0.35483870967741937</v>
      </c>
      <c r="AN848" s="4">
        <f t="shared" si="111"/>
        <v>5.3743083631566731E-4</v>
      </c>
      <c r="AO848" s="3"/>
      <c r="AP848">
        <v>0</v>
      </c>
      <c r="AR848" t="s">
        <v>0</v>
      </c>
      <c r="AT848" s="2" t="s">
        <v>33</v>
      </c>
      <c r="AU848" s="1">
        <f t="shared" si="107"/>
        <v>3.103066679927835</v>
      </c>
      <c r="AV848" s="1">
        <f t="shared" si="108"/>
        <v>2.2318313667003298</v>
      </c>
      <c r="AW848" s="1">
        <f t="shared" si="109"/>
        <v>1.3605960534728245</v>
      </c>
    </row>
    <row r="849" spans="1:49" x14ac:dyDescent="0.2">
      <c r="A849">
        <v>847</v>
      </c>
      <c r="B849" t="s">
        <v>1828</v>
      </c>
      <c r="C849" t="s">
        <v>1827</v>
      </c>
      <c r="F849" t="s">
        <v>1826</v>
      </c>
      <c r="G849" t="s">
        <v>16</v>
      </c>
      <c r="H849" t="s">
        <v>15</v>
      </c>
      <c r="I849" t="s">
        <v>1825</v>
      </c>
      <c r="J849">
        <v>60009037</v>
      </c>
      <c r="K849" t="s">
        <v>375</v>
      </c>
      <c r="L849" t="s">
        <v>374</v>
      </c>
      <c r="M849" t="s">
        <v>57</v>
      </c>
      <c r="N849">
        <v>2</v>
      </c>
      <c r="O849" t="s">
        <v>1824</v>
      </c>
      <c r="P849" t="s">
        <v>1823</v>
      </c>
      <c r="Q849" t="s">
        <v>1822</v>
      </c>
      <c r="R849" s="7">
        <v>33239</v>
      </c>
      <c r="S849" s="8">
        <f t="shared" si="104"/>
        <v>1991</v>
      </c>
      <c r="T849" s="8">
        <v>1991</v>
      </c>
      <c r="U849" s="8">
        <f t="shared" si="105"/>
        <v>31</v>
      </c>
      <c r="V849" s="7">
        <v>33239</v>
      </c>
      <c r="W849" t="s">
        <v>1807</v>
      </c>
      <c r="X849" s="2">
        <v>1.6519999999999999</v>
      </c>
      <c r="Y849" s="6">
        <f t="shared" si="110"/>
        <v>4.409919649769093E-2</v>
      </c>
      <c r="AA849" t="s">
        <v>1806</v>
      </c>
      <c r="AB849">
        <v>17337</v>
      </c>
      <c r="AC849">
        <v>15582221</v>
      </c>
      <c r="AD849" t="s">
        <v>5</v>
      </c>
      <c r="AE849">
        <v>39</v>
      </c>
      <c r="AF849">
        <v>1</v>
      </c>
      <c r="AH849" t="s">
        <v>1821</v>
      </c>
      <c r="AI849" t="s">
        <v>1820</v>
      </c>
      <c r="AK849" t="s">
        <v>1819</v>
      </c>
      <c r="AL849">
        <v>21</v>
      </c>
      <c r="AM849" s="5">
        <f t="shared" si="106"/>
        <v>0.67741935483870963</v>
      </c>
      <c r="AN849" s="4">
        <f t="shared" si="111"/>
        <v>1.0260043238753647E-3</v>
      </c>
      <c r="AO849" s="3"/>
      <c r="AP849">
        <v>0</v>
      </c>
      <c r="AR849" t="s">
        <v>0</v>
      </c>
      <c r="AT849" s="2" t="s">
        <v>33</v>
      </c>
      <c r="AU849" s="1">
        <f t="shared" si="107"/>
        <v>3.1177238845546262</v>
      </c>
      <c r="AV849" s="1">
        <f t="shared" si="108"/>
        <v>2.2562600410783151</v>
      </c>
      <c r="AW849" s="1">
        <f t="shared" si="109"/>
        <v>1.3947961976020034</v>
      </c>
    </row>
    <row r="850" spans="1:49" x14ac:dyDescent="0.2">
      <c r="A850">
        <v>848</v>
      </c>
      <c r="B850" t="s">
        <v>1818</v>
      </c>
      <c r="C850" t="s">
        <v>1817</v>
      </c>
      <c r="F850" t="s">
        <v>1816</v>
      </c>
      <c r="G850" t="s">
        <v>16</v>
      </c>
      <c r="H850" t="s">
        <v>15</v>
      </c>
      <c r="I850" t="s">
        <v>1815</v>
      </c>
      <c r="J850" t="s">
        <v>1814</v>
      </c>
      <c r="K850" t="s">
        <v>1813</v>
      </c>
      <c r="L850" t="s">
        <v>1812</v>
      </c>
      <c r="M850" t="s">
        <v>1811</v>
      </c>
      <c r="N850">
        <v>3</v>
      </c>
      <c r="O850" t="s">
        <v>1810</v>
      </c>
      <c r="P850" t="s">
        <v>1809</v>
      </c>
      <c r="Q850" t="s">
        <v>1808</v>
      </c>
      <c r="R850" s="7">
        <v>33239</v>
      </c>
      <c r="S850" s="8">
        <f t="shared" si="104"/>
        <v>1991</v>
      </c>
      <c r="T850" s="8">
        <v>1991</v>
      </c>
      <c r="U850" s="8">
        <f t="shared" si="105"/>
        <v>31</v>
      </c>
      <c r="V850" s="7">
        <v>33239</v>
      </c>
      <c r="W850" t="s">
        <v>1807</v>
      </c>
      <c r="X850" s="2">
        <v>1.6519999999999999</v>
      </c>
      <c r="Y850" s="6">
        <f t="shared" si="110"/>
        <v>4.409919649769093E-2</v>
      </c>
      <c r="AA850" t="s">
        <v>1806</v>
      </c>
      <c r="AB850">
        <v>17337</v>
      </c>
      <c r="AC850">
        <v>15582221</v>
      </c>
      <c r="AD850" t="s">
        <v>5</v>
      </c>
      <c r="AE850">
        <v>39</v>
      </c>
      <c r="AF850">
        <v>1</v>
      </c>
      <c r="AH850" t="s">
        <v>1805</v>
      </c>
      <c r="AI850" t="s">
        <v>1804</v>
      </c>
      <c r="AK850" t="s">
        <v>1803</v>
      </c>
      <c r="AL850">
        <v>4</v>
      </c>
      <c r="AM850" s="5">
        <f t="shared" si="106"/>
        <v>0.12903225806451613</v>
      </c>
      <c r="AN850" s="4">
        <f t="shared" si="111"/>
        <v>1.9542939502387903E-4</v>
      </c>
      <c r="AO850" s="3"/>
      <c r="AP850">
        <v>0</v>
      </c>
      <c r="AR850" t="s">
        <v>0</v>
      </c>
      <c r="AT850" s="2" t="s">
        <v>33</v>
      </c>
      <c r="AU850" s="1">
        <f t="shared" si="107"/>
        <v>3.0928066366890814</v>
      </c>
      <c r="AV850" s="1">
        <f t="shared" si="108"/>
        <v>2.2147312946357403</v>
      </c>
      <c r="AW850" s="1">
        <f t="shared" si="109"/>
        <v>1.3366559525823993</v>
      </c>
    </row>
    <row r="851" spans="1:49" x14ac:dyDescent="0.2">
      <c r="A851">
        <v>849</v>
      </c>
      <c r="B851" t="s">
        <v>1802</v>
      </c>
      <c r="C851" t="s">
        <v>1801</v>
      </c>
      <c r="D851" t="s">
        <v>1800</v>
      </c>
      <c r="E851">
        <v>1959658</v>
      </c>
      <c r="F851" t="s">
        <v>1799</v>
      </c>
      <c r="G851" t="s">
        <v>16</v>
      </c>
      <c r="H851" t="s">
        <v>15</v>
      </c>
      <c r="I851" t="s">
        <v>1798</v>
      </c>
      <c r="J851">
        <v>60027550</v>
      </c>
      <c r="K851" t="s">
        <v>1338</v>
      </c>
      <c r="L851" t="s">
        <v>1337</v>
      </c>
      <c r="M851" t="s">
        <v>57</v>
      </c>
      <c r="N851">
        <v>2</v>
      </c>
      <c r="O851" t="s">
        <v>1797</v>
      </c>
      <c r="P851" t="s">
        <v>1796</v>
      </c>
      <c r="Q851" t="s">
        <v>1795</v>
      </c>
      <c r="R851" s="7">
        <v>33239</v>
      </c>
      <c r="S851" s="8">
        <f t="shared" si="104"/>
        <v>1991</v>
      </c>
      <c r="T851" s="8">
        <v>1991</v>
      </c>
      <c r="U851" s="8">
        <f t="shared" si="105"/>
        <v>31</v>
      </c>
      <c r="V851" s="7">
        <v>33543</v>
      </c>
      <c r="W851" t="s">
        <v>1794</v>
      </c>
      <c r="X851" s="2">
        <v>1.593</v>
      </c>
      <c r="Y851" s="6">
        <f t="shared" si="110"/>
        <v>4.2524225194201973E-2</v>
      </c>
      <c r="AA851">
        <v>145793</v>
      </c>
      <c r="AB851">
        <v>17481</v>
      </c>
      <c r="AD851" t="s">
        <v>5</v>
      </c>
      <c r="AE851">
        <v>293</v>
      </c>
      <c r="AF851" s="9">
        <v>44228</v>
      </c>
      <c r="AH851" t="s">
        <v>1793</v>
      </c>
      <c r="AI851" t="s">
        <v>1792</v>
      </c>
      <c r="AJ851" t="s">
        <v>1791</v>
      </c>
      <c r="AK851" t="s">
        <v>1790</v>
      </c>
      <c r="AL851">
        <v>13</v>
      </c>
      <c r="AM851" s="5">
        <f t="shared" si="106"/>
        <v>0.41935483870967744</v>
      </c>
      <c r="AN851" s="4">
        <f t="shared" si="111"/>
        <v>6.3514553382760684E-4</v>
      </c>
      <c r="AO851" s="3"/>
      <c r="AP851">
        <v>1</v>
      </c>
      <c r="AQ851" t="s">
        <v>1789</v>
      </c>
      <c r="AR851" t="s">
        <v>1788</v>
      </c>
      <c r="AS851" t="s">
        <v>1787</v>
      </c>
      <c r="AT851" s="2">
        <v>4.1239999999999997</v>
      </c>
      <c r="AU851" s="1">
        <f t="shared" si="107"/>
        <v>2.9957501296089659</v>
      </c>
      <c r="AV851" s="1">
        <f t="shared" si="108"/>
        <v>2.1579685364014787</v>
      </c>
      <c r="AW851" s="1">
        <f t="shared" si="109"/>
        <v>1.3201869431939917</v>
      </c>
    </row>
    <row r="852" spans="1:49" x14ac:dyDescent="0.2">
      <c r="A852">
        <v>850</v>
      </c>
      <c r="B852" t="s">
        <v>1786</v>
      </c>
      <c r="C852" t="s">
        <v>1785</v>
      </c>
      <c r="D852" t="s">
        <v>1784</v>
      </c>
      <c r="F852" t="s">
        <v>1783</v>
      </c>
      <c r="G852" t="s">
        <v>16</v>
      </c>
      <c r="H852" t="s">
        <v>15</v>
      </c>
      <c r="I852" t="s">
        <v>1782</v>
      </c>
      <c r="J852" t="s">
        <v>1781</v>
      </c>
      <c r="K852" t="s">
        <v>1780</v>
      </c>
      <c r="L852" t="s">
        <v>1779</v>
      </c>
      <c r="M852" t="s">
        <v>1778</v>
      </c>
      <c r="N852">
        <v>4</v>
      </c>
      <c r="O852" t="s">
        <v>1777</v>
      </c>
      <c r="P852" t="s">
        <v>1776</v>
      </c>
      <c r="Q852" t="s">
        <v>1775</v>
      </c>
      <c r="R852" s="7">
        <v>33239</v>
      </c>
      <c r="S852" s="8">
        <f t="shared" si="104"/>
        <v>1991</v>
      </c>
      <c r="T852" s="8">
        <v>1991</v>
      </c>
      <c r="U852" s="8">
        <f t="shared" si="105"/>
        <v>31</v>
      </c>
      <c r="V852" s="7">
        <v>1991</v>
      </c>
      <c r="W852" t="s">
        <v>1099</v>
      </c>
      <c r="X852" s="2">
        <v>0.64600000000000002</v>
      </c>
      <c r="Y852" s="6">
        <f t="shared" si="110"/>
        <v>1.72446010517605E-2</v>
      </c>
      <c r="AA852">
        <v>3009629</v>
      </c>
      <c r="AB852">
        <v>23398</v>
      </c>
      <c r="AD852" t="s">
        <v>5</v>
      </c>
      <c r="AE852">
        <v>100</v>
      </c>
      <c r="AF852">
        <v>3</v>
      </c>
      <c r="AH852" t="s">
        <v>1774</v>
      </c>
      <c r="AI852" t="s">
        <v>1773</v>
      </c>
      <c r="AK852" t="s">
        <v>1772</v>
      </c>
      <c r="AL852">
        <v>5</v>
      </c>
      <c r="AM852" s="5">
        <f t="shared" si="106"/>
        <v>0.16129032258064516</v>
      </c>
      <c r="AN852" s="4">
        <f t="shared" si="111"/>
        <v>2.4428674377984877E-4</v>
      </c>
      <c r="AO852" s="3"/>
      <c r="AP852">
        <v>0</v>
      </c>
      <c r="AR852" t="s">
        <v>0</v>
      </c>
      <c r="AT852" s="2" t="s">
        <v>33</v>
      </c>
      <c r="AU852" s="1">
        <f t="shared" si="107"/>
        <v>1.2144506759366305</v>
      </c>
      <c r="AV852" s="1">
        <f t="shared" si="108"/>
        <v>0.87444438977701755</v>
      </c>
      <c r="AW852" s="1">
        <f t="shared" si="109"/>
        <v>0.53443810361740429</v>
      </c>
    </row>
    <row r="853" spans="1:49" x14ac:dyDescent="0.2">
      <c r="A853">
        <v>851</v>
      </c>
      <c r="B853" t="s">
        <v>1771</v>
      </c>
      <c r="C853" t="s">
        <v>1770</v>
      </c>
      <c r="E853">
        <v>1761033</v>
      </c>
      <c r="F853" t="s">
        <v>1769</v>
      </c>
      <c r="G853" t="s">
        <v>16</v>
      </c>
      <c r="H853" t="s">
        <v>15</v>
      </c>
      <c r="I853" t="s">
        <v>1768</v>
      </c>
      <c r="J853">
        <v>60025858</v>
      </c>
      <c r="K853" t="s">
        <v>1767</v>
      </c>
      <c r="L853" t="s">
        <v>1766</v>
      </c>
      <c r="M853" t="s">
        <v>1765</v>
      </c>
      <c r="N853">
        <v>5</v>
      </c>
      <c r="O853" t="s">
        <v>1764</v>
      </c>
      <c r="P853" t="s">
        <v>1763</v>
      </c>
      <c r="Q853" t="s">
        <v>1762</v>
      </c>
      <c r="R853" s="7">
        <v>33239</v>
      </c>
      <c r="S853" s="8">
        <f t="shared" si="104"/>
        <v>1991</v>
      </c>
      <c r="T853" s="8">
        <v>1991</v>
      </c>
      <c r="U853" s="8">
        <f t="shared" si="105"/>
        <v>31</v>
      </c>
      <c r="V853" s="7">
        <v>33573</v>
      </c>
      <c r="W853" t="s">
        <v>1761</v>
      </c>
      <c r="X853" s="2">
        <v>1.9810000000000001</v>
      </c>
      <c r="Y853" s="6">
        <f t="shared" si="110"/>
        <v>5.2881663596807349E-2</v>
      </c>
      <c r="AA853">
        <v>142956</v>
      </c>
      <c r="AB853">
        <v>39034</v>
      </c>
      <c r="AC853">
        <v>14321033</v>
      </c>
      <c r="AD853" t="s">
        <v>5</v>
      </c>
      <c r="AE853">
        <v>202</v>
      </c>
      <c r="AF853">
        <v>2</v>
      </c>
      <c r="AH853" t="s">
        <v>1760</v>
      </c>
      <c r="AI853" t="s">
        <v>1759</v>
      </c>
      <c r="AK853" t="s">
        <v>1758</v>
      </c>
      <c r="AL853">
        <v>19</v>
      </c>
      <c r="AM853" s="5">
        <f t="shared" si="106"/>
        <v>0.61290322580645162</v>
      </c>
      <c r="AN853" s="4">
        <f t="shared" si="111"/>
        <v>9.2828962636342543E-4</v>
      </c>
      <c r="AO853" s="3"/>
      <c r="AP853">
        <v>1</v>
      </c>
      <c r="AR853" t="s">
        <v>0</v>
      </c>
      <c r="AT853" s="2" t="s">
        <v>33</v>
      </c>
      <c r="AU853" s="1">
        <f t="shared" si="107"/>
        <v>3.7295651405674168</v>
      </c>
      <c r="AV853" s="1">
        <f t="shared" si="108"/>
        <v>2.6904976611585387</v>
      </c>
      <c r="AW853" s="1">
        <f t="shared" si="109"/>
        <v>1.6514301817496599</v>
      </c>
    </row>
    <row r="854" spans="1:49" x14ac:dyDescent="0.2">
      <c r="A854">
        <v>852</v>
      </c>
      <c r="B854" t="s">
        <v>1757</v>
      </c>
      <c r="F854" t="s">
        <v>1756</v>
      </c>
      <c r="G854" t="s">
        <v>16</v>
      </c>
      <c r="H854" t="s">
        <v>15</v>
      </c>
      <c r="I854" t="s">
        <v>1755</v>
      </c>
      <c r="N854">
        <v>2</v>
      </c>
      <c r="O854" t="s">
        <v>1754</v>
      </c>
      <c r="P854" t="s">
        <v>1753</v>
      </c>
      <c r="Q854" t="s">
        <v>592</v>
      </c>
      <c r="R854" s="7">
        <v>33239</v>
      </c>
      <c r="S854" s="8">
        <f t="shared" si="104"/>
        <v>1991</v>
      </c>
      <c r="T854" s="8">
        <v>1991</v>
      </c>
      <c r="U854" s="8">
        <f t="shared" si="105"/>
        <v>31</v>
      </c>
      <c r="V854" s="7">
        <v>33239</v>
      </c>
      <c r="W854" t="s">
        <v>1704</v>
      </c>
      <c r="X854" s="2">
        <v>0.14099999999999999</v>
      </c>
      <c r="Y854" s="6">
        <f t="shared" si="110"/>
        <v>3.7639144710498915E-3</v>
      </c>
      <c r="AA854">
        <v>402508</v>
      </c>
      <c r="AB854">
        <v>20868</v>
      </c>
      <c r="AD854" t="s">
        <v>5</v>
      </c>
      <c r="AE854">
        <v>46</v>
      </c>
      <c r="AF854">
        <v>1</v>
      </c>
      <c r="AH854" t="s">
        <v>1752</v>
      </c>
      <c r="AI854" t="s">
        <v>1751</v>
      </c>
      <c r="AK854" t="s">
        <v>1750</v>
      </c>
      <c r="AL854">
        <v>0</v>
      </c>
      <c r="AM854" s="5">
        <f t="shared" si="106"/>
        <v>0</v>
      </c>
      <c r="AN854" s="4">
        <f t="shared" si="111"/>
        <v>0</v>
      </c>
      <c r="AO854" s="3"/>
      <c r="AP854">
        <v>0</v>
      </c>
      <c r="AR854" t="s">
        <v>0</v>
      </c>
      <c r="AT854" s="2" t="s">
        <v>33</v>
      </c>
      <c r="AU854" s="1">
        <f t="shared" si="107"/>
        <v>0.26347401297349238</v>
      </c>
      <c r="AV854" s="1">
        <f t="shared" si="108"/>
        <v>0.18819572355249459</v>
      </c>
      <c r="AW854" s="1">
        <f t="shared" si="109"/>
        <v>0.11291743413149673</v>
      </c>
    </row>
    <row r="855" spans="1:49" x14ac:dyDescent="0.2">
      <c r="A855">
        <v>853</v>
      </c>
      <c r="B855" t="s">
        <v>1749</v>
      </c>
      <c r="F855" t="s">
        <v>1748</v>
      </c>
      <c r="G855" t="s">
        <v>16</v>
      </c>
      <c r="H855" t="s">
        <v>15</v>
      </c>
      <c r="I855" t="s">
        <v>1747</v>
      </c>
      <c r="N855">
        <v>2</v>
      </c>
      <c r="O855" t="s">
        <v>1746</v>
      </c>
      <c r="P855" t="s">
        <v>1745</v>
      </c>
      <c r="Q855" t="s">
        <v>592</v>
      </c>
      <c r="R855" s="7">
        <v>33239</v>
      </c>
      <c r="S855" s="8">
        <f t="shared" si="104"/>
        <v>1991</v>
      </c>
      <c r="T855" s="8">
        <v>1991</v>
      </c>
      <c r="U855" s="8">
        <f t="shared" si="105"/>
        <v>31</v>
      </c>
      <c r="V855" s="7">
        <v>33239</v>
      </c>
      <c r="W855" t="s">
        <v>1704</v>
      </c>
      <c r="X855" s="2">
        <v>0.14099999999999999</v>
      </c>
      <c r="Y855" s="6">
        <f t="shared" si="110"/>
        <v>3.7639144710498915E-3</v>
      </c>
      <c r="AA855">
        <v>402508</v>
      </c>
      <c r="AB855">
        <v>20868</v>
      </c>
      <c r="AD855" t="s">
        <v>5</v>
      </c>
      <c r="AE855">
        <v>46</v>
      </c>
      <c r="AF855">
        <v>1</v>
      </c>
      <c r="AH855" t="s">
        <v>1744</v>
      </c>
      <c r="AI855" t="s">
        <v>1743</v>
      </c>
      <c r="AK855" t="s">
        <v>1742</v>
      </c>
      <c r="AL855">
        <v>0</v>
      </c>
      <c r="AM855" s="5">
        <f t="shared" si="106"/>
        <v>0</v>
      </c>
      <c r="AN855" s="4">
        <f t="shared" si="111"/>
        <v>0</v>
      </c>
      <c r="AO855" s="3"/>
      <c r="AP855">
        <v>0</v>
      </c>
      <c r="AR855" t="s">
        <v>0</v>
      </c>
      <c r="AT855" s="2" t="s">
        <v>33</v>
      </c>
      <c r="AU855" s="1">
        <f t="shared" si="107"/>
        <v>0.26347401297349238</v>
      </c>
      <c r="AV855" s="1">
        <f t="shared" si="108"/>
        <v>0.18819572355249459</v>
      </c>
      <c r="AW855" s="1">
        <f t="shared" si="109"/>
        <v>0.11291743413149673</v>
      </c>
    </row>
    <row r="856" spans="1:49" x14ac:dyDescent="0.2">
      <c r="A856">
        <v>854</v>
      </c>
      <c r="B856" t="s">
        <v>1741</v>
      </c>
      <c r="F856" t="s">
        <v>1740</v>
      </c>
      <c r="G856" t="s">
        <v>16</v>
      </c>
      <c r="H856" t="s">
        <v>15</v>
      </c>
      <c r="I856" t="s">
        <v>1739</v>
      </c>
      <c r="N856">
        <v>2</v>
      </c>
      <c r="O856" t="s">
        <v>1738</v>
      </c>
      <c r="P856" t="s">
        <v>1737</v>
      </c>
      <c r="Q856" t="s">
        <v>592</v>
      </c>
      <c r="R856" s="7">
        <v>33239</v>
      </c>
      <c r="S856" s="8">
        <f t="shared" si="104"/>
        <v>1991</v>
      </c>
      <c r="T856" s="8">
        <v>1991</v>
      </c>
      <c r="U856" s="8">
        <f t="shared" si="105"/>
        <v>31</v>
      </c>
      <c r="V856" s="7">
        <v>33239</v>
      </c>
      <c r="W856" t="s">
        <v>1704</v>
      </c>
      <c r="X856" s="2">
        <v>0.14099999999999999</v>
      </c>
      <c r="Y856" s="6">
        <f t="shared" si="110"/>
        <v>3.7639144710498915E-3</v>
      </c>
      <c r="AA856">
        <v>402508</v>
      </c>
      <c r="AB856">
        <v>20868</v>
      </c>
      <c r="AD856" t="s">
        <v>5</v>
      </c>
      <c r="AE856">
        <v>46</v>
      </c>
      <c r="AF856">
        <v>1</v>
      </c>
      <c r="AH856" t="s">
        <v>1736</v>
      </c>
      <c r="AI856" t="s">
        <v>1735</v>
      </c>
      <c r="AK856" t="s">
        <v>1734</v>
      </c>
      <c r="AL856">
        <v>0</v>
      </c>
      <c r="AM856" s="5">
        <f t="shared" si="106"/>
        <v>0</v>
      </c>
      <c r="AN856" s="4">
        <f t="shared" si="111"/>
        <v>0</v>
      </c>
      <c r="AO856" s="3"/>
      <c r="AP856">
        <v>0</v>
      </c>
      <c r="AR856" t="s">
        <v>0</v>
      </c>
      <c r="AT856" s="2" t="s">
        <v>33</v>
      </c>
      <c r="AU856" s="1">
        <f t="shared" si="107"/>
        <v>0.26347401297349238</v>
      </c>
      <c r="AV856" s="1">
        <f t="shared" si="108"/>
        <v>0.18819572355249459</v>
      </c>
      <c r="AW856" s="1">
        <f t="shared" si="109"/>
        <v>0.11291743413149673</v>
      </c>
    </row>
    <row r="857" spans="1:49" x14ac:dyDescent="0.2">
      <c r="A857">
        <v>855</v>
      </c>
      <c r="B857" t="s">
        <v>1733</v>
      </c>
      <c r="F857" t="s">
        <v>1732</v>
      </c>
      <c r="G857" t="s">
        <v>16</v>
      </c>
      <c r="H857" t="s">
        <v>15</v>
      </c>
      <c r="I857" t="s">
        <v>1731</v>
      </c>
      <c r="N857">
        <v>2</v>
      </c>
      <c r="O857" t="s">
        <v>1730</v>
      </c>
      <c r="P857" t="s">
        <v>1729</v>
      </c>
      <c r="Q857" t="s">
        <v>592</v>
      </c>
      <c r="R857" s="7">
        <v>33239</v>
      </c>
      <c r="S857" s="8">
        <f t="shared" si="104"/>
        <v>1991</v>
      </c>
      <c r="T857" s="8">
        <v>1991</v>
      </c>
      <c r="U857" s="8">
        <f t="shared" si="105"/>
        <v>31</v>
      </c>
      <c r="V857" s="7">
        <v>33239</v>
      </c>
      <c r="W857" t="s">
        <v>1704</v>
      </c>
      <c r="X857" s="2">
        <v>0.14099999999999999</v>
      </c>
      <c r="Y857" s="6">
        <f t="shared" si="110"/>
        <v>3.7639144710498915E-3</v>
      </c>
      <c r="AA857">
        <v>402508</v>
      </c>
      <c r="AB857">
        <v>20868</v>
      </c>
      <c r="AD857" t="s">
        <v>5</v>
      </c>
      <c r="AE857">
        <v>46</v>
      </c>
      <c r="AF857">
        <v>1</v>
      </c>
      <c r="AH857" t="s">
        <v>1728</v>
      </c>
      <c r="AI857" t="s">
        <v>1727</v>
      </c>
      <c r="AK857" t="s">
        <v>1726</v>
      </c>
      <c r="AL857">
        <v>0</v>
      </c>
      <c r="AM857" s="5">
        <f t="shared" si="106"/>
        <v>0</v>
      </c>
      <c r="AN857" s="4">
        <f t="shared" si="111"/>
        <v>0</v>
      </c>
      <c r="AO857" s="3"/>
      <c r="AP857">
        <v>0</v>
      </c>
      <c r="AR857" t="s">
        <v>0</v>
      </c>
      <c r="AT857" s="2" t="s">
        <v>33</v>
      </c>
      <c r="AU857" s="1">
        <f t="shared" si="107"/>
        <v>0.26347401297349238</v>
      </c>
      <c r="AV857" s="1">
        <f t="shared" si="108"/>
        <v>0.18819572355249459</v>
      </c>
      <c r="AW857" s="1">
        <f t="shared" si="109"/>
        <v>0.11291743413149673</v>
      </c>
    </row>
    <row r="858" spans="1:49" x14ac:dyDescent="0.2">
      <c r="A858">
        <v>856</v>
      </c>
      <c r="B858" t="s">
        <v>1725</v>
      </c>
      <c r="F858" t="s">
        <v>1724</v>
      </c>
      <c r="G858" t="s">
        <v>16</v>
      </c>
      <c r="H858" t="s">
        <v>15</v>
      </c>
      <c r="I858" t="s">
        <v>1723</v>
      </c>
      <c r="N858">
        <v>2</v>
      </c>
      <c r="O858" t="s">
        <v>1722</v>
      </c>
      <c r="P858" t="s">
        <v>1721</v>
      </c>
      <c r="Q858" t="s">
        <v>592</v>
      </c>
      <c r="R858" s="7">
        <v>33239</v>
      </c>
      <c r="S858" s="8">
        <f t="shared" si="104"/>
        <v>1991</v>
      </c>
      <c r="T858" s="8">
        <v>1991</v>
      </c>
      <c r="U858" s="8">
        <f t="shared" si="105"/>
        <v>31</v>
      </c>
      <c r="V858" s="7">
        <v>33239</v>
      </c>
      <c r="W858" t="s">
        <v>1704</v>
      </c>
      <c r="X858" s="2">
        <v>0.14099999999999999</v>
      </c>
      <c r="Y858" s="6">
        <f t="shared" si="110"/>
        <v>3.7639144710498915E-3</v>
      </c>
      <c r="AA858">
        <v>402508</v>
      </c>
      <c r="AB858">
        <v>20868</v>
      </c>
      <c r="AD858" t="s">
        <v>5</v>
      </c>
      <c r="AE858">
        <v>46</v>
      </c>
      <c r="AF858">
        <v>1</v>
      </c>
      <c r="AH858" t="s">
        <v>1720</v>
      </c>
      <c r="AI858" t="s">
        <v>1719</v>
      </c>
      <c r="AK858" t="s">
        <v>1718</v>
      </c>
      <c r="AL858">
        <v>0</v>
      </c>
      <c r="AM858" s="5">
        <f t="shared" si="106"/>
        <v>0</v>
      </c>
      <c r="AN858" s="4">
        <f t="shared" si="111"/>
        <v>0</v>
      </c>
      <c r="AO858" s="3"/>
      <c r="AP858">
        <v>0</v>
      </c>
      <c r="AR858" t="s">
        <v>0</v>
      </c>
      <c r="AT858" s="2" t="s">
        <v>33</v>
      </c>
      <c r="AU858" s="1">
        <f t="shared" si="107"/>
        <v>0.26347401297349238</v>
      </c>
      <c r="AV858" s="1">
        <f t="shared" si="108"/>
        <v>0.18819572355249459</v>
      </c>
      <c r="AW858" s="1">
        <f t="shared" si="109"/>
        <v>0.11291743413149673</v>
      </c>
    </row>
    <row r="859" spans="1:49" x14ac:dyDescent="0.2">
      <c r="A859">
        <v>857</v>
      </c>
      <c r="B859" t="s">
        <v>1717</v>
      </c>
      <c r="F859" t="s">
        <v>1716</v>
      </c>
      <c r="G859" t="s">
        <v>16</v>
      </c>
      <c r="H859" t="s">
        <v>15</v>
      </c>
      <c r="I859" t="s">
        <v>1715</v>
      </c>
      <c r="N859">
        <v>3</v>
      </c>
      <c r="O859" t="s">
        <v>1714</v>
      </c>
      <c r="P859" t="s">
        <v>1713</v>
      </c>
      <c r="Q859" t="s">
        <v>757</v>
      </c>
      <c r="R859" s="7">
        <v>33239</v>
      </c>
      <c r="S859" s="8">
        <f t="shared" si="104"/>
        <v>1991</v>
      </c>
      <c r="T859" s="8">
        <v>1991</v>
      </c>
      <c r="U859" s="8">
        <f t="shared" si="105"/>
        <v>31</v>
      </c>
      <c r="V859" s="7">
        <v>33239</v>
      </c>
      <c r="W859" t="s">
        <v>1704</v>
      </c>
      <c r="X859" s="2">
        <v>0.14099999999999999</v>
      </c>
      <c r="Y859" s="6">
        <f t="shared" si="110"/>
        <v>3.7639144710498915E-3</v>
      </c>
      <c r="AA859">
        <v>402508</v>
      </c>
      <c r="AB859">
        <v>20868</v>
      </c>
      <c r="AD859" t="s">
        <v>5</v>
      </c>
      <c r="AE859">
        <v>46</v>
      </c>
      <c r="AF859">
        <v>1</v>
      </c>
      <c r="AH859" t="s">
        <v>1712</v>
      </c>
      <c r="AI859" t="s">
        <v>1711</v>
      </c>
      <c r="AK859" t="s">
        <v>1710</v>
      </c>
      <c r="AL859">
        <v>0</v>
      </c>
      <c r="AM859" s="5">
        <f t="shared" si="106"/>
        <v>0</v>
      </c>
      <c r="AN859" s="4">
        <f t="shared" si="111"/>
        <v>0</v>
      </c>
      <c r="AO859" s="3"/>
      <c r="AP859">
        <v>0</v>
      </c>
      <c r="AR859" t="s">
        <v>0</v>
      </c>
      <c r="AT859" s="2" t="s">
        <v>33</v>
      </c>
      <c r="AU859" s="1">
        <f t="shared" si="107"/>
        <v>0.26347401297349238</v>
      </c>
      <c r="AV859" s="1">
        <f t="shared" si="108"/>
        <v>0.18819572355249459</v>
      </c>
      <c r="AW859" s="1">
        <f t="shared" si="109"/>
        <v>0.11291743413149673</v>
      </c>
    </row>
    <row r="860" spans="1:49" x14ac:dyDescent="0.2">
      <c r="A860">
        <v>858</v>
      </c>
      <c r="B860" t="s">
        <v>1709</v>
      </c>
      <c r="F860" t="s">
        <v>1708</v>
      </c>
      <c r="G860" t="s">
        <v>16</v>
      </c>
      <c r="H860" t="s">
        <v>15</v>
      </c>
      <c r="I860" t="s">
        <v>1707</v>
      </c>
      <c r="N860">
        <v>2</v>
      </c>
      <c r="O860" t="s">
        <v>1706</v>
      </c>
      <c r="P860" t="s">
        <v>1705</v>
      </c>
      <c r="Q860" t="s">
        <v>592</v>
      </c>
      <c r="R860" s="7">
        <v>33239</v>
      </c>
      <c r="S860" s="8">
        <f t="shared" si="104"/>
        <v>1991</v>
      </c>
      <c r="T860" s="8">
        <v>1991</v>
      </c>
      <c r="U860" s="8">
        <f t="shared" si="105"/>
        <v>31</v>
      </c>
      <c r="V860" s="7">
        <v>33239</v>
      </c>
      <c r="W860" t="s">
        <v>1704</v>
      </c>
      <c r="X860" s="2">
        <v>0.14099999999999999</v>
      </c>
      <c r="Y860" s="6">
        <f t="shared" si="110"/>
        <v>3.7639144710498915E-3</v>
      </c>
      <c r="AA860">
        <v>402508</v>
      </c>
      <c r="AB860">
        <v>20868</v>
      </c>
      <c r="AD860" t="s">
        <v>5</v>
      </c>
      <c r="AE860">
        <v>46</v>
      </c>
      <c r="AF860">
        <v>1</v>
      </c>
      <c r="AH860" t="s">
        <v>1703</v>
      </c>
      <c r="AI860" t="s">
        <v>1702</v>
      </c>
      <c r="AK860" t="s">
        <v>1701</v>
      </c>
      <c r="AL860">
        <v>0</v>
      </c>
      <c r="AM860" s="5">
        <f t="shared" si="106"/>
        <v>0</v>
      </c>
      <c r="AN860" s="4">
        <f t="shared" si="111"/>
        <v>0</v>
      </c>
      <c r="AO860" s="3"/>
      <c r="AP860">
        <v>0</v>
      </c>
      <c r="AR860" t="s">
        <v>0</v>
      </c>
      <c r="AT860" s="2" t="s">
        <v>33</v>
      </c>
      <c r="AU860" s="1">
        <f t="shared" si="107"/>
        <v>0.26347401297349238</v>
      </c>
      <c r="AV860" s="1">
        <f t="shared" si="108"/>
        <v>0.18819572355249459</v>
      </c>
      <c r="AW860" s="1">
        <f t="shared" si="109"/>
        <v>0.11291743413149673</v>
      </c>
    </row>
    <row r="861" spans="1:49" x14ac:dyDescent="0.2">
      <c r="A861">
        <v>859</v>
      </c>
      <c r="B861" t="s">
        <v>1700</v>
      </c>
      <c r="C861" t="s">
        <v>1699</v>
      </c>
      <c r="F861" t="s">
        <v>1698</v>
      </c>
      <c r="G861" t="s">
        <v>16</v>
      </c>
      <c r="H861" t="s">
        <v>15</v>
      </c>
      <c r="I861" t="s">
        <v>1697</v>
      </c>
      <c r="J861" t="s">
        <v>1696</v>
      </c>
      <c r="K861" t="s">
        <v>1695</v>
      </c>
      <c r="L861" t="s">
        <v>1694</v>
      </c>
      <c r="M861" t="s">
        <v>1693</v>
      </c>
      <c r="N861">
        <v>5</v>
      </c>
      <c r="O861" t="s">
        <v>1692</v>
      </c>
      <c r="P861" t="s">
        <v>1691</v>
      </c>
      <c r="Q861" t="s">
        <v>1690</v>
      </c>
      <c r="R861" s="7">
        <v>33239</v>
      </c>
      <c r="S861" s="8">
        <f t="shared" si="104"/>
        <v>1991</v>
      </c>
      <c r="T861" s="8">
        <v>1991</v>
      </c>
      <c r="U861" s="8">
        <f t="shared" si="105"/>
        <v>31</v>
      </c>
      <c r="V861" s="7">
        <v>33270</v>
      </c>
      <c r="W861" t="s">
        <v>1599</v>
      </c>
      <c r="X861" s="2">
        <v>0.91800000000000004</v>
      </c>
      <c r="Y861" s="6">
        <f t="shared" si="110"/>
        <v>2.4505485705133341E-2</v>
      </c>
      <c r="AA861">
        <v>1431161</v>
      </c>
      <c r="AB861">
        <v>22674</v>
      </c>
      <c r="AC861">
        <v>13665901</v>
      </c>
      <c r="AD861" t="s">
        <v>5</v>
      </c>
      <c r="AE861">
        <v>12</v>
      </c>
      <c r="AF861">
        <v>2</v>
      </c>
      <c r="AH861" t="s">
        <v>1689</v>
      </c>
      <c r="AI861" t="s">
        <v>1688</v>
      </c>
      <c r="AK861" t="s">
        <v>1687</v>
      </c>
      <c r="AL861">
        <v>3</v>
      </c>
      <c r="AM861" s="5">
        <f t="shared" si="106"/>
        <v>9.6774193548387094E-2</v>
      </c>
      <c r="AN861" s="4">
        <f t="shared" si="111"/>
        <v>1.4657204626790927E-4</v>
      </c>
      <c r="AO861" s="3"/>
      <c r="AP861">
        <v>0</v>
      </c>
      <c r="AR861" t="s">
        <v>0</v>
      </c>
      <c r="AS861" t="s">
        <v>1686</v>
      </c>
      <c r="AT861" s="2" t="s">
        <v>33</v>
      </c>
      <c r="AU861" s="1">
        <f t="shared" si="107"/>
        <v>1.719781160747371</v>
      </c>
      <c r="AV861" s="1">
        <f t="shared" si="108"/>
        <v>1.2326028875700625</v>
      </c>
      <c r="AW861" s="1">
        <f t="shared" si="109"/>
        <v>0.74542461439275387</v>
      </c>
    </row>
    <row r="862" spans="1:49" x14ac:dyDescent="0.2">
      <c r="A862">
        <v>860</v>
      </c>
      <c r="B862" t="s">
        <v>1685</v>
      </c>
      <c r="C862" t="s">
        <v>1684</v>
      </c>
      <c r="F862" t="s">
        <v>1683</v>
      </c>
      <c r="G862" t="s">
        <v>16</v>
      </c>
      <c r="H862" t="s">
        <v>15</v>
      </c>
      <c r="I862" t="s">
        <v>1682</v>
      </c>
      <c r="J862" t="s">
        <v>1681</v>
      </c>
      <c r="K862" t="s">
        <v>1680</v>
      </c>
      <c r="L862" t="s">
        <v>1679</v>
      </c>
      <c r="M862" t="s">
        <v>1678</v>
      </c>
      <c r="N862">
        <v>2</v>
      </c>
      <c r="O862" t="s">
        <v>1677</v>
      </c>
      <c r="P862" t="s">
        <v>1676</v>
      </c>
      <c r="Q862" t="s">
        <v>1675</v>
      </c>
      <c r="R862" s="7">
        <v>33239</v>
      </c>
      <c r="S862" s="8">
        <f t="shared" si="104"/>
        <v>1991</v>
      </c>
      <c r="T862" s="8">
        <v>1991</v>
      </c>
      <c r="U862" s="8">
        <f t="shared" si="105"/>
        <v>31</v>
      </c>
      <c r="V862" s="7">
        <v>33298</v>
      </c>
      <c r="W862" t="s">
        <v>1599</v>
      </c>
      <c r="X862" s="2">
        <v>0.91800000000000004</v>
      </c>
      <c r="Y862" s="6">
        <f t="shared" si="110"/>
        <v>2.4505485705133341E-2</v>
      </c>
      <c r="AA862">
        <v>1431161</v>
      </c>
      <c r="AB862">
        <v>22674</v>
      </c>
      <c r="AC862">
        <v>13665901</v>
      </c>
      <c r="AD862" t="s">
        <v>5</v>
      </c>
      <c r="AE862">
        <v>12</v>
      </c>
      <c r="AF862">
        <v>3</v>
      </c>
      <c r="AH862" t="s">
        <v>1674</v>
      </c>
      <c r="AI862" t="s">
        <v>1673</v>
      </c>
      <c r="AK862" t="s">
        <v>1672</v>
      </c>
      <c r="AL862">
        <v>0</v>
      </c>
      <c r="AM862" s="5">
        <f t="shared" si="106"/>
        <v>0</v>
      </c>
      <c r="AN862" s="4">
        <f t="shared" si="111"/>
        <v>0</v>
      </c>
      <c r="AO862" s="3"/>
      <c r="AP862">
        <v>0</v>
      </c>
      <c r="AR862" t="s">
        <v>0</v>
      </c>
      <c r="AT862" s="2" t="s">
        <v>33</v>
      </c>
      <c r="AU862" s="1">
        <f t="shared" si="107"/>
        <v>1.7153839993593336</v>
      </c>
      <c r="AV862" s="1">
        <f t="shared" si="108"/>
        <v>1.2252742852566672</v>
      </c>
      <c r="AW862" s="1">
        <f t="shared" si="109"/>
        <v>0.73516457115400013</v>
      </c>
    </row>
    <row r="863" spans="1:49" x14ac:dyDescent="0.2">
      <c r="A863">
        <v>861</v>
      </c>
      <c r="B863" t="s">
        <v>1671</v>
      </c>
      <c r="C863" t="s">
        <v>1670</v>
      </c>
      <c r="F863" t="s">
        <v>1669</v>
      </c>
      <c r="G863" t="s">
        <v>16</v>
      </c>
      <c r="H863" t="s">
        <v>15</v>
      </c>
      <c r="I863" t="s">
        <v>1668</v>
      </c>
      <c r="J863">
        <v>60084281</v>
      </c>
      <c r="K863" t="s">
        <v>1667</v>
      </c>
      <c r="L863" t="s">
        <v>1666</v>
      </c>
      <c r="M863" t="s">
        <v>117</v>
      </c>
      <c r="N863">
        <v>3</v>
      </c>
      <c r="O863" t="s">
        <v>1665</v>
      </c>
      <c r="P863" t="s">
        <v>1664</v>
      </c>
      <c r="Q863" t="s">
        <v>1663</v>
      </c>
      <c r="R863" s="7">
        <v>33239</v>
      </c>
      <c r="S863" s="8">
        <f t="shared" si="104"/>
        <v>1991</v>
      </c>
      <c r="T863" s="8">
        <v>1991</v>
      </c>
      <c r="U863" s="8">
        <f t="shared" si="105"/>
        <v>31</v>
      </c>
      <c r="V863" s="7">
        <v>33298</v>
      </c>
      <c r="W863" t="s">
        <v>1599</v>
      </c>
      <c r="X863" s="2">
        <v>0.91800000000000004</v>
      </c>
      <c r="Y863" s="6">
        <f t="shared" si="110"/>
        <v>2.4505485705133341E-2</v>
      </c>
      <c r="AA863">
        <v>1431161</v>
      </c>
      <c r="AB863">
        <v>22674</v>
      </c>
      <c r="AC863">
        <v>13665901</v>
      </c>
      <c r="AD863" t="s">
        <v>5</v>
      </c>
      <c r="AE863">
        <v>12</v>
      </c>
      <c r="AF863">
        <v>3</v>
      </c>
      <c r="AH863" t="s">
        <v>1662</v>
      </c>
      <c r="AI863" t="s">
        <v>1661</v>
      </c>
      <c r="AK863" t="s">
        <v>1660</v>
      </c>
      <c r="AL863">
        <v>10</v>
      </c>
      <c r="AM863" s="5">
        <f t="shared" si="106"/>
        <v>0.32258064516129031</v>
      </c>
      <c r="AN863" s="4">
        <f t="shared" si="111"/>
        <v>4.8857348755969754E-4</v>
      </c>
      <c r="AO863" s="3"/>
      <c r="AP863">
        <v>0</v>
      </c>
      <c r="AR863" t="s">
        <v>0</v>
      </c>
      <c r="AT863" s="2" t="s">
        <v>33</v>
      </c>
      <c r="AU863" s="1">
        <f t="shared" si="107"/>
        <v>1.7300412039861248</v>
      </c>
      <c r="AV863" s="1">
        <f t="shared" si="108"/>
        <v>1.2497029596346518</v>
      </c>
      <c r="AW863" s="1">
        <f t="shared" si="109"/>
        <v>0.76936471528317907</v>
      </c>
    </row>
    <row r="864" spans="1:49" x14ac:dyDescent="0.2">
      <c r="A864">
        <v>862</v>
      </c>
      <c r="B864" t="s">
        <v>1659</v>
      </c>
      <c r="C864" t="s">
        <v>1658</v>
      </c>
      <c r="F864" t="s">
        <v>1657</v>
      </c>
      <c r="G864" t="s">
        <v>16</v>
      </c>
      <c r="H864" t="s">
        <v>15</v>
      </c>
      <c r="I864" t="s">
        <v>1656</v>
      </c>
      <c r="J864">
        <v>60030710</v>
      </c>
      <c r="K864" t="s">
        <v>1655</v>
      </c>
      <c r="L864" t="s">
        <v>1654</v>
      </c>
      <c r="M864" t="s">
        <v>272</v>
      </c>
      <c r="N864">
        <v>3</v>
      </c>
      <c r="O864" t="s">
        <v>1653</v>
      </c>
      <c r="P864" t="s">
        <v>1652</v>
      </c>
      <c r="Q864" t="s">
        <v>1651</v>
      </c>
      <c r="R864" s="7">
        <v>33239</v>
      </c>
      <c r="S864" s="8">
        <f t="shared" si="104"/>
        <v>1991</v>
      </c>
      <c r="T864" s="8">
        <v>1991</v>
      </c>
      <c r="U864" s="8">
        <f t="shared" si="105"/>
        <v>31</v>
      </c>
      <c r="V864" s="7">
        <v>33359</v>
      </c>
      <c r="W864" t="s">
        <v>1650</v>
      </c>
      <c r="X864" s="2">
        <v>0.73499999999999999</v>
      </c>
      <c r="Y864" s="6">
        <f t="shared" si="110"/>
        <v>1.9620405221430288E-2</v>
      </c>
      <c r="AA864">
        <v>168025</v>
      </c>
      <c r="AB864">
        <v>27961</v>
      </c>
      <c r="AC864">
        <v>13652478</v>
      </c>
      <c r="AD864" t="s">
        <v>5</v>
      </c>
      <c r="AE864">
        <v>39</v>
      </c>
      <c r="AF864">
        <v>4</v>
      </c>
      <c r="AH864" t="s">
        <v>1649</v>
      </c>
      <c r="AI864" t="s">
        <v>1648</v>
      </c>
      <c r="AK864" t="s">
        <v>1647</v>
      </c>
      <c r="AL864">
        <v>14</v>
      </c>
      <c r="AM864" s="5">
        <f t="shared" si="106"/>
        <v>0.45161290322580644</v>
      </c>
      <c r="AN864" s="4">
        <f t="shared" si="111"/>
        <v>6.840028825835766E-4</v>
      </c>
      <c r="AO864" s="3"/>
      <c r="AP864">
        <v>0</v>
      </c>
      <c r="AR864" t="s">
        <v>0</v>
      </c>
      <c r="AT864" s="2">
        <v>1.742</v>
      </c>
      <c r="AU864" s="1">
        <f t="shared" si="107"/>
        <v>1.3939484519776275</v>
      </c>
      <c r="AV864" s="1">
        <f t="shared" si="108"/>
        <v>1.0152204052006932</v>
      </c>
      <c r="AW864" s="1">
        <f t="shared" si="109"/>
        <v>0.63649235842375895</v>
      </c>
    </row>
    <row r="865" spans="1:49" x14ac:dyDescent="0.2">
      <c r="A865">
        <v>863</v>
      </c>
      <c r="B865" t="s">
        <v>1646</v>
      </c>
      <c r="C865" t="s">
        <v>1645</v>
      </c>
      <c r="E865">
        <v>1890566</v>
      </c>
      <c r="F865" t="s">
        <v>1644</v>
      </c>
      <c r="G865" t="s">
        <v>16</v>
      </c>
      <c r="H865" t="s">
        <v>15</v>
      </c>
      <c r="I865" t="s">
        <v>1643</v>
      </c>
      <c r="J865">
        <v>60005465</v>
      </c>
      <c r="K865" t="s">
        <v>1642</v>
      </c>
      <c r="L865" t="s">
        <v>1641</v>
      </c>
      <c r="M865" t="s">
        <v>1468</v>
      </c>
      <c r="N865">
        <v>3</v>
      </c>
      <c r="O865" t="s">
        <v>1640</v>
      </c>
      <c r="P865" t="s">
        <v>1639</v>
      </c>
      <c r="Q865" t="s">
        <v>1638</v>
      </c>
      <c r="R865" s="7">
        <v>33239</v>
      </c>
      <c r="S865" s="8">
        <f t="shared" si="104"/>
        <v>1991</v>
      </c>
      <c r="T865" s="8">
        <v>1991</v>
      </c>
      <c r="U865" s="8">
        <f t="shared" si="105"/>
        <v>31</v>
      </c>
      <c r="V865" s="7">
        <v>1991</v>
      </c>
      <c r="W865" t="s">
        <v>707</v>
      </c>
      <c r="X865" s="2">
        <v>0.28299999999999997</v>
      </c>
      <c r="Y865" s="6">
        <f t="shared" si="110"/>
        <v>7.5545233709724781E-3</v>
      </c>
      <c r="AA865">
        <v>8327823</v>
      </c>
      <c r="AB865">
        <v>18061</v>
      </c>
      <c r="AD865" t="s">
        <v>5</v>
      </c>
      <c r="AE865">
        <v>26</v>
      </c>
      <c r="AF865">
        <v>2</v>
      </c>
      <c r="AH865" t="s">
        <v>941</v>
      </c>
      <c r="AI865" t="s">
        <v>1637</v>
      </c>
      <c r="AK865" t="s">
        <v>1636</v>
      </c>
      <c r="AL865">
        <v>0</v>
      </c>
      <c r="AM865" s="5">
        <f t="shared" si="106"/>
        <v>0</v>
      </c>
      <c r="AN865" s="4">
        <f t="shared" si="111"/>
        <v>0</v>
      </c>
      <c r="AO865" s="3"/>
      <c r="AP865">
        <v>0</v>
      </c>
      <c r="AR865" t="s">
        <v>0</v>
      </c>
      <c r="AT865" s="2" t="s">
        <v>33</v>
      </c>
      <c r="AU865" s="1">
        <f t="shared" si="107"/>
        <v>0.52881663596807349</v>
      </c>
      <c r="AV865" s="1">
        <f t="shared" si="108"/>
        <v>0.3777261685486239</v>
      </c>
      <c r="AW865" s="1">
        <f t="shared" si="109"/>
        <v>0.22663570112917433</v>
      </c>
    </row>
    <row r="866" spans="1:49" x14ac:dyDescent="0.2">
      <c r="A866">
        <v>864</v>
      </c>
      <c r="B866" t="s">
        <v>1635</v>
      </c>
      <c r="C866" t="s">
        <v>1634</v>
      </c>
      <c r="D866">
        <v>16714291900166</v>
      </c>
      <c r="F866" t="s">
        <v>1633</v>
      </c>
      <c r="G866" t="s">
        <v>16</v>
      </c>
      <c r="H866" t="s">
        <v>15</v>
      </c>
      <c r="I866" t="s">
        <v>1632</v>
      </c>
      <c r="J866">
        <v>60004967</v>
      </c>
      <c r="K866" t="s">
        <v>1631</v>
      </c>
      <c r="L866" t="s">
        <v>1630</v>
      </c>
      <c r="M866" t="s">
        <v>213</v>
      </c>
      <c r="N866">
        <v>2</v>
      </c>
      <c r="O866" t="s">
        <v>1629</v>
      </c>
      <c r="P866" t="s">
        <v>1628</v>
      </c>
      <c r="Q866" t="s">
        <v>1627</v>
      </c>
      <c r="R866" s="7">
        <v>33239</v>
      </c>
      <c r="S866" s="8">
        <f t="shared" si="104"/>
        <v>1991</v>
      </c>
      <c r="T866" s="8">
        <v>1991</v>
      </c>
      <c r="U866" s="8">
        <f t="shared" si="105"/>
        <v>31</v>
      </c>
      <c r="V866" s="7">
        <v>33270</v>
      </c>
      <c r="W866" t="s">
        <v>1626</v>
      </c>
      <c r="X866" s="2" t="s">
        <v>33</v>
      </c>
      <c r="Y866" s="6" t="e">
        <f t="shared" si="110"/>
        <v>#VALUE!</v>
      </c>
      <c r="AA866">
        <v>167142</v>
      </c>
      <c r="AB866">
        <v>40840</v>
      </c>
      <c r="AD866" t="s">
        <v>5</v>
      </c>
      <c r="AE866">
        <v>27</v>
      </c>
      <c r="AF866" s="9">
        <v>44228</v>
      </c>
      <c r="AH866" t="s">
        <v>1625</v>
      </c>
      <c r="AI866" t="s">
        <v>1624</v>
      </c>
      <c r="AK866" t="s">
        <v>1623</v>
      </c>
      <c r="AL866">
        <v>32</v>
      </c>
      <c r="AM866" s="5">
        <f t="shared" si="106"/>
        <v>1.032258064516129</v>
      </c>
      <c r="AN866" s="4">
        <f t="shared" si="111"/>
        <v>1.5634351601910323E-3</v>
      </c>
      <c r="AO866" s="3"/>
      <c r="AP866">
        <v>0</v>
      </c>
      <c r="AR866" t="s">
        <v>0</v>
      </c>
      <c r="AT866" s="2" t="s">
        <v>33</v>
      </c>
      <c r="AU866" s="1" t="e">
        <f t="shared" si="107"/>
        <v>#VALUE!</v>
      </c>
      <c r="AV866" s="1" t="e">
        <f t="shared" si="108"/>
        <v>#VALUE!</v>
      </c>
      <c r="AW866" s="1" t="e">
        <f t="shared" si="109"/>
        <v>#VALUE!</v>
      </c>
    </row>
    <row r="867" spans="1:49" x14ac:dyDescent="0.2">
      <c r="A867">
        <v>865</v>
      </c>
      <c r="B867" t="s">
        <v>1622</v>
      </c>
      <c r="C867" t="s">
        <v>1621</v>
      </c>
      <c r="F867" t="s">
        <v>1620</v>
      </c>
      <c r="G867" t="s">
        <v>16</v>
      </c>
      <c r="H867" t="s">
        <v>15</v>
      </c>
      <c r="I867" t="s">
        <v>1619</v>
      </c>
      <c r="J867" t="s">
        <v>1618</v>
      </c>
      <c r="K867" t="s">
        <v>1617</v>
      </c>
      <c r="L867" t="s">
        <v>1616</v>
      </c>
      <c r="M867" t="s">
        <v>1615</v>
      </c>
      <c r="N867">
        <v>2</v>
      </c>
      <c r="O867" t="s">
        <v>1614</v>
      </c>
      <c r="P867" t="s">
        <v>1613</v>
      </c>
      <c r="Q867" t="s">
        <v>1612</v>
      </c>
      <c r="R867" s="7">
        <v>33239</v>
      </c>
      <c r="S867" s="8">
        <f t="shared" si="104"/>
        <v>1991</v>
      </c>
      <c r="T867" s="8">
        <v>1991</v>
      </c>
      <c r="U867" s="8">
        <f t="shared" si="105"/>
        <v>31</v>
      </c>
      <c r="V867" s="7">
        <v>33239</v>
      </c>
      <c r="W867" t="s">
        <v>1599</v>
      </c>
      <c r="X867" s="2">
        <v>0.91800000000000004</v>
      </c>
      <c r="Y867" s="6">
        <f t="shared" si="110"/>
        <v>2.4505485705133341E-2</v>
      </c>
      <c r="AA867">
        <v>1431161</v>
      </c>
      <c r="AB867">
        <v>22674</v>
      </c>
      <c r="AC867">
        <v>13665901</v>
      </c>
      <c r="AD867" t="s">
        <v>5</v>
      </c>
      <c r="AE867">
        <v>12</v>
      </c>
      <c r="AF867">
        <v>1</v>
      </c>
      <c r="AH867" t="s">
        <v>1611</v>
      </c>
      <c r="AI867" t="s">
        <v>1610</v>
      </c>
      <c r="AK867" t="s">
        <v>1609</v>
      </c>
      <c r="AL867">
        <v>1</v>
      </c>
      <c r="AM867" s="5">
        <f t="shared" si="106"/>
        <v>3.2258064516129031E-2</v>
      </c>
      <c r="AN867" s="4">
        <f t="shared" si="111"/>
        <v>4.8857348755969758E-5</v>
      </c>
      <c r="AO867" s="3"/>
      <c r="AP867">
        <v>0</v>
      </c>
      <c r="AQ867" t="s">
        <v>1608</v>
      </c>
      <c r="AR867" t="s">
        <v>1607</v>
      </c>
      <c r="AS867" t="s">
        <v>1606</v>
      </c>
      <c r="AT867" s="2" t="s">
        <v>33</v>
      </c>
      <c r="AU867" s="1">
        <f t="shared" si="107"/>
        <v>1.716849719822013</v>
      </c>
      <c r="AV867" s="1">
        <f t="shared" si="108"/>
        <v>1.2277171526944657</v>
      </c>
      <c r="AW867" s="1">
        <f t="shared" si="109"/>
        <v>0.73858458556691808</v>
      </c>
    </row>
    <row r="868" spans="1:49" x14ac:dyDescent="0.2">
      <c r="A868">
        <v>866</v>
      </c>
      <c r="B868" t="s">
        <v>1605</v>
      </c>
      <c r="C868" t="s">
        <v>1604</v>
      </c>
      <c r="F868" t="s">
        <v>1603</v>
      </c>
      <c r="G868" t="s">
        <v>16</v>
      </c>
      <c r="H868" t="s">
        <v>15</v>
      </c>
      <c r="I868" t="s">
        <v>1602</v>
      </c>
      <c r="J868">
        <v>60027272</v>
      </c>
      <c r="K868" t="s">
        <v>1601</v>
      </c>
      <c r="L868" t="s">
        <v>1394</v>
      </c>
      <c r="M868" t="s">
        <v>117</v>
      </c>
      <c r="N868">
        <v>1</v>
      </c>
      <c r="O868" t="s">
        <v>1600</v>
      </c>
      <c r="P868">
        <v>6603738005</v>
      </c>
      <c r="Q868">
        <v>60027272</v>
      </c>
      <c r="R868" s="7">
        <v>33239</v>
      </c>
      <c r="S868" s="8">
        <f t="shared" si="104"/>
        <v>1991</v>
      </c>
      <c r="T868" s="8">
        <v>1991</v>
      </c>
      <c r="U868" s="8">
        <f t="shared" si="105"/>
        <v>31</v>
      </c>
      <c r="V868" s="7">
        <v>33239</v>
      </c>
      <c r="W868" t="s">
        <v>1599</v>
      </c>
      <c r="X868" s="2">
        <v>0.91800000000000004</v>
      </c>
      <c r="Y868" s="6">
        <f t="shared" si="110"/>
        <v>2.4505485705133341E-2</v>
      </c>
      <c r="AA868">
        <v>1431161</v>
      </c>
      <c r="AB868">
        <v>22674</v>
      </c>
      <c r="AC868">
        <v>13665901</v>
      </c>
      <c r="AD868" t="s">
        <v>5</v>
      </c>
      <c r="AE868">
        <v>12</v>
      </c>
      <c r="AF868">
        <v>1</v>
      </c>
      <c r="AH868" t="s">
        <v>1598</v>
      </c>
      <c r="AI868" t="s">
        <v>1597</v>
      </c>
      <c r="AK868" t="s">
        <v>1596</v>
      </c>
      <c r="AL868">
        <v>4</v>
      </c>
      <c r="AM868" s="5">
        <f t="shared" si="106"/>
        <v>0.12903225806451613</v>
      </c>
      <c r="AN868" s="4">
        <f t="shared" si="111"/>
        <v>1.9542939502387903E-4</v>
      </c>
      <c r="AO868" s="3"/>
      <c r="AP868">
        <v>0</v>
      </c>
      <c r="AR868" t="s">
        <v>0</v>
      </c>
      <c r="AT868" s="2" t="s">
        <v>33</v>
      </c>
      <c r="AU868" s="1">
        <f t="shared" si="107"/>
        <v>1.7212468812100499</v>
      </c>
      <c r="AV868" s="1">
        <f t="shared" si="108"/>
        <v>1.2350457550078611</v>
      </c>
      <c r="AW868" s="1">
        <f t="shared" si="109"/>
        <v>0.74884462880567171</v>
      </c>
    </row>
    <row r="869" spans="1:49" x14ac:dyDescent="0.2">
      <c r="A869">
        <v>867</v>
      </c>
      <c r="B869" t="s">
        <v>1595</v>
      </c>
      <c r="C869" t="s">
        <v>1594</v>
      </c>
      <c r="E869">
        <v>1918441</v>
      </c>
      <c r="F869" t="s">
        <v>1593</v>
      </c>
      <c r="G869" t="s">
        <v>16</v>
      </c>
      <c r="H869" t="s">
        <v>15</v>
      </c>
      <c r="I869" t="s">
        <v>1592</v>
      </c>
      <c r="J869">
        <v>60011604</v>
      </c>
      <c r="K869" t="s">
        <v>1591</v>
      </c>
      <c r="L869" t="s">
        <v>1590</v>
      </c>
      <c r="M869" t="s">
        <v>25</v>
      </c>
      <c r="N869">
        <v>1</v>
      </c>
      <c r="O869" t="s">
        <v>1589</v>
      </c>
      <c r="P869">
        <v>6504657424</v>
      </c>
      <c r="Q869">
        <v>60011604</v>
      </c>
      <c r="R869" s="7">
        <v>33239</v>
      </c>
      <c r="S869" s="8">
        <f t="shared" si="104"/>
        <v>1991</v>
      </c>
      <c r="T869" s="8">
        <v>1991</v>
      </c>
      <c r="U869" s="8">
        <f t="shared" si="105"/>
        <v>31</v>
      </c>
      <c r="V869" s="7">
        <v>33434</v>
      </c>
      <c r="W869" t="s">
        <v>1588</v>
      </c>
      <c r="X869" s="2">
        <v>1.855</v>
      </c>
      <c r="Y869" s="6">
        <f t="shared" si="110"/>
        <v>4.9518165558847867E-2</v>
      </c>
      <c r="AA869">
        <v>219967</v>
      </c>
      <c r="AB869">
        <v>16689</v>
      </c>
      <c r="AC869">
        <v>10969861</v>
      </c>
      <c r="AD869" t="s">
        <v>5</v>
      </c>
      <c r="AE869">
        <v>309</v>
      </c>
      <c r="AF869">
        <v>3</v>
      </c>
      <c r="AH869" t="s">
        <v>1587</v>
      </c>
      <c r="AI869" t="s">
        <v>1586</v>
      </c>
      <c r="AJ869" t="s">
        <v>1585</v>
      </c>
      <c r="AK869" t="s">
        <v>1584</v>
      </c>
      <c r="AL869">
        <v>49</v>
      </c>
      <c r="AM869" s="5">
        <f t="shared" si="106"/>
        <v>1.5806451612903225</v>
      </c>
      <c r="AN869" s="4">
        <f t="shared" si="111"/>
        <v>2.394010089042518E-3</v>
      </c>
      <c r="AO869" s="3"/>
      <c r="AP869">
        <v>0</v>
      </c>
      <c r="AR869" t="s">
        <v>0</v>
      </c>
      <c r="AT869" s="2">
        <v>3.2149999999999999</v>
      </c>
      <c r="AU869" s="1">
        <f t="shared" si="107"/>
        <v>3.5380918917906263</v>
      </c>
      <c r="AV869" s="1">
        <f t="shared" si="108"/>
        <v>2.5956087823945193</v>
      </c>
      <c r="AW869" s="1">
        <f t="shared" si="109"/>
        <v>1.6531256729984123</v>
      </c>
    </row>
    <row r="870" spans="1:49" x14ac:dyDescent="0.2">
      <c r="A870">
        <v>868</v>
      </c>
      <c r="B870" t="s">
        <v>1583</v>
      </c>
      <c r="C870" t="s">
        <v>1582</v>
      </c>
      <c r="D870" t="s">
        <v>1581</v>
      </c>
      <c r="E870">
        <v>2004950</v>
      </c>
      <c r="F870" t="s">
        <v>1580</v>
      </c>
      <c r="G870" t="s">
        <v>16</v>
      </c>
      <c r="H870" t="s">
        <v>15</v>
      </c>
      <c r="I870" t="s">
        <v>1137</v>
      </c>
      <c r="J870">
        <v>60030443</v>
      </c>
      <c r="K870" t="s">
        <v>867</v>
      </c>
      <c r="L870" t="s">
        <v>866</v>
      </c>
      <c r="M870" t="s">
        <v>57</v>
      </c>
      <c r="N870">
        <v>7</v>
      </c>
      <c r="O870" t="s">
        <v>1579</v>
      </c>
      <c r="P870" t="s">
        <v>1578</v>
      </c>
      <c r="Q870" t="s">
        <v>1577</v>
      </c>
      <c r="R870" s="7">
        <v>33239</v>
      </c>
      <c r="S870" s="8">
        <f t="shared" si="104"/>
        <v>1991</v>
      </c>
      <c r="T870" s="8">
        <v>1991</v>
      </c>
      <c r="U870" s="8">
        <f t="shared" si="105"/>
        <v>31</v>
      </c>
      <c r="V870" s="7">
        <v>33329</v>
      </c>
      <c r="W870" t="s">
        <v>1134</v>
      </c>
      <c r="X870" s="2" t="s">
        <v>33</v>
      </c>
      <c r="Y870" s="6" t="e">
        <f t="shared" si="110"/>
        <v>#VALUE!</v>
      </c>
      <c r="AA870">
        <v>3603016</v>
      </c>
      <c r="AB870">
        <v>17191</v>
      </c>
      <c r="AD870" t="s">
        <v>5</v>
      </c>
      <c r="AE870">
        <v>20</v>
      </c>
      <c r="AF870">
        <v>4</v>
      </c>
      <c r="AH870" t="s">
        <v>1576</v>
      </c>
      <c r="AI870" t="s">
        <v>1575</v>
      </c>
      <c r="AJ870" t="s">
        <v>1574</v>
      </c>
      <c r="AK870" t="s">
        <v>1573</v>
      </c>
      <c r="AL870">
        <v>42</v>
      </c>
      <c r="AM870" s="5">
        <f t="shared" si="106"/>
        <v>1.3548387096774193</v>
      </c>
      <c r="AN870" s="4">
        <f t="shared" si="111"/>
        <v>2.0520086477507295E-3</v>
      </c>
      <c r="AO870" s="3"/>
      <c r="AP870">
        <v>0</v>
      </c>
      <c r="AQ870" t="s">
        <v>1129</v>
      </c>
      <c r="AR870" t="s">
        <v>1128</v>
      </c>
      <c r="AS870" t="s">
        <v>1127</v>
      </c>
      <c r="AT870" s="2" t="s">
        <v>33</v>
      </c>
      <c r="AU870" s="1" t="e">
        <f t="shared" si="107"/>
        <v>#VALUE!</v>
      </c>
      <c r="AV870" s="1" t="e">
        <f t="shared" si="108"/>
        <v>#VALUE!</v>
      </c>
      <c r="AW870" s="1" t="e">
        <f t="shared" si="109"/>
        <v>#VALUE!</v>
      </c>
    </row>
    <row r="871" spans="1:49" x14ac:dyDescent="0.2">
      <c r="A871">
        <v>869</v>
      </c>
      <c r="B871" t="s">
        <v>1572</v>
      </c>
      <c r="F871" t="s">
        <v>1571</v>
      </c>
      <c r="G871" t="s">
        <v>16</v>
      </c>
      <c r="H871" t="s">
        <v>15</v>
      </c>
      <c r="I871" t="s">
        <v>1570</v>
      </c>
      <c r="N871">
        <v>1</v>
      </c>
      <c r="O871" t="s">
        <v>1569</v>
      </c>
      <c r="P871">
        <v>1</v>
      </c>
      <c r="R871" s="7">
        <v>33239</v>
      </c>
      <c r="S871" s="8">
        <f t="shared" si="104"/>
        <v>1991</v>
      </c>
      <c r="T871" s="8">
        <v>1991</v>
      </c>
      <c r="U871" s="8">
        <f t="shared" si="105"/>
        <v>31</v>
      </c>
      <c r="V871" s="7">
        <v>1991</v>
      </c>
      <c r="W871" t="s">
        <v>1568</v>
      </c>
      <c r="X871" s="2" t="s">
        <v>33</v>
      </c>
      <c r="Y871" s="6" t="e">
        <f t="shared" si="110"/>
        <v>#VALUE!</v>
      </c>
      <c r="AA871">
        <v>134252</v>
      </c>
      <c r="AB871">
        <v>32198</v>
      </c>
      <c r="AD871" t="s">
        <v>5</v>
      </c>
      <c r="AE871">
        <v>65</v>
      </c>
      <c r="AF871">
        <v>1</v>
      </c>
      <c r="AH871" t="s">
        <v>1567</v>
      </c>
      <c r="AI871" t="s">
        <v>1566</v>
      </c>
      <c r="AK871" t="s">
        <v>1565</v>
      </c>
      <c r="AL871">
        <v>0</v>
      </c>
      <c r="AM871" s="5">
        <f t="shared" si="106"/>
        <v>0</v>
      </c>
      <c r="AN871" s="4">
        <f t="shared" si="111"/>
        <v>0</v>
      </c>
      <c r="AO871" s="3"/>
      <c r="AP871">
        <v>0</v>
      </c>
      <c r="AR871" t="s">
        <v>0</v>
      </c>
      <c r="AT871" s="2" t="s">
        <v>33</v>
      </c>
      <c r="AU871" s="1" t="e">
        <f t="shared" si="107"/>
        <v>#VALUE!</v>
      </c>
      <c r="AV871" s="1" t="e">
        <f t="shared" si="108"/>
        <v>#VALUE!</v>
      </c>
      <c r="AW871" s="1" t="e">
        <f t="shared" si="109"/>
        <v>#VALUE!</v>
      </c>
    </row>
    <row r="872" spans="1:49" x14ac:dyDescent="0.2">
      <c r="A872">
        <v>870</v>
      </c>
      <c r="B872" t="s">
        <v>1564</v>
      </c>
      <c r="F872" t="s">
        <v>1563</v>
      </c>
      <c r="G872" t="s">
        <v>16</v>
      </c>
      <c r="H872" t="s">
        <v>15</v>
      </c>
      <c r="I872" t="s">
        <v>1562</v>
      </c>
      <c r="N872">
        <v>1</v>
      </c>
      <c r="O872" t="s">
        <v>1561</v>
      </c>
      <c r="P872">
        <v>57196493786</v>
      </c>
      <c r="R872" s="7">
        <v>33239</v>
      </c>
      <c r="S872" s="8">
        <f t="shared" si="104"/>
        <v>1991</v>
      </c>
      <c r="T872" s="8">
        <v>1991</v>
      </c>
      <c r="U872" s="8">
        <f t="shared" si="105"/>
        <v>31</v>
      </c>
      <c r="V872" s="7">
        <v>1991</v>
      </c>
      <c r="W872" t="s">
        <v>584</v>
      </c>
      <c r="X872" s="2" t="s">
        <v>33</v>
      </c>
      <c r="Y872" s="6" t="e">
        <f t="shared" si="110"/>
        <v>#VALUE!</v>
      </c>
      <c r="AA872">
        <v>87566648</v>
      </c>
      <c r="AB872">
        <v>74127</v>
      </c>
      <c r="AD872" t="s">
        <v>5</v>
      </c>
      <c r="AE872">
        <v>36</v>
      </c>
      <c r="AF872">
        <v>5</v>
      </c>
      <c r="AH872" t="s">
        <v>1560</v>
      </c>
      <c r="AI872" t="s">
        <v>1559</v>
      </c>
      <c r="AK872" t="s">
        <v>1558</v>
      </c>
      <c r="AL872">
        <v>0</v>
      </c>
      <c r="AM872" s="5">
        <f t="shared" si="106"/>
        <v>0</v>
      </c>
      <c r="AN872" s="4">
        <f t="shared" si="111"/>
        <v>0</v>
      </c>
      <c r="AO872" s="3"/>
      <c r="AP872">
        <v>0</v>
      </c>
      <c r="AR872" t="s">
        <v>0</v>
      </c>
      <c r="AT872" s="2" t="s">
        <v>33</v>
      </c>
      <c r="AU872" s="1" t="e">
        <f t="shared" si="107"/>
        <v>#VALUE!</v>
      </c>
      <c r="AV872" s="1" t="e">
        <f t="shared" si="108"/>
        <v>#VALUE!</v>
      </c>
      <c r="AW872" s="1" t="e">
        <f t="shared" si="109"/>
        <v>#VALUE!</v>
      </c>
    </row>
    <row r="873" spans="1:49" x14ac:dyDescent="0.2">
      <c r="A873">
        <v>871</v>
      </c>
      <c r="B873" t="s">
        <v>1557</v>
      </c>
      <c r="F873" t="s">
        <v>1556</v>
      </c>
      <c r="G873" t="s">
        <v>16</v>
      </c>
      <c r="H873" t="s">
        <v>15</v>
      </c>
      <c r="I873" t="s">
        <v>1555</v>
      </c>
      <c r="N873">
        <v>3</v>
      </c>
      <c r="O873" t="s">
        <v>1554</v>
      </c>
      <c r="P873" t="s">
        <v>1553</v>
      </c>
      <c r="Q873" t="s">
        <v>757</v>
      </c>
      <c r="R873" s="7">
        <v>33239</v>
      </c>
      <c r="S873" s="8">
        <f t="shared" si="104"/>
        <v>1991</v>
      </c>
      <c r="T873" s="8">
        <v>1991</v>
      </c>
      <c r="U873" s="8">
        <f t="shared" si="105"/>
        <v>31</v>
      </c>
      <c r="V873" s="7">
        <v>1991</v>
      </c>
      <c r="W873" t="s">
        <v>584</v>
      </c>
      <c r="X873" s="2" t="s">
        <v>33</v>
      </c>
      <c r="Y873" s="6" t="e">
        <f t="shared" si="110"/>
        <v>#VALUE!</v>
      </c>
      <c r="AA873">
        <v>87566648</v>
      </c>
      <c r="AB873">
        <v>74127</v>
      </c>
      <c r="AD873" t="s">
        <v>5</v>
      </c>
      <c r="AE873">
        <v>36</v>
      </c>
      <c r="AF873">
        <v>2</v>
      </c>
      <c r="AH873" t="s">
        <v>1552</v>
      </c>
      <c r="AI873" t="s">
        <v>1551</v>
      </c>
      <c r="AK873" t="s">
        <v>1550</v>
      </c>
      <c r="AL873">
        <v>0</v>
      </c>
      <c r="AM873" s="5">
        <f t="shared" si="106"/>
        <v>0</v>
      </c>
      <c r="AN873" s="4">
        <f t="shared" si="111"/>
        <v>0</v>
      </c>
      <c r="AO873" s="3"/>
      <c r="AP873">
        <v>0</v>
      </c>
      <c r="AR873" t="s">
        <v>0</v>
      </c>
      <c r="AT873" s="2" t="s">
        <v>33</v>
      </c>
      <c r="AU873" s="1" t="e">
        <f t="shared" si="107"/>
        <v>#VALUE!</v>
      </c>
      <c r="AV873" s="1" t="e">
        <f t="shared" si="108"/>
        <v>#VALUE!</v>
      </c>
      <c r="AW873" s="1" t="e">
        <f t="shared" si="109"/>
        <v>#VALUE!</v>
      </c>
    </row>
    <row r="874" spans="1:49" x14ac:dyDescent="0.2">
      <c r="A874">
        <v>872</v>
      </c>
      <c r="B874" t="s">
        <v>1549</v>
      </c>
      <c r="C874" t="s">
        <v>1548</v>
      </c>
      <c r="F874" t="s">
        <v>1547</v>
      </c>
      <c r="G874" t="s">
        <v>16</v>
      </c>
      <c r="H874" t="s">
        <v>15</v>
      </c>
      <c r="I874" t="s">
        <v>1546</v>
      </c>
      <c r="J874">
        <v>60031828</v>
      </c>
      <c r="K874" t="s">
        <v>1545</v>
      </c>
      <c r="L874" t="s">
        <v>1544</v>
      </c>
      <c r="M874" t="s">
        <v>1543</v>
      </c>
      <c r="N874">
        <v>4</v>
      </c>
      <c r="O874" t="s">
        <v>1542</v>
      </c>
      <c r="P874" t="s">
        <v>1541</v>
      </c>
      <c r="Q874" t="s">
        <v>1540</v>
      </c>
      <c r="R874" s="7">
        <v>33239</v>
      </c>
      <c r="S874" s="8">
        <f t="shared" si="104"/>
        <v>1991</v>
      </c>
      <c r="T874" s="8">
        <v>1991</v>
      </c>
      <c r="U874" s="8">
        <f t="shared" si="105"/>
        <v>31</v>
      </c>
      <c r="V874" s="7">
        <v>33258</v>
      </c>
      <c r="W874" t="s">
        <v>561</v>
      </c>
      <c r="X874" s="2">
        <v>0.30399999999999999</v>
      </c>
      <c r="Y874" s="6">
        <f t="shared" si="110"/>
        <v>8.115106377299057E-3</v>
      </c>
      <c r="AA874">
        <v>8952477</v>
      </c>
      <c r="AB874">
        <v>12250</v>
      </c>
      <c r="AC874">
        <v>10982760</v>
      </c>
      <c r="AD874" t="s">
        <v>5</v>
      </c>
      <c r="AE874">
        <v>4</v>
      </c>
      <c r="AF874">
        <v>2</v>
      </c>
      <c r="AH874" t="s">
        <v>1539</v>
      </c>
      <c r="AI874" t="s">
        <v>1538</v>
      </c>
      <c r="AJ874" t="s">
        <v>1537</v>
      </c>
      <c r="AK874" t="s">
        <v>1536</v>
      </c>
      <c r="AL874">
        <v>6</v>
      </c>
      <c r="AM874" s="5">
        <f t="shared" si="106"/>
        <v>0.19354838709677419</v>
      </c>
      <c r="AN874" s="4">
        <f t="shared" si="111"/>
        <v>2.9314409253581854E-4</v>
      </c>
      <c r="AO874" s="3"/>
      <c r="AP874">
        <v>0</v>
      </c>
      <c r="AR874" t="s">
        <v>0</v>
      </c>
      <c r="AT874" s="2" t="s">
        <v>33</v>
      </c>
      <c r="AU874" s="1">
        <f t="shared" si="107"/>
        <v>0.57685176918700842</v>
      </c>
      <c r="AV874" s="1">
        <f t="shared" si="108"/>
        <v>0.42041252349174374</v>
      </c>
      <c r="AW874" s="1">
        <f t="shared" si="109"/>
        <v>0.26397327779647906</v>
      </c>
    </row>
    <row r="875" spans="1:49" x14ac:dyDescent="0.2">
      <c r="A875">
        <v>873</v>
      </c>
      <c r="B875" t="s">
        <v>1535</v>
      </c>
      <c r="C875" t="s">
        <v>1534</v>
      </c>
      <c r="E875">
        <v>2005962</v>
      </c>
      <c r="F875" t="s">
        <v>1533</v>
      </c>
      <c r="G875" t="s">
        <v>16</v>
      </c>
      <c r="H875" t="s">
        <v>15</v>
      </c>
      <c r="I875" t="s">
        <v>1532</v>
      </c>
      <c r="J875">
        <v>60007257</v>
      </c>
      <c r="K875" t="s">
        <v>1531</v>
      </c>
      <c r="L875" t="s">
        <v>1530</v>
      </c>
      <c r="M875" t="s">
        <v>25</v>
      </c>
      <c r="N875">
        <v>2</v>
      </c>
      <c r="O875" t="s">
        <v>1529</v>
      </c>
      <c r="P875" t="s">
        <v>1528</v>
      </c>
      <c r="Q875" t="s">
        <v>1527</v>
      </c>
      <c r="R875" s="7">
        <v>33239</v>
      </c>
      <c r="S875" s="8">
        <f t="shared" si="104"/>
        <v>1991</v>
      </c>
      <c r="T875" s="8">
        <v>1991</v>
      </c>
      <c r="U875" s="8">
        <f t="shared" si="105"/>
        <v>31</v>
      </c>
      <c r="V875" s="7">
        <v>1991</v>
      </c>
      <c r="W875" t="s">
        <v>1526</v>
      </c>
      <c r="X875" s="2">
        <v>15.993</v>
      </c>
      <c r="Y875" s="6">
        <f t="shared" si="110"/>
        <v>0.42692400096099947</v>
      </c>
      <c r="AA875">
        <v>280836</v>
      </c>
      <c r="AB875">
        <v>21206</v>
      </c>
      <c r="AD875" t="s">
        <v>5</v>
      </c>
      <c r="AE875">
        <v>350</v>
      </c>
      <c r="AF875">
        <v>6314</v>
      </c>
      <c r="AH875" t="s">
        <v>1525</v>
      </c>
      <c r="AI875" t="s">
        <v>1524</v>
      </c>
      <c r="AK875" t="s">
        <v>1523</v>
      </c>
      <c r="AL875">
        <v>394</v>
      </c>
      <c r="AM875" s="5">
        <f t="shared" si="106"/>
        <v>12.709677419354838</v>
      </c>
      <c r="AN875" s="4">
        <f t="shared" si="111"/>
        <v>1.9249795409852083E-2</v>
      </c>
      <c r="AO875" s="3"/>
      <c r="AP875">
        <v>0</v>
      </c>
      <c r="AR875" t="s">
        <v>0</v>
      </c>
      <c r="AT875" s="2">
        <v>49.962000000000003</v>
      </c>
      <c r="AU875" s="1">
        <f t="shared" si="107"/>
        <v>30.462173929565523</v>
      </c>
      <c r="AV875" s="1">
        <f t="shared" si="108"/>
        <v>22.308689818542575</v>
      </c>
      <c r="AW875" s="1">
        <f t="shared" si="109"/>
        <v>14.155205707519631</v>
      </c>
    </row>
    <row r="876" spans="1:49" x14ac:dyDescent="0.2">
      <c r="A876">
        <v>874</v>
      </c>
      <c r="B876" t="s">
        <v>1522</v>
      </c>
      <c r="F876" t="s">
        <v>1521</v>
      </c>
      <c r="G876" t="s">
        <v>16</v>
      </c>
      <c r="H876" t="s">
        <v>15</v>
      </c>
      <c r="I876" t="s">
        <v>1520</v>
      </c>
      <c r="N876">
        <v>4</v>
      </c>
      <c r="O876" t="s">
        <v>1519</v>
      </c>
      <c r="P876" t="s">
        <v>1518</v>
      </c>
      <c r="Q876" t="s">
        <v>1517</v>
      </c>
      <c r="R876" s="7">
        <v>33239</v>
      </c>
      <c r="S876" s="8">
        <f t="shared" si="104"/>
        <v>1991</v>
      </c>
      <c r="T876" s="8">
        <v>1991</v>
      </c>
      <c r="U876" s="8">
        <f t="shared" si="105"/>
        <v>31</v>
      </c>
      <c r="V876" s="7">
        <v>1991</v>
      </c>
      <c r="W876" t="s">
        <v>584</v>
      </c>
      <c r="X876" s="2" t="s">
        <v>33</v>
      </c>
      <c r="Y876" s="6" t="e">
        <f t="shared" si="110"/>
        <v>#VALUE!</v>
      </c>
      <c r="AA876">
        <v>87566648</v>
      </c>
      <c r="AB876">
        <v>74127</v>
      </c>
      <c r="AD876" t="s">
        <v>5</v>
      </c>
      <c r="AE876">
        <v>36</v>
      </c>
      <c r="AF876">
        <v>4</v>
      </c>
      <c r="AH876" t="s">
        <v>1516</v>
      </c>
      <c r="AI876" t="s">
        <v>1515</v>
      </c>
      <c r="AK876" t="s">
        <v>1514</v>
      </c>
      <c r="AL876">
        <v>0</v>
      </c>
      <c r="AM876" s="5">
        <f t="shared" si="106"/>
        <v>0</v>
      </c>
      <c r="AN876" s="4">
        <f t="shared" si="111"/>
        <v>0</v>
      </c>
      <c r="AO876" s="3"/>
      <c r="AP876">
        <v>0</v>
      </c>
      <c r="AR876" t="s">
        <v>0</v>
      </c>
      <c r="AT876" s="2" t="s">
        <v>33</v>
      </c>
      <c r="AU876" s="1" t="e">
        <f t="shared" si="107"/>
        <v>#VALUE!</v>
      </c>
      <c r="AV876" s="1" t="e">
        <f t="shared" si="108"/>
        <v>#VALUE!</v>
      </c>
      <c r="AW876" s="1" t="e">
        <f t="shared" si="109"/>
        <v>#VALUE!</v>
      </c>
    </row>
    <row r="877" spans="1:49" x14ac:dyDescent="0.2">
      <c r="A877">
        <v>875</v>
      </c>
      <c r="B877" t="s">
        <v>1513</v>
      </c>
      <c r="C877" t="s">
        <v>1512</v>
      </c>
      <c r="D877" t="s">
        <v>1511</v>
      </c>
      <c r="E877">
        <v>1882419</v>
      </c>
      <c r="F877" t="s">
        <v>1510</v>
      </c>
      <c r="G877" t="s">
        <v>16</v>
      </c>
      <c r="H877" t="s">
        <v>15</v>
      </c>
      <c r="I877" t="s">
        <v>1509</v>
      </c>
      <c r="J877" t="s">
        <v>1508</v>
      </c>
      <c r="K877" t="s">
        <v>1507</v>
      </c>
      <c r="L877" t="s">
        <v>1506</v>
      </c>
      <c r="M877" t="s">
        <v>1505</v>
      </c>
      <c r="N877">
        <v>3</v>
      </c>
      <c r="O877" t="s">
        <v>1504</v>
      </c>
      <c r="P877" t="s">
        <v>1503</v>
      </c>
      <c r="Q877" t="s">
        <v>1502</v>
      </c>
      <c r="R877" s="7">
        <v>33239</v>
      </c>
      <c r="S877" s="8">
        <f t="shared" si="104"/>
        <v>1991</v>
      </c>
      <c r="T877" s="8">
        <v>1991</v>
      </c>
      <c r="U877" s="8">
        <f t="shared" si="105"/>
        <v>31</v>
      </c>
      <c r="V877" s="7">
        <v>1991</v>
      </c>
      <c r="W877" t="s">
        <v>1501</v>
      </c>
      <c r="X877" s="2">
        <v>6.29</v>
      </c>
      <c r="Y877" s="6">
        <f t="shared" si="110"/>
        <v>0.16790795760924696</v>
      </c>
      <c r="AA877">
        <v>9680004</v>
      </c>
      <c r="AB877">
        <v>14816</v>
      </c>
      <c r="AD877" t="s">
        <v>5</v>
      </c>
      <c r="AE877">
        <v>16</v>
      </c>
      <c r="AF877" t="s">
        <v>1500</v>
      </c>
      <c r="AH877" t="s">
        <v>1499</v>
      </c>
      <c r="AI877" t="s">
        <v>1498</v>
      </c>
      <c r="AK877" t="s">
        <v>1497</v>
      </c>
      <c r="AL877">
        <v>217</v>
      </c>
      <c r="AM877" s="5">
        <f t="shared" si="106"/>
        <v>7</v>
      </c>
      <c r="AN877" s="4">
        <f t="shared" si="111"/>
        <v>1.0602044680045438E-2</v>
      </c>
      <c r="AO877" s="3"/>
      <c r="AP877">
        <v>0</v>
      </c>
      <c r="AR877" t="s">
        <v>0</v>
      </c>
      <c r="AT877" s="2">
        <v>13.807</v>
      </c>
      <c r="AU877" s="1">
        <f t="shared" si="107"/>
        <v>12.071618373048649</v>
      </c>
      <c r="AV877" s="1">
        <f t="shared" si="108"/>
        <v>8.9255001144646204</v>
      </c>
      <c r="AW877" s="1">
        <f t="shared" si="109"/>
        <v>5.7793818558805894</v>
      </c>
    </row>
    <row r="878" spans="1:49" x14ac:dyDescent="0.2">
      <c r="A878">
        <v>876</v>
      </c>
      <c r="B878" t="s">
        <v>1496</v>
      </c>
      <c r="C878" t="s">
        <v>1495</v>
      </c>
      <c r="E878">
        <v>1787796</v>
      </c>
      <c r="F878" t="s">
        <v>1494</v>
      </c>
      <c r="G878" t="s">
        <v>16</v>
      </c>
      <c r="H878" t="s">
        <v>15</v>
      </c>
      <c r="I878" t="s">
        <v>1493</v>
      </c>
      <c r="J878">
        <v>60025641</v>
      </c>
      <c r="K878" t="s">
        <v>1492</v>
      </c>
      <c r="L878" t="s">
        <v>1491</v>
      </c>
      <c r="M878" t="s">
        <v>25</v>
      </c>
      <c r="N878">
        <v>3</v>
      </c>
      <c r="O878" t="s">
        <v>1490</v>
      </c>
      <c r="P878" t="s">
        <v>1489</v>
      </c>
      <c r="Q878" t="s">
        <v>1488</v>
      </c>
      <c r="R878" s="7">
        <v>33239</v>
      </c>
      <c r="S878" s="8">
        <f t="shared" si="104"/>
        <v>1991</v>
      </c>
      <c r="T878" s="8">
        <v>1991</v>
      </c>
      <c r="U878" s="8">
        <f t="shared" si="105"/>
        <v>31</v>
      </c>
      <c r="V878" s="7">
        <v>33390</v>
      </c>
      <c r="W878" t="s">
        <v>1487</v>
      </c>
      <c r="X878" s="2">
        <v>1.857</v>
      </c>
      <c r="Y878" s="6">
        <f t="shared" si="110"/>
        <v>4.9571554416593257E-2</v>
      </c>
      <c r="AA878" t="s">
        <v>1486</v>
      </c>
      <c r="AB878">
        <v>20298</v>
      </c>
      <c r="AC878">
        <v>13652958</v>
      </c>
      <c r="AD878" t="s">
        <v>5</v>
      </c>
      <c r="AE878">
        <v>5</v>
      </c>
      <c r="AF878">
        <v>6</v>
      </c>
      <c r="AH878" t="s">
        <v>1485</v>
      </c>
      <c r="AI878" t="s">
        <v>1484</v>
      </c>
      <c r="AK878" t="s">
        <v>1483</v>
      </c>
      <c r="AL878">
        <v>30</v>
      </c>
      <c r="AM878" s="5">
        <f t="shared" si="106"/>
        <v>0.967741935483871</v>
      </c>
      <c r="AN878" s="4">
        <f t="shared" si="111"/>
        <v>1.4657204626790927E-3</v>
      </c>
      <c r="AO878" s="3"/>
      <c r="AP878">
        <v>0</v>
      </c>
      <c r="AR878" t="s">
        <v>0</v>
      </c>
      <c r="AT878" s="2">
        <v>3.5009999999999999</v>
      </c>
      <c r="AU878" s="1">
        <f t="shared" si="107"/>
        <v>3.5139804230418998</v>
      </c>
      <c r="AV878" s="1">
        <f t="shared" si="108"/>
        <v>2.5518637439636174</v>
      </c>
      <c r="AW878" s="1">
        <f t="shared" si="109"/>
        <v>1.5897470648853342</v>
      </c>
    </row>
    <row r="879" spans="1:49" x14ac:dyDescent="0.2">
      <c r="A879">
        <v>877</v>
      </c>
      <c r="B879" t="s">
        <v>1482</v>
      </c>
      <c r="C879" t="s">
        <v>1481</v>
      </c>
      <c r="F879" t="s">
        <v>1480</v>
      </c>
      <c r="G879" t="s">
        <v>16</v>
      </c>
      <c r="H879" t="s">
        <v>15</v>
      </c>
      <c r="I879" t="s">
        <v>1479</v>
      </c>
      <c r="N879">
        <v>3</v>
      </c>
      <c r="O879" t="s">
        <v>1478</v>
      </c>
      <c r="P879" t="s">
        <v>1477</v>
      </c>
      <c r="Q879" t="s">
        <v>757</v>
      </c>
      <c r="R879" s="7">
        <v>33239</v>
      </c>
      <c r="S879" s="8">
        <f t="shared" si="104"/>
        <v>1991</v>
      </c>
      <c r="T879" s="8">
        <v>1991</v>
      </c>
      <c r="U879" s="8">
        <f t="shared" si="105"/>
        <v>31</v>
      </c>
      <c r="V879" s="7" t="s">
        <v>780</v>
      </c>
      <c r="W879" t="s">
        <v>779</v>
      </c>
      <c r="X879" s="2">
        <v>0.371</v>
      </c>
      <c r="Y879" s="6">
        <f t="shared" si="110"/>
        <v>9.9036331117695747E-3</v>
      </c>
      <c r="AA879">
        <v>486604</v>
      </c>
      <c r="AB879">
        <v>28580</v>
      </c>
      <c r="AC879" t="s">
        <v>778</v>
      </c>
      <c r="AD879" t="s">
        <v>5</v>
      </c>
      <c r="AE879">
        <v>26</v>
      </c>
      <c r="AF879">
        <v>1</v>
      </c>
      <c r="AH879" t="s">
        <v>1476</v>
      </c>
      <c r="AI879" t="s">
        <v>1475</v>
      </c>
      <c r="AK879" t="s">
        <v>1474</v>
      </c>
      <c r="AL879">
        <v>9</v>
      </c>
      <c r="AM879" s="5">
        <f t="shared" si="106"/>
        <v>0.29032258064516131</v>
      </c>
      <c r="AN879" s="4">
        <f t="shared" si="111"/>
        <v>4.3971613880372783E-4</v>
      </c>
      <c r="AO879" s="3"/>
      <c r="AP879">
        <v>0</v>
      </c>
      <c r="AR879" t="s">
        <v>0</v>
      </c>
      <c r="AT879" s="2">
        <v>1.431</v>
      </c>
      <c r="AU879" s="1">
        <f t="shared" si="107"/>
        <v>0.70644580198798201</v>
      </c>
      <c r="AV879" s="1">
        <f t="shared" si="108"/>
        <v>0.51716746252866519</v>
      </c>
      <c r="AW879" s="1">
        <f t="shared" si="109"/>
        <v>0.3278891230693482</v>
      </c>
    </row>
    <row r="880" spans="1:49" x14ac:dyDescent="0.2">
      <c r="A880">
        <v>878</v>
      </c>
      <c r="B880" t="s">
        <v>1473</v>
      </c>
      <c r="F880" t="s">
        <v>1472</v>
      </c>
      <c r="G880" t="s">
        <v>16</v>
      </c>
      <c r="H880" t="s">
        <v>15</v>
      </c>
      <c r="I880" t="s">
        <v>1471</v>
      </c>
      <c r="J880">
        <v>60016835</v>
      </c>
      <c r="K880" t="s">
        <v>1470</v>
      </c>
      <c r="L880" t="s">
        <v>1469</v>
      </c>
      <c r="M880" t="s">
        <v>1468</v>
      </c>
      <c r="N880">
        <v>2</v>
      </c>
      <c r="O880" t="s">
        <v>1467</v>
      </c>
      <c r="P880" t="s">
        <v>1466</v>
      </c>
      <c r="Q880" t="s">
        <v>1465</v>
      </c>
      <c r="R880" s="7">
        <v>33239</v>
      </c>
      <c r="S880" s="8">
        <f t="shared" si="104"/>
        <v>1991</v>
      </c>
      <c r="T880" s="8">
        <v>1991</v>
      </c>
      <c r="U880" s="8">
        <f t="shared" si="105"/>
        <v>31</v>
      </c>
      <c r="V880" s="7">
        <v>1991</v>
      </c>
      <c r="W880" t="s">
        <v>766</v>
      </c>
      <c r="X880" s="2">
        <v>0.216</v>
      </c>
      <c r="Y880" s="6">
        <f t="shared" si="110"/>
        <v>5.765996636501962E-3</v>
      </c>
      <c r="AA880">
        <v>10544887</v>
      </c>
      <c r="AB880">
        <v>13200</v>
      </c>
      <c r="AD880" t="s">
        <v>5</v>
      </c>
      <c r="AE880">
        <v>6</v>
      </c>
      <c r="AF880">
        <v>1</v>
      </c>
      <c r="AH880" t="s">
        <v>1464</v>
      </c>
      <c r="AI880" t="s">
        <v>1463</v>
      </c>
      <c r="AK880" t="s">
        <v>1462</v>
      </c>
      <c r="AL880">
        <v>1</v>
      </c>
      <c r="AM880" s="5">
        <f t="shared" si="106"/>
        <v>3.2258064516129031E-2</v>
      </c>
      <c r="AN880" s="4">
        <f t="shared" si="111"/>
        <v>4.8857348755969758E-5</v>
      </c>
      <c r="AO880" s="3"/>
      <c r="AP880">
        <v>0</v>
      </c>
      <c r="AR880" t="s">
        <v>0</v>
      </c>
      <c r="AT880" s="2" t="s">
        <v>33</v>
      </c>
      <c r="AU880" s="1">
        <f t="shared" si="107"/>
        <v>0.40508548501781638</v>
      </c>
      <c r="AV880" s="1">
        <f t="shared" si="108"/>
        <v>0.29074269926289659</v>
      </c>
      <c r="AW880" s="1">
        <f t="shared" si="109"/>
        <v>0.17639991350797676</v>
      </c>
    </row>
    <row r="881" spans="1:49" x14ac:dyDescent="0.2">
      <c r="A881">
        <v>879</v>
      </c>
      <c r="B881" t="s">
        <v>1461</v>
      </c>
      <c r="C881" t="s">
        <v>1460</v>
      </c>
      <c r="F881" t="s">
        <v>1459</v>
      </c>
      <c r="G881" t="s">
        <v>16</v>
      </c>
      <c r="H881" t="s">
        <v>15</v>
      </c>
      <c r="I881" t="s">
        <v>1458</v>
      </c>
      <c r="N881">
        <v>1</v>
      </c>
      <c r="O881" t="s">
        <v>1457</v>
      </c>
      <c r="P881">
        <v>7402501506</v>
      </c>
      <c r="R881" s="7">
        <v>33239</v>
      </c>
      <c r="S881" s="8">
        <f t="shared" ref="S881:S944" si="112">YEAR(R881)</f>
        <v>1991</v>
      </c>
      <c r="T881" s="8">
        <v>1991</v>
      </c>
      <c r="U881" s="8">
        <f t="shared" ref="U881:U944" si="113">2022-T881</f>
        <v>31</v>
      </c>
      <c r="V881" s="7">
        <v>33239</v>
      </c>
      <c r="W881" t="s">
        <v>1456</v>
      </c>
      <c r="X881" s="2">
        <v>0.22500000000000001</v>
      </c>
      <c r="Y881" s="6">
        <f t="shared" si="110"/>
        <v>6.0062464963562111E-3</v>
      </c>
      <c r="AA881">
        <v>189235</v>
      </c>
      <c r="AB881">
        <v>17318</v>
      </c>
      <c r="AD881" t="s">
        <v>5</v>
      </c>
      <c r="AE881">
        <v>28</v>
      </c>
      <c r="AF881">
        <v>1</v>
      </c>
      <c r="AH881">
        <v>31</v>
      </c>
      <c r="AL881">
        <v>1</v>
      </c>
      <c r="AM881" s="5">
        <f t="shared" ref="AM881:AM944" si="114">AL881/U881</f>
        <v>3.2258064516129031E-2</v>
      </c>
      <c r="AN881" s="4">
        <f t="shared" si="111"/>
        <v>4.8857348755969758E-5</v>
      </c>
      <c r="AO881" s="3"/>
      <c r="AP881">
        <v>0</v>
      </c>
      <c r="AR881" t="s">
        <v>0</v>
      </c>
      <c r="AT881" s="2">
        <v>2.875</v>
      </c>
      <c r="AU881" s="1">
        <f t="shared" ref="AU881:AU944" si="115">(Y881*0.7+AN881*0.3)*100</f>
        <v>0.42190297520761383</v>
      </c>
      <c r="AV881" s="1">
        <f t="shared" ref="AV881:AV944" si="116">(Y881*0.5+AN881*0.5)*100</f>
        <v>0.30275519225560904</v>
      </c>
      <c r="AW881" s="1">
        <f t="shared" ref="AW881:AW944" si="117">(Y881*0.3+AN881*0.7)*100</f>
        <v>0.18360740930360422</v>
      </c>
    </row>
    <row r="882" spans="1:49" x14ac:dyDescent="0.2">
      <c r="A882">
        <v>880</v>
      </c>
      <c r="B882" t="s">
        <v>1455</v>
      </c>
      <c r="C882" t="s">
        <v>1454</v>
      </c>
      <c r="F882" t="s">
        <v>1453</v>
      </c>
      <c r="G882" t="s">
        <v>16</v>
      </c>
      <c r="H882" t="s">
        <v>15</v>
      </c>
      <c r="I882" t="s">
        <v>1452</v>
      </c>
      <c r="J882" t="s">
        <v>1451</v>
      </c>
      <c r="K882" t="s">
        <v>1450</v>
      </c>
      <c r="L882" t="s">
        <v>1449</v>
      </c>
      <c r="M882" t="s">
        <v>133</v>
      </c>
      <c r="N882">
        <v>2</v>
      </c>
      <c r="O882" t="s">
        <v>1448</v>
      </c>
      <c r="P882" t="s">
        <v>1447</v>
      </c>
      <c r="Q882" t="s">
        <v>1446</v>
      </c>
      <c r="R882" s="7">
        <v>33239</v>
      </c>
      <c r="S882" s="8">
        <f t="shared" si="112"/>
        <v>1991</v>
      </c>
      <c r="T882" s="8">
        <v>1991</v>
      </c>
      <c r="U882" s="8">
        <f t="shared" si="113"/>
        <v>31</v>
      </c>
      <c r="V882" s="7">
        <v>33239</v>
      </c>
      <c r="W882" t="s">
        <v>674</v>
      </c>
      <c r="X882" s="2">
        <v>1.137</v>
      </c>
      <c r="Y882" s="6">
        <f t="shared" si="110"/>
        <v>3.0351565628253384E-2</v>
      </c>
      <c r="AA882">
        <v>189251</v>
      </c>
      <c r="AB882">
        <v>17336</v>
      </c>
      <c r="AD882" t="s">
        <v>5</v>
      </c>
      <c r="AE882">
        <v>27</v>
      </c>
      <c r="AF882">
        <v>1</v>
      </c>
      <c r="AH882" t="s">
        <v>1445</v>
      </c>
      <c r="AI882" t="s">
        <v>1444</v>
      </c>
      <c r="AK882" t="s">
        <v>1443</v>
      </c>
      <c r="AL882">
        <v>24</v>
      </c>
      <c r="AM882" s="5">
        <f t="shared" si="114"/>
        <v>0.77419354838709675</v>
      </c>
      <c r="AN882" s="4">
        <f t="shared" si="111"/>
        <v>1.1725763701432741E-3</v>
      </c>
      <c r="AO882" s="3"/>
      <c r="AP882">
        <v>0</v>
      </c>
      <c r="AR882" t="s">
        <v>0</v>
      </c>
      <c r="AT882" s="2" t="s">
        <v>33</v>
      </c>
      <c r="AU882" s="1">
        <f t="shared" si="115"/>
        <v>2.1597868850820348</v>
      </c>
      <c r="AV882" s="1">
        <f t="shared" si="116"/>
        <v>1.5762070999198328</v>
      </c>
      <c r="AW882" s="1">
        <f t="shared" si="117"/>
        <v>0.99262731475763077</v>
      </c>
    </row>
    <row r="883" spans="1:49" x14ac:dyDescent="0.2">
      <c r="A883">
        <v>881</v>
      </c>
      <c r="B883" t="s">
        <v>1442</v>
      </c>
      <c r="F883" t="s">
        <v>1441</v>
      </c>
      <c r="G883" t="s">
        <v>16</v>
      </c>
      <c r="H883" t="s">
        <v>15</v>
      </c>
      <c r="I883" t="s">
        <v>1440</v>
      </c>
      <c r="N883">
        <v>1</v>
      </c>
      <c r="O883" t="s">
        <v>1439</v>
      </c>
      <c r="P883">
        <v>6603459871</v>
      </c>
      <c r="R883" s="7">
        <v>33239</v>
      </c>
      <c r="S883" s="8">
        <f t="shared" si="112"/>
        <v>1991</v>
      </c>
      <c r="T883" s="8">
        <v>1991</v>
      </c>
      <c r="U883" s="8">
        <f t="shared" si="113"/>
        <v>31</v>
      </c>
      <c r="V883" s="7">
        <v>33239</v>
      </c>
      <c r="W883" t="s">
        <v>809</v>
      </c>
      <c r="X883" s="2">
        <v>0.22</v>
      </c>
      <c r="Y883" s="6">
        <f t="shared" si="110"/>
        <v>5.8727743519927395E-3</v>
      </c>
      <c r="AA883">
        <v>2705214</v>
      </c>
      <c r="AB883">
        <v>28119</v>
      </c>
      <c r="AD883" t="s">
        <v>5</v>
      </c>
      <c r="AE883">
        <v>12</v>
      </c>
      <c r="AF883">
        <v>1</v>
      </c>
      <c r="AH883" t="s">
        <v>1438</v>
      </c>
      <c r="AI883" t="s">
        <v>1437</v>
      </c>
      <c r="AK883" t="s">
        <v>1436</v>
      </c>
      <c r="AL883">
        <v>12</v>
      </c>
      <c r="AM883" s="5">
        <f t="shared" si="114"/>
        <v>0.38709677419354838</v>
      </c>
      <c r="AN883" s="4">
        <f t="shared" si="111"/>
        <v>5.8628818507163707E-4</v>
      </c>
      <c r="AO883" s="3"/>
      <c r="AP883">
        <v>0</v>
      </c>
      <c r="AR883" t="s">
        <v>0</v>
      </c>
      <c r="AT883" s="2" t="s">
        <v>33</v>
      </c>
      <c r="AU883" s="1">
        <f t="shared" si="115"/>
        <v>0.42868285019164087</v>
      </c>
      <c r="AV883" s="1">
        <f t="shared" si="116"/>
        <v>0.32295312685321881</v>
      </c>
      <c r="AW883" s="1">
        <f t="shared" si="117"/>
        <v>0.21722340351479677</v>
      </c>
    </row>
    <row r="884" spans="1:49" x14ac:dyDescent="0.2">
      <c r="A884">
        <v>882</v>
      </c>
      <c r="B884" t="s">
        <v>1435</v>
      </c>
      <c r="C884" t="s">
        <v>1434</v>
      </c>
      <c r="F884" t="s">
        <v>1433</v>
      </c>
      <c r="G884" t="s">
        <v>16</v>
      </c>
      <c r="H884" t="s">
        <v>15</v>
      </c>
      <c r="I884" t="s">
        <v>1432</v>
      </c>
      <c r="J884" t="s">
        <v>1431</v>
      </c>
      <c r="K884" t="s">
        <v>1430</v>
      </c>
      <c r="L884" t="s">
        <v>1429</v>
      </c>
      <c r="M884" t="s">
        <v>821</v>
      </c>
      <c r="N884">
        <v>3</v>
      </c>
      <c r="O884" t="s">
        <v>1428</v>
      </c>
      <c r="P884" t="s">
        <v>1427</v>
      </c>
      <c r="Q884" t="s">
        <v>1426</v>
      </c>
      <c r="R884" s="7">
        <v>33239</v>
      </c>
      <c r="S884" s="8">
        <f t="shared" si="112"/>
        <v>1991</v>
      </c>
      <c r="T884" s="8">
        <v>1991</v>
      </c>
      <c r="U884" s="8">
        <f t="shared" si="113"/>
        <v>31</v>
      </c>
      <c r="V884" s="7">
        <v>1991</v>
      </c>
      <c r="W884" t="s">
        <v>1292</v>
      </c>
      <c r="X884" s="2" t="s">
        <v>33</v>
      </c>
      <c r="Y884" s="6" t="e">
        <f t="shared" si="110"/>
        <v>#VALUE!</v>
      </c>
      <c r="AA884">
        <v>4247760</v>
      </c>
      <c r="AB884">
        <v>16066</v>
      </c>
      <c r="AC884">
        <v>15206416</v>
      </c>
      <c r="AD884" t="s">
        <v>5</v>
      </c>
      <c r="AE884">
        <v>111</v>
      </c>
      <c r="AF884">
        <v>4</v>
      </c>
      <c r="AH884" s="10">
        <v>43770</v>
      </c>
      <c r="AL884">
        <v>1</v>
      </c>
      <c r="AM884" s="5">
        <f t="shared" si="114"/>
        <v>3.2258064516129031E-2</v>
      </c>
      <c r="AN884" s="4">
        <f t="shared" si="111"/>
        <v>4.8857348755969758E-5</v>
      </c>
      <c r="AO884" s="3"/>
      <c r="AP884">
        <v>0</v>
      </c>
      <c r="AR884" t="s">
        <v>0</v>
      </c>
      <c r="AT884" s="2">
        <v>0.22500000000000001</v>
      </c>
      <c r="AU884" s="1" t="e">
        <f t="shared" si="115"/>
        <v>#VALUE!</v>
      </c>
      <c r="AV884" s="1" t="e">
        <f t="shared" si="116"/>
        <v>#VALUE!</v>
      </c>
      <c r="AW884" s="1" t="e">
        <f t="shared" si="117"/>
        <v>#VALUE!</v>
      </c>
    </row>
    <row r="885" spans="1:49" x14ac:dyDescent="0.2">
      <c r="A885">
        <v>883</v>
      </c>
      <c r="B885" t="s">
        <v>1425</v>
      </c>
      <c r="C885" t="s">
        <v>1424</v>
      </c>
      <c r="F885" t="s">
        <v>1423</v>
      </c>
      <c r="G885" t="s">
        <v>16</v>
      </c>
      <c r="H885" t="s">
        <v>15</v>
      </c>
      <c r="I885" t="s">
        <v>1422</v>
      </c>
      <c r="J885">
        <v>60032121</v>
      </c>
      <c r="K885" t="s">
        <v>1421</v>
      </c>
      <c r="L885" t="s">
        <v>1420</v>
      </c>
      <c r="M885" t="s">
        <v>57</v>
      </c>
      <c r="N885">
        <v>3</v>
      </c>
      <c r="O885" t="s">
        <v>1419</v>
      </c>
      <c r="P885" t="s">
        <v>1418</v>
      </c>
      <c r="Q885" t="s">
        <v>1417</v>
      </c>
      <c r="R885" s="7">
        <v>33239</v>
      </c>
      <c r="S885" s="8">
        <f t="shared" si="112"/>
        <v>1991</v>
      </c>
      <c r="T885" s="8">
        <v>1991</v>
      </c>
      <c r="U885" s="8">
        <f t="shared" si="113"/>
        <v>31</v>
      </c>
      <c r="V885" s="7">
        <v>33239</v>
      </c>
      <c r="W885" t="s">
        <v>743</v>
      </c>
      <c r="X885" s="2">
        <v>2.141</v>
      </c>
      <c r="Y885" s="6">
        <f t="shared" si="110"/>
        <v>5.7152772216438434E-2</v>
      </c>
      <c r="AA885">
        <v>1962892</v>
      </c>
      <c r="AB885">
        <v>17360</v>
      </c>
      <c r="AC885">
        <v>15580644</v>
      </c>
      <c r="AD885" t="s">
        <v>5</v>
      </c>
      <c r="AE885">
        <v>29</v>
      </c>
      <c r="AF885">
        <v>1</v>
      </c>
      <c r="AH885" t="s">
        <v>1416</v>
      </c>
      <c r="AI885" t="s">
        <v>1415</v>
      </c>
      <c r="AK885" t="s">
        <v>1414</v>
      </c>
      <c r="AL885">
        <v>0</v>
      </c>
      <c r="AM885" s="5">
        <f t="shared" si="114"/>
        <v>0</v>
      </c>
      <c r="AN885" s="4">
        <f t="shared" si="111"/>
        <v>0</v>
      </c>
      <c r="AO885" s="3"/>
      <c r="AP885">
        <v>0</v>
      </c>
      <c r="AR885" t="s">
        <v>0</v>
      </c>
      <c r="AT885" s="2" t="s">
        <v>33</v>
      </c>
      <c r="AU885" s="1">
        <f t="shared" si="115"/>
        <v>4.0006940551506904</v>
      </c>
      <c r="AV885" s="1">
        <f t="shared" si="116"/>
        <v>2.8576386108219216</v>
      </c>
      <c r="AW885" s="1">
        <f t="shared" si="117"/>
        <v>1.714583166493153</v>
      </c>
    </row>
    <row r="886" spans="1:49" x14ac:dyDescent="0.2">
      <c r="A886">
        <v>884</v>
      </c>
      <c r="B886" t="s">
        <v>1413</v>
      </c>
      <c r="C886" t="s">
        <v>1412</v>
      </c>
      <c r="F886" t="s">
        <v>1411</v>
      </c>
      <c r="G886" t="s">
        <v>16</v>
      </c>
      <c r="H886" t="s">
        <v>15</v>
      </c>
      <c r="I886" t="s">
        <v>1410</v>
      </c>
      <c r="J886">
        <v>60005510</v>
      </c>
      <c r="K886" t="s">
        <v>1409</v>
      </c>
      <c r="L886" t="s">
        <v>1408</v>
      </c>
      <c r="M886" t="s">
        <v>1407</v>
      </c>
      <c r="N886">
        <v>2</v>
      </c>
      <c r="O886" t="s">
        <v>1406</v>
      </c>
      <c r="P886" t="s">
        <v>1405</v>
      </c>
      <c r="Q886" t="s">
        <v>1404</v>
      </c>
      <c r="R886" s="7">
        <v>33239</v>
      </c>
      <c r="S886" s="8">
        <f t="shared" si="112"/>
        <v>1991</v>
      </c>
      <c r="T886" s="8">
        <v>1991</v>
      </c>
      <c r="U886" s="8">
        <f t="shared" si="113"/>
        <v>31</v>
      </c>
      <c r="V886" s="7" t="s">
        <v>1403</v>
      </c>
      <c r="W886" t="s">
        <v>535</v>
      </c>
      <c r="X886" s="2">
        <v>0.375</v>
      </c>
      <c r="Y886" s="6">
        <f t="shared" si="110"/>
        <v>1.0010410827260351E-2</v>
      </c>
      <c r="AA886">
        <v>135194</v>
      </c>
      <c r="AB886">
        <v>24918</v>
      </c>
      <c r="AD886" t="s">
        <v>5</v>
      </c>
      <c r="AE886">
        <v>27</v>
      </c>
      <c r="AF886">
        <v>3</v>
      </c>
      <c r="AH886" t="s">
        <v>1402</v>
      </c>
      <c r="AI886" t="s">
        <v>1401</v>
      </c>
      <c r="AK886" t="s">
        <v>1400</v>
      </c>
      <c r="AL886">
        <v>21</v>
      </c>
      <c r="AM886" s="5">
        <f t="shared" si="114"/>
        <v>0.67741935483870963</v>
      </c>
      <c r="AN886" s="4">
        <f t="shared" si="111"/>
        <v>1.0260043238753647E-3</v>
      </c>
      <c r="AO886" s="3"/>
      <c r="AP886">
        <v>0</v>
      </c>
      <c r="AR886" t="s">
        <v>0</v>
      </c>
      <c r="AT886" s="2">
        <v>1.3140000000000001</v>
      </c>
      <c r="AU886" s="1">
        <f t="shared" si="115"/>
        <v>0.73150888762448552</v>
      </c>
      <c r="AV886" s="1">
        <f t="shared" si="116"/>
        <v>0.55182075755678583</v>
      </c>
      <c r="AW886" s="1">
        <f t="shared" si="117"/>
        <v>0.37213262748908604</v>
      </c>
    </row>
    <row r="887" spans="1:49" x14ac:dyDescent="0.2">
      <c r="A887">
        <v>885</v>
      </c>
      <c r="B887" t="s">
        <v>1399</v>
      </c>
      <c r="C887" t="s">
        <v>1398</v>
      </c>
      <c r="F887" t="s">
        <v>1397</v>
      </c>
      <c r="G887" t="s">
        <v>16</v>
      </c>
      <c r="H887" t="s">
        <v>15</v>
      </c>
      <c r="I887" t="s">
        <v>1396</v>
      </c>
      <c r="J887">
        <v>60003480</v>
      </c>
      <c r="K887" t="s">
        <v>1395</v>
      </c>
      <c r="L887" t="s">
        <v>1394</v>
      </c>
      <c r="M887" t="s">
        <v>426</v>
      </c>
      <c r="N887">
        <v>1</v>
      </c>
      <c r="O887" t="s">
        <v>1393</v>
      </c>
      <c r="P887">
        <v>6601976492</v>
      </c>
      <c r="Q887">
        <v>60003480</v>
      </c>
      <c r="R887" s="7">
        <v>33239</v>
      </c>
      <c r="S887" s="8">
        <f t="shared" si="112"/>
        <v>1991</v>
      </c>
      <c r="T887" s="8">
        <v>1991</v>
      </c>
      <c r="U887" s="8">
        <f t="shared" si="113"/>
        <v>31</v>
      </c>
      <c r="V887" s="7">
        <v>1991</v>
      </c>
      <c r="W887" t="s">
        <v>535</v>
      </c>
      <c r="X887" s="2">
        <v>0.375</v>
      </c>
      <c r="Y887" s="6">
        <f t="shared" si="110"/>
        <v>1.0010410827260351E-2</v>
      </c>
      <c r="AA887">
        <v>135194</v>
      </c>
      <c r="AB887">
        <v>24918</v>
      </c>
      <c r="AD887" t="s">
        <v>5</v>
      </c>
      <c r="AE887">
        <v>27</v>
      </c>
      <c r="AF887">
        <v>1</v>
      </c>
      <c r="AH887" t="s">
        <v>1392</v>
      </c>
      <c r="AI887" t="s">
        <v>1391</v>
      </c>
      <c r="AJ887" t="s">
        <v>1390</v>
      </c>
      <c r="AK887" t="s">
        <v>1389</v>
      </c>
      <c r="AL887">
        <v>1</v>
      </c>
      <c r="AM887" s="5">
        <f t="shared" si="114"/>
        <v>3.2258064516129031E-2</v>
      </c>
      <c r="AN887" s="4">
        <f t="shared" si="111"/>
        <v>4.8857348755969758E-5</v>
      </c>
      <c r="AO887" s="3"/>
      <c r="AP887">
        <v>0</v>
      </c>
      <c r="AR887" t="s">
        <v>0</v>
      </c>
      <c r="AT887" s="2">
        <v>1.3140000000000001</v>
      </c>
      <c r="AU887" s="1">
        <f t="shared" si="115"/>
        <v>0.70219447837090365</v>
      </c>
      <c r="AV887" s="1">
        <f t="shared" si="116"/>
        <v>0.50296340880081603</v>
      </c>
      <c r="AW887" s="1">
        <f t="shared" si="117"/>
        <v>0.3037323392307284</v>
      </c>
    </row>
    <row r="888" spans="1:49" x14ac:dyDescent="0.2">
      <c r="A888">
        <v>886</v>
      </c>
      <c r="B888" t="s">
        <v>1388</v>
      </c>
      <c r="C888" t="s">
        <v>1387</v>
      </c>
      <c r="D888" t="s">
        <v>1386</v>
      </c>
      <c r="F888" t="s">
        <v>1385</v>
      </c>
      <c r="G888" t="s">
        <v>16</v>
      </c>
      <c r="H888" t="s">
        <v>15</v>
      </c>
      <c r="I888" t="s">
        <v>1384</v>
      </c>
      <c r="J888">
        <v>60008734</v>
      </c>
      <c r="K888" t="s">
        <v>1383</v>
      </c>
      <c r="L888" t="s">
        <v>273</v>
      </c>
      <c r="M888" t="s">
        <v>272</v>
      </c>
      <c r="N888">
        <v>4</v>
      </c>
      <c r="O888" t="s">
        <v>1382</v>
      </c>
      <c r="P888" t="s">
        <v>1381</v>
      </c>
      <c r="Q888" t="s">
        <v>1380</v>
      </c>
      <c r="R888" s="7">
        <v>33239</v>
      </c>
      <c r="S888" s="8">
        <f t="shared" si="112"/>
        <v>1991</v>
      </c>
      <c r="T888" s="8">
        <v>1991</v>
      </c>
      <c r="U888" s="8">
        <f t="shared" si="113"/>
        <v>31</v>
      </c>
      <c r="V888" s="7">
        <v>1991</v>
      </c>
      <c r="W888" t="s">
        <v>1379</v>
      </c>
      <c r="X888" s="2">
        <v>1.7130000000000001</v>
      </c>
      <c r="Y888" s="6">
        <f t="shared" si="110"/>
        <v>4.5727556658925285E-2</v>
      </c>
      <c r="AA888">
        <v>63495</v>
      </c>
      <c r="AB888">
        <v>14859</v>
      </c>
      <c r="AD888" t="s">
        <v>5</v>
      </c>
      <c r="AE888">
        <v>59</v>
      </c>
      <c r="AF888">
        <v>5</v>
      </c>
      <c r="AH888" t="s">
        <v>1378</v>
      </c>
      <c r="AI888" t="s">
        <v>1377</v>
      </c>
      <c r="AK888" t="s">
        <v>1376</v>
      </c>
      <c r="AL888">
        <v>33</v>
      </c>
      <c r="AM888" s="5">
        <f t="shared" si="114"/>
        <v>1.064516129032258</v>
      </c>
      <c r="AN888" s="4">
        <f t="shared" si="111"/>
        <v>1.6122925089470019E-3</v>
      </c>
      <c r="AO888" s="3"/>
      <c r="AP888">
        <v>1</v>
      </c>
      <c r="AQ888" t="s">
        <v>897</v>
      </c>
      <c r="AR888" t="s">
        <v>0</v>
      </c>
      <c r="AS888" t="s">
        <v>896</v>
      </c>
      <c r="AT888" s="2">
        <v>4.0330000000000004</v>
      </c>
      <c r="AU888" s="1">
        <f t="shared" si="115"/>
        <v>3.2492977413931796</v>
      </c>
      <c r="AV888" s="1">
        <f t="shared" si="116"/>
        <v>2.3669924583936144</v>
      </c>
      <c r="AW888" s="1">
        <f t="shared" si="117"/>
        <v>1.4846871753940485</v>
      </c>
    </row>
    <row r="889" spans="1:49" x14ac:dyDescent="0.2">
      <c r="A889">
        <v>887</v>
      </c>
      <c r="B889" t="s">
        <v>1375</v>
      </c>
      <c r="F889" t="s">
        <v>1374</v>
      </c>
      <c r="G889" t="s">
        <v>16</v>
      </c>
      <c r="H889" t="s">
        <v>15</v>
      </c>
      <c r="I889" t="s">
        <v>1373</v>
      </c>
      <c r="N889">
        <v>2</v>
      </c>
      <c r="O889" t="s">
        <v>1372</v>
      </c>
      <c r="P889" t="s">
        <v>1371</v>
      </c>
      <c r="Q889" t="s">
        <v>592</v>
      </c>
      <c r="R889" s="7">
        <v>33239</v>
      </c>
      <c r="S889" s="8">
        <f t="shared" si="112"/>
        <v>1991</v>
      </c>
      <c r="T889" s="8">
        <v>1991</v>
      </c>
      <c r="U889" s="8">
        <f t="shared" si="113"/>
        <v>31</v>
      </c>
      <c r="V889" s="7">
        <v>1991</v>
      </c>
      <c r="W889" t="s">
        <v>584</v>
      </c>
      <c r="X889" s="2" t="s">
        <v>33</v>
      </c>
      <c r="Y889" s="6" t="e">
        <f t="shared" si="110"/>
        <v>#VALUE!</v>
      </c>
      <c r="AA889">
        <v>87566648</v>
      </c>
      <c r="AB889">
        <v>74127</v>
      </c>
      <c r="AD889" t="s">
        <v>5</v>
      </c>
      <c r="AE889">
        <v>36</v>
      </c>
      <c r="AF889">
        <v>6</v>
      </c>
      <c r="AH889" t="s">
        <v>1370</v>
      </c>
      <c r="AI889" t="s">
        <v>1369</v>
      </c>
      <c r="AK889" t="s">
        <v>1368</v>
      </c>
      <c r="AL889">
        <v>1</v>
      </c>
      <c r="AM889" s="5">
        <f t="shared" si="114"/>
        <v>3.2258064516129031E-2</v>
      </c>
      <c r="AN889" s="4">
        <f t="shared" si="111"/>
        <v>4.8857348755969758E-5</v>
      </c>
      <c r="AO889" s="3"/>
      <c r="AP889">
        <v>0</v>
      </c>
      <c r="AR889" t="s">
        <v>0</v>
      </c>
      <c r="AT889" s="2" t="s">
        <v>33</v>
      </c>
      <c r="AU889" s="1" t="e">
        <f t="shared" si="115"/>
        <v>#VALUE!</v>
      </c>
      <c r="AV889" s="1" t="e">
        <f t="shared" si="116"/>
        <v>#VALUE!</v>
      </c>
      <c r="AW889" s="1" t="e">
        <f t="shared" si="117"/>
        <v>#VALUE!</v>
      </c>
    </row>
    <row r="890" spans="1:49" x14ac:dyDescent="0.2">
      <c r="A890">
        <v>888</v>
      </c>
      <c r="B890" t="s">
        <v>1367</v>
      </c>
      <c r="F890" t="s">
        <v>1366</v>
      </c>
      <c r="G890" t="s">
        <v>16</v>
      </c>
      <c r="H890" t="s">
        <v>15</v>
      </c>
      <c r="I890" t="s">
        <v>1365</v>
      </c>
      <c r="N890">
        <v>1</v>
      </c>
      <c r="O890" t="s">
        <v>1364</v>
      </c>
      <c r="P890">
        <v>7003764513</v>
      </c>
      <c r="R890" s="7">
        <v>33239</v>
      </c>
      <c r="S890" s="8">
        <f t="shared" si="112"/>
        <v>1991</v>
      </c>
      <c r="T890" s="8">
        <v>1991</v>
      </c>
      <c r="U890" s="8">
        <f t="shared" si="113"/>
        <v>31</v>
      </c>
      <c r="V890" s="7">
        <v>1991</v>
      </c>
      <c r="W890" t="s">
        <v>584</v>
      </c>
      <c r="X890" s="2" t="s">
        <v>33</v>
      </c>
      <c r="Y890" s="6" t="e">
        <f t="shared" si="110"/>
        <v>#VALUE!</v>
      </c>
      <c r="AA890">
        <v>87566648</v>
      </c>
      <c r="AB890">
        <v>74127</v>
      </c>
      <c r="AD890" t="s">
        <v>5</v>
      </c>
      <c r="AE890">
        <v>36</v>
      </c>
      <c r="AF890">
        <v>6</v>
      </c>
      <c r="AH890" t="s">
        <v>1363</v>
      </c>
      <c r="AI890" t="s">
        <v>1362</v>
      </c>
      <c r="AK890" t="s">
        <v>1361</v>
      </c>
      <c r="AL890">
        <v>1</v>
      </c>
      <c r="AM890" s="5">
        <f t="shared" si="114"/>
        <v>3.2258064516129031E-2</v>
      </c>
      <c r="AN890" s="4">
        <f t="shared" si="111"/>
        <v>4.8857348755969758E-5</v>
      </c>
      <c r="AO890" s="3"/>
      <c r="AP890">
        <v>0</v>
      </c>
      <c r="AR890" t="s">
        <v>0</v>
      </c>
      <c r="AT890" s="2" t="s">
        <v>33</v>
      </c>
      <c r="AU890" s="1" t="e">
        <f t="shared" si="115"/>
        <v>#VALUE!</v>
      </c>
      <c r="AV890" s="1" t="e">
        <f t="shared" si="116"/>
        <v>#VALUE!</v>
      </c>
      <c r="AW890" s="1" t="e">
        <f t="shared" si="117"/>
        <v>#VALUE!</v>
      </c>
    </row>
    <row r="891" spans="1:49" x14ac:dyDescent="0.2">
      <c r="A891">
        <v>889</v>
      </c>
      <c r="B891" t="s">
        <v>1360</v>
      </c>
      <c r="C891" t="s">
        <v>1359</v>
      </c>
      <c r="F891" t="s">
        <v>1358</v>
      </c>
      <c r="G891" t="s">
        <v>16</v>
      </c>
      <c r="H891" t="s">
        <v>15</v>
      </c>
      <c r="I891" t="s">
        <v>1357</v>
      </c>
      <c r="J891">
        <v>60026708</v>
      </c>
      <c r="K891" t="s">
        <v>1356</v>
      </c>
      <c r="L891" t="s">
        <v>1355</v>
      </c>
      <c r="M891" t="s">
        <v>426</v>
      </c>
      <c r="N891">
        <v>1</v>
      </c>
      <c r="O891" t="s">
        <v>1354</v>
      </c>
      <c r="P891">
        <v>7003446625</v>
      </c>
      <c r="Q891">
        <v>60026708</v>
      </c>
      <c r="R891" s="7">
        <v>33239</v>
      </c>
      <c r="S891" s="8">
        <f t="shared" si="112"/>
        <v>1991</v>
      </c>
      <c r="T891" s="8">
        <v>1991</v>
      </c>
      <c r="U891" s="8">
        <f t="shared" si="113"/>
        <v>31</v>
      </c>
      <c r="V891" s="7">
        <v>33329</v>
      </c>
      <c r="W891" t="s">
        <v>1353</v>
      </c>
      <c r="X891" s="2">
        <v>0.61899999999999999</v>
      </c>
      <c r="Y891" s="6">
        <f t="shared" si="110"/>
        <v>1.6523851472197752E-2</v>
      </c>
      <c r="AA891">
        <v>14966</v>
      </c>
      <c r="AB891">
        <v>12936</v>
      </c>
      <c r="AC891" t="s">
        <v>1068</v>
      </c>
      <c r="AD891" t="s">
        <v>5</v>
      </c>
      <c r="AE891">
        <v>89</v>
      </c>
      <c r="AF891">
        <v>4</v>
      </c>
      <c r="AH891" t="s">
        <v>1352</v>
      </c>
      <c r="AI891" t="s">
        <v>1351</v>
      </c>
      <c r="AK891" t="s">
        <v>1350</v>
      </c>
      <c r="AL891">
        <v>4</v>
      </c>
      <c r="AM891" s="5">
        <f t="shared" si="114"/>
        <v>0.12903225806451613</v>
      </c>
      <c r="AN891" s="4">
        <f t="shared" si="111"/>
        <v>1.9542939502387903E-4</v>
      </c>
      <c r="AO891" s="3"/>
      <c r="AP891">
        <v>0</v>
      </c>
      <c r="AR891" t="s">
        <v>0</v>
      </c>
      <c r="AT891" s="2" t="s">
        <v>33</v>
      </c>
      <c r="AU891" s="1">
        <f t="shared" si="115"/>
        <v>1.1625324849045588</v>
      </c>
      <c r="AV891" s="1">
        <f t="shared" si="116"/>
        <v>0.83596404336108154</v>
      </c>
      <c r="AW891" s="1">
        <f t="shared" si="117"/>
        <v>0.50939560181760413</v>
      </c>
    </row>
    <row r="892" spans="1:49" x14ac:dyDescent="0.2">
      <c r="A892">
        <v>890</v>
      </c>
      <c r="B892" t="s">
        <v>1349</v>
      </c>
      <c r="F892" t="s">
        <v>1348</v>
      </c>
      <c r="G892" t="s">
        <v>16</v>
      </c>
      <c r="H892" t="s">
        <v>15</v>
      </c>
      <c r="I892" t="s">
        <v>1347</v>
      </c>
      <c r="N892">
        <v>2</v>
      </c>
      <c r="O892" t="s">
        <v>1346</v>
      </c>
      <c r="P892" t="s">
        <v>1345</v>
      </c>
      <c r="Q892" t="s">
        <v>592</v>
      </c>
      <c r="R892" s="7">
        <v>33239</v>
      </c>
      <c r="S892" s="8">
        <f t="shared" si="112"/>
        <v>1991</v>
      </c>
      <c r="T892" s="8">
        <v>1991</v>
      </c>
      <c r="U892" s="8">
        <f t="shared" si="113"/>
        <v>31</v>
      </c>
      <c r="V892" s="7">
        <v>1991</v>
      </c>
      <c r="W892" t="s">
        <v>584</v>
      </c>
      <c r="X892" s="2" t="s">
        <v>33</v>
      </c>
      <c r="Y892" s="6" t="e">
        <f t="shared" si="110"/>
        <v>#VALUE!</v>
      </c>
      <c r="AA892">
        <v>87566648</v>
      </c>
      <c r="AB892">
        <v>74127</v>
      </c>
      <c r="AD892" t="s">
        <v>5</v>
      </c>
      <c r="AE892">
        <v>36</v>
      </c>
      <c r="AF892">
        <v>3</v>
      </c>
      <c r="AH892" t="s">
        <v>1344</v>
      </c>
      <c r="AI892" t="s">
        <v>1343</v>
      </c>
      <c r="AK892" t="s">
        <v>1342</v>
      </c>
      <c r="AL892">
        <v>0</v>
      </c>
      <c r="AM892" s="5">
        <f t="shared" si="114"/>
        <v>0</v>
      </c>
      <c r="AN892" s="4">
        <f t="shared" si="111"/>
        <v>0</v>
      </c>
      <c r="AO892" s="3"/>
      <c r="AP892">
        <v>0</v>
      </c>
      <c r="AR892" t="s">
        <v>0</v>
      </c>
      <c r="AT892" s="2" t="s">
        <v>33</v>
      </c>
      <c r="AU892" s="1" t="e">
        <f t="shared" si="115"/>
        <v>#VALUE!</v>
      </c>
      <c r="AV892" s="1" t="e">
        <f t="shared" si="116"/>
        <v>#VALUE!</v>
      </c>
      <c r="AW892" s="1" t="e">
        <f t="shared" si="117"/>
        <v>#VALUE!</v>
      </c>
    </row>
    <row r="893" spans="1:49" x14ac:dyDescent="0.2">
      <c r="A893">
        <v>891</v>
      </c>
      <c r="B893" t="s">
        <v>1341</v>
      </c>
      <c r="F893" t="s">
        <v>1340</v>
      </c>
      <c r="G893" t="s">
        <v>16</v>
      </c>
      <c r="H893" t="s">
        <v>15</v>
      </c>
      <c r="I893" t="s">
        <v>1339</v>
      </c>
      <c r="J893">
        <v>60027550</v>
      </c>
      <c r="K893" t="s">
        <v>1338</v>
      </c>
      <c r="L893" t="s">
        <v>1337</v>
      </c>
      <c r="M893" t="s">
        <v>57</v>
      </c>
      <c r="N893">
        <v>3</v>
      </c>
      <c r="O893" t="s">
        <v>1336</v>
      </c>
      <c r="P893" t="s">
        <v>1335</v>
      </c>
      <c r="Q893" t="s">
        <v>1334</v>
      </c>
      <c r="R893" s="7">
        <v>33239</v>
      </c>
      <c r="S893" s="8">
        <f t="shared" si="112"/>
        <v>1991</v>
      </c>
      <c r="T893" s="8">
        <v>1991</v>
      </c>
      <c r="U893" s="8">
        <f t="shared" si="113"/>
        <v>31</v>
      </c>
      <c r="V893" s="7">
        <v>1991</v>
      </c>
      <c r="W893" t="s">
        <v>766</v>
      </c>
      <c r="X893" s="2">
        <v>0.216</v>
      </c>
      <c r="Y893" s="6">
        <f t="shared" si="110"/>
        <v>5.765996636501962E-3</v>
      </c>
      <c r="AA893">
        <v>10544887</v>
      </c>
      <c r="AB893">
        <v>13200</v>
      </c>
      <c r="AD893" t="s">
        <v>5</v>
      </c>
      <c r="AE893">
        <v>6</v>
      </c>
      <c r="AF893">
        <v>1</v>
      </c>
      <c r="AH893" s="10">
        <v>11110</v>
      </c>
      <c r="AI893" t="s">
        <v>1333</v>
      </c>
      <c r="AK893" t="s">
        <v>1332</v>
      </c>
      <c r="AL893">
        <v>1</v>
      </c>
      <c r="AM893" s="5">
        <f t="shared" si="114"/>
        <v>3.2258064516129031E-2</v>
      </c>
      <c r="AN893" s="4">
        <f t="shared" si="111"/>
        <v>4.8857348755969758E-5</v>
      </c>
      <c r="AO893" s="3"/>
      <c r="AP893">
        <v>0</v>
      </c>
      <c r="AR893" t="s">
        <v>0</v>
      </c>
      <c r="AT893" s="2" t="s">
        <v>33</v>
      </c>
      <c r="AU893" s="1">
        <f t="shared" si="115"/>
        <v>0.40508548501781638</v>
      </c>
      <c r="AV893" s="1">
        <f t="shared" si="116"/>
        <v>0.29074269926289659</v>
      </c>
      <c r="AW893" s="1">
        <f t="shared" si="117"/>
        <v>0.17639991350797676</v>
      </c>
    </row>
    <row r="894" spans="1:49" x14ac:dyDescent="0.2">
      <c r="A894">
        <v>892</v>
      </c>
      <c r="B894" t="s">
        <v>1331</v>
      </c>
      <c r="F894" t="s">
        <v>1330</v>
      </c>
      <c r="G894" t="s">
        <v>16</v>
      </c>
      <c r="H894" t="s">
        <v>15</v>
      </c>
      <c r="I894" t="s">
        <v>1329</v>
      </c>
      <c r="N894">
        <v>1</v>
      </c>
      <c r="O894" t="s">
        <v>1328</v>
      </c>
      <c r="P894">
        <v>6603362635</v>
      </c>
      <c r="R894" s="7">
        <v>33239</v>
      </c>
      <c r="S894" s="8">
        <f t="shared" si="112"/>
        <v>1991</v>
      </c>
      <c r="T894" s="8">
        <v>1991</v>
      </c>
      <c r="U894" s="8">
        <f t="shared" si="113"/>
        <v>31</v>
      </c>
      <c r="V894" s="7">
        <v>1991</v>
      </c>
      <c r="W894" t="s">
        <v>584</v>
      </c>
      <c r="X894" s="2" t="s">
        <v>33</v>
      </c>
      <c r="Y894" s="6" t="e">
        <f t="shared" si="110"/>
        <v>#VALUE!</v>
      </c>
      <c r="AA894">
        <v>87566648</v>
      </c>
      <c r="AB894">
        <v>74127</v>
      </c>
      <c r="AD894" t="s">
        <v>5</v>
      </c>
      <c r="AE894">
        <v>36</v>
      </c>
      <c r="AF894">
        <v>2</v>
      </c>
      <c r="AH894" t="s">
        <v>1327</v>
      </c>
      <c r="AI894" t="s">
        <v>1326</v>
      </c>
      <c r="AK894" t="s">
        <v>1325</v>
      </c>
      <c r="AL894">
        <v>0</v>
      </c>
      <c r="AM894" s="5">
        <f t="shared" si="114"/>
        <v>0</v>
      </c>
      <c r="AN894" s="4">
        <f t="shared" si="111"/>
        <v>0</v>
      </c>
      <c r="AO894" s="3"/>
      <c r="AP894">
        <v>0</v>
      </c>
      <c r="AR894" t="s">
        <v>0</v>
      </c>
      <c r="AT894" s="2" t="s">
        <v>33</v>
      </c>
      <c r="AU894" s="1" t="e">
        <f t="shared" si="115"/>
        <v>#VALUE!</v>
      </c>
      <c r="AV894" s="1" t="e">
        <f t="shared" si="116"/>
        <v>#VALUE!</v>
      </c>
      <c r="AW894" s="1" t="e">
        <f t="shared" si="117"/>
        <v>#VALUE!</v>
      </c>
    </row>
    <row r="895" spans="1:49" x14ac:dyDescent="0.2">
      <c r="A895">
        <v>893</v>
      </c>
      <c r="B895" t="s">
        <v>1324</v>
      </c>
      <c r="F895" t="s">
        <v>1323</v>
      </c>
      <c r="G895" t="s">
        <v>16</v>
      </c>
      <c r="H895" t="s">
        <v>15</v>
      </c>
      <c r="I895" t="s">
        <v>1322</v>
      </c>
      <c r="N895">
        <v>3</v>
      </c>
      <c r="O895" t="s">
        <v>1321</v>
      </c>
      <c r="P895" t="s">
        <v>1320</v>
      </c>
      <c r="Q895" t="s">
        <v>757</v>
      </c>
      <c r="R895" s="7">
        <v>33239</v>
      </c>
      <c r="S895" s="8">
        <f t="shared" si="112"/>
        <v>1991</v>
      </c>
      <c r="T895" s="8">
        <v>1991</v>
      </c>
      <c r="U895" s="8">
        <f t="shared" si="113"/>
        <v>31</v>
      </c>
      <c r="V895" s="7">
        <v>1991</v>
      </c>
      <c r="W895" t="s">
        <v>1319</v>
      </c>
      <c r="X895" s="2" t="s">
        <v>33</v>
      </c>
      <c r="Y895" s="6" t="e">
        <f t="shared" si="110"/>
        <v>#VALUE!</v>
      </c>
      <c r="AA895">
        <v>2649187</v>
      </c>
      <c r="AB895">
        <v>36931</v>
      </c>
      <c r="AD895" t="s">
        <v>5</v>
      </c>
      <c r="AE895">
        <v>9</v>
      </c>
      <c r="AF895">
        <v>1</v>
      </c>
      <c r="AH895" t="s">
        <v>1318</v>
      </c>
      <c r="AI895" t="s">
        <v>1317</v>
      </c>
      <c r="AK895" t="s">
        <v>1316</v>
      </c>
      <c r="AL895">
        <v>0</v>
      </c>
      <c r="AM895" s="5">
        <f t="shared" si="114"/>
        <v>0</v>
      </c>
      <c r="AN895" s="4">
        <f t="shared" si="111"/>
        <v>0</v>
      </c>
      <c r="AO895" s="3"/>
      <c r="AP895">
        <v>0</v>
      </c>
      <c r="AR895" t="s">
        <v>0</v>
      </c>
      <c r="AT895" s="2" t="s">
        <v>33</v>
      </c>
      <c r="AU895" s="1" t="e">
        <f t="shared" si="115"/>
        <v>#VALUE!</v>
      </c>
      <c r="AV895" s="1" t="e">
        <f t="shared" si="116"/>
        <v>#VALUE!</v>
      </c>
      <c r="AW895" s="1" t="e">
        <f t="shared" si="117"/>
        <v>#VALUE!</v>
      </c>
    </row>
    <row r="896" spans="1:49" x14ac:dyDescent="0.2">
      <c r="A896">
        <v>894</v>
      </c>
      <c r="B896" t="s">
        <v>1315</v>
      </c>
      <c r="F896" t="s">
        <v>1314</v>
      </c>
      <c r="G896" t="s">
        <v>16</v>
      </c>
      <c r="H896" t="s">
        <v>15</v>
      </c>
      <c r="I896" t="s">
        <v>1313</v>
      </c>
      <c r="N896">
        <v>1</v>
      </c>
      <c r="O896" t="s">
        <v>1312</v>
      </c>
      <c r="P896">
        <v>6602488647</v>
      </c>
      <c r="R896" s="7">
        <v>33239</v>
      </c>
      <c r="S896" s="8">
        <f t="shared" si="112"/>
        <v>1991</v>
      </c>
      <c r="T896" s="8">
        <v>1991</v>
      </c>
      <c r="U896" s="8">
        <f t="shared" si="113"/>
        <v>31</v>
      </c>
      <c r="V896" s="7">
        <v>1991</v>
      </c>
      <c r="W896" t="s">
        <v>584</v>
      </c>
      <c r="X896" s="2" t="s">
        <v>33</v>
      </c>
      <c r="Y896" s="6" t="e">
        <f t="shared" si="110"/>
        <v>#VALUE!</v>
      </c>
      <c r="AA896">
        <v>87566648</v>
      </c>
      <c r="AB896">
        <v>74127</v>
      </c>
      <c r="AD896" t="s">
        <v>5</v>
      </c>
      <c r="AE896">
        <v>36</v>
      </c>
      <c r="AF896">
        <v>6</v>
      </c>
      <c r="AH896" t="s">
        <v>1311</v>
      </c>
      <c r="AI896" t="s">
        <v>1310</v>
      </c>
      <c r="AK896" t="s">
        <v>1309</v>
      </c>
      <c r="AL896">
        <v>0</v>
      </c>
      <c r="AM896" s="5">
        <f t="shared" si="114"/>
        <v>0</v>
      </c>
      <c r="AN896" s="4">
        <f t="shared" si="111"/>
        <v>0</v>
      </c>
      <c r="AO896" s="3"/>
      <c r="AP896">
        <v>0</v>
      </c>
      <c r="AR896" t="s">
        <v>0</v>
      </c>
      <c r="AT896" s="2" t="s">
        <v>33</v>
      </c>
      <c r="AU896" s="1" t="e">
        <f t="shared" si="115"/>
        <v>#VALUE!</v>
      </c>
      <c r="AV896" s="1" t="e">
        <f t="shared" si="116"/>
        <v>#VALUE!</v>
      </c>
      <c r="AW896" s="1" t="e">
        <f t="shared" si="117"/>
        <v>#VALUE!</v>
      </c>
    </row>
    <row r="897" spans="1:49" x14ac:dyDescent="0.2">
      <c r="A897">
        <v>895</v>
      </c>
      <c r="B897" t="s">
        <v>1308</v>
      </c>
      <c r="F897" t="s">
        <v>1307</v>
      </c>
      <c r="G897" t="s">
        <v>16</v>
      </c>
      <c r="H897" t="s">
        <v>15</v>
      </c>
      <c r="I897" t="s">
        <v>1306</v>
      </c>
      <c r="N897">
        <v>2</v>
      </c>
      <c r="O897" t="s">
        <v>1305</v>
      </c>
      <c r="P897" t="s">
        <v>1304</v>
      </c>
      <c r="Q897" t="s">
        <v>592</v>
      </c>
      <c r="R897" s="7">
        <v>33239</v>
      </c>
      <c r="S897" s="8">
        <f t="shared" si="112"/>
        <v>1991</v>
      </c>
      <c r="T897" s="8">
        <v>1991</v>
      </c>
      <c r="U897" s="8">
        <f t="shared" si="113"/>
        <v>31</v>
      </c>
      <c r="V897" s="7">
        <v>1991</v>
      </c>
      <c r="W897" t="s">
        <v>584</v>
      </c>
      <c r="X897" s="2" t="s">
        <v>33</v>
      </c>
      <c r="Y897" s="6" t="e">
        <f t="shared" si="110"/>
        <v>#VALUE!</v>
      </c>
      <c r="AA897">
        <v>87566648</v>
      </c>
      <c r="AB897">
        <v>74127</v>
      </c>
      <c r="AD897" t="s">
        <v>5</v>
      </c>
      <c r="AE897">
        <v>36</v>
      </c>
      <c r="AF897">
        <v>7</v>
      </c>
      <c r="AH897" t="s">
        <v>1303</v>
      </c>
      <c r="AI897" t="s">
        <v>1302</v>
      </c>
      <c r="AK897" t="s">
        <v>1301</v>
      </c>
      <c r="AL897">
        <v>0</v>
      </c>
      <c r="AM897" s="5">
        <f t="shared" si="114"/>
        <v>0</v>
      </c>
      <c r="AN897" s="4">
        <f t="shared" si="111"/>
        <v>0</v>
      </c>
      <c r="AO897" s="3"/>
      <c r="AP897">
        <v>0</v>
      </c>
      <c r="AR897" t="s">
        <v>0</v>
      </c>
      <c r="AT897" s="2" t="s">
        <v>33</v>
      </c>
      <c r="AU897" s="1" t="e">
        <f t="shared" si="115"/>
        <v>#VALUE!</v>
      </c>
      <c r="AV897" s="1" t="e">
        <f t="shared" si="116"/>
        <v>#VALUE!</v>
      </c>
      <c r="AW897" s="1" t="e">
        <f t="shared" si="117"/>
        <v>#VALUE!</v>
      </c>
    </row>
    <row r="898" spans="1:49" x14ac:dyDescent="0.2">
      <c r="A898">
        <v>896</v>
      </c>
      <c r="B898" t="s">
        <v>1300</v>
      </c>
      <c r="C898" t="s">
        <v>1299</v>
      </c>
      <c r="F898" t="s">
        <v>1298</v>
      </c>
      <c r="G898" t="s">
        <v>16</v>
      </c>
      <c r="H898" t="s">
        <v>15</v>
      </c>
      <c r="I898" t="s">
        <v>1297</v>
      </c>
      <c r="J898">
        <v>60103907</v>
      </c>
      <c r="K898" t="s">
        <v>1296</v>
      </c>
      <c r="L898" t="s">
        <v>327</v>
      </c>
      <c r="M898" t="s">
        <v>326</v>
      </c>
      <c r="N898">
        <v>2</v>
      </c>
      <c r="O898" t="s">
        <v>1295</v>
      </c>
      <c r="P898" t="s">
        <v>1294</v>
      </c>
      <c r="Q898" t="s">
        <v>1293</v>
      </c>
      <c r="R898" s="7">
        <v>33239</v>
      </c>
      <c r="S898" s="8">
        <f t="shared" si="112"/>
        <v>1991</v>
      </c>
      <c r="T898" s="8">
        <v>1991</v>
      </c>
      <c r="U898" s="8">
        <f t="shared" si="113"/>
        <v>31</v>
      </c>
      <c r="V898" s="7">
        <v>1991</v>
      </c>
      <c r="W898" t="s">
        <v>1292</v>
      </c>
      <c r="X898" s="2" t="s">
        <v>33</v>
      </c>
      <c r="Y898" s="6" t="e">
        <f t="shared" ref="Y898:Y961" si="118">(X898-$Z$4)/($Z$3-$Z$4)</f>
        <v>#VALUE!</v>
      </c>
      <c r="AA898">
        <v>4247760</v>
      </c>
      <c r="AB898">
        <v>16066</v>
      </c>
      <c r="AC898">
        <v>15206416</v>
      </c>
      <c r="AD898" t="s">
        <v>5</v>
      </c>
      <c r="AE898">
        <v>111</v>
      </c>
      <c r="AF898">
        <v>1</v>
      </c>
      <c r="AH898" t="s">
        <v>1291</v>
      </c>
      <c r="AL898">
        <v>0</v>
      </c>
      <c r="AM898" s="5">
        <f t="shared" si="114"/>
        <v>0</v>
      </c>
      <c r="AN898" s="4">
        <f t="shared" ref="AN898:AN961" si="119">(AM898-$AO$4)/($AO$3-$AO$4)</f>
        <v>0</v>
      </c>
      <c r="AO898" s="3"/>
      <c r="AP898">
        <v>0</v>
      </c>
      <c r="AR898" t="s">
        <v>0</v>
      </c>
      <c r="AT898" s="2">
        <v>0.22500000000000001</v>
      </c>
      <c r="AU898" s="1" t="e">
        <f t="shared" si="115"/>
        <v>#VALUE!</v>
      </c>
      <c r="AV898" s="1" t="e">
        <f t="shared" si="116"/>
        <v>#VALUE!</v>
      </c>
      <c r="AW898" s="1" t="e">
        <f t="shared" si="117"/>
        <v>#VALUE!</v>
      </c>
    </row>
    <row r="899" spans="1:49" x14ac:dyDescent="0.2">
      <c r="A899">
        <v>897</v>
      </c>
      <c r="B899" t="s">
        <v>1290</v>
      </c>
      <c r="F899" t="s">
        <v>1289</v>
      </c>
      <c r="G899" t="s">
        <v>16</v>
      </c>
      <c r="H899" t="s">
        <v>15</v>
      </c>
      <c r="I899" t="s">
        <v>1288</v>
      </c>
      <c r="J899">
        <v>60084299</v>
      </c>
      <c r="K899" t="s">
        <v>1287</v>
      </c>
      <c r="L899" t="s">
        <v>1286</v>
      </c>
      <c r="M899" t="s">
        <v>341</v>
      </c>
      <c r="N899">
        <v>5</v>
      </c>
      <c r="O899" t="s">
        <v>1285</v>
      </c>
      <c r="P899" t="s">
        <v>1284</v>
      </c>
      <c r="Q899" t="s">
        <v>1283</v>
      </c>
      <c r="R899" s="7">
        <v>33239</v>
      </c>
      <c r="S899" s="8">
        <f t="shared" si="112"/>
        <v>1991</v>
      </c>
      <c r="T899" s="8">
        <v>1991</v>
      </c>
      <c r="U899" s="8">
        <f t="shared" si="113"/>
        <v>31</v>
      </c>
      <c r="V899" s="7">
        <v>1991</v>
      </c>
      <c r="W899" t="s">
        <v>1282</v>
      </c>
      <c r="X899" s="2" t="s">
        <v>33</v>
      </c>
      <c r="Y899" s="6" t="e">
        <f t="shared" si="118"/>
        <v>#VALUE!</v>
      </c>
      <c r="AA899">
        <v>8929270</v>
      </c>
      <c r="AB899">
        <v>30115</v>
      </c>
      <c r="AD899" t="s">
        <v>5</v>
      </c>
      <c r="AE899">
        <v>11</v>
      </c>
      <c r="AF899">
        <v>3</v>
      </c>
      <c r="AH899" t="s">
        <v>1281</v>
      </c>
      <c r="AI899" t="s">
        <v>1280</v>
      </c>
      <c r="AK899" t="s">
        <v>1279</v>
      </c>
      <c r="AL899">
        <v>0</v>
      </c>
      <c r="AM899" s="5">
        <f t="shared" si="114"/>
        <v>0</v>
      </c>
      <c r="AN899" s="4">
        <f t="shared" si="119"/>
        <v>0</v>
      </c>
      <c r="AO899" s="3"/>
      <c r="AP899">
        <v>0</v>
      </c>
      <c r="AR899" t="s">
        <v>0</v>
      </c>
      <c r="AT899" s="2" t="s">
        <v>33</v>
      </c>
      <c r="AU899" s="1" t="e">
        <f t="shared" si="115"/>
        <v>#VALUE!</v>
      </c>
      <c r="AV899" s="1" t="e">
        <f t="shared" si="116"/>
        <v>#VALUE!</v>
      </c>
      <c r="AW899" s="1" t="e">
        <f t="shared" si="117"/>
        <v>#VALUE!</v>
      </c>
    </row>
    <row r="900" spans="1:49" x14ac:dyDescent="0.2">
      <c r="A900">
        <v>898</v>
      </c>
      <c r="B900" t="s">
        <v>1278</v>
      </c>
      <c r="F900" t="s">
        <v>1277</v>
      </c>
      <c r="G900" t="s">
        <v>16</v>
      </c>
      <c r="H900" t="s">
        <v>15</v>
      </c>
      <c r="I900" t="s">
        <v>1276</v>
      </c>
      <c r="J900">
        <v>60003858</v>
      </c>
      <c r="K900" t="s">
        <v>1275</v>
      </c>
      <c r="L900" t="s">
        <v>1274</v>
      </c>
      <c r="M900" t="s">
        <v>146</v>
      </c>
      <c r="N900">
        <v>1</v>
      </c>
      <c r="O900" t="s">
        <v>1273</v>
      </c>
      <c r="P900">
        <v>6507024681</v>
      </c>
      <c r="Q900">
        <v>60003858</v>
      </c>
      <c r="R900" s="7">
        <v>33239</v>
      </c>
      <c r="S900" s="8">
        <f t="shared" si="112"/>
        <v>1991</v>
      </c>
      <c r="T900" s="8">
        <v>1991</v>
      </c>
      <c r="U900" s="8">
        <f t="shared" si="113"/>
        <v>31</v>
      </c>
      <c r="V900" s="7">
        <v>33239</v>
      </c>
      <c r="W900" t="s">
        <v>1272</v>
      </c>
      <c r="X900" s="2">
        <v>0.128</v>
      </c>
      <c r="Y900" s="6">
        <f t="shared" si="118"/>
        <v>3.4168868957048667E-3</v>
      </c>
      <c r="AA900">
        <v>135852</v>
      </c>
      <c r="AB900">
        <v>16651</v>
      </c>
      <c r="AD900" t="s">
        <v>5</v>
      </c>
      <c r="AE900">
        <v>58</v>
      </c>
      <c r="AF900">
        <v>1</v>
      </c>
      <c r="AH900" t="s">
        <v>1271</v>
      </c>
      <c r="AI900" t="s">
        <v>1270</v>
      </c>
      <c r="AK900" t="s">
        <v>1269</v>
      </c>
      <c r="AL900">
        <v>0</v>
      </c>
      <c r="AM900" s="5">
        <f t="shared" si="114"/>
        <v>0</v>
      </c>
      <c r="AN900" s="4">
        <f t="shared" si="119"/>
        <v>0</v>
      </c>
      <c r="AO900" s="3"/>
      <c r="AP900">
        <v>0</v>
      </c>
      <c r="AR900" t="s">
        <v>0</v>
      </c>
      <c r="AT900" s="2" t="s">
        <v>33</v>
      </c>
      <c r="AU900" s="1">
        <f t="shared" si="115"/>
        <v>0.23918208269934066</v>
      </c>
      <c r="AV900" s="1">
        <f t="shared" si="116"/>
        <v>0.17084434478524332</v>
      </c>
      <c r="AW900" s="1">
        <f t="shared" si="117"/>
        <v>0.10250660687114599</v>
      </c>
    </row>
    <row r="901" spans="1:49" x14ac:dyDescent="0.2">
      <c r="A901">
        <v>899</v>
      </c>
      <c r="B901" t="s">
        <v>1268</v>
      </c>
      <c r="C901" t="s">
        <v>1267</v>
      </c>
      <c r="F901" t="s">
        <v>1266</v>
      </c>
      <c r="G901" t="s">
        <v>16</v>
      </c>
      <c r="H901" t="s">
        <v>15</v>
      </c>
      <c r="I901" t="s">
        <v>1265</v>
      </c>
      <c r="J901">
        <v>60104665</v>
      </c>
      <c r="K901" t="s">
        <v>1264</v>
      </c>
      <c r="L901" t="s">
        <v>1263</v>
      </c>
      <c r="M901" t="s">
        <v>213</v>
      </c>
      <c r="N901">
        <v>5</v>
      </c>
      <c r="O901" t="s">
        <v>1262</v>
      </c>
      <c r="P901" t="s">
        <v>1261</v>
      </c>
      <c r="Q901" t="s">
        <v>1260</v>
      </c>
      <c r="R901" s="7">
        <v>33239</v>
      </c>
      <c r="S901" s="8">
        <f t="shared" si="112"/>
        <v>1991</v>
      </c>
      <c r="T901" s="8">
        <v>1991</v>
      </c>
      <c r="U901" s="8">
        <f t="shared" si="113"/>
        <v>31</v>
      </c>
      <c r="V901" s="7">
        <v>33239</v>
      </c>
      <c r="W901" t="s">
        <v>731</v>
      </c>
      <c r="X901" s="2">
        <v>1.3720000000000001</v>
      </c>
      <c r="Y901" s="6">
        <f t="shared" si="118"/>
        <v>3.662475641333654E-2</v>
      </c>
      <c r="AA901">
        <v>189480</v>
      </c>
      <c r="AB901">
        <v>17366</v>
      </c>
      <c r="AC901">
        <v>15579670</v>
      </c>
      <c r="AD901" t="s">
        <v>5</v>
      </c>
      <c r="AE901">
        <v>39</v>
      </c>
      <c r="AF901">
        <v>1</v>
      </c>
      <c r="AH901" t="s">
        <v>1259</v>
      </c>
      <c r="AI901" t="s">
        <v>1258</v>
      </c>
      <c r="AK901" t="s">
        <v>1257</v>
      </c>
      <c r="AL901">
        <v>25</v>
      </c>
      <c r="AM901" s="5">
        <f t="shared" si="114"/>
        <v>0.80645161290322576</v>
      </c>
      <c r="AN901" s="4">
        <f t="shared" si="119"/>
        <v>1.2214337188992438E-3</v>
      </c>
      <c r="AO901" s="3"/>
      <c r="AP901">
        <v>0</v>
      </c>
      <c r="AQ901" t="s">
        <v>1256</v>
      </c>
      <c r="AR901" t="s">
        <v>0</v>
      </c>
      <c r="AS901" t="s">
        <v>1255</v>
      </c>
      <c r="AT901" s="2" t="s">
        <v>33</v>
      </c>
      <c r="AU901" s="1">
        <f t="shared" si="115"/>
        <v>2.6003759605005348</v>
      </c>
      <c r="AV901" s="1">
        <f t="shared" si="116"/>
        <v>1.8923095066117894</v>
      </c>
      <c r="AW901" s="1">
        <f t="shared" si="117"/>
        <v>1.1842430527230432</v>
      </c>
    </row>
    <row r="902" spans="1:49" x14ac:dyDescent="0.2">
      <c r="A902">
        <v>900</v>
      </c>
      <c r="B902" t="s">
        <v>1254</v>
      </c>
      <c r="F902" t="s">
        <v>1253</v>
      </c>
      <c r="G902" t="s">
        <v>16</v>
      </c>
      <c r="H902" t="s">
        <v>15</v>
      </c>
      <c r="I902" t="s">
        <v>1252</v>
      </c>
      <c r="N902">
        <v>3</v>
      </c>
      <c r="O902" t="s">
        <v>1251</v>
      </c>
      <c r="P902" t="s">
        <v>1250</v>
      </c>
      <c r="Q902" t="s">
        <v>757</v>
      </c>
      <c r="R902" s="7">
        <v>33239</v>
      </c>
      <c r="S902" s="8">
        <f t="shared" si="112"/>
        <v>1991</v>
      </c>
      <c r="T902" s="8">
        <v>1991</v>
      </c>
      <c r="U902" s="8">
        <f t="shared" si="113"/>
        <v>31</v>
      </c>
      <c r="V902" s="7">
        <v>1991</v>
      </c>
      <c r="W902" t="s">
        <v>584</v>
      </c>
      <c r="X902" s="2" t="s">
        <v>33</v>
      </c>
      <c r="Y902" s="6" t="e">
        <f t="shared" si="118"/>
        <v>#VALUE!</v>
      </c>
      <c r="AA902">
        <v>87566648</v>
      </c>
      <c r="AB902">
        <v>74127</v>
      </c>
      <c r="AD902" t="s">
        <v>5</v>
      </c>
      <c r="AE902">
        <v>36</v>
      </c>
      <c r="AF902">
        <v>2</v>
      </c>
      <c r="AH902" t="s">
        <v>1249</v>
      </c>
      <c r="AI902" t="s">
        <v>1248</v>
      </c>
      <c r="AK902" t="s">
        <v>1247</v>
      </c>
      <c r="AL902">
        <v>0</v>
      </c>
      <c r="AM902" s="5">
        <f t="shared" si="114"/>
        <v>0</v>
      </c>
      <c r="AN902" s="4">
        <f t="shared" si="119"/>
        <v>0</v>
      </c>
      <c r="AO902" s="3"/>
      <c r="AP902">
        <v>0</v>
      </c>
      <c r="AR902" t="s">
        <v>0</v>
      </c>
      <c r="AT902" s="2" t="s">
        <v>33</v>
      </c>
      <c r="AU902" s="1" t="e">
        <f t="shared" si="115"/>
        <v>#VALUE!</v>
      </c>
      <c r="AV902" s="1" t="e">
        <f t="shared" si="116"/>
        <v>#VALUE!</v>
      </c>
      <c r="AW902" s="1" t="e">
        <f t="shared" si="117"/>
        <v>#VALUE!</v>
      </c>
    </row>
    <row r="903" spans="1:49" x14ac:dyDescent="0.2">
      <c r="A903">
        <v>901</v>
      </c>
      <c r="B903" t="s">
        <v>1246</v>
      </c>
      <c r="F903" t="s">
        <v>1245</v>
      </c>
      <c r="G903" t="s">
        <v>16</v>
      </c>
      <c r="H903" t="s">
        <v>15</v>
      </c>
      <c r="I903" t="s">
        <v>1244</v>
      </c>
      <c r="N903">
        <v>2</v>
      </c>
      <c r="O903" t="s">
        <v>1243</v>
      </c>
      <c r="P903" t="s">
        <v>1242</v>
      </c>
      <c r="Q903" t="s">
        <v>592</v>
      </c>
      <c r="R903" s="7">
        <v>33239</v>
      </c>
      <c r="S903" s="8">
        <f t="shared" si="112"/>
        <v>1991</v>
      </c>
      <c r="T903" s="8">
        <v>1991</v>
      </c>
      <c r="U903" s="8">
        <f t="shared" si="113"/>
        <v>31</v>
      </c>
      <c r="V903" s="7">
        <v>1991</v>
      </c>
      <c r="W903" t="s">
        <v>584</v>
      </c>
      <c r="X903" s="2" t="s">
        <v>33</v>
      </c>
      <c r="Y903" s="6" t="e">
        <f t="shared" si="118"/>
        <v>#VALUE!</v>
      </c>
      <c r="AA903">
        <v>87566648</v>
      </c>
      <c r="AB903">
        <v>74127</v>
      </c>
      <c r="AD903" t="s">
        <v>5</v>
      </c>
      <c r="AE903">
        <v>36</v>
      </c>
      <c r="AF903">
        <v>2</v>
      </c>
      <c r="AH903" t="s">
        <v>1241</v>
      </c>
      <c r="AI903" t="s">
        <v>1240</v>
      </c>
      <c r="AK903" t="s">
        <v>1239</v>
      </c>
      <c r="AL903">
        <v>0</v>
      </c>
      <c r="AM903" s="5">
        <f t="shared" si="114"/>
        <v>0</v>
      </c>
      <c r="AN903" s="4">
        <f t="shared" si="119"/>
        <v>0</v>
      </c>
      <c r="AO903" s="3"/>
      <c r="AP903">
        <v>0</v>
      </c>
      <c r="AR903" t="s">
        <v>0</v>
      </c>
      <c r="AT903" s="2" t="s">
        <v>33</v>
      </c>
      <c r="AU903" s="1" t="e">
        <f t="shared" si="115"/>
        <v>#VALUE!</v>
      </c>
      <c r="AV903" s="1" t="e">
        <f t="shared" si="116"/>
        <v>#VALUE!</v>
      </c>
      <c r="AW903" s="1" t="e">
        <f t="shared" si="117"/>
        <v>#VALUE!</v>
      </c>
    </row>
    <row r="904" spans="1:49" x14ac:dyDescent="0.2">
      <c r="A904">
        <v>902</v>
      </c>
      <c r="B904" t="s">
        <v>1238</v>
      </c>
      <c r="F904" t="s">
        <v>1237</v>
      </c>
      <c r="G904" t="s">
        <v>16</v>
      </c>
      <c r="H904" t="s">
        <v>15</v>
      </c>
      <c r="I904" t="s">
        <v>1236</v>
      </c>
      <c r="N904">
        <v>1</v>
      </c>
      <c r="O904" t="s">
        <v>1235</v>
      </c>
      <c r="P904">
        <v>35461529600</v>
      </c>
      <c r="R904" s="7">
        <v>33239</v>
      </c>
      <c r="S904" s="8">
        <f t="shared" si="112"/>
        <v>1991</v>
      </c>
      <c r="T904" s="8">
        <v>1991</v>
      </c>
      <c r="U904" s="8">
        <f t="shared" si="113"/>
        <v>31</v>
      </c>
      <c r="V904" s="7">
        <v>1991</v>
      </c>
      <c r="W904" t="s">
        <v>584</v>
      </c>
      <c r="X904" s="2" t="s">
        <v>33</v>
      </c>
      <c r="Y904" s="6" t="e">
        <f t="shared" si="118"/>
        <v>#VALUE!</v>
      </c>
      <c r="AA904">
        <v>87566648</v>
      </c>
      <c r="AB904">
        <v>74127</v>
      </c>
      <c r="AD904" t="s">
        <v>5</v>
      </c>
      <c r="AE904">
        <v>36</v>
      </c>
      <c r="AF904">
        <v>1</v>
      </c>
      <c r="AH904" t="s">
        <v>1234</v>
      </c>
      <c r="AI904" t="s">
        <v>1233</v>
      </c>
      <c r="AK904" t="s">
        <v>1232</v>
      </c>
      <c r="AL904">
        <v>5</v>
      </c>
      <c r="AM904" s="5">
        <f t="shared" si="114"/>
        <v>0.16129032258064516</v>
      </c>
      <c r="AN904" s="4">
        <f t="shared" si="119"/>
        <v>2.4428674377984877E-4</v>
      </c>
      <c r="AO904" s="3"/>
      <c r="AP904">
        <v>0</v>
      </c>
      <c r="AR904" t="s">
        <v>0</v>
      </c>
      <c r="AT904" s="2" t="s">
        <v>33</v>
      </c>
      <c r="AU904" s="1" t="e">
        <f t="shared" si="115"/>
        <v>#VALUE!</v>
      </c>
      <c r="AV904" s="1" t="e">
        <f t="shared" si="116"/>
        <v>#VALUE!</v>
      </c>
      <c r="AW904" s="1" t="e">
        <f t="shared" si="117"/>
        <v>#VALUE!</v>
      </c>
    </row>
    <row r="905" spans="1:49" x14ac:dyDescent="0.2">
      <c r="A905">
        <v>903</v>
      </c>
      <c r="B905" t="s">
        <v>1231</v>
      </c>
      <c r="C905" t="s">
        <v>1230</v>
      </c>
      <c r="F905" t="s">
        <v>1229</v>
      </c>
      <c r="G905" t="s">
        <v>16</v>
      </c>
      <c r="H905" t="s">
        <v>15</v>
      </c>
      <c r="I905" t="s">
        <v>1228</v>
      </c>
      <c r="J905">
        <v>60020825</v>
      </c>
      <c r="K905" t="s">
        <v>1227</v>
      </c>
      <c r="L905" t="s">
        <v>1226</v>
      </c>
      <c r="M905" t="s">
        <v>1207</v>
      </c>
      <c r="N905">
        <v>4</v>
      </c>
      <c r="O905" t="s">
        <v>1225</v>
      </c>
      <c r="P905" t="s">
        <v>1224</v>
      </c>
      <c r="Q905" t="s">
        <v>1223</v>
      </c>
      <c r="R905" s="7">
        <v>33239</v>
      </c>
      <c r="S905" s="8">
        <f t="shared" si="112"/>
        <v>1991</v>
      </c>
      <c r="T905" s="8">
        <v>1991</v>
      </c>
      <c r="U905" s="8">
        <f t="shared" si="113"/>
        <v>31</v>
      </c>
      <c r="V905" s="7">
        <v>33258</v>
      </c>
      <c r="W905" t="s">
        <v>561</v>
      </c>
      <c r="X905" s="2">
        <v>0.30399999999999999</v>
      </c>
      <c r="Y905" s="6">
        <f t="shared" si="118"/>
        <v>8.115106377299057E-3</v>
      </c>
      <c r="AA905">
        <v>8952477</v>
      </c>
      <c r="AB905">
        <v>12250</v>
      </c>
      <c r="AC905">
        <v>10982760</v>
      </c>
      <c r="AD905" t="s">
        <v>5</v>
      </c>
      <c r="AE905">
        <v>4</v>
      </c>
      <c r="AF905">
        <v>2</v>
      </c>
      <c r="AH905" t="s">
        <v>1222</v>
      </c>
      <c r="AI905" t="s">
        <v>1221</v>
      </c>
      <c r="AJ905" t="s">
        <v>1220</v>
      </c>
      <c r="AK905" t="s">
        <v>1219</v>
      </c>
      <c r="AL905">
        <v>2</v>
      </c>
      <c r="AM905" s="5">
        <f t="shared" si="114"/>
        <v>6.4516129032258063E-2</v>
      </c>
      <c r="AN905" s="4">
        <f t="shared" si="119"/>
        <v>9.7714697511939517E-5</v>
      </c>
      <c r="AO905" s="3"/>
      <c r="AP905">
        <v>0</v>
      </c>
      <c r="AR905" t="s">
        <v>0</v>
      </c>
      <c r="AT905" s="2" t="s">
        <v>33</v>
      </c>
      <c r="AU905" s="1">
        <f t="shared" si="115"/>
        <v>0.57098888733629205</v>
      </c>
      <c r="AV905" s="1">
        <f t="shared" si="116"/>
        <v>0.41064105374054982</v>
      </c>
      <c r="AW905" s="1">
        <f t="shared" si="117"/>
        <v>0.25029322014480748</v>
      </c>
    </row>
    <row r="906" spans="1:49" x14ac:dyDescent="0.2">
      <c r="A906">
        <v>904</v>
      </c>
      <c r="B906" t="s">
        <v>1218</v>
      </c>
      <c r="C906" t="s">
        <v>1217</v>
      </c>
      <c r="E906">
        <v>1919663</v>
      </c>
      <c r="F906" t="s">
        <v>1216</v>
      </c>
      <c r="G906" t="s">
        <v>16</v>
      </c>
      <c r="H906" t="s">
        <v>15</v>
      </c>
      <c r="I906" t="s">
        <v>1197</v>
      </c>
      <c r="J906">
        <v>60012387</v>
      </c>
      <c r="K906" t="s">
        <v>1196</v>
      </c>
      <c r="L906" t="s">
        <v>1195</v>
      </c>
      <c r="M906" t="s">
        <v>57</v>
      </c>
      <c r="N906">
        <v>3</v>
      </c>
      <c r="O906" t="s">
        <v>1194</v>
      </c>
      <c r="P906" t="s">
        <v>1193</v>
      </c>
      <c r="Q906" t="s">
        <v>1192</v>
      </c>
      <c r="R906" s="7">
        <v>33239</v>
      </c>
      <c r="S906" s="8">
        <f t="shared" si="112"/>
        <v>1991</v>
      </c>
      <c r="T906" s="8">
        <v>1991</v>
      </c>
      <c r="U906" s="8">
        <f t="shared" si="113"/>
        <v>31</v>
      </c>
      <c r="V906" s="7">
        <v>1991</v>
      </c>
      <c r="W906" t="s">
        <v>1191</v>
      </c>
      <c r="X906" s="2">
        <v>1.302</v>
      </c>
      <c r="Y906" s="6">
        <f t="shared" si="118"/>
        <v>3.4756146392247937E-2</v>
      </c>
      <c r="AA906">
        <v>223077</v>
      </c>
      <c r="AB906">
        <v>23475</v>
      </c>
      <c r="AD906" t="s">
        <v>5</v>
      </c>
      <c r="AE906">
        <v>66</v>
      </c>
      <c r="AF906">
        <v>1</v>
      </c>
      <c r="AH906" t="s">
        <v>1215</v>
      </c>
      <c r="AI906" t="s">
        <v>1214</v>
      </c>
      <c r="AK906" t="s">
        <v>1213</v>
      </c>
      <c r="AL906">
        <v>26</v>
      </c>
      <c r="AM906" s="5">
        <f t="shared" si="114"/>
        <v>0.83870967741935487</v>
      </c>
      <c r="AN906" s="4">
        <f t="shared" si="119"/>
        <v>1.2702910676552137E-3</v>
      </c>
      <c r="AO906" s="3"/>
      <c r="AP906">
        <v>0</v>
      </c>
      <c r="AR906" t="s">
        <v>0</v>
      </c>
      <c r="AT906" s="2">
        <v>2.714</v>
      </c>
      <c r="AU906" s="1">
        <f t="shared" si="115"/>
        <v>2.471038979487012</v>
      </c>
      <c r="AV906" s="1">
        <f t="shared" si="116"/>
        <v>1.8013218729951577</v>
      </c>
      <c r="AW906" s="1">
        <f t="shared" si="117"/>
        <v>1.1316047665033029</v>
      </c>
    </row>
    <row r="907" spans="1:49" x14ac:dyDescent="0.2">
      <c r="A907">
        <v>905</v>
      </c>
      <c r="B907" t="s">
        <v>1212</v>
      </c>
      <c r="E907">
        <v>1937598</v>
      </c>
      <c r="F907" t="s">
        <v>1211</v>
      </c>
      <c r="G907" t="s">
        <v>16</v>
      </c>
      <c r="H907" t="s">
        <v>15</v>
      </c>
      <c r="I907" t="s">
        <v>1210</v>
      </c>
      <c r="J907">
        <v>60027480</v>
      </c>
      <c r="K907" t="s">
        <v>1209</v>
      </c>
      <c r="L907" t="s">
        <v>1208</v>
      </c>
      <c r="M907" t="s">
        <v>1207</v>
      </c>
      <c r="N907">
        <v>3</v>
      </c>
      <c r="O907" t="s">
        <v>1206</v>
      </c>
      <c r="P907" t="s">
        <v>1205</v>
      </c>
      <c r="Q907" t="s">
        <v>1204</v>
      </c>
      <c r="R907" s="7">
        <v>33239</v>
      </c>
      <c r="S907" s="8">
        <f t="shared" si="112"/>
        <v>1991</v>
      </c>
      <c r="T907" s="8">
        <v>1991</v>
      </c>
      <c r="U907" s="8">
        <f t="shared" si="113"/>
        <v>31</v>
      </c>
      <c r="V907" s="7">
        <v>1991</v>
      </c>
      <c r="W907" t="s">
        <v>1203</v>
      </c>
      <c r="X907" s="2" t="s">
        <v>33</v>
      </c>
      <c r="Y907" s="6" t="e">
        <f t="shared" si="118"/>
        <v>#VALUE!</v>
      </c>
      <c r="AA907">
        <v>195340</v>
      </c>
      <c r="AB907">
        <v>110002</v>
      </c>
      <c r="AD907" t="s">
        <v>5</v>
      </c>
      <c r="AE907">
        <v>93</v>
      </c>
      <c r="AF907" t="s">
        <v>1202</v>
      </c>
      <c r="AH907" t="s">
        <v>1201</v>
      </c>
      <c r="AL907">
        <v>1</v>
      </c>
      <c r="AM907" s="5">
        <f t="shared" si="114"/>
        <v>3.2258064516129031E-2</v>
      </c>
      <c r="AN907" s="4">
        <f t="shared" si="119"/>
        <v>4.8857348755969758E-5</v>
      </c>
      <c r="AO907" s="3"/>
      <c r="AP907">
        <v>0</v>
      </c>
      <c r="AR907" t="s">
        <v>0</v>
      </c>
      <c r="AT907" s="2" t="s">
        <v>33</v>
      </c>
      <c r="AU907" s="1" t="e">
        <f t="shared" si="115"/>
        <v>#VALUE!</v>
      </c>
      <c r="AV907" s="1" t="e">
        <f t="shared" si="116"/>
        <v>#VALUE!</v>
      </c>
      <c r="AW907" s="1" t="e">
        <f t="shared" si="117"/>
        <v>#VALUE!</v>
      </c>
    </row>
    <row r="908" spans="1:49" x14ac:dyDescent="0.2">
      <c r="A908">
        <v>906</v>
      </c>
      <c r="B908" t="s">
        <v>1200</v>
      </c>
      <c r="C908" t="s">
        <v>1199</v>
      </c>
      <c r="E908">
        <v>1919661</v>
      </c>
      <c r="F908" t="s">
        <v>1198</v>
      </c>
      <c r="G908" t="s">
        <v>16</v>
      </c>
      <c r="H908" t="s">
        <v>15</v>
      </c>
      <c r="I908" t="s">
        <v>1197</v>
      </c>
      <c r="J908">
        <v>60012387</v>
      </c>
      <c r="K908" t="s">
        <v>1196</v>
      </c>
      <c r="L908" t="s">
        <v>1195</v>
      </c>
      <c r="M908" t="s">
        <v>57</v>
      </c>
      <c r="N908">
        <v>3</v>
      </c>
      <c r="O908" t="s">
        <v>1194</v>
      </c>
      <c r="P908" t="s">
        <v>1193</v>
      </c>
      <c r="Q908" t="s">
        <v>1192</v>
      </c>
      <c r="R908" s="7">
        <v>33239</v>
      </c>
      <c r="S908" s="8">
        <f t="shared" si="112"/>
        <v>1991</v>
      </c>
      <c r="T908" s="8">
        <v>1991</v>
      </c>
      <c r="U908" s="8">
        <f t="shared" si="113"/>
        <v>31</v>
      </c>
      <c r="V908" s="7">
        <v>1991</v>
      </c>
      <c r="W908" t="s">
        <v>1191</v>
      </c>
      <c r="X908" s="2">
        <v>1.302</v>
      </c>
      <c r="Y908" s="6">
        <f t="shared" si="118"/>
        <v>3.4756146392247937E-2</v>
      </c>
      <c r="AA908">
        <v>223077</v>
      </c>
      <c r="AB908">
        <v>23475</v>
      </c>
      <c r="AD908" t="s">
        <v>5</v>
      </c>
      <c r="AE908">
        <v>66</v>
      </c>
      <c r="AF908">
        <v>1</v>
      </c>
      <c r="AH908" t="s">
        <v>1190</v>
      </c>
      <c r="AI908" t="s">
        <v>1189</v>
      </c>
      <c r="AK908" t="s">
        <v>1188</v>
      </c>
      <c r="AL908">
        <v>44</v>
      </c>
      <c r="AM908" s="5">
        <f t="shared" si="114"/>
        <v>1.4193548387096775</v>
      </c>
      <c r="AN908" s="4">
        <f t="shared" si="119"/>
        <v>2.1497233452626692E-3</v>
      </c>
      <c r="AO908" s="3"/>
      <c r="AP908">
        <v>0</v>
      </c>
      <c r="AR908" t="s">
        <v>0</v>
      </c>
      <c r="AT908" s="2">
        <v>2.714</v>
      </c>
      <c r="AU908" s="1">
        <f t="shared" si="115"/>
        <v>2.4974219478152357</v>
      </c>
      <c r="AV908" s="1">
        <f t="shared" si="116"/>
        <v>1.8452934868755304</v>
      </c>
      <c r="AW908" s="1">
        <f t="shared" si="117"/>
        <v>1.1931650259358249</v>
      </c>
    </row>
    <row r="909" spans="1:49" x14ac:dyDescent="0.2">
      <c r="A909">
        <v>907</v>
      </c>
      <c r="B909" t="s">
        <v>1187</v>
      </c>
      <c r="C909" t="s">
        <v>1186</v>
      </c>
      <c r="E909">
        <v>1719106</v>
      </c>
      <c r="F909" t="s">
        <v>1185</v>
      </c>
      <c r="G909" t="s">
        <v>16</v>
      </c>
      <c r="H909" t="s">
        <v>15</v>
      </c>
      <c r="I909" t="s">
        <v>1184</v>
      </c>
      <c r="J909" t="s">
        <v>1183</v>
      </c>
      <c r="K909" t="s">
        <v>1182</v>
      </c>
      <c r="L909" t="s">
        <v>1181</v>
      </c>
      <c r="M909" t="s">
        <v>1180</v>
      </c>
      <c r="N909">
        <v>4</v>
      </c>
      <c r="O909" t="s">
        <v>1179</v>
      </c>
      <c r="P909" t="s">
        <v>1178</v>
      </c>
      <c r="Q909" t="s">
        <v>1177</v>
      </c>
      <c r="R909" s="7">
        <v>33239</v>
      </c>
      <c r="S909" s="8">
        <f t="shared" si="112"/>
        <v>1991</v>
      </c>
      <c r="T909" s="8">
        <v>1991</v>
      </c>
      <c r="U909" s="8">
        <f t="shared" si="113"/>
        <v>31</v>
      </c>
      <c r="V909" s="7">
        <v>1991</v>
      </c>
      <c r="W909" t="s">
        <v>609</v>
      </c>
      <c r="X909" s="2">
        <v>0.89600000000000002</v>
      </c>
      <c r="Y909" s="6">
        <f t="shared" si="118"/>
        <v>2.3918208269934065E-2</v>
      </c>
      <c r="AA909">
        <v>2656736</v>
      </c>
      <c r="AB909">
        <v>29901</v>
      </c>
      <c r="AD909" t="s">
        <v>5</v>
      </c>
      <c r="AE909">
        <v>7</v>
      </c>
      <c r="AF909">
        <v>5</v>
      </c>
      <c r="AH909" t="s">
        <v>1176</v>
      </c>
      <c r="AI909" t="s">
        <v>1175</v>
      </c>
      <c r="AJ909" t="s">
        <v>1174</v>
      </c>
      <c r="AK909" t="s">
        <v>1173</v>
      </c>
      <c r="AL909">
        <v>22</v>
      </c>
      <c r="AM909" s="5">
        <f t="shared" si="114"/>
        <v>0.70967741935483875</v>
      </c>
      <c r="AN909" s="4">
        <f t="shared" si="119"/>
        <v>1.0748616726313346E-3</v>
      </c>
      <c r="AO909" s="3"/>
      <c r="AP909">
        <v>0</v>
      </c>
      <c r="AQ909" t="s">
        <v>126</v>
      </c>
      <c r="AR909" t="s">
        <v>1172</v>
      </c>
      <c r="AS909" t="s">
        <v>124</v>
      </c>
      <c r="AT909" s="2">
        <v>3.9140000000000001</v>
      </c>
      <c r="AU909" s="1">
        <f t="shared" si="115"/>
        <v>1.7065204290743243</v>
      </c>
      <c r="AV909" s="1">
        <f t="shared" si="116"/>
        <v>1.24965349712827</v>
      </c>
      <c r="AW909" s="1">
        <f t="shared" si="117"/>
        <v>0.79278656518221524</v>
      </c>
    </row>
    <row r="910" spans="1:49" x14ac:dyDescent="0.2">
      <c r="A910">
        <v>908</v>
      </c>
      <c r="B910" t="s">
        <v>1171</v>
      </c>
      <c r="C910" t="s">
        <v>1170</v>
      </c>
      <c r="D910" t="s">
        <v>1169</v>
      </c>
      <c r="F910" t="s">
        <v>1168</v>
      </c>
      <c r="G910" t="s">
        <v>16</v>
      </c>
      <c r="H910" t="s">
        <v>15</v>
      </c>
      <c r="I910" t="s">
        <v>1060</v>
      </c>
      <c r="J910" t="s">
        <v>1167</v>
      </c>
      <c r="K910" t="s">
        <v>1166</v>
      </c>
      <c r="L910" t="s">
        <v>1165</v>
      </c>
      <c r="M910" t="s">
        <v>1164</v>
      </c>
      <c r="N910">
        <v>3</v>
      </c>
      <c r="O910" t="s">
        <v>1163</v>
      </c>
      <c r="P910" t="s">
        <v>1162</v>
      </c>
      <c r="Q910" t="s">
        <v>1161</v>
      </c>
      <c r="R910" s="7">
        <v>33239</v>
      </c>
      <c r="S910" s="8">
        <f t="shared" si="112"/>
        <v>1991</v>
      </c>
      <c r="T910" s="8">
        <v>1991</v>
      </c>
      <c r="U910" s="8">
        <f t="shared" si="113"/>
        <v>31</v>
      </c>
      <c r="V910" s="7">
        <v>1991</v>
      </c>
      <c r="W910" t="s">
        <v>1054</v>
      </c>
      <c r="X910" s="2">
        <v>0.58399999999999996</v>
      </c>
      <c r="Y910" s="6">
        <f t="shared" si="118"/>
        <v>1.5589546461653453E-2</v>
      </c>
      <c r="AA910">
        <v>408166</v>
      </c>
      <c r="AB910">
        <v>19057</v>
      </c>
      <c r="AD910" t="s">
        <v>5</v>
      </c>
      <c r="AE910">
        <v>23</v>
      </c>
      <c r="AF910">
        <v>4</v>
      </c>
      <c r="AH910" t="s">
        <v>1160</v>
      </c>
      <c r="AI910" t="s">
        <v>1159</v>
      </c>
      <c r="AJ910" t="s">
        <v>1158</v>
      </c>
      <c r="AK910" t="s">
        <v>1157</v>
      </c>
      <c r="AL910">
        <v>19</v>
      </c>
      <c r="AM910" s="5">
        <f t="shared" si="114"/>
        <v>0.61290322580645162</v>
      </c>
      <c r="AN910" s="4">
        <f t="shared" si="119"/>
        <v>9.2828962636342543E-4</v>
      </c>
      <c r="AO910" s="3"/>
      <c r="AP910">
        <v>0</v>
      </c>
      <c r="AQ910" t="s">
        <v>1156</v>
      </c>
      <c r="AR910" t="s">
        <v>0</v>
      </c>
      <c r="AS910" t="s">
        <v>1155</v>
      </c>
      <c r="AT910" s="2" t="s">
        <v>33</v>
      </c>
      <c r="AU910" s="1">
        <f t="shared" si="115"/>
        <v>1.1191169411066444</v>
      </c>
      <c r="AV910" s="1">
        <f t="shared" si="116"/>
        <v>0.82589180440084398</v>
      </c>
      <c r="AW910" s="1">
        <f t="shared" si="117"/>
        <v>0.53266666769504334</v>
      </c>
    </row>
    <row r="911" spans="1:49" x14ac:dyDescent="0.2">
      <c r="A911">
        <v>909</v>
      </c>
      <c r="B911" t="s">
        <v>1154</v>
      </c>
      <c r="C911" t="s">
        <v>1153</v>
      </c>
      <c r="F911" t="s">
        <v>1152</v>
      </c>
      <c r="G911" t="s">
        <v>16</v>
      </c>
      <c r="H911" t="s">
        <v>15</v>
      </c>
      <c r="I911" t="s">
        <v>1151</v>
      </c>
      <c r="J911" t="s">
        <v>1150</v>
      </c>
      <c r="K911" t="s">
        <v>1149</v>
      </c>
      <c r="L911" t="s">
        <v>1148</v>
      </c>
      <c r="M911" t="s">
        <v>1147</v>
      </c>
      <c r="N911">
        <v>1</v>
      </c>
      <c r="O911" t="s">
        <v>1146</v>
      </c>
      <c r="P911">
        <v>6506404477</v>
      </c>
      <c r="Q911" t="s">
        <v>1145</v>
      </c>
      <c r="R911" s="7">
        <v>33239</v>
      </c>
      <c r="S911" s="8">
        <f t="shared" si="112"/>
        <v>1991</v>
      </c>
      <c r="T911" s="8">
        <v>1991</v>
      </c>
      <c r="U911" s="8">
        <f t="shared" si="113"/>
        <v>31</v>
      </c>
      <c r="V911" s="7">
        <v>33359</v>
      </c>
      <c r="W911" t="s">
        <v>1144</v>
      </c>
      <c r="X911" s="2">
        <v>0.46</v>
      </c>
      <c r="Y911" s="6">
        <f t="shared" si="118"/>
        <v>1.2279437281439364E-2</v>
      </c>
      <c r="AA911">
        <v>15385744</v>
      </c>
      <c r="AB911">
        <v>19284</v>
      </c>
      <c r="AC911">
        <v>19389116</v>
      </c>
      <c r="AD911" t="s">
        <v>5</v>
      </c>
      <c r="AE911">
        <v>25</v>
      </c>
      <c r="AF911">
        <v>4</v>
      </c>
      <c r="AH911" t="s">
        <v>1143</v>
      </c>
      <c r="AI911" t="s">
        <v>1142</v>
      </c>
      <c r="AK911" t="s">
        <v>1141</v>
      </c>
      <c r="AL911">
        <v>0</v>
      </c>
      <c r="AM911" s="5">
        <f t="shared" si="114"/>
        <v>0</v>
      </c>
      <c r="AN911" s="4">
        <f t="shared" si="119"/>
        <v>0</v>
      </c>
      <c r="AO911" s="3"/>
      <c r="AP911">
        <v>0</v>
      </c>
      <c r="AR911" t="s">
        <v>0</v>
      </c>
      <c r="AT911" s="2">
        <v>1.089</v>
      </c>
      <c r="AU911" s="1">
        <f t="shared" si="115"/>
        <v>0.85956060970075532</v>
      </c>
      <c r="AV911" s="1">
        <f t="shared" si="116"/>
        <v>0.61397186407196824</v>
      </c>
      <c r="AW911" s="1">
        <f t="shared" si="117"/>
        <v>0.36838311844318089</v>
      </c>
    </row>
    <row r="912" spans="1:49" x14ac:dyDescent="0.2">
      <c r="A912">
        <v>910</v>
      </c>
      <c r="B912" t="s">
        <v>1140</v>
      </c>
      <c r="C912" t="s">
        <v>1139</v>
      </c>
      <c r="D912">
        <v>360301691907897</v>
      </c>
      <c r="E912">
        <v>2061117</v>
      </c>
      <c r="F912" t="s">
        <v>1138</v>
      </c>
      <c r="G912" t="s">
        <v>16</v>
      </c>
      <c r="H912" t="s">
        <v>15</v>
      </c>
      <c r="I912" t="s">
        <v>1137</v>
      </c>
      <c r="J912">
        <v>60007267</v>
      </c>
      <c r="K912" t="s">
        <v>1136</v>
      </c>
      <c r="L912" t="s">
        <v>866</v>
      </c>
      <c r="M912" t="s">
        <v>57</v>
      </c>
      <c r="N912">
        <v>1</v>
      </c>
      <c r="O912" t="s">
        <v>1135</v>
      </c>
      <c r="P912">
        <v>57197374123</v>
      </c>
      <c r="Q912">
        <v>60007267</v>
      </c>
      <c r="R912" s="7">
        <v>33239</v>
      </c>
      <c r="S912" s="8">
        <f t="shared" si="112"/>
        <v>1991</v>
      </c>
      <c r="T912" s="8">
        <v>1991</v>
      </c>
      <c r="U912" s="8">
        <f t="shared" si="113"/>
        <v>31</v>
      </c>
      <c r="V912" s="7">
        <v>33420</v>
      </c>
      <c r="W912" t="s">
        <v>1134</v>
      </c>
      <c r="X912" s="2" t="s">
        <v>33</v>
      </c>
      <c r="Y912" s="6" t="e">
        <f t="shared" si="118"/>
        <v>#VALUE!</v>
      </c>
      <c r="AA912">
        <v>3603016</v>
      </c>
      <c r="AB912">
        <v>17191</v>
      </c>
      <c r="AD912" t="s">
        <v>5</v>
      </c>
      <c r="AE912">
        <v>21</v>
      </c>
      <c r="AF912">
        <v>2</v>
      </c>
      <c r="AH912" t="s">
        <v>1133</v>
      </c>
      <c r="AI912" t="s">
        <v>1132</v>
      </c>
      <c r="AJ912" t="s">
        <v>1131</v>
      </c>
      <c r="AK912" t="s">
        <v>1130</v>
      </c>
      <c r="AL912">
        <v>41</v>
      </c>
      <c r="AM912" s="5">
        <f t="shared" si="114"/>
        <v>1.3225806451612903</v>
      </c>
      <c r="AN912" s="4">
        <f t="shared" si="119"/>
        <v>2.0031512989947598E-3</v>
      </c>
      <c r="AO912" s="3"/>
      <c r="AP912">
        <v>0</v>
      </c>
      <c r="AQ912" t="s">
        <v>1129</v>
      </c>
      <c r="AR912" t="s">
        <v>1128</v>
      </c>
      <c r="AS912" t="s">
        <v>1127</v>
      </c>
      <c r="AT912" s="2" t="s">
        <v>33</v>
      </c>
      <c r="AU912" s="1" t="e">
        <f t="shared" si="115"/>
        <v>#VALUE!</v>
      </c>
      <c r="AV912" s="1" t="e">
        <f t="shared" si="116"/>
        <v>#VALUE!</v>
      </c>
      <c r="AW912" s="1" t="e">
        <f t="shared" si="117"/>
        <v>#VALUE!</v>
      </c>
    </row>
    <row r="913" spans="1:49" x14ac:dyDescent="0.2">
      <c r="A913">
        <v>911</v>
      </c>
      <c r="B913" t="s">
        <v>1126</v>
      </c>
      <c r="F913" t="s">
        <v>1125</v>
      </c>
      <c r="G913" t="s">
        <v>16</v>
      </c>
      <c r="H913" t="s">
        <v>15</v>
      </c>
      <c r="I913" t="s">
        <v>1124</v>
      </c>
      <c r="N913">
        <v>2</v>
      </c>
      <c r="O913" t="s">
        <v>1123</v>
      </c>
      <c r="P913" t="s">
        <v>1122</v>
      </c>
      <c r="Q913" t="s">
        <v>592</v>
      </c>
      <c r="R913" s="7">
        <v>33239</v>
      </c>
      <c r="S913" s="8">
        <f t="shared" si="112"/>
        <v>1991</v>
      </c>
      <c r="T913" s="8">
        <v>1991</v>
      </c>
      <c r="U913" s="8">
        <f t="shared" si="113"/>
        <v>31</v>
      </c>
      <c r="V913" s="7">
        <v>1991</v>
      </c>
      <c r="W913" t="s">
        <v>584</v>
      </c>
      <c r="X913" s="2" t="s">
        <v>33</v>
      </c>
      <c r="Y913" s="6" t="e">
        <f t="shared" si="118"/>
        <v>#VALUE!</v>
      </c>
      <c r="AA913">
        <v>87566648</v>
      </c>
      <c r="AB913">
        <v>74127</v>
      </c>
      <c r="AD913" t="s">
        <v>5</v>
      </c>
      <c r="AE913">
        <v>36</v>
      </c>
      <c r="AF913">
        <v>6</v>
      </c>
      <c r="AH913" t="s">
        <v>1121</v>
      </c>
      <c r="AI913" t="s">
        <v>1120</v>
      </c>
      <c r="AK913" t="s">
        <v>1119</v>
      </c>
      <c r="AL913">
        <v>1</v>
      </c>
      <c r="AM913" s="5">
        <f t="shared" si="114"/>
        <v>3.2258064516129031E-2</v>
      </c>
      <c r="AN913" s="4">
        <f t="shared" si="119"/>
        <v>4.8857348755969758E-5</v>
      </c>
      <c r="AO913" s="3"/>
      <c r="AP913">
        <v>0</v>
      </c>
      <c r="AR913" t="s">
        <v>0</v>
      </c>
      <c r="AT913" s="2" t="s">
        <v>33</v>
      </c>
      <c r="AU913" s="1" t="e">
        <f t="shared" si="115"/>
        <v>#VALUE!</v>
      </c>
      <c r="AV913" s="1" t="e">
        <f t="shared" si="116"/>
        <v>#VALUE!</v>
      </c>
      <c r="AW913" s="1" t="e">
        <f t="shared" si="117"/>
        <v>#VALUE!</v>
      </c>
    </row>
    <row r="914" spans="1:49" x14ac:dyDescent="0.2">
      <c r="A914">
        <v>912</v>
      </c>
      <c r="B914" t="s">
        <v>1118</v>
      </c>
      <c r="F914" t="s">
        <v>1117</v>
      </c>
      <c r="G914" t="s">
        <v>16</v>
      </c>
      <c r="H914" t="s">
        <v>15</v>
      </c>
      <c r="I914" t="s">
        <v>1116</v>
      </c>
      <c r="J914">
        <v>60003500</v>
      </c>
      <c r="K914" t="s">
        <v>1115</v>
      </c>
      <c r="L914" t="s">
        <v>1114</v>
      </c>
      <c r="M914" t="s">
        <v>57</v>
      </c>
      <c r="N914">
        <v>3</v>
      </c>
      <c r="O914" t="s">
        <v>1113</v>
      </c>
      <c r="P914" t="s">
        <v>1112</v>
      </c>
      <c r="Q914" t="s">
        <v>1111</v>
      </c>
      <c r="R914" s="7">
        <v>33239</v>
      </c>
      <c r="S914" s="8">
        <f t="shared" si="112"/>
        <v>1991</v>
      </c>
      <c r="T914" s="8">
        <v>1991</v>
      </c>
      <c r="U914" s="8">
        <f t="shared" si="113"/>
        <v>31</v>
      </c>
      <c r="V914" s="7">
        <v>1991</v>
      </c>
      <c r="W914" t="s">
        <v>766</v>
      </c>
      <c r="X914" s="2">
        <v>0.216</v>
      </c>
      <c r="Y914" s="6">
        <f t="shared" si="118"/>
        <v>5.765996636501962E-3</v>
      </c>
      <c r="AA914">
        <v>10544887</v>
      </c>
      <c r="AB914">
        <v>13200</v>
      </c>
      <c r="AD914" t="s">
        <v>5</v>
      </c>
      <c r="AE914">
        <v>6</v>
      </c>
      <c r="AF914">
        <v>1</v>
      </c>
      <c r="AH914" t="s">
        <v>1110</v>
      </c>
      <c r="AI914" t="s">
        <v>1109</v>
      </c>
      <c r="AK914" t="s">
        <v>1108</v>
      </c>
      <c r="AL914">
        <v>0</v>
      </c>
      <c r="AM914" s="5">
        <f t="shared" si="114"/>
        <v>0</v>
      </c>
      <c r="AN914" s="4">
        <f t="shared" si="119"/>
        <v>0</v>
      </c>
      <c r="AO914" s="3"/>
      <c r="AP914">
        <v>0</v>
      </c>
      <c r="AR914" t="s">
        <v>0</v>
      </c>
      <c r="AT914" s="2" t="s">
        <v>33</v>
      </c>
      <c r="AU914" s="1">
        <f t="shared" si="115"/>
        <v>0.40361976455513726</v>
      </c>
      <c r="AV914" s="1">
        <f t="shared" si="116"/>
        <v>0.28829983182509811</v>
      </c>
      <c r="AW914" s="1">
        <f t="shared" si="117"/>
        <v>0.17297989909505887</v>
      </c>
    </row>
    <row r="915" spans="1:49" x14ac:dyDescent="0.2">
      <c r="A915">
        <v>913</v>
      </c>
      <c r="B915" t="s">
        <v>1107</v>
      </c>
      <c r="C915" t="s">
        <v>1106</v>
      </c>
      <c r="D915" t="s">
        <v>1105</v>
      </c>
      <c r="E915">
        <v>1682084</v>
      </c>
      <c r="F915" t="s">
        <v>1104</v>
      </c>
      <c r="G915" t="s">
        <v>16</v>
      </c>
      <c r="H915" t="s">
        <v>15</v>
      </c>
      <c r="I915" t="s">
        <v>1103</v>
      </c>
      <c r="J915">
        <v>60008134</v>
      </c>
      <c r="K915" t="s">
        <v>1102</v>
      </c>
      <c r="L915" t="s">
        <v>1101</v>
      </c>
      <c r="M915" t="s">
        <v>213</v>
      </c>
      <c r="N915">
        <v>1</v>
      </c>
      <c r="O915" t="s">
        <v>1100</v>
      </c>
      <c r="P915">
        <v>6603211907</v>
      </c>
      <c r="Q915">
        <v>60008134</v>
      </c>
      <c r="R915" s="7">
        <v>33239</v>
      </c>
      <c r="S915" s="8">
        <f t="shared" si="112"/>
        <v>1991</v>
      </c>
      <c r="T915" s="8">
        <v>1991</v>
      </c>
      <c r="U915" s="8">
        <f t="shared" si="113"/>
        <v>31</v>
      </c>
      <c r="V915" s="7">
        <v>1991</v>
      </c>
      <c r="W915" t="s">
        <v>1099</v>
      </c>
      <c r="X915" s="2">
        <v>0.64600000000000002</v>
      </c>
      <c r="Y915" s="6">
        <f t="shared" si="118"/>
        <v>1.72446010517605E-2</v>
      </c>
      <c r="AA915">
        <v>3009629</v>
      </c>
      <c r="AB915">
        <v>23398</v>
      </c>
      <c r="AD915" t="s">
        <v>5</v>
      </c>
      <c r="AE915">
        <v>100</v>
      </c>
      <c r="AF915">
        <v>1</v>
      </c>
      <c r="AH915" t="s">
        <v>1098</v>
      </c>
      <c r="AI915" t="s">
        <v>1097</v>
      </c>
      <c r="AK915" t="s">
        <v>1096</v>
      </c>
      <c r="AL915">
        <v>2</v>
      </c>
      <c r="AM915" s="5">
        <f t="shared" si="114"/>
        <v>6.4516129032258063E-2</v>
      </c>
      <c r="AN915" s="4">
        <f t="shared" si="119"/>
        <v>9.7714697511939517E-5</v>
      </c>
      <c r="AO915" s="3"/>
      <c r="AP915">
        <v>0</v>
      </c>
      <c r="AR915" t="s">
        <v>0</v>
      </c>
      <c r="AT915" s="2" t="s">
        <v>33</v>
      </c>
      <c r="AU915" s="1">
        <f t="shared" si="115"/>
        <v>1.2100535145485931</v>
      </c>
      <c r="AV915" s="1">
        <f t="shared" si="116"/>
        <v>0.86711578746362195</v>
      </c>
      <c r="AW915" s="1">
        <f t="shared" si="117"/>
        <v>0.52417806037865078</v>
      </c>
    </row>
    <row r="916" spans="1:49" x14ac:dyDescent="0.2">
      <c r="A916">
        <v>914</v>
      </c>
      <c r="B916" t="s">
        <v>1095</v>
      </c>
      <c r="C916" t="s">
        <v>1094</v>
      </c>
      <c r="E916">
        <v>1880460</v>
      </c>
      <c r="F916" t="s">
        <v>1093</v>
      </c>
      <c r="G916" t="s">
        <v>16</v>
      </c>
      <c r="H916" t="s">
        <v>15</v>
      </c>
      <c r="I916" t="s">
        <v>1092</v>
      </c>
      <c r="J916">
        <v>60002483</v>
      </c>
      <c r="K916" t="s">
        <v>1091</v>
      </c>
      <c r="L916" t="s">
        <v>273</v>
      </c>
      <c r="M916" t="s">
        <v>272</v>
      </c>
      <c r="N916">
        <v>2</v>
      </c>
      <c r="O916" t="s">
        <v>1090</v>
      </c>
      <c r="P916" t="s">
        <v>1089</v>
      </c>
      <c r="Q916" t="s">
        <v>1088</v>
      </c>
      <c r="R916" s="7">
        <v>33239</v>
      </c>
      <c r="S916" s="8">
        <f t="shared" si="112"/>
        <v>1991</v>
      </c>
      <c r="T916" s="8">
        <v>1991</v>
      </c>
      <c r="U916" s="8">
        <f t="shared" si="113"/>
        <v>31</v>
      </c>
      <c r="V916" s="7">
        <v>1991</v>
      </c>
      <c r="W916" t="s">
        <v>609</v>
      </c>
      <c r="X916" s="2">
        <v>0.89600000000000002</v>
      </c>
      <c r="Y916" s="6">
        <f t="shared" si="118"/>
        <v>2.3918208269934065E-2</v>
      </c>
      <c r="AA916">
        <v>2656736</v>
      </c>
      <c r="AB916">
        <v>29901</v>
      </c>
      <c r="AD916" t="s">
        <v>5</v>
      </c>
      <c r="AE916">
        <v>7</v>
      </c>
      <c r="AF916">
        <v>2</v>
      </c>
      <c r="AH916" t="s">
        <v>1087</v>
      </c>
      <c r="AI916" t="s">
        <v>1086</v>
      </c>
      <c r="AJ916" t="s">
        <v>1085</v>
      </c>
      <c r="AK916" t="s">
        <v>1084</v>
      </c>
      <c r="AL916">
        <v>26</v>
      </c>
      <c r="AM916" s="5">
        <f t="shared" si="114"/>
        <v>0.83870967741935487</v>
      </c>
      <c r="AN916" s="4">
        <f t="shared" si="119"/>
        <v>1.2702910676552137E-3</v>
      </c>
      <c r="AO916" s="3"/>
      <c r="AP916">
        <v>0</v>
      </c>
      <c r="AR916" t="s">
        <v>0</v>
      </c>
      <c r="AT916" s="2">
        <v>3.9140000000000001</v>
      </c>
      <c r="AU916" s="1">
        <f t="shared" si="115"/>
        <v>1.7123833109250408</v>
      </c>
      <c r="AV916" s="1">
        <f t="shared" si="116"/>
        <v>1.2594249668794639</v>
      </c>
      <c r="AW916" s="1">
        <f t="shared" si="117"/>
        <v>0.80646662283388681</v>
      </c>
    </row>
    <row r="917" spans="1:49" x14ac:dyDescent="0.2">
      <c r="A917">
        <v>915</v>
      </c>
      <c r="B917" t="s">
        <v>1083</v>
      </c>
      <c r="F917" t="s">
        <v>1082</v>
      </c>
      <c r="G917" t="s">
        <v>16</v>
      </c>
      <c r="H917" t="s">
        <v>15</v>
      </c>
      <c r="I917" t="s">
        <v>1081</v>
      </c>
      <c r="N917">
        <v>1</v>
      </c>
      <c r="O917" t="s">
        <v>1080</v>
      </c>
      <c r="P917">
        <v>6603528850</v>
      </c>
      <c r="R917" s="7">
        <v>33239</v>
      </c>
      <c r="S917" s="8">
        <f t="shared" si="112"/>
        <v>1991</v>
      </c>
      <c r="T917" s="8">
        <v>1991</v>
      </c>
      <c r="U917" s="8">
        <f t="shared" si="113"/>
        <v>31</v>
      </c>
      <c r="V917" s="7">
        <v>1991</v>
      </c>
      <c r="W917" t="s">
        <v>584</v>
      </c>
      <c r="X917" s="2" t="s">
        <v>33</v>
      </c>
      <c r="Y917" s="6" t="e">
        <f t="shared" si="118"/>
        <v>#VALUE!</v>
      </c>
      <c r="AA917">
        <v>87566648</v>
      </c>
      <c r="AB917">
        <v>74127</v>
      </c>
      <c r="AD917" t="s">
        <v>5</v>
      </c>
      <c r="AE917">
        <v>36</v>
      </c>
      <c r="AF917">
        <v>8</v>
      </c>
      <c r="AH917" s="10">
        <v>41426</v>
      </c>
      <c r="AI917" t="s">
        <v>1079</v>
      </c>
      <c r="AK917" t="s">
        <v>1078</v>
      </c>
      <c r="AL917">
        <v>0</v>
      </c>
      <c r="AM917" s="5">
        <f t="shared" si="114"/>
        <v>0</v>
      </c>
      <c r="AN917" s="4">
        <f t="shared" si="119"/>
        <v>0</v>
      </c>
      <c r="AO917" s="3"/>
      <c r="AP917">
        <v>0</v>
      </c>
      <c r="AR917" t="s">
        <v>0</v>
      </c>
      <c r="AT917" s="2" t="s">
        <v>33</v>
      </c>
      <c r="AU917" s="1" t="e">
        <f t="shared" si="115"/>
        <v>#VALUE!</v>
      </c>
      <c r="AV917" s="1" t="e">
        <f t="shared" si="116"/>
        <v>#VALUE!</v>
      </c>
      <c r="AW917" s="1" t="e">
        <f t="shared" si="117"/>
        <v>#VALUE!</v>
      </c>
    </row>
    <row r="918" spans="1:49" x14ac:dyDescent="0.2">
      <c r="A918">
        <v>916</v>
      </c>
      <c r="B918" t="s">
        <v>1077</v>
      </c>
      <c r="C918" t="s">
        <v>1076</v>
      </c>
      <c r="E918">
        <v>2046602</v>
      </c>
      <c r="F918" t="s">
        <v>1075</v>
      </c>
      <c r="G918" t="s">
        <v>16</v>
      </c>
      <c r="H918" t="s">
        <v>15</v>
      </c>
      <c r="I918" t="s">
        <v>1074</v>
      </c>
      <c r="J918">
        <v>60022756</v>
      </c>
      <c r="K918" t="s">
        <v>1073</v>
      </c>
      <c r="L918" t="s">
        <v>613</v>
      </c>
      <c r="M918" t="s">
        <v>57</v>
      </c>
      <c r="N918">
        <v>3</v>
      </c>
      <c r="O918" t="s">
        <v>1072</v>
      </c>
      <c r="P918" t="s">
        <v>1071</v>
      </c>
      <c r="Q918" t="s">
        <v>1070</v>
      </c>
      <c r="R918" s="7">
        <v>33239</v>
      </c>
      <c r="S918" s="8">
        <f t="shared" si="112"/>
        <v>1991</v>
      </c>
      <c r="T918" s="8">
        <v>1991</v>
      </c>
      <c r="U918" s="8">
        <f t="shared" si="113"/>
        <v>31</v>
      </c>
      <c r="V918" s="7">
        <v>33298</v>
      </c>
      <c r="W918" t="s">
        <v>1069</v>
      </c>
      <c r="X918" s="2">
        <v>1.4730000000000001</v>
      </c>
      <c r="Y918" s="6">
        <f t="shared" si="118"/>
        <v>3.9320893729478661E-2</v>
      </c>
      <c r="AA918">
        <v>942405</v>
      </c>
      <c r="AB918">
        <v>17871</v>
      </c>
      <c r="AC918" t="s">
        <v>1068</v>
      </c>
      <c r="AD918" t="s">
        <v>5</v>
      </c>
      <c r="AE918">
        <v>18</v>
      </c>
      <c r="AF918">
        <v>2</v>
      </c>
      <c r="AH918" t="s">
        <v>1067</v>
      </c>
      <c r="AI918" t="s">
        <v>1066</v>
      </c>
      <c r="AK918" t="s">
        <v>1065</v>
      </c>
      <c r="AL918">
        <v>3</v>
      </c>
      <c r="AM918" s="5">
        <f t="shared" si="114"/>
        <v>9.6774193548387094E-2</v>
      </c>
      <c r="AN918" s="4">
        <f t="shared" si="119"/>
        <v>1.4657204626790927E-4</v>
      </c>
      <c r="AO918" s="3"/>
      <c r="AP918">
        <v>0</v>
      </c>
      <c r="AR918" t="s">
        <v>0</v>
      </c>
      <c r="AT918" s="2">
        <v>4.0709999999999997</v>
      </c>
      <c r="AU918" s="1">
        <f t="shared" si="115"/>
        <v>2.7568597224515434</v>
      </c>
      <c r="AV918" s="1">
        <f t="shared" si="116"/>
        <v>1.9733732887873285</v>
      </c>
      <c r="AW918" s="1">
        <f t="shared" si="117"/>
        <v>1.1898868551231134</v>
      </c>
    </row>
    <row r="919" spans="1:49" x14ac:dyDescent="0.2">
      <c r="A919">
        <v>917</v>
      </c>
      <c r="B919" t="s">
        <v>1064</v>
      </c>
      <c r="C919" t="s">
        <v>1063</v>
      </c>
      <c r="D919" t="s">
        <v>1062</v>
      </c>
      <c r="F919" t="s">
        <v>1061</v>
      </c>
      <c r="G919" t="s">
        <v>16</v>
      </c>
      <c r="H919" t="s">
        <v>15</v>
      </c>
      <c r="I919" t="s">
        <v>1060</v>
      </c>
      <c r="J919">
        <v>60003274</v>
      </c>
      <c r="K919" t="s">
        <v>1059</v>
      </c>
      <c r="L919" t="s">
        <v>1058</v>
      </c>
      <c r="M919" t="s">
        <v>213</v>
      </c>
      <c r="N919">
        <v>2</v>
      </c>
      <c r="O919" t="s">
        <v>1057</v>
      </c>
      <c r="P919" t="s">
        <v>1056</v>
      </c>
      <c r="Q919" t="s">
        <v>1055</v>
      </c>
      <c r="R919" s="7">
        <v>33239</v>
      </c>
      <c r="S919" s="8">
        <f t="shared" si="112"/>
        <v>1991</v>
      </c>
      <c r="T919" s="8">
        <v>1991</v>
      </c>
      <c r="U919" s="8">
        <f t="shared" si="113"/>
        <v>31</v>
      </c>
      <c r="V919" s="7">
        <v>1991</v>
      </c>
      <c r="W919" t="s">
        <v>1054</v>
      </c>
      <c r="X919" s="2">
        <v>0.58399999999999996</v>
      </c>
      <c r="Y919" s="6">
        <f t="shared" si="118"/>
        <v>1.5589546461653453E-2</v>
      </c>
      <c r="AA919">
        <v>408166</v>
      </c>
      <c r="AB919">
        <v>19057</v>
      </c>
      <c r="AD919" t="s">
        <v>5</v>
      </c>
      <c r="AE919">
        <v>23</v>
      </c>
      <c r="AF919">
        <v>3</v>
      </c>
      <c r="AH919" t="s">
        <v>1053</v>
      </c>
      <c r="AI919" t="s">
        <v>1052</v>
      </c>
      <c r="AJ919" t="s">
        <v>1051</v>
      </c>
      <c r="AK919" t="s">
        <v>1050</v>
      </c>
      <c r="AL919">
        <v>46</v>
      </c>
      <c r="AM919" s="5">
        <f t="shared" si="114"/>
        <v>1.4838709677419355</v>
      </c>
      <c r="AN919" s="4">
        <f t="shared" si="119"/>
        <v>2.247438042774609E-3</v>
      </c>
      <c r="AO919" s="3"/>
      <c r="AP919">
        <v>0</v>
      </c>
      <c r="AQ919" t="s">
        <v>1049</v>
      </c>
      <c r="AR919" t="s">
        <v>0</v>
      </c>
      <c r="AS919" t="s">
        <v>1048</v>
      </c>
      <c r="AT919" s="2" t="s">
        <v>33</v>
      </c>
      <c r="AU919" s="1">
        <f t="shared" si="115"/>
        <v>1.1586913935989798</v>
      </c>
      <c r="AV919" s="1">
        <f t="shared" si="116"/>
        <v>0.89184922522140309</v>
      </c>
      <c r="AW919" s="1">
        <f t="shared" si="117"/>
        <v>0.62500705684382618</v>
      </c>
    </row>
    <row r="920" spans="1:49" x14ac:dyDescent="0.2">
      <c r="A920">
        <v>918</v>
      </c>
      <c r="B920" t="s">
        <v>1047</v>
      </c>
      <c r="F920" t="s">
        <v>1046</v>
      </c>
      <c r="G920" t="s">
        <v>16</v>
      </c>
      <c r="H920" t="s">
        <v>15</v>
      </c>
      <c r="I920" t="s">
        <v>1045</v>
      </c>
      <c r="N920">
        <v>2</v>
      </c>
      <c r="O920" t="s">
        <v>1044</v>
      </c>
      <c r="P920" t="s">
        <v>1043</v>
      </c>
      <c r="Q920" t="s">
        <v>592</v>
      </c>
      <c r="R920" s="7">
        <v>33239</v>
      </c>
      <c r="S920" s="8">
        <f t="shared" si="112"/>
        <v>1991</v>
      </c>
      <c r="T920" s="8">
        <v>1991</v>
      </c>
      <c r="U920" s="8">
        <f t="shared" si="113"/>
        <v>31</v>
      </c>
      <c r="V920" s="7">
        <v>1991</v>
      </c>
      <c r="W920" t="s">
        <v>584</v>
      </c>
      <c r="X920" s="2" t="s">
        <v>33</v>
      </c>
      <c r="Y920" s="6" t="e">
        <f t="shared" si="118"/>
        <v>#VALUE!</v>
      </c>
      <c r="AA920">
        <v>87566648</v>
      </c>
      <c r="AB920">
        <v>74127</v>
      </c>
      <c r="AD920" t="s">
        <v>5</v>
      </c>
      <c r="AE920">
        <v>36</v>
      </c>
      <c r="AF920">
        <v>6</v>
      </c>
      <c r="AH920" t="s">
        <v>1042</v>
      </c>
      <c r="AI920" t="s">
        <v>1041</v>
      </c>
      <c r="AK920" t="s">
        <v>1040</v>
      </c>
      <c r="AL920">
        <v>0</v>
      </c>
      <c r="AM920" s="5">
        <f t="shared" si="114"/>
        <v>0</v>
      </c>
      <c r="AN920" s="4">
        <f t="shared" si="119"/>
        <v>0</v>
      </c>
      <c r="AO920" s="3"/>
      <c r="AP920">
        <v>0</v>
      </c>
      <c r="AR920" t="s">
        <v>0</v>
      </c>
      <c r="AT920" s="2" t="s">
        <v>33</v>
      </c>
      <c r="AU920" s="1" t="e">
        <f t="shared" si="115"/>
        <v>#VALUE!</v>
      </c>
      <c r="AV920" s="1" t="e">
        <f t="shared" si="116"/>
        <v>#VALUE!</v>
      </c>
      <c r="AW920" s="1" t="e">
        <f t="shared" si="117"/>
        <v>#VALUE!</v>
      </c>
    </row>
    <row r="921" spans="1:49" x14ac:dyDescent="0.2">
      <c r="A921">
        <v>919</v>
      </c>
      <c r="B921" t="s">
        <v>1039</v>
      </c>
      <c r="F921" t="s">
        <v>1038</v>
      </c>
      <c r="G921" t="s">
        <v>16</v>
      </c>
      <c r="H921" t="s">
        <v>15</v>
      </c>
      <c r="I921" t="s">
        <v>1037</v>
      </c>
      <c r="N921">
        <v>1</v>
      </c>
      <c r="O921" t="s">
        <v>1036</v>
      </c>
      <c r="P921">
        <v>57207412054</v>
      </c>
      <c r="R921" s="7">
        <v>33239</v>
      </c>
      <c r="S921" s="8">
        <f t="shared" si="112"/>
        <v>1991</v>
      </c>
      <c r="T921" s="8">
        <v>1991</v>
      </c>
      <c r="U921" s="8">
        <f t="shared" si="113"/>
        <v>31</v>
      </c>
      <c r="V921" s="7">
        <v>1991</v>
      </c>
      <c r="W921" t="s">
        <v>584</v>
      </c>
      <c r="X921" s="2" t="s">
        <v>33</v>
      </c>
      <c r="Y921" s="6" t="e">
        <f t="shared" si="118"/>
        <v>#VALUE!</v>
      </c>
      <c r="AA921">
        <v>87566648</v>
      </c>
      <c r="AB921">
        <v>74127</v>
      </c>
      <c r="AD921" t="s">
        <v>5</v>
      </c>
      <c r="AE921">
        <v>36</v>
      </c>
      <c r="AF921">
        <v>8</v>
      </c>
      <c r="AH921" t="s">
        <v>1035</v>
      </c>
      <c r="AI921" t="s">
        <v>1034</v>
      </c>
      <c r="AK921" t="s">
        <v>1033</v>
      </c>
      <c r="AL921">
        <v>0</v>
      </c>
      <c r="AM921" s="5">
        <f t="shared" si="114"/>
        <v>0</v>
      </c>
      <c r="AN921" s="4">
        <f t="shared" si="119"/>
        <v>0</v>
      </c>
      <c r="AO921" s="3"/>
      <c r="AP921">
        <v>0</v>
      </c>
      <c r="AR921" t="s">
        <v>0</v>
      </c>
      <c r="AT921" s="2" t="s">
        <v>33</v>
      </c>
      <c r="AU921" s="1" t="e">
        <f t="shared" si="115"/>
        <v>#VALUE!</v>
      </c>
      <c r="AV921" s="1" t="e">
        <f t="shared" si="116"/>
        <v>#VALUE!</v>
      </c>
      <c r="AW921" s="1" t="e">
        <f t="shared" si="117"/>
        <v>#VALUE!</v>
      </c>
    </row>
    <row r="922" spans="1:49" x14ac:dyDescent="0.2">
      <c r="A922">
        <v>920</v>
      </c>
      <c r="B922" t="s">
        <v>1032</v>
      </c>
      <c r="C922" t="s">
        <v>1031</v>
      </c>
      <c r="D922" t="s">
        <v>1030</v>
      </c>
      <c r="F922" t="s">
        <v>1029</v>
      </c>
      <c r="G922" t="s">
        <v>16</v>
      </c>
      <c r="H922" t="s">
        <v>15</v>
      </c>
      <c r="I922" t="s">
        <v>1028</v>
      </c>
      <c r="J922" t="s">
        <v>1027</v>
      </c>
      <c r="K922" t="s">
        <v>1026</v>
      </c>
      <c r="L922" t="s">
        <v>1025</v>
      </c>
      <c r="M922" t="s">
        <v>1024</v>
      </c>
      <c r="N922">
        <v>10</v>
      </c>
      <c r="O922" t="s">
        <v>1023</v>
      </c>
      <c r="P922" t="s">
        <v>1022</v>
      </c>
      <c r="Q922" t="s">
        <v>1021</v>
      </c>
      <c r="R922" s="7">
        <v>33239</v>
      </c>
      <c r="S922" s="8">
        <f t="shared" si="112"/>
        <v>1991</v>
      </c>
      <c r="T922" s="8">
        <v>1991</v>
      </c>
      <c r="U922" s="8">
        <f t="shared" si="113"/>
        <v>31</v>
      </c>
      <c r="V922" s="7" t="s">
        <v>885</v>
      </c>
      <c r="W922" t="s">
        <v>884</v>
      </c>
      <c r="X922" s="2">
        <v>0.65200000000000002</v>
      </c>
      <c r="Y922" s="6">
        <f t="shared" si="118"/>
        <v>1.7404767624996664E-2</v>
      </c>
      <c r="AA922">
        <v>222313</v>
      </c>
      <c r="AB922">
        <v>12179</v>
      </c>
      <c r="AD922" t="s">
        <v>5</v>
      </c>
      <c r="AE922" t="s">
        <v>883</v>
      </c>
      <c r="AF922" t="s">
        <v>882</v>
      </c>
      <c r="AH922" t="s">
        <v>1020</v>
      </c>
      <c r="AI922" t="s">
        <v>1019</v>
      </c>
      <c r="AK922" t="s">
        <v>1018</v>
      </c>
      <c r="AL922">
        <v>8</v>
      </c>
      <c r="AM922" s="5">
        <f t="shared" si="114"/>
        <v>0.25806451612903225</v>
      </c>
      <c r="AN922" s="4">
        <f t="shared" si="119"/>
        <v>3.9085879004775807E-4</v>
      </c>
      <c r="AO922" s="3"/>
      <c r="AP922">
        <v>0</v>
      </c>
      <c r="AR922" t="s">
        <v>0</v>
      </c>
      <c r="AT922" s="2">
        <v>3.5990000000000002</v>
      </c>
      <c r="AU922" s="1">
        <f t="shared" si="115"/>
        <v>1.2300594974511991</v>
      </c>
      <c r="AV922" s="1">
        <f t="shared" si="116"/>
        <v>0.88978132075222105</v>
      </c>
      <c r="AW922" s="1">
        <f t="shared" si="117"/>
        <v>0.54950314405324296</v>
      </c>
    </row>
    <row r="923" spans="1:49" x14ac:dyDescent="0.2">
      <c r="A923">
        <v>921</v>
      </c>
      <c r="B923" t="s">
        <v>1017</v>
      </c>
      <c r="C923" t="s">
        <v>1016</v>
      </c>
      <c r="F923" t="s">
        <v>1015</v>
      </c>
      <c r="G923" t="s">
        <v>16</v>
      </c>
      <c r="H923" t="s">
        <v>15</v>
      </c>
      <c r="I923" t="s">
        <v>1014</v>
      </c>
      <c r="J923">
        <v>60007801</v>
      </c>
      <c r="K923" t="s">
        <v>1013</v>
      </c>
      <c r="L923" t="s">
        <v>1012</v>
      </c>
      <c r="M923" t="s">
        <v>57</v>
      </c>
      <c r="N923">
        <v>1</v>
      </c>
      <c r="O923" t="s">
        <v>1011</v>
      </c>
      <c r="P923">
        <v>35562742900</v>
      </c>
      <c r="Q923">
        <v>60007801</v>
      </c>
      <c r="R923" s="7">
        <v>33239</v>
      </c>
      <c r="S923" s="8">
        <f t="shared" si="112"/>
        <v>1991</v>
      </c>
      <c r="T923" s="8">
        <v>1991</v>
      </c>
      <c r="U923" s="8">
        <f t="shared" si="113"/>
        <v>31</v>
      </c>
      <c r="V923" s="7">
        <v>33239</v>
      </c>
      <c r="W923" t="s">
        <v>1010</v>
      </c>
      <c r="X923" s="2">
        <v>0.90600000000000003</v>
      </c>
      <c r="Y923" s="6">
        <f t="shared" si="118"/>
        <v>2.4185152558661008E-2</v>
      </c>
      <c r="AA923">
        <v>10426914</v>
      </c>
      <c r="AB923">
        <v>21054</v>
      </c>
      <c r="AC923">
        <v>15322475</v>
      </c>
      <c r="AD923" t="s">
        <v>5</v>
      </c>
      <c r="AE923">
        <v>6</v>
      </c>
      <c r="AF923">
        <v>1</v>
      </c>
      <c r="AH923" s="10">
        <v>11689</v>
      </c>
      <c r="AI923" t="s">
        <v>1009</v>
      </c>
      <c r="AK923" t="s">
        <v>1008</v>
      </c>
      <c r="AL923">
        <v>11</v>
      </c>
      <c r="AM923" s="5">
        <f t="shared" si="114"/>
        <v>0.35483870967741937</v>
      </c>
      <c r="AN923" s="4">
        <f t="shared" si="119"/>
        <v>5.3743083631566731E-4</v>
      </c>
      <c r="AO923" s="3"/>
      <c r="AP923">
        <v>0</v>
      </c>
      <c r="AQ923" t="s">
        <v>508</v>
      </c>
      <c r="AR923" t="s">
        <v>1007</v>
      </c>
      <c r="AS923" t="s">
        <v>507</v>
      </c>
      <c r="AT923" s="2" t="s">
        <v>33</v>
      </c>
      <c r="AU923" s="1">
        <f t="shared" si="115"/>
        <v>1.7090836041957405</v>
      </c>
      <c r="AV923" s="1">
        <f t="shared" si="116"/>
        <v>1.2361291697488337</v>
      </c>
      <c r="AW923" s="1">
        <f t="shared" si="117"/>
        <v>0.76317473530192692</v>
      </c>
    </row>
    <row r="924" spans="1:49" x14ac:dyDescent="0.2">
      <c r="A924">
        <v>922</v>
      </c>
      <c r="B924" t="s">
        <v>1006</v>
      </c>
      <c r="C924" t="s">
        <v>1005</v>
      </c>
      <c r="F924" t="s">
        <v>1004</v>
      </c>
      <c r="G924" t="s">
        <v>16</v>
      </c>
      <c r="H924" t="s">
        <v>15</v>
      </c>
      <c r="I924" t="s">
        <v>1003</v>
      </c>
      <c r="N924">
        <v>2</v>
      </c>
      <c r="O924" t="s">
        <v>1002</v>
      </c>
      <c r="P924" t="s">
        <v>1001</v>
      </c>
      <c r="Q924" t="s">
        <v>592</v>
      </c>
      <c r="R924" s="7">
        <v>33239</v>
      </c>
      <c r="S924" s="8">
        <f t="shared" si="112"/>
        <v>1991</v>
      </c>
      <c r="T924" s="8">
        <v>1991</v>
      </c>
      <c r="U924" s="8">
        <f t="shared" si="113"/>
        <v>31</v>
      </c>
      <c r="V924" s="7" t="s">
        <v>780</v>
      </c>
      <c r="W924" t="s">
        <v>779</v>
      </c>
      <c r="X924" s="2">
        <v>0.371</v>
      </c>
      <c r="Y924" s="6">
        <f t="shared" si="118"/>
        <v>9.9036331117695747E-3</v>
      </c>
      <c r="AA924">
        <v>486604</v>
      </c>
      <c r="AB924">
        <v>28580</v>
      </c>
      <c r="AC924" t="s">
        <v>778</v>
      </c>
      <c r="AD924" t="s">
        <v>5</v>
      </c>
      <c r="AE924">
        <v>26</v>
      </c>
      <c r="AF924">
        <v>1</v>
      </c>
      <c r="AH924" t="s">
        <v>1000</v>
      </c>
      <c r="AI924" t="s">
        <v>999</v>
      </c>
      <c r="AK924" t="s">
        <v>998</v>
      </c>
      <c r="AL924">
        <v>6</v>
      </c>
      <c r="AM924" s="5">
        <f t="shared" si="114"/>
        <v>0.19354838709677419</v>
      </c>
      <c r="AN924" s="4">
        <f t="shared" si="119"/>
        <v>2.9314409253581854E-4</v>
      </c>
      <c r="AO924" s="3"/>
      <c r="AP924">
        <v>0</v>
      </c>
      <c r="AR924" t="s">
        <v>0</v>
      </c>
      <c r="AT924" s="2">
        <v>1.431</v>
      </c>
      <c r="AU924" s="1">
        <f t="shared" si="115"/>
        <v>0.70204864059994465</v>
      </c>
      <c r="AV924" s="1">
        <f t="shared" si="116"/>
        <v>0.50983886021526958</v>
      </c>
      <c r="AW924" s="1">
        <f t="shared" si="117"/>
        <v>0.31762907983059457</v>
      </c>
    </row>
    <row r="925" spans="1:49" x14ac:dyDescent="0.2">
      <c r="A925">
        <v>923</v>
      </c>
      <c r="B925" t="s">
        <v>997</v>
      </c>
      <c r="C925" t="s">
        <v>996</v>
      </c>
      <c r="F925" t="s">
        <v>995</v>
      </c>
      <c r="G925" t="s">
        <v>16</v>
      </c>
      <c r="H925" t="s">
        <v>15</v>
      </c>
      <c r="I925" t="s">
        <v>994</v>
      </c>
      <c r="J925" t="s">
        <v>993</v>
      </c>
      <c r="K925" t="s">
        <v>992</v>
      </c>
      <c r="L925" t="s">
        <v>991</v>
      </c>
      <c r="M925" t="s">
        <v>821</v>
      </c>
      <c r="N925">
        <v>17</v>
      </c>
      <c r="O925" t="s">
        <v>990</v>
      </c>
      <c r="P925" t="s">
        <v>989</v>
      </c>
      <c r="Q925" t="s">
        <v>988</v>
      </c>
      <c r="R925" s="7">
        <v>33239</v>
      </c>
      <c r="S925" s="8">
        <f t="shared" si="112"/>
        <v>1991</v>
      </c>
      <c r="T925" s="8">
        <v>1991</v>
      </c>
      <c r="U925" s="8">
        <f t="shared" si="113"/>
        <v>31</v>
      </c>
      <c r="V925" s="7">
        <v>33239</v>
      </c>
      <c r="W925" t="s">
        <v>987</v>
      </c>
      <c r="X925" s="2">
        <v>1.774</v>
      </c>
      <c r="Y925" s="6">
        <f t="shared" si="118"/>
        <v>4.7355916820159633E-2</v>
      </c>
      <c r="AA925">
        <v>295515</v>
      </c>
      <c r="AB925">
        <v>29066</v>
      </c>
      <c r="AC925">
        <v>17414326</v>
      </c>
      <c r="AD925" t="s">
        <v>5</v>
      </c>
      <c r="AE925">
        <v>31</v>
      </c>
      <c r="AF925">
        <v>1</v>
      </c>
      <c r="AH925" t="s">
        <v>986</v>
      </c>
      <c r="AI925" t="s">
        <v>985</v>
      </c>
      <c r="AK925" t="s">
        <v>984</v>
      </c>
      <c r="AL925">
        <v>13</v>
      </c>
      <c r="AM925" s="5">
        <f t="shared" si="114"/>
        <v>0.41935483870967744</v>
      </c>
      <c r="AN925" s="4">
        <f t="shared" si="119"/>
        <v>6.3514553382760684E-4</v>
      </c>
      <c r="AO925" s="3"/>
      <c r="AP925">
        <v>0</v>
      </c>
      <c r="AR925" t="s">
        <v>0</v>
      </c>
      <c r="AT925" s="2">
        <v>3.1789999999999998</v>
      </c>
      <c r="AU925" s="1">
        <f t="shared" si="115"/>
        <v>3.3339685434260025</v>
      </c>
      <c r="AV925" s="1">
        <f t="shared" si="116"/>
        <v>2.3995531176993619</v>
      </c>
      <c r="AW925" s="1">
        <f t="shared" si="117"/>
        <v>1.4651376919727213</v>
      </c>
    </row>
    <row r="926" spans="1:49" x14ac:dyDescent="0.2">
      <c r="A926">
        <v>924</v>
      </c>
      <c r="B926" t="s">
        <v>983</v>
      </c>
      <c r="C926" t="s">
        <v>982</v>
      </c>
      <c r="F926" t="s">
        <v>981</v>
      </c>
      <c r="G926" t="s">
        <v>16</v>
      </c>
      <c r="H926" t="s">
        <v>15</v>
      </c>
      <c r="I926" t="s">
        <v>980</v>
      </c>
      <c r="J926">
        <v>60020547</v>
      </c>
      <c r="K926" t="s">
        <v>416</v>
      </c>
      <c r="L926" t="s">
        <v>415</v>
      </c>
      <c r="M926" t="s">
        <v>57</v>
      </c>
      <c r="N926">
        <v>2</v>
      </c>
      <c r="O926" t="s">
        <v>979</v>
      </c>
      <c r="P926" t="s">
        <v>978</v>
      </c>
      <c r="Q926" t="s">
        <v>412</v>
      </c>
      <c r="R926" s="7">
        <v>33239</v>
      </c>
      <c r="S926" s="8">
        <f t="shared" si="112"/>
        <v>1991</v>
      </c>
      <c r="T926" s="8">
        <v>1991</v>
      </c>
      <c r="U926" s="8">
        <f t="shared" si="113"/>
        <v>31</v>
      </c>
      <c r="V926" s="7">
        <v>33258</v>
      </c>
      <c r="W926" t="s">
        <v>561</v>
      </c>
      <c r="X926" s="2">
        <v>0.30399999999999999</v>
      </c>
      <c r="Y926" s="6">
        <f t="shared" si="118"/>
        <v>8.115106377299057E-3</v>
      </c>
      <c r="AA926">
        <v>8952477</v>
      </c>
      <c r="AB926">
        <v>12250</v>
      </c>
      <c r="AC926">
        <v>10982760</v>
      </c>
      <c r="AD926" t="s">
        <v>5</v>
      </c>
      <c r="AE926">
        <v>4</v>
      </c>
      <c r="AF926">
        <v>2</v>
      </c>
      <c r="AH926" t="s">
        <v>977</v>
      </c>
      <c r="AI926" t="s">
        <v>976</v>
      </c>
      <c r="AJ926" t="s">
        <v>975</v>
      </c>
      <c r="AK926" t="s">
        <v>974</v>
      </c>
      <c r="AL926">
        <v>4</v>
      </c>
      <c r="AM926" s="5">
        <f t="shared" si="114"/>
        <v>0.12903225806451613</v>
      </c>
      <c r="AN926" s="4">
        <f t="shared" si="119"/>
        <v>1.9542939502387903E-4</v>
      </c>
      <c r="AO926" s="3"/>
      <c r="AP926">
        <v>0</v>
      </c>
      <c r="AR926" t="s">
        <v>0</v>
      </c>
      <c r="AT926" s="2" t="s">
        <v>33</v>
      </c>
      <c r="AU926" s="1">
        <f t="shared" si="115"/>
        <v>0.57392032826165029</v>
      </c>
      <c r="AV926" s="1">
        <f t="shared" si="116"/>
        <v>0.41552678861614678</v>
      </c>
      <c r="AW926" s="1">
        <f t="shared" si="117"/>
        <v>0.25713324897064327</v>
      </c>
    </row>
    <row r="927" spans="1:49" x14ac:dyDescent="0.2">
      <c r="A927">
        <v>925</v>
      </c>
      <c r="B927" t="s">
        <v>973</v>
      </c>
      <c r="F927" t="s">
        <v>972</v>
      </c>
      <c r="G927" t="s">
        <v>16</v>
      </c>
      <c r="H927" t="s">
        <v>15</v>
      </c>
      <c r="I927" t="s">
        <v>971</v>
      </c>
      <c r="N927">
        <v>2</v>
      </c>
      <c r="O927" t="s">
        <v>970</v>
      </c>
      <c r="P927" t="s">
        <v>969</v>
      </c>
      <c r="Q927" t="s">
        <v>592</v>
      </c>
      <c r="R927" s="7">
        <v>33239</v>
      </c>
      <c r="S927" s="8">
        <f t="shared" si="112"/>
        <v>1991</v>
      </c>
      <c r="T927" s="8">
        <v>1991</v>
      </c>
      <c r="U927" s="8">
        <f t="shared" si="113"/>
        <v>31</v>
      </c>
      <c r="V927" s="7">
        <v>1991</v>
      </c>
      <c r="W927" t="s">
        <v>584</v>
      </c>
      <c r="X927" s="2" t="s">
        <v>33</v>
      </c>
      <c r="Y927" s="6" t="e">
        <f t="shared" si="118"/>
        <v>#VALUE!</v>
      </c>
      <c r="AA927">
        <v>87566648</v>
      </c>
      <c r="AB927">
        <v>74127</v>
      </c>
      <c r="AD927" t="s">
        <v>5</v>
      </c>
      <c r="AE927">
        <v>36</v>
      </c>
      <c r="AF927">
        <v>1</v>
      </c>
      <c r="AH927" s="10">
        <v>44531</v>
      </c>
      <c r="AI927" t="s">
        <v>968</v>
      </c>
      <c r="AK927" t="s">
        <v>967</v>
      </c>
      <c r="AL927">
        <v>0</v>
      </c>
      <c r="AM927" s="5">
        <f t="shared" si="114"/>
        <v>0</v>
      </c>
      <c r="AN927" s="4">
        <f t="shared" si="119"/>
        <v>0</v>
      </c>
      <c r="AO927" s="3"/>
      <c r="AP927">
        <v>0</v>
      </c>
      <c r="AR927" t="s">
        <v>0</v>
      </c>
      <c r="AT927" s="2" t="s">
        <v>33</v>
      </c>
      <c r="AU927" s="1" t="e">
        <f t="shared" si="115"/>
        <v>#VALUE!</v>
      </c>
      <c r="AV927" s="1" t="e">
        <f t="shared" si="116"/>
        <v>#VALUE!</v>
      </c>
      <c r="AW927" s="1" t="e">
        <f t="shared" si="117"/>
        <v>#VALUE!</v>
      </c>
    </row>
    <row r="928" spans="1:49" x14ac:dyDescent="0.2">
      <c r="A928">
        <v>926</v>
      </c>
      <c r="B928" t="s">
        <v>966</v>
      </c>
      <c r="C928" t="s">
        <v>965</v>
      </c>
      <c r="F928" t="s">
        <v>964</v>
      </c>
      <c r="G928" t="s">
        <v>16</v>
      </c>
      <c r="H928" t="s">
        <v>15</v>
      </c>
      <c r="I928" t="s">
        <v>963</v>
      </c>
      <c r="J928">
        <v>60011533</v>
      </c>
      <c r="K928" t="s">
        <v>962</v>
      </c>
      <c r="L928" t="s">
        <v>961</v>
      </c>
      <c r="M928" t="s">
        <v>57</v>
      </c>
      <c r="N928">
        <v>2</v>
      </c>
      <c r="O928" t="s">
        <v>960</v>
      </c>
      <c r="P928" t="s">
        <v>959</v>
      </c>
      <c r="Q928" t="s">
        <v>958</v>
      </c>
      <c r="R928" s="7">
        <v>33239</v>
      </c>
      <c r="S928" s="8">
        <f t="shared" si="112"/>
        <v>1991</v>
      </c>
      <c r="T928" s="8">
        <v>1991</v>
      </c>
      <c r="U928" s="8">
        <f t="shared" si="113"/>
        <v>31</v>
      </c>
      <c r="V928" s="7">
        <v>33239</v>
      </c>
      <c r="W928" t="s">
        <v>674</v>
      </c>
      <c r="X928" s="2">
        <v>1.137</v>
      </c>
      <c r="Y928" s="6">
        <f t="shared" si="118"/>
        <v>3.0351565628253384E-2</v>
      </c>
      <c r="AA928">
        <v>189251</v>
      </c>
      <c r="AB928">
        <v>17336</v>
      </c>
      <c r="AD928" t="s">
        <v>5</v>
      </c>
      <c r="AE928">
        <v>27</v>
      </c>
      <c r="AF928">
        <v>1</v>
      </c>
      <c r="AH928" t="s">
        <v>957</v>
      </c>
      <c r="AI928" t="s">
        <v>956</v>
      </c>
      <c r="AK928" t="s">
        <v>955</v>
      </c>
      <c r="AL928">
        <v>8</v>
      </c>
      <c r="AM928" s="5">
        <f t="shared" si="114"/>
        <v>0.25806451612903225</v>
      </c>
      <c r="AN928" s="4">
        <f t="shared" si="119"/>
        <v>3.9085879004775807E-4</v>
      </c>
      <c r="AO928" s="3"/>
      <c r="AP928">
        <v>0</v>
      </c>
      <c r="AR928" t="s">
        <v>0</v>
      </c>
      <c r="AT928" s="2" t="s">
        <v>33</v>
      </c>
      <c r="AU928" s="1">
        <f t="shared" si="115"/>
        <v>2.1363353576791693</v>
      </c>
      <c r="AV928" s="1">
        <f t="shared" si="116"/>
        <v>1.5371212209150571</v>
      </c>
      <c r="AW928" s="1">
        <f t="shared" si="117"/>
        <v>0.9379070841509447</v>
      </c>
    </row>
    <row r="929" spans="1:49" x14ac:dyDescent="0.2">
      <c r="A929">
        <v>927</v>
      </c>
      <c r="B929" t="s">
        <v>954</v>
      </c>
      <c r="C929" t="s">
        <v>953</v>
      </c>
      <c r="F929" t="s">
        <v>952</v>
      </c>
      <c r="G929" t="s">
        <v>16</v>
      </c>
      <c r="H929" t="s">
        <v>15</v>
      </c>
      <c r="I929" t="s">
        <v>951</v>
      </c>
      <c r="N929">
        <v>2</v>
      </c>
      <c r="O929" t="s">
        <v>950</v>
      </c>
      <c r="P929" t="s">
        <v>949</v>
      </c>
      <c r="Q929" t="s">
        <v>592</v>
      </c>
      <c r="R929" s="7">
        <v>33239</v>
      </c>
      <c r="S929" s="8">
        <f t="shared" si="112"/>
        <v>1991</v>
      </c>
      <c r="T929" s="8">
        <v>1991</v>
      </c>
      <c r="U929" s="8">
        <f t="shared" si="113"/>
        <v>31</v>
      </c>
      <c r="V929" s="7" t="s">
        <v>780</v>
      </c>
      <c r="W929" t="s">
        <v>779</v>
      </c>
      <c r="X929" s="2">
        <v>0.371</v>
      </c>
      <c r="Y929" s="6">
        <f t="shared" si="118"/>
        <v>9.9036331117695747E-3</v>
      </c>
      <c r="AA929">
        <v>486604</v>
      </c>
      <c r="AB929">
        <v>28580</v>
      </c>
      <c r="AC929" t="s">
        <v>778</v>
      </c>
      <c r="AD929" t="s">
        <v>5</v>
      </c>
      <c r="AE929">
        <v>26</v>
      </c>
      <c r="AF929">
        <v>1</v>
      </c>
      <c r="AH929" t="s">
        <v>948</v>
      </c>
      <c r="AI929" t="s">
        <v>947</v>
      </c>
      <c r="AK929" t="s">
        <v>946</v>
      </c>
      <c r="AL929">
        <v>3</v>
      </c>
      <c r="AM929" s="5">
        <f t="shared" si="114"/>
        <v>9.6774193548387094E-2</v>
      </c>
      <c r="AN929" s="4">
        <f t="shared" si="119"/>
        <v>1.4657204626790927E-4</v>
      </c>
      <c r="AO929" s="3"/>
      <c r="AP929">
        <v>0</v>
      </c>
      <c r="AR929" t="s">
        <v>0</v>
      </c>
      <c r="AT929" s="2">
        <v>1.431</v>
      </c>
      <c r="AU929" s="1">
        <f t="shared" si="115"/>
        <v>0.69765147921190751</v>
      </c>
      <c r="AV929" s="1">
        <f t="shared" si="116"/>
        <v>0.5025102579018742</v>
      </c>
      <c r="AW929" s="1">
        <f t="shared" si="117"/>
        <v>0.30736903659184089</v>
      </c>
    </row>
    <row r="930" spans="1:49" x14ac:dyDescent="0.2">
      <c r="A930">
        <v>928</v>
      </c>
      <c r="B930" t="s">
        <v>945</v>
      </c>
      <c r="F930" t="s">
        <v>944</v>
      </c>
      <c r="G930" t="s">
        <v>16</v>
      </c>
      <c r="H930" t="s">
        <v>15</v>
      </c>
      <c r="I930" t="s">
        <v>943</v>
      </c>
      <c r="N930">
        <v>1</v>
      </c>
      <c r="O930" t="s">
        <v>942</v>
      </c>
      <c r="P930">
        <v>6602698017</v>
      </c>
      <c r="R930" s="7">
        <v>33239</v>
      </c>
      <c r="S930" s="8">
        <f t="shared" si="112"/>
        <v>1991</v>
      </c>
      <c r="T930" s="8">
        <v>1991</v>
      </c>
      <c r="U930" s="8">
        <f t="shared" si="113"/>
        <v>31</v>
      </c>
      <c r="V930" s="7">
        <v>1991</v>
      </c>
      <c r="W930" t="s">
        <v>584</v>
      </c>
      <c r="X930" s="2" t="s">
        <v>33</v>
      </c>
      <c r="Y930" s="6" t="e">
        <f t="shared" si="118"/>
        <v>#VALUE!</v>
      </c>
      <c r="AA930">
        <v>87566648</v>
      </c>
      <c r="AB930">
        <v>74127</v>
      </c>
      <c r="AD930" t="s">
        <v>5</v>
      </c>
      <c r="AE930">
        <v>36</v>
      </c>
      <c r="AF930">
        <v>2</v>
      </c>
      <c r="AH930" t="s">
        <v>941</v>
      </c>
      <c r="AI930" t="s">
        <v>940</v>
      </c>
      <c r="AK930" t="s">
        <v>939</v>
      </c>
      <c r="AL930">
        <v>0</v>
      </c>
      <c r="AM930" s="5">
        <f t="shared" si="114"/>
        <v>0</v>
      </c>
      <c r="AN930" s="4">
        <f t="shared" si="119"/>
        <v>0</v>
      </c>
      <c r="AO930" s="3"/>
      <c r="AP930">
        <v>0</v>
      </c>
      <c r="AR930" t="s">
        <v>0</v>
      </c>
      <c r="AT930" s="2" t="s">
        <v>33</v>
      </c>
      <c r="AU930" s="1" t="e">
        <f t="shared" si="115"/>
        <v>#VALUE!</v>
      </c>
      <c r="AV930" s="1" t="e">
        <f t="shared" si="116"/>
        <v>#VALUE!</v>
      </c>
      <c r="AW930" s="1" t="e">
        <f t="shared" si="117"/>
        <v>#VALUE!</v>
      </c>
    </row>
    <row r="931" spans="1:49" x14ac:dyDescent="0.2">
      <c r="A931">
        <v>929</v>
      </c>
      <c r="B931" t="s">
        <v>938</v>
      </c>
      <c r="C931" t="s">
        <v>937</v>
      </c>
      <c r="D931" t="s">
        <v>936</v>
      </c>
      <c r="E931">
        <v>1717838</v>
      </c>
      <c r="F931" t="s">
        <v>935</v>
      </c>
      <c r="G931" t="s">
        <v>16</v>
      </c>
      <c r="H931" t="s">
        <v>15</v>
      </c>
      <c r="I931" t="s">
        <v>934</v>
      </c>
      <c r="J931">
        <v>60109869</v>
      </c>
      <c r="K931" t="s">
        <v>933</v>
      </c>
      <c r="L931" t="s">
        <v>932</v>
      </c>
      <c r="M931" t="s">
        <v>800</v>
      </c>
      <c r="N931">
        <v>4</v>
      </c>
      <c r="O931" t="s">
        <v>931</v>
      </c>
      <c r="P931" t="s">
        <v>930</v>
      </c>
      <c r="Q931" t="s">
        <v>929</v>
      </c>
      <c r="R931" s="7">
        <v>33239</v>
      </c>
      <c r="S931" s="8">
        <f t="shared" si="112"/>
        <v>1991</v>
      </c>
      <c r="T931" s="8">
        <v>1991</v>
      </c>
      <c r="U931" s="8">
        <f t="shared" si="113"/>
        <v>31</v>
      </c>
      <c r="V931" s="7">
        <v>33512</v>
      </c>
      <c r="W931" t="s">
        <v>928</v>
      </c>
      <c r="X931" s="2">
        <v>1.2909999999999999</v>
      </c>
      <c r="Y931" s="6">
        <f t="shared" si="118"/>
        <v>3.4462507674648299E-2</v>
      </c>
      <c r="AA931">
        <v>1615890</v>
      </c>
      <c r="AB931">
        <v>14156</v>
      </c>
      <c r="AD931" t="s">
        <v>5</v>
      </c>
      <c r="AE931">
        <v>28</v>
      </c>
      <c r="AF931">
        <v>10</v>
      </c>
      <c r="AH931" t="s">
        <v>927</v>
      </c>
      <c r="AI931" t="s">
        <v>926</v>
      </c>
      <c r="AK931" t="s">
        <v>925</v>
      </c>
      <c r="AL931">
        <v>0</v>
      </c>
      <c r="AM931" s="5">
        <f t="shared" si="114"/>
        <v>0</v>
      </c>
      <c r="AN931" s="4">
        <f t="shared" si="119"/>
        <v>0</v>
      </c>
      <c r="AO931" s="3"/>
      <c r="AP931">
        <v>0</v>
      </c>
      <c r="AR931" t="s">
        <v>0</v>
      </c>
      <c r="AT931" s="2">
        <v>4.407</v>
      </c>
      <c r="AU931" s="1">
        <f t="shared" si="115"/>
        <v>2.4123755372253806</v>
      </c>
      <c r="AV931" s="1">
        <f t="shared" si="116"/>
        <v>1.723125383732415</v>
      </c>
      <c r="AW931" s="1">
        <f t="shared" si="117"/>
        <v>1.0338752302394489</v>
      </c>
    </row>
    <row r="932" spans="1:49" x14ac:dyDescent="0.2">
      <c r="A932">
        <v>930</v>
      </c>
      <c r="B932" t="s">
        <v>924</v>
      </c>
      <c r="F932" t="s">
        <v>923</v>
      </c>
      <c r="G932" t="s">
        <v>16</v>
      </c>
      <c r="H932" t="s">
        <v>15</v>
      </c>
      <c r="I932" t="s">
        <v>701</v>
      </c>
      <c r="N932">
        <v>2</v>
      </c>
      <c r="O932" t="s">
        <v>922</v>
      </c>
      <c r="P932" t="s">
        <v>921</v>
      </c>
      <c r="Q932" t="s">
        <v>592</v>
      </c>
      <c r="R932" s="7">
        <v>33239</v>
      </c>
      <c r="S932" s="8">
        <f t="shared" si="112"/>
        <v>1991</v>
      </c>
      <c r="T932" s="8">
        <v>1991</v>
      </c>
      <c r="U932" s="8">
        <f t="shared" si="113"/>
        <v>31</v>
      </c>
      <c r="V932" s="7">
        <v>1991</v>
      </c>
      <c r="W932" t="s">
        <v>584</v>
      </c>
      <c r="X932" s="2" t="s">
        <v>33</v>
      </c>
      <c r="Y932" s="6" t="e">
        <f t="shared" si="118"/>
        <v>#VALUE!</v>
      </c>
      <c r="AA932">
        <v>87566648</v>
      </c>
      <c r="AB932">
        <v>74127</v>
      </c>
      <c r="AD932" t="s">
        <v>5</v>
      </c>
      <c r="AE932">
        <v>36</v>
      </c>
      <c r="AF932">
        <v>7</v>
      </c>
      <c r="AH932" t="s">
        <v>920</v>
      </c>
      <c r="AI932" t="s">
        <v>919</v>
      </c>
      <c r="AK932" t="s">
        <v>918</v>
      </c>
      <c r="AL932">
        <v>0</v>
      </c>
      <c r="AM932" s="5">
        <f t="shared" si="114"/>
        <v>0</v>
      </c>
      <c r="AN932" s="4">
        <f t="shared" si="119"/>
        <v>0</v>
      </c>
      <c r="AO932" s="3"/>
      <c r="AP932">
        <v>0</v>
      </c>
      <c r="AR932" t="s">
        <v>0</v>
      </c>
      <c r="AT932" s="2" t="s">
        <v>33</v>
      </c>
      <c r="AU932" s="1" t="e">
        <f t="shared" si="115"/>
        <v>#VALUE!</v>
      </c>
      <c r="AV932" s="1" t="e">
        <f t="shared" si="116"/>
        <v>#VALUE!</v>
      </c>
      <c r="AW932" s="1" t="e">
        <f t="shared" si="117"/>
        <v>#VALUE!</v>
      </c>
    </row>
    <row r="933" spans="1:49" x14ac:dyDescent="0.2">
      <c r="A933">
        <v>931</v>
      </c>
      <c r="B933" t="s">
        <v>917</v>
      </c>
      <c r="F933" t="s">
        <v>916</v>
      </c>
      <c r="G933" t="s">
        <v>16</v>
      </c>
      <c r="H933" t="s">
        <v>15</v>
      </c>
      <c r="I933" t="s">
        <v>915</v>
      </c>
      <c r="N933">
        <v>3</v>
      </c>
      <c r="O933" t="s">
        <v>914</v>
      </c>
      <c r="P933" t="s">
        <v>913</v>
      </c>
      <c r="Q933" t="s">
        <v>757</v>
      </c>
      <c r="R933" s="7">
        <v>33239</v>
      </c>
      <c r="S933" s="8">
        <f t="shared" si="112"/>
        <v>1991</v>
      </c>
      <c r="T933" s="8">
        <v>1991</v>
      </c>
      <c r="U933" s="8">
        <f t="shared" si="113"/>
        <v>31</v>
      </c>
      <c r="V933" s="7">
        <v>1991</v>
      </c>
      <c r="W933" t="s">
        <v>584</v>
      </c>
      <c r="X933" s="2" t="s">
        <v>33</v>
      </c>
      <c r="Y933" s="6" t="e">
        <f t="shared" si="118"/>
        <v>#VALUE!</v>
      </c>
      <c r="AA933">
        <v>87566648</v>
      </c>
      <c r="AB933">
        <v>74127</v>
      </c>
      <c r="AD933" t="s">
        <v>5</v>
      </c>
      <c r="AE933">
        <v>36</v>
      </c>
      <c r="AF933">
        <v>7</v>
      </c>
      <c r="AH933" t="s">
        <v>912</v>
      </c>
      <c r="AI933" t="s">
        <v>911</v>
      </c>
      <c r="AK933" t="s">
        <v>910</v>
      </c>
      <c r="AL933">
        <v>0</v>
      </c>
      <c r="AM933" s="5">
        <f t="shared" si="114"/>
        <v>0</v>
      </c>
      <c r="AN933" s="4">
        <f t="shared" si="119"/>
        <v>0</v>
      </c>
      <c r="AO933" s="3"/>
      <c r="AP933">
        <v>0</v>
      </c>
      <c r="AR933" t="s">
        <v>0</v>
      </c>
      <c r="AT933" s="2" t="s">
        <v>33</v>
      </c>
      <c r="AU933" s="1" t="e">
        <f t="shared" si="115"/>
        <v>#VALUE!</v>
      </c>
      <c r="AV933" s="1" t="e">
        <f t="shared" si="116"/>
        <v>#VALUE!</v>
      </c>
      <c r="AW933" s="1" t="e">
        <f t="shared" si="117"/>
        <v>#VALUE!</v>
      </c>
    </row>
    <row r="934" spans="1:49" x14ac:dyDescent="0.2">
      <c r="A934">
        <v>932</v>
      </c>
      <c r="B934" t="s">
        <v>909</v>
      </c>
      <c r="C934" t="s">
        <v>908</v>
      </c>
      <c r="D934">
        <v>22231391901044</v>
      </c>
      <c r="F934" t="s">
        <v>907</v>
      </c>
      <c r="G934" t="s">
        <v>16</v>
      </c>
      <c r="H934" t="s">
        <v>15</v>
      </c>
      <c r="I934" t="s">
        <v>906</v>
      </c>
      <c r="J934">
        <v>60070193</v>
      </c>
      <c r="K934" t="s">
        <v>905</v>
      </c>
      <c r="L934" t="s">
        <v>904</v>
      </c>
      <c r="M934" t="s">
        <v>272</v>
      </c>
      <c r="N934">
        <v>3</v>
      </c>
      <c r="O934" t="s">
        <v>903</v>
      </c>
      <c r="P934" t="s">
        <v>902</v>
      </c>
      <c r="Q934" t="s">
        <v>901</v>
      </c>
      <c r="R934" s="7">
        <v>33239</v>
      </c>
      <c r="S934" s="8">
        <f t="shared" si="112"/>
        <v>1991</v>
      </c>
      <c r="T934" s="8">
        <v>1991</v>
      </c>
      <c r="U934" s="8">
        <f t="shared" si="113"/>
        <v>31</v>
      </c>
      <c r="V934" s="7" t="s">
        <v>885</v>
      </c>
      <c r="W934" t="s">
        <v>884</v>
      </c>
      <c r="X934" s="2">
        <v>0.65200000000000002</v>
      </c>
      <c r="Y934" s="6">
        <f t="shared" si="118"/>
        <v>1.7404767624996664E-2</v>
      </c>
      <c r="AA934">
        <v>222313</v>
      </c>
      <c r="AB934">
        <v>12179</v>
      </c>
      <c r="AD934" t="s">
        <v>5</v>
      </c>
      <c r="AE934" t="s">
        <v>883</v>
      </c>
      <c r="AF934" t="s">
        <v>882</v>
      </c>
      <c r="AH934" t="s">
        <v>900</v>
      </c>
      <c r="AI934" t="s">
        <v>899</v>
      </c>
      <c r="AK934" t="s">
        <v>898</v>
      </c>
      <c r="AL934">
        <v>1</v>
      </c>
      <c r="AM934" s="5">
        <f t="shared" si="114"/>
        <v>3.2258064516129031E-2</v>
      </c>
      <c r="AN934" s="4">
        <f t="shared" si="119"/>
        <v>4.8857348755969758E-5</v>
      </c>
      <c r="AO934" s="3"/>
      <c r="AP934">
        <v>0</v>
      </c>
      <c r="AQ934" t="s">
        <v>897</v>
      </c>
      <c r="AR934" t="s">
        <v>0</v>
      </c>
      <c r="AS934" t="s">
        <v>896</v>
      </c>
      <c r="AT934" s="2">
        <v>3.5990000000000002</v>
      </c>
      <c r="AU934" s="1">
        <f t="shared" si="115"/>
        <v>1.2197994542124455</v>
      </c>
      <c r="AV934" s="1">
        <f t="shared" si="116"/>
        <v>0.87268124868763175</v>
      </c>
      <c r="AW934" s="1">
        <f t="shared" si="117"/>
        <v>0.52556304316281777</v>
      </c>
    </row>
    <row r="935" spans="1:49" x14ac:dyDescent="0.2">
      <c r="A935">
        <v>933</v>
      </c>
      <c r="B935" t="s">
        <v>895</v>
      </c>
      <c r="C935" t="s">
        <v>894</v>
      </c>
      <c r="D935" t="s">
        <v>893</v>
      </c>
      <c r="F935" t="s">
        <v>892</v>
      </c>
      <c r="G935" t="s">
        <v>16</v>
      </c>
      <c r="H935" t="s">
        <v>15</v>
      </c>
      <c r="I935" t="s">
        <v>891</v>
      </c>
      <c r="J935">
        <v>60024260</v>
      </c>
      <c r="K935" t="s">
        <v>890</v>
      </c>
      <c r="L935" t="s">
        <v>889</v>
      </c>
      <c r="M935" t="s">
        <v>25</v>
      </c>
      <c r="N935">
        <v>6</v>
      </c>
      <c r="O935" t="s">
        <v>888</v>
      </c>
      <c r="P935" t="s">
        <v>887</v>
      </c>
      <c r="Q935" t="s">
        <v>886</v>
      </c>
      <c r="R935" s="7">
        <v>33239</v>
      </c>
      <c r="S935" s="8">
        <f t="shared" si="112"/>
        <v>1991</v>
      </c>
      <c r="T935" s="8">
        <v>1991</v>
      </c>
      <c r="U935" s="8">
        <f t="shared" si="113"/>
        <v>31</v>
      </c>
      <c r="V935" s="7" t="s">
        <v>885</v>
      </c>
      <c r="W935" t="s">
        <v>884</v>
      </c>
      <c r="X935" s="2">
        <v>0.65200000000000002</v>
      </c>
      <c r="Y935" s="6">
        <f t="shared" si="118"/>
        <v>1.7404767624996664E-2</v>
      </c>
      <c r="AA935">
        <v>222313</v>
      </c>
      <c r="AB935">
        <v>12179</v>
      </c>
      <c r="AD935" t="s">
        <v>5</v>
      </c>
      <c r="AE935" t="s">
        <v>883</v>
      </c>
      <c r="AF935" t="s">
        <v>882</v>
      </c>
      <c r="AH935" t="s">
        <v>881</v>
      </c>
      <c r="AI935" t="s">
        <v>880</v>
      </c>
      <c r="AK935" t="s">
        <v>879</v>
      </c>
      <c r="AL935">
        <v>85</v>
      </c>
      <c r="AM935" s="5">
        <f t="shared" si="114"/>
        <v>2.7419354838709675</v>
      </c>
      <c r="AN935" s="4">
        <f t="shared" si="119"/>
        <v>4.1528746442574286E-3</v>
      </c>
      <c r="AO935" s="3"/>
      <c r="AP935">
        <v>0</v>
      </c>
      <c r="AQ935" t="s">
        <v>460</v>
      </c>
      <c r="AR935" t="s">
        <v>0</v>
      </c>
      <c r="AS935" t="s">
        <v>458</v>
      </c>
      <c r="AT935" s="2">
        <v>3.5990000000000002</v>
      </c>
      <c r="AU935" s="1">
        <f t="shared" si="115"/>
        <v>1.3429199730774892</v>
      </c>
      <c r="AV935" s="1">
        <f t="shared" si="116"/>
        <v>1.0778821134627046</v>
      </c>
      <c r="AW935" s="1">
        <f t="shared" si="117"/>
        <v>0.81284425384791981</v>
      </c>
    </row>
    <row r="936" spans="1:49" x14ac:dyDescent="0.2">
      <c r="A936">
        <v>934</v>
      </c>
      <c r="B936" t="s">
        <v>878</v>
      </c>
      <c r="F936" t="s">
        <v>877</v>
      </c>
      <c r="G936" t="s">
        <v>16</v>
      </c>
      <c r="H936" t="s">
        <v>15</v>
      </c>
      <c r="I936" t="s">
        <v>876</v>
      </c>
      <c r="N936">
        <v>1</v>
      </c>
      <c r="O936" t="s">
        <v>875</v>
      </c>
      <c r="P936">
        <v>6603223498</v>
      </c>
      <c r="R936" s="7">
        <v>33239</v>
      </c>
      <c r="S936" s="8">
        <f t="shared" si="112"/>
        <v>1991</v>
      </c>
      <c r="T936" s="8">
        <v>1991</v>
      </c>
      <c r="U936" s="8">
        <f t="shared" si="113"/>
        <v>31</v>
      </c>
      <c r="V936" s="7">
        <v>1991</v>
      </c>
      <c r="W936" t="s">
        <v>584</v>
      </c>
      <c r="X936" s="2" t="s">
        <v>33</v>
      </c>
      <c r="Y936" s="6" t="e">
        <f t="shared" si="118"/>
        <v>#VALUE!</v>
      </c>
      <c r="AA936">
        <v>87566648</v>
      </c>
      <c r="AB936">
        <v>74127</v>
      </c>
      <c r="AD936" t="s">
        <v>5</v>
      </c>
      <c r="AE936">
        <v>36</v>
      </c>
      <c r="AF936">
        <v>3</v>
      </c>
      <c r="AH936" t="s">
        <v>874</v>
      </c>
      <c r="AI936" t="s">
        <v>873</v>
      </c>
      <c r="AK936" t="s">
        <v>872</v>
      </c>
      <c r="AL936">
        <v>0</v>
      </c>
      <c r="AM936" s="5">
        <f t="shared" si="114"/>
        <v>0</v>
      </c>
      <c r="AN936" s="4">
        <f t="shared" si="119"/>
        <v>0</v>
      </c>
      <c r="AO936" s="3"/>
      <c r="AP936">
        <v>0</v>
      </c>
      <c r="AR936" t="s">
        <v>0</v>
      </c>
      <c r="AT936" s="2" t="s">
        <v>33</v>
      </c>
      <c r="AU936" s="1" t="e">
        <f t="shared" si="115"/>
        <v>#VALUE!</v>
      </c>
      <c r="AV936" s="1" t="e">
        <f t="shared" si="116"/>
        <v>#VALUE!</v>
      </c>
      <c r="AW936" s="1" t="e">
        <f t="shared" si="117"/>
        <v>#VALUE!</v>
      </c>
    </row>
    <row r="937" spans="1:49" x14ac:dyDescent="0.2">
      <c r="A937">
        <v>935</v>
      </c>
      <c r="B937" t="s">
        <v>871</v>
      </c>
      <c r="C937" t="s">
        <v>870</v>
      </c>
      <c r="E937">
        <v>1919142</v>
      </c>
      <c r="F937" t="s">
        <v>869</v>
      </c>
      <c r="G937" t="s">
        <v>16</v>
      </c>
      <c r="H937" t="s">
        <v>15</v>
      </c>
      <c r="I937" t="s">
        <v>868</v>
      </c>
      <c r="J937">
        <v>60030443</v>
      </c>
      <c r="K937" t="s">
        <v>867</v>
      </c>
      <c r="L937" t="s">
        <v>866</v>
      </c>
      <c r="M937" t="s">
        <v>57</v>
      </c>
      <c r="N937">
        <v>3</v>
      </c>
      <c r="O937" t="s">
        <v>865</v>
      </c>
      <c r="P937" t="s">
        <v>864</v>
      </c>
      <c r="Q937" t="s">
        <v>863</v>
      </c>
      <c r="R937" s="7">
        <v>33239</v>
      </c>
      <c r="S937" s="8">
        <f t="shared" si="112"/>
        <v>1991</v>
      </c>
      <c r="T937" s="8">
        <v>1991</v>
      </c>
      <c r="U937" s="8">
        <f t="shared" si="113"/>
        <v>31</v>
      </c>
      <c r="V937" s="7">
        <v>1991</v>
      </c>
      <c r="W937" t="s">
        <v>609</v>
      </c>
      <c r="X937" s="2">
        <v>0.89600000000000002</v>
      </c>
      <c r="Y937" s="6">
        <f t="shared" si="118"/>
        <v>2.3918208269934065E-2</v>
      </c>
      <c r="AA937">
        <v>2656736</v>
      </c>
      <c r="AB937">
        <v>29901</v>
      </c>
      <c r="AD937" t="s">
        <v>5</v>
      </c>
      <c r="AE937">
        <v>7</v>
      </c>
      <c r="AF937">
        <v>3</v>
      </c>
      <c r="AH937" t="s">
        <v>862</v>
      </c>
      <c r="AI937" t="s">
        <v>861</v>
      </c>
      <c r="AJ937" t="s">
        <v>860</v>
      </c>
      <c r="AK937" t="s">
        <v>859</v>
      </c>
      <c r="AL937">
        <v>7</v>
      </c>
      <c r="AM937" s="5">
        <f t="shared" si="114"/>
        <v>0.22580645161290322</v>
      </c>
      <c r="AN937" s="4">
        <f t="shared" si="119"/>
        <v>3.420014412917883E-4</v>
      </c>
      <c r="AO937" s="3"/>
      <c r="AP937">
        <v>0</v>
      </c>
      <c r="AQ937" t="s">
        <v>126</v>
      </c>
      <c r="AR937" t="s">
        <v>858</v>
      </c>
      <c r="AS937" t="s">
        <v>124</v>
      </c>
      <c r="AT937" s="2">
        <v>3.9140000000000001</v>
      </c>
      <c r="AU937" s="1">
        <f t="shared" si="115"/>
        <v>1.684534622134138</v>
      </c>
      <c r="AV937" s="1">
        <f t="shared" si="116"/>
        <v>1.2130104855612927</v>
      </c>
      <c r="AW937" s="1">
        <f t="shared" si="117"/>
        <v>0.74148634898844701</v>
      </c>
    </row>
    <row r="938" spans="1:49" x14ac:dyDescent="0.2">
      <c r="A938">
        <v>936</v>
      </c>
      <c r="B938" t="s">
        <v>857</v>
      </c>
      <c r="C938" t="s">
        <v>856</v>
      </c>
      <c r="E938">
        <v>1715373</v>
      </c>
      <c r="F938" t="s">
        <v>855</v>
      </c>
      <c r="G938" t="s">
        <v>16</v>
      </c>
      <c r="H938" t="s">
        <v>15</v>
      </c>
      <c r="I938" t="s">
        <v>854</v>
      </c>
      <c r="J938" t="s">
        <v>853</v>
      </c>
      <c r="K938" t="s">
        <v>852</v>
      </c>
      <c r="L938" t="s">
        <v>851</v>
      </c>
      <c r="M938" t="s">
        <v>850</v>
      </c>
      <c r="N938">
        <v>4</v>
      </c>
      <c r="O938" t="s">
        <v>849</v>
      </c>
      <c r="P938" t="s">
        <v>848</v>
      </c>
      <c r="Q938" t="s">
        <v>847</v>
      </c>
      <c r="R938" s="7">
        <v>33239</v>
      </c>
      <c r="S938" s="8">
        <f t="shared" si="112"/>
        <v>1991</v>
      </c>
      <c r="T938" s="8">
        <v>1991</v>
      </c>
      <c r="U938" s="8">
        <f t="shared" si="113"/>
        <v>31</v>
      </c>
      <c r="V938" s="7">
        <v>1991</v>
      </c>
      <c r="W938" t="s">
        <v>609</v>
      </c>
      <c r="X938" s="2">
        <v>0.89600000000000002</v>
      </c>
      <c r="Y938" s="6">
        <f t="shared" si="118"/>
        <v>2.3918208269934065E-2</v>
      </c>
      <c r="AA938">
        <v>2656736</v>
      </c>
      <c r="AB938">
        <v>29901</v>
      </c>
      <c r="AD938" t="s">
        <v>5</v>
      </c>
      <c r="AE938">
        <v>7</v>
      </c>
      <c r="AF938">
        <v>2</v>
      </c>
      <c r="AH938" t="s">
        <v>846</v>
      </c>
      <c r="AI938" t="s">
        <v>845</v>
      </c>
      <c r="AK938" t="s">
        <v>844</v>
      </c>
      <c r="AL938">
        <v>20</v>
      </c>
      <c r="AM938" s="5">
        <f t="shared" si="114"/>
        <v>0.64516129032258063</v>
      </c>
      <c r="AN938" s="4">
        <f t="shared" si="119"/>
        <v>9.7714697511939509E-4</v>
      </c>
      <c r="AO938" s="3"/>
      <c r="AP938">
        <v>0</v>
      </c>
      <c r="AR938" t="s">
        <v>0</v>
      </c>
      <c r="AT938" s="2">
        <v>3.9140000000000001</v>
      </c>
      <c r="AU938" s="1">
        <f t="shared" si="115"/>
        <v>1.7035889881489661</v>
      </c>
      <c r="AV938" s="1">
        <f t="shared" si="116"/>
        <v>1.2447677622526732</v>
      </c>
      <c r="AW938" s="1">
        <f t="shared" si="117"/>
        <v>0.78594653635637945</v>
      </c>
    </row>
    <row r="939" spans="1:49" x14ac:dyDescent="0.2">
      <c r="A939">
        <v>937</v>
      </c>
      <c r="B939" t="s">
        <v>843</v>
      </c>
      <c r="C939" t="s">
        <v>842</v>
      </c>
      <c r="E939">
        <v>1992518</v>
      </c>
      <c r="F939" t="s">
        <v>841</v>
      </c>
      <c r="G939" t="s">
        <v>16</v>
      </c>
      <c r="H939" t="s">
        <v>15</v>
      </c>
      <c r="I939" t="s">
        <v>840</v>
      </c>
      <c r="J939">
        <v>60012708</v>
      </c>
      <c r="K939" t="s">
        <v>839</v>
      </c>
      <c r="L939" t="s">
        <v>838</v>
      </c>
      <c r="M939" t="s">
        <v>57</v>
      </c>
      <c r="N939">
        <v>3</v>
      </c>
      <c r="O939" t="s">
        <v>837</v>
      </c>
      <c r="P939" t="s">
        <v>836</v>
      </c>
      <c r="Q939" t="s">
        <v>835</v>
      </c>
      <c r="R939" s="7">
        <v>33239</v>
      </c>
      <c r="S939" s="8">
        <f t="shared" si="112"/>
        <v>1991</v>
      </c>
      <c r="T939" s="8">
        <v>1991</v>
      </c>
      <c r="U939" s="8">
        <f t="shared" si="113"/>
        <v>31</v>
      </c>
      <c r="V939" s="7">
        <v>1991</v>
      </c>
      <c r="W939" t="s">
        <v>834</v>
      </c>
      <c r="X939" s="2">
        <v>12.555999999999999</v>
      </c>
      <c r="Y939" s="6">
        <f t="shared" si="118"/>
        <v>0.33517524892554923</v>
      </c>
      <c r="AA939">
        <v>368075</v>
      </c>
      <c r="AB939">
        <v>23571</v>
      </c>
      <c r="AD939" t="s">
        <v>5</v>
      </c>
      <c r="AE939">
        <v>251</v>
      </c>
      <c r="AF939">
        <v>4994</v>
      </c>
      <c r="AH939" t="s">
        <v>833</v>
      </c>
      <c r="AI939" t="s">
        <v>832</v>
      </c>
      <c r="AK939" t="s">
        <v>831</v>
      </c>
      <c r="AL939">
        <v>62</v>
      </c>
      <c r="AM939" s="5">
        <f t="shared" si="114"/>
        <v>2</v>
      </c>
      <c r="AN939" s="4">
        <f t="shared" si="119"/>
        <v>3.0291556228701248E-3</v>
      </c>
      <c r="AO939" s="3"/>
      <c r="AP939">
        <v>0</v>
      </c>
      <c r="AQ939" t="s">
        <v>830</v>
      </c>
      <c r="AR939" t="s">
        <v>829</v>
      </c>
      <c r="AS939" t="s">
        <v>828</v>
      </c>
      <c r="AT939" s="2">
        <v>47.728000000000002</v>
      </c>
      <c r="AU939" s="1">
        <f t="shared" si="115"/>
        <v>23.553142093474548</v>
      </c>
      <c r="AV939" s="1">
        <f t="shared" si="116"/>
        <v>16.910220227420968</v>
      </c>
      <c r="AW939" s="1">
        <f t="shared" si="117"/>
        <v>10.267298361367386</v>
      </c>
    </row>
    <row r="940" spans="1:49" x14ac:dyDescent="0.2">
      <c r="A940">
        <v>938</v>
      </c>
      <c r="B940" t="s">
        <v>827</v>
      </c>
      <c r="C940" t="s">
        <v>826</v>
      </c>
      <c r="F940" t="s">
        <v>825</v>
      </c>
      <c r="G940" t="s">
        <v>16</v>
      </c>
      <c r="H940" t="s">
        <v>15</v>
      </c>
      <c r="I940" t="s">
        <v>824</v>
      </c>
      <c r="J940" t="s">
        <v>818</v>
      </c>
      <c r="K940" t="s">
        <v>823</v>
      </c>
      <c r="L940" t="s">
        <v>822</v>
      </c>
      <c r="M940" t="s">
        <v>821</v>
      </c>
      <c r="N940">
        <v>2</v>
      </c>
      <c r="O940" t="s">
        <v>820</v>
      </c>
      <c r="P940" t="s">
        <v>819</v>
      </c>
      <c r="Q940" t="s">
        <v>818</v>
      </c>
      <c r="R940" s="7">
        <v>33239</v>
      </c>
      <c r="S940" s="8">
        <f t="shared" si="112"/>
        <v>1991</v>
      </c>
      <c r="T940" s="8">
        <v>1991</v>
      </c>
      <c r="U940" s="8">
        <f t="shared" si="113"/>
        <v>31</v>
      </c>
      <c r="V940" s="7">
        <v>33239</v>
      </c>
      <c r="W940" t="s">
        <v>731</v>
      </c>
      <c r="X940" s="2">
        <v>1.3720000000000001</v>
      </c>
      <c r="Y940" s="6">
        <f t="shared" si="118"/>
        <v>3.662475641333654E-2</v>
      </c>
      <c r="AA940">
        <v>189480</v>
      </c>
      <c r="AB940">
        <v>17366</v>
      </c>
      <c r="AC940">
        <v>15579670</v>
      </c>
      <c r="AD940" t="s">
        <v>5</v>
      </c>
      <c r="AE940">
        <v>39</v>
      </c>
      <c r="AF940">
        <v>1</v>
      </c>
      <c r="AH940" t="s">
        <v>817</v>
      </c>
      <c r="AI940" t="s">
        <v>816</v>
      </c>
      <c r="AK940" t="s">
        <v>815</v>
      </c>
      <c r="AL940">
        <v>1</v>
      </c>
      <c r="AM940" s="5">
        <f t="shared" si="114"/>
        <v>3.2258064516129031E-2</v>
      </c>
      <c r="AN940" s="4">
        <f t="shared" si="119"/>
        <v>4.8857348755969758E-5</v>
      </c>
      <c r="AO940" s="3"/>
      <c r="AP940">
        <v>0</v>
      </c>
      <c r="AR940" t="s">
        <v>0</v>
      </c>
      <c r="AT940" s="2" t="s">
        <v>33</v>
      </c>
      <c r="AU940" s="1">
        <f t="shared" si="115"/>
        <v>2.5651986693962368</v>
      </c>
      <c r="AV940" s="1">
        <f t="shared" si="116"/>
        <v>1.8336806881046255</v>
      </c>
      <c r="AW940" s="1">
        <f t="shared" si="117"/>
        <v>1.1021627068130142</v>
      </c>
    </row>
    <row r="941" spans="1:49" x14ac:dyDescent="0.2">
      <c r="A941">
        <v>939</v>
      </c>
      <c r="B941" t="s">
        <v>814</v>
      </c>
      <c r="F941" t="s">
        <v>813</v>
      </c>
      <c r="G941" t="s">
        <v>16</v>
      </c>
      <c r="H941" t="s">
        <v>15</v>
      </c>
      <c r="I941" t="s">
        <v>812</v>
      </c>
      <c r="N941">
        <v>3</v>
      </c>
      <c r="O941" t="s">
        <v>811</v>
      </c>
      <c r="P941" t="s">
        <v>810</v>
      </c>
      <c r="Q941" t="s">
        <v>757</v>
      </c>
      <c r="R941" s="7">
        <v>33239</v>
      </c>
      <c r="S941" s="8">
        <f t="shared" si="112"/>
        <v>1991</v>
      </c>
      <c r="T941" s="8">
        <v>1991</v>
      </c>
      <c r="U941" s="8">
        <f t="shared" si="113"/>
        <v>31</v>
      </c>
      <c r="V941" s="7">
        <v>33239</v>
      </c>
      <c r="W941" t="s">
        <v>809</v>
      </c>
      <c r="X941" s="2">
        <v>0.22</v>
      </c>
      <c r="Y941" s="6">
        <f t="shared" si="118"/>
        <v>5.8727743519927395E-3</v>
      </c>
      <c r="AA941">
        <v>2705214</v>
      </c>
      <c r="AB941">
        <v>28119</v>
      </c>
      <c r="AD941" t="s">
        <v>5</v>
      </c>
      <c r="AE941">
        <v>12</v>
      </c>
      <c r="AF941">
        <v>1</v>
      </c>
      <c r="AH941" t="s">
        <v>808</v>
      </c>
      <c r="AI941" t="s">
        <v>807</v>
      </c>
      <c r="AK941" t="s">
        <v>806</v>
      </c>
      <c r="AL941">
        <v>2</v>
      </c>
      <c r="AM941" s="5">
        <f t="shared" si="114"/>
        <v>6.4516129032258063E-2</v>
      </c>
      <c r="AN941" s="4">
        <f t="shared" si="119"/>
        <v>9.7714697511939517E-5</v>
      </c>
      <c r="AO941" s="3"/>
      <c r="AP941">
        <v>0</v>
      </c>
      <c r="AR941" t="s">
        <v>0</v>
      </c>
      <c r="AT941" s="2" t="s">
        <v>33</v>
      </c>
      <c r="AU941" s="1">
        <f t="shared" si="115"/>
        <v>0.41402564556484989</v>
      </c>
      <c r="AV941" s="1">
        <f t="shared" si="116"/>
        <v>0.29852445247523396</v>
      </c>
      <c r="AW941" s="1">
        <f t="shared" si="117"/>
        <v>0.18302325938561795</v>
      </c>
    </row>
    <row r="942" spans="1:49" x14ac:dyDescent="0.2">
      <c r="A942">
        <v>940</v>
      </c>
      <c r="B942" t="s">
        <v>805</v>
      </c>
      <c r="C942" t="s">
        <v>804</v>
      </c>
      <c r="F942" t="s">
        <v>803</v>
      </c>
      <c r="G942" t="s">
        <v>16</v>
      </c>
      <c r="H942" t="s">
        <v>15</v>
      </c>
      <c r="I942" t="s">
        <v>802</v>
      </c>
      <c r="J942">
        <v>115552317</v>
      </c>
      <c r="K942" t="s">
        <v>801</v>
      </c>
      <c r="L942" t="s">
        <v>403</v>
      </c>
      <c r="M942" t="s">
        <v>800</v>
      </c>
      <c r="N942">
        <v>1</v>
      </c>
      <c r="O942" t="s">
        <v>799</v>
      </c>
      <c r="P942">
        <v>7003325954</v>
      </c>
      <c r="Q942">
        <v>115552317</v>
      </c>
      <c r="R942" s="7">
        <v>33239</v>
      </c>
      <c r="S942" s="8">
        <f t="shared" si="112"/>
        <v>1991</v>
      </c>
      <c r="T942" s="8">
        <v>1991</v>
      </c>
      <c r="U942" s="8">
        <f t="shared" si="113"/>
        <v>31</v>
      </c>
      <c r="V942" s="7" t="s">
        <v>798</v>
      </c>
      <c r="W942" t="s">
        <v>535</v>
      </c>
      <c r="X942" s="2">
        <v>0.375</v>
      </c>
      <c r="Y942" s="6">
        <f t="shared" si="118"/>
        <v>1.0010410827260351E-2</v>
      </c>
      <c r="AA942">
        <v>135194</v>
      </c>
      <c r="AB942">
        <v>24918</v>
      </c>
      <c r="AD942" t="s">
        <v>5</v>
      </c>
      <c r="AE942">
        <v>27</v>
      </c>
      <c r="AF942">
        <v>1</v>
      </c>
      <c r="AH942" t="s">
        <v>797</v>
      </c>
      <c r="AI942" t="s">
        <v>796</v>
      </c>
      <c r="AK942" t="s">
        <v>795</v>
      </c>
      <c r="AL942">
        <v>2</v>
      </c>
      <c r="AM942" s="5">
        <f t="shared" si="114"/>
        <v>6.4516129032258063E-2</v>
      </c>
      <c r="AN942" s="4">
        <f t="shared" si="119"/>
        <v>9.7714697511939517E-5</v>
      </c>
      <c r="AO942" s="3"/>
      <c r="AP942">
        <v>0</v>
      </c>
      <c r="AR942" t="s">
        <v>0</v>
      </c>
      <c r="AT942" s="2">
        <v>1.3140000000000001</v>
      </c>
      <c r="AU942" s="1">
        <f t="shared" si="115"/>
        <v>0.70366019883358277</v>
      </c>
      <c r="AV942" s="1">
        <f t="shared" si="116"/>
        <v>0.50540627623861456</v>
      </c>
      <c r="AW942" s="1">
        <f t="shared" si="117"/>
        <v>0.30715235364364629</v>
      </c>
    </row>
    <row r="943" spans="1:49" x14ac:dyDescent="0.2">
      <c r="A943">
        <v>941</v>
      </c>
      <c r="B943" t="s">
        <v>794</v>
      </c>
      <c r="C943" t="s">
        <v>793</v>
      </c>
      <c r="F943" t="s">
        <v>792</v>
      </c>
      <c r="G943" t="s">
        <v>16</v>
      </c>
      <c r="H943" t="s">
        <v>15</v>
      </c>
      <c r="I943" t="s">
        <v>791</v>
      </c>
      <c r="J943">
        <v>60022195</v>
      </c>
      <c r="K943" t="s">
        <v>790</v>
      </c>
      <c r="L943" t="s">
        <v>789</v>
      </c>
      <c r="M943" t="s">
        <v>57</v>
      </c>
      <c r="N943">
        <v>1</v>
      </c>
      <c r="O943" t="s">
        <v>788</v>
      </c>
      <c r="P943">
        <v>36900589100</v>
      </c>
      <c r="Q943">
        <v>60022195</v>
      </c>
      <c r="R943" s="7">
        <v>33239</v>
      </c>
      <c r="S943" s="8">
        <f t="shared" si="112"/>
        <v>1991</v>
      </c>
      <c r="T943" s="8">
        <v>1991</v>
      </c>
      <c r="U943" s="8">
        <f t="shared" si="113"/>
        <v>31</v>
      </c>
      <c r="V943" s="7">
        <v>33239</v>
      </c>
      <c r="W943" t="s">
        <v>674</v>
      </c>
      <c r="X943" s="2">
        <v>1.137</v>
      </c>
      <c r="Y943" s="6">
        <f t="shared" si="118"/>
        <v>3.0351565628253384E-2</v>
      </c>
      <c r="AA943">
        <v>189251</v>
      </c>
      <c r="AB943">
        <v>17336</v>
      </c>
      <c r="AD943" t="s">
        <v>5</v>
      </c>
      <c r="AE943">
        <v>27</v>
      </c>
      <c r="AF943">
        <v>1</v>
      </c>
      <c r="AH943" s="10">
        <v>43040</v>
      </c>
      <c r="AI943" t="s">
        <v>787</v>
      </c>
      <c r="AK943" t="s">
        <v>786</v>
      </c>
      <c r="AL943">
        <v>19</v>
      </c>
      <c r="AM943" s="5">
        <f t="shared" si="114"/>
        <v>0.61290322580645162</v>
      </c>
      <c r="AN943" s="4">
        <f t="shared" si="119"/>
        <v>9.2828962636342543E-4</v>
      </c>
      <c r="AO943" s="3"/>
      <c r="AP943">
        <v>0</v>
      </c>
      <c r="AR943" t="s">
        <v>0</v>
      </c>
      <c r="AT943" s="2" t="s">
        <v>33</v>
      </c>
      <c r="AU943" s="1">
        <f t="shared" si="115"/>
        <v>2.1524582827686394</v>
      </c>
      <c r="AV943" s="1">
        <f t="shared" si="116"/>
        <v>1.5639927627308405</v>
      </c>
      <c r="AW943" s="1">
        <f t="shared" si="117"/>
        <v>0.97552724269304136</v>
      </c>
    </row>
    <row r="944" spans="1:49" x14ac:dyDescent="0.2">
      <c r="A944">
        <v>942</v>
      </c>
      <c r="B944" t="s">
        <v>785</v>
      </c>
      <c r="C944" t="s">
        <v>784</v>
      </c>
      <c r="F944" t="s">
        <v>783</v>
      </c>
      <c r="G944" t="s">
        <v>16</v>
      </c>
      <c r="H944" t="s">
        <v>15</v>
      </c>
      <c r="I944" t="s">
        <v>782</v>
      </c>
      <c r="N944">
        <v>1</v>
      </c>
      <c r="O944" t="s">
        <v>781</v>
      </c>
      <c r="P944">
        <v>6506078176</v>
      </c>
      <c r="R944" s="7">
        <v>33239</v>
      </c>
      <c r="S944" s="8">
        <f t="shared" si="112"/>
        <v>1991</v>
      </c>
      <c r="T944" s="8">
        <v>1991</v>
      </c>
      <c r="U944" s="8">
        <f t="shared" si="113"/>
        <v>31</v>
      </c>
      <c r="V944" s="7" t="s">
        <v>780</v>
      </c>
      <c r="W944" t="s">
        <v>779</v>
      </c>
      <c r="X944" s="2">
        <v>0.371</v>
      </c>
      <c r="Y944" s="6">
        <f t="shared" si="118"/>
        <v>9.9036331117695747E-3</v>
      </c>
      <c r="AA944">
        <v>486604</v>
      </c>
      <c r="AB944">
        <v>28580</v>
      </c>
      <c r="AC944" t="s">
        <v>778</v>
      </c>
      <c r="AD944" t="s">
        <v>5</v>
      </c>
      <c r="AE944">
        <v>26</v>
      </c>
      <c r="AF944">
        <v>1</v>
      </c>
      <c r="AH944" t="s">
        <v>777</v>
      </c>
      <c r="AI944" t="s">
        <v>776</v>
      </c>
      <c r="AK944" t="s">
        <v>775</v>
      </c>
      <c r="AL944">
        <v>1</v>
      </c>
      <c r="AM944" s="5">
        <f t="shared" si="114"/>
        <v>3.2258064516129031E-2</v>
      </c>
      <c r="AN944" s="4">
        <f t="shared" si="119"/>
        <v>4.8857348755969758E-5</v>
      </c>
      <c r="AO944" s="3"/>
      <c r="AP944">
        <v>0</v>
      </c>
      <c r="AR944" t="s">
        <v>0</v>
      </c>
      <c r="AT944" s="2">
        <v>1.431</v>
      </c>
      <c r="AU944" s="1">
        <f t="shared" si="115"/>
        <v>0.69472003828654927</v>
      </c>
      <c r="AV944" s="1">
        <f t="shared" si="116"/>
        <v>0.49762452302627724</v>
      </c>
      <c r="AW944" s="1">
        <f t="shared" si="117"/>
        <v>0.30052900776600516</v>
      </c>
    </row>
    <row r="945" spans="1:49" x14ac:dyDescent="0.2">
      <c r="A945">
        <v>943</v>
      </c>
      <c r="B945" t="s">
        <v>774</v>
      </c>
      <c r="F945" t="s">
        <v>773</v>
      </c>
      <c r="G945" t="s">
        <v>16</v>
      </c>
      <c r="H945" t="s">
        <v>15</v>
      </c>
      <c r="I945" t="s">
        <v>772</v>
      </c>
      <c r="J945">
        <v>100325416</v>
      </c>
      <c r="K945" t="s">
        <v>771</v>
      </c>
      <c r="L945" t="s">
        <v>770</v>
      </c>
      <c r="M945" t="s">
        <v>213</v>
      </c>
      <c r="N945">
        <v>3</v>
      </c>
      <c r="O945" t="s">
        <v>769</v>
      </c>
      <c r="P945" t="s">
        <v>768</v>
      </c>
      <c r="Q945" t="s">
        <v>767</v>
      </c>
      <c r="R945" s="7">
        <v>33239</v>
      </c>
      <c r="S945" s="8">
        <f t="shared" ref="S945:S1003" si="120">YEAR(R945)</f>
        <v>1991</v>
      </c>
      <c r="T945" s="8">
        <v>1991</v>
      </c>
      <c r="U945" s="8">
        <f t="shared" ref="U945:U1003" si="121">2022-T945</f>
        <v>31</v>
      </c>
      <c r="V945" s="7">
        <v>1991</v>
      </c>
      <c r="W945" t="s">
        <v>766</v>
      </c>
      <c r="X945" s="2">
        <v>0.216</v>
      </c>
      <c r="Y945" s="6">
        <f t="shared" si="118"/>
        <v>5.765996636501962E-3</v>
      </c>
      <c r="AA945">
        <v>10544887</v>
      </c>
      <c r="AB945">
        <v>13200</v>
      </c>
      <c r="AD945" t="s">
        <v>5</v>
      </c>
      <c r="AE945">
        <v>6</v>
      </c>
      <c r="AF945">
        <v>1</v>
      </c>
      <c r="AH945" t="s">
        <v>765</v>
      </c>
      <c r="AI945" t="s">
        <v>764</v>
      </c>
      <c r="AK945" t="s">
        <v>763</v>
      </c>
      <c r="AL945">
        <v>1</v>
      </c>
      <c r="AM945" s="5">
        <f t="shared" ref="AM945:AM1003" si="122">AL945/U945</f>
        <v>3.2258064516129031E-2</v>
      </c>
      <c r="AN945" s="4">
        <f t="shared" si="119"/>
        <v>4.8857348755969758E-5</v>
      </c>
      <c r="AO945" s="3"/>
      <c r="AP945">
        <v>0</v>
      </c>
      <c r="AR945" t="s">
        <v>0</v>
      </c>
      <c r="AT945" s="2" t="s">
        <v>33</v>
      </c>
      <c r="AU945" s="1">
        <f t="shared" ref="AU945:AU1003" si="123">(Y945*0.7+AN945*0.3)*100</f>
        <v>0.40508548501781638</v>
      </c>
      <c r="AV945" s="1">
        <f t="shared" ref="AV945:AV1003" si="124">(Y945*0.5+AN945*0.5)*100</f>
        <v>0.29074269926289659</v>
      </c>
      <c r="AW945" s="1">
        <f t="shared" ref="AW945:AW1003" si="125">(Y945*0.3+AN945*0.7)*100</f>
        <v>0.17639991350797676</v>
      </c>
    </row>
    <row r="946" spans="1:49" x14ac:dyDescent="0.2">
      <c r="A946">
        <v>944</v>
      </c>
      <c r="B946" t="s">
        <v>762</v>
      </c>
      <c r="F946" t="s">
        <v>761</v>
      </c>
      <c r="G946" t="s">
        <v>16</v>
      </c>
      <c r="H946" t="s">
        <v>15</v>
      </c>
      <c r="I946" t="s">
        <v>760</v>
      </c>
      <c r="N946">
        <v>3</v>
      </c>
      <c r="O946" t="s">
        <v>759</v>
      </c>
      <c r="P946" t="s">
        <v>758</v>
      </c>
      <c r="Q946" t="s">
        <v>757</v>
      </c>
      <c r="R946" s="7">
        <v>33239</v>
      </c>
      <c r="S946" s="8">
        <f t="shared" si="120"/>
        <v>1991</v>
      </c>
      <c r="T946" s="8">
        <v>1991</v>
      </c>
      <c r="U946" s="8">
        <f t="shared" si="121"/>
        <v>31</v>
      </c>
      <c r="V946" s="7">
        <v>1991</v>
      </c>
      <c r="W946" t="s">
        <v>584</v>
      </c>
      <c r="X946" s="2" t="s">
        <v>33</v>
      </c>
      <c r="Y946" s="6" t="e">
        <f t="shared" si="118"/>
        <v>#VALUE!</v>
      </c>
      <c r="AA946">
        <v>87566648</v>
      </c>
      <c r="AB946">
        <v>74127</v>
      </c>
      <c r="AD946" t="s">
        <v>5</v>
      </c>
      <c r="AE946">
        <v>36</v>
      </c>
      <c r="AF946">
        <v>2</v>
      </c>
      <c r="AH946" t="s">
        <v>756</v>
      </c>
      <c r="AI946" t="s">
        <v>755</v>
      </c>
      <c r="AK946" t="s">
        <v>754</v>
      </c>
      <c r="AL946">
        <v>0</v>
      </c>
      <c r="AM946" s="5">
        <f t="shared" si="122"/>
        <v>0</v>
      </c>
      <c r="AN946" s="4">
        <f t="shared" si="119"/>
        <v>0</v>
      </c>
      <c r="AO946" s="3"/>
      <c r="AP946">
        <v>0</v>
      </c>
      <c r="AR946" t="s">
        <v>0</v>
      </c>
      <c r="AT946" s="2" t="s">
        <v>33</v>
      </c>
      <c r="AU946" s="1" t="e">
        <f t="shared" si="123"/>
        <v>#VALUE!</v>
      </c>
      <c r="AV946" s="1" t="e">
        <f t="shared" si="124"/>
        <v>#VALUE!</v>
      </c>
      <c r="AW946" s="1" t="e">
        <f t="shared" si="125"/>
        <v>#VALUE!</v>
      </c>
    </row>
    <row r="947" spans="1:49" x14ac:dyDescent="0.2">
      <c r="A947">
        <v>945</v>
      </c>
      <c r="B947" t="s">
        <v>753</v>
      </c>
      <c r="C947" t="s">
        <v>752</v>
      </c>
      <c r="F947" t="s">
        <v>751</v>
      </c>
      <c r="G947" t="s">
        <v>16</v>
      </c>
      <c r="H947" t="s">
        <v>15</v>
      </c>
      <c r="I947" t="s">
        <v>750</v>
      </c>
      <c r="J947" t="s">
        <v>749</v>
      </c>
      <c r="K947" t="s">
        <v>748</v>
      </c>
      <c r="L947" t="s">
        <v>747</v>
      </c>
      <c r="M947" t="s">
        <v>228</v>
      </c>
      <c r="N947">
        <v>3</v>
      </c>
      <c r="O947" t="s">
        <v>746</v>
      </c>
      <c r="P947" t="s">
        <v>745</v>
      </c>
      <c r="Q947" t="s">
        <v>744</v>
      </c>
      <c r="R947" s="7">
        <v>33239</v>
      </c>
      <c r="S947" s="8">
        <f t="shared" si="120"/>
        <v>1991</v>
      </c>
      <c r="T947" s="8">
        <v>1991</v>
      </c>
      <c r="U947" s="8">
        <f t="shared" si="121"/>
        <v>31</v>
      </c>
      <c r="V947" s="7">
        <v>33239</v>
      </c>
      <c r="W947" t="s">
        <v>743</v>
      </c>
      <c r="X947" s="2">
        <v>2.141</v>
      </c>
      <c r="Y947" s="6">
        <f t="shared" si="118"/>
        <v>5.7152772216438434E-2</v>
      </c>
      <c r="AA947">
        <v>1962892</v>
      </c>
      <c r="AB947">
        <v>17360</v>
      </c>
      <c r="AC947">
        <v>15580644</v>
      </c>
      <c r="AD947" t="s">
        <v>5</v>
      </c>
      <c r="AE947">
        <v>29</v>
      </c>
      <c r="AF947">
        <v>1</v>
      </c>
      <c r="AH947" s="10">
        <v>42248</v>
      </c>
      <c r="AI947" t="s">
        <v>742</v>
      </c>
      <c r="AK947" t="s">
        <v>741</v>
      </c>
      <c r="AL947">
        <v>15</v>
      </c>
      <c r="AM947" s="5">
        <f t="shared" si="122"/>
        <v>0.4838709677419355</v>
      </c>
      <c r="AN947" s="4">
        <f t="shared" si="119"/>
        <v>7.3286023133954637E-4</v>
      </c>
      <c r="AO947" s="3"/>
      <c r="AP947">
        <v>0</v>
      </c>
      <c r="AR947" t="s">
        <v>0</v>
      </c>
      <c r="AT947" s="2" t="s">
        <v>33</v>
      </c>
      <c r="AU947" s="1">
        <f t="shared" si="123"/>
        <v>4.0226798620908761</v>
      </c>
      <c r="AV947" s="1">
        <f t="shared" si="124"/>
        <v>2.894281622388899</v>
      </c>
      <c r="AW947" s="1">
        <f t="shared" si="125"/>
        <v>1.7658833826869214</v>
      </c>
    </row>
    <row r="948" spans="1:49" x14ac:dyDescent="0.2">
      <c r="A948">
        <v>946</v>
      </c>
      <c r="B948" t="s">
        <v>740</v>
      </c>
      <c r="C948" t="s">
        <v>739</v>
      </c>
      <c r="F948" t="s">
        <v>738</v>
      </c>
      <c r="G948" t="s">
        <v>16</v>
      </c>
      <c r="H948" t="s">
        <v>15</v>
      </c>
      <c r="I948" t="s">
        <v>737</v>
      </c>
      <c r="J948">
        <v>60030551</v>
      </c>
      <c r="K948" t="s">
        <v>736</v>
      </c>
      <c r="L948" t="s">
        <v>735</v>
      </c>
      <c r="M948" t="s">
        <v>57</v>
      </c>
      <c r="N948">
        <v>5</v>
      </c>
      <c r="O948" t="s">
        <v>734</v>
      </c>
      <c r="P948" t="s">
        <v>733</v>
      </c>
      <c r="Q948" t="s">
        <v>732</v>
      </c>
      <c r="R948" s="7">
        <v>33239</v>
      </c>
      <c r="S948" s="8">
        <f t="shared" si="120"/>
        <v>1991</v>
      </c>
      <c r="T948" s="8">
        <v>1991</v>
      </c>
      <c r="U948" s="8">
        <f t="shared" si="121"/>
        <v>31</v>
      </c>
      <c r="V948" s="7">
        <v>33239</v>
      </c>
      <c r="W948" t="s">
        <v>731</v>
      </c>
      <c r="X948" s="2">
        <v>1.3720000000000001</v>
      </c>
      <c r="Y948" s="6">
        <f t="shared" si="118"/>
        <v>3.662475641333654E-2</v>
      </c>
      <c r="AA948">
        <v>189480</v>
      </c>
      <c r="AB948">
        <v>17366</v>
      </c>
      <c r="AD948" t="s">
        <v>5</v>
      </c>
      <c r="AE948">
        <v>39</v>
      </c>
      <c r="AF948">
        <v>1</v>
      </c>
      <c r="AH948" t="s">
        <v>730</v>
      </c>
      <c r="AI948" t="s">
        <v>729</v>
      </c>
      <c r="AK948" t="s">
        <v>728</v>
      </c>
      <c r="AL948">
        <v>9</v>
      </c>
      <c r="AM948" s="5">
        <f t="shared" si="122"/>
        <v>0.29032258064516131</v>
      </c>
      <c r="AN948" s="4">
        <f t="shared" si="119"/>
        <v>4.3971613880372783E-4</v>
      </c>
      <c r="AO948" s="3"/>
      <c r="AP948">
        <v>0</v>
      </c>
      <c r="AQ948" t="s">
        <v>727</v>
      </c>
      <c r="AR948" t="s">
        <v>726</v>
      </c>
      <c r="AS948" t="s">
        <v>725</v>
      </c>
      <c r="AT948" s="2" t="s">
        <v>33</v>
      </c>
      <c r="AU948" s="1">
        <f t="shared" si="123"/>
        <v>2.5769244330976693</v>
      </c>
      <c r="AV948" s="1">
        <f t="shared" si="124"/>
        <v>1.8532236276070133</v>
      </c>
      <c r="AW948" s="1">
        <f t="shared" si="125"/>
        <v>1.1295228221163571</v>
      </c>
    </row>
    <row r="949" spans="1:49" x14ac:dyDescent="0.2">
      <c r="A949">
        <v>947</v>
      </c>
      <c r="B949" t="s">
        <v>724</v>
      </c>
      <c r="F949" t="s">
        <v>723</v>
      </c>
      <c r="G949" t="s">
        <v>16</v>
      </c>
      <c r="H949" t="s">
        <v>15</v>
      </c>
      <c r="I949" t="s">
        <v>722</v>
      </c>
      <c r="J949">
        <v>60031159</v>
      </c>
      <c r="K949" t="s">
        <v>721</v>
      </c>
      <c r="L949" t="s">
        <v>720</v>
      </c>
      <c r="M949" t="s">
        <v>272</v>
      </c>
      <c r="N949">
        <v>3</v>
      </c>
      <c r="O949" t="s">
        <v>719</v>
      </c>
      <c r="P949" t="s">
        <v>718</v>
      </c>
      <c r="Q949" t="s">
        <v>717</v>
      </c>
      <c r="R949" s="7">
        <v>33239</v>
      </c>
      <c r="S949" s="8">
        <f t="shared" si="120"/>
        <v>1991</v>
      </c>
      <c r="T949" s="8">
        <v>1991</v>
      </c>
      <c r="U949" s="8">
        <f t="shared" si="121"/>
        <v>31</v>
      </c>
      <c r="V949" s="7">
        <v>1991</v>
      </c>
      <c r="W949" t="s">
        <v>716</v>
      </c>
      <c r="X949" s="2">
        <v>0.156</v>
      </c>
      <c r="Y949" s="6">
        <f t="shared" si="118"/>
        <v>4.164330904140306E-3</v>
      </c>
      <c r="AA949">
        <v>2681900</v>
      </c>
      <c r="AB949">
        <v>21108</v>
      </c>
      <c r="AD949" t="s">
        <v>5</v>
      </c>
      <c r="AE949">
        <v>6</v>
      </c>
      <c r="AF949">
        <v>1</v>
      </c>
      <c r="AH949" t="s">
        <v>715</v>
      </c>
      <c r="AI949" t="s">
        <v>714</v>
      </c>
      <c r="AK949" t="s">
        <v>713</v>
      </c>
      <c r="AL949">
        <v>0</v>
      </c>
      <c r="AM949" s="5">
        <f t="shared" si="122"/>
        <v>0</v>
      </c>
      <c r="AN949" s="4">
        <f t="shared" si="119"/>
        <v>0</v>
      </c>
      <c r="AO949" s="3"/>
      <c r="AP949">
        <v>0</v>
      </c>
      <c r="AR949" t="s">
        <v>0</v>
      </c>
      <c r="AT949" s="2" t="s">
        <v>33</v>
      </c>
      <c r="AU949" s="1">
        <f t="shared" si="123"/>
        <v>0.2915031632898214</v>
      </c>
      <c r="AV949" s="1">
        <f t="shared" si="124"/>
        <v>0.2082165452070153</v>
      </c>
      <c r="AW949" s="1">
        <f t="shared" si="125"/>
        <v>0.12492992712420917</v>
      </c>
    </row>
    <row r="950" spans="1:49" x14ac:dyDescent="0.2">
      <c r="A950">
        <v>948</v>
      </c>
      <c r="B950" t="s">
        <v>712</v>
      </c>
      <c r="C950" t="s">
        <v>711</v>
      </c>
      <c r="F950" t="s">
        <v>710</v>
      </c>
      <c r="G950" t="s">
        <v>16</v>
      </c>
      <c r="H950" t="s">
        <v>15</v>
      </c>
      <c r="I950" t="s">
        <v>709</v>
      </c>
      <c r="J950">
        <v>60015720</v>
      </c>
      <c r="K950" t="s">
        <v>566</v>
      </c>
      <c r="L950" t="s">
        <v>565</v>
      </c>
      <c r="M950" t="s">
        <v>57</v>
      </c>
      <c r="N950">
        <v>1</v>
      </c>
      <c r="O950" t="s">
        <v>708</v>
      </c>
      <c r="P950">
        <v>7404051797</v>
      </c>
      <c r="Q950">
        <v>60015720</v>
      </c>
      <c r="R950" s="7">
        <v>33239</v>
      </c>
      <c r="S950" s="8">
        <f t="shared" si="120"/>
        <v>1991</v>
      </c>
      <c r="T950" s="8">
        <v>1991</v>
      </c>
      <c r="U950" s="8">
        <f t="shared" si="121"/>
        <v>31</v>
      </c>
      <c r="V950" s="7">
        <v>1991</v>
      </c>
      <c r="W950" t="s">
        <v>707</v>
      </c>
      <c r="X950" s="2">
        <v>0.28299999999999997</v>
      </c>
      <c r="Y950" s="6">
        <f t="shared" si="118"/>
        <v>7.5545233709724781E-3</v>
      </c>
      <c r="AA950">
        <v>8327823</v>
      </c>
      <c r="AB950">
        <v>18061</v>
      </c>
      <c r="AD950" t="s">
        <v>5</v>
      </c>
      <c r="AE950">
        <v>26</v>
      </c>
      <c r="AF950">
        <v>1</v>
      </c>
      <c r="AH950" t="s">
        <v>706</v>
      </c>
      <c r="AI950" t="s">
        <v>705</v>
      </c>
      <c r="AK950" t="s">
        <v>704</v>
      </c>
      <c r="AL950">
        <v>3</v>
      </c>
      <c r="AM950" s="5">
        <f t="shared" si="122"/>
        <v>9.6774193548387094E-2</v>
      </c>
      <c r="AN950" s="4">
        <f t="shared" si="119"/>
        <v>1.4657204626790927E-4</v>
      </c>
      <c r="AO950" s="3"/>
      <c r="AP950">
        <v>0</v>
      </c>
      <c r="AR950" t="s">
        <v>0</v>
      </c>
      <c r="AT950" s="2" t="s">
        <v>33</v>
      </c>
      <c r="AU950" s="1">
        <f t="shared" si="123"/>
        <v>0.53321379735611074</v>
      </c>
      <c r="AV950" s="1">
        <f t="shared" si="124"/>
        <v>0.38505477086201934</v>
      </c>
      <c r="AW950" s="1">
        <f t="shared" si="125"/>
        <v>0.23689574436792796</v>
      </c>
    </row>
    <row r="951" spans="1:49" x14ac:dyDescent="0.2">
      <c r="A951">
        <v>949</v>
      </c>
      <c r="B951" t="s">
        <v>703</v>
      </c>
      <c r="F951" t="s">
        <v>702</v>
      </c>
      <c r="G951" t="s">
        <v>16</v>
      </c>
      <c r="H951" t="s">
        <v>15</v>
      </c>
      <c r="I951" t="s">
        <v>701</v>
      </c>
      <c r="N951">
        <v>1</v>
      </c>
      <c r="O951" t="s">
        <v>700</v>
      </c>
      <c r="P951">
        <v>57198289338</v>
      </c>
      <c r="R951" s="7">
        <v>33239</v>
      </c>
      <c r="S951" s="8">
        <f t="shared" si="120"/>
        <v>1991</v>
      </c>
      <c r="T951" s="8">
        <v>1991</v>
      </c>
      <c r="U951" s="8">
        <f t="shared" si="121"/>
        <v>31</v>
      </c>
      <c r="V951" s="7">
        <v>1991</v>
      </c>
      <c r="W951" t="s">
        <v>584</v>
      </c>
      <c r="X951" s="2" t="s">
        <v>33</v>
      </c>
      <c r="Y951" s="6" t="e">
        <f t="shared" si="118"/>
        <v>#VALUE!</v>
      </c>
      <c r="AA951">
        <v>87566648</v>
      </c>
      <c r="AB951">
        <v>74127</v>
      </c>
      <c r="AD951" t="s">
        <v>5</v>
      </c>
      <c r="AE951">
        <v>36</v>
      </c>
      <c r="AF951">
        <v>1</v>
      </c>
      <c r="AH951" t="s">
        <v>699</v>
      </c>
      <c r="AI951" t="s">
        <v>698</v>
      </c>
      <c r="AK951" t="s">
        <v>697</v>
      </c>
      <c r="AL951">
        <v>1</v>
      </c>
      <c r="AM951" s="5">
        <f t="shared" si="122"/>
        <v>3.2258064516129031E-2</v>
      </c>
      <c r="AN951" s="4">
        <f t="shared" si="119"/>
        <v>4.8857348755969758E-5</v>
      </c>
      <c r="AO951" s="3"/>
      <c r="AP951">
        <v>0</v>
      </c>
      <c r="AR951" t="s">
        <v>0</v>
      </c>
      <c r="AT951" s="2" t="s">
        <v>33</v>
      </c>
      <c r="AU951" s="1" t="e">
        <f t="shared" si="123"/>
        <v>#VALUE!</v>
      </c>
      <c r="AV951" s="1" t="e">
        <f t="shared" si="124"/>
        <v>#VALUE!</v>
      </c>
      <c r="AW951" s="1" t="e">
        <f t="shared" si="125"/>
        <v>#VALUE!</v>
      </c>
    </row>
    <row r="952" spans="1:49" x14ac:dyDescent="0.2">
      <c r="A952">
        <v>950</v>
      </c>
      <c r="B952" t="s">
        <v>696</v>
      </c>
      <c r="C952" t="s">
        <v>695</v>
      </c>
      <c r="E952">
        <v>1881332</v>
      </c>
      <c r="F952" t="s">
        <v>694</v>
      </c>
      <c r="G952" t="s">
        <v>16</v>
      </c>
      <c r="H952" t="s">
        <v>15</v>
      </c>
      <c r="I952" t="s">
        <v>693</v>
      </c>
      <c r="J952">
        <v>60028673</v>
      </c>
      <c r="K952" t="s">
        <v>692</v>
      </c>
      <c r="L952" t="s">
        <v>202</v>
      </c>
      <c r="M952" t="s">
        <v>25</v>
      </c>
      <c r="N952">
        <v>2</v>
      </c>
      <c r="O952" t="s">
        <v>691</v>
      </c>
      <c r="P952" t="s">
        <v>690</v>
      </c>
      <c r="Q952" t="s">
        <v>689</v>
      </c>
      <c r="R952" s="7">
        <v>33239</v>
      </c>
      <c r="S952" s="8">
        <f t="shared" si="120"/>
        <v>1991</v>
      </c>
      <c r="T952" s="8">
        <v>1991</v>
      </c>
      <c r="U952" s="8">
        <f t="shared" si="121"/>
        <v>31</v>
      </c>
      <c r="V952" s="7">
        <v>33390</v>
      </c>
      <c r="W952" t="s">
        <v>688</v>
      </c>
      <c r="X952" s="2">
        <v>1.696</v>
      </c>
      <c r="Y952" s="6">
        <f t="shared" si="118"/>
        <v>4.5273751368089483E-2</v>
      </c>
      <c r="AA952">
        <v>7403194</v>
      </c>
      <c r="AB952">
        <v>17267</v>
      </c>
      <c r="AC952">
        <v>15222594</v>
      </c>
      <c r="AD952" t="s">
        <v>5</v>
      </c>
      <c r="AE952">
        <v>19</v>
      </c>
      <c r="AF952">
        <v>2</v>
      </c>
      <c r="AH952" t="s">
        <v>687</v>
      </c>
      <c r="AI952" t="s">
        <v>686</v>
      </c>
      <c r="AK952" t="s">
        <v>685</v>
      </c>
      <c r="AL952">
        <v>9</v>
      </c>
      <c r="AM952" s="5">
        <f t="shared" si="122"/>
        <v>0.29032258064516131</v>
      </c>
      <c r="AN952" s="4">
        <f t="shared" si="119"/>
        <v>4.3971613880372783E-4</v>
      </c>
      <c r="AO952" s="3"/>
      <c r="AP952">
        <v>0</v>
      </c>
      <c r="AR952" t="s">
        <v>0</v>
      </c>
      <c r="AT952" s="2">
        <v>4.6680000000000001</v>
      </c>
      <c r="AU952" s="1">
        <f t="shared" si="123"/>
        <v>3.1823540799303758</v>
      </c>
      <c r="AV952" s="1">
        <f t="shared" si="124"/>
        <v>2.2856733753446603</v>
      </c>
      <c r="AW952" s="1">
        <f t="shared" si="125"/>
        <v>1.3889926707589453</v>
      </c>
    </row>
    <row r="953" spans="1:49" x14ac:dyDescent="0.2">
      <c r="A953">
        <v>951</v>
      </c>
      <c r="B953" t="s">
        <v>684</v>
      </c>
      <c r="C953" t="s">
        <v>683</v>
      </c>
      <c r="F953" t="s">
        <v>682</v>
      </c>
      <c r="G953" t="s">
        <v>16</v>
      </c>
      <c r="H953" t="s">
        <v>15</v>
      </c>
      <c r="I953" t="s">
        <v>681</v>
      </c>
      <c r="J953" t="s">
        <v>680</v>
      </c>
      <c r="K953" t="s">
        <v>679</v>
      </c>
      <c r="L953" t="s">
        <v>678</v>
      </c>
      <c r="M953" t="s">
        <v>133</v>
      </c>
      <c r="N953">
        <v>2</v>
      </c>
      <c r="O953" t="s">
        <v>677</v>
      </c>
      <c r="P953" t="s">
        <v>676</v>
      </c>
      <c r="Q953" t="s">
        <v>675</v>
      </c>
      <c r="R953" s="7">
        <v>33239</v>
      </c>
      <c r="S953" s="8">
        <f t="shared" si="120"/>
        <v>1991</v>
      </c>
      <c r="T953" s="8">
        <v>1991</v>
      </c>
      <c r="U953" s="8">
        <f t="shared" si="121"/>
        <v>31</v>
      </c>
      <c r="V953" s="7">
        <v>33239</v>
      </c>
      <c r="W953" t="s">
        <v>674</v>
      </c>
      <c r="X953" s="2">
        <v>1.137</v>
      </c>
      <c r="Y953" s="6">
        <f t="shared" si="118"/>
        <v>3.0351565628253384E-2</v>
      </c>
      <c r="AA953">
        <v>189251</v>
      </c>
      <c r="AB953">
        <v>17336</v>
      </c>
      <c r="AD953" t="s">
        <v>5</v>
      </c>
      <c r="AE953">
        <v>27</v>
      </c>
      <c r="AF953">
        <v>1</v>
      </c>
      <c r="AH953" s="9">
        <v>44471</v>
      </c>
      <c r="AI953" t="s">
        <v>673</v>
      </c>
      <c r="AK953" t="s">
        <v>672</v>
      </c>
      <c r="AL953">
        <v>33</v>
      </c>
      <c r="AM953" s="5">
        <f t="shared" si="122"/>
        <v>1.064516129032258</v>
      </c>
      <c r="AN953" s="4">
        <f t="shared" si="119"/>
        <v>1.6122925089470019E-3</v>
      </c>
      <c r="AO953" s="3"/>
      <c r="AP953">
        <v>0</v>
      </c>
      <c r="AR953" t="s">
        <v>0</v>
      </c>
      <c r="AT953" s="2" t="s">
        <v>33</v>
      </c>
      <c r="AU953" s="1">
        <f t="shared" si="123"/>
        <v>2.1729783692461466</v>
      </c>
      <c r="AV953" s="1">
        <f t="shared" si="124"/>
        <v>1.5981929068600194</v>
      </c>
      <c r="AW953" s="1">
        <f t="shared" si="125"/>
        <v>1.0234074444738916</v>
      </c>
    </row>
    <row r="954" spans="1:49" x14ac:dyDescent="0.2">
      <c r="A954">
        <v>952</v>
      </c>
      <c r="B954" t="s">
        <v>671</v>
      </c>
      <c r="C954" t="s">
        <v>670</v>
      </c>
      <c r="F954" t="s">
        <v>669</v>
      </c>
      <c r="G954" t="s">
        <v>16</v>
      </c>
      <c r="H954" t="s">
        <v>15</v>
      </c>
      <c r="I954" t="s">
        <v>668</v>
      </c>
      <c r="J954">
        <v>60102562</v>
      </c>
      <c r="K954" t="s">
        <v>667</v>
      </c>
      <c r="L954" t="s">
        <v>666</v>
      </c>
      <c r="M954" t="s">
        <v>57</v>
      </c>
      <c r="N954">
        <v>2</v>
      </c>
      <c r="O954" t="s">
        <v>665</v>
      </c>
      <c r="P954" t="s">
        <v>664</v>
      </c>
      <c r="Q954" t="s">
        <v>663</v>
      </c>
      <c r="R954" s="7">
        <v>33239</v>
      </c>
      <c r="S954" s="8">
        <f t="shared" si="120"/>
        <v>1991</v>
      </c>
      <c r="T954" s="8">
        <v>1991</v>
      </c>
      <c r="U954" s="8">
        <f t="shared" si="121"/>
        <v>31</v>
      </c>
      <c r="V954" s="7">
        <v>1991</v>
      </c>
      <c r="W954" t="s">
        <v>535</v>
      </c>
      <c r="X954" s="2">
        <v>0.375</v>
      </c>
      <c r="Y954" s="6">
        <f t="shared" si="118"/>
        <v>1.0010410827260351E-2</v>
      </c>
      <c r="AA954">
        <v>135194</v>
      </c>
      <c r="AB954">
        <v>24918</v>
      </c>
      <c r="AD954" t="s">
        <v>5</v>
      </c>
      <c r="AE954">
        <v>27</v>
      </c>
      <c r="AF954">
        <v>1</v>
      </c>
      <c r="AH954" s="9">
        <v>44382</v>
      </c>
      <c r="AI954" t="s">
        <v>662</v>
      </c>
      <c r="AJ954" t="s">
        <v>545</v>
      </c>
      <c r="AK954" t="s">
        <v>661</v>
      </c>
      <c r="AL954">
        <v>50</v>
      </c>
      <c r="AM954" s="5">
        <f t="shared" si="122"/>
        <v>1.6129032258064515</v>
      </c>
      <c r="AN954" s="4">
        <f t="shared" si="119"/>
        <v>2.4428674377984876E-3</v>
      </c>
      <c r="AO954" s="3"/>
      <c r="AP954">
        <v>0</v>
      </c>
      <c r="AR954" t="s">
        <v>0</v>
      </c>
      <c r="AT954" s="2">
        <v>1.3140000000000001</v>
      </c>
      <c r="AU954" s="1">
        <f t="shared" si="123"/>
        <v>0.77401478104217925</v>
      </c>
      <c r="AV954" s="1">
        <f t="shared" si="124"/>
        <v>0.62266391325294201</v>
      </c>
      <c r="AW954" s="1">
        <f t="shared" si="125"/>
        <v>0.47131304546370462</v>
      </c>
    </row>
    <row r="955" spans="1:49" x14ac:dyDescent="0.2">
      <c r="A955">
        <v>953</v>
      </c>
      <c r="B955" t="s">
        <v>660</v>
      </c>
      <c r="C955" t="s">
        <v>659</v>
      </c>
      <c r="E955">
        <v>1668529</v>
      </c>
      <c r="F955" t="s">
        <v>658</v>
      </c>
      <c r="G955" t="s">
        <v>16</v>
      </c>
      <c r="H955" t="s">
        <v>15</v>
      </c>
      <c r="I955" t="s">
        <v>657</v>
      </c>
      <c r="J955" t="s">
        <v>656</v>
      </c>
      <c r="K955" t="s">
        <v>655</v>
      </c>
      <c r="L955" t="s">
        <v>654</v>
      </c>
      <c r="M955" t="s">
        <v>653</v>
      </c>
      <c r="N955">
        <v>5</v>
      </c>
      <c r="O955" t="s">
        <v>652</v>
      </c>
      <c r="P955" t="s">
        <v>651</v>
      </c>
      <c r="Q955" t="s">
        <v>650</v>
      </c>
      <c r="R955" s="7">
        <v>33239</v>
      </c>
      <c r="S955" s="8">
        <f t="shared" si="120"/>
        <v>1991</v>
      </c>
      <c r="T955" s="8">
        <v>1991</v>
      </c>
      <c r="U955" s="8">
        <f t="shared" si="121"/>
        <v>31</v>
      </c>
      <c r="V955" s="7">
        <v>33270</v>
      </c>
      <c r="W955" t="s">
        <v>649</v>
      </c>
      <c r="X955" s="2">
        <v>0.73699999999999999</v>
      </c>
      <c r="Y955" s="6">
        <f t="shared" si="118"/>
        <v>1.9673794079175678E-2</v>
      </c>
      <c r="AA955">
        <v>2820080</v>
      </c>
      <c r="AB955">
        <v>17513</v>
      </c>
      <c r="AC955">
        <v>15734986</v>
      </c>
      <c r="AD955" t="s">
        <v>5</v>
      </c>
      <c r="AE955">
        <v>8</v>
      </c>
      <c r="AF955">
        <v>1</v>
      </c>
      <c r="AH955" t="s">
        <v>648</v>
      </c>
      <c r="AI955" t="s">
        <v>647</v>
      </c>
      <c r="AJ955" t="s">
        <v>646</v>
      </c>
      <c r="AK955" t="s">
        <v>645</v>
      </c>
      <c r="AL955">
        <v>15</v>
      </c>
      <c r="AM955" s="5">
        <f t="shared" si="122"/>
        <v>0.4838709677419355</v>
      </c>
      <c r="AN955" s="4">
        <f t="shared" si="119"/>
        <v>7.3286023133954637E-4</v>
      </c>
      <c r="AO955" s="3"/>
      <c r="AP955">
        <v>0</v>
      </c>
      <c r="AR955" t="s">
        <v>0</v>
      </c>
      <c r="AT955" s="2">
        <v>2.9159999999999999</v>
      </c>
      <c r="AU955" s="1">
        <f t="shared" si="123"/>
        <v>1.3991513924824837</v>
      </c>
      <c r="AV955" s="1">
        <f t="shared" si="124"/>
        <v>1.0203327155257613</v>
      </c>
      <c r="AW955" s="1">
        <f t="shared" si="125"/>
        <v>0.64151403856903855</v>
      </c>
    </row>
    <row r="956" spans="1:49" x14ac:dyDescent="0.2">
      <c r="A956">
        <v>954</v>
      </c>
      <c r="B956" t="s">
        <v>644</v>
      </c>
      <c r="C956" t="s">
        <v>643</v>
      </c>
      <c r="E956">
        <v>1898343</v>
      </c>
      <c r="F956" t="s">
        <v>642</v>
      </c>
      <c r="G956" t="s">
        <v>16</v>
      </c>
      <c r="H956" t="s">
        <v>15</v>
      </c>
      <c r="I956" t="s">
        <v>641</v>
      </c>
      <c r="J956">
        <v>60017134</v>
      </c>
      <c r="K956" t="s">
        <v>389</v>
      </c>
      <c r="L956" t="s">
        <v>388</v>
      </c>
      <c r="M956" t="s">
        <v>25</v>
      </c>
      <c r="N956">
        <v>4</v>
      </c>
      <c r="O956" t="s">
        <v>640</v>
      </c>
      <c r="P956" t="s">
        <v>639</v>
      </c>
      <c r="Q956" t="s">
        <v>638</v>
      </c>
      <c r="R956" s="7">
        <v>33239</v>
      </c>
      <c r="S956" s="8">
        <f t="shared" si="120"/>
        <v>1991</v>
      </c>
      <c r="T956" s="8">
        <v>1991</v>
      </c>
      <c r="U956" s="8">
        <f t="shared" si="121"/>
        <v>31</v>
      </c>
      <c r="V956" s="7">
        <v>1991</v>
      </c>
      <c r="W956" t="s">
        <v>637</v>
      </c>
      <c r="X956" s="2">
        <v>1.706</v>
      </c>
      <c r="Y956" s="6">
        <f t="shared" si="118"/>
        <v>4.554069565681642E-2</v>
      </c>
      <c r="AA956">
        <v>2646021</v>
      </c>
      <c r="AB956">
        <v>16850</v>
      </c>
      <c r="AD956" t="s">
        <v>5</v>
      </c>
      <c r="AE956">
        <v>278</v>
      </c>
      <c r="AF956">
        <v>2</v>
      </c>
      <c r="AH956" t="s">
        <v>636</v>
      </c>
      <c r="AI956" t="s">
        <v>635</v>
      </c>
      <c r="AK956" t="s">
        <v>634</v>
      </c>
      <c r="AL956">
        <v>20</v>
      </c>
      <c r="AM956" s="5">
        <f t="shared" si="122"/>
        <v>0.64516129032258063</v>
      </c>
      <c r="AN956" s="4">
        <f t="shared" si="119"/>
        <v>9.7714697511939509E-4</v>
      </c>
      <c r="AO956" s="3"/>
      <c r="AP956">
        <v>0</v>
      </c>
      <c r="AR956" t="s">
        <v>0</v>
      </c>
      <c r="AT956" s="2">
        <v>3.8570000000000002</v>
      </c>
      <c r="AU956" s="1">
        <f t="shared" si="123"/>
        <v>3.217163105230731</v>
      </c>
      <c r="AV956" s="1">
        <f t="shared" si="124"/>
        <v>2.3258921315967909</v>
      </c>
      <c r="AW956" s="1">
        <f t="shared" si="125"/>
        <v>1.4346211579628503</v>
      </c>
    </row>
    <row r="957" spans="1:49" x14ac:dyDescent="0.2">
      <c r="A957">
        <v>955</v>
      </c>
      <c r="B957" t="s">
        <v>633</v>
      </c>
      <c r="C957" t="s">
        <v>632</v>
      </c>
      <c r="E957">
        <v>1880459</v>
      </c>
      <c r="F957" t="s">
        <v>631</v>
      </c>
      <c r="G957" t="s">
        <v>16</v>
      </c>
      <c r="H957" t="s">
        <v>15</v>
      </c>
      <c r="I957" t="s">
        <v>630</v>
      </c>
      <c r="J957" t="s">
        <v>629</v>
      </c>
      <c r="K957" t="s">
        <v>628</v>
      </c>
      <c r="L957" t="s">
        <v>627</v>
      </c>
      <c r="M957" t="s">
        <v>133</v>
      </c>
      <c r="N957">
        <v>3</v>
      </c>
      <c r="O957" t="s">
        <v>626</v>
      </c>
      <c r="P957" t="s">
        <v>625</v>
      </c>
      <c r="Q957" t="s">
        <v>624</v>
      </c>
      <c r="R957" s="7">
        <v>33239</v>
      </c>
      <c r="S957" s="8">
        <f t="shared" si="120"/>
        <v>1991</v>
      </c>
      <c r="T957" s="8">
        <v>1991</v>
      </c>
      <c r="U957" s="8">
        <f t="shared" si="121"/>
        <v>31</v>
      </c>
      <c r="V957" s="7">
        <v>1991</v>
      </c>
      <c r="W957" t="s">
        <v>609</v>
      </c>
      <c r="X957" s="2">
        <v>0.89600000000000002</v>
      </c>
      <c r="Y957" s="6">
        <f t="shared" si="118"/>
        <v>2.3918208269934065E-2</v>
      </c>
      <c r="AA957">
        <v>2656736</v>
      </c>
      <c r="AB957">
        <v>29901</v>
      </c>
      <c r="AD957" t="s">
        <v>5</v>
      </c>
      <c r="AE957">
        <v>7</v>
      </c>
      <c r="AF957">
        <v>2</v>
      </c>
      <c r="AH957" t="s">
        <v>623</v>
      </c>
      <c r="AI957" t="s">
        <v>622</v>
      </c>
      <c r="AJ957" t="s">
        <v>621</v>
      </c>
      <c r="AK957" t="s">
        <v>620</v>
      </c>
      <c r="AL957">
        <v>16</v>
      </c>
      <c r="AM957" s="5">
        <f t="shared" si="122"/>
        <v>0.5161290322580645</v>
      </c>
      <c r="AN957" s="4">
        <f t="shared" si="119"/>
        <v>7.8171758009551613E-4</v>
      </c>
      <c r="AO957" s="3"/>
      <c r="AP957">
        <v>0</v>
      </c>
      <c r="AQ957" t="s">
        <v>508</v>
      </c>
      <c r="AR957" t="s">
        <v>619</v>
      </c>
      <c r="AS957" t="s">
        <v>507</v>
      </c>
      <c r="AT957" s="2">
        <v>3.9140000000000001</v>
      </c>
      <c r="AU957" s="1">
        <f t="shared" si="123"/>
        <v>1.6977261062982498</v>
      </c>
      <c r="AV957" s="1">
        <f t="shared" si="124"/>
        <v>1.234996292501479</v>
      </c>
      <c r="AW957" s="1">
        <f t="shared" si="125"/>
        <v>0.77226647870470799</v>
      </c>
    </row>
    <row r="958" spans="1:49" x14ac:dyDescent="0.2">
      <c r="A958">
        <v>956</v>
      </c>
      <c r="B958" t="s">
        <v>618</v>
      </c>
      <c r="C958" t="s">
        <v>617</v>
      </c>
      <c r="E958">
        <v>1919141</v>
      </c>
      <c r="F958" t="s">
        <v>616</v>
      </c>
      <c r="G958" t="s">
        <v>16</v>
      </c>
      <c r="H958" t="s">
        <v>15</v>
      </c>
      <c r="I958" t="s">
        <v>615</v>
      </c>
      <c r="J958">
        <v>60006263</v>
      </c>
      <c r="K958" t="s">
        <v>614</v>
      </c>
      <c r="L958" t="s">
        <v>613</v>
      </c>
      <c r="M958" t="s">
        <v>57</v>
      </c>
      <c r="N958">
        <v>5</v>
      </c>
      <c r="O958" t="s">
        <v>612</v>
      </c>
      <c r="P958" t="s">
        <v>611</v>
      </c>
      <c r="Q958" t="s">
        <v>610</v>
      </c>
      <c r="R958" s="7">
        <v>33239</v>
      </c>
      <c r="S958" s="8">
        <f t="shared" si="120"/>
        <v>1991</v>
      </c>
      <c r="T958" s="8">
        <v>1991</v>
      </c>
      <c r="U958" s="8">
        <f t="shared" si="121"/>
        <v>31</v>
      </c>
      <c r="V958" s="7">
        <v>1991</v>
      </c>
      <c r="W958" t="s">
        <v>609</v>
      </c>
      <c r="X958" s="2">
        <v>0.89600000000000002</v>
      </c>
      <c r="Y958" s="6">
        <f t="shared" si="118"/>
        <v>2.3918208269934065E-2</v>
      </c>
      <c r="AA958">
        <v>2656736</v>
      </c>
      <c r="AB958">
        <v>29901</v>
      </c>
      <c r="AD958" t="s">
        <v>5</v>
      </c>
      <c r="AE958">
        <v>7</v>
      </c>
      <c r="AF958">
        <v>3</v>
      </c>
      <c r="AH958" t="s">
        <v>608</v>
      </c>
      <c r="AI958" t="s">
        <v>607</v>
      </c>
      <c r="AJ958" t="s">
        <v>606</v>
      </c>
      <c r="AK958" t="s">
        <v>605</v>
      </c>
      <c r="AL958">
        <v>5</v>
      </c>
      <c r="AM958" s="5">
        <f t="shared" si="122"/>
        <v>0.16129032258064516</v>
      </c>
      <c r="AN958" s="4">
        <f t="shared" si="119"/>
        <v>2.4428674377984877E-4</v>
      </c>
      <c r="AO958" s="3"/>
      <c r="AP958">
        <v>0</v>
      </c>
      <c r="AR958" t="s">
        <v>0</v>
      </c>
      <c r="AT958" s="2">
        <v>3.9140000000000001</v>
      </c>
      <c r="AU958" s="1">
        <f t="shared" si="123"/>
        <v>1.6816031812087799</v>
      </c>
      <c r="AV958" s="1">
        <f t="shared" si="124"/>
        <v>1.2081247506856958</v>
      </c>
      <c r="AW958" s="1">
        <f t="shared" si="125"/>
        <v>0.73464632016261122</v>
      </c>
    </row>
    <row r="959" spans="1:49" x14ac:dyDescent="0.2">
      <c r="A959">
        <v>957</v>
      </c>
      <c r="B959" t="s">
        <v>604</v>
      </c>
      <c r="F959" t="s">
        <v>603</v>
      </c>
      <c r="G959" t="s">
        <v>16</v>
      </c>
      <c r="H959" t="s">
        <v>15</v>
      </c>
      <c r="I959" t="s">
        <v>602</v>
      </c>
      <c r="N959">
        <v>1</v>
      </c>
      <c r="O959" t="s">
        <v>601</v>
      </c>
      <c r="P959">
        <v>6602449699</v>
      </c>
      <c r="R959" s="7">
        <v>33239</v>
      </c>
      <c r="S959" s="8">
        <f t="shared" si="120"/>
        <v>1991</v>
      </c>
      <c r="T959" s="8">
        <v>1991</v>
      </c>
      <c r="U959" s="8">
        <f t="shared" si="121"/>
        <v>31</v>
      </c>
      <c r="V959" s="7">
        <v>1991</v>
      </c>
      <c r="W959" t="s">
        <v>584</v>
      </c>
      <c r="X959" s="2" t="s">
        <v>33</v>
      </c>
      <c r="Y959" s="6" t="e">
        <f t="shared" si="118"/>
        <v>#VALUE!</v>
      </c>
      <c r="AA959">
        <v>87566648</v>
      </c>
      <c r="AB959">
        <v>74127</v>
      </c>
      <c r="AD959" t="s">
        <v>5</v>
      </c>
      <c r="AE959">
        <v>36</v>
      </c>
      <c r="AF959">
        <v>8</v>
      </c>
      <c r="AH959" t="s">
        <v>600</v>
      </c>
      <c r="AI959" t="s">
        <v>599</v>
      </c>
      <c r="AK959" t="s">
        <v>598</v>
      </c>
      <c r="AL959">
        <v>0</v>
      </c>
      <c r="AM959" s="5">
        <f t="shared" si="122"/>
        <v>0</v>
      </c>
      <c r="AN959" s="4">
        <f t="shared" si="119"/>
        <v>0</v>
      </c>
      <c r="AO959" s="3"/>
      <c r="AP959">
        <v>0</v>
      </c>
      <c r="AR959" t="s">
        <v>0</v>
      </c>
      <c r="AT959" s="2" t="s">
        <v>33</v>
      </c>
      <c r="AU959" s="1" t="e">
        <f t="shared" si="123"/>
        <v>#VALUE!</v>
      </c>
      <c r="AV959" s="1" t="e">
        <f t="shared" si="124"/>
        <v>#VALUE!</v>
      </c>
      <c r="AW959" s="1" t="e">
        <f t="shared" si="125"/>
        <v>#VALUE!</v>
      </c>
    </row>
    <row r="960" spans="1:49" x14ac:dyDescent="0.2">
      <c r="A960">
        <v>958</v>
      </c>
      <c r="B960" t="s">
        <v>597</v>
      </c>
      <c r="F960" t="s">
        <v>596</v>
      </c>
      <c r="G960" t="s">
        <v>16</v>
      </c>
      <c r="H960" t="s">
        <v>15</v>
      </c>
      <c r="I960" t="s">
        <v>595</v>
      </c>
      <c r="N960">
        <v>2</v>
      </c>
      <c r="O960" t="s">
        <v>594</v>
      </c>
      <c r="P960" t="s">
        <v>593</v>
      </c>
      <c r="Q960" t="s">
        <v>592</v>
      </c>
      <c r="R960" s="7">
        <v>33239</v>
      </c>
      <c r="S960" s="8">
        <f t="shared" si="120"/>
        <v>1991</v>
      </c>
      <c r="T960" s="8">
        <v>1991</v>
      </c>
      <c r="U960" s="8">
        <f t="shared" si="121"/>
        <v>31</v>
      </c>
      <c r="V960" s="7">
        <v>1991</v>
      </c>
      <c r="W960" t="s">
        <v>584</v>
      </c>
      <c r="X960" s="2" t="s">
        <v>33</v>
      </c>
      <c r="Y960" s="6" t="e">
        <f t="shared" si="118"/>
        <v>#VALUE!</v>
      </c>
      <c r="AA960">
        <v>87566648</v>
      </c>
      <c r="AB960">
        <v>74127</v>
      </c>
      <c r="AD960" t="s">
        <v>5</v>
      </c>
      <c r="AE960">
        <v>36</v>
      </c>
      <c r="AF960">
        <v>5</v>
      </c>
      <c r="AH960" t="s">
        <v>591</v>
      </c>
      <c r="AI960" t="s">
        <v>590</v>
      </c>
      <c r="AK960" t="s">
        <v>589</v>
      </c>
      <c r="AL960">
        <v>0</v>
      </c>
      <c r="AM960" s="5">
        <f t="shared" si="122"/>
        <v>0</v>
      </c>
      <c r="AN960" s="4">
        <f t="shared" si="119"/>
        <v>0</v>
      </c>
      <c r="AO960" s="3"/>
      <c r="AP960">
        <v>0</v>
      </c>
      <c r="AR960" t="s">
        <v>0</v>
      </c>
      <c r="AT960" s="2" t="s">
        <v>33</v>
      </c>
      <c r="AU960" s="1" t="e">
        <f t="shared" si="123"/>
        <v>#VALUE!</v>
      </c>
      <c r="AV960" s="1" t="e">
        <f t="shared" si="124"/>
        <v>#VALUE!</v>
      </c>
      <c r="AW960" s="1" t="e">
        <f t="shared" si="125"/>
        <v>#VALUE!</v>
      </c>
    </row>
    <row r="961" spans="1:49" x14ac:dyDescent="0.2">
      <c r="A961">
        <v>959</v>
      </c>
      <c r="B961" t="s">
        <v>588</v>
      </c>
      <c r="F961" t="s">
        <v>587</v>
      </c>
      <c r="G961" t="s">
        <v>16</v>
      </c>
      <c r="H961" t="s">
        <v>15</v>
      </c>
      <c r="I961" t="s">
        <v>586</v>
      </c>
      <c r="N961">
        <v>1</v>
      </c>
      <c r="O961" t="s">
        <v>585</v>
      </c>
      <c r="P961">
        <v>6701821709</v>
      </c>
      <c r="R961" s="7">
        <v>33239</v>
      </c>
      <c r="S961" s="8">
        <f t="shared" si="120"/>
        <v>1991</v>
      </c>
      <c r="T961" s="8">
        <v>1991</v>
      </c>
      <c r="U961" s="8">
        <f t="shared" si="121"/>
        <v>31</v>
      </c>
      <c r="V961" s="7">
        <v>1991</v>
      </c>
      <c r="W961" t="s">
        <v>584</v>
      </c>
      <c r="X961" s="2" t="s">
        <v>33</v>
      </c>
      <c r="Y961" s="6" t="e">
        <f t="shared" si="118"/>
        <v>#VALUE!</v>
      </c>
      <c r="AA961">
        <v>87566648</v>
      </c>
      <c r="AB961">
        <v>74127</v>
      </c>
      <c r="AD961" t="s">
        <v>5</v>
      </c>
      <c r="AE961">
        <v>36</v>
      </c>
      <c r="AF961">
        <v>6</v>
      </c>
      <c r="AH961" t="s">
        <v>583</v>
      </c>
      <c r="AI961" t="s">
        <v>582</v>
      </c>
      <c r="AK961" t="s">
        <v>581</v>
      </c>
      <c r="AL961">
        <v>0</v>
      </c>
      <c r="AM961" s="5">
        <f t="shared" si="122"/>
        <v>0</v>
      </c>
      <c r="AN961" s="4">
        <f t="shared" si="119"/>
        <v>0</v>
      </c>
      <c r="AO961" s="3"/>
      <c r="AP961">
        <v>0</v>
      </c>
      <c r="AR961" t="s">
        <v>0</v>
      </c>
      <c r="AT961" s="2" t="s">
        <v>33</v>
      </c>
      <c r="AU961" s="1" t="e">
        <f t="shared" si="123"/>
        <v>#VALUE!</v>
      </c>
      <c r="AV961" s="1" t="e">
        <f t="shared" si="124"/>
        <v>#VALUE!</v>
      </c>
      <c r="AW961" s="1" t="e">
        <f t="shared" si="125"/>
        <v>#VALUE!</v>
      </c>
    </row>
    <row r="962" spans="1:49" x14ac:dyDescent="0.2">
      <c r="A962">
        <v>960</v>
      </c>
      <c r="B962" t="s">
        <v>580</v>
      </c>
      <c r="F962" t="s">
        <v>579</v>
      </c>
      <c r="G962" t="s">
        <v>16</v>
      </c>
      <c r="H962" t="s">
        <v>15</v>
      </c>
      <c r="I962" t="s">
        <v>578</v>
      </c>
      <c r="J962">
        <v>60025522</v>
      </c>
      <c r="K962" t="s">
        <v>577</v>
      </c>
      <c r="L962" t="s">
        <v>576</v>
      </c>
      <c r="M962" t="s">
        <v>57</v>
      </c>
      <c r="N962">
        <v>1</v>
      </c>
      <c r="O962" t="s">
        <v>575</v>
      </c>
      <c r="P962">
        <v>7102807178</v>
      </c>
      <c r="Q962">
        <v>60025522</v>
      </c>
      <c r="R962" s="7">
        <v>33239</v>
      </c>
      <c r="S962" s="8">
        <f t="shared" si="120"/>
        <v>1991</v>
      </c>
      <c r="T962" s="8">
        <v>1991</v>
      </c>
      <c r="U962" s="8">
        <f t="shared" si="121"/>
        <v>31</v>
      </c>
      <c r="V962" s="7">
        <v>1991</v>
      </c>
      <c r="W962" t="s">
        <v>574</v>
      </c>
      <c r="X962" s="2" t="s">
        <v>33</v>
      </c>
      <c r="Y962" s="6" t="e">
        <f t="shared" ref="Y962:Y1003" si="126">(X962-$Z$4)/($Z$3-$Z$4)</f>
        <v>#VALUE!</v>
      </c>
      <c r="AB962">
        <v>65184</v>
      </c>
      <c r="AD962" t="s">
        <v>5</v>
      </c>
      <c r="AH962" t="s">
        <v>573</v>
      </c>
      <c r="AI962" t="s">
        <v>572</v>
      </c>
      <c r="AK962" t="s">
        <v>571</v>
      </c>
      <c r="AL962">
        <v>0</v>
      </c>
      <c r="AM962" s="5">
        <f t="shared" si="122"/>
        <v>0</v>
      </c>
      <c r="AN962" s="4">
        <f t="shared" ref="AN962:AN1003" si="127">(AM962-$AO$4)/($AO$3-$AO$4)</f>
        <v>0</v>
      </c>
      <c r="AO962" s="3"/>
      <c r="AP962">
        <v>0</v>
      </c>
      <c r="AR962" t="s">
        <v>0</v>
      </c>
      <c r="AT962" s="2" t="s">
        <v>33</v>
      </c>
      <c r="AU962" s="1" t="e">
        <f t="shared" si="123"/>
        <v>#VALUE!</v>
      </c>
      <c r="AV962" s="1" t="e">
        <f t="shared" si="124"/>
        <v>#VALUE!</v>
      </c>
      <c r="AW962" s="1" t="e">
        <f t="shared" si="125"/>
        <v>#VALUE!</v>
      </c>
    </row>
    <row r="963" spans="1:49" x14ac:dyDescent="0.2">
      <c r="A963">
        <v>961</v>
      </c>
      <c r="B963" t="s">
        <v>570</v>
      </c>
      <c r="C963" t="s">
        <v>569</v>
      </c>
      <c r="F963" t="s">
        <v>568</v>
      </c>
      <c r="G963" t="s">
        <v>16</v>
      </c>
      <c r="H963" t="s">
        <v>15</v>
      </c>
      <c r="I963" t="s">
        <v>567</v>
      </c>
      <c r="J963">
        <v>60015720</v>
      </c>
      <c r="K963" t="s">
        <v>566</v>
      </c>
      <c r="L963" t="s">
        <v>565</v>
      </c>
      <c r="M963" t="s">
        <v>57</v>
      </c>
      <c r="N963">
        <v>2</v>
      </c>
      <c r="O963" t="s">
        <v>564</v>
      </c>
      <c r="P963" t="s">
        <v>563</v>
      </c>
      <c r="Q963" t="s">
        <v>562</v>
      </c>
      <c r="R963" s="7">
        <v>33239</v>
      </c>
      <c r="S963" s="8">
        <f t="shared" si="120"/>
        <v>1991</v>
      </c>
      <c r="T963" s="8">
        <v>1991</v>
      </c>
      <c r="U963" s="8">
        <f t="shared" si="121"/>
        <v>31</v>
      </c>
      <c r="V963" s="7">
        <v>33258</v>
      </c>
      <c r="W963" t="s">
        <v>561</v>
      </c>
      <c r="X963" s="2">
        <v>0.30399999999999999</v>
      </c>
      <c r="Y963" s="6">
        <f t="shared" si="126"/>
        <v>8.115106377299057E-3</v>
      </c>
      <c r="AA963">
        <v>8952477</v>
      </c>
      <c r="AB963">
        <v>12250</v>
      </c>
      <c r="AC963">
        <v>10982760</v>
      </c>
      <c r="AD963" t="s">
        <v>5</v>
      </c>
      <c r="AE963">
        <v>4</v>
      </c>
      <c r="AF963">
        <v>2</v>
      </c>
      <c r="AH963" t="s">
        <v>560</v>
      </c>
      <c r="AI963" t="s">
        <v>559</v>
      </c>
      <c r="AJ963" t="s">
        <v>558</v>
      </c>
      <c r="AK963" t="s">
        <v>557</v>
      </c>
      <c r="AL963">
        <v>9</v>
      </c>
      <c r="AM963" s="5">
        <f t="shared" si="122"/>
        <v>0.29032258064516131</v>
      </c>
      <c r="AN963" s="4">
        <f t="shared" si="127"/>
        <v>4.3971613880372783E-4</v>
      </c>
      <c r="AO963" s="3"/>
      <c r="AP963">
        <v>0</v>
      </c>
      <c r="AR963" t="s">
        <v>0</v>
      </c>
      <c r="AT963" s="2" t="s">
        <v>33</v>
      </c>
      <c r="AU963" s="1">
        <f t="shared" si="123"/>
        <v>0.58124893057504579</v>
      </c>
      <c r="AV963" s="1">
        <f t="shared" si="124"/>
        <v>0.42774112580513929</v>
      </c>
      <c r="AW963" s="1">
        <f t="shared" si="125"/>
        <v>0.27423332103523268</v>
      </c>
    </row>
    <row r="964" spans="1:49" x14ac:dyDescent="0.2">
      <c r="A964">
        <v>962</v>
      </c>
      <c r="B964" t="s">
        <v>556</v>
      </c>
      <c r="C964" t="s">
        <v>555</v>
      </c>
      <c r="F964" t="s">
        <v>554</v>
      </c>
      <c r="G964" t="s">
        <v>16</v>
      </c>
      <c r="H964" t="s">
        <v>15</v>
      </c>
      <c r="I964" t="s">
        <v>553</v>
      </c>
      <c r="J964" t="s">
        <v>548</v>
      </c>
      <c r="K964" t="s">
        <v>552</v>
      </c>
      <c r="L964" t="s">
        <v>551</v>
      </c>
      <c r="M964" t="s">
        <v>133</v>
      </c>
      <c r="N964">
        <v>2</v>
      </c>
      <c r="O964" t="s">
        <v>550</v>
      </c>
      <c r="P964" t="s">
        <v>549</v>
      </c>
      <c r="Q964" t="s">
        <v>548</v>
      </c>
      <c r="R964" s="7">
        <v>33239</v>
      </c>
      <c r="S964" s="8">
        <f t="shared" si="120"/>
        <v>1991</v>
      </c>
      <c r="T964" s="8">
        <v>1991</v>
      </c>
      <c r="U964" s="8">
        <f t="shared" si="121"/>
        <v>31</v>
      </c>
      <c r="V964" s="7">
        <v>1991</v>
      </c>
      <c r="W964" t="s">
        <v>535</v>
      </c>
      <c r="X964" s="2">
        <v>0.375</v>
      </c>
      <c r="Y964" s="6">
        <f t="shared" si="126"/>
        <v>1.0010410827260351E-2</v>
      </c>
      <c r="AA964">
        <v>135194</v>
      </c>
      <c r="AB964">
        <v>24918</v>
      </c>
      <c r="AD964" t="s">
        <v>5</v>
      </c>
      <c r="AE964">
        <v>27</v>
      </c>
      <c r="AF964">
        <v>1</v>
      </c>
      <c r="AH964" t="s">
        <v>547</v>
      </c>
      <c r="AI964" t="s">
        <v>546</v>
      </c>
      <c r="AJ964" t="s">
        <v>545</v>
      </c>
      <c r="AK964" t="s">
        <v>544</v>
      </c>
      <c r="AL964">
        <v>4</v>
      </c>
      <c r="AM964" s="5">
        <f t="shared" si="122"/>
        <v>0.12903225806451613</v>
      </c>
      <c r="AN964" s="4">
        <f t="shared" si="127"/>
        <v>1.9542939502387903E-4</v>
      </c>
      <c r="AO964" s="3"/>
      <c r="AP964">
        <v>0</v>
      </c>
      <c r="AR964" t="s">
        <v>0</v>
      </c>
      <c r="AT964" s="2">
        <v>1.3140000000000001</v>
      </c>
      <c r="AU964" s="1">
        <f t="shared" si="123"/>
        <v>0.7065916397589409</v>
      </c>
      <c r="AV964" s="1">
        <f t="shared" si="124"/>
        <v>0.51029201111421152</v>
      </c>
      <c r="AW964" s="1">
        <f t="shared" si="125"/>
        <v>0.31399238246948202</v>
      </c>
    </row>
    <row r="965" spans="1:49" x14ac:dyDescent="0.2">
      <c r="A965">
        <v>963</v>
      </c>
      <c r="B965" t="s">
        <v>543</v>
      </c>
      <c r="C965" t="s">
        <v>542</v>
      </c>
      <c r="F965" t="s">
        <v>541</v>
      </c>
      <c r="G965" t="s">
        <v>16</v>
      </c>
      <c r="H965" t="s">
        <v>15</v>
      </c>
      <c r="I965" t="s">
        <v>540</v>
      </c>
      <c r="J965">
        <v>60022109</v>
      </c>
      <c r="K965" t="s">
        <v>539</v>
      </c>
      <c r="L965" t="s">
        <v>118</v>
      </c>
      <c r="M965" t="s">
        <v>117</v>
      </c>
      <c r="N965">
        <v>3</v>
      </c>
      <c r="O965" t="s">
        <v>538</v>
      </c>
      <c r="P965" t="s">
        <v>537</v>
      </c>
      <c r="Q965" t="s">
        <v>536</v>
      </c>
      <c r="R965" s="7">
        <v>33239</v>
      </c>
      <c r="S965" s="8">
        <f t="shared" si="120"/>
        <v>1991</v>
      </c>
      <c r="T965" s="8">
        <v>1991</v>
      </c>
      <c r="U965" s="8">
        <f t="shared" si="121"/>
        <v>31</v>
      </c>
      <c r="V965" s="7">
        <v>1991</v>
      </c>
      <c r="W965" t="s">
        <v>535</v>
      </c>
      <c r="X965" s="2">
        <v>0.375</v>
      </c>
      <c r="Y965" s="6">
        <f t="shared" si="126"/>
        <v>1.0010410827260351E-2</v>
      </c>
      <c r="AA965">
        <v>135194</v>
      </c>
      <c r="AB965">
        <v>24918</v>
      </c>
      <c r="AD965" t="s">
        <v>5</v>
      </c>
      <c r="AE965">
        <v>27</v>
      </c>
      <c r="AF965">
        <v>1</v>
      </c>
      <c r="AH965" t="s">
        <v>534</v>
      </c>
      <c r="AI965" t="s">
        <v>533</v>
      </c>
      <c r="AJ965" t="s">
        <v>532</v>
      </c>
      <c r="AK965" t="s">
        <v>531</v>
      </c>
      <c r="AL965">
        <v>4</v>
      </c>
      <c r="AM965" s="5">
        <f t="shared" si="122"/>
        <v>0.12903225806451613</v>
      </c>
      <c r="AN965" s="4">
        <f t="shared" si="127"/>
        <v>1.9542939502387903E-4</v>
      </c>
      <c r="AO965" s="3"/>
      <c r="AP965">
        <v>0</v>
      </c>
      <c r="AR965" t="s">
        <v>0</v>
      </c>
      <c r="AT965" s="2">
        <v>1.3140000000000001</v>
      </c>
      <c r="AU965" s="1">
        <f t="shared" si="123"/>
        <v>0.7065916397589409</v>
      </c>
      <c r="AV965" s="1">
        <f t="shared" si="124"/>
        <v>0.51029201111421152</v>
      </c>
      <c r="AW965" s="1">
        <f t="shared" si="125"/>
        <v>0.31399238246948202</v>
      </c>
    </row>
    <row r="966" spans="1:49" x14ac:dyDescent="0.2">
      <c r="A966">
        <v>964</v>
      </c>
      <c r="B966" t="s">
        <v>530</v>
      </c>
      <c r="C966" t="s">
        <v>529</v>
      </c>
      <c r="F966" t="s">
        <v>528</v>
      </c>
      <c r="G966" t="s">
        <v>16</v>
      </c>
      <c r="H966" t="s">
        <v>15</v>
      </c>
      <c r="I966" t="s">
        <v>527</v>
      </c>
      <c r="J966">
        <v>60008023</v>
      </c>
      <c r="K966" t="s">
        <v>526</v>
      </c>
      <c r="L966" t="s">
        <v>525</v>
      </c>
      <c r="M966" t="s">
        <v>57</v>
      </c>
      <c r="N966">
        <v>2</v>
      </c>
      <c r="O966" t="s">
        <v>524</v>
      </c>
      <c r="P966" t="s">
        <v>523</v>
      </c>
      <c r="Q966" t="s">
        <v>522</v>
      </c>
      <c r="R966" s="7">
        <v>33239</v>
      </c>
      <c r="S966" s="8">
        <f t="shared" si="120"/>
        <v>1991</v>
      </c>
      <c r="T966" s="8">
        <v>1991</v>
      </c>
      <c r="U966" s="8">
        <f t="shared" si="121"/>
        <v>31</v>
      </c>
      <c r="V966" s="7">
        <v>1991</v>
      </c>
      <c r="W966" t="s">
        <v>252</v>
      </c>
      <c r="X966" s="2">
        <v>1.641</v>
      </c>
      <c r="Y966" s="6">
        <f t="shared" si="126"/>
        <v>4.3805557780091299E-2</v>
      </c>
      <c r="AA966">
        <v>223654</v>
      </c>
      <c r="AB966">
        <v>30422</v>
      </c>
      <c r="AD966" t="s">
        <v>5</v>
      </c>
      <c r="AE966">
        <v>95</v>
      </c>
      <c r="AF966">
        <v>22</v>
      </c>
      <c r="AH966" t="s">
        <v>521</v>
      </c>
      <c r="AI966" t="s">
        <v>520</v>
      </c>
      <c r="AK966" t="s">
        <v>519</v>
      </c>
      <c r="AL966">
        <v>18</v>
      </c>
      <c r="AM966" s="5">
        <f t="shared" si="122"/>
        <v>0.58064516129032262</v>
      </c>
      <c r="AN966" s="4">
        <f t="shared" si="127"/>
        <v>8.7943227760745566E-4</v>
      </c>
      <c r="AO966" s="3"/>
      <c r="AP966">
        <v>0</v>
      </c>
      <c r="AR966" t="s">
        <v>0</v>
      </c>
      <c r="AT966" s="2" t="s">
        <v>33</v>
      </c>
      <c r="AU966" s="1">
        <f t="shared" si="123"/>
        <v>3.0927720129346143</v>
      </c>
      <c r="AV966" s="1">
        <f t="shared" si="124"/>
        <v>2.2342495028849378</v>
      </c>
      <c r="AW966" s="1">
        <f t="shared" si="125"/>
        <v>1.3757269928352609</v>
      </c>
    </row>
    <row r="967" spans="1:49" x14ac:dyDescent="0.2">
      <c r="A967">
        <v>965</v>
      </c>
      <c r="B967" t="s">
        <v>518</v>
      </c>
      <c r="C967" t="s">
        <v>517</v>
      </c>
      <c r="D967">
        <v>300325691900504</v>
      </c>
      <c r="F967" t="s">
        <v>516</v>
      </c>
      <c r="G967" t="s">
        <v>16</v>
      </c>
      <c r="H967" t="s">
        <v>15</v>
      </c>
      <c r="I967" t="s">
        <v>515</v>
      </c>
      <c r="J967">
        <v>60019674</v>
      </c>
      <c r="K967" t="s">
        <v>514</v>
      </c>
      <c r="L967" t="s">
        <v>513</v>
      </c>
      <c r="M967" t="s">
        <v>57</v>
      </c>
      <c r="N967">
        <v>1</v>
      </c>
      <c r="O967" t="s">
        <v>512</v>
      </c>
      <c r="P967">
        <v>7003789170</v>
      </c>
      <c r="Q967">
        <v>60019674</v>
      </c>
      <c r="R967" s="7">
        <v>33239</v>
      </c>
      <c r="S967" s="8">
        <f t="shared" si="120"/>
        <v>1991</v>
      </c>
      <c r="T967" s="8">
        <v>1991</v>
      </c>
      <c r="U967" s="8">
        <f t="shared" si="121"/>
        <v>31</v>
      </c>
      <c r="V967" s="7">
        <v>33420</v>
      </c>
      <c r="W967" t="s">
        <v>23</v>
      </c>
      <c r="X967" s="2">
        <v>1.204</v>
      </c>
      <c r="Y967" s="6">
        <f t="shared" si="126"/>
        <v>3.2140092362723902E-2</v>
      </c>
      <c r="AA967">
        <v>3003256</v>
      </c>
      <c r="AB967">
        <v>24546</v>
      </c>
      <c r="AC967">
        <v>14636409</v>
      </c>
      <c r="AD967" t="s">
        <v>5</v>
      </c>
      <c r="AE967">
        <v>20</v>
      </c>
      <c r="AF967">
        <v>3</v>
      </c>
      <c r="AH967" t="s">
        <v>511</v>
      </c>
      <c r="AI967" t="s">
        <v>510</v>
      </c>
      <c r="AK967" t="s">
        <v>509</v>
      </c>
      <c r="AL967">
        <v>7</v>
      </c>
      <c r="AM967" s="5">
        <f t="shared" si="122"/>
        <v>0.22580645161290322</v>
      </c>
      <c r="AN967" s="4">
        <f t="shared" si="127"/>
        <v>3.420014412917883E-4</v>
      </c>
      <c r="AO967" s="3"/>
      <c r="AP967">
        <v>0</v>
      </c>
      <c r="AQ967" t="s">
        <v>508</v>
      </c>
      <c r="AR967" t="s">
        <v>0</v>
      </c>
      <c r="AS967" t="s">
        <v>507</v>
      </c>
      <c r="AT967" s="2">
        <v>3.14</v>
      </c>
      <c r="AU967" s="1">
        <f t="shared" si="123"/>
        <v>2.2600665086294267</v>
      </c>
      <c r="AV967" s="1">
        <f t="shared" si="124"/>
        <v>1.6241046902007845</v>
      </c>
      <c r="AW967" s="1">
        <f t="shared" si="125"/>
        <v>0.98814287177214233</v>
      </c>
    </row>
    <row r="968" spans="1:49" x14ac:dyDescent="0.2">
      <c r="A968">
        <v>966</v>
      </c>
      <c r="B968" t="s">
        <v>506</v>
      </c>
      <c r="C968" t="s">
        <v>505</v>
      </c>
      <c r="F968" t="s">
        <v>504</v>
      </c>
      <c r="G968" t="s">
        <v>16</v>
      </c>
      <c r="H968" t="s">
        <v>15</v>
      </c>
      <c r="I968" t="s">
        <v>503</v>
      </c>
      <c r="J968">
        <v>60029526</v>
      </c>
      <c r="K968" t="s">
        <v>502</v>
      </c>
      <c r="L968" t="s">
        <v>501</v>
      </c>
      <c r="M968" t="s">
        <v>57</v>
      </c>
      <c r="N968">
        <v>2</v>
      </c>
      <c r="O968" t="s">
        <v>500</v>
      </c>
      <c r="P968" t="s">
        <v>499</v>
      </c>
      <c r="Q968" t="s">
        <v>498</v>
      </c>
      <c r="R968" s="7">
        <v>33239</v>
      </c>
      <c r="S968" s="8">
        <f t="shared" si="120"/>
        <v>1991</v>
      </c>
      <c r="T968" s="8">
        <v>1991</v>
      </c>
      <c r="U968" s="8">
        <f t="shared" si="121"/>
        <v>31</v>
      </c>
      <c r="V968" s="7">
        <v>33573</v>
      </c>
      <c r="W968" t="s">
        <v>497</v>
      </c>
      <c r="X968" s="2">
        <v>0.69299999999999995</v>
      </c>
      <c r="Y968" s="6">
        <f t="shared" si="126"/>
        <v>1.8499239208777128E-2</v>
      </c>
      <c r="AA968">
        <v>3076962</v>
      </c>
      <c r="AB968">
        <v>21084</v>
      </c>
      <c r="AC968">
        <v>13653032</v>
      </c>
      <c r="AD968" t="s">
        <v>5</v>
      </c>
      <c r="AE968">
        <v>16</v>
      </c>
      <c r="AF968">
        <v>4</v>
      </c>
      <c r="AH968" t="s">
        <v>496</v>
      </c>
      <c r="AI968" t="s">
        <v>495</v>
      </c>
      <c r="AJ968" t="s">
        <v>494</v>
      </c>
      <c r="AK968" t="s">
        <v>493</v>
      </c>
      <c r="AL968">
        <v>16</v>
      </c>
      <c r="AM968" s="5">
        <f t="shared" si="122"/>
        <v>0.5161290322580645</v>
      </c>
      <c r="AN968" s="4">
        <f t="shared" si="127"/>
        <v>7.8171758009551613E-4</v>
      </c>
      <c r="AO968" s="3"/>
      <c r="AP968">
        <v>0</v>
      </c>
      <c r="AR968" t="s">
        <v>0</v>
      </c>
      <c r="AT968" s="2">
        <v>1.833</v>
      </c>
      <c r="AU968" s="1">
        <f t="shared" si="123"/>
        <v>1.3183982720172644</v>
      </c>
      <c r="AV968" s="1">
        <f t="shared" si="124"/>
        <v>0.96404783944363215</v>
      </c>
      <c r="AW968" s="1">
        <f t="shared" si="125"/>
        <v>0.60969740686999996</v>
      </c>
    </row>
    <row r="969" spans="1:49" x14ac:dyDescent="0.2">
      <c r="A969">
        <v>967</v>
      </c>
      <c r="B969" t="s">
        <v>492</v>
      </c>
      <c r="C969" t="s">
        <v>491</v>
      </c>
      <c r="F969" t="s">
        <v>490</v>
      </c>
      <c r="G969" t="s">
        <v>16</v>
      </c>
      <c r="H969" t="s">
        <v>15</v>
      </c>
      <c r="I969" t="s">
        <v>489</v>
      </c>
      <c r="J969" t="s">
        <v>488</v>
      </c>
      <c r="K969" t="s">
        <v>487</v>
      </c>
      <c r="L969" t="s">
        <v>486</v>
      </c>
      <c r="M969" t="s">
        <v>133</v>
      </c>
      <c r="N969">
        <v>2</v>
      </c>
      <c r="O969" t="s">
        <v>485</v>
      </c>
      <c r="P969" t="s">
        <v>484</v>
      </c>
      <c r="Q969" t="s">
        <v>483</v>
      </c>
      <c r="R969" s="7">
        <v>33239</v>
      </c>
      <c r="S969" s="8">
        <f t="shared" si="120"/>
        <v>1991</v>
      </c>
      <c r="T969" s="8">
        <v>1991</v>
      </c>
      <c r="U969" s="8">
        <f t="shared" si="121"/>
        <v>31</v>
      </c>
      <c r="V969" s="7">
        <v>33482</v>
      </c>
      <c r="W969" t="s">
        <v>482</v>
      </c>
      <c r="X969" s="2">
        <v>4.976</v>
      </c>
      <c r="Y969" s="6">
        <f t="shared" si="126"/>
        <v>0.1328314780705267</v>
      </c>
      <c r="AA969">
        <v>1621459</v>
      </c>
      <c r="AB969">
        <v>12094</v>
      </c>
      <c r="AC969" t="s">
        <v>481</v>
      </c>
      <c r="AD969" t="s">
        <v>5</v>
      </c>
      <c r="AE969">
        <v>86</v>
      </c>
      <c r="AF969">
        <v>415</v>
      </c>
      <c r="AH969" t="s">
        <v>480</v>
      </c>
      <c r="AI969" t="s">
        <v>479</v>
      </c>
      <c r="AJ969" t="s">
        <v>478</v>
      </c>
      <c r="AK969" t="s">
        <v>477</v>
      </c>
      <c r="AL969">
        <v>35</v>
      </c>
      <c r="AM969" s="5">
        <f t="shared" si="122"/>
        <v>1.1290322580645162</v>
      </c>
      <c r="AN969" s="4">
        <f t="shared" si="127"/>
        <v>1.7100072064589417E-3</v>
      </c>
      <c r="AO969" s="3"/>
      <c r="AP969">
        <v>0</v>
      </c>
      <c r="AR969" t="s">
        <v>0</v>
      </c>
      <c r="AT969" s="2" t="s">
        <v>33</v>
      </c>
      <c r="AU969" s="1">
        <f t="shared" si="123"/>
        <v>9.3495036811306367</v>
      </c>
      <c r="AV969" s="1">
        <f t="shared" si="124"/>
        <v>6.727074263849282</v>
      </c>
      <c r="AW969" s="1">
        <f t="shared" si="125"/>
        <v>4.1046448465679273</v>
      </c>
    </row>
    <row r="970" spans="1:49" x14ac:dyDescent="0.2">
      <c r="A970">
        <v>968</v>
      </c>
      <c r="B970" t="s">
        <v>476</v>
      </c>
      <c r="C970" t="s">
        <v>475</v>
      </c>
      <c r="D970" t="s">
        <v>474</v>
      </c>
      <c r="F970" t="s">
        <v>473</v>
      </c>
      <c r="G970" t="s">
        <v>16</v>
      </c>
      <c r="H970" t="s">
        <v>15</v>
      </c>
      <c r="I970" t="s">
        <v>472</v>
      </c>
      <c r="J970" t="s">
        <v>466</v>
      </c>
      <c r="K970" t="s">
        <v>471</v>
      </c>
      <c r="L970" t="s">
        <v>470</v>
      </c>
      <c r="M970" t="s">
        <v>469</v>
      </c>
      <c r="N970">
        <v>2</v>
      </c>
      <c r="O970" t="s">
        <v>468</v>
      </c>
      <c r="P970" t="s">
        <v>467</v>
      </c>
      <c r="Q970" t="s">
        <v>466</v>
      </c>
      <c r="R970" s="7">
        <v>33239</v>
      </c>
      <c r="S970" s="8">
        <f t="shared" si="120"/>
        <v>1991</v>
      </c>
      <c r="T970" s="8">
        <v>1991</v>
      </c>
      <c r="U970" s="8">
        <f t="shared" si="121"/>
        <v>31</v>
      </c>
      <c r="V970" s="7">
        <v>33239</v>
      </c>
      <c r="W970" t="s">
        <v>465</v>
      </c>
      <c r="X970" s="2" t="s">
        <v>33</v>
      </c>
      <c r="Y970" s="6" t="e">
        <f t="shared" si="126"/>
        <v>#VALUE!</v>
      </c>
      <c r="AA970">
        <v>10111344</v>
      </c>
      <c r="AB970">
        <v>17622</v>
      </c>
      <c r="AD970" t="s">
        <v>5</v>
      </c>
      <c r="AE970">
        <v>8</v>
      </c>
      <c r="AF970">
        <v>2</v>
      </c>
      <c r="AH970" t="s">
        <v>464</v>
      </c>
      <c r="AI970" t="s">
        <v>463</v>
      </c>
      <c r="AJ970" t="s">
        <v>462</v>
      </c>
      <c r="AK970" t="s">
        <v>461</v>
      </c>
      <c r="AL970">
        <v>38</v>
      </c>
      <c r="AM970" s="5">
        <f t="shared" si="122"/>
        <v>1.2258064516129032</v>
      </c>
      <c r="AN970" s="4">
        <f t="shared" si="127"/>
        <v>1.8565792527268509E-3</v>
      </c>
      <c r="AO970" s="3"/>
      <c r="AP970">
        <v>0</v>
      </c>
      <c r="AQ970" t="s">
        <v>460</v>
      </c>
      <c r="AR970" t="s">
        <v>459</v>
      </c>
      <c r="AS970" t="s">
        <v>458</v>
      </c>
      <c r="AT970" s="2" t="s">
        <v>33</v>
      </c>
      <c r="AU970" s="1" t="e">
        <f t="shared" si="123"/>
        <v>#VALUE!</v>
      </c>
      <c r="AV970" s="1" t="e">
        <f t="shared" si="124"/>
        <v>#VALUE!</v>
      </c>
      <c r="AW970" s="1" t="e">
        <f t="shared" si="125"/>
        <v>#VALUE!</v>
      </c>
    </row>
    <row r="971" spans="1:49" x14ac:dyDescent="0.2">
      <c r="A971">
        <v>969</v>
      </c>
      <c r="B971" t="s">
        <v>457</v>
      </c>
      <c r="C971" t="s">
        <v>456</v>
      </c>
      <c r="F971" t="s">
        <v>455</v>
      </c>
      <c r="G971" t="s">
        <v>16</v>
      </c>
      <c r="H971" t="s">
        <v>15</v>
      </c>
      <c r="I971" t="s">
        <v>454</v>
      </c>
      <c r="J971">
        <v>60027561</v>
      </c>
      <c r="K971" t="s">
        <v>453</v>
      </c>
      <c r="L971" t="s">
        <v>452</v>
      </c>
      <c r="M971" t="s">
        <v>57</v>
      </c>
      <c r="N971">
        <v>2</v>
      </c>
      <c r="O971" t="s">
        <v>451</v>
      </c>
      <c r="P971" t="s">
        <v>450</v>
      </c>
      <c r="Q971" t="s">
        <v>449</v>
      </c>
      <c r="R971" s="7">
        <v>33239</v>
      </c>
      <c r="S971" s="8">
        <f t="shared" si="120"/>
        <v>1991</v>
      </c>
      <c r="T971" s="8">
        <v>1991</v>
      </c>
      <c r="U971" s="8">
        <f t="shared" si="121"/>
        <v>31</v>
      </c>
      <c r="V971" s="7">
        <v>1991</v>
      </c>
      <c r="W971" t="s">
        <v>239</v>
      </c>
      <c r="X971" s="2">
        <v>0.28599999999999998</v>
      </c>
      <c r="Y971" s="6">
        <f t="shared" si="126"/>
        <v>7.6346066575905605E-3</v>
      </c>
      <c r="AA971">
        <v>9205071</v>
      </c>
      <c r="AB971">
        <v>28139</v>
      </c>
      <c r="AC971">
        <v>15693937</v>
      </c>
      <c r="AD971" t="s">
        <v>5</v>
      </c>
      <c r="AE971">
        <v>5</v>
      </c>
      <c r="AF971">
        <v>10</v>
      </c>
      <c r="AH971" t="s">
        <v>448</v>
      </c>
      <c r="AI971" t="s">
        <v>447</v>
      </c>
      <c r="AK971" t="s">
        <v>446</v>
      </c>
      <c r="AL971">
        <v>9</v>
      </c>
      <c r="AM971" s="5">
        <f t="shared" si="122"/>
        <v>0.29032258064516131</v>
      </c>
      <c r="AN971" s="4">
        <f t="shared" si="127"/>
        <v>4.3971613880372783E-4</v>
      </c>
      <c r="AO971" s="3"/>
      <c r="AP971">
        <v>0</v>
      </c>
      <c r="AR971" t="s">
        <v>445</v>
      </c>
      <c r="AT971" s="2" t="s">
        <v>33</v>
      </c>
      <c r="AU971" s="1">
        <f t="shared" si="123"/>
        <v>0.54761395019545112</v>
      </c>
      <c r="AV971" s="1">
        <f t="shared" si="124"/>
        <v>0.40371613981971444</v>
      </c>
      <c r="AW971" s="1">
        <f t="shared" si="125"/>
        <v>0.25981832944397776</v>
      </c>
    </row>
    <row r="972" spans="1:49" x14ac:dyDescent="0.2">
      <c r="A972">
        <v>970</v>
      </c>
      <c r="B972" t="s">
        <v>444</v>
      </c>
      <c r="C972" t="s">
        <v>443</v>
      </c>
      <c r="D972" t="s">
        <v>442</v>
      </c>
      <c r="F972" t="s">
        <v>441</v>
      </c>
      <c r="G972" t="s">
        <v>16</v>
      </c>
      <c r="H972" t="s">
        <v>15</v>
      </c>
      <c r="I972" t="s">
        <v>440</v>
      </c>
      <c r="J972">
        <v>60000809</v>
      </c>
      <c r="K972" t="s">
        <v>439</v>
      </c>
      <c r="L972" t="s">
        <v>438</v>
      </c>
      <c r="M972" t="s">
        <v>326</v>
      </c>
      <c r="N972">
        <v>1</v>
      </c>
      <c r="O972" t="s">
        <v>437</v>
      </c>
      <c r="P972">
        <v>24359689000</v>
      </c>
      <c r="Q972">
        <v>60000809</v>
      </c>
      <c r="R972" s="7">
        <v>33239</v>
      </c>
      <c r="S972" s="8">
        <f t="shared" si="120"/>
        <v>1991</v>
      </c>
      <c r="T972" s="8">
        <v>1991</v>
      </c>
      <c r="U972" s="8">
        <f t="shared" si="121"/>
        <v>31</v>
      </c>
      <c r="V972" s="7">
        <v>1991</v>
      </c>
      <c r="W972" t="s">
        <v>424</v>
      </c>
      <c r="X972" s="2">
        <v>0.68200000000000005</v>
      </c>
      <c r="Y972" s="6">
        <f t="shared" si="126"/>
        <v>1.8205600491177493E-2</v>
      </c>
      <c r="AA972">
        <v>2731177</v>
      </c>
      <c r="AB972">
        <v>12375</v>
      </c>
      <c r="AD972" t="s">
        <v>5</v>
      </c>
      <c r="AE972">
        <v>11</v>
      </c>
      <c r="AF972">
        <v>2</v>
      </c>
      <c r="AH972" t="s">
        <v>436</v>
      </c>
      <c r="AI972" t="s">
        <v>435</v>
      </c>
      <c r="AK972" t="s">
        <v>434</v>
      </c>
      <c r="AL972">
        <v>4</v>
      </c>
      <c r="AM972" s="5">
        <f t="shared" si="122"/>
        <v>0.12903225806451613</v>
      </c>
      <c r="AN972" s="4">
        <f t="shared" si="127"/>
        <v>1.9542939502387903E-4</v>
      </c>
      <c r="AO972" s="3"/>
      <c r="AP972">
        <v>0</v>
      </c>
      <c r="AR972" t="s">
        <v>0</v>
      </c>
      <c r="AT972" s="2">
        <v>2.1520000000000001</v>
      </c>
      <c r="AU972" s="1">
        <f t="shared" si="123"/>
        <v>1.2802549162331407</v>
      </c>
      <c r="AV972" s="1">
        <f t="shared" si="124"/>
        <v>0.92005149431006861</v>
      </c>
      <c r="AW972" s="1">
        <f t="shared" si="125"/>
        <v>0.5598480723869963</v>
      </c>
    </row>
    <row r="973" spans="1:49" x14ac:dyDescent="0.2">
      <c r="A973">
        <v>971</v>
      </c>
      <c r="B973" t="s">
        <v>433</v>
      </c>
      <c r="C973" t="s">
        <v>432</v>
      </c>
      <c r="D973" t="s">
        <v>431</v>
      </c>
      <c r="F973" t="s">
        <v>430</v>
      </c>
      <c r="G973" t="s">
        <v>16</v>
      </c>
      <c r="H973" t="s">
        <v>15</v>
      </c>
      <c r="I973" t="s">
        <v>429</v>
      </c>
      <c r="J973">
        <v>60005920</v>
      </c>
      <c r="K973" t="s">
        <v>428</v>
      </c>
      <c r="L973" t="s">
        <v>427</v>
      </c>
      <c r="M973" t="s">
        <v>426</v>
      </c>
      <c r="N973">
        <v>1</v>
      </c>
      <c r="O973" t="s">
        <v>425</v>
      </c>
      <c r="P973">
        <v>7004270810</v>
      </c>
      <c r="Q973">
        <v>60005920</v>
      </c>
      <c r="R973" s="7">
        <v>33239</v>
      </c>
      <c r="S973" s="8">
        <f t="shared" si="120"/>
        <v>1991</v>
      </c>
      <c r="T973" s="8">
        <v>1991</v>
      </c>
      <c r="U973" s="8">
        <f t="shared" si="121"/>
        <v>31</v>
      </c>
      <c r="V973" s="7">
        <v>1991</v>
      </c>
      <c r="W973" t="s">
        <v>424</v>
      </c>
      <c r="X973" s="2">
        <v>0.68200000000000005</v>
      </c>
      <c r="Y973" s="6">
        <f t="shared" si="126"/>
        <v>1.8205600491177493E-2</v>
      </c>
      <c r="AA973">
        <v>2731177</v>
      </c>
      <c r="AB973">
        <v>12375</v>
      </c>
      <c r="AD973" t="s">
        <v>5</v>
      </c>
      <c r="AE973">
        <v>11</v>
      </c>
      <c r="AF973">
        <v>2</v>
      </c>
      <c r="AH973" t="s">
        <v>423</v>
      </c>
      <c r="AI973" t="s">
        <v>422</v>
      </c>
      <c r="AK973" t="s">
        <v>421</v>
      </c>
      <c r="AL973">
        <v>10</v>
      </c>
      <c r="AM973" s="5">
        <f t="shared" si="122"/>
        <v>0.32258064516129031</v>
      </c>
      <c r="AN973" s="4">
        <f t="shared" si="127"/>
        <v>4.8857348755969754E-4</v>
      </c>
      <c r="AO973" s="3"/>
      <c r="AP973">
        <v>0</v>
      </c>
      <c r="AR973" t="s">
        <v>0</v>
      </c>
      <c r="AT973" s="2">
        <v>2.1520000000000001</v>
      </c>
      <c r="AU973" s="1">
        <f t="shared" si="123"/>
        <v>1.2890492390092152</v>
      </c>
      <c r="AV973" s="1">
        <f t="shared" si="124"/>
        <v>0.93470869893685948</v>
      </c>
      <c r="AW973" s="1">
        <f t="shared" si="125"/>
        <v>0.58036815886450366</v>
      </c>
    </row>
    <row r="974" spans="1:49" x14ac:dyDescent="0.2">
      <c r="A974">
        <v>972</v>
      </c>
      <c r="B974" t="s">
        <v>420</v>
      </c>
      <c r="C974" t="s">
        <v>419</v>
      </c>
      <c r="F974" t="s">
        <v>418</v>
      </c>
      <c r="G974" t="s">
        <v>16</v>
      </c>
      <c r="H974" t="s">
        <v>15</v>
      </c>
      <c r="I974" t="s">
        <v>417</v>
      </c>
      <c r="J974">
        <v>60020547</v>
      </c>
      <c r="K974" t="s">
        <v>416</v>
      </c>
      <c r="L974" t="s">
        <v>415</v>
      </c>
      <c r="M974" t="s">
        <v>57</v>
      </c>
      <c r="N974">
        <v>2</v>
      </c>
      <c r="O974" t="s">
        <v>414</v>
      </c>
      <c r="P974" t="s">
        <v>413</v>
      </c>
      <c r="Q974" t="s">
        <v>412</v>
      </c>
      <c r="R974" s="7">
        <v>33239</v>
      </c>
      <c r="S974" s="8">
        <f t="shared" si="120"/>
        <v>1991</v>
      </c>
      <c r="T974" s="8">
        <v>1991</v>
      </c>
      <c r="U974" s="8">
        <f t="shared" si="121"/>
        <v>31</v>
      </c>
      <c r="V974" s="7">
        <v>33239</v>
      </c>
      <c r="W974" t="s">
        <v>239</v>
      </c>
      <c r="X974" s="2">
        <v>0.28599999999999998</v>
      </c>
      <c r="Y974" s="6">
        <f t="shared" si="126"/>
        <v>7.6346066575905605E-3</v>
      </c>
      <c r="AA974">
        <v>9205071</v>
      </c>
      <c r="AB974">
        <v>28139</v>
      </c>
      <c r="AC974">
        <v>15693937</v>
      </c>
      <c r="AD974" t="s">
        <v>5</v>
      </c>
      <c r="AE974">
        <v>5</v>
      </c>
      <c r="AF974">
        <v>12</v>
      </c>
      <c r="AH974" t="s">
        <v>411</v>
      </c>
      <c r="AI974" t="s">
        <v>410</v>
      </c>
      <c r="AK974" t="s">
        <v>409</v>
      </c>
      <c r="AL974">
        <v>21</v>
      </c>
      <c r="AM974" s="5">
        <f t="shared" si="122"/>
        <v>0.67741935483870963</v>
      </c>
      <c r="AN974" s="4">
        <f t="shared" si="127"/>
        <v>1.0260043238753647E-3</v>
      </c>
      <c r="AO974" s="3"/>
      <c r="AP974">
        <v>0</v>
      </c>
      <c r="AR974" t="s">
        <v>0</v>
      </c>
      <c r="AT974" s="2" t="s">
        <v>33</v>
      </c>
      <c r="AU974" s="1">
        <f t="shared" si="123"/>
        <v>0.56520259574760023</v>
      </c>
      <c r="AV974" s="1">
        <f t="shared" si="124"/>
        <v>0.43303054907329624</v>
      </c>
      <c r="AW974" s="1">
        <f t="shared" si="125"/>
        <v>0.30085850239899237</v>
      </c>
    </row>
    <row r="975" spans="1:49" x14ac:dyDescent="0.2">
      <c r="A975">
        <v>973</v>
      </c>
      <c r="B975" t="s">
        <v>408</v>
      </c>
      <c r="C975" t="s">
        <v>407</v>
      </c>
      <c r="F975" t="s">
        <v>406</v>
      </c>
      <c r="G975" t="s">
        <v>16</v>
      </c>
      <c r="H975" t="s">
        <v>15</v>
      </c>
      <c r="I975" t="s">
        <v>405</v>
      </c>
      <c r="J975">
        <v>60068815</v>
      </c>
      <c r="K975" t="s">
        <v>404</v>
      </c>
      <c r="L975" t="s">
        <v>403</v>
      </c>
      <c r="M975" t="s">
        <v>402</v>
      </c>
      <c r="N975">
        <v>2</v>
      </c>
      <c r="O975" t="s">
        <v>401</v>
      </c>
      <c r="P975" t="s">
        <v>400</v>
      </c>
      <c r="Q975" t="s">
        <v>399</v>
      </c>
      <c r="R975" s="7">
        <v>33239</v>
      </c>
      <c r="S975" s="8">
        <f t="shared" si="120"/>
        <v>1991</v>
      </c>
      <c r="T975" s="8">
        <v>1991</v>
      </c>
      <c r="U975" s="8">
        <f t="shared" si="121"/>
        <v>31</v>
      </c>
      <c r="V975" s="7">
        <v>33329</v>
      </c>
      <c r="W975" t="s">
        <v>398</v>
      </c>
      <c r="X975" s="2">
        <v>0.84299999999999997</v>
      </c>
      <c r="Y975" s="6">
        <f t="shared" si="126"/>
        <v>2.250340353968127E-2</v>
      </c>
      <c r="AA975">
        <v>188158</v>
      </c>
      <c r="AB975">
        <v>15168</v>
      </c>
      <c r="AC975">
        <v>15735117</v>
      </c>
      <c r="AD975" t="s">
        <v>5</v>
      </c>
      <c r="AE975">
        <v>212</v>
      </c>
      <c r="AF975">
        <v>1</v>
      </c>
      <c r="AH975" t="s">
        <v>397</v>
      </c>
      <c r="AI975" t="s">
        <v>396</v>
      </c>
      <c r="AJ975" t="s">
        <v>395</v>
      </c>
      <c r="AK975" t="s">
        <v>394</v>
      </c>
      <c r="AL975">
        <v>24</v>
      </c>
      <c r="AM975" s="5">
        <f t="shared" si="122"/>
        <v>0.77419354838709675</v>
      </c>
      <c r="AN975" s="4">
        <f t="shared" si="127"/>
        <v>1.1725763701432741E-3</v>
      </c>
      <c r="AO975" s="3"/>
      <c r="AP975">
        <v>0</v>
      </c>
      <c r="AR975" t="s">
        <v>0</v>
      </c>
      <c r="AT975" s="2">
        <v>2.694</v>
      </c>
      <c r="AU975" s="1">
        <f t="shared" si="123"/>
        <v>1.610415538881987</v>
      </c>
      <c r="AV975" s="1">
        <f t="shared" si="124"/>
        <v>1.1837989954912274</v>
      </c>
      <c r="AW975" s="1">
        <f t="shared" si="125"/>
        <v>0.75718245210046731</v>
      </c>
    </row>
    <row r="976" spans="1:49" x14ac:dyDescent="0.2">
      <c r="A976">
        <v>974</v>
      </c>
      <c r="B976" t="s">
        <v>393</v>
      </c>
      <c r="C976" t="s">
        <v>392</v>
      </c>
      <c r="F976" t="s">
        <v>391</v>
      </c>
      <c r="G976" t="s">
        <v>16</v>
      </c>
      <c r="H976" t="s">
        <v>15</v>
      </c>
      <c r="I976" t="s">
        <v>390</v>
      </c>
      <c r="J976">
        <v>60017134</v>
      </c>
      <c r="K976" t="s">
        <v>389</v>
      </c>
      <c r="L976" t="s">
        <v>388</v>
      </c>
      <c r="M976" t="s">
        <v>25</v>
      </c>
      <c r="N976">
        <v>2</v>
      </c>
      <c r="O976" t="s">
        <v>387</v>
      </c>
      <c r="P976" t="s">
        <v>386</v>
      </c>
      <c r="Q976" t="s">
        <v>385</v>
      </c>
      <c r="R976" s="7">
        <v>33239</v>
      </c>
      <c r="S976" s="8">
        <f t="shared" si="120"/>
        <v>1991</v>
      </c>
      <c r="T976" s="8">
        <v>1991</v>
      </c>
      <c r="U976" s="8">
        <f t="shared" si="121"/>
        <v>31</v>
      </c>
      <c r="V976" s="7" t="s">
        <v>384</v>
      </c>
      <c r="W976" t="s">
        <v>383</v>
      </c>
      <c r="X976" s="2">
        <v>0.79500000000000004</v>
      </c>
      <c r="Y976" s="6">
        <f t="shared" si="126"/>
        <v>2.1222070953791944E-2</v>
      </c>
      <c r="AA976">
        <v>9312048</v>
      </c>
      <c r="AB976">
        <v>20459</v>
      </c>
      <c r="AC976">
        <v>14390418</v>
      </c>
      <c r="AD976" t="s">
        <v>5</v>
      </c>
      <c r="AE976">
        <v>111</v>
      </c>
      <c r="AF976" s="9">
        <v>44317</v>
      </c>
      <c r="AH976" t="s">
        <v>382</v>
      </c>
      <c r="AI976" t="s">
        <v>381</v>
      </c>
      <c r="AK976" t="s">
        <v>380</v>
      </c>
      <c r="AL976">
        <v>14</v>
      </c>
      <c r="AM976" s="5">
        <f t="shared" si="122"/>
        <v>0.45161290322580644</v>
      </c>
      <c r="AN976" s="4">
        <f t="shared" si="127"/>
        <v>6.840028825835766E-4</v>
      </c>
      <c r="AO976" s="3"/>
      <c r="AP976">
        <v>0</v>
      </c>
      <c r="AR976" t="s">
        <v>0</v>
      </c>
      <c r="AT976" s="2">
        <v>2.6030000000000002</v>
      </c>
      <c r="AU976" s="1">
        <f t="shared" si="123"/>
        <v>1.5060650532429434</v>
      </c>
      <c r="AV976" s="1">
        <f t="shared" si="124"/>
        <v>1.095303691818776</v>
      </c>
      <c r="AW976" s="1">
        <f t="shared" si="125"/>
        <v>0.68454233039460854</v>
      </c>
    </row>
    <row r="977" spans="1:49" x14ac:dyDescent="0.2">
      <c r="A977">
        <v>975</v>
      </c>
      <c r="B977" t="s">
        <v>379</v>
      </c>
      <c r="C977" t="s">
        <v>378</v>
      </c>
      <c r="F977" t="s">
        <v>377</v>
      </c>
      <c r="G977" t="s">
        <v>16</v>
      </c>
      <c r="H977" t="s">
        <v>15</v>
      </c>
      <c r="I977" t="s">
        <v>376</v>
      </c>
      <c r="J977">
        <v>60009037</v>
      </c>
      <c r="K977" t="s">
        <v>375</v>
      </c>
      <c r="L977" t="s">
        <v>374</v>
      </c>
      <c r="M977" t="s">
        <v>57</v>
      </c>
      <c r="N977">
        <v>1</v>
      </c>
      <c r="O977" t="s">
        <v>373</v>
      </c>
      <c r="P977">
        <v>7408102852</v>
      </c>
      <c r="Q977">
        <v>60009037</v>
      </c>
      <c r="R977" s="7">
        <v>33239</v>
      </c>
      <c r="S977" s="8">
        <f t="shared" si="120"/>
        <v>1991</v>
      </c>
      <c r="T977" s="8">
        <v>1991</v>
      </c>
      <c r="U977" s="8">
        <f t="shared" si="121"/>
        <v>31</v>
      </c>
      <c r="V977" s="7">
        <v>33390</v>
      </c>
      <c r="W977" t="s">
        <v>324</v>
      </c>
      <c r="X977" s="2">
        <v>0.88100000000000001</v>
      </c>
      <c r="Y977" s="6">
        <f t="shared" si="126"/>
        <v>2.3517791836843653E-2</v>
      </c>
      <c r="AA977">
        <v>10459243</v>
      </c>
      <c r="AB977">
        <v>17248</v>
      </c>
      <c r="AD977" t="s">
        <v>5</v>
      </c>
      <c r="AE977">
        <v>33</v>
      </c>
      <c r="AF977">
        <v>3</v>
      </c>
      <c r="AH977" t="s">
        <v>372</v>
      </c>
      <c r="AL977">
        <v>14</v>
      </c>
      <c r="AM977" s="5">
        <f t="shared" si="122"/>
        <v>0.45161290322580644</v>
      </c>
      <c r="AN977" s="4">
        <f t="shared" si="127"/>
        <v>6.840028825835766E-4</v>
      </c>
      <c r="AO977" s="3"/>
      <c r="AP977">
        <v>0</v>
      </c>
      <c r="AR977" t="s">
        <v>0</v>
      </c>
      <c r="AT977" s="2" t="s">
        <v>33</v>
      </c>
      <c r="AU977" s="1">
        <f t="shared" si="123"/>
        <v>1.666765515056563</v>
      </c>
      <c r="AV977" s="1">
        <f t="shared" si="124"/>
        <v>1.2100897359713614</v>
      </c>
      <c r="AW977" s="1">
        <f t="shared" si="125"/>
        <v>0.75341395688615986</v>
      </c>
    </row>
    <row r="978" spans="1:49" x14ac:dyDescent="0.2">
      <c r="A978">
        <v>976</v>
      </c>
      <c r="B978" t="s">
        <v>371</v>
      </c>
      <c r="C978" t="s">
        <v>370</v>
      </c>
      <c r="F978" t="s">
        <v>369</v>
      </c>
      <c r="G978" t="s">
        <v>16</v>
      </c>
      <c r="H978" t="s">
        <v>15</v>
      </c>
      <c r="I978" t="s">
        <v>368</v>
      </c>
      <c r="J978" t="s">
        <v>367</v>
      </c>
      <c r="K978" t="s">
        <v>366</v>
      </c>
      <c r="L978" t="s">
        <v>365</v>
      </c>
      <c r="M978" t="s">
        <v>364</v>
      </c>
      <c r="N978">
        <v>3</v>
      </c>
      <c r="O978" t="s">
        <v>363</v>
      </c>
      <c r="P978" t="s">
        <v>362</v>
      </c>
      <c r="Q978" t="s">
        <v>361</v>
      </c>
      <c r="R978" s="7">
        <v>33239</v>
      </c>
      <c r="S978" s="8">
        <f t="shared" si="120"/>
        <v>1991</v>
      </c>
      <c r="T978" s="8">
        <v>1991</v>
      </c>
      <c r="U978" s="8">
        <f t="shared" si="121"/>
        <v>31</v>
      </c>
      <c r="V978" s="7">
        <v>1991</v>
      </c>
      <c r="W978" t="s">
        <v>360</v>
      </c>
      <c r="X978" s="2">
        <v>0.41599999999999998</v>
      </c>
      <c r="Y978" s="6">
        <f t="shared" si="126"/>
        <v>1.1104882411040816E-2</v>
      </c>
      <c r="AA978">
        <v>15368378</v>
      </c>
      <c r="AB978">
        <v>14876</v>
      </c>
      <c r="AD978" t="s">
        <v>5</v>
      </c>
      <c r="AE978">
        <v>10</v>
      </c>
      <c r="AF978" s="9">
        <v>44228</v>
      </c>
      <c r="AH978" t="s">
        <v>359</v>
      </c>
      <c r="AI978" t="s">
        <v>358</v>
      </c>
      <c r="AK978" t="s">
        <v>357</v>
      </c>
      <c r="AL978">
        <v>23</v>
      </c>
      <c r="AM978" s="5">
        <f t="shared" si="122"/>
        <v>0.74193548387096775</v>
      </c>
      <c r="AN978" s="4">
        <f t="shared" si="127"/>
        <v>1.1237190213873045E-3</v>
      </c>
      <c r="AO978" s="3"/>
      <c r="AP978">
        <v>0</v>
      </c>
      <c r="AR978" t="s">
        <v>0</v>
      </c>
      <c r="AT978" s="2">
        <v>2.8820000000000001</v>
      </c>
      <c r="AU978" s="1">
        <f t="shared" si="123"/>
        <v>0.8110533394144761</v>
      </c>
      <c r="AV978" s="1">
        <f t="shared" si="124"/>
        <v>0.61143007162140595</v>
      </c>
      <c r="AW978" s="1">
        <f t="shared" si="125"/>
        <v>0.41180680382833579</v>
      </c>
    </row>
    <row r="979" spans="1:49" x14ac:dyDescent="0.2">
      <c r="A979">
        <v>977</v>
      </c>
      <c r="B979" t="s">
        <v>356</v>
      </c>
      <c r="C979" t="s">
        <v>355</v>
      </c>
      <c r="D979">
        <v>20089191900217</v>
      </c>
      <c r="F979" t="s">
        <v>354</v>
      </c>
      <c r="G979" t="s">
        <v>16</v>
      </c>
      <c r="H979" t="s">
        <v>15</v>
      </c>
      <c r="I979" t="s">
        <v>353</v>
      </c>
      <c r="J979" t="s">
        <v>305</v>
      </c>
      <c r="K979" t="s">
        <v>304</v>
      </c>
      <c r="L979" t="s">
        <v>303</v>
      </c>
      <c r="M979" t="s">
        <v>302</v>
      </c>
      <c r="N979">
        <v>2</v>
      </c>
      <c r="O979" t="s">
        <v>352</v>
      </c>
      <c r="P979" t="s">
        <v>351</v>
      </c>
      <c r="Q979" t="s">
        <v>305</v>
      </c>
      <c r="R979" s="7">
        <v>33239</v>
      </c>
      <c r="S979" s="8">
        <f t="shared" si="120"/>
        <v>1991</v>
      </c>
      <c r="T979" s="8">
        <v>1991</v>
      </c>
      <c r="U979" s="8">
        <f t="shared" si="121"/>
        <v>31</v>
      </c>
      <c r="V979" s="7">
        <v>1991</v>
      </c>
      <c r="W979" t="s">
        <v>298</v>
      </c>
      <c r="X979" s="2" t="s">
        <v>33</v>
      </c>
      <c r="Y979" s="6" t="e">
        <f t="shared" si="126"/>
        <v>#VALUE!</v>
      </c>
      <c r="AA979">
        <v>200891</v>
      </c>
      <c r="AB979">
        <v>33360</v>
      </c>
      <c r="AD979" t="s">
        <v>5</v>
      </c>
      <c r="AE979">
        <v>31</v>
      </c>
      <c r="AF979">
        <v>5</v>
      </c>
      <c r="AH979" t="s">
        <v>350</v>
      </c>
      <c r="AI979" t="s">
        <v>349</v>
      </c>
      <c r="AK979" t="s">
        <v>348</v>
      </c>
      <c r="AL979">
        <v>9</v>
      </c>
      <c r="AM979" s="5">
        <f t="shared" si="122"/>
        <v>0.29032258064516131</v>
      </c>
      <c r="AN979" s="4">
        <f t="shared" si="127"/>
        <v>4.3971613880372783E-4</v>
      </c>
      <c r="AO979" s="3"/>
      <c r="AP979">
        <v>0</v>
      </c>
      <c r="AR979" t="s">
        <v>0</v>
      </c>
      <c r="AT979" s="2" t="s">
        <v>33</v>
      </c>
      <c r="AU979" s="1" t="e">
        <f t="shared" si="123"/>
        <v>#VALUE!</v>
      </c>
      <c r="AV979" s="1" t="e">
        <f t="shared" si="124"/>
        <v>#VALUE!</v>
      </c>
      <c r="AW979" s="1" t="e">
        <f t="shared" si="125"/>
        <v>#VALUE!</v>
      </c>
    </row>
    <row r="980" spans="1:49" x14ac:dyDescent="0.2">
      <c r="A980">
        <v>978</v>
      </c>
      <c r="B980" t="s">
        <v>347</v>
      </c>
      <c r="C980" t="s">
        <v>346</v>
      </c>
      <c r="F980" t="s">
        <v>345</v>
      </c>
      <c r="G980" t="s">
        <v>16</v>
      </c>
      <c r="H980" t="s">
        <v>15</v>
      </c>
      <c r="I980" t="s">
        <v>344</v>
      </c>
      <c r="J980">
        <v>60030318</v>
      </c>
      <c r="K980" t="s">
        <v>343</v>
      </c>
      <c r="L980" t="s">
        <v>342</v>
      </c>
      <c r="M980" t="s">
        <v>341</v>
      </c>
      <c r="N980">
        <v>3</v>
      </c>
      <c r="O980" t="s">
        <v>340</v>
      </c>
      <c r="P980" t="s">
        <v>339</v>
      </c>
      <c r="Q980" t="s">
        <v>338</v>
      </c>
      <c r="R980" s="7">
        <v>33239</v>
      </c>
      <c r="S980" s="8">
        <f t="shared" si="120"/>
        <v>1991</v>
      </c>
      <c r="T980" s="8">
        <v>1991</v>
      </c>
      <c r="U980" s="8">
        <f t="shared" si="121"/>
        <v>31</v>
      </c>
      <c r="V980" s="7">
        <v>33239</v>
      </c>
      <c r="W980" t="s">
        <v>337</v>
      </c>
      <c r="X980" s="2">
        <v>1.1579999999999999</v>
      </c>
      <c r="Y980" s="6">
        <f t="shared" si="126"/>
        <v>3.0912148634579962E-2</v>
      </c>
      <c r="AA980">
        <v>1668595</v>
      </c>
      <c r="AB980">
        <v>14223</v>
      </c>
      <c r="AC980">
        <v>15735079</v>
      </c>
      <c r="AD980" t="s">
        <v>5</v>
      </c>
      <c r="AE980">
        <v>27</v>
      </c>
      <c r="AF980">
        <v>1</v>
      </c>
      <c r="AH980" t="s">
        <v>336</v>
      </c>
      <c r="AI980" t="s">
        <v>335</v>
      </c>
      <c r="AJ980" t="s">
        <v>334</v>
      </c>
      <c r="AK980" t="s">
        <v>333</v>
      </c>
      <c r="AL980">
        <v>58</v>
      </c>
      <c r="AM980" s="5">
        <f t="shared" si="122"/>
        <v>1.8709677419354838</v>
      </c>
      <c r="AN980" s="4">
        <f t="shared" si="127"/>
        <v>2.8337262278462457E-3</v>
      </c>
      <c r="AO980" s="3"/>
      <c r="AP980">
        <v>0</v>
      </c>
      <c r="AR980" t="s">
        <v>0</v>
      </c>
      <c r="AT980" s="2">
        <v>3.573</v>
      </c>
      <c r="AU980" s="1">
        <f t="shared" si="123"/>
        <v>2.2488621912559843</v>
      </c>
      <c r="AV980" s="1">
        <f t="shared" si="124"/>
        <v>1.6872937431213104</v>
      </c>
      <c r="AW980" s="1">
        <f t="shared" si="125"/>
        <v>1.1257252949866361</v>
      </c>
    </row>
    <row r="981" spans="1:49" x14ac:dyDescent="0.2">
      <c r="A981">
        <v>979</v>
      </c>
      <c r="B981" t="s">
        <v>332</v>
      </c>
      <c r="C981" t="s">
        <v>331</v>
      </c>
      <c r="F981" t="s">
        <v>330</v>
      </c>
      <c r="G981" t="s">
        <v>16</v>
      </c>
      <c r="H981" t="s">
        <v>15</v>
      </c>
      <c r="I981" t="s">
        <v>329</v>
      </c>
      <c r="J981">
        <v>60002784</v>
      </c>
      <c r="K981" t="s">
        <v>328</v>
      </c>
      <c r="L981" t="s">
        <v>327</v>
      </c>
      <c r="M981" t="s">
        <v>326</v>
      </c>
      <c r="N981">
        <v>1</v>
      </c>
      <c r="O981" t="s">
        <v>325</v>
      </c>
      <c r="P981">
        <v>7103403544</v>
      </c>
      <c r="Q981">
        <v>60002784</v>
      </c>
      <c r="R981" s="7">
        <v>33239</v>
      </c>
      <c r="S981" s="8">
        <f t="shared" si="120"/>
        <v>1991</v>
      </c>
      <c r="T981" s="8">
        <v>1991</v>
      </c>
      <c r="U981" s="8">
        <f t="shared" si="121"/>
        <v>31</v>
      </c>
      <c r="V981" s="7">
        <v>33390</v>
      </c>
      <c r="W981" t="s">
        <v>324</v>
      </c>
      <c r="X981" s="2">
        <v>0.88100000000000001</v>
      </c>
      <c r="Y981" s="6">
        <f t="shared" si="126"/>
        <v>2.3517791836843653E-2</v>
      </c>
      <c r="AA981">
        <v>10459243</v>
      </c>
      <c r="AB981">
        <v>17248</v>
      </c>
      <c r="AD981" t="s">
        <v>5</v>
      </c>
      <c r="AE981">
        <v>33</v>
      </c>
      <c r="AF981">
        <v>3</v>
      </c>
      <c r="AH981" s="10">
        <v>43282</v>
      </c>
      <c r="AL981">
        <v>11</v>
      </c>
      <c r="AM981" s="5">
        <f t="shared" si="122"/>
        <v>0.35483870967741937</v>
      </c>
      <c r="AN981" s="4">
        <f t="shared" si="127"/>
        <v>5.3743083631566731E-4</v>
      </c>
      <c r="AO981" s="3"/>
      <c r="AP981">
        <v>0</v>
      </c>
      <c r="AR981" t="s">
        <v>0</v>
      </c>
      <c r="AT981" s="2" t="s">
        <v>33</v>
      </c>
      <c r="AU981" s="1">
        <f t="shared" si="123"/>
        <v>1.6623683536685256</v>
      </c>
      <c r="AV981" s="1">
        <f t="shared" si="124"/>
        <v>1.202761133657966</v>
      </c>
      <c r="AW981" s="1">
        <f t="shared" si="125"/>
        <v>0.74315391364740635</v>
      </c>
    </row>
    <row r="982" spans="1:49" x14ac:dyDescent="0.2">
      <c r="A982">
        <v>980</v>
      </c>
      <c r="B982" t="s">
        <v>323</v>
      </c>
      <c r="C982" t="s">
        <v>322</v>
      </c>
      <c r="D982" t="s">
        <v>321</v>
      </c>
      <c r="F982" t="s">
        <v>320</v>
      </c>
      <c r="G982" t="s">
        <v>16</v>
      </c>
      <c r="H982" t="s">
        <v>15</v>
      </c>
      <c r="I982" t="s">
        <v>319</v>
      </c>
      <c r="J982">
        <v>60005460</v>
      </c>
      <c r="K982" t="s">
        <v>318</v>
      </c>
      <c r="L982" t="s">
        <v>317</v>
      </c>
      <c r="M982" t="s">
        <v>25</v>
      </c>
      <c r="N982">
        <v>3</v>
      </c>
      <c r="O982" t="s">
        <v>316</v>
      </c>
      <c r="P982" t="s">
        <v>315</v>
      </c>
      <c r="Q982" t="s">
        <v>314</v>
      </c>
      <c r="R982" s="7">
        <v>33239</v>
      </c>
      <c r="S982" s="8">
        <f t="shared" si="120"/>
        <v>1991</v>
      </c>
      <c r="T982" s="8">
        <v>1991</v>
      </c>
      <c r="U982" s="8">
        <f t="shared" si="121"/>
        <v>31</v>
      </c>
      <c r="V982" s="7">
        <v>1991</v>
      </c>
      <c r="W982" t="s">
        <v>83</v>
      </c>
      <c r="X982" s="2">
        <v>0.89900000000000002</v>
      </c>
      <c r="Y982" s="6">
        <f t="shared" si="126"/>
        <v>2.399829155655215E-2</v>
      </c>
      <c r="AA982">
        <v>221910</v>
      </c>
      <c r="AB982">
        <v>20487</v>
      </c>
      <c r="AD982" t="s">
        <v>5</v>
      </c>
      <c r="AE982">
        <v>37</v>
      </c>
      <c r="AF982">
        <v>1</v>
      </c>
      <c r="AI982" t="s">
        <v>313</v>
      </c>
      <c r="AJ982" t="s">
        <v>312</v>
      </c>
      <c r="AK982" t="s">
        <v>311</v>
      </c>
      <c r="AL982">
        <v>19</v>
      </c>
      <c r="AM982" s="5">
        <f t="shared" si="122"/>
        <v>0.61290322580645162</v>
      </c>
      <c r="AN982" s="4">
        <f t="shared" si="127"/>
        <v>9.2828962636342543E-4</v>
      </c>
      <c r="AO982" s="3"/>
      <c r="AP982">
        <v>0</v>
      </c>
      <c r="AR982" t="s">
        <v>0</v>
      </c>
      <c r="AT982" s="2">
        <v>2.3540000000000001</v>
      </c>
      <c r="AU982" s="1">
        <f t="shared" si="123"/>
        <v>1.7077290977495532</v>
      </c>
      <c r="AV982" s="1">
        <f t="shared" si="124"/>
        <v>1.2463290591457787</v>
      </c>
      <c r="AW982" s="1">
        <f t="shared" si="125"/>
        <v>0.7849290205420042</v>
      </c>
    </row>
    <row r="983" spans="1:49" x14ac:dyDescent="0.2">
      <c r="A983">
        <v>981</v>
      </c>
      <c r="B983" t="s">
        <v>310</v>
      </c>
      <c r="C983" t="s">
        <v>309</v>
      </c>
      <c r="D983" t="s">
        <v>308</v>
      </c>
      <c r="F983" t="s">
        <v>307</v>
      </c>
      <c r="G983" t="s">
        <v>16</v>
      </c>
      <c r="H983" t="s">
        <v>15</v>
      </c>
      <c r="I983" t="s">
        <v>306</v>
      </c>
      <c r="J983" t="s">
        <v>305</v>
      </c>
      <c r="K983" t="s">
        <v>304</v>
      </c>
      <c r="L983" t="s">
        <v>303</v>
      </c>
      <c r="M983" t="s">
        <v>302</v>
      </c>
      <c r="N983">
        <v>2</v>
      </c>
      <c r="O983" t="s">
        <v>301</v>
      </c>
      <c r="P983" t="s">
        <v>300</v>
      </c>
      <c r="Q983" t="s">
        <v>299</v>
      </c>
      <c r="R983" s="7">
        <v>33239</v>
      </c>
      <c r="S983" s="8">
        <f t="shared" si="120"/>
        <v>1991</v>
      </c>
      <c r="T983" s="8">
        <v>1991</v>
      </c>
      <c r="U983" s="8">
        <f t="shared" si="121"/>
        <v>31</v>
      </c>
      <c r="V983" s="7">
        <v>1991</v>
      </c>
      <c r="W983" t="s">
        <v>298</v>
      </c>
      <c r="X983" s="2" t="s">
        <v>33</v>
      </c>
      <c r="Y983" s="6" t="e">
        <f t="shared" si="126"/>
        <v>#VALUE!</v>
      </c>
      <c r="AA983">
        <v>200891</v>
      </c>
      <c r="AB983">
        <v>33360</v>
      </c>
      <c r="AD983" t="s">
        <v>5</v>
      </c>
      <c r="AE983">
        <v>31</v>
      </c>
      <c r="AF983">
        <v>3</v>
      </c>
      <c r="AH983" t="s">
        <v>297</v>
      </c>
      <c r="AI983" t="s">
        <v>296</v>
      </c>
      <c r="AK983" t="s">
        <v>295</v>
      </c>
      <c r="AL983">
        <v>25</v>
      </c>
      <c r="AM983" s="5">
        <f t="shared" si="122"/>
        <v>0.80645161290322576</v>
      </c>
      <c r="AN983" s="4">
        <f t="shared" si="127"/>
        <v>1.2214337188992438E-3</v>
      </c>
      <c r="AO983" s="3"/>
      <c r="AP983">
        <v>0</v>
      </c>
      <c r="AR983" t="s">
        <v>0</v>
      </c>
      <c r="AT983" s="2" t="s">
        <v>33</v>
      </c>
      <c r="AU983" s="1" t="e">
        <f t="shared" si="123"/>
        <v>#VALUE!</v>
      </c>
      <c r="AV983" s="1" t="e">
        <f t="shared" si="124"/>
        <v>#VALUE!</v>
      </c>
      <c r="AW983" s="1" t="e">
        <f t="shared" si="125"/>
        <v>#VALUE!</v>
      </c>
    </row>
    <row r="984" spans="1:49" x14ac:dyDescent="0.2">
      <c r="A984">
        <v>982</v>
      </c>
      <c r="B984" t="s">
        <v>294</v>
      </c>
      <c r="C984" t="s">
        <v>293</v>
      </c>
      <c r="D984" t="s">
        <v>292</v>
      </c>
      <c r="F984" t="s">
        <v>291</v>
      </c>
      <c r="G984" t="s">
        <v>16</v>
      </c>
      <c r="H984" t="s">
        <v>15</v>
      </c>
      <c r="I984" t="s">
        <v>290</v>
      </c>
      <c r="J984" t="s">
        <v>289</v>
      </c>
      <c r="K984" t="s">
        <v>288</v>
      </c>
      <c r="L984" t="s">
        <v>287</v>
      </c>
      <c r="M984" t="s">
        <v>286</v>
      </c>
      <c r="N984">
        <v>2</v>
      </c>
      <c r="O984" t="s">
        <v>285</v>
      </c>
      <c r="P984" t="s">
        <v>284</v>
      </c>
      <c r="Q984" t="s">
        <v>283</v>
      </c>
      <c r="R984" s="7">
        <v>33239</v>
      </c>
      <c r="S984" s="8">
        <f t="shared" si="120"/>
        <v>1991</v>
      </c>
      <c r="T984" s="8">
        <v>1991</v>
      </c>
      <c r="U984" s="8">
        <f t="shared" si="121"/>
        <v>31</v>
      </c>
      <c r="V984" s="7">
        <v>33512</v>
      </c>
      <c r="W984" t="s">
        <v>282</v>
      </c>
      <c r="X984" s="2">
        <v>0.51500000000000001</v>
      </c>
      <c r="Y984" s="6">
        <f t="shared" si="126"/>
        <v>1.374763086943755E-2</v>
      </c>
      <c r="AA984">
        <v>219169</v>
      </c>
      <c r="AB984">
        <v>30966</v>
      </c>
      <c r="AD984" t="s">
        <v>5</v>
      </c>
      <c r="AE984">
        <v>53</v>
      </c>
      <c r="AF984">
        <v>10</v>
      </c>
      <c r="AH984" t="s">
        <v>281</v>
      </c>
      <c r="AI984" t="s">
        <v>280</v>
      </c>
      <c r="AK984" t="s">
        <v>279</v>
      </c>
      <c r="AL984">
        <v>33</v>
      </c>
      <c r="AM984" s="5">
        <f t="shared" si="122"/>
        <v>1.064516129032258</v>
      </c>
      <c r="AN984" s="4">
        <f t="shared" si="127"/>
        <v>1.6122925089470019E-3</v>
      </c>
      <c r="AO984" s="3"/>
      <c r="AP984">
        <v>0</v>
      </c>
      <c r="AR984" t="s">
        <v>0</v>
      </c>
      <c r="AT984" s="2" t="s">
        <v>33</v>
      </c>
      <c r="AU984" s="1">
        <f t="shared" si="123"/>
        <v>1.0107029361290385</v>
      </c>
      <c r="AV984" s="1">
        <f t="shared" si="124"/>
        <v>0.76799616891922762</v>
      </c>
      <c r="AW984" s="1">
        <f t="shared" si="125"/>
        <v>0.52528940170941663</v>
      </c>
    </row>
    <row r="985" spans="1:49" x14ac:dyDescent="0.2">
      <c r="A985">
        <v>983</v>
      </c>
      <c r="B985" t="s">
        <v>278</v>
      </c>
      <c r="C985" t="s">
        <v>277</v>
      </c>
      <c r="F985" t="s">
        <v>276</v>
      </c>
      <c r="G985" t="s">
        <v>16</v>
      </c>
      <c r="H985" t="s">
        <v>15</v>
      </c>
      <c r="I985" t="s">
        <v>275</v>
      </c>
      <c r="J985">
        <v>60003475</v>
      </c>
      <c r="K985" t="s">
        <v>274</v>
      </c>
      <c r="L985" t="s">
        <v>273</v>
      </c>
      <c r="M985" t="s">
        <v>272</v>
      </c>
      <c r="N985">
        <v>2</v>
      </c>
      <c r="O985" t="s">
        <v>271</v>
      </c>
      <c r="P985" t="s">
        <v>270</v>
      </c>
      <c r="Q985" t="s">
        <v>269</v>
      </c>
      <c r="R985" s="7">
        <v>33239</v>
      </c>
      <c r="S985" s="8">
        <f t="shared" si="120"/>
        <v>1991</v>
      </c>
      <c r="T985" s="8">
        <v>1991</v>
      </c>
      <c r="U985" s="8">
        <f t="shared" si="121"/>
        <v>31</v>
      </c>
      <c r="V985" s="7" t="s">
        <v>268</v>
      </c>
      <c r="W985" t="s">
        <v>114</v>
      </c>
      <c r="X985" s="2">
        <v>0.51100000000000001</v>
      </c>
      <c r="Y985" s="6">
        <f t="shared" si="126"/>
        <v>1.3640853153946772E-2</v>
      </c>
      <c r="AA985">
        <v>222933</v>
      </c>
      <c r="AB985">
        <v>29630</v>
      </c>
      <c r="AC985">
        <v>14645262</v>
      </c>
      <c r="AD985" t="s">
        <v>5</v>
      </c>
      <c r="AE985">
        <v>25</v>
      </c>
      <c r="AF985">
        <v>6</v>
      </c>
      <c r="AH985" t="s">
        <v>267</v>
      </c>
      <c r="AI985" t="s">
        <v>266</v>
      </c>
      <c r="AJ985" t="s">
        <v>265</v>
      </c>
      <c r="AK985" t="s">
        <v>264</v>
      </c>
      <c r="AL985">
        <v>21</v>
      </c>
      <c r="AM985" s="5">
        <f t="shared" si="122"/>
        <v>0.67741935483870963</v>
      </c>
      <c r="AN985" s="4">
        <f t="shared" si="127"/>
        <v>1.0260043238753647E-3</v>
      </c>
      <c r="AO985" s="3"/>
      <c r="AP985">
        <v>0</v>
      </c>
      <c r="AQ985" t="s">
        <v>263</v>
      </c>
      <c r="AR985" t="s">
        <v>0</v>
      </c>
      <c r="AS985" t="s">
        <v>262</v>
      </c>
      <c r="AT985" s="2">
        <v>1.016</v>
      </c>
      <c r="AU985" s="1">
        <f t="shared" si="123"/>
        <v>0.98563985049253489</v>
      </c>
      <c r="AV985" s="1">
        <f t="shared" si="124"/>
        <v>0.73334287389110686</v>
      </c>
      <c r="AW985" s="1">
        <f t="shared" si="125"/>
        <v>0.48104589728967867</v>
      </c>
    </row>
    <row r="986" spans="1:49" x14ac:dyDescent="0.2">
      <c r="A986">
        <v>984</v>
      </c>
      <c r="B986" t="s">
        <v>261</v>
      </c>
      <c r="C986" t="s">
        <v>260</v>
      </c>
      <c r="F986" t="s">
        <v>259</v>
      </c>
      <c r="G986" t="s">
        <v>16</v>
      </c>
      <c r="H986" t="s">
        <v>15</v>
      </c>
      <c r="I986" t="s">
        <v>258</v>
      </c>
      <c r="J986">
        <v>60013372</v>
      </c>
      <c r="K986" t="s">
        <v>257</v>
      </c>
      <c r="L986" t="s">
        <v>256</v>
      </c>
      <c r="M986" t="s">
        <v>57</v>
      </c>
      <c r="N986">
        <v>3</v>
      </c>
      <c r="O986" t="s">
        <v>255</v>
      </c>
      <c r="P986" t="s">
        <v>254</v>
      </c>
      <c r="Q986" t="s">
        <v>253</v>
      </c>
      <c r="R986" s="7">
        <v>33239</v>
      </c>
      <c r="S986" s="8">
        <f t="shared" si="120"/>
        <v>1991</v>
      </c>
      <c r="T986" s="8">
        <v>1991</v>
      </c>
      <c r="U986" s="8">
        <f t="shared" si="121"/>
        <v>31</v>
      </c>
      <c r="V986" s="7">
        <v>1991</v>
      </c>
      <c r="W986" t="s">
        <v>252</v>
      </c>
      <c r="X986" s="2">
        <v>1.641</v>
      </c>
      <c r="Y986" s="6">
        <f t="shared" si="126"/>
        <v>4.3805557780091299E-2</v>
      </c>
      <c r="AA986">
        <v>223654</v>
      </c>
      <c r="AB986">
        <v>30422</v>
      </c>
      <c r="AD986" t="s">
        <v>5</v>
      </c>
      <c r="AE986">
        <v>95</v>
      </c>
      <c r="AF986">
        <v>4</v>
      </c>
      <c r="AH986" t="s">
        <v>251</v>
      </c>
      <c r="AI986" t="s">
        <v>250</v>
      </c>
      <c r="AK986" t="s">
        <v>249</v>
      </c>
      <c r="AL986">
        <v>78</v>
      </c>
      <c r="AM986" s="5">
        <f t="shared" si="122"/>
        <v>2.5161290322580645</v>
      </c>
      <c r="AN986" s="4">
        <f t="shared" si="127"/>
        <v>3.810873202965641E-3</v>
      </c>
      <c r="AO986" s="3"/>
      <c r="AP986">
        <v>0</v>
      </c>
      <c r="AR986" t="s">
        <v>0</v>
      </c>
      <c r="AT986" s="2" t="s">
        <v>33</v>
      </c>
      <c r="AU986" s="1">
        <f t="shared" si="123"/>
        <v>3.1807152406953603</v>
      </c>
      <c r="AV986" s="1">
        <f t="shared" si="124"/>
        <v>2.3808215491528473</v>
      </c>
      <c r="AW986" s="1">
        <f t="shared" si="125"/>
        <v>1.5809278576103338</v>
      </c>
    </row>
    <row r="987" spans="1:49" x14ac:dyDescent="0.2">
      <c r="A987">
        <v>985</v>
      </c>
      <c r="B987" t="s">
        <v>248</v>
      </c>
      <c r="C987" t="s">
        <v>247</v>
      </c>
      <c r="F987" t="s">
        <v>246</v>
      </c>
      <c r="G987" t="s">
        <v>16</v>
      </c>
      <c r="H987" t="s">
        <v>15</v>
      </c>
      <c r="I987" t="s">
        <v>245</v>
      </c>
      <c r="J987">
        <v>60000221</v>
      </c>
      <c r="K987" t="s">
        <v>244</v>
      </c>
      <c r="L987" t="s">
        <v>243</v>
      </c>
      <c r="M987" t="s">
        <v>57</v>
      </c>
      <c r="N987">
        <v>2</v>
      </c>
      <c r="O987" t="s">
        <v>242</v>
      </c>
      <c r="P987" t="s">
        <v>241</v>
      </c>
      <c r="Q987" t="s">
        <v>240</v>
      </c>
      <c r="R987" s="7">
        <v>33239</v>
      </c>
      <c r="S987" s="8">
        <f t="shared" si="120"/>
        <v>1991</v>
      </c>
      <c r="T987" s="8">
        <v>1991</v>
      </c>
      <c r="U987" s="8">
        <f t="shared" si="121"/>
        <v>31</v>
      </c>
      <c r="V987" s="7">
        <v>33239</v>
      </c>
      <c r="W987" t="s">
        <v>239</v>
      </c>
      <c r="X987" s="2">
        <v>0.28599999999999998</v>
      </c>
      <c r="Y987" s="6">
        <f t="shared" si="126"/>
        <v>7.6346066575905605E-3</v>
      </c>
      <c r="AA987">
        <v>9205071</v>
      </c>
      <c r="AB987">
        <v>28139</v>
      </c>
      <c r="AC987">
        <v>15693937</v>
      </c>
      <c r="AD987" t="s">
        <v>5</v>
      </c>
      <c r="AE987">
        <v>5</v>
      </c>
      <c r="AF987">
        <v>11</v>
      </c>
      <c r="AH987" t="s">
        <v>238</v>
      </c>
      <c r="AI987" t="s">
        <v>237</v>
      </c>
      <c r="AK987" t="s">
        <v>236</v>
      </c>
      <c r="AL987">
        <v>26</v>
      </c>
      <c r="AM987" s="5">
        <f t="shared" si="122"/>
        <v>0.83870967741935487</v>
      </c>
      <c r="AN987" s="4">
        <f t="shared" si="127"/>
        <v>1.2702910676552137E-3</v>
      </c>
      <c r="AO987" s="3"/>
      <c r="AP987">
        <v>0</v>
      </c>
      <c r="AR987" t="s">
        <v>0</v>
      </c>
      <c r="AT987" s="2" t="s">
        <v>33</v>
      </c>
      <c r="AU987" s="1">
        <f t="shared" si="123"/>
        <v>0.57253119806099562</v>
      </c>
      <c r="AV987" s="1">
        <f t="shared" si="124"/>
        <v>0.44524488626228875</v>
      </c>
      <c r="AW987" s="1">
        <f t="shared" si="125"/>
        <v>0.31795857446358178</v>
      </c>
    </row>
    <row r="988" spans="1:49" x14ac:dyDescent="0.2">
      <c r="A988">
        <v>986</v>
      </c>
      <c r="B988" t="s">
        <v>235</v>
      </c>
      <c r="C988" t="s">
        <v>234</v>
      </c>
      <c r="F988" t="s">
        <v>233</v>
      </c>
      <c r="G988" t="s">
        <v>16</v>
      </c>
      <c r="H988" t="s">
        <v>15</v>
      </c>
      <c r="I988" t="s">
        <v>232</v>
      </c>
      <c r="J988" t="s">
        <v>231</v>
      </c>
      <c r="K988" t="s">
        <v>230</v>
      </c>
      <c r="L988" t="s">
        <v>229</v>
      </c>
      <c r="M988" t="s">
        <v>228</v>
      </c>
      <c r="N988">
        <v>2</v>
      </c>
      <c r="O988" t="s">
        <v>227</v>
      </c>
      <c r="P988" t="s">
        <v>226</v>
      </c>
      <c r="Q988" t="s">
        <v>225</v>
      </c>
      <c r="R988" s="7">
        <v>33239</v>
      </c>
      <c r="S988" s="8">
        <f t="shared" si="120"/>
        <v>1991</v>
      </c>
      <c r="T988" s="8">
        <v>1991</v>
      </c>
      <c r="U988" s="8">
        <f t="shared" si="121"/>
        <v>31</v>
      </c>
      <c r="V988" s="7">
        <v>33298</v>
      </c>
      <c r="W988" t="s">
        <v>224</v>
      </c>
      <c r="X988" s="2">
        <v>2.61</v>
      </c>
      <c r="Y988" s="6">
        <f t="shared" si="126"/>
        <v>6.9672459357732044E-2</v>
      </c>
      <c r="AA988">
        <v>46256</v>
      </c>
      <c r="AB988">
        <v>26704</v>
      </c>
      <c r="AD988" t="s">
        <v>5</v>
      </c>
      <c r="AE988">
        <v>101</v>
      </c>
      <c r="AF988">
        <v>3</v>
      </c>
      <c r="AH988" t="s">
        <v>223</v>
      </c>
      <c r="AI988" t="s">
        <v>222</v>
      </c>
      <c r="AK988" t="s">
        <v>221</v>
      </c>
      <c r="AL988">
        <v>26</v>
      </c>
      <c r="AM988" s="5">
        <f t="shared" si="122"/>
        <v>0.83870967741935487</v>
      </c>
      <c r="AN988" s="4">
        <f t="shared" si="127"/>
        <v>1.2702910676552137E-3</v>
      </c>
      <c r="AO988" s="3"/>
      <c r="AP988">
        <v>0</v>
      </c>
      <c r="AR988" t="s">
        <v>0</v>
      </c>
      <c r="AT988" s="2">
        <v>6.2629999999999999</v>
      </c>
      <c r="AU988" s="1">
        <f t="shared" si="123"/>
        <v>4.9151808870708988</v>
      </c>
      <c r="AV988" s="1">
        <f t="shared" si="124"/>
        <v>3.5471375212693625</v>
      </c>
      <c r="AW988" s="1">
        <f t="shared" si="125"/>
        <v>2.1790941554678263</v>
      </c>
    </row>
    <row r="989" spans="1:49" x14ac:dyDescent="0.2">
      <c r="A989">
        <v>987</v>
      </c>
      <c r="B989" t="s">
        <v>220</v>
      </c>
      <c r="C989" t="s">
        <v>219</v>
      </c>
      <c r="D989" t="s">
        <v>218</v>
      </c>
      <c r="F989" t="s">
        <v>217</v>
      </c>
      <c r="G989" t="s">
        <v>16</v>
      </c>
      <c r="H989" t="s">
        <v>15</v>
      </c>
      <c r="I989" t="s">
        <v>216</v>
      </c>
      <c r="J989">
        <v>60032006</v>
      </c>
      <c r="K989" t="s">
        <v>215</v>
      </c>
      <c r="L989" t="s">
        <v>214</v>
      </c>
      <c r="M989" t="s">
        <v>213</v>
      </c>
      <c r="N989">
        <v>1</v>
      </c>
      <c r="O989" t="s">
        <v>212</v>
      </c>
      <c r="P989">
        <v>6602184008</v>
      </c>
      <c r="Q989">
        <v>60032006</v>
      </c>
      <c r="R989" s="7">
        <v>33239</v>
      </c>
      <c r="S989" s="8">
        <f t="shared" si="120"/>
        <v>1991</v>
      </c>
      <c r="T989" s="8">
        <v>1991</v>
      </c>
      <c r="U989" s="8">
        <f t="shared" si="121"/>
        <v>31</v>
      </c>
      <c r="V989" s="7">
        <v>1991</v>
      </c>
      <c r="W989" t="s">
        <v>211</v>
      </c>
      <c r="X989" s="2">
        <v>0.998</v>
      </c>
      <c r="Y989" s="6">
        <f t="shared" si="126"/>
        <v>2.664104001494888E-2</v>
      </c>
      <c r="AA989">
        <v>207322</v>
      </c>
      <c r="AB989">
        <v>90127</v>
      </c>
      <c r="AD989" t="s">
        <v>5</v>
      </c>
      <c r="AE989">
        <v>20</v>
      </c>
      <c r="AF989">
        <v>6</v>
      </c>
      <c r="AH989" t="s">
        <v>210</v>
      </c>
      <c r="AI989" t="s">
        <v>209</v>
      </c>
      <c r="AJ989" t="s">
        <v>208</v>
      </c>
      <c r="AK989" t="s">
        <v>207</v>
      </c>
      <c r="AL989">
        <v>62</v>
      </c>
      <c r="AM989" s="5">
        <f t="shared" si="122"/>
        <v>2</v>
      </c>
      <c r="AN989" s="4">
        <f t="shared" si="127"/>
        <v>3.0291556228701248E-3</v>
      </c>
      <c r="AO989" s="3"/>
      <c r="AP989">
        <v>0</v>
      </c>
      <c r="AR989" t="s">
        <v>0</v>
      </c>
      <c r="AT989" s="2" t="s">
        <v>33</v>
      </c>
      <c r="AU989" s="1">
        <f t="shared" si="123"/>
        <v>1.9557474697325254</v>
      </c>
      <c r="AV989" s="1">
        <f t="shared" si="124"/>
        <v>1.4835097818909504</v>
      </c>
      <c r="AW989" s="1">
        <f t="shared" si="125"/>
        <v>1.0112720940493751</v>
      </c>
    </row>
    <row r="990" spans="1:49" x14ac:dyDescent="0.2">
      <c r="A990">
        <v>988</v>
      </c>
      <c r="B990" t="s">
        <v>206</v>
      </c>
      <c r="E990">
        <v>22141156</v>
      </c>
      <c r="F990" t="s">
        <v>205</v>
      </c>
      <c r="G990" t="s">
        <v>16</v>
      </c>
      <c r="H990" t="s">
        <v>15</v>
      </c>
      <c r="I990" t="s">
        <v>204</v>
      </c>
      <c r="J990">
        <v>60019722</v>
      </c>
      <c r="K990" t="s">
        <v>203</v>
      </c>
      <c r="L990" t="s">
        <v>202</v>
      </c>
      <c r="M990" t="s">
        <v>25</v>
      </c>
      <c r="N990">
        <v>2</v>
      </c>
      <c r="O990" t="s">
        <v>201</v>
      </c>
      <c r="P990" t="s">
        <v>200</v>
      </c>
      <c r="Q990" t="s">
        <v>199</v>
      </c>
      <c r="R990" s="7">
        <v>33239</v>
      </c>
      <c r="S990" s="8">
        <f t="shared" si="120"/>
        <v>1991</v>
      </c>
      <c r="T990" s="8">
        <v>1991</v>
      </c>
      <c r="U990" s="8">
        <f t="shared" si="121"/>
        <v>31</v>
      </c>
      <c r="V990" s="7">
        <v>33543</v>
      </c>
      <c r="W990" t="s">
        <v>198</v>
      </c>
      <c r="X990" s="2" t="s">
        <v>33</v>
      </c>
      <c r="Y990" s="6" t="e">
        <f t="shared" si="126"/>
        <v>#VALUE!</v>
      </c>
      <c r="AA990">
        <v>220949</v>
      </c>
      <c r="AB990">
        <v>29605</v>
      </c>
      <c r="AD990" t="s">
        <v>5</v>
      </c>
      <c r="AE990">
        <v>161</v>
      </c>
      <c r="AH990" t="s">
        <v>197</v>
      </c>
      <c r="AI990" t="s">
        <v>196</v>
      </c>
      <c r="AK990" t="s">
        <v>195</v>
      </c>
      <c r="AL990">
        <v>25</v>
      </c>
      <c r="AM990" s="5">
        <f t="shared" si="122"/>
        <v>0.80645161290322576</v>
      </c>
      <c r="AN990" s="4">
        <f t="shared" si="127"/>
        <v>1.2214337188992438E-3</v>
      </c>
      <c r="AO990" s="3"/>
      <c r="AP990">
        <v>0</v>
      </c>
      <c r="AR990" t="s">
        <v>0</v>
      </c>
      <c r="AT990" s="2" t="s">
        <v>33</v>
      </c>
      <c r="AU990" s="1" t="e">
        <f t="shared" si="123"/>
        <v>#VALUE!</v>
      </c>
      <c r="AV990" s="1" t="e">
        <f t="shared" si="124"/>
        <v>#VALUE!</v>
      </c>
      <c r="AW990" s="1" t="e">
        <f t="shared" si="125"/>
        <v>#VALUE!</v>
      </c>
    </row>
    <row r="991" spans="1:49" x14ac:dyDescent="0.2">
      <c r="A991">
        <v>989</v>
      </c>
      <c r="B991" t="s">
        <v>194</v>
      </c>
      <c r="C991" t="s">
        <v>193</v>
      </c>
      <c r="F991" t="s">
        <v>192</v>
      </c>
      <c r="G991" t="s">
        <v>16</v>
      </c>
      <c r="H991" t="s">
        <v>15</v>
      </c>
      <c r="I991" t="s">
        <v>191</v>
      </c>
      <c r="J991">
        <v>60031106</v>
      </c>
      <c r="K991" t="s">
        <v>190</v>
      </c>
      <c r="L991" t="s">
        <v>189</v>
      </c>
      <c r="M991" t="s">
        <v>188</v>
      </c>
      <c r="N991">
        <v>2</v>
      </c>
      <c r="O991" t="s">
        <v>187</v>
      </c>
      <c r="P991" t="s">
        <v>186</v>
      </c>
      <c r="Q991" t="s">
        <v>185</v>
      </c>
      <c r="R991" s="7">
        <v>33239</v>
      </c>
      <c r="S991" s="8">
        <f t="shared" si="120"/>
        <v>1991</v>
      </c>
      <c r="T991" s="8">
        <v>1991</v>
      </c>
      <c r="U991" s="8">
        <f t="shared" si="121"/>
        <v>31</v>
      </c>
      <c r="V991" s="7">
        <v>1991</v>
      </c>
      <c r="W991" t="s">
        <v>184</v>
      </c>
      <c r="X991" s="2">
        <v>0.627</v>
      </c>
      <c r="Y991" s="6">
        <f t="shared" si="126"/>
        <v>1.6737406903179305E-2</v>
      </c>
      <c r="AA991">
        <v>218839</v>
      </c>
      <c r="AB991">
        <v>76747</v>
      </c>
      <c r="AC991">
        <v>20786913</v>
      </c>
      <c r="AD991" t="s">
        <v>5</v>
      </c>
      <c r="AE991">
        <v>30</v>
      </c>
      <c r="AF991" s="9">
        <v>44289</v>
      </c>
      <c r="AH991" t="s">
        <v>183</v>
      </c>
      <c r="AI991" t="s">
        <v>182</v>
      </c>
      <c r="AJ991" t="s">
        <v>181</v>
      </c>
      <c r="AK991" t="s">
        <v>180</v>
      </c>
      <c r="AL991">
        <v>27</v>
      </c>
      <c r="AM991" s="5">
        <f t="shared" si="122"/>
        <v>0.87096774193548387</v>
      </c>
      <c r="AN991" s="4">
        <f t="shared" si="127"/>
        <v>1.3191484164111836E-3</v>
      </c>
      <c r="AO991" s="3"/>
      <c r="AP991">
        <v>0</v>
      </c>
      <c r="AR991" t="s">
        <v>0</v>
      </c>
      <c r="AT991" s="2">
        <v>2.5840000000000001</v>
      </c>
      <c r="AU991" s="1">
        <f t="shared" si="123"/>
        <v>1.2111929357148867</v>
      </c>
      <c r="AV991" s="1">
        <f t="shared" si="124"/>
        <v>0.90282776597952441</v>
      </c>
      <c r="AW991" s="1">
        <f t="shared" si="125"/>
        <v>0.59446259624416198</v>
      </c>
    </row>
    <row r="992" spans="1:49" x14ac:dyDescent="0.2">
      <c r="A992">
        <v>990</v>
      </c>
      <c r="B992" t="s">
        <v>179</v>
      </c>
      <c r="C992" t="s">
        <v>178</v>
      </c>
      <c r="F992" t="s">
        <v>177</v>
      </c>
      <c r="G992" t="s">
        <v>16</v>
      </c>
      <c r="H992" t="s">
        <v>15</v>
      </c>
      <c r="I992" t="s">
        <v>176</v>
      </c>
      <c r="J992">
        <v>60006876</v>
      </c>
      <c r="K992" t="s">
        <v>175</v>
      </c>
      <c r="L992" t="s">
        <v>174</v>
      </c>
      <c r="M992" t="s">
        <v>173</v>
      </c>
      <c r="N992">
        <v>4</v>
      </c>
      <c r="O992" t="s">
        <v>172</v>
      </c>
      <c r="P992" t="s">
        <v>171</v>
      </c>
      <c r="Q992" t="s">
        <v>170</v>
      </c>
      <c r="R992" s="7">
        <v>33239</v>
      </c>
      <c r="S992" s="8">
        <f t="shared" si="120"/>
        <v>1991</v>
      </c>
      <c r="T992" s="8">
        <v>1991</v>
      </c>
      <c r="U992" s="8">
        <f t="shared" si="121"/>
        <v>31</v>
      </c>
      <c r="V992" s="7">
        <v>1991</v>
      </c>
      <c r="W992" t="s">
        <v>169</v>
      </c>
      <c r="X992" s="2">
        <v>3.5539999999999998</v>
      </c>
      <c r="Y992" s="6">
        <f t="shared" si="126"/>
        <v>9.4872000213555435E-2</v>
      </c>
      <c r="AA992">
        <v>320889</v>
      </c>
      <c r="AB992">
        <v>16615</v>
      </c>
      <c r="AD992" t="s">
        <v>5</v>
      </c>
      <c r="AE992">
        <v>97</v>
      </c>
      <c r="AF992">
        <v>2</v>
      </c>
      <c r="AH992" t="s">
        <v>168</v>
      </c>
      <c r="AI992" t="s">
        <v>167</v>
      </c>
      <c r="AK992" t="s">
        <v>166</v>
      </c>
      <c r="AL992">
        <v>27</v>
      </c>
      <c r="AM992" s="5">
        <f t="shared" si="122"/>
        <v>0.87096774193548387</v>
      </c>
      <c r="AN992" s="4">
        <f t="shared" si="127"/>
        <v>1.3191484164111836E-3</v>
      </c>
      <c r="AO992" s="3"/>
      <c r="AP992">
        <v>1</v>
      </c>
      <c r="AR992" t="s">
        <v>0</v>
      </c>
      <c r="AT992" s="2">
        <v>8.34</v>
      </c>
      <c r="AU992" s="1">
        <f t="shared" si="123"/>
        <v>6.6806144674412167</v>
      </c>
      <c r="AV992" s="1">
        <f t="shared" si="124"/>
        <v>4.8095574314983311</v>
      </c>
      <c r="AW992" s="1">
        <f t="shared" si="125"/>
        <v>2.9385003955554456</v>
      </c>
    </row>
    <row r="993" spans="1:49" x14ac:dyDescent="0.2">
      <c r="A993">
        <v>991</v>
      </c>
      <c r="B993" t="s">
        <v>165</v>
      </c>
      <c r="C993" t="s">
        <v>164</v>
      </c>
      <c r="F993" t="s">
        <v>163</v>
      </c>
      <c r="G993" t="s">
        <v>16</v>
      </c>
      <c r="H993" t="s">
        <v>15</v>
      </c>
      <c r="I993" t="s">
        <v>162</v>
      </c>
      <c r="J993">
        <v>60005455</v>
      </c>
      <c r="K993" t="s">
        <v>161</v>
      </c>
      <c r="L993" t="s">
        <v>160</v>
      </c>
      <c r="M993" t="s">
        <v>57</v>
      </c>
      <c r="N993">
        <v>2</v>
      </c>
      <c r="O993" t="s">
        <v>159</v>
      </c>
      <c r="P993" t="s">
        <v>158</v>
      </c>
      <c r="Q993" t="s">
        <v>157</v>
      </c>
      <c r="R993" s="7">
        <v>33239</v>
      </c>
      <c r="S993" s="8">
        <f t="shared" si="120"/>
        <v>1991</v>
      </c>
      <c r="T993" s="8">
        <v>1991</v>
      </c>
      <c r="U993" s="8">
        <f t="shared" si="121"/>
        <v>31</v>
      </c>
      <c r="V993" s="7">
        <v>1991</v>
      </c>
      <c r="W993" t="s">
        <v>156</v>
      </c>
      <c r="X993" s="2">
        <v>1.391</v>
      </c>
      <c r="Y993" s="6">
        <f t="shared" si="126"/>
        <v>3.7131950561917731E-2</v>
      </c>
      <c r="AA993">
        <v>10502947</v>
      </c>
      <c r="AB993">
        <v>29143</v>
      </c>
      <c r="AD993" t="s">
        <v>5</v>
      </c>
      <c r="AE993">
        <v>43</v>
      </c>
      <c r="AF993">
        <v>1</v>
      </c>
      <c r="AH993" t="s">
        <v>155</v>
      </c>
      <c r="AI993" t="s">
        <v>154</v>
      </c>
      <c r="AK993" t="s">
        <v>153</v>
      </c>
      <c r="AL993">
        <v>93</v>
      </c>
      <c r="AM993" s="5">
        <f t="shared" si="122"/>
        <v>3</v>
      </c>
      <c r="AN993" s="4">
        <f t="shared" si="127"/>
        <v>4.5437334343051876E-3</v>
      </c>
      <c r="AO993" s="3"/>
      <c r="AP993">
        <v>0</v>
      </c>
      <c r="AR993" t="s">
        <v>0</v>
      </c>
      <c r="AT993" s="2">
        <v>3.14</v>
      </c>
      <c r="AU993" s="1">
        <f t="shared" si="123"/>
        <v>2.7355485423633965</v>
      </c>
      <c r="AV993" s="1">
        <f t="shared" si="124"/>
        <v>2.0837841998111459</v>
      </c>
      <c r="AW993" s="1">
        <f t="shared" si="125"/>
        <v>1.4320198572588951</v>
      </c>
    </row>
    <row r="994" spans="1:49" x14ac:dyDescent="0.2">
      <c r="A994">
        <v>992</v>
      </c>
      <c r="B994" t="s">
        <v>152</v>
      </c>
      <c r="C994" t="s">
        <v>151</v>
      </c>
      <c r="D994">
        <v>1727291900069</v>
      </c>
      <c r="F994" t="s">
        <v>150</v>
      </c>
      <c r="G994" t="s">
        <v>16</v>
      </c>
      <c r="H994" t="s">
        <v>15</v>
      </c>
      <c r="I994" t="s">
        <v>149</v>
      </c>
      <c r="J994">
        <v>60016437</v>
      </c>
      <c r="K994" t="s">
        <v>148</v>
      </c>
      <c r="L994" t="s">
        <v>147</v>
      </c>
      <c r="M994" t="s">
        <v>146</v>
      </c>
      <c r="N994">
        <v>1</v>
      </c>
      <c r="O994" t="s">
        <v>145</v>
      </c>
      <c r="P994">
        <v>6507404245</v>
      </c>
      <c r="Q994">
        <v>60016437</v>
      </c>
      <c r="R994" s="7">
        <v>33239</v>
      </c>
      <c r="S994" s="8">
        <f t="shared" si="120"/>
        <v>1991</v>
      </c>
      <c r="T994" s="8">
        <v>1991</v>
      </c>
      <c r="U994" s="8">
        <f t="shared" si="121"/>
        <v>31</v>
      </c>
      <c r="V994" s="7">
        <v>33573</v>
      </c>
      <c r="W994" t="s">
        <v>144</v>
      </c>
      <c r="X994" s="2">
        <v>0.41399999999999998</v>
      </c>
      <c r="Y994" s="6">
        <f t="shared" si="126"/>
        <v>1.1051493553295428E-2</v>
      </c>
      <c r="AA994">
        <v>17272</v>
      </c>
      <c r="AB994">
        <v>24104</v>
      </c>
      <c r="AC994">
        <v>14636395</v>
      </c>
      <c r="AD994" t="s">
        <v>5</v>
      </c>
      <c r="AE994">
        <v>72</v>
      </c>
      <c r="AF994">
        <v>4</v>
      </c>
      <c r="AH994" t="s">
        <v>143</v>
      </c>
      <c r="AI994" t="s">
        <v>142</v>
      </c>
      <c r="AK994" t="s">
        <v>141</v>
      </c>
      <c r="AL994">
        <v>19</v>
      </c>
      <c r="AM994" s="5">
        <f t="shared" si="122"/>
        <v>0.61290322580645162</v>
      </c>
      <c r="AN994" s="4">
        <f t="shared" si="127"/>
        <v>9.2828962636342543E-4</v>
      </c>
      <c r="AO994" s="3"/>
      <c r="AP994">
        <v>0</v>
      </c>
      <c r="AR994" t="s">
        <v>0</v>
      </c>
      <c r="AT994" s="2">
        <v>1.2609999999999999</v>
      </c>
      <c r="AU994" s="1">
        <f t="shared" si="123"/>
        <v>0.80145323752158271</v>
      </c>
      <c r="AV994" s="1">
        <f t="shared" si="124"/>
        <v>0.59898915898294269</v>
      </c>
      <c r="AW994" s="1">
        <f t="shared" si="125"/>
        <v>0.39652508044430262</v>
      </c>
    </row>
    <row r="995" spans="1:49" x14ac:dyDescent="0.2">
      <c r="A995">
        <v>993</v>
      </c>
      <c r="B995" t="s">
        <v>140</v>
      </c>
      <c r="C995" t="s">
        <v>139</v>
      </c>
      <c r="F995" t="s">
        <v>138</v>
      </c>
      <c r="G995" t="s">
        <v>16</v>
      </c>
      <c r="H995" t="s">
        <v>15</v>
      </c>
      <c r="I995" t="s">
        <v>137</v>
      </c>
      <c r="J995" t="s">
        <v>136</v>
      </c>
      <c r="K995" t="s">
        <v>135</v>
      </c>
      <c r="L995" t="s">
        <v>134</v>
      </c>
      <c r="M995" t="s">
        <v>133</v>
      </c>
      <c r="N995">
        <v>6</v>
      </c>
      <c r="O995" t="s">
        <v>132</v>
      </c>
      <c r="P995" t="s">
        <v>131</v>
      </c>
      <c r="Q995" t="s">
        <v>130</v>
      </c>
      <c r="R995" s="7">
        <v>33239</v>
      </c>
      <c r="S995" s="8">
        <f t="shared" si="120"/>
        <v>1991</v>
      </c>
      <c r="T995" s="8">
        <v>1991</v>
      </c>
      <c r="U995" s="8">
        <f t="shared" si="121"/>
        <v>31</v>
      </c>
      <c r="V995" s="7">
        <v>33239</v>
      </c>
      <c r="W995" t="s">
        <v>67</v>
      </c>
      <c r="X995" s="2">
        <v>0.439</v>
      </c>
      <c r="Y995" s="6">
        <f t="shared" si="126"/>
        <v>1.1718854275112784E-2</v>
      </c>
      <c r="AA995">
        <v>334545</v>
      </c>
      <c r="AB995">
        <v>21458</v>
      </c>
      <c r="AC995">
        <v>13653075</v>
      </c>
      <c r="AD995" t="s">
        <v>5</v>
      </c>
      <c r="AE995">
        <v>63</v>
      </c>
      <c r="AF995">
        <v>1</v>
      </c>
      <c r="AH995" t="s">
        <v>129</v>
      </c>
      <c r="AI995" t="s">
        <v>128</v>
      </c>
      <c r="AK995" t="s">
        <v>127</v>
      </c>
      <c r="AL995">
        <v>48</v>
      </c>
      <c r="AM995" s="5">
        <f t="shared" si="122"/>
        <v>1.5483870967741935</v>
      </c>
      <c r="AN995" s="4">
        <f t="shared" si="127"/>
        <v>2.3451527402865483E-3</v>
      </c>
      <c r="AO995" s="3"/>
      <c r="AP995">
        <v>0</v>
      </c>
      <c r="AQ995" t="s">
        <v>126</v>
      </c>
      <c r="AR995" t="s">
        <v>125</v>
      </c>
      <c r="AS995" t="s">
        <v>124</v>
      </c>
      <c r="AT995" s="2">
        <v>2.4529999999999998</v>
      </c>
      <c r="AU995" s="1">
        <f t="shared" si="123"/>
        <v>0.89067438146649136</v>
      </c>
      <c r="AV995" s="1">
        <f t="shared" si="124"/>
        <v>0.70320035076996668</v>
      </c>
      <c r="AW995" s="1">
        <f t="shared" si="125"/>
        <v>0.51572632007344188</v>
      </c>
    </row>
    <row r="996" spans="1:49" x14ac:dyDescent="0.2">
      <c r="A996">
        <v>994</v>
      </c>
      <c r="B996" t="s">
        <v>123</v>
      </c>
      <c r="C996" t="s">
        <v>122</v>
      </c>
      <c r="F996" t="s">
        <v>121</v>
      </c>
      <c r="G996" t="s">
        <v>16</v>
      </c>
      <c r="H996" t="s">
        <v>15</v>
      </c>
      <c r="I996" t="s">
        <v>120</v>
      </c>
      <c r="J996">
        <v>60025352</v>
      </c>
      <c r="K996" t="s">
        <v>119</v>
      </c>
      <c r="L996" t="s">
        <v>118</v>
      </c>
      <c r="M996" t="s">
        <v>117</v>
      </c>
      <c r="N996">
        <v>1</v>
      </c>
      <c r="O996" t="s">
        <v>116</v>
      </c>
      <c r="P996">
        <v>7003973495</v>
      </c>
      <c r="Q996">
        <v>60025352</v>
      </c>
      <c r="R996" s="7">
        <v>33239</v>
      </c>
      <c r="S996" s="8">
        <f t="shared" si="120"/>
        <v>1991</v>
      </c>
      <c r="T996" s="8">
        <v>1991</v>
      </c>
      <c r="U996" s="8">
        <f t="shared" si="121"/>
        <v>31</v>
      </c>
      <c r="V996" s="7" t="s">
        <v>115</v>
      </c>
      <c r="W996" t="s">
        <v>114</v>
      </c>
      <c r="X996" s="2">
        <v>0.51100000000000001</v>
      </c>
      <c r="Y996" s="6">
        <f t="shared" si="126"/>
        <v>1.3640853153946772E-2</v>
      </c>
      <c r="AA996">
        <v>222933</v>
      </c>
      <c r="AB996">
        <v>29630</v>
      </c>
      <c r="AC996">
        <v>14645262</v>
      </c>
      <c r="AD996" t="s">
        <v>5</v>
      </c>
      <c r="AE996">
        <v>25</v>
      </c>
      <c r="AF996">
        <v>3</v>
      </c>
      <c r="AH996" t="s">
        <v>113</v>
      </c>
      <c r="AI996" t="s">
        <v>112</v>
      </c>
      <c r="AJ996" t="s">
        <v>111</v>
      </c>
      <c r="AK996" t="s">
        <v>110</v>
      </c>
      <c r="AL996">
        <v>17</v>
      </c>
      <c r="AM996" s="5">
        <f t="shared" si="122"/>
        <v>0.54838709677419351</v>
      </c>
      <c r="AN996" s="4">
        <f t="shared" si="127"/>
        <v>8.3057492885148579E-4</v>
      </c>
      <c r="AO996" s="3"/>
      <c r="AP996">
        <v>0</v>
      </c>
      <c r="AR996" t="s">
        <v>0</v>
      </c>
      <c r="AT996" s="2">
        <v>1.016</v>
      </c>
      <c r="AU996" s="1">
        <f t="shared" si="123"/>
        <v>0.97977696864181862</v>
      </c>
      <c r="AV996" s="1">
        <f t="shared" si="124"/>
        <v>0.72357140413991283</v>
      </c>
      <c r="AW996" s="1">
        <f t="shared" si="125"/>
        <v>0.46736583963800715</v>
      </c>
    </row>
    <row r="997" spans="1:49" x14ac:dyDescent="0.2">
      <c r="A997">
        <v>995</v>
      </c>
      <c r="B997" t="s">
        <v>109</v>
      </c>
      <c r="C997" t="s">
        <v>108</v>
      </c>
      <c r="F997" t="s">
        <v>107</v>
      </c>
      <c r="G997" t="s">
        <v>16</v>
      </c>
      <c r="H997" t="s">
        <v>15</v>
      </c>
      <c r="I997" t="s">
        <v>106</v>
      </c>
      <c r="J997" t="s">
        <v>105</v>
      </c>
      <c r="K997" t="s">
        <v>104</v>
      </c>
      <c r="L997" t="s">
        <v>103</v>
      </c>
      <c r="M997" t="s">
        <v>102</v>
      </c>
      <c r="N997">
        <v>7</v>
      </c>
      <c r="O997" t="s">
        <v>101</v>
      </c>
      <c r="P997" t="s">
        <v>100</v>
      </c>
      <c r="Q997" t="s">
        <v>99</v>
      </c>
      <c r="R997" s="7">
        <v>33239</v>
      </c>
      <c r="S997" s="8">
        <f t="shared" si="120"/>
        <v>1991</v>
      </c>
      <c r="T997" s="8">
        <v>1991</v>
      </c>
      <c r="U997" s="8">
        <f t="shared" si="121"/>
        <v>31</v>
      </c>
      <c r="V997" s="7">
        <v>33390</v>
      </c>
      <c r="W997" t="s">
        <v>98</v>
      </c>
      <c r="X997" s="2">
        <v>0.85499999999999998</v>
      </c>
      <c r="Y997" s="6">
        <f t="shared" si="126"/>
        <v>2.28237366861536E-2</v>
      </c>
      <c r="AA997">
        <v>980331</v>
      </c>
      <c r="AB997">
        <v>23342</v>
      </c>
      <c r="AC997">
        <v>15731561</v>
      </c>
      <c r="AD997" t="s">
        <v>5</v>
      </c>
      <c r="AE997">
        <v>17</v>
      </c>
      <c r="AF997">
        <v>6</v>
      </c>
      <c r="AH997" t="s">
        <v>97</v>
      </c>
      <c r="AI997" t="s">
        <v>96</v>
      </c>
      <c r="AJ997" t="s">
        <v>95</v>
      </c>
      <c r="AK997" t="s">
        <v>94</v>
      </c>
      <c r="AL997">
        <v>186</v>
      </c>
      <c r="AM997" s="5">
        <f t="shared" si="122"/>
        <v>6</v>
      </c>
      <c r="AN997" s="4">
        <f t="shared" si="127"/>
        <v>9.0874668686103752E-3</v>
      </c>
      <c r="AO997" s="3"/>
      <c r="AP997">
        <v>0</v>
      </c>
      <c r="AR997" t="s">
        <v>0</v>
      </c>
      <c r="AT997" s="2">
        <v>2.6259999999999999</v>
      </c>
      <c r="AU997" s="1">
        <f t="shared" si="123"/>
        <v>1.8702855740890632</v>
      </c>
      <c r="AV997" s="1">
        <f t="shared" si="124"/>
        <v>1.5955601777381989</v>
      </c>
      <c r="AW997" s="1">
        <f t="shared" si="125"/>
        <v>1.3208347813873342</v>
      </c>
    </row>
    <row r="998" spans="1:49" x14ac:dyDescent="0.2">
      <c r="A998">
        <v>996</v>
      </c>
      <c r="B998" t="s">
        <v>93</v>
      </c>
      <c r="C998" t="s">
        <v>92</v>
      </c>
      <c r="D998" t="s">
        <v>91</v>
      </c>
      <c r="F998" t="s">
        <v>90</v>
      </c>
      <c r="G998" t="s">
        <v>16</v>
      </c>
      <c r="H998" t="s">
        <v>15</v>
      </c>
      <c r="I998" t="s">
        <v>89</v>
      </c>
      <c r="J998">
        <v>60028229</v>
      </c>
      <c r="K998" t="s">
        <v>88</v>
      </c>
      <c r="L998" t="s">
        <v>87</v>
      </c>
      <c r="M998" t="s">
        <v>25</v>
      </c>
      <c r="N998">
        <v>2</v>
      </c>
      <c r="O998" t="s">
        <v>86</v>
      </c>
      <c r="P998" t="s">
        <v>85</v>
      </c>
      <c r="Q998" t="s">
        <v>84</v>
      </c>
      <c r="R998" s="7">
        <v>33239</v>
      </c>
      <c r="S998" s="8">
        <f t="shared" si="120"/>
        <v>1991</v>
      </c>
      <c r="T998" s="8">
        <v>1991</v>
      </c>
      <c r="U998" s="8">
        <f t="shared" si="121"/>
        <v>31</v>
      </c>
      <c r="V998" s="7">
        <v>1991</v>
      </c>
      <c r="W998" t="s">
        <v>83</v>
      </c>
      <c r="X998" s="2">
        <v>0.89900000000000002</v>
      </c>
      <c r="Y998" s="6">
        <f t="shared" si="126"/>
        <v>2.399829155655215E-2</v>
      </c>
      <c r="AA998">
        <v>221910</v>
      </c>
      <c r="AB998">
        <v>20487</v>
      </c>
      <c r="AD998" t="s">
        <v>5</v>
      </c>
      <c r="AE998">
        <v>37</v>
      </c>
      <c r="AF998">
        <v>8</v>
      </c>
      <c r="AH998" t="s">
        <v>82</v>
      </c>
      <c r="AI998" t="s">
        <v>81</v>
      </c>
      <c r="AJ998" t="s">
        <v>80</v>
      </c>
      <c r="AK998" t="s">
        <v>79</v>
      </c>
      <c r="AL998">
        <v>20</v>
      </c>
      <c r="AM998" s="5">
        <f t="shared" si="122"/>
        <v>0.64516129032258063</v>
      </c>
      <c r="AN998" s="4">
        <f t="shared" si="127"/>
        <v>9.7714697511939509E-4</v>
      </c>
      <c r="AO998" s="3"/>
      <c r="AP998">
        <v>0</v>
      </c>
      <c r="AR998" t="s">
        <v>0</v>
      </c>
      <c r="AT998" s="2">
        <v>2.3540000000000001</v>
      </c>
      <c r="AU998" s="1">
        <f t="shared" si="123"/>
        <v>1.7091948182122321</v>
      </c>
      <c r="AV998" s="1">
        <f t="shared" si="124"/>
        <v>1.2487719265835773</v>
      </c>
      <c r="AW998" s="1">
        <f t="shared" si="125"/>
        <v>0.78834903495492215</v>
      </c>
    </row>
    <row r="999" spans="1:49" x14ac:dyDescent="0.2">
      <c r="A999">
        <v>997</v>
      </c>
      <c r="B999" t="s">
        <v>78</v>
      </c>
      <c r="C999" t="s">
        <v>77</v>
      </c>
      <c r="F999" t="s">
        <v>76</v>
      </c>
      <c r="G999" t="s">
        <v>16</v>
      </c>
      <c r="H999" t="s">
        <v>15</v>
      </c>
      <c r="I999" t="s">
        <v>75</v>
      </c>
      <c r="J999" t="s">
        <v>74</v>
      </c>
      <c r="K999" t="s">
        <v>73</v>
      </c>
      <c r="L999" t="s">
        <v>72</v>
      </c>
      <c r="M999" t="s">
        <v>71</v>
      </c>
      <c r="N999">
        <v>2</v>
      </c>
      <c r="O999" t="s">
        <v>70</v>
      </c>
      <c r="P999" t="s">
        <v>69</v>
      </c>
      <c r="Q999" t="s">
        <v>68</v>
      </c>
      <c r="R999" s="7">
        <v>33239</v>
      </c>
      <c r="S999" s="8">
        <f t="shared" si="120"/>
        <v>1991</v>
      </c>
      <c r="T999" s="8">
        <v>1991</v>
      </c>
      <c r="U999" s="8">
        <f t="shared" si="121"/>
        <v>31</v>
      </c>
      <c r="V999" s="7">
        <v>33239</v>
      </c>
      <c r="W999" t="s">
        <v>67</v>
      </c>
      <c r="X999" s="2">
        <v>0.439</v>
      </c>
      <c r="Y999" s="6">
        <f t="shared" si="126"/>
        <v>1.1718854275112784E-2</v>
      </c>
      <c r="AA999">
        <v>334545</v>
      </c>
      <c r="AB999">
        <v>21458</v>
      </c>
      <c r="AC999">
        <v>13653075</v>
      </c>
      <c r="AD999" t="s">
        <v>5</v>
      </c>
      <c r="AE999">
        <v>63</v>
      </c>
      <c r="AF999">
        <v>1</v>
      </c>
      <c r="AH999" t="s">
        <v>66</v>
      </c>
      <c r="AI999" t="s">
        <v>65</v>
      </c>
      <c r="AK999" t="s">
        <v>64</v>
      </c>
      <c r="AL999">
        <v>71</v>
      </c>
      <c r="AM999" s="5">
        <f t="shared" si="122"/>
        <v>2.2903225806451615</v>
      </c>
      <c r="AN999" s="4">
        <f t="shared" si="127"/>
        <v>3.468871761673853E-3</v>
      </c>
      <c r="AO999" s="3"/>
      <c r="AP999">
        <v>0</v>
      </c>
      <c r="AR999" t="s">
        <v>0</v>
      </c>
      <c r="AT999" s="2">
        <v>2.4529999999999998</v>
      </c>
      <c r="AU999" s="1">
        <f t="shared" si="123"/>
        <v>0.92438595210811036</v>
      </c>
      <c r="AV999" s="1">
        <f t="shared" si="124"/>
        <v>0.75938630183933187</v>
      </c>
      <c r="AW999" s="1">
        <f t="shared" si="125"/>
        <v>0.59438665157055315</v>
      </c>
    </row>
    <row r="1000" spans="1:49" x14ac:dyDescent="0.2">
      <c r="A1000">
        <v>998</v>
      </c>
      <c r="B1000" t="s">
        <v>63</v>
      </c>
      <c r="C1000" t="s">
        <v>62</v>
      </c>
      <c r="F1000" t="s">
        <v>61</v>
      </c>
      <c r="G1000" t="s">
        <v>16</v>
      </c>
      <c r="H1000" t="s">
        <v>15</v>
      </c>
      <c r="I1000" t="s">
        <v>60</v>
      </c>
      <c r="J1000">
        <v>60121438</v>
      </c>
      <c r="K1000" t="s">
        <v>59</v>
      </c>
      <c r="L1000" t="s">
        <v>58</v>
      </c>
      <c r="M1000" t="s">
        <v>57</v>
      </c>
      <c r="N1000">
        <v>2</v>
      </c>
      <c r="O1000" t="s">
        <v>56</v>
      </c>
      <c r="P1000" t="s">
        <v>55</v>
      </c>
      <c r="Q1000" t="s">
        <v>54</v>
      </c>
      <c r="R1000" s="7">
        <v>33239</v>
      </c>
      <c r="S1000" s="8">
        <f t="shared" si="120"/>
        <v>1991</v>
      </c>
      <c r="T1000" s="8">
        <v>1991</v>
      </c>
      <c r="U1000" s="8">
        <f t="shared" si="121"/>
        <v>31</v>
      </c>
      <c r="V1000" s="7">
        <v>33239</v>
      </c>
      <c r="W1000" t="s">
        <v>53</v>
      </c>
      <c r="X1000" s="2">
        <v>0.22500000000000001</v>
      </c>
      <c r="Y1000" s="6">
        <f t="shared" si="126"/>
        <v>6.0062464963562111E-3</v>
      </c>
      <c r="AA1000">
        <v>2726343</v>
      </c>
      <c r="AB1000">
        <v>16128</v>
      </c>
      <c r="AC1000" t="s">
        <v>52</v>
      </c>
      <c r="AD1000" t="s">
        <v>5</v>
      </c>
      <c r="AE1000">
        <v>2</v>
      </c>
      <c r="AF1000">
        <v>4</v>
      </c>
      <c r="AH1000" t="s">
        <v>51</v>
      </c>
      <c r="AI1000" t="s">
        <v>50</v>
      </c>
      <c r="AK1000" t="s">
        <v>49</v>
      </c>
      <c r="AL1000">
        <v>6</v>
      </c>
      <c r="AM1000" s="5">
        <f t="shared" si="122"/>
        <v>0.19354838709677419</v>
      </c>
      <c r="AN1000" s="4">
        <f t="shared" si="127"/>
        <v>2.9314409253581854E-4</v>
      </c>
      <c r="AO1000" s="3"/>
      <c r="AP1000">
        <v>0</v>
      </c>
      <c r="AR1000" t="s">
        <v>0</v>
      </c>
      <c r="AT1000" s="2">
        <v>1.099</v>
      </c>
      <c r="AU1000" s="1">
        <f t="shared" si="123"/>
        <v>0.42923157752100927</v>
      </c>
      <c r="AV1000" s="1">
        <f t="shared" si="124"/>
        <v>0.31496952944460149</v>
      </c>
      <c r="AW1000" s="1">
        <f t="shared" si="125"/>
        <v>0.20070748136819364</v>
      </c>
    </row>
    <row r="1001" spans="1:49" x14ac:dyDescent="0.2">
      <c r="A1001">
        <v>999</v>
      </c>
      <c r="B1001" t="s">
        <v>48</v>
      </c>
      <c r="C1001" t="s">
        <v>47</v>
      </c>
      <c r="F1001" t="s">
        <v>46</v>
      </c>
      <c r="G1001" t="s">
        <v>16</v>
      </c>
      <c r="H1001" t="s">
        <v>15</v>
      </c>
      <c r="I1001" t="s">
        <v>45</v>
      </c>
      <c r="J1001" t="s">
        <v>44</v>
      </c>
      <c r="K1001" t="s">
        <v>43</v>
      </c>
      <c r="L1001" t="s">
        <v>42</v>
      </c>
      <c r="M1001" t="s">
        <v>41</v>
      </c>
      <c r="N1001">
        <v>3</v>
      </c>
      <c r="O1001" t="s">
        <v>40</v>
      </c>
      <c r="P1001" t="s">
        <v>39</v>
      </c>
      <c r="Q1001" t="s">
        <v>38</v>
      </c>
      <c r="R1001" s="7">
        <v>33239</v>
      </c>
      <c r="S1001" s="8">
        <f t="shared" si="120"/>
        <v>1991</v>
      </c>
      <c r="T1001" s="8">
        <v>1991</v>
      </c>
      <c r="U1001" s="8">
        <f t="shared" si="121"/>
        <v>31</v>
      </c>
      <c r="V1001" s="7">
        <v>33239</v>
      </c>
      <c r="W1001" t="s">
        <v>37</v>
      </c>
      <c r="X1001" s="2">
        <v>7.1150000000000002</v>
      </c>
      <c r="Y1001" s="6">
        <f t="shared" si="126"/>
        <v>0.18993086142921972</v>
      </c>
      <c r="AA1001">
        <v>27863</v>
      </c>
      <c r="AB1001">
        <v>22680</v>
      </c>
      <c r="AC1001">
        <v>15205126</v>
      </c>
      <c r="AD1001" t="s">
        <v>5</v>
      </c>
      <c r="AE1001">
        <v>113</v>
      </c>
      <c r="AF1001">
        <v>1</v>
      </c>
      <c r="AH1001" t="s">
        <v>36</v>
      </c>
      <c r="AI1001" t="s">
        <v>35</v>
      </c>
      <c r="AK1001" t="s">
        <v>34</v>
      </c>
      <c r="AL1001">
        <v>37</v>
      </c>
      <c r="AM1001" s="5">
        <f t="shared" si="122"/>
        <v>1.1935483870967742</v>
      </c>
      <c r="AN1001" s="4">
        <f t="shared" si="127"/>
        <v>1.8077219039708812E-3</v>
      </c>
      <c r="AO1001" s="3"/>
      <c r="AP1001">
        <v>0</v>
      </c>
      <c r="AR1001" t="s">
        <v>0</v>
      </c>
      <c r="AT1001" s="2" t="s">
        <v>33</v>
      </c>
      <c r="AU1001" s="1">
        <f t="shared" si="123"/>
        <v>13.349391957164508</v>
      </c>
      <c r="AV1001" s="1">
        <f t="shared" si="124"/>
        <v>9.5869291666595302</v>
      </c>
      <c r="AW1001" s="1">
        <f t="shared" si="125"/>
        <v>5.824466376154553</v>
      </c>
    </row>
    <row r="1002" spans="1:49" x14ac:dyDescent="0.2">
      <c r="A1002">
        <v>1000</v>
      </c>
      <c r="B1002" t="s">
        <v>32</v>
      </c>
      <c r="C1002" t="s">
        <v>31</v>
      </c>
      <c r="D1002" t="s">
        <v>30</v>
      </c>
      <c r="F1002" t="s">
        <v>29</v>
      </c>
      <c r="G1002" t="s">
        <v>16</v>
      </c>
      <c r="H1002" t="s">
        <v>15</v>
      </c>
      <c r="I1002" t="s">
        <v>28</v>
      </c>
      <c r="J1002">
        <v>60020306</v>
      </c>
      <c r="K1002" t="s">
        <v>27</v>
      </c>
      <c r="L1002" t="s">
        <v>26</v>
      </c>
      <c r="M1002" t="s">
        <v>25</v>
      </c>
      <c r="N1002">
        <v>1</v>
      </c>
      <c r="O1002" t="s">
        <v>24</v>
      </c>
      <c r="P1002">
        <v>6603050411</v>
      </c>
      <c r="Q1002">
        <v>60020306</v>
      </c>
      <c r="R1002" s="7">
        <v>33239</v>
      </c>
      <c r="S1002" s="8">
        <f t="shared" si="120"/>
        <v>1991</v>
      </c>
      <c r="T1002" s="8">
        <v>1991</v>
      </c>
      <c r="U1002" s="8">
        <f t="shared" si="121"/>
        <v>31</v>
      </c>
      <c r="V1002" s="7">
        <v>33512</v>
      </c>
      <c r="W1002" t="s">
        <v>23</v>
      </c>
      <c r="X1002" s="2">
        <v>1.204</v>
      </c>
      <c r="Y1002" s="6">
        <f t="shared" si="126"/>
        <v>3.2140092362723902E-2</v>
      </c>
      <c r="AA1002">
        <v>3003256</v>
      </c>
      <c r="AB1002">
        <v>24546</v>
      </c>
      <c r="AC1002">
        <v>14636409</v>
      </c>
      <c r="AD1002" t="s">
        <v>5</v>
      </c>
      <c r="AE1002">
        <v>20</v>
      </c>
      <c r="AF1002">
        <v>4</v>
      </c>
      <c r="AH1002" t="s">
        <v>22</v>
      </c>
      <c r="AI1002" t="s">
        <v>21</v>
      </c>
      <c r="AK1002" t="s">
        <v>20</v>
      </c>
      <c r="AL1002">
        <v>18</v>
      </c>
      <c r="AM1002" s="5">
        <f t="shared" si="122"/>
        <v>0.58064516129032262</v>
      </c>
      <c r="AN1002" s="4">
        <f t="shared" si="127"/>
        <v>8.7943227760745566E-4</v>
      </c>
      <c r="AO1002" s="3"/>
      <c r="AP1002">
        <v>0</v>
      </c>
      <c r="AR1002" t="s">
        <v>0</v>
      </c>
      <c r="AT1002" s="2">
        <v>3.14</v>
      </c>
      <c r="AU1002" s="1">
        <f t="shared" si="123"/>
        <v>2.2761894337188964</v>
      </c>
      <c r="AV1002" s="1">
        <f t="shared" si="124"/>
        <v>1.650976232016568</v>
      </c>
      <c r="AW1002" s="1">
        <f t="shared" si="125"/>
        <v>1.0257630303142391</v>
      </c>
    </row>
    <row r="1003" spans="1:49" x14ac:dyDescent="0.2">
      <c r="A1003">
        <v>1001</v>
      </c>
      <c r="B1003" t="s">
        <v>19</v>
      </c>
      <c r="C1003" t="s">
        <v>18</v>
      </c>
      <c r="F1003" t="s">
        <v>17</v>
      </c>
      <c r="G1003" t="s">
        <v>16</v>
      </c>
      <c r="H1003" t="s">
        <v>15</v>
      </c>
      <c r="I1003" t="s">
        <v>14</v>
      </c>
      <c r="J1003" t="s">
        <v>13</v>
      </c>
      <c r="K1003" t="s">
        <v>12</v>
      </c>
      <c r="L1003" t="s">
        <v>11</v>
      </c>
      <c r="M1003" t="s">
        <v>10</v>
      </c>
      <c r="N1003">
        <v>4</v>
      </c>
      <c r="O1003" t="s">
        <v>9</v>
      </c>
      <c r="P1003" t="s">
        <v>8</v>
      </c>
      <c r="Q1003" t="s">
        <v>7</v>
      </c>
      <c r="R1003" s="7">
        <v>33239</v>
      </c>
      <c r="S1003" s="8">
        <f t="shared" si="120"/>
        <v>1991</v>
      </c>
      <c r="T1003" s="8">
        <v>1991</v>
      </c>
      <c r="U1003" s="8">
        <f t="shared" si="121"/>
        <v>31</v>
      </c>
      <c r="V1003" s="7">
        <v>33573</v>
      </c>
      <c r="W1003" t="s">
        <v>6</v>
      </c>
      <c r="X1003" s="2">
        <v>0.372</v>
      </c>
      <c r="Y1003" s="6">
        <f t="shared" si="126"/>
        <v>9.930327540642268E-3</v>
      </c>
      <c r="AA1003">
        <v>10530509</v>
      </c>
      <c r="AB1003">
        <v>25282</v>
      </c>
      <c r="AC1003">
        <v>15734994</v>
      </c>
      <c r="AD1003" t="s">
        <v>5</v>
      </c>
      <c r="AE1003">
        <v>1</v>
      </c>
      <c r="AF1003">
        <v>4</v>
      </c>
      <c r="AH1003" t="s">
        <v>4</v>
      </c>
      <c r="AI1003" t="s">
        <v>3</v>
      </c>
      <c r="AJ1003" t="s">
        <v>2</v>
      </c>
      <c r="AK1003" t="s">
        <v>1</v>
      </c>
      <c r="AL1003">
        <v>10</v>
      </c>
      <c r="AM1003" s="5">
        <f t="shared" si="122"/>
        <v>0.32258064516129031</v>
      </c>
      <c r="AN1003" s="4">
        <f t="shared" si="127"/>
        <v>4.8857348755969754E-4</v>
      </c>
      <c r="AO1003" s="3"/>
      <c r="AP1003">
        <v>0</v>
      </c>
      <c r="AR1003" t="s">
        <v>0</v>
      </c>
      <c r="AT1003" s="2">
        <v>2.2170000000000001</v>
      </c>
      <c r="AU1003" s="1">
        <f t="shared" si="123"/>
        <v>0.70978013247174954</v>
      </c>
      <c r="AV1003" s="1">
        <f t="shared" si="124"/>
        <v>0.52094505141009828</v>
      </c>
      <c r="AW1003" s="1">
        <f t="shared" si="125"/>
        <v>0.33210997034844686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2021-11-11T11:39:42Z</dcterms:created>
  <dcterms:modified xsi:type="dcterms:W3CDTF">2022-01-19T20:18:45Z</dcterms:modified>
</cp:coreProperties>
</file>