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8810A3D9-786D-DF40-BB5F-A1377BC3749B}" xr6:coauthVersionLast="47" xr6:coauthVersionMax="47" xr10:uidLastSave="{A78080D1-BEDA-D541-B0EA-FB910C455533}"/>
  <bookViews>
    <workbookView xWindow="9460" yWindow="5580" windowWidth="27640" windowHeight="16940" xr2:uid="{3003D2EE-3EDE-B440-9FA0-CD3AEC2F2828}"/>
  </bookViews>
  <sheets>
    <sheet name="1987"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2" i="1"/>
  <c r="S2" i="1" l="1"/>
  <c r="U2" i="1"/>
  <c r="AM2" i="1" s="1"/>
  <c r="S3" i="1"/>
  <c r="U3" i="1"/>
  <c r="AM3" i="1" s="1"/>
  <c r="S4" i="1"/>
  <c r="U4" i="1"/>
  <c r="AM4" i="1" s="1"/>
  <c r="S5" i="1"/>
  <c r="U5" i="1"/>
  <c r="AM5" i="1" s="1"/>
  <c r="AU5" i="1"/>
  <c r="S6" i="1"/>
  <c r="U6" i="1"/>
  <c r="AM6" i="1" s="1"/>
  <c r="AW6" i="1"/>
  <c r="S7" i="1"/>
  <c r="U7" i="1"/>
  <c r="AM7" i="1" s="1"/>
  <c r="AW7" i="1" s="1"/>
  <c r="S8" i="1"/>
  <c r="U8" i="1"/>
  <c r="AM8" i="1" s="1"/>
  <c r="S9" i="1"/>
  <c r="U9" i="1"/>
  <c r="AM9" i="1" s="1"/>
  <c r="S10" i="1"/>
  <c r="U10" i="1"/>
  <c r="AM10" i="1"/>
  <c r="AV10" i="1"/>
  <c r="S11" i="1"/>
  <c r="U11" i="1"/>
  <c r="AM11" i="1" s="1"/>
  <c r="AW11" i="1"/>
  <c r="S12" i="1"/>
  <c r="U12" i="1"/>
  <c r="AM12" i="1"/>
  <c r="S13" i="1"/>
  <c r="U13" i="1"/>
  <c r="AM13" i="1" s="1"/>
  <c r="S14" i="1"/>
  <c r="U14" i="1"/>
  <c r="AM14" i="1" s="1"/>
  <c r="S15" i="1"/>
  <c r="U15" i="1"/>
  <c r="AM15" i="1"/>
  <c r="AU15" i="1"/>
  <c r="S16" i="1"/>
  <c r="U16" i="1"/>
  <c r="AM16" i="1" s="1"/>
  <c r="AW16" i="1"/>
  <c r="S17" i="1"/>
  <c r="U17" i="1"/>
  <c r="AM17" i="1" s="1"/>
  <c r="S18" i="1"/>
  <c r="U18" i="1"/>
  <c r="AM18" i="1" s="1"/>
  <c r="S19" i="1"/>
  <c r="U19" i="1"/>
  <c r="AM19" i="1" s="1"/>
  <c r="S20" i="1"/>
  <c r="U20" i="1"/>
  <c r="AM20" i="1" s="1"/>
  <c r="S21" i="1"/>
  <c r="U21" i="1"/>
  <c r="AM21" i="1" s="1"/>
  <c r="S22" i="1"/>
  <c r="U22" i="1"/>
  <c r="AM22" i="1" s="1"/>
  <c r="S23" i="1"/>
  <c r="U23" i="1"/>
  <c r="AM23" i="1"/>
  <c r="AW23" i="1" s="1"/>
  <c r="S24" i="1"/>
  <c r="U24" i="1"/>
  <c r="AM24" i="1" s="1"/>
  <c r="S25" i="1"/>
  <c r="U25" i="1"/>
  <c r="AM25" i="1" s="1"/>
  <c r="AU25" i="1" s="1"/>
  <c r="S26" i="1"/>
  <c r="U26" i="1"/>
  <c r="AM26" i="1" s="1"/>
  <c r="AV26" i="1"/>
  <c r="S27" i="1"/>
  <c r="U27" i="1"/>
  <c r="AM27" i="1" s="1"/>
  <c r="S28" i="1"/>
  <c r="U28" i="1"/>
  <c r="AM28" i="1" s="1"/>
  <c r="AW28" i="1"/>
  <c r="S29" i="1"/>
  <c r="U29" i="1"/>
  <c r="AM29" i="1" s="1"/>
  <c r="S30" i="1"/>
  <c r="U30" i="1"/>
  <c r="AM30" i="1" s="1"/>
  <c r="AU30" i="1" s="1"/>
  <c r="S31" i="1"/>
  <c r="U31" i="1"/>
  <c r="AM31" i="1" s="1"/>
  <c r="AU31" i="1" s="1"/>
  <c r="S32" i="1"/>
  <c r="U32" i="1"/>
  <c r="AM32" i="1"/>
  <c r="S33" i="1"/>
  <c r="U33" i="1"/>
  <c r="AM33" i="1"/>
  <c r="S34" i="1"/>
  <c r="U34" i="1"/>
  <c r="AM34" i="1" s="1"/>
  <c r="S35" i="1"/>
  <c r="U35" i="1"/>
  <c r="AM35" i="1" s="1"/>
  <c r="AV35" i="1"/>
  <c r="S36" i="1"/>
  <c r="U36" i="1"/>
  <c r="AM36" i="1" s="1"/>
  <c r="AV36" i="1"/>
  <c r="S37" i="1"/>
  <c r="U37" i="1"/>
  <c r="AM37" i="1" s="1"/>
  <c r="S38" i="1"/>
  <c r="U38" i="1"/>
  <c r="AM38" i="1"/>
  <c r="AU38" i="1"/>
  <c r="S39" i="1"/>
  <c r="U39" i="1"/>
  <c r="AM39" i="1" s="1"/>
  <c r="S40" i="1"/>
  <c r="U40" i="1"/>
  <c r="AM40" i="1"/>
  <c r="AU40" i="1" s="1"/>
  <c r="S41" i="1"/>
  <c r="U41" i="1"/>
  <c r="AM41" i="1" s="1"/>
  <c r="S42" i="1"/>
  <c r="U42" i="1"/>
  <c r="AM42" i="1"/>
  <c r="S43" i="1"/>
  <c r="U43" i="1"/>
  <c r="AM43" i="1" s="1"/>
  <c r="S44" i="1"/>
  <c r="U44" i="1"/>
  <c r="AM44" i="1" s="1"/>
  <c r="S45" i="1"/>
  <c r="U45" i="1"/>
  <c r="AM45" i="1" s="1"/>
  <c r="AV45" i="1"/>
  <c r="S46" i="1"/>
  <c r="U46" i="1"/>
  <c r="AM46" i="1" s="1"/>
  <c r="S47" i="1"/>
  <c r="U47" i="1"/>
  <c r="AM47" i="1" s="1"/>
  <c r="S48" i="1"/>
  <c r="U48" i="1"/>
  <c r="AM48" i="1" s="1"/>
  <c r="S49" i="1"/>
  <c r="U49" i="1"/>
  <c r="AM49" i="1" s="1"/>
  <c r="S50" i="1"/>
  <c r="U50" i="1"/>
  <c r="AM50" i="1" s="1"/>
  <c r="AV50" i="1"/>
  <c r="S51" i="1"/>
  <c r="U51" i="1"/>
  <c r="AM51" i="1" s="1"/>
  <c r="AW51" i="1"/>
  <c r="S52" i="1"/>
  <c r="U52" i="1"/>
  <c r="AM52" i="1" s="1"/>
  <c r="S53" i="1"/>
  <c r="U53" i="1"/>
  <c r="AM53" i="1"/>
  <c r="S54" i="1"/>
  <c r="U54" i="1"/>
  <c r="AM54" i="1" s="1"/>
  <c r="S55" i="1"/>
  <c r="U55" i="1"/>
  <c r="AM55" i="1"/>
  <c r="S56" i="1"/>
  <c r="U56" i="1"/>
  <c r="AM56" i="1" s="1"/>
  <c r="S57" i="1"/>
  <c r="U57" i="1"/>
  <c r="AM57" i="1" s="1"/>
  <c r="S58" i="1"/>
  <c r="U58" i="1"/>
  <c r="AM58" i="1"/>
  <c r="S59" i="1"/>
  <c r="U59" i="1"/>
  <c r="AM59" i="1" s="1"/>
  <c r="S60" i="1"/>
  <c r="U60" i="1"/>
  <c r="AM60" i="1" s="1"/>
  <c r="AV60" i="1"/>
  <c r="S61" i="1"/>
  <c r="U61" i="1"/>
  <c r="AM61" i="1" s="1"/>
  <c r="AW61" i="1"/>
  <c r="S62" i="1"/>
  <c r="U62" i="1"/>
  <c r="AM62" i="1"/>
  <c r="S63" i="1"/>
  <c r="U63" i="1"/>
  <c r="AM63" i="1" s="1"/>
  <c r="AU63" i="1" s="1"/>
  <c r="S64" i="1"/>
  <c r="U64" i="1"/>
  <c r="AM64" i="1" s="1"/>
  <c r="S65" i="1"/>
  <c r="U65" i="1"/>
  <c r="AV65" i="1"/>
  <c r="AM65" i="1"/>
  <c r="S66" i="1"/>
  <c r="U66" i="1"/>
  <c r="AM66" i="1" s="1"/>
  <c r="AV66" i="1"/>
  <c r="S67" i="1"/>
  <c r="U67" i="1"/>
  <c r="AM67" i="1"/>
  <c r="S68" i="1"/>
  <c r="U68" i="1"/>
  <c r="AM68" i="1" s="1"/>
  <c r="AV68" i="1" s="1"/>
  <c r="S69" i="1"/>
  <c r="U69" i="1"/>
  <c r="AM69" i="1" s="1"/>
  <c r="S70" i="1"/>
  <c r="U70" i="1"/>
  <c r="AM70" i="1"/>
  <c r="AU70" i="1" s="1"/>
  <c r="S71" i="1"/>
  <c r="U71" i="1"/>
  <c r="AM71" i="1" s="1"/>
  <c r="AV71" i="1"/>
  <c r="S72" i="1"/>
  <c r="U72" i="1"/>
  <c r="AM72" i="1" s="1"/>
  <c r="S73" i="1"/>
  <c r="U73" i="1"/>
  <c r="AM73" i="1"/>
  <c r="AV73" i="1" s="1"/>
  <c r="S74" i="1"/>
  <c r="U74" i="1"/>
  <c r="AM74" i="1" s="1"/>
  <c r="S75" i="1"/>
  <c r="U75" i="1"/>
  <c r="AM75" i="1"/>
  <c r="AU75" i="1"/>
  <c r="S76" i="1"/>
  <c r="U76" i="1"/>
  <c r="AM76" i="1" s="1"/>
  <c r="AV76" i="1"/>
  <c r="S77" i="1"/>
  <c r="U77" i="1"/>
  <c r="AM77" i="1"/>
  <c r="S78" i="1"/>
  <c r="U78" i="1"/>
  <c r="AM78" i="1" s="1"/>
  <c r="S79" i="1"/>
  <c r="U79" i="1"/>
  <c r="AM79" i="1" s="1"/>
  <c r="S80" i="1"/>
  <c r="U80" i="1"/>
  <c r="AM80" i="1" s="1"/>
  <c r="AU80" i="1" s="1"/>
  <c r="S81" i="1"/>
  <c r="U81" i="1"/>
  <c r="AM81" i="1" s="1"/>
  <c r="AV81" i="1"/>
  <c r="S82" i="1"/>
  <c r="U82" i="1"/>
  <c r="AM82" i="1"/>
  <c r="S83" i="1"/>
  <c r="U83" i="1"/>
  <c r="AM83" i="1"/>
  <c r="AU83" i="1" s="1"/>
  <c r="S84" i="1"/>
  <c r="U84" i="1"/>
  <c r="AM84" i="1" s="1"/>
  <c r="S85" i="1"/>
  <c r="U85" i="1"/>
  <c r="AV85" i="1"/>
  <c r="AM85" i="1"/>
  <c r="AU85" i="1" s="1"/>
  <c r="S86" i="1"/>
  <c r="U86" i="1"/>
  <c r="AM86" i="1" s="1"/>
  <c r="AV86" i="1"/>
  <c r="S87" i="1"/>
  <c r="U87" i="1"/>
  <c r="AM87" i="1"/>
  <c r="S88" i="1"/>
  <c r="U88" i="1"/>
  <c r="AM88" i="1" s="1"/>
  <c r="AU88" i="1"/>
  <c r="S89" i="1"/>
  <c r="U89" i="1"/>
  <c r="AM89" i="1" s="1"/>
  <c r="S90" i="1"/>
  <c r="U90" i="1"/>
  <c r="AM90" i="1" s="1"/>
  <c r="S91" i="1"/>
  <c r="U91" i="1"/>
  <c r="AM91" i="1" s="1"/>
  <c r="AV91" i="1"/>
  <c r="S92" i="1"/>
  <c r="U92" i="1"/>
  <c r="AM92" i="1"/>
  <c r="S93" i="1"/>
  <c r="U93" i="1"/>
  <c r="AM93" i="1" s="1"/>
  <c r="AV93" i="1"/>
  <c r="S94" i="1"/>
  <c r="U94" i="1"/>
  <c r="AM94" i="1" s="1"/>
  <c r="S95" i="1"/>
  <c r="U95" i="1"/>
  <c r="AM95" i="1" s="1"/>
  <c r="AU95" i="1" s="1"/>
  <c r="S96" i="1"/>
  <c r="U96" i="1"/>
  <c r="AM96" i="1" s="1"/>
  <c r="S97" i="1"/>
  <c r="U97" i="1"/>
  <c r="AM97" i="1" s="1"/>
  <c r="S98" i="1"/>
  <c r="U98" i="1"/>
  <c r="AM98" i="1" s="1"/>
  <c r="S99" i="1"/>
  <c r="U99" i="1"/>
  <c r="AM99" i="1" s="1"/>
  <c r="S100" i="1"/>
  <c r="U100" i="1"/>
  <c r="AM100" i="1" s="1"/>
  <c r="S101" i="1"/>
  <c r="U101" i="1"/>
  <c r="AM101" i="1" s="1"/>
  <c r="AV101" i="1"/>
  <c r="S102" i="1"/>
  <c r="U102" i="1"/>
  <c r="AM102" i="1" s="1"/>
  <c r="S103" i="1"/>
  <c r="U103" i="1"/>
  <c r="AM103" i="1" s="1"/>
  <c r="AV103" i="1" s="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S112" i="1"/>
  <c r="U112" i="1"/>
  <c r="AM112" i="1"/>
  <c r="S113" i="1"/>
  <c r="U113" i="1"/>
  <c r="AM113" i="1" s="1"/>
  <c r="S114" i="1"/>
  <c r="U114" i="1"/>
  <c r="AM114" i="1" s="1"/>
  <c r="S115" i="1"/>
  <c r="U115" i="1"/>
  <c r="AM115" i="1"/>
  <c r="S116" i="1"/>
  <c r="U116" i="1"/>
  <c r="AM116" i="1" s="1"/>
  <c r="S117" i="1"/>
  <c r="U117" i="1"/>
  <c r="AM117" i="1" s="1"/>
  <c r="S118" i="1"/>
  <c r="U118" i="1"/>
  <c r="AM118" i="1" s="1"/>
  <c r="AV118" i="1"/>
  <c r="S119" i="1"/>
  <c r="U119" i="1"/>
  <c r="AM119" i="1" s="1"/>
  <c r="S120" i="1"/>
  <c r="U120" i="1"/>
  <c r="AM120" i="1"/>
  <c r="S121" i="1"/>
  <c r="U121" i="1"/>
  <c r="AM121" i="1" s="1"/>
  <c r="AV121" i="1"/>
  <c r="S122" i="1"/>
  <c r="U122" i="1"/>
  <c r="AM122" i="1"/>
  <c r="S123" i="1"/>
  <c r="U123" i="1"/>
  <c r="AM123" i="1"/>
  <c r="S124" i="1"/>
  <c r="U124" i="1"/>
  <c r="AM124" i="1" s="1"/>
  <c r="S125" i="1"/>
  <c r="U125" i="1"/>
  <c r="AM125" i="1" s="1"/>
  <c r="S126" i="1"/>
  <c r="U126" i="1"/>
  <c r="AM126" i="1" s="1"/>
  <c r="S127" i="1"/>
  <c r="U127" i="1"/>
  <c r="AM127" i="1"/>
  <c r="S128" i="1"/>
  <c r="U128" i="1"/>
  <c r="AM128" i="1" s="1"/>
  <c r="AV128" i="1"/>
  <c r="S129" i="1"/>
  <c r="U129" i="1"/>
  <c r="AM129" i="1" s="1"/>
  <c r="S130" i="1"/>
  <c r="U130" i="1"/>
  <c r="AM130" i="1" s="1"/>
  <c r="AV130" i="1"/>
  <c r="S131" i="1"/>
  <c r="U131" i="1"/>
  <c r="AM131" i="1" s="1"/>
  <c r="S132" i="1"/>
  <c r="U132" i="1"/>
  <c r="AM132" i="1"/>
  <c r="S133" i="1"/>
  <c r="U133" i="1"/>
  <c r="AM133" i="1" s="1"/>
  <c r="AV133" i="1"/>
  <c r="S134" i="1"/>
  <c r="U134" i="1"/>
  <c r="AM134" i="1" s="1"/>
  <c r="S135" i="1"/>
  <c r="U135" i="1"/>
  <c r="AM135" i="1" s="1"/>
  <c r="S136" i="1"/>
  <c r="U136" i="1"/>
  <c r="AM136" i="1" s="1"/>
  <c r="AV136" i="1"/>
  <c r="S137" i="1"/>
  <c r="U137" i="1"/>
  <c r="AM137" i="1" s="1"/>
  <c r="S138" i="1"/>
  <c r="U138" i="1"/>
  <c r="AM138" i="1" s="1"/>
  <c r="S139" i="1"/>
  <c r="U139" i="1"/>
  <c r="AM139" i="1" s="1"/>
  <c r="S140" i="1"/>
  <c r="U140" i="1"/>
  <c r="AM140" i="1" s="1"/>
  <c r="AV140" i="1"/>
  <c r="S141" i="1"/>
  <c r="U141" i="1"/>
  <c r="AM141" i="1" s="1"/>
  <c r="S142" i="1"/>
  <c r="U142" i="1"/>
  <c r="AM142" i="1" s="1"/>
  <c r="S143" i="1"/>
  <c r="U143" i="1"/>
  <c r="AM143" i="1"/>
  <c r="S144" i="1"/>
  <c r="U144" i="1"/>
  <c r="AM144" i="1" s="1"/>
  <c r="S145" i="1"/>
  <c r="U145" i="1"/>
  <c r="AM145" i="1"/>
  <c r="S146" i="1"/>
  <c r="U146" i="1"/>
  <c r="AM146" i="1" s="1"/>
  <c r="S147" i="1"/>
  <c r="U147" i="1"/>
  <c r="AM147" i="1" s="1"/>
  <c r="S148" i="1"/>
  <c r="U148" i="1"/>
  <c r="AM148" i="1" s="1"/>
  <c r="S149" i="1"/>
  <c r="U149" i="1"/>
  <c r="AM149" i="1" s="1"/>
  <c r="AV149" i="1"/>
  <c r="S150" i="1"/>
  <c r="U150" i="1"/>
  <c r="AM150" i="1" s="1"/>
  <c r="S151" i="1"/>
  <c r="U151" i="1"/>
  <c r="AM151" i="1"/>
  <c r="S152" i="1"/>
  <c r="U152" i="1"/>
  <c r="AM152" i="1" s="1"/>
  <c r="S153" i="1"/>
  <c r="U153" i="1"/>
  <c r="AM153" i="1"/>
  <c r="S154" i="1"/>
  <c r="U154" i="1"/>
  <c r="AM154" i="1" s="1"/>
  <c r="S155" i="1"/>
  <c r="U155" i="1"/>
  <c r="AM155" i="1" s="1"/>
  <c r="AU155" i="1"/>
  <c r="S156" i="1"/>
  <c r="U156" i="1"/>
  <c r="AM156" i="1" s="1"/>
  <c r="S157" i="1"/>
  <c r="U157" i="1"/>
  <c r="AM157" i="1" s="1"/>
  <c r="AV157" i="1" s="1"/>
  <c r="S158" i="1"/>
  <c r="U158" i="1"/>
  <c r="AM158" i="1"/>
  <c r="S159" i="1"/>
  <c r="U159" i="1"/>
  <c r="AM159" i="1" s="1"/>
  <c r="S160" i="1"/>
  <c r="U160" i="1"/>
  <c r="AM160" i="1"/>
  <c r="S161" i="1"/>
  <c r="U161" i="1"/>
  <c r="AM161" i="1" s="1"/>
  <c r="S162" i="1"/>
  <c r="U162" i="1"/>
  <c r="AM162" i="1" s="1"/>
  <c r="AV162" i="1" s="1"/>
  <c r="S163" i="1"/>
  <c r="U163" i="1"/>
  <c r="AM163" i="1" s="1"/>
  <c r="AU163" i="1" s="1"/>
  <c r="S164" i="1"/>
  <c r="U164" i="1"/>
  <c r="AM164" i="1" s="1"/>
  <c r="S165" i="1"/>
  <c r="U165" i="1"/>
  <c r="AM165" i="1"/>
  <c r="S166" i="1"/>
  <c r="U166" i="1"/>
  <c r="AM166" i="1" s="1"/>
  <c r="S167" i="1"/>
  <c r="U167" i="1"/>
  <c r="AM167" i="1" s="1"/>
  <c r="AV167" i="1" s="1"/>
  <c r="S168" i="1"/>
  <c r="U168" i="1"/>
  <c r="AM168" i="1" s="1"/>
  <c r="S169" i="1"/>
  <c r="U169" i="1"/>
  <c r="AM169" i="1" s="1"/>
  <c r="S170" i="1"/>
  <c r="U170" i="1"/>
  <c r="AM170" i="1"/>
  <c r="AV170" i="1" s="1"/>
  <c r="S171" i="1"/>
  <c r="U171" i="1"/>
  <c r="AM171" i="1"/>
  <c r="S172" i="1"/>
  <c r="U172" i="1"/>
  <c r="AM172" i="1" s="1"/>
  <c r="S173" i="1"/>
  <c r="U173" i="1"/>
  <c r="AM173" i="1" s="1"/>
  <c r="AW173" i="1"/>
  <c r="S174" i="1"/>
  <c r="U174" i="1"/>
  <c r="AM174" i="1" s="1"/>
  <c r="S175" i="1"/>
  <c r="U175" i="1"/>
  <c r="AM175" i="1" s="1"/>
  <c r="AW175" i="1" s="1"/>
  <c r="S176" i="1"/>
  <c r="U176" i="1"/>
  <c r="AM176" i="1" s="1"/>
  <c r="AV176" i="1" s="1"/>
  <c r="S177" i="1"/>
  <c r="U177" i="1"/>
  <c r="AV177" i="1"/>
  <c r="AM177" i="1"/>
  <c r="S178" i="1"/>
  <c r="U178" i="1"/>
  <c r="AM178" i="1" s="1"/>
  <c r="AV178" i="1"/>
  <c r="S179" i="1"/>
  <c r="U179" i="1"/>
  <c r="AM179" i="1" s="1"/>
  <c r="S180" i="1"/>
  <c r="U180" i="1"/>
  <c r="AM180" i="1" s="1"/>
  <c r="S181" i="1"/>
  <c r="U181" i="1"/>
  <c r="AM181" i="1" s="1"/>
  <c r="AU181" i="1" s="1"/>
  <c r="S182" i="1"/>
  <c r="U182" i="1"/>
  <c r="AM182" i="1" s="1"/>
  <c r="AV182" i="1" s="1"/>
  <c r="S183" i="1"/>
  <c r="U183" i="1"/>
  <c r="AM183" i="1" s="1"/>
  <c r="S184" i="1"/>
  <c r="U184" i="1"/>
  <c r="AM184" i="1" s="1"/>
  <c r="AV184" i="1" s="1"/>
  <c r="S185" i="1"/>
  <c r="U185" i="1"/>
  <c r="AM185" i="1"/>
  <c r="AW185" i="1" s="1"/>
  <c r="S186" i="1"/>
  <c r="U186" i="1"/>
  <c r="AM186" i="1" s="1"/>
  <c r="S187" i="1"/>
  <c r="U187" i="1"/>
  <c r="AM187" i="1"/>
  <c r="S188" i="1"/>
  <c r="U188" i="1"/>
  <c r="AM188" i="1" s="1"/>
  <c r="S189" i="1"/>
  <c r="U189" i="1"/>
  <c r="AM189" i="1" s="1"/>
  <c r="S190" i="1"/>
  <c r="U190" i="1"/>
  <c r="AM190" i="1"/>
  <c r="AV190" i="1"/>
  <c r="S191" i="1"/>
  <c r="U191" i="1"/>
  <c r="AM191" i="1" s="1"/>
  <c r="S192" i="1"/>
  <c r="U192" i="1"/>
  <c r="AM192" i="1" s="1"/>
  <c r="S193" i="1"/>
  <c r="U193" i="1"/>
  <c r="AM193" i="1" s="1"/>
  <c r="AU193" i="1"/>
  <c r="S194" i="1"/>
  <c r="U194" i="1"/>
  <c r="AM194" i="1"/>
  <c r="S195" i="1"/>
  <c r="U195" i="1"/>
  <c r="AM195" i="1"/>
  <c r="S196" i="1"/>
  <c r="U196" i="1"/>
  <c r="AM196" i="1" s="1"/>
  <c r="S197" i="1"/>
  <c r="U197" i="1"/>
  <c r="AM197" i="1" s="1"/>
  <c r="AV197" i="1" s="1"/>
  <c r="S198" i="1"/>
  <c r="U198" i="1"/>
  <c r="AM198" i="1" s="1"/>
  <c r="S199" i="1"/>
  <c r="U199" i="1"/>
  <c r="AM199" i="1" s="1"/>
  <c r="S200" i="1"/>
  <c r="U200" i="1"/>
  <c r="AM200" i="1" s="1"/>
  <c r="AU200" i="1" s="1"/>
  <c r="S201" i="1"/>
  <c r="U201" i="1"/>
  <c r="AM201" i="1"/>
  <c r="S202" i="1"/>
  <c r="U202" i="1"/>
  <c r="AM202" i="1" s="1"/>
  <c r="S203" i="1"/>
  <c r="U203" i="1"/>
  <c r="AM203" i="1" s="1"/>
  <c r="S204" i="1"/>
  <c r="U204" i="1"/>
  <c r="AM204" i="1" s="1"/>
  <c r="S205" i="1"/>
  <c r="U205" i="1"/>
  <c r="AM205" i="1"/>
  <c r="S206" i="1"/>
  <c r="U206" i="1"/>
  <c r="AM206" i="1" s="1"/>
  <c r="AW206" i="1"/>
  <c r="S207" i="1"/>
  <c r="U207" i="1"/>
  <c r="AM207" i="1" s="1"/>
  <c r="AW207" i="1" s="1"/>
  <c r="S208" i="1"/>
  <c r="U208" i="1"/>
  <c r="AM208" i="1" s="1"/>
  <c r="S209" i="1"/>
  <c r="U209" i="1"/>
  <c r="AM209" i="1" s="1"/>
  <c r="AV209" i="1" s="1"/>
  <c r="S210" i="1"/>
  <c r="U210" i="1"/>
  <c r="AM210" i="1" s="1"/>
  <c r="AU210" i="1" s="1"/>
  <c r="S211" i="1"/>
  <c r="U211" i="1"/>
  <c r="AM211" i="1" s="1"/>
  <c r="S212" i="1"/>
  <c r="U212" i="1"/>
  <c r="AM212" i="1" s="1"/>
  <c r="S213" i="1"/>
  <c r="U213" i="1"/>
  <c r="AM213" i="1" s="1"/>
  <c r="S214" i="1"/>
  <c r="U214" i="1"/>
  <c r="AM214" i="1" s="1"/>
  <c r="S215" i="1"/>
  <c r="U215" i="1"/>
  <c r="AM215" i="1" s="1"/>
  <c r="S216" i="1"/>
  <c r="U216" i="1"/>
  <c r="AM216" i="1" s="1"/>
  <c r="S217" i="1"/>
  <c r="U217" i="1"/>
  <c r="AM217" i="1"/>
  <c r="S218" i="1"/>
  <c r="U218" i="1"/>
  <c r="AM218" i="1" s="1"/>
  <c r="S219" i="1"/>
  <c r="U219" i="1"/>
  <c r="AM219" i="1" s="1"/>
  <c r="S220" i="1"/>
  <c r="U220" i="1"/>
  <c r="AM220" i="1" s="1"/>
  <c r="S221" i="1"/>
  <c r="U221" i="1"/>
  <c r="AM221" i="1" s="1"/>
  <c r="S222" i="1"/>
  <c r="U222" i="1"/>
  <c r="AM222" i="1" s="1"/>
  <c r="S223" i="1"/>
  <c r="U223" i="1"/>
  <c r="AM223" i="1"/>
  <c r="S224" i="1"/>
  <c r="U224" i="1"/>
  <c r="AM224" i="1" s="1"/>
  <c r="S225" i="1"/>
  <c r="U225" i="1"/>
  <c r="AM225" i="1" s="1"/>
  <c r="S226" i="1"/>
  <c r="U226" i="1"/>
  <c r="AM226" i="1"/>
  <c r="S227" i="1"/>
  <c r="U227" i="1"/>
  <c r="AM227" i="1" s="1"/>
  <c r="AU227" i="1" s="1"/>
  <c r="S228" i="1"/>
  <c r="U228" i="1"/>
  <c r="AM228" i="1" s="1"/>
  <c r="S229" i="1"/>
  <c r="U229" i="1"/>
  <c r="AM229" i="1" s="1"/>
  <c r="S230" i="1"/>
  <c r="U230" i="1"/>
  <c r="AM230" i="1"/>
  <c r="S231" i="1"/>
  <c r="U231" i="1"/>
  <c r="AM231" i="1" s="1"/>
  <c r="S232" i="1"/>
  <c r="U232" i="1"/>
  <c r="AM232" i="1" s="1"/>
  <c r="S233" i="1"/>
  <c r="U233" i="1"/>
  <c r="AM233" i="1"/>
  <c r="AU233" i="1" s="1"/>
  <c r="S234" i="1"/>
  <c r="U234" i="1"/>
  <c r="AM234" i="1"/>
  <c r="S235" i="1"/>
  <c r="U235" i="1"/>
  <c r="AM235" i="1" s="1"/>
  <c r="S236" i="1"/>
  <c r="U236" i="1"/>
  <c r="AM236" i="1" s="1"/>
  <c r="S237" i="1"/>
  <c r="U237" i="1"/>
  <c r="AM237" i="1" s="1"/>
  <c r="S238" i="1"/>
  <c r="U238" i="1"/>
  <c r="AM238" i="1" s="1"/>
  <c r="AW238" i="1" s="1"/>
  <c r="S239" i="1"/>
  <c r="U239" i="1"/>
  <c r="AM239" i="1" s="1"/>
  <c r="S240" i="1"/>
  <c r="U240" i="1"/>
  <c r="AM240" i="1" s="1"/>
  <c r="S241" i="1"/>
  <c r="U241" i="1"/>
  <c r="AM241" i="1" s="1"/>
  <c r="S242" i="1"/>
  <c r="U242" i="1"/>
  <c r="AM242" i="1" s="1"/>
  <c r="AW242" i="1"/>
  <c r="S243" i="1"/>
  <c r="U243" i="1"/>
  <c r="AM243" i="1" s="1"/>
  <c r="S244" i="1"/>
  <c r="U244" i="1"/>
  <c r="AM244" i="1" s="1"/>
  <c r="S245" i="1"/>
  <c r="U245" i="1"/>
  <c r="AM245" i="1" s="1"/>
  <c r="S246" i="1"/>
  <c r="U246" i="1"/>
  <c r="AM246" i="1" s="1"/>
  <c r="S247" i="1"/>
  <c r="U247" i="1"/>
  <c r="AM247" i="1" s="1"/>
  <c r="AU247" i="1"/>
  <c r="AW247" i="1"/>
  <c r="S248" i="1"/>
  <c r="U248" i="1"/>
  <c r="AM248" i="1" s="1"/>
  <c r="S249" i="1"/>
  <c r="U249" i="1"/>
  <c r="AM249" i="1" s="1"/>
  <c r="S250" i="1"/>
  <c r="U250" i="1"/>
  <c r="AM250" i="1" s="1"/>
  <c r="S251" i="1"/>
  <c r="U251" i="1"/>
  <c r="AM251" i="1"/>
  <c r="S252" i="1"/>
  <c r="U252" i="1"/>
  <c r="AM252" i="1" s="1"/>
  <c r="AW252" i="1"/>
  <c r="S253" i="1"/>
  <c r="U253" i="1"/>
  <c r="AM253" i="1" s="1"/>
  <c r="S254" i="1"/>
  <c r="U254" i="1"/>
  <c r="AM254" i="1" s="1"/>
  <c r="S255" i="1"/>
  <c r="U255" i="1"/>
  <c r="AM255" i="1" s="1"/>
  <c r="S256" i="1"/>
  <c r="U256" i="1"/>
  <c r="AM256" i="1" s="1"/>
  <c r="S257" i="1"/>
  <c r="U257" i="1"/>
  <c r="AM257" i="1" s="1"/>
  <c r="AW257" i="1"/>
  <c r="S258" i="1"/>
  <c r="U258" i="1"/>
  <c r="AM258" i="1" s="1"/>
  <c r="AW258" i="1" s="1"/>
  <c r="S259" i="1"/>
  <c r="U259" i="1"/>
  <c r="AM259" i="1" s="1"/>
  <c r="S260" i="1"/>
  <c r="U260" i="1"/>
  <c r="AM260" i="1"/>
  <c r="S261" i="1"/>
  <c r="U261" i="1"/>
  <c r="AM261" i="1"/>
  <c r="S262" i="1"/>
  <c r="U262" i="1"/>
  <c r="AM262" i="1" s="1"/>
  <c r="AU262" i="1"/>
  <c r="S263" i="1"/>
  <c r="U263" i="1"/>
  <c r="AM263" i="1"/>
  <c r="AW263" i="1" s="1"/>
  <c r="S264" i="1"/>
  <c r="U264" i="1"/>
  <c r="AM264" i="1" s="1"/>
  <c r="S265" i="1"/>
  <c r="U265" i="1"/>
  <c r="AM265" i="1" s="1"/>
  <c r="S266" i="1"/>
  <c r="U266" i="1"/>
  <c r="AM266" i="1"/>
  <c r="S267" i="1"/>
  <c r="U267" i="1"/>
  <c r="AM267" i="1" s="1"/>
  <c r="AV267" i="1"/>
  <c r="S268" i="1"/>
  <c r="U268" i="1"/>
  <c r="AV268" i="1"/>
  <c r="AM268" i="1"/>
  <c r="AW268" i="1" s="1"/>
  <c r="S269" i="1"/>
  <c r="U269" i="1"/>
  <c r="AM269" i="1" s="1"/>
  <c r="S270" i="1"/>
  <c r="U270" i="1"/>
  <c r="AM270" i="1" s="1"/>
  <c r="S271" i="1"/>
  <c r="U271" i="1"/>
  <c r="AM271" i="1"/>
  <c r="S272" i="1"/>
  <c r="U272" i="1"/>
  <c r="AM272" i="1" s="1"/>
  <c r="AW272" i="1"/>
  <c r="S273" i="1"/>
  <c r="U273" i="1"/>
  <c r="AM273" i="1"/>
  <c r="AW273" i="1" s="1"/>
  <c r="S274" i="1"/>
  <c r="U274" i="1"/>
  <c r="AM274" i="1" s="1"/>
  <c r="AV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AU282" i="1"/>
  <c r="AW282" i="1"/>
  <c r="S283" i="1"/>
  <c r="U283" i="1"/>
  <c r="AM283" i="1" s="1"/>
  <c r="S284" i="1"/>
  <c r="U284" i="1"/>
  <c r="AM284" i="1" s="1"/>
  <c r="S285" i="1"/>
  <c r="U285" i="1"/>
  <c r="AM285" i="1" s="1"/>
  <c r="AV285" i="1" s="1"/>
  <c r="S286" i="1"/>
  <c r="U286" i="1"/>
  <c r="AM286" i="1"/>
  <c r="S287" i="1"/>
  <c r="U287" i="1"/>
  <c r="AM287" i="1" s="1"/>
  <c r="AU287" i="1" s="1"/>
  <c r="S288" i="1"/>
  <c r="U288" i="1"/>
  <c r="AM288" i="1"/>
  <c r="AW288" i="1" s="1"/>
  <c r="S289" i="1"/>
  <c r="U289" i="1"/>
  <c r="AM289" i="1" s="1"/>
  <c r="S290" i="1"/>
  <c r="U290" i="1"/>
  <c r="AM290" i="1" s="1"/>
  <c r="S291" i="1"/>
  <c r="U291" i="1"/>
  <c r="AM291" i="1"/>
  <c r="S292" i="1"/>
  <c r="U292" i="1"/>
  <c r="AM292" i="1" s="1"/>
  <c r="S293" i="1"/>
  <c r="U293" i="1"/>
  <c r="AM293" i="1"/>
  <c r="S294" i="1"/>
  <c r="U294" i="1"/>
  <c r="AM294" i="1" s="1"/>
  <c r="S295" i="1"/>
  <c r="U295" i="1"/>
  <c r="AM295" i="1" s="1"/>
  <c r="AU295" i="1"/>
  <c r="S296" i="1"/>
  <c r="U296" i="1"/>
  <c r="AM296" i="1" s="1"/>
  <c r="S297" i="1"/>
  <c r="U297" i="1"/>
  <c r="AM297" i="1" s="1"/>
  <c r="AU297" i="1"/>
  <c r="S298" i="1"/>
  <c r="U298" i="1"/>
  <c r="AM298" i="1"/>
  <c r="S299" i="1"/>
  <c r="U299" i="1"/>
  <c r="AM299" i="1" s="1"/>
  <c r="S300" i="1"/>
  <c r="U300" i="1"/>
  <c r="AM300" i="1" s="1"/>
  <c r="S301" i="1"/>
  <c r="U301" i="1"/>
  <c r="AM301" i="1" s="1"/>
  <c r="S302" i="1"/>
  <c r="U302" i="1"/>
  <c r="AM302" i="1" s="1"/>
  <c r="AW302" i="1" s="1"/>
  <c r="AU302" i="1"/>
  <c r="S303" i="1"/>
  <c r="U303" i="1"/>
  <c r="AM303" i="1" s="1"/>
  <c r="AV303" i="1"/>
  <c r="S304" i="1"/>
  <c r="U304" i="1"/>
  <c r="AM304" i="1" s="1"/>
  <c r="S305" i="1"/>
  <c r="U305" i="1"/>
  <c r="AM305" i="1" s="1"/>
  <c r="S306" i="1"/>
  <c r="U306" i="1"/>
  <c r="AM306" i="1"/>
  <c r="S307" i="1"/>
  <c r="U307" i="1"/>
  <c r="AM307" i="1" s="1"/>
  <c r="S308" i="1"/>
  <c r="U308" i="1"/>
  <c r="AM308" i="1" s="1"/>
  <c r="AW308" i="1" s="1"/>
  <c r="S309" i="1"/>
  <c r="U309" i="1"/>
  <c r="AM309" i="1" s="1"/>
  <c r="S310" i="1"/>
  <c r="U310" i="1"/>
  <c r="AM310" i="1" s="1"/>
  <c r="S311" i="1"/>
  <c r="U311" i="1"/>
  <c r="AM311" i="1" s="1"/>
  <c r="S312" i="1"/>
  <c r="U312" i="1"/>
  <c r="AM312" i="1" s="1"/>
  <c r="S313" i="1"/>
  <c r="U313" i="1"/>
  <c r="AM313" i="1" s="1"/>
  <c r="AW313" i="1" s="1"/>
  <c r="S314" i="1"/>
  <c r="U314" i="1"/>
  <c r="AM314" i="1" s="1"/>
  <c r="S315" i="1"/>
  <c r="U315" i="1"/>
  <c r="AM315" i="1" s="1"/>
  <c r="S316" i="1"/>
  <c r="U316" i="1"/>
  <c r="AM316" i="1" s="1"/>
  <c r="S317" i="1"/>
  <c r="U317" i="1"/>
  <c r="AM317" i="1" s="1"/>
  <c r="S318" i="1"/>
  <c r="U318" i="1"/>
  <c r="AM318" i="1" s="1"/>
  <c r="S319" i="1"/>
  <c r="U319" i="1"/>
  <c r="AM319" i="1" s="1"/>
  <c r="S320" i="1"/>
  <c r="U320" i="1"/>
  <c r="AM320" i="1" s="1"/>
  <c r="S321" i="1"/>
  <c r="U321" i="1"/>
  <c r="AM321" i="1"/>
  <c r="S322" i="1"/>
  <c r="U322" i="1"/>
  <c r="AM322" i="1" s="1"/>
  <c r="S323" i="1"/>
  <c r="U323" i="1"/>
  <c r="AM323" i="1" s="1"/>
  <c r="AW323" i="1" s="1"/>
  <c r="S324" i="1"/>
  <c r="U324" i="1"/>
  <c r="AM324" i="1" s="1"/>
  <c r="S325" i="1"/>
  <c r="U325" i="1"/>
  <c r="AM325" i="1" s="1"/>
  <c r="S326" i="1"/>
  <c r="U326" i="1"/>
  <c r="AM326" i="1"/>
  <c r="S327" i="1"/>
  <c r="U327" i="1"/>
  <c r="AM327" i="1" s="1"/>
  <c r="AU327" i="1"/>
  <c r="S328" i="1"/>
  <c r="U328" i="1"/>
  <c r="AM328" i="1" s="1"/>
  <c r="AV328" i="1"/>
  <c r="S329" i="1"/>
  <c r="U329" i="1"/>
  <c r="AM329" i="1" s="1"/>
  <c r="S330" i="1"/>
  <c r="U330" i="1"/>
  <c r="AM330" i="1" s="1"/>
  <c r="S331" i="1"/>
  <c r="U331" i="1"/>
  <c r="AM331" i="1" s="1"/>
  <c r="S332" i="1"/>
  <c r="U332" i="1"/>
  <c r="AM332" i="1" s="1"/>
  <c r="AV332" i="1"/>
  <c r="S333" i="1"/>
  <c r="U333" i="1"/>
  <c r="AM333" i="1" s="1"/>
  <c r="AV333" i="1"/>
  <c r="S334" i="1"/>
  <c r="U334" i="1"/>
  <c r="AM334" i="1" s="1"/>
  <c r="S335" i="1"/>
  <c r="U335" i="1"/>
  <c r="AM335" i="1" s="1"/>
  <c r="S336" i="1"/>
  <c r="U336" i="1"/>
  <c r="AM336" i="1"/>
  <c r="S337" i="1"/>
  <c r="U337" i="1"/>
  <c r="AM337" i="1" s="1"/>
  <c r="AU337" i="1" s="1"/>
  <c r="S338" i="1"/>
  <c r="U338" i="1"/>
  <c r="AM338" i="1"/>
  <c r="AW338" i="1" s="1"/>
  <c r="S339" i="1"/>
  <c r="U339" i="1"/>
  <c r="AM339" i="1" s="1"/>
  <c r="AW339" i="1"/>
  <c r="S340" i="1"/>
  <c r="U340" i="1"/>
  <c r="AM340" i="1" s="1"/>
  <c r="S341" i="1"/>
  <c r="U341" i="1"/>
  <c r="AM341" i="1" s="1"/>
  <c r="S342" i="1"/>
  <c r="U342" i="1"/>
  <c r="AM342" i="1" s="1"/>
  <c r="S343" i="1"/>
  <c r="U343" i="1"/>
  <c r="AV343" i="1"/>
  <c r="AM343" i="1"/>
  <c r="S344" i="1"/>
  <c r="U344" i="1"/>
  <c r="AM344" i="1" s="1"/>
  <c r="S345" i="1"/>
  <c r="U345" i="1"/>
  <c r="AM345" i="1" s="1"/>
  <c r="S346" i="1"/>
  <c r="U346" i="1"/>
  <c r="AM346" i="1" s="1"/>
  <c r="S347" i="1"/>
  <c r="U347" i="1"/>
  <c r="AM347" i="1" s="1"/>
  <c r="S348" i="1"/>
  <c r="U348" i="1"/>
  <c r="AM348" i="1" s="1"/>
  <c r="AV348" i="1" s="1"/>
  <c r="S349" i="1"/>
  <c r="U349" i="1"/>
  <c r="AM349" i="1" s="1"/>
  <c r="S350" i="1"/>
  <c r="U350" i="1"/>
  <c r="AM350" i="1"/>
  <c r="S351" i="1"/>
  <c r="U351" i="1"/>
  <c r="AM351" i="1" s="1"/>
  <c r="S352" i="1"/>
  <c r="U352" i="1"/>
  <c r="AM352" i="1" s="1"/>
  <c r="AW352" i="1"/>
  <c r="S353" i="1"/>
  <c r="U353" i="1"/>
  <c r="AM353" i="1" s="1"/>
  <c r="S354" i="1"/>
  <c r="U354" i="1"/>
  <c r="AM354" i="1" s="1"/>
  <c r="S355" i="1"/>
  <c r="U355" i="1"/>
  <c r="AM355" i="1"/>
  <c r="S356" i="1"/>
  <c r="U356" i="1"/>
  <c r="AM356" i="1" s="1"/>
  <c r="AV356" i="1" s="1"/>
  <c r="S357" i="1"/>
  <c r="U357" i="1"/>
  <c r="AM357" i="1" s="1"/>
  <c r="AU357" i="1"/>
  <c r="S358" i="1"/>
  <c r="U358" i="1"/>
  <c r="AM358" i="1" s="1"/>
  <c r="AV358" i="1" s="1"/>
  <c r="S359" i="1"/>
  <c r="U359" i="1"/>
  <c r="AM359" i="1" s="1"/>
  <c r="AV359" i="1" s="1"/>
  <c r="S360" i="1"/>
  <c r="U360" i="1"/>
  <c r="AM360" i="1" s="1"/>
  <c r="S361" i="1"/>
  <c r="U361" i="1"/>
  <c r="AM361" i="1" s="1"/>
  <c r="S362" i="1"/>
  <c r="U362" i="1"/>
  <c r="AM362" i="1" s="1"/>
  <c r="S363" i="1"/>
  <c r="U363" i="1"/>
  <c r="AM363" i="1"/>
  <c r="S364" i="1"/>
  <c r="U364" i="1"/>
  <c r="AM364" i="1" s="1"/>
  <c r="AW364" i="1" s="1"/>
  <c r="S365" i="1"/>
  <c r="U365" i="1"/>
  <c r="AM365" i="1"/>
  <c r="S366" i="1"/>
  <c r="U366" i="1"/>
  <c r="AM366" i="1" s="1"/>
  <c r="S367" i="1"/>
  <c r="U367" i="1"/>
  <c r="AM367" i="1" s="1"/>
  <c r="AU367" i="1" s="1"/>
  <c r="S368" i="1"/>
  <c r="U368" i="1"/>
  <c r="AM368" i="1" s="1"/>
  <c r="S369" i="1"/>
  <c r="U369" i="1"/>
  <c r="AM369" i="1" s="1"/>
  <c r="S370" i="1"/>
  <c r="U370" i="1"/>
  <c r="AM370" i="1" s="1"/>
  <c r="S371" i="1"/>
  <c r="U371" i="1"/>
  <c r="AM371" i="1"/>
  <c r="AV371" i="1" s="1"/>
  <c r="S372" i="1"/>
  <c r="U372" i="1"/>
  <c r="AM372" i="1"/>
  <c r="AW372" i="1" s="1"/>
  <c r="S373" i="1"/>
  <c r="U373" i="1"/>
  <c r="AM373" i="1" s="1"/>
  <c r="S374" i="1"/>
  <c r="U374" i="1"/>
  <c r="AM374" i="1" s="1"/>
  <c r="S375" i="1"/>
  <c r="U375" i="1"/>
  <c r="AM375" i="1"/>
  <c r="S376" i="1"/>
  <c r="U376" i="1"/>
  <c r="AM376" i="1" s="1"/>
  <c r="S377" i="1"/>
  <c r="U377" i="1"/>
  <c r="AM377" i="1" s="1"/>
  <c r="AU377" i="1" s="1"/>
  <c r="S378" i="1"/>
  <c r="U378" i="1"/>
  <c r="AM378" i="1" s="1"/>
  <c r="S379" i="1"/>
  <c r="U379" i="1"/>
  <c r="AM379" i="1" s="1"/>
  <c r="S380" i="1"/>
  <c r="U380" i="1"/>
  <c r="AM380" i="1"/>
  <c r="S381" i="1"/>
  <c r="U381" i="1"/>
  <c r="AM381" i="1"/>
  <c r="S382" i="1"/>
  <c r="U382" i="1"/>
  <c r="AM382" i="1" s="1"/>
  <c r="AW382" i="1" s="1"/>
  <c r="S383" i="1"/>
  <c r="U383" i="1"/>
  <c r="AM383" i="1"/>
  <c r="S384" i="1"/>
  <c r="U384" i="1"/>
  <c r="AM384" i="1" s="1"/>
  <c r="AW384" i="1"/>
  <c r="S385" i="1"/>
  <c r="U385" i="1"/>
  <c r="AM385" i="1" s="1"/>
  <c r="S386" i="1"/>
  <c r="U386" i="1"/>
  <c r="AM386" i="1" s="1"/>
  <c r="AV386" i="1" s="1"/>
  <c r="S387" i="1"/>
  <c r="U387" i="1"/>
  <c r="AM387" i="1" s="1"/>
  <c r="AU387" i="1" s="1"/>
  <c r="S388" i="1"/>
  <c r="U388" i="1"/>
  <c r="AM388" i="1" s="1"/>
  <c r="AV388" i="1" s="1"/>
  <c r="S389" i="1"/>
  <c r="U389" i="1"/>
  <c r="AM389" i="1" s="1"/>
  <c r="S390" i="1"/>
  <c r="U390" i="1"/>
  <c r="AM390" i="1"/>
  <c r="S391" i="1"/>
  <c r="U391" i="1"/>
  <c r="AM391" i="1" s="1"/>
  <c r="AV391" i="1" s="1"/>
  <c r="S392" i="1"/>
  <c r="U392" i="1"/>
  <c r="AM392" i="1"/>
  <c r="AW392" i="1" s="1"/>
  <c r="S393" i="1"/>
  <c r="U393" i="1"/>
  <c r="AM393" i="1"/>
  <c r="S394" i="1"/>
  <c r="U394" i="1"/>
  <c r="AM394" i="1" s="1"/>
  <c r="AW394" i="1"/>
  <c r="S395" i="1"/>
  <c r="U395" i="1"/>
  <c r="AM395" i="1" s="1"/>
  <c r="S396" i="1"/>
  <c r="U396" i="1"/>
  <c r="AM396" i="1"/>
  <c r="S397" i="1"/>
  <c r="U397" i="1"/>
  <c r="AM397" i="1"/>
  <c r="AU397" i="1" s="1"/>
  <c r="S398" i="1"/>
  <c r="U398" i="1"/>
  <c r="AM398" i="1" s="1"/>
  <c r="AV398" i="1" s="1"/>
  <c r="S399" i="1"/>
  <c r="U399" i="1"/>
  <c r="AM399" i="1" s="1"/>
  <c r="S400" i="1"/>
  <c r="U400" i="1"/>
  <c r="AM400" i="1" s="1"/>
  <c r="S401" i="1"/>
  <c r="U401" i="1"/>
  <c r="AM401" i="1"/>
  <c r="S402" i="1"/>
  <c r="U402" i="1"/>
  <c r="AM402" i="1"/>
  <c r="S403" i="1"/>
  <c r="U403" i="1"/>
  <c r="AM403" i="1" s="1"/>
  <c r="S404" i="1"/>
  <c r="U404" i="1"/>
  <c r="AM404" i="1" s="1"/>
  <c r="AW404" i="1"/>
  <c r="S405" i="1"/>
  <c r="U405" i="1"/>
  <c r="AM405" i="1" s="1"/>
  <c r="S406" i="1"/>
  <c r="U406" i="1"/>
  <c r="AM406" i="1"/>
  <c r="AU406" i="1" s="1"/>
  <c r="S407" i="1"/>
  <c r="U407" i="1"/>
  <c r="AM407" i="1" s="1"/>
  <c r="AV407" i="1"/>
  <c r="S408" i="1"/>
  <c r="U408" i="1"/>
  <c r="AM408" i="1" s="1"/>
  <c r="S409" i="1"/>
  <c r="U409" i="1"/>
  <c r="AM409" i="1" s="1"/>
  <c r="AU409" i="1" s="1"/>
  <c r="S410" i="1"/>
  <c r="U410" i="1"/>
  <c r="AM410" i="1" s="1"/>
  <c r="S411" i="1"/>
  <c r="U411" i="1"/>
  <c r="AM411" i="1" s="1"/>
  <c r="S412" i="1"/>
  <c r="U412" i="1"/>
  <c r="AM412" i="1" s="1"/>
  <c r="S413" i="1"/>
  <c r="U413" i="1"/>
  <c r="AM413" i="1" s="1"/>
  <c r="S414" i="1"/>
  <c r="U414" i="1"/>
  <c r="AM414" i="1"/>
  <c r="S415" i="1"/>
  <c r="U415" i="1"/>
  <c r="AM415" i="1" s="1"/>
  <c r="S416" i="1"/>
  <c r="U416" i="1"/>
  <c r="AM416" i="1" s="1"/>
  <c r="S417" i="1"/>
  <c r="U417" i="1"/>
  <c r="AM417" i="1"/>
  <c r="S418" i="1"/>
  <c r="U418" i="1"/>
  <c r="AM418" i="1" s="1"/>
  <c r="S419" i="1"/>
  <c r="U419" i="1"/>
  <c r="AM419" i="1" s="1"/>
  <c r="AU419" i="1"/>
  <c r="S420" i="1"/>
  <c r="U420" i="1"/>
  <c r="AM420" i="1" s="1"/>
  <c r="S421" i="1"/>
  <c r="U421" i="1"/>
  <c r="AM421" i="1" s="1"/>
  <c r="S422" i="1"/>
  <c r="U422" i="1"/>
  <c r="AM422" i="1" s="1"/>
  <c r="S423" i="1"/>
  <c r="U423" i="1"/>
  <c r="AM423" i="1" s="1"/>
  <c r="AV423" i="1"/>
  <c r="S424" i="1"/>
  <c r="U424" i="1"/>
  <c r="AM424" i="1" s="1"/>
  <c r="AV424" i="1" s="1"/>
  <c r="S425" i="1"/>
  <c r="U425" i="1"/>
  <c r="AM425" i="1" s="1"/>
  <c r="S426" i="1"/>
  <c r="U426" i="1"/>
  <c r="AM426" i="1" s="1"/>
  <c r="AW426" i="1"/>
  <c r="S427" i="1"/>
  <c r="U427" i="1"/>
  <c r="AM427" i="1" s="1"/>
  <c r="AV427" i="1" s="1"/>
  <c r="S428" i="1"/>
  <c r="U428" i="1"/>
  <c r="AM428" i="1" s="1"/>
  <c r="S429" i="1"/>
  <c r="U429" i="1"/>
  <c r="AM429" i="1" s="1"/>
  <c r="AV429" i="1" s="1"/>
  <c r="S430" i="1"/>
  <c r="U430" i="1"/>
  <c r="AM430" i="1"/>
  <c r="S431" i="1"/>
  <c r="U431" i="1"/>
  <c r="AM431" i="1" s="1"/>
  <c r="AV431" i="1"/>
  <c r="AU431" i="1"/>
  <c r="S432" i="1"/>
  <c r="U432" i="1"/>
  <c r="AM432" i="1" s="1"/>
  <c r="S433" i="1"/>
  <c r="U433" i="1"/>
  <c r="AM433" i="1" s="1"/>
  <c r="S434" i="1"/>
  <c r="U434" i="1"/>
  <c r="AM434" i="1" s="1"/>
  <c r="S435" i="1"/>
  <c r="U435" i="1"/>
  <c r="AM435" i="1" s="1"/>
  <c r="S436" i="1"/>
  <c r="U436" i="1"/>
  <c r="AM436" i="1" s="1"/>
  <c r="S437" i="1"/>
  <c r="U437" i="1"/>
  <c r="AM437" i="1" s="1"/>
  <c r="AU437" i="1" s="1"/>
  <c r="S438" i="1"/>
  <c r="U438" i="1"/>
  <c r="AM438" i="1" s="1"/>
  <c r="S439" i="1"/>
  <c r="U439" i="1"/>
  <c r="AM439" i="1" s="1"/>
  <c r="S440" i="1"/>
  <c r="U440" i="1"/>
  <c r="AM440" i="1"/>
  <c r="S441" i="1"/>
  <c r="U441" i="1"/>
  <c r="AM441" i="1" s="1"/>
  <c r="S442" i="1"/>
  <c r="U442" i="1"/>
  <c r="AM442" i="1" s="1"/>
  <c r="AV442" i="1" s="1"/>
  <c r="S443" i="1"/>
  <c r="U443" i="1"/>
  <c r="AM443" i="1" s="1"/>
  <c r="S444" i="1"/>
  <c r="U444" i="1"/>
  <c r="AV444" i="1"/>
  <c r="AM444" i="1"/>
  <c r="S445" i="1"/>
  <c r="U445" i="1"/>
  <c r="AM445" i="1"/>
  <c r="AV445" i="1" s="1"/>
  <c r="S446" i="1"/>
  <c r="U446" i="1"/>
  <c r="AM446" i="1" s="1"/>
  <c r="AW446" i="1" s="1"/>
  <c r="S447" i="1"/>
  <c r="U447" i="1"/>
  <c r="AM447" i="1" s="1"/>
  <c r="AW447" i="1"/>
  <c r="S448" i="1"/>
  <c r="U448" i="1"/>
  <c r="AM448" i="1" s="1"/>
  <c r="AV448" i="1"/>
  <c r="S449" i="1"/>
  <c r="U449" i="1"/>
  <c r="AM449" i="1" s="1"/>
  <c r="AU449" i="1"/>
  <c r="S450" i="1"/>
  <c r="U450" i="1"/>
  <c r="AM450" i="1" s="1"/>
  <c r="S451" i="1"/>
  <c r="U451" i="1"/>
  <c r="AM451" i="1" s="1"/>
  <c r="S452" i="1"/>
  <c r="U452" i="1"/>
  <c r="AM452" i="1" s="1"/>
  <c r="AW452" i="1" s="1"/>
  <c r="S453" i="1"/>
  <c r="U453" i="1"/>
  <c r="AM453" i="1" s="1"/>
  <c r="AV453" i="1" s="1"/>
  <c r="S454" i="1"/>
  <c r="U454" i="1"/>
  <c r="AM454" i="1" s="1"/>
  <c r="S455" i="1"/>
  <c r="U455" i="1"/>
  <c r="AM455" i="1"/>
  <c r="S456" i="1"/>
  <c r="U456" i="1"/>
  <c r="AM456" i="1"/>
  <c r="S457" i="1"/>
  <c r="U457" i="1"/>
  <c r="AM457" i="1" s="1"/>
  <c r="AW457" i="1"/>
  <c r="S458" i="1"/>
  <c r="U458" i="1"/>
  <c r="AM458" i="1" s="1"/>
  <c r="AV458" i="1" s="1"/>
  <c r="S459" i="1"/>
  <c r="U459" i="1"/>
  <c r="AM459" i="1" s="1"/>
  <c r="S460" i="1"/>
  <c r="U460" i="1"/>
  <c r="AM460" i="1" s="1"/>
  <c r="S461" i="1"/>
  <c r="U461" i="1"/>
  <c r="AM461" i="1"/>
  <c r="S462" i="1"/>
  <c r="U462" i="1"/>
  <c r="AM462" i="1"/>
  <c r="AW462" i="1"/>
  <c r="S463" i="1"/>
  <c r="U463" i="1"/>
  <c r="AM463" i="1"/>
  <c r="AV463" i="1" s="1"/>
  <c r="S464" i="1"/>
  <c r="U464" i="1"/>
  <c r="AM464" i="1" s="1"/>
  <c r="S465" i="1"/>
  <c r="U465" i="1"/>
  <c r="AM465" i="1" s="1"/>
  <c r="S466" i="1"/>
  <c r="U466" i="1"/>
  <c r="AV466" i="1"/>
  <c r="AM466" i="1"/>
  <c r="S467" i="1"/>
  <c r="U467" i="1"/>
  <c r="AM467" i="1"/>
  <c r="AW467" i="1"/>
  <c r="S468" i="1"/>
  <c r="U468" i="1"/>
  <c r="AM468" i="1"/>
  <c r="AV468" i="1" s="1"/>
  <c r="S469" i="1"/>
  <c r="U469" i="1"/>
  <c r="AM469" i="1" s="1"/>
  <c r="S470" i="1"/>
  <c r="U470" i="1"/>
  <c r="AM470" i="1"/>
  <c r="S471" i="1"/>
  <c r="U471" i="1"/>
  <c r="AM471" i="1" s="1"/>
  <c r="AV471" i="1"/>
  <c r="S472" i="1"/>
  <c r="U472" i="1"/>
  <c r="AM472" i="1" s="1"/>
  <c r="S473" i="1"/>
  <c r="U473" i="1"/>
  <c r="AM473" i="1" s="1"/>
  <c r="S474" i="1"/>
  <c r="U474" i="1"/>
  <c r="AM474" i="1" s="1"/>
  <c r="S475" i="1"/>
  <c r="U475" i="1"/>
  <c r="AM475" i="1" s="1"/>
  <c r="S476" i="1"/>
  <c r="U476" i="1"/>
  <c r="AV476" i="1"/>
  <c r="AM476" i="1"/>
  <c r="S477" i="1"/>
  <c r="U477" i="1"/>
  <c r="AM477" i="1"/>
  <c r="AW477" i="1"/>
  <c r="S478" i="1"/>
  <c r="U478" i="1"/>
  <c r="AM478" i="1"/>
  <c r="AV478" i="1" s="1"/>
  <c r="S479" i="1"/>
  <c r="U479" i="1"/>
  <c r="AM479" i="1" s="1"/>
  <c r="S480" i="1"/>
  <c r="U480" i="1"/>
  <c r="AM480" i="1"/>
  <c r="S481" i="1"/>
  <c r="U481" i="1"/>
  <c r="AM481" i="1" s="1"/>
  <c r="AV481" i="1"/>
  <c r="S482" i="1"/>
  <c r="U482" i="1"/>
  <c r="AM482" i="1"/>
  <c r="AW482" i="1" s="1"/>
  <c r="S483" i="1"/>
  <c r="U483" i="1"/>
  <c r="AM483" i="1"/>
  <c r="S484" i="1"/>
  <c r="U484" i="1"/>
  <c r="AM484" i="1" s="1"/>
  <c r="S485" i="1"/>
  <c r="U485" i="1"/>
  <c r="AM485" i="1"/>
  <c r="S486" i="1"/>
  <c r="U486" i="1"/>
  <c r="AM486" i="1" s="1"/>
  <c r="AV486" i="1" s="1"/>
  <c r="S487" i="1"/>
  <c r="U487" i="1"/>
  <c r="AM487" i="1" s="1"/>
  <c r="S488" i="1"/>
  <c r="U488" i="1"/>
  <c r="AM488" i="1"/>
  <c r="S489" i="1"/>
  <c r="U489" i="1"/>
  <c r="AM489" i="1" s="1"/>
  <c r="S490" i="1"/>
  <c r="U490" i="1"/>
  <c r="AM490" i="1" s="1"/>
  <c r="S491" i="1"/>
  <c r="U491" i="1"/>
  <c r="AM491" i="1" s="1"/>
  <c r="AV491" i="1" s="1"/>
  <c r="S492" i="1"/>
  <c r="U492" i="1"/>
  <c r="AM492" i="1" s="1"/>
  <c r="AW492" i="1" s="1"/>
  <c r="S493" i="1"/>
  <c r="U493" i="1"/>
  <c r="AM493" i="1" s="1"/>
  <c r="AV493" i="1" s="1"/>
  <c r="S494" i="1"/>
  <c r="U494" i="1"/>
  <c r="AM494" i="1" s="1"/>
  <c r="S495" i="1"/>
  <c r="U495" i="1"/>
  <c r="AM495" i="1" s="1"/>
  <c r="S496" i="1"/>
  <c r="U496" i="1"/>
  <c r="AM496" i="1" s="1"/>
  <c r="AV496" i="1" s="1"/>
  <c r="S497" i="1"/>
  <c r="U497" i="1"/>
  <c r="AM497" i="1"/>
  <c r="S498" i="1"/>
  <c r="U498" i="1"/>
  <c r="AM498" i="1"/>
  <c r="AV498" i="1" s="1"/>
  <c r="S499" i="1"/>
  <c r="U499" i="1"/>
  <c r="AM499" i="1" s="1"/>
  <c r="AW499" i="1"/>
  <c r="S500" i="1"/>
  <c r="U500" i="1"/>
  <c r="AM500" i="1"/>
  <c r="S501" i="1"/>
  <c r="U501" i="1"/>
  <c r="AM501" i="1" s="1"/>
  <c r="S502" i="1"/>
  <c r="U502" i="1"/>
  <c r="AM502" i="1" s="1"/>
  <c r="S503" i="1"/>
  <c r="U503" i="1"/>
  <c r="AM503" i="1"/>
  <c r="AV503" i="1" s="1"/>
  <c r="S504" i="1"/>
  <c r="U504" i="1"/>
  <c r="AM504" i="1" s="1"/>
  <c r="AW504" i="1" s="1"/>
  <c r="AV504" i="1"/>
  <c r="S505" i="1"/>
  <c r="U505" i="1"/>
  <c r="AM505" i="1" s="1"/>
  <c r="S506" i="1"/>
  <c r="U506" i="1"/>
  <c r="AM506" i="1" s="1"/>
  <c r="AV506" i="1" s="1"/>
  <c r="S507" i="1"/>
  <c r="U507" i="1"/>
  <c r="AM507" i="1" s="1"/>
  <c r="S508" i="1"/>
  <c r="U508" i="1"/>
  <c r="AM508" i="1"/>
  <c r="AV508" i="1" s="1"/>
  <c r="S509" i="1"/>
  <c r="U509" i="1"/>
  <c r="AM509" i="1" s="1"/>
  <c r="AU509" i="1"/>
  <c r="S510" i="1"/>
  <c r="U510" i="1"/>
  <c r="AM510" i="1"/>
  <c r="S511" i="1"/>
  <c r="U511" i="1"/>
  <c r="AM511" i="1"/>
  <c r="S512" i="1"/>
  <c r="U512" i="1"/>
  <c r="AM512" i="1" s="1"/>
  <c r="AW512" i="1" s="1"/>
  <c r="S513" i="1"/>
  <c r="U513" i="1"/>
  <c r="AM513" i="1" s="1"/>
  <c r="AV513" i="1" s="1"/>
  <c r="S514" i="1"/>
  <c r="U514" i="1"/>
  <c r="AM514" i="1" s="1"/>
  <c r="S515" i="1"/>
  <c r="U515" i="1"/>
  <c r="AM515" i="1"/>
  <c r="S516" i="1"/>
  <c r="U516" i="1"/>
  <c r="AM516" i="1"/>
  <c r="AV516" i="1" s="1"/>
  <c r="S517" i="1"/>
  <c r="U517" i="1"/>
  <c r="AM517" i="1" s="1"/>
  <c r="S518" i="1"/>
  <c r="U518" i="1"/>
  <c r="AM518" i="1" s="1"/>
  <c r="AV518" i="1" s="1"/>
  <c r="S519" i="1"/>
  <c r="U519" i="1"/>
  <c r="AM519" i="1" s="1"/>
  <c r="AU519" i="1"/>
  <c r="AV519" i="1"/>
  <c r="S520" i="1"/>
  <c r="U520" i="1"/>
  <c r="AM520" i="1" s="1"/>
  <c r="S521" i="1"/>
  <c r="U521" i="1"/>
  <c r="AM521" i="1"/>
  <c r="AV521" i="1" s="1"/>
  <c r="S522" i="1"/>
  <c r="U522" i="1"/>
  <c r="AM522" i="1"/>
  <c r="S523" i="1"/>
  <c r="U523" i="1"/>
  <c r="AM523" i="1"/>
  <c r="AV523" i="1" s="1"/>
  <c r="S524" i="1"/>
  <c r="U524" i="1"/>
  <c r="AM524" i="1" s="1"/>
  <c r="AV524" i="1"/>
  <c r="S525" i="1"/>
  <c r="U525" i="1"/>
  <c r="AM525" i="1" s="1"/>
  <c r="S526" i="1"/>
  <c r="U526" i="1"/>
  <c r="AM526" i="1"/>
  <c r="AV526" i="1" s="1"/>
  <c r="S527" i="1"/>
  <c r="U527" i="1"/>
  <c r="AM527" i="1" s="1"/>
  <c r="S528" i="1"/>
  <c r="U528" i="1"/>
  <c r="AM528" i="1" s="1"/>
  <c r="AV528" i="1" s="1"/>
  <c r="S529" i="1"/>
  <c r="U529" i="1"/>
  <c r="AM529" i="1" s="1"/>
  <c r="S530" i="1"/>
  <c r="U530" i="1"/>
  <c r="AM530" i="1" s="1"/>
  <c r="S531" i="1"/>
  <c r="U531" i="1"/>
  <c r="AM531" i="1" s="1"/>
  <c r="S532" i="1"/>
  <c r="U532" i="1"/>
  <c r="AM532" i="1" s="1"/>
  <c r="S533" i="1"/>
  <c r="U533" i="1"/>
  <c r="AM533" i="1" s="1"/>
  <c r="AV533" i="1"/>
  <c r="S534" i="1"/>
  <c r="U534" i="1"/>
  <c r="AM534" i="1" s="1"/>
  <c r="AV534" i="1" s="1"/>
  <c r="AW534" i="1"/>
  <c r="S535" i="1"/>
  <c r="U535" i="1"/>
  <c r="AM535" i="1" s="1"/>
  <c r="S536" i="1"/>
  <c r="U536" i="1"/>
  <c r="AM536" i="1" s="1"/>
  <c r="AV536" i="1" s="1"/>
  <c r="S537" i="1"/>
  <c r="U537" i="1"/>
  <c r="AM537" i="1"/>
  <c r="S538" i="1"/>
  <c r="U538" i="1"/>
  <c r="AM538" i="1" s="1"/>
  <c r="AV538" i="1" s="1"/>
  <c r="S539" i="1"/>
  <c r="U539" i="1"/>
  <c r="AM539" i="1" s="1"/>
  <c r="AV539" i="1"/>
  <c r="S540" i="1"/>
  <c r="U540" i="1"/>
  <c r="AM540" i="1"/>
  <c r="S541" i="1"/>
  <c r="U541" i="1"/>
  <c r="AM541" i="1"/>
  <c r="S542" i="1"/>
  <c r="U542" i="1"/>
  <c r="AM542" i="1"/>
  <c r="AW542" i="1" s="1"/>
  <c r="S543" i="1"/>
  <c r="U543" i="1"/>
  <c r="AM543" i="1" s="1"/>
  <c r="AV543" i="1" s="1"/>
  <c r="S544" i="1"/>
  <c r="U544" i="1"/>
  <c r="AM544" i="1" s="1"/>
  <c r="AU544" i="1"/>
  <c r="S545" i="1"/>
  <c r="U545" i="1"/>
  <c r="AM545" i="1" s="1"/>
  <c r="S546" i="1"/>
  <c r="U546" i="1"/>
  <c r="AM546" i="1" s="1"/>
  <c r="S547" i="1"/>
  <c r="U547" i="1"/>
  <c r="AM547" i="1" s="1"/>
  <c r="AV547" i="1" s="1"/>
  <c r="S548" i="1"/>
  <c r="U548" i="1"/>
  <c r="AM548" i="1" s="1"/>
  <c r="AV548" i="1" s="1"/>
  <c r="S549" i="1"/>
  <c r="U549" i="1"/>
  <c r="AM549" i="1" s="1"/>
  <c r="AW549" i="1"/>
  <c r="S550" i="1"/>
  <c r="U550" i="1"/>
  <c r="AM550" i="1" s="1"/>
  <c r="S551" i="1"/>
  <c r="U551" i="1"/>
  <c r="AM551" i="1" s="1"/>
  <c r="AU551" i="1"/>
  <c r="S552" i="1"/>
  <c r="U552" i="1"/>
  <c r="AM552" i="1" s="1"/>
  <c r="S553" i="1"/>
  <c r="U553" i="1"/>
  <c r="AM553" i="1" s="1"/>
  <c r="AV553" i="1" s="1"/>
  <c r="S554" i="1"/>
  <c r="U554" i="1"/>
  <c r="AM554" i="1" s="1"/>
  <c r="AV554" i="1"/>
  <c r="S555" i="1"/>
  <c r="U555" i="1"/>
  <c r="AM555" i="1" s="1"/>
  <c r="S556" i="1"/>
  <c r="U556" i="1"/>
  <c r="AM556" i="1"/>
  <c r="AU556" i="1" s="1"/>
  <c r="S557" i="1"/>
  <c r="U557" i="1"/>
  <c r="AM557" i="1" s="1"/>
  <c r="S558" i="1"/>
  <c r="U558" i="1"/>
  <c r="AM558" i="1" s="1"/>
  <c r="AV558" i="1" s="1"/>
  <c r="S559" i="1"/>
  <c r="U559" i="1"/>
  <c r="AM559" i="1" s="1"/>
  <c r="S560" i="1"/>
  <c r="U560" i="1"/>
  <c r="AM560" i="1" s="1"/>
  <c r="S561" i="1"/>
  <c r="U561" i="1"/>
  <c r="AM561" i="1" s="1"/>
  <c r="S562" i="1"/>
  <c r="U562" i="1"/>
  <c r="AM562" i="1" s="1"/>
  <c r="S563" i="1"/>
  <c r="U563" i="1"/>
  <c r="AM563" i="1" s="1"/>
  <c r="AU563" i="1"/>
  <c r="S564" i="1"/>
  <c r="U564" i="1"/>
  <c r="AM564" i="1" s="1"/>
  <c r="S565" i="1"/>
  <c r="U565" i="1"/>
  <c r="AM565" i="1"/>
  <c r="S566" i="1"/>
  <c r="U566" i="1"/>
  <c r="AM566" i="1"/>
  <c r="AW566" i="1" s="1"/>
  <c r="S567" i="1"/>
  <c r="U567" i="1"/>
  <c r="AM567" i="1" s="1"/>
  <c r="S568" i="1"/>
  <c r="U568" i="1"/>
  <c r="AM568" i="1" s="1"/>
  <c r="AV568" i="1"/>
  <c r="S569" i="1"/>
  <c r="U569" i="1"/>
  <c r="AM569" i="1" s="1"/>
  <c r="AU569" i="1"/>
  <c r="AW569" i="1"/>
  <c r="S570" i="1"/>
  <c r="U570" i="1"/>
  <c r="AM570" i="1" s="1"/>
  <c r="S571" i="1"/>
  <c r="U571" i="1"/>
  <c r="AM571" i="1"/>
  <c r="AW571" i="1" s="1"/>
  <c r="AV571" i="1"/>
  <c r="S572" i="1"/>
  <c r="U572" i="1"/>
  <c r="AM572" i="1" s="1"/>
  <c r="S573" i="1"/>
  <c r="U573" i="1"/>
  <c r="AM573" i="1" s="1"/>
  <c r="S574" i="1"/>
  <c r="U574" i="1"/>
  <c r="AM574" i="1" s="1"/>
  <c r="AU574" i="1"/>
  <c r="S575" i="1"/>
  <c r="U575" i="1"/>
  <c r="AM575" i="1" s="1"/>
  <c r="S576" i="1"/>
  <c r="U576" i="1"/>
  <c r="AM576" i="1" s="1"/>
  <c r="AW576" i="1" s="1"/>
  <c r="S577" i="1"/>
  <c r="U577" i="1"/>
  <c r="AM577" i="1" s="1"/>
  <c r="S578" i="1"/>
  <c r="U578" i="1"/>
  <c r="AM578" i="1"/>
  <c r="S579" i="1"/>
  <c r="U579" i="1"/>
  <c r="AM579" i="1" s="1"/>
  <c r="AV579" i="1"/>
  <c r="S580" i="1"/>
  <c r="U580" i="1"/>
  <c r="AM580" i="1" s="1"/>
  <c r="S581" i="1"/>
  <c r="U581" i="1"/>
  <c r="AM581" i="1" s="1"/>
  <c r="AU581" i="1"/>
  <c r="S582" i="1"/>
  <c r="U582" i="1"/>
  <c r="AM582" i="1"/>
  <c r="S583" i="1"/>
  <c r="U583" i="1"/>
  <c r="AM583" i="1"/>
  <c r="S584" i="1"/>
  <c r="U584" i="1"/>
  <c r="AM584" i="1" s="1"/>
  <c r="AW584" i="1"/>
  <c r="S585" i="1"/>
  <c r="U585" i="1"/>
  <c r="AM585" i="1" s="1"/>
  <c r="S586" i="1"/>
  <c r="U586" i="1"/>
  <c r="AM586" i="1"/>
  <c r="S587" i="1"/>
  <c r="U587" i="1"/>
  <c r="AM587" i="1" s="1"/>
  <c r="S588" i="1"/>
  <c r="U588" i="1"/>
  <c r="AM588" i="1"/>
  <c r="S589" i="1"/>
  <c r="U589" i="1"/>
  <c r="AM589" i="1" s="1"/>
  <c r="AW589" i="1"/>
  <c r="S590" i="1"/>
  <c r="U590" i="1"/>
  <c r="AM590" i="1" s="1"/>
  <c r="S591" i="1"/>
  <c r="U591" i="1"/>
  <c r="AM591" i="1"/>
  <c r="AW591" i="1" s="1"/>
  <c r="S592" i="1"/>
  <c r="U592" i="1"/>
  <c r="AM592" i="1" s="1"/>
  <c r="S593" i="1"/>
  <c r="U593" i="1"/>
  <c r="AM593" i="1"/>
  <c r="S594" i="1"/>
  <c r="U594" i="1"/>
  <c r="AM594" i="1" s="1"/>
  <c r="AV594" i="1"/>
  <c r="S595" i="1"/>
  <c r="U595" i="1"/>
  <c r="AM595" i="1" s="1"/>
  <c r="S596" i="1"/>
  <c r="U596" i="1"/>
  <c r="AM596" i="1"/>
  <c r="S597" i="1"/>
  <c r="U597" i="1"/>
  <c r="AM597" i="1" s="1"/>
  <c r="S598" i="1"/>
  <c r="U598" i="1"/>
  <c r="AM598" i="1" s="1"/>
  <c r="S599" i="1"/>
  <c r="U599" i="1"/>
  <c r="AM599" i="1" s="1"/>
  <c r="AV599" i="1"/>
  <c r="S600" i="1"/>
  <c r="U600" i="1"/>
  <c r="AM600" i="1" s="1"/>
  <c r="S601" i="1"/>
  <c r="U601" i="1"/>
  <c r="AM601" i="1" s="1"/>
  <c r="S602" i="1"/>
  <c r="U602" i="1"/>
  <c r="AM602" i="1" s="1"/>
  <c r="AU602" i="1"/>
  <c r="S603" i="1"/>
  <c r="U603" i="1"/>
  <c r="AM603" i="1" s="1"/>
  <c r="S604" i="1"/>
  <c r="U604" i="1"/>
  <c r="AM604" i="1" s="1"/>
  <c r="S605" i="1"/>
  <c r="U605" i="1"/>
  <c r="AM605" i="1"/>
  <c r="S606" i="1"/>
  <c r="U606" i="1"/>
  <c r="AM606" i="1"/>
  <c r="S607" i="1"/>
  <c r="U607" i="1"/>
  <c r="AM607" i="1" s="1"/>
  <c r="S608" i="1"/>
  <c r="U608" i="1"/>
  <c r="AM608" i="1" s="1"/>
  <c r="AW608" i="1" s="1"/>
  <c r="S609" i="1"/>
  <c r="U609" i="1"/>
  <c r="AM609" i="1" s="1"/>
  <c r="S610" i="1"/>
  <c r="U610" i="1"/>
  <c r="AM610" i="1"/>
  <c r="S611" i="1"/>
  <c r="U611" i="1"/>
  <c r="AM611" i="1" s="1"/>
  <c r="S612" i="1"/>
  <c r="U612" i="1"/>
  <c r="AM612" i="1"/>
  <c r="AV612" i="1" s="1"/>
  <c r="S613" i="1"/>
  <c r="U613" i="1"/>
  <c r="AM613" i="1"/>
  <c r="AW613" i="1" s="1"/>
  <c r="S614" i="1"/>
  <c r="U614" i="1"/>
  <c r="AM614" i="1" s="1"/>
  <c r="S615" i="1"/>
  <c r="U615" i="1"/>
  <c r="AM615" i="1" s="1"/>
  <c r="S616" i="1"/>
  <c r="U616" i="1"/>
  <c r="AM616" i="1" s="1"/>
  <c r="AU616" i="1" s="1"/>
  <c r="S617" i="1"/>
  <c r="U617" i="1"/>
  <c r="AM617" i="1" s="1"/>
  <c r="S618" i="1"/>
  <c r="U618" i="1"/>
  <c r="AM618" i="1" s="1"/>
  <c r="AW618" i="1" s="1"/>
  <c r="S619" i="1"/>
  <c r="U619" i="1"/>
  <c r="AM619" i="1"/>
  <c r="S620" i="1"/>
  <c r="U620" i="1"/>
  <c r="AM620" i="1" s="1"/>
  <c r="S621" i="1"/>
  <c r="U621" i="1"/>
  <c r="AM621" i="1" s="1"/>
  <c r="S622" i="1"/>
  <c r="U622" i="1"/>
  <c r="AM622" i="1" s="1"/>
  <c r="AU622" i="1" s="1"/>
  <c r="S623" i="1"/>
  <c r="U623" i="1"/>
  <c r="AM623" i="1"/>
  <c r="S624" i="1"/>
  <c r="U624" i="1"/>
  <c r="AM624" i="1" s="1"/>
  <c r="S625" i="1"/>
  <c r="U625" i="1"/>
  <c r="AM625" i="1" s="1"/>
  <c r="S626" i="1"/>
  <c r="U626" i="1"/>
  <c r="AM626" i="1" s="1"/>
  <c r="S627" i="1"/>
  <c r="U627" i="1"/>
  <c r="AM627" i="1" s="1"/>
  <c r="S628" i="1"/>
  <c r="U628" i="1"/>
  <c r="AM628" i="1" s="1"/>
  <c r="S629" i="1"/>
  <c r="U629" i="1"/>
  <c r="AM629" i="1"/>
  <c r="S630" i="1"/>
  <c r="U630" i="1"/>
  <c r="AM630" i="1" s="1"/>
  <c r="S631" i="1"/>
  <c r="U631" i="1"/>
  <c r="AM631" i="1"/>
  <c r="AU631" i="1" s="1"/>
  <c r="S632" i="1"/>
  <c r="U632" i="1"/>
  <c r="AM632" i="1" s="1"/>
  <c r="S633" i="1"/>
  <c r="U633" i="1"/>
  <c r="AM633" i="1"/>
  <c r="AU633" i="1" s="1"/>
  <c r="S634" i="1"/>
  <c r="U634" i="1"/>
  <c r="AM634" i="1" s="1"/>
  <c r="S635" i="1"/>
  <c r="U635" i="1"/>
  <c r="AM635" i="1" s="1"/>
  <c r="S636" i="1"/>
  <c r="U636" i="1"/>
  <c r="AM636" i="1" s="1"/>
  <c r="AU636" i="1" s="1"/>
  <c r="S637" i="1"/>
  <c r="U637" i="1"/>
  <c r="AM637" i="1" s="1"/>
  <c r="S638" i="1"/>
  <c r="U638" i="1"/>
  <c r="AM638" i="1" s="1"/>
  <c r="S639" i="1"/>
  <c r="U639" i="1"/>
  <c r="AM639" i="1" s="1"/>
  <c r="S640" i="1"/>
  <c r="U640" i="1"/>
  <c r="AM640" i="1" s="1"/>
  <c r="S641" i="1"/>
  <c r="U641" i="1"/>
  <c r="AM641" i="1"/>
  <c r="AU641" i="1" s="1"/>
  <c r="S642" i="1"/>
  <c r="U642" i="1"/>
  <c r="AM642" i="1" s="1"/>
  <c r="S643" i="1"/>
  <c r="U643" i="1"/>
  <c r="AM643" i="1" s="1"/>
  <c r="AV643" i="1" s="1"/>
  <c r="S644" i="1"/>
  <c r="U644" i="1"/>
  <c r="AM644" i="1" s="1"/>
  <c r="S645" i="1"/>
  <c r="U645" i="1"/>
  <c r="AM645" i="1" s="1"/>
  <c r="S646" i="1"/>
  <c r="U646" i="1"/>
  <c r="AM646" i="1" s="1"/>
  <c r="S647" i="1"/>
  <c r="U647" i="1"/>
  <c r="AM647" i="1" s="1"/>
  <c r="AV647" i="1"/>
  <c r="S648" i="1"/>
  <c r="U648" i="1"/>
  <c r="AM648" i="1" s="1"/>
  <c r="AU648" i="1" s="1"/>
  <c r="S649" i="1"/>
  <c r="U649" i="1"/>
  <c r="AM649" i="1" s="1"/>
  <c r="AU649" i="1"/>
  <c r="S650" i="1"/>
  <c r="U650" i="1"/>
  <c r="AM650" i="1" s="1"/>
  <c r="S651" i="1"/>
  <c r="U651" i="1"/>
  <c r="AM651" i="1"/>
  <c r="S652" i="1"/>
  <c r="U652" i="1"/>
  <c r="AM652" i="1" s="1"/>
  <c r="S653" i="1"/>
  <c r="U653" i="1"/>
  <c r="AM653" i="1"/>
  <c r="S654" i="1"/>
  <c r="U654" i="1"/>
  <c r="AM654" i="1" s="1"/>
  <c r="S655" i="1"/>
  <c r="U655" i="1"/>
  <c r="AM655" i="1" s="1"/>
  <c r="S656" i="1"/>
  <c r="U656" i="1"/>
  <c r="AM656" i="1" s="1"/>
  <c r="AV656" i="1" s="1"/>
  <c r="S657" i="1"/>
  <c r="U657" i="1"/>
  <c r="AM657" i="1"/>
  <c r="S658" i="1"/>
  <c r="U658" i="1"/>
  <c r="AM658" i="1"/>
  <c r="S659" i="1"/>
  <c r="U659" i="1"/>
  <c r="AM659" i="1" s="1"/>
  <c r="S660" i="1"/>
  <c r="U660" i="1"/>
  <c r="AM660" i="1" s="1"/>
  <c r="S661" i="1"/>
  <c r="U661" i="1"/>
  <c r="AM661" i="1" s="1"/>
  <c r="S662" i="1"/>
  <c r="U662" i="1"/>
  <c r="AM662" i="1" s="1"/>
  <c r="AU662" i="1" s="1"/>
  <c r="S663" i="1"/>
  <c r="U663" i="1"/>
  <c r="AM663" i="1"/>
  <c r="AW663" i="1" s="1"/>
  <c r="S664" i="1"/>
  <c r="U664" i="1"/>
  <c r="AM664" i="1" s="1"/>
  <c r="S665" i="1"/>
  <c r="U665" i="1"/>
  <c r="AM665" i="1"/>
  <c r="S666" i="1"/>
  <c r="U666" i="1"/>
  <c r="AM666" i="1" s="1"/>
  <c r="S667" i="1"/>
  <c r="U667" i="1"/>
  <c r="AM667" i="1" s="1"/>
  <c r="S668" i="1"/>
  <c r="U668" i="1"/>
  <c r="AM668" i="1" s="1"/>
  <c r="S669" i="1"/>
  <c r="U669" i="1"/>
  <c r="AM669" i="1" s="1"/>
  <c r="S670" i="1"/>
  <c r="U670" i="1"/>
  <c r="AM670" i="1" s="1"/>
  <c r="S671" i="1"/>
  <c r="U671" i="1"/>
  <c r="AM671" i="1" s="1"/>
  <c r="S672" i="1"/>
  <c r="U672" i="1"/>
  <c r="AM672" i="1" s="1"/>
  <c r="S673" i="1"/>
  <c r="U673" i="1"/>
  <c r="AM673" i="1" s="1"/>
  <c r="S674" i="1"/>
  <c r="U674" i="1"/>
  <c r="AM674" i="1"/>
  <c r="S675" i="1"/>
  <c r="U675" i="1"/>
  <c r="AM675" i="1" s="1"/>
  <c r="S676" i="1"/>
  <c r="U676" i="1"/>
  <c r="AM676" i="1" s="1"/>
  <c r="AU676" i="1"/>
  <c r="S677" i="1"/>
  <c r="U677" i="1"/>
  <c r="AM677" i="1" s="1"/>
  <c r="S678" i="1"/>
  <c r="U678" i="1"/>
  <c r="AM678" i="1" s="1"/>
  <c r="S679" i="1"/>
  <c r="U679" i="1"/>
  <c r="AM679" i="1" s="1"/>
  <c r="AV679" i="1" s="1"/>
  <c r="S680" i="1"/>
  <c r="U680" i="1"/>
  <c r="AM680" i="1" s="1"/>
  <c r="S681" i="1"/>
  <c r="U681" i="1"/>
  <c r="AM681" i="1" s="1"/>
  <c r="AU681" i="1"/>
  <c r="S682" i="1"/>
  <c r="U682" i="1"/>
  <c r="AM682" i="1" s="1"/>
  <c r="S683" i="1"/>
  <c r="U683" i="1"/>
  <c r="AM683" i="1" s="1"/>
  <c r="S684" i="1"/>
  <c r="U684" i="1"/>
  <c r="AM684" i="1" s="1"/>
  <c r="AV684" i="1" s="1"/>
  <c r="S685" i="1"/>
  <c r="U685" i="1"/>
  <c r="AM685" i="1" s="1"/>
  <c r="S686" i="1"/>
  <c r="U686" i="1"/>
  <c r="AM686" i="1" s="1"/>
  <c r="AU686" i="1"/>
  <c r="S687" i="1"/>
  <c r="U687" i="1"/>
  <c r="AM687" i="1" s="1"/>
  <c r="S688" i="1"/>
  <c r="U688" i="1"/>
  <c r="AM688" i="1" s="1"/>
  <c r="S689" i="1"/>
  <c r="U689" i="1"/>
  <c r="AM689" i="1" s="1"/>
  <c r="AV689" i="1" s="1"/>
  <c r="S690" i="1"/>
  <c r="U690" i="1"/>
  <c r="AM690" i="1" s="1"/>
  <c r="S691" i="1"/>
  <c r="U691" i="1"/>
  <c r="AM691" i="1" s="1"/>
  <c r="AU691" i="1"/>
  <c r="S692" i="1"/>
  <c r="U692" i="1"/>
  <c r="AM692" i="1" s="1"/>
  <c r="S693" i="1"/>
  <c r="U693" i="1"/>
  <c r="AM693" i="1" s="1"/>
  <c r="S694" i="1"/>
  <c r="U694" i="1"/>
  <c r="AM694" i="1" s="1"/>
  <c r="AV694" i="1" s="1"/>
  <c r="S695" i="1"/>
  <c r="U695" i="1"/>
  <c r="AM695" i="1" s="1"/>
  <c r="S696" i="1"/>
  <c r="U696" i="1"/>
  <c r="AM696" i="1" s="1"/>
  <c r="AU696" i="1"/>
  <c r="S697" i="1"/>
  <c r="U697" i="1"/>
  <c r="AM697" i="1" s="1"/>
  <c r="S698" i="1"/>
  <c r="U698" i="1"/>
  <c r="AM698" i="1" s="1"/>
  <c r="S699" i="1"/>
  <c r="U699" i="1"/>
  <c r="AM699" i="1" s="1"/>
  <c r="S700" i="1"/>
  <c r="U700" i="1"/>
  <c r="AM700" i="1"/>
  <c r="S701" i="1"/>
  <c r="U701" i="1"/>
  <c r="AM701" i="1" s="1"/>
  <c r="AU701" i="1"/>
  <c r="S702" i="1"/>
  <c r="U702" i="1"/>
  <c r="AM702" i="1" s="1"/>
  <c r="S703" i="1"/>
  <c r="U703" i="1"/>
  <c r="AM703" i="1" s="1"/>
  <c r="S704" i="1"/>
  <c r="U704" i="1"/>
  <c r="AM704" i="1" s="1"/>
  <c r="AV704" i="1" s="1"/>
  <c r="S705" i="1"/>
  <c r="U705" i="1"/>
  <c r="AM705" i="1"/>
  <c r="S706" i="1"/>
  <c r="U706" i="1"/>
  <c r="AM706" i="1" s="1"/>
  <c r="S707" i="1"/>
  <c r="U707" i="1"/>
  <c r="AM707" i="1"/>
  <c r="AW707" i="1" s="1"/>
  <c r="S708" i="1"/>
  <c r="U708" i="1"/>
  <c r="AM708" i="1" s="1"/>
  <c r="S709" i="1"/>
  <c r="U709" i="1"/>
  <c r="AM709" i="1" s="1"/>
  <c r="AV709" i="1" s="1"/>
  <c r="S710" i="1"/>
  <c r="U710" i="1"/>
  <c r="AM710" i="1" s="1"/>
  <c r="S711" i="1"/>
  <c r="U711" i="1"/>
  <c r="AM711" i="1" s="1"/>
  <c r="S712" i="1"/>
  <c r="U712" i="1"/>
  <c r="AM712" i="1"/>
  <c r="AW712" i="1"/>
  <c r="AV712" i="1"/>
  <c r="S713" i="1"/>
  <c r="U713" i="1"/>
  <c r="AM713" i="1"/>
  <c r="S714" i="1"/>
  <c r="U714" i="1"/>
  <c r="AM714" i="1"/>
  <c r="AV714" i="1" s="1"/>
  <c r="S715" i="1"/>
  <c r="U715" i="1"/>
  <c r="AM715" i="1"/>
  <c r="S716" i="1"/>
  <c r="U716" i="1"/>
  <c r="AM716" i="1" s="1"/>
  <c r="S717" i="1"/>
  <c r="U717" i="1"/>
  <c r="AM717" i="1" s="1"/>
  <c r="AW717" i="1"/>
  <c r="S718" i="1"/>
  <c r="U718" i="1"/>
  <c r="AM718" i="1"/>
  <c r="S719" i="1"/>
  <c r="U719" i="1"/>
  <c r="AM719" i="1" s="1"/>
  <c r="S720" i="1"/>
  <c r="U720" i="1"/>
  <c r="AM720" i="1" s="1"/>
  <c r="S721" i="1"/>
  <c r="U721" i="1"/>
  <c r="AM721" i="1" s="1"/>
  <c r="S722" i="1"/>
  <c r="U722" i="1"/>
  <c r="AM722" i="1" s="1"/>
  <c r="S723" i="1"/>
  <c r="U723" i="1"/>
  <c r="AM723" i="1" s="1"/>
  <c r="S724" i="1"/>
  <c r="U724" i="1"/>
  <c r="AM724" i="1"/>
  <c r="AV724" i="1" s="1"/>
  <c r="S725" i="1"/>
  <c r="U725" i="1"/>
  <c r="AM725" i="1" s="1"/>
  <c r="S726" i="1"/>
  <c r="U726" i="1"/>
  <c r="AM726" i="1" s="1"/>
  <c r="S727" i="1"/>
  <c r="U727" i="1"/>
  <c r="AM727" i="1" s="1"/>
  <c r="AV727" i="1"/>
  <c r="S728" i="1"/>
  <c r="U728" i="1"/>
  <c r="AM728" i="1"/>
  <c r="S729" i="1"/>
  <c r="U729" i="1"/>
  <c r="AM729" i="1"/>
  <c r="AV729" i="1"/>
  <c r="S730" i="1"/>
  <c r="U730" i="1"/>
  <c r="AM730" i="1"/>
  <c r="S731" i="1"/>
  <c r="U731" i="1"/>
  <c r="AM731" i="1" s="1"/>
  <c r="S732" i="1"/>
  <c r="U732" i="1"/>
  <c r="AM732" i="1"/>
  <c r="S733" i="1"/>
  <c r="U733" i="1"/>
  <c r="AM733" i="1" s="1"/>
  <c r="S734" i="1"/>
  <c r="U734" i="1"/>
  <c r="AM734" i="1"/>
  <c r="AV734" i="1"/>
  <c r="S735" i="1"/>
  <c r="U735" i="1"/>
  <c r="AM735" i="1"/>
  <c r="S736" i="1"/>
  <c r="U736" i="1"/>
  <c r="AM736" i="1" s="1"/>
  <c r="S737" i="1"/>
  <c r="U737" i="1"/>
  <c r="AM737" i="1"/>
  <c r="AW737" i="1"/>
  <c r="S738" i="1"/>
  <c r="U738" i="1"/>
  <c r="AM738" i="1" s="1"/>
  <c r="S739" i="1"/>
  <c r="U739" i="1"/>
  <c r="AM739" i="1"/>
  <c r="AV739" i="1" s="1"/>
  <c r="S740" i="1"/>
  <c r="U740" i="1"/>
  <c r="AM740" i="1"/>
  <c r="S741" i="1"/>
  <c r="U741" i="1"/>
  <c r="AM741" i="1" s="1"/>
  <c r="S742" i="1"/>
  <c r="U742" i="1"/>
  <c r="AM742" i="1" s="1"/>
  <c r="AV742" i="1"/>
  <c r="S743" i="1"/>
  <c r="U743" i="1"/>
  <c r="AM743" i="1"/>
  <c r="S744" i="1"/>
  <c r="U744" i="1"/>
  <c r="AM744" i="1"/>
  <c r="AV744" i="1"/>
  <c r="S745" i="1"/>
  <c r="U745" i="1"/>
  <c r="AM745" i="1" s="1"/>
  <c r="S746" i="1"/>
  <c r="U746" i="1"/>
  <c r="AM746" i="1" s="1"/>
  <c r="AU746" i="1"/>
  <c r="S747" i="1"/>
  <c r="U747" i="1"/>
  <c r="AM747" i="1"/>
  <c r="AV747" i="1"/>
  <c r="S748" i="1"/>
  <c r="U748" i="1"/>
  <c r="AM748" i="1" s="1"/>
  <c r="S749" i="1"/>
  <c r="U749" i="1"/>
  <c r="AM749" i="1"/>
  <c r="AV749" i="1" s="1"/>
  <c r="S750" i="1"/>
  <c r="U750" i="1"/>
  <c r="AM750" i="1"/>
  <c r="S751" i="1"/>
  <c r="U751" i="1"/>
  <c r="AM751" i="1" s="1"/>
  <c r="S752" i="1"/>
  <c r="U752" i="1"/>
  <c r="AM752" i="1"/>
  <c r="AW752" i="1" s="1"/>
  <c r="S753" i="1"/>
  <c r="U753" i="1"/>
  <c r="AM753" i="1"/>
  <c r="S754" i="1"/>
  <c r="U754" i="1"/>
  <c r="AM754" i="1"/>
  <c r="AV754" i="1" s="1"/>
  <c r="S755" i="1"/>
  <c r="U755" i="1"/>
  <c r="AM755" i="1"/>
  <c r="S756" i="1"/>
  <c r="U756" i="1"/>
  <c r="AM756" i="1" s="1"/>
  <c r="AU756" i="1"/>
  <c r="S757" i="1"/>
  <c r="U757" i="1"/>
  <c r="AM757" i="1"/>
  <c r="AV757" i="1"/>
  <c r="AW757" i="1"/>
  <c r="S758" i="1"/>
  <c r="U758" i="1"/>
  <c r="AM758" i="1" s="1"/>
  <c r="S759" i="1"/>
  <c r="U759" i="1"/>
  <c r="AM759" i="1" s="1"/>
  <c r="AV759" i="1" s="1"/>
  <c r="S760" i="1"/>
  <c r="U760" i="1"/>
  <c r="AM760" i="1"/>
  <c r="AW596" i="1" l="1"/>
  <c r="AV596" i="1"/>
  <c r="AU531" i="1"/>
  <c r="AU627" i="1"/>
  <c r="AV627" i="1"/>
  <c r="AW627" i="1"/>
  <c r="AU596" i="1"/>
  <c r="AV368" i="1"/>
  <c r="AV30" i="1"/>
  <c r="AV638" i="1"/>
  <c r="AV396" i="1"/>
  <c r="AW145" i="1"/>
  <c r="AV145" i="1"/>
  <c r="AV432" i="1"/>
  <c r="AW432" i="1"/>
  <c r="AV53" i="1"/>
  <c r="AU53" i="1"/>
  <c r="AV633" i="1"/>
  <c r="AV338" i="1"/>
  <c r="AU601" i="1"/>
  <c r="AV601" i="1"/>
  <c r="AW601" i="1"/>
  <c r="AV40" i="1"/>
  <c r="AV378" i="1"/>
  <c r="AV273" i="1"/>
  <c r="AV363" i="1"/>
  <c r="AV752" i="1"/>
  <c r="AW606" i="1"/>
  <c r="AV591" i="1"/>
  <c r="AV722" i="1"/>
  <c r="AU638" i="1"/>
  <c r="AW638" i="1"/>
  <c r="AV527" i="1"/>
  <c r="AW527" i="1"/>
  <c r="AV376" i="1"/>
  <c r="AU90" i="1"/>
  <c r="AV90" i="1"/>
  <c r="AW650" i="1"/>
  <c r="AU639" i="1"/>
  <c r="AV549" i="1"/>
  <c r="AU447" i="1"/>
  <c r="AV342" i="1"/>
  <c r="AW319" i="1"/>
  <c r="AV313" i="1"/>
  <c r="AU253" i="1"/>
  <c r="AW141" i="1"/>
  <c r="AV25" i="1"/>
  <c r="AW554" i="1"/>
  <c r="AU549" i="1"/>
  <c r="AW539" i="1"/>
  <c r="AV258" i="1"/>
  <c r="AU225" i="1"/>
  <c r="AV100" i="1"/>
  <c r="AU73" i="1"/>
  <c r="AU35" i="1"/>
  <c r="AW507" i="1"/>
  <c r="AU559" i="1"/>
  <c r="AU347" i="1"/>
  <c r="AV179" i="1"/>
  <c r="AU716" i="1"/>
  <c r="AW649" i="1"/>
  <c r="AU584" i="1"/>
  <c r="AU579" i="1"/>
  <c r="AV569" i="1"/>
  <c r="AV501" i="1"/>
  <c r="AU404" i="1"/>
  <c r="AW278" i="1"/>
  <c r="AU201" i="1"/>
  <c r="AU564" i="1"/>
  <c r="AU534" i="1"/>
  <c r="AU362" i="1"/>
  <c r="AV323" i="1"/>
  <c r="AU294" i="1"/>
  <c r="AV277" i="1"/>
  <c r="AV272" i="1"/>
  <c r="AV262" i="1"/>
  <c r="AU257" i="1"/>
  <c r="AU628" i="1"/>
  <c r="AV461" i="1"/>
  <c r="AW299" i="1"/>
  <c r="AU229" i="1"/>
  <c r="AU161" i="1"/>
  <c r="AV98" i="1"/>
  <c r="AV408" i="1"/>
  <c r="AU23" i="1"/>
  <c r="AV5" i="1"/>
  <c r="AW617" i="1"/>
  <c r="AU557" i="1"/>
  <c r="AW551" i="1"/>
  <c r="AU434" i="1"/>
  <c r="AV366" i="1"/>
  <c r="AW322" i="1"/>
  <c r="AV138" i="1"/>
  <c r="AV43" i="1"/>
  <c r="AV719" i="1"/>
  <c r="AU632" i="1"/>
  <c r="AV514" i="1"/>
  <c r="AW407" i="1"/>
  <c r="AW328" i="1"/>
  <c r="AU115" i="1"/>
  <c r="AV699" i="1"/>
  <c r="AU567" i="1"/>
  <c r="AV551" i="1"/>
  <c r="AV509" i="1"/>
  <c r="AU499" i="1"/>
  <c r="AV433" i="1"/>
  <c r="AU407" i="1"/>
  <c r="AU315" i="1"/>
  <c r="AW303" i="1"/>
  <c r="AV292" i="1"/>
  <c r="AV204" i="1"/>
  <c r="AV171" i="1"/>
  <c r="AU137" i="1"/>
  <c r="AV126" i="1"/>
  <c r="AU97" i="1"/>
  <c r="AU65" i="1"/>
  <c r="AU60" i="1"/>
  <c r="AW532" i="1"/>
  <c r="AV494" i="1"/>
  <c r="AW374" i="1"/>
  <c r="AU143" i="1"/>
  <c r="AV131" i="1"/>
  <c r="AW747" i="1"/>
  <c r="AV737" i="1"/>
  <c r="AW412" i="1"/>
  <c r="AU354" i="1"/>
  <c r="AW333" i="1"/>
  <c r="AV308" i="1"/>
  <c r="AW727" i="1"/>
  <c r="AU667" i="1"/>
  <c r="AV581" i="1"/>
  <c r="AW531" i="1"/>
  <c r="AV483" i="1"/>
  <c r="AV443" i="1"/>
  <c r="AW387" i="1"/>
  <c r="AV80" i="1"/>
  <c r="AV31" i="1"/>
  <c r="AV531" i="1"/>
  <c r="AU488" i="1"/>
  <c r="AW722" i="1"/>
  <c r="AV717" i="1"/>
  <c r="AV614" i="1"/>
  <c r="AU307" i="1"/>
  <c r="AV232" i="1"/>
  <c r="AW220" i="1"/>
  <c r="AW214" i="1"/>
  <c r="AU130" i="1"/>
  <c r="AU41" i="1"/>
  <c r="AV473" i="1"/>
  <c r="AU113" i="1"/>
  <c r="AW546" i="1"/>
  <c r="AV546" i="1"/>
  <c r="AU546" i="1"/>
  <c r="AW561" i="1"/>
  <c r="AU561" i="1"/>
  <c r="AV561" i="1"/>
  <c r="AV623" i="1"/>
  <c r="AW623" i="1"/>
  <c r="AV537" i="1"/>
  <c r="AV95" i="1"/>
  <c r="AU626" i="1"/>
  <c r="AV626" i="1"/>
  <c r="AW487" i="1"/>
  <c r="AU541" i="1"/>
  <c r="AV707" i="1"/>
  <c r="AV702" i="1"/>
  <c r="AW702" i="1"/>
  <c r="AV383" i="1"/>
  <c r="AU586" i="1"/>
  <c r="AV586" i="1"/>
  <c r="AV648" i="1"/>
  <c r="AU593" i="1"/>
  <c r="AU588" i="1"/>
  <c r="AU643" i="1"/>
  <c r="AU697" i="1"/>
  <c r="AU523" i="1"/>
  <c r="AU458" i="1"/>
  <c r="AU752" i="1"/>
  <c r="AU708" i="1"/>
  <c r="AV613" i="1"/>
  <c r="AU577" i="1"/>
  <c r="AV563" i="1"/>
  <c r="AU554" i="1"/>
  <c r="AU538" i="1"/>
  <c r="AU442" i="1"/>
  <c r="AU432" i="1"/>
  <c r="AW215" i="1"/>
  <c r="AV215" i="1"/>
  <c r="AU120" i="1"/>
  <c r="AV120" i="1"/>
  <c r="AU50" i="1"/>
  <c r="AU43" i="1"/>
  <c r="AU33" i="1"/>
  <c r="AV33" i="1"/>
  <c r="AW33" i="1"/>
  <c r="AU536" i="1"/>
  <c r="AU606" i="1"/>
  <c r="AV606" i="1"/>
  <c r="AU704" i="1"/>
  <c r="AU485" i="1"/>
  <c r="AU427" i="1"/>
  <c r="AW401" i="1"/>
  <c r="AU401" i="1"/>
  <c r="AV401" i="1"/>
  <c r="AU388" i="1"/>
  <c r="AW367" i="1"/>
  <c r="AU243" i="1"/>
  <c r="AV243" i="1"/>
  <c r="AU611" i="1"/>
  <c r="AU543" i="1"/>
  <c r="AU127" i="1"/>
  <c r="AU110" i="1"/>
  <c r="AV110" i="1"/>
  <c r="AU82" i="1"/>
  <c r="AV649" i="1"/>
  <c r="AU558" i="1"/>
  <c r="AW541" i="1"/>
  <c r="AU452" i="1"/>
  <c r="AU446" i="1"/>
  <c r="AU392" i="1"/>
  <c r="AV357" i="1"/>
  <c r="AW248" i="1"/>
  <c r="AV248" i="1"/>
  <c r="AW243" i="1"/>
  <c r="AU125" i="1"/>
  <c r="AV125" i="1"/>
  <c r="AU28" i="1"/>
  <c r="AV28" i="1"/>
  <c r="AU11" i="1"/>
  <c r="AU150" i="1"/>
  <c r="AU740" i="1"/>
  <c r="AU413" i="1"/>
  <c r="AV413" i="1"/>
  <c r="AV155" i="1"/>
  <c r="AU727" i="1"/>
  <c r="AU62" i="1"/>
  <c r="AU656" i="1"/>
  <c r="AV670" i="1"/>
  <c r="AW742" i="1"/>
  <c r="AV631" i="1"/>
  <c r="AV576" i="1"/>
  <c r="AV541" i="1"/>
  <c r="AW537" i="1"/>
  <c r="AU470" i="1"/>
  <c r="AU375" i="1"/>
  <c r="AV164" i="1"/>
  <c r="AU677" i="1"/>
  <c r="AU463" i="1"/>
  <c r="AU45" i="1"/>
  <c r="AU735" i="1"/>
  <c r="AU513" i="1"/>
  <c r="AU385" i="1"/>
  <c r="AU757" i="1"/>
  <c r="AV428" i="1"/>
  <c r="AU363" i="1"/>
  <c r="AU132" i="1"/>
  <c r="AU568" i="1"/>
  <c r="AU6" i="1"/>
  <c r="AU747" i="1"/>
  <c r="AU712" i="1"/>
  <c r="AU694" i="1"/>
  <c r="AU689" i="1"/>
  <c r="AU684" i="1"/>
  <c r="AU679" i="1"/>
  <c r="AU659" i="1"/>
  <c r="AV636" i="1"/>
  <c r="AU576" i="1"/>
  <c r="AU571" i="1"/>
  <c r="AV566" i="1"/>
  <c r="AV511" i="1"/>
  <c r="AU498" i="1"/>
  <c r="AV488" i="1"/>
  <c r="AW441" i="1"/>
  <c r="AV421" i="1"/>
  <c r="AU421" i="1"/>
  <c r="AW421" i="1"/>
  <c r="AW196" i="1"/>
  <c r="AV196" i="1"/>
  <c r="AV180" i="1"/>
  <c r="AW180" i="1"/>
  <c r="AV70" i="1"/>
  <c r="AU16" i="1"/>
  <c r="AU105" i="1"/>
  <c r="AV105" i="1"/>
  <c r="AU20" i="1"/>
  <c r="AV20" i="1"/>
  <c r="AV403" i="1"/>
  <c r="AU748" i="1"/>
  <c r="AU647" i="1"/>
  <c r="AU578" i="1"/>
  <c r="AV675" i="1"/>
  <c r="AU717" i="1"/>
  <c r="AU703" i="1"/>
  <c r="AU755" i="1"/>
  <c r="AU729" i="1"/>
  <c r="AU599" i="1"/>
  <c r="AU566" i="1"/>
  <c r="AV557" i="1"/>
  <c r="AV529" i="1"/>
  <c r="AW529" i="1"/>
  <c r="AW502" i="1"/>
  <c r="AU493" i="1"/>
  <c r="AU405" i="1"/>
  <c r="AW318" i="1"/>
  <c r="AV318" i="1"/>
  <c r="AU273" i="1"/>
  <c r="AV141" i="1"/>
  <c r="AU424" i="1"/>
  <c r="AU583" i="1"/>
  <c r="AV418" i="1"/>
  <c r="AU722" i="1"/>
  <c r="AU55" i="1"/>
  <c r="AV55" i="1"/>
  <c r="AU238" i="1"/>
  <c r="AV238" i="1"/>
  <c r="AU608" i="1"/>
  <c r="AU553" i="1"/>
  <c r="AU465" i="1"/>
  <c r="AU278" i="1"/>
  <c r="AV278" i="1"/>
  <c r="AU135" i="1"/>
  <c r="AV135" i="1"/>
  <c r="AU37" i="1"/>
  <c r="AW78" i="1"/>
  <c r="AU78" i="1"/>
  <c r="AV78" i="1"/>
  <c r="AU373" i="1"/>
  <c r="AW472" i="1"/>
  <c r="AU453" i="1"/>
  <c r="AU393" i="1"/>
  <c r="AV393" i="1"/>
  <c r="AU343" i="1"/>
  <c r="AU614" i="1"/>
  <c r="AU743" i="1"/>
  <c r="AU457" i="1"/>
  <c r="AU594" i="1"/>
  <c r="AW594" i="1"/>
  <c r="AU533" i="1"/>
  <c r="AU524" i="1"/>
  <c r="AW524" i="1"/>
  <c r="AU460" i="1"/>
  <c r="AU383" i="1"/>
  <c r="AV317" i="1"/>
  <c r="AU317" i="1"/>
  <c r="AU732" i="1"/>
  <c r="AU359" i="1"/>
  <c r="AW298" i="1"/>
  <c r="AV298" i="1"/>
  <c r="AW619" i="1"/>
  <c r="AV402" i="1"/>
  <c r="AU348" i="1"/>
  <c r="AU739" i="1"/>
  <c r="AU730" i="1"/>
  <c r="AV641" i="1"/>
  <c r="AW641" i="1"/>
  <c r="AU759" i="1"/>
  <c r="AV667" i="1"/>
  <c r="AW556" i="1"/>
  <c r="AU483" i="1"/>
  <c r="AU395" i="1"/>
  <c r="AU365" i="1"/>
  <c r="AU195" i="1"/>
  <c r="AW195" i="1"/>
  <c r="AU100" i="1"/>
  <c r="AW58" i="1"/>
  <c r="AU58" i="1"/>
  <c r="AV58" i="1"/>
  <c r="AU749" i="1"/>
  <c r="AU753" i="1"/>
  <c r="AW377" i="1"/>
  <c r="AW397" i="1"/>
  <c r="AU734" i="1"/>
  <c r="AU742" i="1"/>
  <c r="AW667" i="1"/>
  <c r="AW644" i="1"/>
  <c r="AW732" i="1"/>
  <c r="AU715" i="1"/>
  <c r="AW697" i="1"/>
  <c r="AU663" i="1"/>
  <c r="AU589" i="1"/>
  <c r="AV589" i="1"/>
  <c r="AV697" i="1"/>
  <c r="AW579" i="1"/>
  <c r="AV556" i="1"/>
  <c r="AU548" i="1"/>
  <c r="AW544" i="1"/>
  <c r="AU528" i="1"/>
  <c r="AU510" i="1"/>
  <c r="AW497" i="1"/>
  <c r="AU478" i="1"/>
  <c r="AW444" i="1"/>
  <c r="AU355" i="1"/>
  <c r="AW283" i="1"/>
  <c r="AV283" i="1"/>
  <c r="AV224" i="1"/>
  <c r="AV123" i="1"/>
  <c r="AU21" i="1"/>
  <c r="AU2" i="1"/>
  <c r="AW2" i="1"/>
  <c r="AU714" i="1"/>
  <c r="AU744" i="1"/>
  <c r="AU709" i="1"/>
  <c r="AU642" i="1"/>
  <c r="AU412" i="1"/>
  <c r="AV381" i="1"/>
  <c r="AU353" i="1"/>
  <c r="AV353" i="1"/>
  <c r="AV159" i="1"/>
  <c r="AU724" i="1"/>
  <c r="AU707" i="1"/>
  <c r="AU728" i="1"/>
  <c r="AU673" i="1"/>
  <c r="AU612" i="1"/>
  <c r="AU754" i="1"/>
  <c r="AU737" i="1"/>
  <c r="AV732" i="1"/>
  <c r="AU745" i="1"/>
  <c r="AU719" i="1"/>
  <c r="AU706" i="1"/>
  <c r="AU702" i="1"/>
  <c r="AU621" i="1"/>
  <c r="AV544" i="1"/>
  <c r="AW536" i="1"/>
  <c r="AV532" i="1"/>
  <c r="AW514" i="1"/>
  <c r="AU399" i="1"/>
  <c r="AW399" i="1"/>
  <c r="AV373" i="1"/>
  <c r="AW293" i="1"/>
  <c r="AV293" i="1"/>
  <c r="AU68" i="1"/>
  <c r="AV282" i="1"/>
  <c r="AU277" i="1"/>
  <c r="AV263" i="1"/>
  <c r="AU228" i="1"/>
  <c r="AU190" i="1"/>
  <c r="AV185" i="1"/>
  <c r="AV113" i="1"/>
  <c r="AV61" i="1"/>
  <c r="AU10" i="1"/>
  <c r="AU268" i="1"/>
  <c r="AW203" i="1"/>
  <c r="AU145" i="1"/>
  <c r="AW53" i="1"/>
  <c r="AW5" i="1"/>
  <c r="AU352" i="1"/>
  <c r="AU338" i="1"/>
  <c r="AW237" i="1"/>
  <c r="AU198" i="1"/>
  <c r="AV194" i="1"/>
  <c r="AV108" i="1"/>
  <c r="AU103" i="1"/>
  <c r="AU77" i="1"/>
  <c r="AW73" i="1"/>
  <c r="AU57" i="1"/>
  <c r="AW43" i="1"/>
  <c r="AU36" i="1"/>
  <c r="AU368" i="1"/>
  <c r="AU263" i="1"/>
  <c r="AU250" i="1"/>
  <c r="AU185" i="1"/>
  <c r="AU122" i="1"/>
  <c r="AU32" i="1"/>
  <c r="AU518" i="1"/>
  <c r="AU372" i="1"/>
  <c r="AW342" i="1"/>
  <c r="AU333" i="1"/>
  <c r="AU267" i="1"/>
  <c r="AV207" i="1"/>
  <c r="AV144" i="1"/>
  <c r="AU328" i="1"/>
  <c r="AU323" i="1"/>
  <c r="AV189" i="1"/>
  <c r="AU117" i="1"/>
  <c r="AU98" i="1"/>
  <c r="AV337" i="1"/>
  <c r="AU318" i="1"/>
  <c r="AW267" i="1"/>
  <c r="AW262" i="1"/>
  <c r="AV227" i="1"/>
  <c r="AV193" i="1"/>
  <c r="AU180" i="1"/>
  <c r="AU176" i="1"/>
  <c r="AW148" i="1"/>
  <c r="AU112" i="1"/>
  <c r="AU107" i="1"/>
  <c r="AV56" i="1"/>
  <c r="AU52" i="1"/>
  <c r="AV23" i="1"/>
  <c r="AU258" i="1"/>
  <c r="AV253" i="1"/>
  <c r="AV143" i="1"/>
  <c r="AU102" i="1"/>
  <c r="AU72" i="1"/>
  <c r="AW68" i="1"/>
  <c r="AU47" i="1"/>
  <c r="AW38" i="1"/>
  <c r="AU313" i="1"/>
  <c r="AW253" i="1"/>
  <c r="AU171" i="1"/>
  <c r="AV88" i="1"/>
  <c r="AV83" i="1"/>
  <c r="AV63" i="1"/>
  <c r="AV38" i="1"/>
  <c r="AV322" i="1"/>
  <c r="AU308" i="1"/>
  <c r="AU303" i="1"/>
  <c r="AV280" i="1"/>
  <c r="AU275" i="1"/>
  <c r="AV161" i="1"/>
  <c r="AV111" i="1"/>
  <c r="AV106" i="1"/>
  <c r="AV75" i="1"/>
  <c r="AV51" i="1"/>
  <c r="AU27" i="1"/>
  <c r="AW564" i="1"/>
  <c r="AU508" i="1"/>
  <c r="AU482" i="1"/>
  <c r="AU473" i="1"/>
  <c r="AU350" i="1"/>
  <c r="AV312" i="1"/>
  <c r="AU298" i="1"/>
  <c r="AV288" i="1"/>
  <c r="AV257" i="1"/>
  <c r="AV115" i="1"/>
  <c r="AU92" i="1"/>
  <c r="AW71" i="1"/>
  <c r="AU51" i="1"/>
  <c r="AU394" i="1"/>
  <c r="AU378" i="1"/>
  <c r="AU215" i="1"/>
  <c r="AU196" i="1"/>
  <c r="AU175" i="1"/>
  <c r="AU87" i="1"/>
  <c r="AW83" i="1"/>
  <c r="AU67" i="1"/>
  <c r="AW63" i="1"/>
  <c r="AU42" i="1"/>
  <c r="AU374" i="1"/>
  <c r="AU293" i="1"/>
  <c r="AU248" i="1"/>
  <c r="AW160" i="1"/>
  <c r="AW151" i="1"/>
  <c r="AU133" i="1"/>
  <c r="AU669" i="1"/>
  <c r="AV650" i="1"/>
  <c r="AU503" i="1"/>
  <c r="AU468" i="1"/>
  <c r="AU382" i="1"/>
  <c r="AU358" i="1"/>
  <c r="AV302" i="1"/>
  <c r="AU288" i="1"/>
  <c r="AU252" i="1"/>
  <c r="AV225" i="1"/>
  <c r="AV187" i="1"/>
  <c r="AU170" i="1"/>
  <c r="AU26" i="1"/>
  <c r="AU12" i="1"/>
  <c r="AU699" i="1"/>
  <c r="AU646" i="1"/>
  <c r="AU520" i="1"/>
  <c r="AW494" i="1"/>
  <c r="AU490" i="1"/>
  <c r="AU410" i="1"/>
  <c r="AV297" i="1"/>
  <c r="AU283" i="1"/>
  <c r="AV174" i="1"/>
  <c r="AW91" i="1"/>
  <c r="AU22" i="1"/>
  <c r="AU17" i="1"/>
  <c r="AU7" i="1"/>
  <c r="AV755" i="1"/>
  <c r="AW755" i="1"/>
  <c r="AU751" i="1"/>
  <c r="AU674" i="1"/>
  <c r="AV674" i="1"/>
  <c r="AW674" i="1"/>
  <c r="AU624" i="1"/>
  <c r="AV624" i="1"/>
  <c r="AW624" i="1"/>
  <c r="AV751" i="1"/>
  <c r="AW751" i="1"/>
  <c r="AV720" i="1"/>
  <c r="AW720" i="1"/>
  <c r="AU664" i="1"/>
  <c r="AV664" i="1"/>
  <c r="AW664" i="1"/>
  <c r="AU637" i="1"/>
  <c r="AV637" i="1"/>
  <c r="AW637" i="1"/>
  <c r="AU733" i="1"/>
  <c r="AU720" i="1"/>
  <c r="AV716" i="1"/>
  <c r="AW716" i="1"/>
  <c r="AU668" i="1"/>
  <c r="AV659" i="1"/>
  <c r="AW659" i="1"/>
  <c r="AU597" i="1"/>
  <c r="AV597" i="1"/>
  <c r="AW597" i="1"/>
  <c r="AV750" i="1"/>
  <c r="AW750" i="1"/>
  <c r="AU698" i="1"/>
  <c r="AU654" i="1"/>
  <c r="AV654" i="1"/>
  <c r="AW654" i="1"/>
  <c r="AU562" i="1"/>
  <c r="AV562" i="1"/>
  <c r="AW562" i="1"/>
  <c r="AU750" i="1"/>
  <c r="AV746" i="1"/>
  <c r="AW746" i="1"/>
  <c r="AV715" i="1"/>
  <c r="AW715" i="1"/>
  <c r="AU711" i="1"/>
  <c r="AV711" i="1"/>
  <c r="AW711" i="1"/>
  <c r="AU653" i="1"/>
  <c r="AV653" i="1"/>
  <c r="AW653" i="1"/>
  <c r="AU609" i="1"/>
  <c r="AV609" i="1"/>
  <c r="AW609" i="1"/>
  <c r="AV542" i="1"/>
  <c r="AV745" i="1"/>
  <c r="AW745" i="1"/>
  <c r="AU741" i="1"/>
  <c r="AU693" i="1"/>
  <c r="AU688" i="1"/>
  <c r="AU683" i="1"/>
  <c r="AU678" i="1"/>
  <c r="AV658" i="1"/>
  <c r="AW658" i="1"/>
  <c r="AU592" i="1"/>
  <c r="AV592" i="1"/>
  <c r="AW592" i="1"/>
  <c r="AU758" i="1"/>
  <c r="AV741" i="1"/>
  <c r="AW741" i="1"/>
  <c r="AV710" i="1"/>
  <c r="AW710" i="1"/>
  <c r="AU658" i="1"/>
  <c r="AU723" i="1"/>
  <c r="AU710" i="1"/>
  <c r="AV706" i="1"/>
  <c r="AW706" i="1"/>
  <c r="AV622" i="1"/>
  <c r="AU587" i="1"/>
  <c r="AV740" i="1"/>
  <c r="AW740" i="1"/>
  <c r="AU736" i="1"/>
  <c r="AV692" i="1"/>
  <c r="AW692" i="1"/>
  <c r="AV687" i="1"/>
  <c r="AW687" i="1"/>
  <c r="AV682" i="1"/>
  <c r="AW682" i="1"/>
  <c r="AV677" i="1"/>
  <c r="AW677" i="1"/>
  <c r="AU604" i="1"/>
  <c r="AV604" i="1"/>
  <c r="AW604" i="1"/>
  <c r="AU582" i="1"/>
  <c r="AV582" i="1"/>
  <c r="AW582" i="1"/>
  <c r="AV522" i="1"/>
  <c r="AW522" i="1"/>
  <c r="AV736" i="1"/>
  <c r="AW736" i="1"/>
  <c r="AV705" i="1"/>
  <c r="AW705" i="1"/>
  <c r="AU692" i="1"/>
  <c r="AU687" i="1"/>
  <c r="AU682" i="1"/>
  <c r="AU672" i="1"/>
  <c r="AV672" i="1"/>
  <c r="AW672" i="1"/>
  <c r="AU657" i="1"/>
  <c r="AV657" i="1"/>
  <c r="AW657" i="1"/>
  <c r="AW652" i="1"/>
  <c r="AU617" i="1"/>
  <c r="AU718" i="1"/>
  <c r="AU705" i="1"/>
  <c r="AV701" i="1"/>
  <c r="AW701" i="1"/>
  <c r="AV735" i="1"/>
  <c r="AW735" i="1"/>
  <c r="AU731" i="1"/>
  <c r="AU552" i="1"/>
  <c r="AV552" i="1"/>
  <c r="AW552" i="1"/>
  <c r="AV731" i="1"/>
  <c r="AW731" i="1"/>
  <c r="AU700" i="1"/>
  <c r="AV700" i="1"/>
  <c r="AW700" i="1"/>
  <c r="AU671" i="1"/>
  <c r="AV671" i="1"/>
  <c r="AW671" i="1"/>
  <c r="AU651" i="1"/>
  <c r="AV651" i="1"/>
  <c r="AW651" i="1"/>
  <c r="AU634" i="1"/>
  <c r="AV634" i="1"/>
  <c r="AW634" i="1"/>
  <c r="AU629" i="1"/>
  <c r="AV629" i="1"/>
  <c r="AW629" i="1"/>
  <c r="AU713" i="1"/>
  <c r="AV696" i="1"/>
  <c r="AW696" i="1"/>
  <c r="AV691" i="1"/>
  <c r="AW691" i="1"/>
  <c r="AV686" i="1"/>
  <c r="AW686" i="1"/>
  <c r="AV681" i="1"/>
  <c r="AW681" i="1"/>
  <c r="AV676" i="1"/>
  <c r="AW676" i="1"/>
  <c r="AU666" i="1"/>
  <c r="AV666" i="1"/>
  <c r="AW666" i="1"/>
  <c r="AU661" i="1"/>
  <c r="AV661" i="1"/>
  <c r="AW661" i="1"/>
  <c r="AV730" i="1"/>
  <c r="AW730" i="1"/>
  <c r="AU726" i="1"/>
  <c r="AV642" i="1"/>
  <c r="AU607" i="1"/>
  <c r="AV607" i="1"/>
  <c r="AW607" i="1"/>
  <c r="AU572" i="1"/>
  <c r="AV572" i="1"/>
  <c r="AW572" i="1"/>
  <c r="AV726" i="1"/>
  <c r="AW726" i="1"/>
  <c r="AU695" i="1"/>
  <c r="AV695" i="1"/>
  <c r="AW695" i="1"/>
  <c r="AU690" i="1"/>
  <c r="AV690" i="1"/>
  <c r="AW690" i="1"/>
  <c r="AU685" i="1"/>
  <c r="AV685" i="1"/>
  <c r="AW685" i="1"/>
  <c r="AU680" i="1"/>
  <c r="AV680" i="1"/>
  <c r="AW680" i="1"/>
  <c r="AV760" i="1"/>
  <c r="AW760" i="1"/>
  <c r="AU760" i="1"/>
  <c r="AV756" i="1"/>
  <c r="AW756" i="1"/>
  <c r="AV725" i="1"/>
  <c r="AW725" i="1"/>
  <c r="AU721" i="1"/>
  <c r="AU738" i="1"/>
  <c r="AU725" i="1"/>
  <c r="AV721" i="1"/>
  <c r="AW721" i="1"/>
  <c r="AW675" i="1"/>
  <c r="AU655" i="1"/>
  <c r="AV652" i="1"/>
  <c r="AV644" i="1"/>
  <c r="AU625" i="1"/>
  <c r="AV625" i="1"/>
  <c r="AW625" i="1"/>
  <c r="AV619" i="1"/>
  <c r="AU590" i="1"/>
  <c r="AV590" i="1"/>
  <c r="AW590" i="1"/>
  <c r="AU580" i="1"/>
  <c r="AV580" i="1"/>
  <c r="AW580" i="1"/>
  <c r="AV573" i="1"/>
  <c r="AW573" i="1"/>
  <c r="AU535" i="1"/>
  <c r="AV535" i="1"/>
  <c r="AW535" i="1"/>
  <c r="AU517" i="1"/>
  <c r="AV517" i="1"/>
  <c r="AU269" i="1"/>
  <c r="AW269" i="1"/>
  <c r="AV269" i="1"/>
  <c r="AW662" i="1"/>
  <c r="AU660" i="1"/>
  <c r="AU652" i="1"/>
  <c r="AU644" i="1"/>
  <c r="AU619" i="1"/>
  <c r="AW616" i="1"/>
  <c r="AU605" i="1"/>
  <c r="AV605" i="1"/>
  <c r="AW605" i="1"/>
  <c r="AU456" i="1"/>
  <c r="AV456" i="1"/>
  <c r="AW456" i="1"/>
  <c r="AU361" i="1"/>
  <c r="AW361" i="1"/>
  <c r="AU665" i="1"/>
  <c r="AV662" i="1"/>
  <c r="AV616" i="1"/>
  <c r="AU573" i="1"/>
  <c r="AU570" i="1"/>
  <c r="AV570" i="1"/>
  <c r="AW570" i="1"/>
  <c r="AW547" i="1"/>
  <c r="AU505" i="1"/>
  <c r="AU501" i="1"/>
  <c r="AW501" i="1"/>
  <c r="AU481" i="1"/>
  <c r="AW481" i="1"/>
  <c r="AU477" i="1"/>
  <c r="AU384" i="1"/>
  <c r="AU329" i="1"/>
  <c r="AV329" i="1"/>
  <c r="AV287" i="1"/>
  <c r="AW287" i="1"/>
  <c r="AU186" i="1"/>
  <c r="AV186" i="1"/>
  <c r="AW186" i="1"/>
  <c r="AU670" i="1"/>
  <c r="AU489" i="1"/>
  <c r="AV489" i="1"/>
  <c r="AW489" i="1"/>
  <c r="AU464" i="1"/>
  <c r="AV464" i="1"/>
  <c r="AW464" i="1"/>
  <c r="AU324" i="1"/>
  <c r="AV324" i="1"/>
  <c r="AU675" i="1"/>
  <c r="AU630" i="1"/>
  <c r="AV630" i="1"/>
  <c r="AW630" i="1"/>
  <c r="AU560" i="1"/>
  <c r="AV560" i="1"/>
  <c r="AW560" i="1"/>
  <c r="AU516" i="1"/>
  <c r="AW516" i="1"/>
  <c r="AU497" i="1"/>
  <c r="AV497" i="1"/>
  <c r="AU451" i="1"/>
  <c r="AV451" i="1"/>
  <c r="AW451" i="1"/>
  <c r="AU364" i="1"/>
  <c r="AU319" i="1"/>
  <c r="AV319" i="1"/>
  <c r="AU314" i="1"/>
  <c r="AV314" i="1"/>
  <c r="AU613" i="1"/>
  <c r="AU291" i="1"/>
  <c r="AV291" i="1"/>
  <c r="AW291" i="1"/>
  <c r="AW669" i="1"/>
  <c r="AW646" i="1"/>
  <c r="AW632" i="1"/>
  <c r="AW621" i="1"/>
  <c r="AU610" i="1"/>
  <c r="AV610" i="1"/>
  <c r="AW610" i="1"/>
  <c r="AV598" i="1"/>
  <c r="AW598" i="1"/>
  <c r="AU547" i="1"/>
  <c r="AU512" i="1"/>
  <c r="AV512" i="1"/>
  <c r="AU476" i="1"/>
  <c r="AW476" i="1"/>
  <c r="AU472" i="1"/>
  <c r="AV347" i="1"/>
  <c r="AW347" i="1"/>
  <c r="AV217" i="1"/>
  <c r="AW217" i="1"/>
  <c r="AV669" i="1"/>
  <c r="AV646" i="1"/>
  <c r="AW643" i="1"/>
  <c r="AV632" i="1"/>
  <c r="AV621" i="1"/>
  <c r="AV618" i="1"/>
  <c r="AW559" i="1"/>
  <c r="AU537" i="1"/>
  <c r="AU527" i="1"/>
  <c r="AW519" i="1"/>
  <c r="AU504" i="1"/>
  <c r="AU484" i="1"/>
  <c r="AV484" i="1"/>
  <c r="AW484" i="1"/>
  <c r="AU459" i="1"/>
  <c r="AU455" i="1"/>
  <c r="AU436" i="1"/>
  <c r="AV436" i="1"/>
  <c r="AW436" i="1"/>
  <c r="AV422" i="1"/>
  <c r="AW422" i="1"/>
  <c r="AU379" i="1"/>
  <c r="AV379" i="1"/>
  <c r="AW379" i="1"/>
  <c r="AU309" i="1"/>
  <c r="AV309" i="1"/>
  <c r="AU254" i="1"/>
  <c r="AV254" i="1"/>
  <c r="AW254" i="1"/>
  <c r="AU222" i="1"/>
  <c r="AW222" i="1"/>
  <c r="AW759" i="1"/>
  <c r="AW754" i="1"/>
  <c r="AW749" i="1"/>
  <c r="AW744" i="1"/>
  <c r="AW739" i="1"/>
  <c r="AW734" i="1"/>
  <c r="AW729" i="1"/>
  <c r="AW724" i="1"/>
  <c r="AW719" i="1"/>
  <c r="AW714" i="1"/>
  <c r="AW709" i="1"/>
  <c r="AW704" i="1"/>
  <c r="AW699" i="1"/>
  <c r="AW694" i="1"/>
  <c r="AW689" i="1"/>
  <c r="AW684" i="1"/>
  <c r="AW679" i="1"/>
  <c r="AW656" i="1"/>
  <c r="AU635" i="1"/>
  <c r="AV635" i="1"/>
  <c r="AW635" i="1"/>
  <c r="AW612" i="1"/>
  <c r="AU598" i="1"/>
  <c r="AV559" i="1"/>
  <c r="AU550" i="1"/>
  <c r="AV550" i="1"/>
  <c r="AW550" i="1"/>
  <c r="AU500" i="1"/>
  <c r="AU496" i="1"/>
  <c r="AW496" i="1"/>
  <c r="AU480" i="1"/>
  <c r="AU441" i="1"/>
  <c r="AU422" i="1"/>
  <c r="AU391" i="1"/>
  <c r="AW391" i="1"/>
  <c r="AU304" i="1"/>
  <c r="AV304" i="1"/>
  <c r="AU595" i="1"/>
  <c r="AV595" i="1"/>
  <c r="AW595" i="1"/>
  <c r="AV588" i="1"/>
  <c r="AW588" i="1"/>
  <c r="AV578" i="1"/>
  <c r="AW578" i="1"/>
  <c r="AU435" i="1"/>
  <c r="AV435" i="1"/>
  <c r="AW435" i="1"/>
  <c r="AU351" i="1"/>
  <c r="AW351" i="1"/>
  <c r="AV351" i="1"/>
  <c r="AW648" i="1"/>
  <c r="AW626" i="1"/>
  <c r="AU618" i="1"/>
  <c r="AU585" i="1"/>
  <c r="AV585" i="1"/>
  <c r="AW585" i="1"/>
  <c r="AU540" i="1"/>
  <c r="AV540" i="1"/>
  <c r="AW540" i="1"/>
  <c r="AU530" i="1"/>
  <c r="AV530" i="1"/>
  <c r="AW530" i="1"/>
  <c r="AU515" i="1"/>
  <c r="AU511" i="1"/>
  <c r="AW511" i="1"/>
  <c r="AU492" i="1"/>
  <c r="AU471" i="1"/>
  <c r="AW471" i="1"/>
  <c r="AU467" i="1"/>
  <c r="AU454" i="1"/>
  <c r="AU450" i="1"/>
  <c r="AU411" i="1"/>
  <c r="AV411" i="1"/>
  <c r="AW411" i="1"/>
  <c r="AU398" i="1"/>
  <c r="AU371" i="1"/>
  <c r="AW371" i="1"/>
  <c r="AU299" i="1"/>
  <c r="AV299" i="1"/>
  <c r="AU615" i="1"/>
  <c r="AV615" i="1"/>
  <c r="AW615" i="1"/>
  <c r="AU575" i="1"/>
  <c r="AV575" i="1"/>
  <c r="AW575" i="1"/>
  <c r="AU526" i="1"/>
  <c r="AW526" i="1"/>
  <c r="AU479" i="1"/>
  <c r="AV479" i="1"/>
  <c r="AW479" i="1"/>
  <c r="AV327" i="1"/>
  <c r="AW327" i="1"/>
  <c r="AU640" i="1"/>
  <c r="AV640" i="1"/>
  <c r="AW640" i="1"/>
  <c r="AV603" i="1"/>
  <c r="AW603" i="1"/>
  <c r="AU591" i="1"/>
  <c r="AU507" i="1"/>
  <c r="AV507" i="1"/>
  <c r="AV499" i="1"/>
  <c r="AU475" i="1"/>
  <c r="AV440" i="1"/>
  <c r="AU426" i="1"/>
  <c r="AU271" i="1"/>
  <c r="AV271" i="1"/>
  <c r="AW271" i="1"/>
  <c r="AU565" i="1"/>
  <c r="AV565" i="1"/>
  <c r="AW565" i="1"/>
  <c r="AU416" i="1"/>
  <c r="AV416" i="1"/>
  <c r="AW416" i="1"/>
  <c r="AU289" i="1"/>
  <c r="AV289" i="1"/>
  <c r="AW668" i="1"/>
  <c r="AV663" i="1"/>
  <c r="AW642" i="1"/>
  <c r="AW631" i="1"/>
  <c r="AV617" i="1"/>
  <c r="AW614" i="1"/>
  <c r="AU603" i="1"/>
  <c r="AW587" i="1"/>
  <c r="AV584" i="1"/>
  <c r="AW577" i="1"/>
  <c r="AW574" i="1"/>
  <c r="AU522" i="1"/>
  <c r="AU495" i="1"/>
  <c r="AU491" i="1"/>
  <c r="AW491" i="1"/>
  <c r="AU487" i="1"/>
  <c r="AU466" i="1"/>
  <c r="AW466" i="1"/>
  <c r="AU462" i="1"/>
  <c r="AU331" i="1"/>
  <c r="AV331" i="1"/>
  <c r="AW331" i="1"/>
  <c r="AU284" i="1"/>
  <c r="AW284" i="1"/>
  <c r="AV284" i="1"/>
  <c r="AV275" i="1"/>
  <c r="AW275" i="1"/>
  <c r="AW673" i="1"/>
  <c r="AV668" i="1"/>
  <c r="AW639" i="1"/>
  <c r="AW628" i="1"/>
  <c r="AU623" i="1"/>
  <c r="AU600" i="1"/>
  <c r="AV600" i="1"/>
  <c r="AW600" i="1"/>
  <c r="AV587" i="1"/>
  <c r="AV577" i="1"/>
  <c r="AV574" i="1"/>
  <c r="AU539" i="1"/>
  <c r="AU529" i="1"/>
  <c r="AU514" i="1"/>
  <c r="AU474" i="1"/>
  <c r="AV474" i="1"/>
  <c r="AW474" i="1"/>
  <c r="AU444" i="1"/>
  <c r="AW758" i="1"/>
  <c r="AW753" i="1"/>
  <c r="AW748" i="1"/>
  <c r="AW743" i="1"/>
  <c r="AW738" i="1"/>
  <c r="AW733" i="1"/>
  <c r="AW728" i="1"/>
  <c r="AW723" i="1"/>
  <c r="AW718" i="1"/>
  <c r="AW713" i="1"/>
  <c r="AW708" i="1"/>
  <c r="AW703" i="1"/>
  <c r="AW698" i="1"/>
  <c r="AW693" i="1"/>
  <c r="AW688" i="1"/>
  <c r="AW683" i="1"/>
  <c r="AW678" i="1"/>
  <c r="AV673" i="1"/>
  <c r="AW655" i="1"/>
  <c r="AU645" i="1"/>
  <c r="AV645" i="1"/>
  <c r="AW645" i="1"/>
  <c r="AV639" i="1"/>
  <c r="AV628" i="1"/>
  <c r="AU620" i="1"/>
  <c r="AV620" i="1"/>
  <c r="AW620" i="1"/>
  <c r="AW611" i="1"/>
  <c r="AW567" i="1"/>
  <c r="AU555" i="1"/>
  <c r="AV555" i="1"/>
  <c r="AW555" i="1"/>
  <c r="AU506" i="1"/>
  <c r="AW506" i="1"/>
  <c r="AU439" i="1"/>
  <c r="AV439" i="1"/>
  <c r="AW439" i="1"/>
  <c r="AW429" i="1"/>
  <c r="AU389" i="1"/>
  <c r="AV389" i="1"/>
  <c r="AW389" i="1"/>
  <c r="AU335" i="1"/>
  <c r="AV307" i="1"/>
  <c r="AW307" i="1"/>
  <c r="AU279" i="1"/>
  <c r="AW279" i="1"/>
  <c r="AV279" i="1"/>
  <c r="AV758" i="1"/>
  <c r="AV753" i="1"/>
  <c r="AV748" i="1"/>
  <c r="AV743" i="1"/>
  <c r="AV738" i="1"/>
  <c r="AV733" i="1"/>
  <c r="AV728" i="1"/>
  <c r="AV723" i="1"/>
  <c r="AV718" i="1"/>
  <c r="AV713" i="1"/>
  <c r="AV708" i="1"/>
  <c r="AV703" i="1"/>
  <c r="AV698" i="1"/>
  <c r="AV693" i="1"/>
  <c r="AV688" i="1"/>
  <c r="AV683" i="1"/>
  <c r="AV678" i="1"/>
  <c r="AW660" i="1"/>
  <c r="AV655" i="1"/>
  <c r="AV611" i="1"/>
  <c r="AV608" i="1"/>
  <c r="AW602" i="1"/>
  <c r="AV567" i="1"/>
  <c r="AV564" i="1"/>
  <c r="AU542" i="1"/>
  <c r="AU532" i="1"/>
  <c r="AU525" i="1"/>
  <c r="AV525" i="1"/>
  <c r="AW525" i="1"/>
  <c r="AW517" i="1"/>
  <c r="AU349" i="1"/>
  <c r="AV349" i="1"/>
  <c r="AW665" i="1"/>
  <c r="AV660" i="1"/>
  <c r="AW647" i="1"/>
  <c r="AW636" i="1"/>
  <c r="AW622" i="1"/>
  <c r="AV602" i="1"/>
  <c r="AW599" i="1"/>
  <c r="AV593" i="1"/>
  <c r="AW593" i="1"/>
  <c r="AW557" i="1"/>
  <c r="AU521" i="1"/>
  <c r="AW521" i="1"/>
  <c r="AU502" i="1"/>
  <c r="AV502" i="1"/>
  <c r="AU486" i="1"/>
  <c r="AW486" i="1"/>
  <c r="AU461" i="1"/>
  <c r="AW461" i="1"/>
  <c r="AU438" i="1"/>
  <c r="AW438" i="1"/>
  <c r="AV438" i="1"/>
  <c r="AU369" i="1"/>
  <c r="AV369" i="1"/>
  <c r="AW369" i="1"/>
  <c r="AV361" i="1"/>
  <c r="AU344" i="1"/>
  <c r="AV344" i="1"/>
  <c r="AV265" i="1"/>
  <c r="AW265" i="1"/>
  <c r="AW670" i="1"/>
  <c r="AV665" i="1"/>
  <c r="AU650" i="1"/>
  <c r="AW633" i="1"/>
  <c r="AV583" i="1"/>
  <c r="AW583" i="1"/>
  <c r="AU545" i="1"/>
  <c r="AV545" i="1"/>
  <c r="AW545" i="1"/>
  <c r="AW509" i="1"/>
  <c r="AU494" i="1"/>
  <c r="AU469" i="1"/>
  <c r="AV469" i="1"/>
  <c r="AW469" i="1"/>
  <c r="AV447" i="1"/>
  <c r="AU429" i="1"/>
  <c r="AU414" i="1"/>
  <c r="AV414" i="1"/>
  <c r="AW414" i="1"/>
  <c r="AV404" i="1"/>
  <c r="AU381" i="1"/>
  <c r="AW381" i="1"/>
  <c r="AU339" i="1"/>
  <c r="AV339" i="1"/>
  <c r="AU334" i="1"/>
  <c r="AV334" i="1"/>
  <c r="AU311" i="1"/>
  <c r="AV311" i="1"/>
  <c r="AW311" i="1"/>
  <c r="AV492" i="1"/>
  <c r="AV487" i="1"/>
  <c r="AV482" i="1"/>
  <c r="AV477" i="1"/>
  <c r="AV472" i="1"/>
  <c r="AV467" i="1"/>
  <c r="AV462" i="1"/>
  <c r="AV457" i="1"/>
  <c r="AV452" i="1"/>
  <c r="AV441" i="1"/>
  <c r="AV426" i="1"/>
  <c r="AU420" i="1"/>
  <c r="AV417" i="1"/>
  <c r="AV394" i="1"/>
  <c r="AV384" i="1"/>
  <c r="AV374" i="1"/>
  <c r="AV364" i="1"/>
  <c r="AW354" i="1"/>
  <c r="AV245" i="1"/>
  <c r="AW245" i="1"/>
  <c r="AU241" i="1"/>
  <c r="AV241" i="1"/>
  <c r="AW241" i="1"/>
  <c r="AU232" i="1"/>
  <c r="AU217" i="1"/>
  <c r="AU212" i="1"/>
  <c r="AV212" i="1"/>
  <c r="AW212" i="1"/>
  <c r="AV154" i="1"/>
  <c r="AU423" i="1"/>
  <c r="AW357" i="1"/>
  <c r="AV294" i="1"/>
  <c r="AU249" i="1"/>
  <c r="AV249" i="1"/>
  <c r="AW249" i="1"/>
  <c r="AU245" i="1"/>
  <c r="AV222" i="1"/>
  <c r="AV198" i="1"/>
  <c r="AU173" i="1"/>
  <c r="AV173" i="1"/>
  <c r="AV163" i="1"/>
  <c r="AU158" i="1"/>
  <c r="AV158" i="1"/>
  <c r="AW158" i="1"/>
  <c r="AU49" i="1"/>
  <c r="AV49" i="1"/>
  <c r="AW49" i="1"/>
  <c r="AU274" i="1"/>
  <c r="AW274" i="1"/>
  <c r="AV270" i="1"/>
  <c r="AW270" i="1"/>
  <c r="AU236" i="1"/>
  <c r="AV236" i="1"/>
  <c r="AW236" i="1"/>
  <c r="AU168" i="1"/>
  <c r="AV168" i="1"/>
  <c r="AW168" i="1"/>
  <c r="AU69" i="1"/>
  <c r="AV69" i="1"/>
  <c r="AW69" i="1"/>
  <c r="AW459" i="1"/>
  <c r="AW454" i="1"/>
  <c r="AW449" i="1"/>
  <c r="AW419" i="1"/>
  <c r="AU342" i="1"/>
  <c r="AW334" i="1"/>
  <c r="AU330" i="1"/>
  <c r="AU322" i="1"/>
  <c r="AW314" i="1"/>
  <c r="AU310" i="1"/>
  <c r="AW294" i="1"/>
  <c r="AU290" i="1"/>
  <c r="AU270" i="1"/>
  <c r="AV240" i="1"/>
  <c r="AW240" i="1"/>
  <c r="AU211" i="1"/>
  <c r="AV211" i="1"/>
  <c r="AW211" i="1"/>
  <c r="AU153" i="1"/>
  <c r="AV153" i="1"/>
  <c r="AW153" i="1"/>
  <c r="AV459" i="1"/>
  <c r="AV454" i="1"/>
  <c r="AV449" i="1"/>
  <c r="AV419" i="1"/>
  <c r="AU346" i="1"/>
  <c r="AV346" i="1"/>
  <c r="AW346" i="1"/>
  <c r="AU326" i="1"/>
  <c r="AV326" i="1"/>
  <c r="AW326" i="1"/>
  <c r="AU306" i="1"/>
  <c r="AV306" i="1"/>
  <c r="AW306" i="1"/>
  <c r="AU286" i="1"/>
  <c r="AV286" i="1"/>
  <c r="AW286" i="1"/>
  <c r="AU266" i="1"/>
  <c r="AV266" i="1"/>
  <c r="AW266" i="1"/>
  <c r="AU244" i="1"/>
  <c r="AV244" i="1"/>
  <c r="AW244" i="1"/>
  <c r="AU240" i="1"/>
  <c r="AU231" i="1"/>
  <c r="AV231" i="1"/>
  <c r="AW231" i="1"/>
  <c r="AU216" i="1"/>
  <c r="AV216" i="1"/>
  <c r="AW216" i="1"/>
  <c r="AU202" i="1"/>
  <c r="AW202" i="1"/>
  <c r="AV202" i="1"/>
  <c r="AW437" i="1"/>
  <c r="AW434" i="1"/>
  <c r="AW409" i="1"/>
  <c r="AW406" i="1"/>
  <c r="AV235" i="1"/>
  <c r="AW235" i="1"/>
  <c r="AV226" i="1"/>
  <c r="AW226" i="1"/>
  <c r="AU221" i="1"/>
  <c r="AV221" i="1"/>
  <c r="AW221" i="1"/>
  <c r="AV446" i="1"/>
  <c r="AV437" i="1"/>
  <c r="AV434" i="1"/>
  <c r="AW431" i="1"/>
  <c r="AV409" i="1"/>
  <c r="AV406" i="1"/>
  <c r="AU400" i="1"/>
  <c r="AV397" i="1"/>
  <c r="AU390" i="1"/>
  <c r="AV387" i="1"/>
  <c r="AU380" i="1"/>
  <c r="AV377" i="1"/>
  <c r="AU370" i="1"/>
  <c r="AV367" i="1"/>
  <c r="AU360" i="1"/>
  <c r="AU235" i="1"/>
  <c r="AU226" i="1"/>
  <c r="AU206" i="1"/>
  <c r="AW586" i="1"/>
  <c r="AW581" i="1"/>
  <c r="AU403" i="1"/>
  <c r="AW337" i="1"/>
  <c r="AW317" i="1"/>
  <c r="AW297" i="1"/>
  <c r="AW277" i="1"/>
  <c r="AU230" i="1"/>
  <c r="AV230" i="1"/>
  <c r="AW230" i="1"/>
  <c r="AV201" i="1"/>
  <c r="AW201" i="1"/>
  <c r="AU443" i="1"/>
  <c r="AW443" i="1"/>
  <c r="AU428" i="1"/>
  <c r="AU425" i="1"/>
  <c r="AV425" i="1"/>
  <c r="AW425" i="1"/>
  <c r="AW349" i="1"/>
  <c r="AU345" i="1"/>
  <c r="AW329" i="1"/>
  <c r="AU325" i="1"/>
  <c r="AW309" i="1"/>
  <c r="AU305" i="1"/>
  <c r="AW289" i="1"/>
  <c r="AU285" i="1"/>
  <c r="AU265" i="1"/>
  <c r="AU261" i="1"/>
  <c r="AV261" i="1"/>
  <c r="AW261" i="1"/>
  <c r="AU239" i="1"/>
  <c r="AV239" i="1"/>
  <c r="AW239" i="1"/>
  <c r="AV210" i="1"/>
  <c r="AW210" i="1"/>
  <c r="AV188" i="1"/>
  <c r="AW188" i="1"/>
  <c r="AU440" i="1"/>
  <c r="AW440" i="1"/>
  <c r="AU341" i="1"/>
  <c r="AV341" i="1"/>
  <c r="AW341" i="1"/>
  <c r="AU321" i="1"/>
  <c r="AV321" i="1"/>
  <c r="AW321" i="1"/>
  <c r="AU301" i="1"/>
  <c r="AV301" i="1"/>
  <c r="AW301" i="1"/>
  <c r="AU281" i="1"/>
  <c r="AV281" i="1"/>
  <c r="AW281" i="1"/>
  <c r="AV234" i="1"/>
  <c r="AW234" i="1"/>
  <c r="AU220" i="1"/>
  <c r="AV220" i="1"/>
  <c r="AU188" i="1"/>
  <c r="AU152" i="1"/>
  <c r="AW152" i="1"/>
  <c r="AV152" i="1"/>
  <c r="AW402" i="1"/>
  <c r="AV399" i="1"/>
  <c r="AU356" i="1"/>
  <c r="AW356" i="1"/>
  <c r="AW568" i="1"/>
  <c r="AW563" i="1"/>
  <c r="AW558" i="1"/>
  <c r="AW553" i="1"/>
  <c r="AW548" i="1"/>
  <c r="AW543" i="1"/>
  <c r="AW538" i="1"/>
  <c r="AW533" i="1"/>
  <c r="AW528" i="1"/>
  <c r="AW523" i="1"/>
  <c r="AW518" i="1"/>
  <c r="AW513" i="1"/>
  <c r="AW508" i="1"/>
  <c r="AW503" i="1"/>
  <c r="AW498" i="1"/>
  <c r="AW493" i="1"/>
  <c r="AW488" i="1"/>
  <c r="AW483" i="1"/>
  <c r="AW478" i="1"/>
  <c r="AW473" i="1"/>
  <c r="AW468" i="1"/>
  <c r="AW463" i="1"/>
  <c r="AW458" i="1"/>
  <c r="AW453" i="1"/>
  <c r="AW442" i="1"/>
  <c r="AW427" i="1"/>
  <c r="AW424" i="1"/>
  <c r="AU415" i="1"/>
  <c r="AV412" i="1"/>
  <c r="AU402" i="1"/>
  <c r="AU264" i="1"/>
  <c r="AV264" i="1"/>
  <c r="AW264" i="1"/>
  <c r="AV260" i="1"/>
  <c r="AW260" i="1"/>
  <c r="AU256" i="1"/>
  <c r="AV256" i="1"/>
  <c r="AW256" i="1"/>
  <c r="AU205" i="1"/>
  <c r="AV205" i="1"/>
  <c r="AW205" i="1"/>
  <c r="AU183" i="1"/>
  <c r="AV183" i="1"/>
  <c r="AW183" i="1"/>
  <c r="AU134" i="1"/>
  <c r="AV134" i="1"/>
  <c r="AW134" i="1"/>
  <c r="AU396" i="1"/>
  <c r="AW396" i="1"/>
  <c r="AU386" i="1"/>
  <c r="AW386" i="1"/>
  <c r="AU376" i="1"/>
  <c r="AW376" i="1"/>
  <c r="AU366" i="1"/>
  <c r="AW366" i="1"/>
  <c r="AW362" i="1"/>
  <c r="AW359" i="1"/>
  <c r="AV352" i="1"/>
  <c r="AW332" i="1"/>
  <c r="AW312" i="1"/>
  <c r="AW292" i="1"/>
  <c r="AU260" i="1"/>
  <c r="AW156" i="1"/>
  <c r="AU156" i="1"/>
  <c r="AV156" i="1"/>
  <c r="AU147" i="1"/>
  <c r="AW147" i="1"/>
  <c r="AV147" i="1"/>
  <c r="AU138" i="1"/>
  <c r="AU34" i="1"/>
  <c r="AV34" i="1"/>
  <c r="AW34" i="1"/>
  <c r="AU418" i="1"/>
  <c r="AW344" i="1"/>
  <c r="AU340" i="1"/>
  <c r="AU332" i="1"/>
  <c r="AW324" i="1"/>
  <c r="AU320" i="1"/>
  <c r="AU312" i="1"/>
  <c r="AW304" i="1"/>
  <c r="AU300" i="1"/>
  <c r="AU292" i="1"/>
  <c r="AU280" i="1"/>
  <c r="AU272" i="1"/>
  <c r="AU46" i="1"/>
  <c r="AV46" i="1"/>
  <c r="AU448" i="1"/>
  <c r="AW448" i="1"/>
  <c r="AU336" i="1"/>
  <c r="AV336" i="1"/>
  <c r="AW336" i="1"/>
  <c r="AU316" i="1"/>
  <c r="AV316" i="1"/>
  <c r="AW316" i="1"/>
  <c r="AU296" i="1"/>
  <c r="AV296" i="1"/>
  <c r="AW296" i="1"/>
  <c r="AU276" i="1"/>
  <c r="AV276" i="1"/>
  <c r="AW276" i="1"/>
  <c r="AV255" i="1"/>
  <c r="AW255" i="1"/>
  <c r="AU251" i="1"/>
  <c r="AV251" i="1"/>
  <c r="AW251" i="1"/>
  <c r="AV233" i="1"/>
  <c r="AW233" i="1"/>
  <c r="AW520" i="1"/>
  <c r="AW515" i="1"/>
  <c r="AW510" i="1"/>
  <c r="AW505" i="1"/>
  <c r="AW500" i="1"/>
  <c r="AW495" i="1"/>
  <c r="AW490" i="1"/>
  <c r="AW485" i="1"/>
  <c r="AW480" i="1"/>
  <c r="AW475" i="1"/>
  <c r="AW470" i="1"/>
  <c r="AW465" i="1"/>
  <c r="AW460" i="1"/>
  <c r="AW455" i="1"/>
  <c r="AW450" i="1"/>
  <c r="AU445" i="1"/>
  <c r="AW445" i="1"/>
  <c r="AU433" i="1"/>
  <c r="AU430" i="1"/>
  <c r="AV430" i="1"/>
  <c r="AW430" i="1"/>
  <c r="AU408" i="1"/>
  <c r="AU259" i="1"/>
  <c r="AV259" i="1"/>
  <c r="AW259" i="1"/>
  <c r="AU255" i="1"/>
  <c r="AU242" i="1"/>
  <c r="AV228" i="1"/>
  <c r="AW228" i="1"/>
  <c r="AU223" i="1"/>
  <c r="AV223" i="1"/>
  <c r="AW223" i="1"/>
  <c r="AU191" i="1"/>
  <c r="AV191" i="1"/>
  <c r="AW191" i="1"/>
  <c r="AU178" i="1"/>
  <c r="AU165" i="1"/>
  <c r="AV165" i="1"/>
  <c r="AW165" i="1"/>
  <c r="AW96" i="1"/>
  <c r="AU96" i="1"/>
  <c r="AV96" i="1"/>
  <c r="AV520" i="1"/>
  <c r="AV515" i="1"/>
  <c r="AV510" i="1"/>
  <c r="AV505" i="1"/>
  <c r="AV500" i="1"/>
  <c r="AV495" i="1"/>
  <c r="AV490" i="1"/>
  <c r="AV485" i="1"/>
  <c r="AV480" i="1"/>
  <c r="AV475" i="1"/>
  <c r="AV470" i="1"/>
  <c r="AV465" i="1"/>
  <c r="AV460" i="1"/>
  <c r="AV455" i="1"/>
  <c r="AV450" i="1"/>
  <c r="AW417" i="1"/>
  <c r="AV392" i="1"/>
  <c r="AV382" i="1"/>
  <c r="AV372" i="1"/>
  <c r="AV362" i="1"/>
  <c r="AU218" i="1"/>
  <c r="AV218" i="1"/>
  <c r="AW218" i="1"/>
  <c r="AW146" i="1"/>
  <c r="AU146" i="1"/>
  <c r="AV146" i="1"/>
  <c r="AU417" i="1"/>
  <c r="AV354" i="1"/>
  <c r="AV250" i="1"/>
  <c r="AW250" i="1"/>
  <c r="AU246" i="1"/>
  <c r="AV246" i="1"/>
  <c r="AW246" i="1"/>
  <c r="AU237" i="1"/>
  <c r="AU213" i="1"/>
  <c r="AV213" i="1"/>
  <c r="AW213" i="1"/>
  <c r="AU208" i="1"/>
  <c r="AV208" i="1"/>
  <c r="AW208" i="1"/>
  <c r="AV199" i="1"/>
  <c r="AV150" i="1"/>
  <c r="AW150" i="1"/>
  <c r="AW229" i="1"/>
  <c r="AV203" i="1"/>
  <c r="AW181" i="1"/>
  <c r="AV160" i="1"/>
  <c r="AV151" i="1"/>
  <c r="AV148" i="1"/>
  <c r="AW116" i="1"/>
  <c r="AU116" i="1"/>
  <c r="AV229" i="1"/>
  <c r="AU214" i="1"/>
  <c r="AU203" i="1"/>
  <c r="AW200" i="1"/>
  <c r="AU172" i="1"/>
  <c r="AW172" i="1"/>
  <c r="AU169" i="1"/>
  <c r="AW169" i="1"/>
  <c r="AU160" i="1"/>
  <c r="AU151" i="1"/>
  <c r="AU148" i="1"/>
  <c r="AU129" i="1"/>
  <c r="AV129" i="1"/>
  <c r="AW129" i="1"/>
  <c r="AU89" i="1"/>
  <c r="AV89" i="1"/>
  <c r="AW89" i="1"/>
  <c r="AU48" i="1"/>
  <c r="AV48" i="1"/>
  <c r="AW48" i="1"/>
  <c r="AW36" i="1"/>
  <c r="AV6" i="1"/>
  <c r="AU219" i="1"/>
  <c r="AV200" i="1"/>
  <c r="AU192" i="1"/>
  <c r="AW192" i="1"/>
  <c r="AW166" i="1"/>
  <c r="AW111" i="1"/>
  <c r="AU111" i="1"/>
  <c r="AU84" i="1"/>
  <c r="AV84" i="1"/>
  <c r="AW84" i="1"/>
  <c r="AU64" i="1"/>
  <c r="AV64" i="1"/>
  <c r="AW64" i="1"/>
  <c r="AU24" i="1"/>
  <c r="AV24" i="1"/>
  <c r="AW24" i="1"/>
  <c r="AU224" i="1"/>
  <c r="AU157" i="1"/>
  <c r="AW157" i="1"/>
  <c r="AU154" i="1"/>
  <c r="AW154" i="1"/>
  <c r="AU141" i="1"/>
  <c r="AW133" i="1"/>
  <c r="AU124" i="1"/>
  <c r="AV124" i="1"/>
  <c r="AW124" i="1"/>
  <c r="AU93" i="1"/>
  <c r="AW76" i="1"/>
  <c r="AW56" i="1"/>
  <c r="AU189" i="1"/>
  <c r="AW189" i="1"/>
  <c r="AW106" i="1"/>
  <c r="AU106" i="1"/>
  <c r="AU39" i="1"/>
  <c r="AV39" i="1"/>
  <c r="AW39" i="1"/>
  <c r="AU234" i="1"/>
  <c r="AU128" i="1"/>
  <c r="AW128" i="1"/>
  <c r="AU197" i="1"/>
  <c r="AW197" i="1"/>
  <c r="AW101" i="1"/>
  <c r="AU101" i="1"/>
  <c r="AU177" i="1"/>
  <c r="AW177" i="1"/>
  <c r="AU174" i="1"/>
  <c r="AW174" i="1"/>
  <c r="AU144" i="1"/>
  <c r="AW144" i="1"/>
  <c r="AU119" i="1"/>
  <c r="AV119" i="1"/>
  <c r="AW119" i="1"/>
  <c r="AU79" i="1"/>
  <c r="AV79" i="1"/>
  <c r="AW79" i="1"/>
  <c r="AU59" i="1"/>
  <c r="AV59" i="1"/>
  <c r="AW59" i="1"/>
  <c r="AW31" i="1"/>
  <c r="AU194" i="1"/>
  <c r="AW194" i="1"/>
  <c r="AW171" i="1"/>
  <c r="AU140" i="1"/>
  <c r="AW140" i="1"/>
  <c r="AW136" i="1"/>
  <c r="AU136" i="1"/>
  <c r="AU19" i="1"/>
  <c r="AV19" i="1"/>
  <c r="AW19" i="1"/>
  <c r="AU14" i="1"/>
  <c r="AV14" i="1"/>
  <c r="AW14" i="1"/>
  <c r="AW433" i="1"/>
  <c r="AW428" i="1"/>
  <c r="AW423" i="1"/>
  <c r="AW418" i="1"/>
  <c r="AW413" i="1"/>
  <c r="AW408" i="1"/>
  <c r="AW403" i="1"/>
  <c r="AW398" i="1"/>
  <c r="AW393" i="1"/>
  <c r="AW388" i="1"/>
  <c r="AW383" i="1"/>
  <c r="AW378" i="1"/>
  <c r="AW373" i="1"/>
  <c r="AW368" i="1"/>
  <c r="AW363" i="1"/>
  <c r="AW358" i="1"/>
  <c r="AW353" i="1"/>
  <c r="AW348" i="1"/>
  <c r="AW343" i="1"/>
  <c r="AU162" i="1"/>
  <c r="AW162" i="1"/>
  <c r="AU159" i="1"/>
  <c r="AW159" i="1"/>
  <c r="AU123" i="1"/>
  <c r="AW123" i="1"/>
  <c r="AU114" i="1"/>
  <c r="AV114" i="1"/>
  <c r="AW114" i="1"/>
  <c r="AW46" i="1"/>
  <c r="AU9" i="1"/>
  <c r="AV9" i="1"/>
  <c r="AW9" i="1"/>
  <c r="AW225" i="1"/>
  <c r="AW193" i="1"/>
  <c r="AW170" i="1"/>
  <c r="AU118" i="1"/>
  <c r="AW118" i="1"/>
  <c r="AU109" i="1"/>
  <c r="AV109" i="1"/>
  <c r="AW109" i="1"/>
  <c r="AU199" i="1"/>
  <c r="AW199" i="1"/>
  <c r="AW131" i="1"/>
  <c r="AU131" i="1"/>
  <c r="AU74" i="1"/>
  <c r="AV74" i="1"/>
  <c r="AW74" i="1"/>
  <c r="AU54" i="1"/>
  <c r="AV54" i="1"/>
  <c r="AW54" i="1"/>
  <c r="AU18" i="1"/>
  <c r="AV18" i="1"/>
  <c r="AW18" i="1"/>
  <c r="AU13" i="1"/>
  <c r="AV13" i="1"/>
  <c r="AW13" i="1"/>
  <c r="AU4" i="1"/>
  <c r="AV4" i="1"/>
  <c r="AW4" i="1"/>
  <c r="AW420" i="1"/>
  <c r="AW415" i="1"/>
  <c r="AW410" i="1"/>
  <c r="AW405" i="1"/>
  <c r="AW400" i="1"/>
  <c r="AW395" i="1"/>
  <c r="AW390" i="1"/>
  <c r="AW385" i="1"/>
  <c r="AW380" i="1"/>
  <c r="AW375" i="1"/>
  <c r="AW370" i="1"/>
  <c r="AW365" i="1"/>
  <c r="AW360" i="1"/>
  <c r="AW355" i="1"/>
  <c r="AW350" i="1"/>
  <c r="AW345" i="1"/>
  <c r="AW340" i="1"/>
  <c r="AW335" i="1"/>
  <c r="AW330" i="1"/>
  <c r="AW325" i="1"/>
  <c r="AW320" i="1"/>
  <c r="AW315" i="1"/>
  <c r="AW310" i="1"/>
  <c r="AW305" i="1"/>
  <c r="AW300" i="1"/>
  <c r="AW295" i="1"/>
  <c r="AW290" i="1"/>
  <c r="AW285" i="1"/>
  <c r="AW280" i="1"/>
  <c r="AW190" i="1"/>
  <c r="AU182" i="1"/>
  <c r="AW182" i="1"/>
  <c r="AU179" i="1"/>
  <c r="AW179" i="1"/>
  <c r="AW155" i="1"/>
  <c r="AU139" i="1"/>
  <c r="AV139" i="1"/>
  <c r="AW139" i="1"/>
  <c r="AU104" i="1"/>
  <c r="AV104" i="1"/>
  <c r="AW104" i="1"/>
  <c r="AW86" i="1"/>
  <c r="AW66" i="1"/>
  <c r="AW26" i="1"/>
  <c r="AU8" i="1"/>
  <c r="AV8" i="1"/>
  <c r="AW8" i="1"/>
  <c r="AV420" i="1"/>
  <c r="AV415" i="1"/>
  <c r="AV410" i="1"/>
  <c r="AV405" i="1"/>
  <c r="AV400" i="1"/>
  <c r="AV395" i="1"/>
  <c r="AV390" i="1"/>
  <c r="AV385" i="1"/>
  <c r="AV380" i="1"/>
  <c r="AV375" i="1"/>
  <c r="AV370" i="1"/>
  <c r="AV365" i="1"/>
  <c r="AV360" i="1"/>
  <c r="AV355" i="1"/>
  <c r="AV350" i="1"/>
  <c r="AV345" i="1"/>
  <c r="AV340" i="1"/>
  <c r="AV335" i="1"/>
  <c r="AV330" i="1"/>
  <c r="AV325" i="1"/>
  <c r="AV320" i="1"/>
  <c r="AV315" i="1"/>
  <c r="AV310" i="1"/>
  <c r="AV305" i="1"/>
  <c r="AV300" i="1"/>
  <c r="AV295" i="1"/>
  <c r="AV290" i="1"/>
  <c r="AU207" i="1"/>
  <c r="AW176" i="1"/>
  <c r="AW143" i="1"/>
  <c r="AW126" i="1"/>
  <c r="AU126" i="1"/>
  <c r="AV41" i="1"/>
  <c r="AW227" i="1"/>
  <c r="AW198" i="1"/>
  <c r="AU167" i="1"/>
  <c r="AW167" i="1"/>
  <c r="AU164" i="1"/>
  <c r="AW164" i="1"/>
  <c r="AU108" i="1"/>
  <c r="AU99" i="1"/>
  <c r="AV99" i="1"/>
  <c r="AW99" i="1"/>
  <c r="AW41" i="1"/>
  <c r="AW232" i="1"/>
  <c r="AU204" i="1"/>
  <c r="AW204" i="1"/>
  <c r="AV181" i="1"/>
  <c r="AW178" i="1"/>
  <c r="AW161" i="1"/>
  <c r="AU149" i="1"/>
  <c r="AW149" i="1"/>
  <c r="AU29" i="1"/>
  <c r="AV29" i="1"/>
  <c r="AW29" i="1"/>
  <c r="AU3" i="1"/>
  <c r="AV3" i="1"/>
  <c r="AW3" i="1"/>
  <c r="AV252" i="1"/>
  <c r="AV247" i="1"/>
  <c r="AV242" i="1"/>
  <c r="AV237" i="1"/>
  <c r="AW219" i="1"/>
  <c r="AV214" i="1"/>
  <c r="AV206" i="1"/>
  <c r="AV195" i="1"/>
  <c r="AU187" i="1"/>
  <c r="AW187" i="1"/>
  <c r="AV175" i="1"/>
  <c r="AV172" i="1"/>
  <c r="AV166" i="1"/>
  <c r="AW163" i="1"/>
  <c r="AW121" i="1"/>
  <c r="AU121" i="1"/>
  <c r="AW81" i="1"/>
  <c r="AU44" i="1"/>
  <c r="AV44" i="1"/>
  <c r="AW44" i="1"/>
  <c r="AV21" i="1"/>
  <c r="AW224" i="1"/>
  <c r="AV219" i="1"/>
  <c r="AU209" i="1"/>
  <c r="AW209" i="1"/>
  <c r="AV192" i="1"/>
  <c r="AU184" i="1"/>
  <c r="AW184" i="1"/>
  <c r="AV169" i="1"/>
  <c r="AU166" i="1"/>
  <c r="AU142" i="1"/>
  <c r="AV142" i="1"/>
  <c r="AW142" i="1"/>
  <c r="AW138" i="1"/>
  <c r="AV116" i="1"/>
  <c r="AU94" i="1"/>
  <c r="AV94" i="1"/>
  <c r="AW94" i="1"/>
  <c r="AW21" i="1"/>
  <c r="AV16" i="1"/>
  <c r="AV11" i="1"/>
  <c r="AU91" i="1"/>
  <c r="AU86" i="1"/>
  <c r="AU81" i="1"/>
  <c r="AU76" i="1"/>
  <c r="AU71" i="1"/>
  <c r="AU66" i="1"/>
  <c r="AU61" i="1"/>
  <c r="AU56" i="1"/>
  <c r="AW113" i="1"/>
  <c r="AW108" i="1"/>
  <c r="AW103" i="1"/>
  <c r="AW98" i="1"/>
  <c r="AW93" i="1"/>
  <c r="AW88"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V15"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W12" i="1"/>
  <c r="AV137" i="1"/>
  <c r="AV132" i="1"/>
  <c r="AV127" i="1"/>
  <c r="AV122" i="1"/>
  <c r="AV117" i="1"/>
  <c r="AV112" i="1"/>
  <c r="AV107" i="1"/>
  <c r="AV102" i="1"/>
  <c r="AV97" i="1"/>
  <c r="AV92" i="1"/>
  <c r="AV87" i="1"/>
  <c r="AV82" i="1"/>
  <c r="AV77" i="1"/>
  <c r="AV72" i="1"/>
  <c r="AV67" i="1"/>
  <c r="AV62" i="1"/>
  <c r="AV57" i="1"/>
  <c r="AV52" i="1"/>
  <c r="AV47" i="1"/>
  <c r="AV42" i="1"/>
  <c r="AV37" i="1"/>
  <c r="AV32" i="1"/>
  <c r="AV27" i="1"/>
  <c r="AV22" i="1"/>
  <c r="AV17" i="1"/>
  <c r="AV12" i="1"/>
  <c r="AV7" i="1"/>
  <c r="AV2" i="1"/>
</calcChain>
</file>

<file path=xl/sharedStrings.xml><?xml version="1.0" encoding="utf-8"?>
<sst xmlns="http://schemas.openxmlformats.org/spreadsheetml/2006/main" count="14303" uniqueCount="8279">
  <si>
    <t>undefined</t>
  </si>
  <si>
    <t>['term adjustments', 'reversible phosphorylation', 'previous studies', 'pigment ratio', 'pigment composition', 'photosystem ii', 'photosystem i5', 'photosynthetic machinery', 'oxidative damage', 'novel mechanism', 'minimizes photo', 'major light', 'lhc ii6', 'lhc ii', 'inverse relationship', 'highly conserved', 'higher plants', 'harvesting antenna', 'growth irradiance1', 'growth irradiance', 'green algae', 'excitation transfer', 'energy distribution', 'dunaliella tertiolecta', 'average composition', 'associated principally', 'actually variable']</t>
  </si>
  <si>
    <t>Photosynthetic organisms alter their photosynthetic pigment composition in response to changes in growth irradiance1-3. Photo-adaptation maximizes light-harvesting when photon flux densities are low, and minimizes photo-oxidative damage to the photosynthetic machinery at high light levels. In chlorophytes, the major light-harvesting antenna is light-harvesting complex II (LHC II), a family of proteins binding chlorophyll a (Chl a), Chl b, and carotenoids, and accounting for 40-60% of total cell chlorophyll4. LHC II is associated principally with photosystem II, with reversible phosphorylation of LHC II regulating short-term adjustments in energy distribution to photosystem I5. Previous studies on green algae and higher plants have emphasized the longer-term adaptive importance of the inverse relationship between growth irradiance and the proportion of total cellular chlorophyll associated with LHC II6-8. In higher plants the pigment composition of LHC II appears to be highly conserved, with Chl a/Chl b ratios between 1.0 and 1.2 (ref 7). In green algae, the pigment ratio of LHC II is more variable and values between 0.7 and 2.7 have been reported9-11. We report here that in the unicellular marine chlorophyte, Dunaliella tertiolecta, the ratio is actually variable. Photoadapta-tion to high irradiance involves changes in the average composition and behaviour of LHC II; specifically, the Chl b content per polypeptide is halved and the efficiency of excitation transfer from carotenoid to Chl a declines. The result is a novel mechanism for regulating the effective absorption cross-section of photosystem II. ¬© 1987 Nature Publishing Group.</t>
  </si>
  <si>
    <t>704-707</t>
  </si>
  <si>
    <t>Journal</t>
  </si>
  <si>
    <t>Nature</t>
  </si>
  <si>
    <t>60006221;60006221;60006221;60006221</t>
  </si>
  <si>
    <t>57207605213;6603443431;7404252335;7005554445</t>
  </si>
  <si>
    <t>Sukenik, Assaf;Wyman, Kevin D.;Bennett, John;Falkowski, Paul G.</t>
  </si>
  <si>
    <t>United States</t>
  </si>
  <si>
    <t>Upton</t>
  </si>
  <si>
    <t>Brookhaven National Laboratory</t>
  </si>
  <si>
    <t>Sukenik A.</t>
  </si>
  <si>
    <t>Article</t>
  </si>
  <si>
    <t>ar</t>
  </si>
  <si>
    <t>A novel mechanism for regulating the excitation of photosystem II in a green alga</t>
  </si>
  <si>
    <t>10.1038/327704a0</t>
  </si>
  <si>
    <t>2-s2.0-0000009776</t>
  </si>
  <si>
    <t>['taken together', 'seeds treated', 'results suggest', 'promote spacing', 'oviposition marker', 'natural conditions', 'largely responsible', 'labial palpi', 'even dispersion', 'careful distinction', 'callosobruchus maculatus']</t>
  </si>
  <si>
    <t>Ablation | antennae | Bruchidae | Callosobruchus maculatus | Coleoptera | egg dispersion | foretarsi | oviposition deterrent | palpi</t>
  </si>
  <si>
    <t>Females of Callosobruchus maculatus (F.) avoid ovipositing on host seeds already bearing conspecific eggs, and thus distribute eggs evenly among seeds. This behavior was presumed to be mediated by an ether-soluble "oviposition marker" that is deposited with the egg and can be extracted from egg-laden artificial hosts (glass beads). Ablation experiments revealed that the true factors promoting an even dispersion of eggs were perceived by the maxillary and labial palpi. In contrast, receptors on the antennae were largely responsible for avoidance of seeds treated with "oviposition marker." Taken together, these results suggest that a careful distinction should be drawn between factors that promote spacing of eggs under natural conditions and general oviposition deterrents that may be isolated from both sexes. ¬© 1987 Plenum Publishing Corporation.</t>
  </si>
  <si>
    <t>219-226</t>
  </si>
  <si>
    <t>Journal of Chemical Ecology</t>
  </si>
  <si>
    <t>60015577;60015577;60015577</t>
  </si>
  <si>
    <t>7006041101;16456580900;16937060600</t>
  </si>
  <si>
    <t>Messina, Frank J.;Barmore, Joyce L.;Renwick, J. A.A.</t>
  </si>
  <si>
    <t>Ithaca</t>
  </si>
  <si>
    <t>Boyce Thompson Institute for Plant Research</t>
  </si>
  <si>
    <t>Messina F.J.</t>
  </si>
  <si>
    <t>Oviposition deterrent from eggs of Callosobruchus maculatus: Spacing mechanism or artifact?</t>
  </si>
  <si>
    <t>10.1007/BF01020364</t>
  </si>
  <si>
    <t>2-s2.0-0000044850</t>
  </si>
  <si>
    <t>n</t>
  </si>
  <si>
    <t>['¬© 1987', 'winds determined', 'wind convergence', 'vhf radar', 'vertical angle', 'velocities measured', 'two sets', 'statistical basis', 'spatial separation', 'spaced antenna', 'sa method', 'rms differences', 'radiosonde velocities', 'november 1984', 'motions made', 'meteorological observations', 'measure velocities', 'lower stratosphere', 'frontal jet', 'first results', 'extensive comparison', 'doppler beam', 'balloon observations', 'august 1984', 'adelaide airport', '80 balloon', '36 km', '35 ¬∞', '1 throughout', '1 smaller']</t>
  </si>
  <si>
    <t>The first results from a VHF radar of the ST type located at Buckland Park near Adelaide, Australia (35¬∞S, 138¬∞E), are presented. The radar is designed to be versatile and can be used to measure velocities in the lower atmosphere using both the spaced antenna (SA) and Doppler beam-swinging (DBS) techniques. Here studies of irregularities and motions made with the spaced antenna technique are discussed. It is shown that the scale of the diffraction pattern formed by the backscattered radiation varies with altitude, with the mean pattern scale being smaller in the troposphere than in the stratosphere. The observations are consistent with the backscattered energy decreasing as a function of off-vertical angle by 1.5 dB per degree in the troposphere and by about 2.8 dB per degree in the lower stratosphere. An intercomparison of zonal velocities measured with the SA and DBS methods shows good agreement. In May and August 1984 an extensive comparison was made between the velocities measured by the SA method and winds determined from over 80 balloon-borne radiosondes released from Adelaide Airport, situated some 36 km to the south of the radar. The velocities were compared on a statistical basis and showed excellent agreement, although the SA speeds tended to be 1-2 m s-1 smaller in magnitude than the radiosonde velocities. Overall, the rms differences between the two sets of measurements was only 3-4ms-1 throughout the troposphere, a result which is consistent with the random errors inherent in each technique, as well as the spatial separation between the radar and balloon observations. The utility of the SA method for meteorological observations is illustrated by a study of both the horizontal and vertical wind fields during the passage of a cold front made in November 1984. The high time resolution available with the radar allows detailed studies of the development of the pre-frontal jet, the wind convergence into the front and associated vertical motions. ¬© 1987.</t>
  </si>
  <si>
    <t>353-366</t>
  </si>
  <si>
    <t>Journal of Atmospheric and Terrestrial Physics</t>
  </si>
  <si>
    <t>60009512;60009512;60009512;60009512;60009512;60009512</t>
  </si>
  <si>
    <t>7202620125;7202957110;23166780300;6603471777;6602211629;7103327130</t>
  </si>
  <si>
    <t>Vincent, R. A.;May, P. T.;Hocking, W. K.;Elford, W. G.;Candy, B. H.;Briggs, B. H.</t>
  </si>
  <si>
    <t>Australia</t>
  </si>
  <si>
    <t>Adelaide</t>
  </si>
  <si>
    <t>The University of Adelaide</t>
  </si>
  <si>
    <t>Vincent R.</t>
  </si>
  <si>
    <t>First results with the Adelaide VHF radar: spaced antenna studies of tropospheric winds</t>
  </si>
  <si>
    <t>10.1016/0021-9169(87)90030-4</t>
  </si>
  <si>
    <t>2-s2.0-0000087551</t>
  </si>
  <si>
    <t>['time resolution', 'time constant', 'subsequent oxidation', 'strong bleaching', 'spectral changes', 'p700 bleaching', 'original intensity', 'occurred within', 'molecules followed', 'initial bleach', 'infrared region', 'formed upon', 'energy transfer', 'antenna chlorophyll', 'absorbance changes', '8 ps', '700 nm', '690 nm', '40 chlorophyll']</t>
  </si>
  <si>
    <t>charge separation | photosystem I | picosecond spectroscopy | primary electron acceptor A 0 | primary electron donor P700 | primary photochemistry</t>
  </si>
  <si>
    <t>Photosystem I particles containing 30-40 chlorophyll a molecules per primary electron donor P700 were subjected to 1.5 ps low density laser flashes at 610 nm resulting in excitation of the antenna chlorophyll a molecules followed by energy transfer to P700 and subsequent oxidation of P700. Absorbance changes were monitored as a function of time with 1.5 ps time resolution. P700 bleaching (decrease in absorbance) occurred within the time resolution of the experiment. This is attributed to the formation of 1P700.* This observation was confirmed by monitoring the rise of a broad absorption band near 810 nm due to chlorophyll a excited singlet state formation. The appearance of the initial bleach at 700 nm was followed by a strong bleaching at 690 nm. The time constant for the appearance of the 690 nm bleach is 13.7¬±0.8 ps. In the near-infrared region of the spectrum, the 810 nm band (which formed upon the excitation of the photosystem I particles) diminished to about 60% of its original intensity with the same 13.7 ps time constant as the formation of the 690 nm band. The spectral changes are interpreted as due to the formation of the charge separated state P700+-A0-, where A0 is the primary electron acceptor chlorophyll a molecule. ¬© 1987 Martinus Nijhoff Publishers.</t>
  </si>
  <si>
    <t>181-189</t>
  </si>
  <si>
    <t>Photosynthesis Research</t>
  </si>
  <si>
    <t>60028609;60000745;60000745</t>
  </si>
  <si>
    <t>7005602540;7202310420;16541793700</t>
  </si>
  <si>
    <t xml:space="preserve">Wasielewski, M. R.;Fenton, J. M.;Govindjee, </t>
  </si>
  <si>
    <t>United States;United States</t>
  </si>
  <si>
    <t>Lemont;Urbana</t>
  </si>
  <si>
    <t>Argonne National Laboratory;University of Illinois Urbana-Champaign</t>
  </si>
  <si>
    <t>60028609;60000745</t>
  </si>
  <si>
    <t>Wasielewski M.</t>
  </si>
  <si>
    <t>The rate of formation of P700&lt;sup&gt;+&lt;/sup&gt;-A&lt;inf&gt;0&lt;/inf&gt;&lt;sup&gt;-&lt;/sup&gt; in photosystem I particles from spinach as measured by picosecond transient absorption spectroscopy</t>
  </si>
  <si>
    <t>10.1007/BF00047947</t>
  </si>
  <si>
    <t>2-s2.0-0000529110</t>
  </si>
  <si>
    <t>['√¢ les', 'two species', 'tandis que', 'successfully inserted', 'similar preference', 'preferentially attempted', 'preferential oviposition', 'ovipositor insertion', 'male cocoons', 'host stage', 'examine adult', 'epidinocarsis diversicornis', 'diversicornis exhibited', 'clear preference']</t>
  </si>
  <si>
    <t>Acerophagus coccois | cassava | Encyrtidae | Epidinocarsis diversicornis | Homoptera | host preference | Hymenoptera | mealybug | parasitoid | Phenacoccus gossypi | Phenacoccus herreni | Pseudococcidae | yuca</t>
  </si>
  <si>
    <t>In a choice test among six life stages of Phenacoccus herreni Cox &amp; Williams, Epidinocarsis diversicornis (Howard) used its antennae to examine adult and 3rd stadium females more than other stages and preferentially attempted to oviposit in these plus 2nd stadium females. Success of ovipositor insertion was unaffected by host stage. The outcome of these behaviors was preferential oviposition by E. diversicornis in the large female host stages. Acerophagus coccois Smith also preferentially examined larger female mealybugs (second and third stadium nymphs and adults) more than other stages and successfully inserted its ovipositor in these stages more often than in second stadium male nymphs and male cocoons, resulting in a similar preference in this species for larger female host stages. When given a choice between adult female hosts of two species, P. herreni and Phenacoccus gossypii Townsend &amp; Cockerell, E. diversicornis exhibited a clear preference for P. herreni; whereas A. coccois preferred P. gossypii. Choix op√©r√© par deux encyrtides parasito√Ødes parmi des esp√®ces colombiennes de Phenacoccus, cochenilles du manioc Epidinocarsis diversicornis (Howard), ayant la possibilit√© de choisir entre six stades diff√©rents de Phenacoccus herreni Cox &amp; Williams, examine avec ses antennes plus particuli√®rement les adultes et les larves femelles du 3√®me stade, et essaie de pondre de pr√©f√©rence dans ces stades et les larves femelles de second stade. L'insertion de la tari√®re s'effectue aussi bien quel que soit le stade de l'h√¥te. Il r√©sulte de ces diff√©rents aspects du comportement que E. diversicornis pond de pr√©f√©rence dans les femelles des stades les plus avanc√©s. Acerophagus coccois Smith pr√©f√®re aussi examiner les cochenilles femelles les plus grosses (second et 3√®me stade larvaires et adulte), et introduit sa tari√®re avec succ√®s dans ces stades plus souvent que dans les larves m√¢les de second stade ou les cocons m√¢les; il en r√©sulte aussi pour cette esp√®ce une pr√©f√©rence pour les femelles des stades les plus gros. Quand on leur a donn√© le choix entre des femelles des deux esp√®ces de cochenilles (P. herreni et Phenacoccus gossypii Towsend &amp; Cockerell), E. diversicornis manifestait une nette pr√©f√©rence pour P. herreni, tandis que A. coccois pr√©f√©rait P. gossypii. 1987 The Netherlands Entomological Society</t>
  </si>
  <si>
    <t>261-266</t>
  </si>
  <si>
    <t>Entomologia Experimentalis et Applicata</t>
  </si>
  <si>
    <t>60014313;60045061;60045061;60045061</t>
  </si>
  <si>
    <t>7003567101;7004654742;16440503400;7202601723</t>
  </si>
  <si>
    <t>Van Driesche, R. G.;Bellotti, A.;Herrera, C. J.;Castillo, J. A.</t>
  </si>
  <si>
    <t>Colombia;United States</t>
  </si>
  <si>
    <t>Cali;Amherst MA</t>
  </si>
  <si>
    <t>Centro Internacional de Agricultura Tropical;University of Massachusetts Amherst</t>
  </si>
  <si>
    <t>60045061;60014313</t>
  </si>
  <si>
    <t>Van Driesche R.</t>
  </si>
  <si>
    <t>Host preferences of two encyrtid parasitoids for the Columbian Phenacoccus spp. of cassava mealybugs</t>
  </si>
  <si>
    <t>10.1111/j.1570-7458.1987.tb02219.x</t>
  </si>
  <si>
    <t>2-s2.0-0000699825</t>
  </si>
  <si>
    <t>['¬© 1987', 'ventral region', 'ventral border', 'stenopodous endopod', 'spread apart', 'separate species', 'rights reserved', 'permit definition', 'nahecaris ranges', 'nahecaris may', 'nahecaris based', 'mesolateral carinae', 'mandible resembles', 'like lobes', 'like ceratiocaris', 'irregular lines', 'inclined rows', 'extant leptostracans', 'consistently correlated', 'characters cannot', 'anterior end', 'actual specimens', '8 thoracopods']</t>
  </si>
  <si>
    <t>Restudy of Nahecaris based on new stereo radiographs and re-examination of actual specimens has added the following new information. Nahecaris ranges in shape from long and slender to short and stout, the carapace from deep and rounded to long and narrow. Carapace ornament consists either of thin ridges parallel to the ventral border or inclined rows of irregular lines or cusps, but these characters cannot be consistently correlated with other variables to permit definition of separate species. The carapace is fused to the head, and possibly to the anterior end to the thorax in the area in front of the median dorsal plate. A post-mandibular pyritised band may represent the carapace adductor muscle, which inserts on the mesolateral carinae. The mandible resembles that of Ceratiocaris, while the maxillae are like those of extant leptostracans. The 8 thoracopods are biramous: they have an exopod with finger-like lobes and a stenopodous endopod. Posteriorly the endopods reduce markedly, forming a conical, anteriorly open feeding basket. The predominance of dorso-ventrally flattened specimens, and the wide ventral gape of the carapace valves suggests those valves were spread apart in life. Nahecaris may have pressed itself to the substrate by flexing the carapace rim outward and incurving the ventral region of the carapace. The stout second antennae may have stabilised and propelled the animal over the substrate. Nahecaris is thought to have been benthic and to have fed, like Ceratiocaris, by lifting the substrate into suspension, as well as by picking up large fragments directly with the mandibles. ¬© 1987, E. Schweizerbart‚Äôsche Verlagsbuchhandlung. All rights reserved.</t>
  </si>
  <si>
    <t>273-298</t>
  </si>
  <si>
    <t>Pal√§ontologische Zeitschrift</t>
  </si>
  <si>
    <t>107049433;60020650;118943394;60006552;</t>
  </si>
  <si>
    <t>35290468100;57203106346;7102556518;6506505265;26541614800</t>
  </si>
  <si>
    <t>Bergstr√∂m, Jan;Briggs, Derek E.G.;Dahl, Erik;Rolfe, W. D.Ian;St√ºrmer, Wilhelm</t>
  </si>
  <si>
    <t>United Kingdom;United Kingdom;Sweden;Sweden</t>
  </si>
  <si>
    <t>Bristol;Edinburgh;Uppsala;Lund</t>
  </si>
  <si>
    <t>University of Bristol;National Museums of Scotland;Skogsmyrsv√§gen 19;Geological Survey of</t>
  </si>
  <si>
    <t>60020650;60006552;118943394;107049433</t>
  </si>
  <si>
    <t>Bergstr√∂m J.</t>
  </si>
  <si>
    <t>Nahecaris stuertzi, a phyllocarid crustacean from the Lower Devonian Hunsr√ºck Slate</t>
  </si>
  <si>
    <t>10.1007/BF02985909</t>
  </si>
  <si>
    <t>2-s2.0-0000934404</t>
  </si>
  <si>
    <t>['¬© 1987', 'useful point', 'ultralow temperatures', 'tolerant networks', 'snr ).', 'sensitivity limit', 'q requirements', 'paper presents', 'optimal design', 'noise temperature', 'noise resistance', 'noise ratio', 'new generation', 'new antennas', 'mechanical amplifier', 'lossless limit', 'loss tolerant', 'linear instrument', 'limiting snr', 'energy dissipated', 'energy deposited', 'design figure', 'design charts']</t>
  </si>
  <si>
    <t>A new generation of resonant-mass gravitational wave antennas, to be operated at ultralow temperatures, is under development by several research groups. This paper presents a theory for the optimal design of the new antennas. First, a general sensitivity limit is derived, which may be applied to any linear instrument for which the design figure of merit is the signal-to-noise ratio (SNR). By replacing the amplifier by its noise resistance and considering the energy dissipated in the noise resistance when a signal is applied, it is possible to show that the optimally filtered SNR is less than or equal to Er/(kTn), the energy dissipated in the noise resistance divided by Boltzmanns constant times the amplifier noise temperature. This sensitivity limit will be achieved if the instrument is lossless, in which case the energy dissipated in the noise resistance is equal to the energy deposited in the system by the signal. For resonant-mass gravitational wave antennas, if the amplifier is identified as the mechanical amplifier (transducer and electronic amplifier together), then the lossless limit is accessible in practice. A useful point of view is that optimal antenna designs are those that are most loss tolerant those that achieve the limiting SNR with the lowest possible mechanical Q values. The techniques of network synthesis may be used to design mechanical networks for matching the main antenna mass to the mechanical amplifier that are optimal in this sense. A class of loss-tolerant networks has been synthesized; their properties are summarized in a set of design charts that give the Q requirements and bandwidth as a function of the number of modes, the temperature, and the amplifier noise resistance and noise temperature. ¬© 1987 The American Physical Society.</t>
  </si>
  <si>
    <t>3555-3570</t>
  </si>
  <si>
    <t>Physical Review D</t>
  </si>
  <si>
    <t>Price, John C.</t>
  </si>
  <si>
    <t>Palo Alto</t>
  </si>
  <si>
    <t>Stanford University</t>
  </si>
  <si>
    <t>Price J.C.</t>
  </si>
  <si>
    <t>Optimal design of resonant-mass gravitational wave antennas</t>
  </si>
  <si>
    <t>10.1103/PhysRevD.36.3555</t>
  </si>
  <si>
    <t>2-s2.0-0001041160</t>
  </si>
  <si>
    <t>['vivo ratios', 'total thylakoids', 'results show', 'pigment composition', 'much higher', 'like pigment', 'light absorption', 'higher ratio', 'high amounts', 'harvesting particles', 'harvesting complexes', 'harvesting chl', 'fluoresence spectroscopy', 'enhanced number', 'energy transfer', 'different light', 'contribute significantly', 'chlorophyll c', 'chlorophyll b', 'blue light', 'accessory xanthophyll', 'accessory pigments', '77 k']</t>
  </si>
  <si>
    <t>Chlorella | Light-harvesting Chl a/b-complex | Mantoniella | Prasinoxanthin | Sinapis alba</t>
  </si>
  <si>
    <t>Light-harvesting Chl a/b protein complexes were isolated from the higher plant Sinapis alba, the green alga Chlorella fusca, and the prasinophycean alga Mantoniella squamata by mild gel electrophoresis. The energy transfer from chlorophyll b and the accessory xanthophyll was measured by means of fluoresence spectroscopy at 77 K. The pigment composition of the isolated antenna complexes was determined by high performance liquid chromatography in order to calculate the number of light absorbing molecules per chlorophyll a in the different light-harvesting complexes. These results were complemented by the quantitation of the pigments in total thylakoids as well as in the different electrophoretic fractions. On the basis of these data the in vivo ratios of xanthophylls per chlorophyll a could be estimated. The results show that the light-harvesting complexes from Chlorella and from Sinapis exhibit identical ratios of total xanthophylls per chlorophyll a. By contrast, in the prasinophycean alga Mantoniella, the light-harvesting complex markedly differs from the other chlorophyll b containing proteins. It contains, in addition to neoxanthin and violaxanthin, high amounts of prasinoxanthin and its epoxide, which contribute significantly to light absorption. The concentration of chlorophyll b in the complex is very much higher in the antenna of Mantoniella than in those of Chlorella and Sinapis. Furthermore, it must be emphasized that in addition to chlorophyll b, a third chlorophyll species acts in the energy transfer to chlorophyll a. This chlorophyll c-like pigment is found to be present in a concentration which improves very efficiently the absorption in blue light. In light of these results it can be concluded that the absorption cross section in Mantoniella is higher not only because of an enhanced number of light-harvesting particles in the membrane, but also because of a higher ratio of accessory pigments to chlorophyll a. ¬© 1987 Martinus Nijhoff Publishers.</t>
  </si>
  <si>
    <t>101-111</t>
  </si>
  <si>
    <t>60031216;60031216</t>
  </si>
  <si>
    <t>7409933123;16459253800</t>
  </si>
  <si>
    <t>Wilhelm, Christian;Lenarz-Weiler, Iris</t>
  </si>
  <si>
    <t>Germany</t>
  </si>
  <si>
    <t>Mainz</t>
  </si>
  <si>
    <t>Johannes Gutenberg-Universit√§t Mainz</t>
  </si>
  <si>
    <t>Wilhelm C.</t>
  </si>
  <si>
    <t>Energy transfer and pigment composition in three chlorophyll b-containing light-harvesting complexes isolated from Mantoniella squamata (Prasinophyceae), Chlorella fusca (Chlorophyceae) and Sinapis alba</t>
  </si>
  <si>
    <t>10.1007/BF00035234</t>
  </si>
  <si>
    <t>2-s2.0-0001105990</t>
  </si>
  <si>
    <t>KA 339/6-3</t>
  </si>
  <si>
    <t>['œºpage ).', '¬© 1987', 'triton buffer', 'total amount', 'third protein', 'soluble proteins', 'sensillum lymph', 'sensillar esterase', 'rinsing solution', 'reducing sds', 'purified pbp', 'preparations showed', 'pi 5', 'pbp appeared', 'one band', 'one antenna', 'mr 90', 'mr 100', 'miniature ultrathin', 'microgradient page', 'lymph droplets', 'isolated sensillum', 'isolated hairs', 'isoelectric point', 'isoelectric focusing', 'glycosylated protein', 'female antennae', 'faint band', 'enzyme staining', 'double band', 'different preparations', 'different patterns', 'denatured pbp', 'body scales', 'binding protein', '000 ).']</t>
  </si>
  <si>
    <t>antenna | Antheraea polyphemus | chemoreception | microgradient PAGE | olfactory hairs | pheromone-binding protein | sensillar esterase | sensillum lymph | ultrathin-layer isoelectric focusing</t>
  </si>
  <si>
    <t>The soluble proteins in the antennae of the male and female saturniid moth Antheraea polyphenus were analyzed by isoelectric focusing in miniature ultrathin-layer polyacrylamide gels and by microgradient PAGE (ŒºPAGE). Different preparations of sensillum lymph from male antennal olfactory hairs (isolated sensillum-lymph droplets, rinsing solution from isolated hairs) and homogenates of male and female antennae were compared. The pheromone-binding protein, PBP, and the pheromone-degrading sensillar esterase, SE, were detected only in male antennal preparations. Isolated sensillum lymph exhibited two proteins in Brilliant Blue staining: (1) the PBP appeared as a double band with a relative molecular mass of Mr &lt; 14,400 (Œ±-lactalbumin); (2) an oligopeptide was detected as a faint band at a very small molecular mass (Mr ‚â™ 14,000). The PBP in isolated sensillum lymph was identical to the PBP in the rinsing solution of isolated hairs and in male branch homogenates. Purified PBP from branch homogenates showed a third slightly smaller band. In reducing SDS-ŒºPAGE, the denatured PBP from all preparations showed only one band at a Mr of 14,400. The isoelectric point (pI) of the PBP was 4.7. The PBP appeared to be a non-glycosylated protein. Glycoproteins were present in the hemolymph in different patterns in both sexes. The concentration of PBP in sensillum-lymph droplets was ‚âà 10 mM, corresponding to a total amount of ‚âà9 Œºg/55 Œºl sensillum lymph in one antenna. A third protein in the sensillum lymph, the sensillar esterase, was only visible by enzyme staining and had a Mr of 55,000 and a pI of 3.0. The integumental esterases found in male and female antennae had a Mr of 65,000, pI 5.85, and Mr 90,000, pI 5.0. From body scales of both sexes, esterases in the range of Mr 100,000 were solubilized by 0.01% Triton buffer and could be demonstrated in ŒºPAGE. ¬© 1987.</t>
  </si>
  <si>
    <t>1193-1204</t>
  </si>
  <si>
    <t>Insect Biochemistry</t>
  </si>
  <si>
    <t>Klein, Ulla</t>
  </si>
  <si>
    <t>Pocking</t>
  </si>
  <si>
    <t>Max Planck Institute for Ornithology</t>
  </si>
  <si>
    <t>Klein U.</t>
  </si>
  <si>
    <t>Sensillum-lymph proteins from antennal olfactory hairs of the moth Antheraea polyphemus (Saturniidae)</t>
  </si>
  <si>
    <t>002017908790093X</t>
  </si>
  <si>
    <t>10.1016/0020-1790(87)90093-X</t>
  </si>
  <si>
    <t>2-s2.0-0001581155</t>
  </si>
  <si>
    <t>['vector components', 'vector analysis', 'two types', 'two criteria', 'traditional concept', 'thus assigned', 'stimulus intensities', 'sensillum trichodeum', 'sensillum basiconicum', 'resulting degrees', 'response rate', 'receptor cells', 'receptor cell', 'reaction spectra', 'quantitatively compared', 'measurement accuracy', 'manner consistent', 'large ).', 'highly selective', 'given sensillum', 'general context', 'electrophysiologically determined', 'electrophysiological categorization', 'electrophysiological categories', 'efficacy indices', 'appreciable specialization', 'analytical procedures', '9 morphological', '54 substances', '25 impulses']</t>
  </si>
  <si>
    <t>In the general context of primary olfactory coding, the reaction spectra of 50 receptor cells to a total of 54 substances were electrophysiologically determined on base of dose response curves and quantitatively compared with regard to their similarity by methods of vector analysis. The receptor cells are distributed among 3 morphologically distinguishable sensilla on the antennae of the male silkmoth Antheraea polyphemus: sensillum basiconicum and two types (short and long) of sensillum trichodeum. In a given sensillum they can be distinguished by the amplitude of the recorded nerve impulses (small, medium or large). On the basis of these two criteria, each receptor cell is thus assigned to one of 9 morphological-electrophysiological categories. The responses of all the receptor cells (regardless of category) are compared with regard to substance-efficacy indices which are defined by the stimulus intensities (molecules/cm3¬∑1012) required to elicit a response rate of 25 impulses/s. By treating these efficacy indices as vector components and applying a vector correlation procedure the similarity between the spectra of the cells is expressed, one to one, in a 50√ó50 matrix. The resulting degrees of similarity are grouped in a manner consistent with the morphological-electrophysiological categorization. There is no appreciable specialization to substances of particular chemical classes (alcohols, esters, acids, aldehydes, amines, carbohydrates); nevertheless, and despite considerable overlap among the various reaction spectra, the cells are highly selective. In view of the grouping of the reaction spectra found here, the traditional concept of a dichotomy between generalists and specialists requires modification. The results, corroborated by considerations of measurement accuracy and the possibility of ambiguity in the analytical procedures, are discussed in the context of conceivable acceptor distributions and of the discrimination of odors. ¬© 1987 Springer-Verlag.</t>
  </si>
  <si>
    <t>867-880</t>
  </si>
  <si>
    <t>Journal of Comparative Physiology A</t>
  </si>
  <si>
    <t>Kafka, Wolf A.</t>
  </si>
  <si>
    <t>Kafka W.</t>
  </si>
  <si>
    <t>Similarity of reaction spectra and odor discrimination: single receptor cell recordings in Antheraea polyphemus (Saturniidae)</t>
  </si>
  <si>
    <t>10.1007/BF00610228</t>
  </si>
  <si>
    <t>2-s2.0-0001651856</t>
  </si>
  <si>
    <t>['topographically biased', 'terminal arborizations', 'single fibers', 'sensilla trichodea', 'mgc ).', 'male contains', 'intact sensilla', 'greatly enlarged', 'frequently stained', 'flagellar branches', 'fibers stained', 'fibers projecting', 'control preparations', 'cobalt backfills', 'antennal lobe', 'also present']</t>
  </si>
  <si>
    <t>Antennae | Antheraea polyphemus | Bombykol | Bombyx mori | Lymantria dispar | Olfaction | Pheromones | Sexual dimorphism</t>
  </si>
  <si>
    <t>The antennal lobe of both sexes of the silk moth Bombyx mori contains 55-60 ventrally located antennal glomeruli; in addition, that of the male contains a dorsal macroglomerular complex (MGC). A group of identifiable glomeruli consisting of two lateral large glomeruli (LLG) and four medial small glomeruli (MSG) is present in both sexes, but the LLG are greatly enlarged in the female. A MGC is also present in the male gypsy moth Lymantria dispar and male giant silk moth Antheraea polyphemus. The MGC in all of these species is organized into 3-4 distinct levels of glomeruli. Antennal sensory fibers were stained by cobalt backfills in B. mori, A. polyphemus, and L. dispar. Most fibers stained from cut long hairs (sensilla trichodea) projected to MGC in males and LLG in both sexes of B. mori. The distribution of fibers in the MGC of B. mori was topographically biased in that a majority of fibers from anterior branches projected medially in MGC while most fibers from posterior branches projected laterally or anteriorly. Terminal arborizations of single fibers were each restricted to a single glomerular level of the MGC. Fibers projecting to the posterior antennal center were frequently stained in cut-hair and control preparations, apparently by uptake of cobalt through intact sensilla on flagellar branches. ¬© 1987 Springer-Verlag.</t>
  </si>
  <si>
    <t>39-50</t>
  </si>
  <si>
    <t>0302766X</t>
  </si>
  <si>
    <t>Cell and Tissue Research</t>
  </si>
  <si>
    <t>60005460;60005460</t>
  </si>
  <si>
    <t>11539103100;7402111035</t>
  </si>
  <si>
    <t>Koontz, M. A.;Schneider, D.</t>
  </si>
  <si>
    <t>Koontz M.</t>
  </si>
  <si>
    <t>Sexual dimorphism in neuronal projections from the antennae of silk moths (Bombyx mori, Antheraea polyphemus) and the gypsy moth (Lymantria dispar)</t>
  </si>
  <si>
    <t>10.1007/BF00215416</t>
  </si>
  <si>
    <t>2-s2.0-0001877134</t>
  </si>
  <si>
    <t>['√§ nnchens', 'ungepaarten c', 'species names', 'sex pheromone', 'sensilla trichodea', 'sensilla styloconica', 'sensilla clavata', 'reagieren auf', 'produce pheromone', 'olfactory pit', 'male odour', 'male antennae', 'first week', 'female odour', 'courtship behaviour', 'complete sequence', 'columnar cells', 'calling males', 'apical region', 'anal glands', 'also discussed', 'adult life', 'abundantly occur', '9 ).', '8 ).', '16 ).', '14 ).', '13 ).']</t>
  </si>
  <si>
    <t>In calling males of Ceratitis capitata Wied. (Dipt., Trypetidae), the sex pheromone is released from the anal glands through ducts to the surface of the expanded anal ampulla. The epithelium of the anal glands of sexually mature males comprises ramified as well as columnar cells, of which the former are likely to secrete the pheromone. The anal gland cells of newly emerged males are undifferentiated and fail to produce pheromone. Within the first week of adult life the pheromone level increases steeply, whereupon it remains relatively high until senescence. The sex pheromone is perceived by sensilla trichodea which abundantly occur on the apical region of the funiculus (third antennal segment) of the female's antenna and which are Àú 103 times more sensitive to male odour than to female odour. In addition to numerous cuticular spines, the female's funiculus also comprises sensilla basiconica, sensilla clavata, sensilla styloconica and an olfactory pit. The funiculi of female and male antennae are provided by the same types of sensilla. Unlike pheromone perception, the sight of a calling male fails to induce sexual attraction, while combination of both stimuli is synergistic and elicits the complete sequence of the courtship behaviour in females. The origin of the genus and species names of the Mediterranean fruit fly is also discussed. Pheromonbiologie der Mittelmeerfruchtfliege (Ceratitis capitata Wied., Dipt., Trypetidae) nebst einem Beitrag zur Kenntnis der Pheromondr√ºsen und F√ºblersensillen sowie des Balzverhaltens Das Sexualpheromon m√§nnlicher Ceratitis capitata wird w√§hrend der Lockstellung (Abb. 1) von den Analdr√ºsen ausgeschieden (Abb. 3, 4), der ausgest√ºlpten Analampulle (Abb. 1, 3) zugef√ºhrt und von deren Oberfl√§che abgegeben. Das Analdr√ºsenepithel geschlechtsreifer M√§nnchen besteht aus Verb√§nden zylindrischer sowie ver√§stelter Zellen (Abb. 5, 6a), und diese sind h√∂chstwahrscheinlich der Sekretionsort des Sexualpheromons. Das Analdr√ºsenepithel frisch geschl√ºpfter M√§nnchen ist noch undifferenziert (Abb. 6b) und gibt auch kein Sexualpheromon ab. W√§hrend der ersten Woche nach dem Schlupf steigt der Pheromongehalt der M√§nnchen verh√§ltnism√§√üig steil an, um dann bis zu einem Alter von ~4 Wochen relativ hoch zu bleiben (Abb. 14). Die Antenne der Mittelmeerfruchtfliege (Abb. 7) besteht aus einem relativ kleinen Scapus, einem sockelartigen Pedicellus, einem ~320 Œºm langen Funiculus (3. F√ºhlersegment) sowie einer fadenf√∂rmigen, dreigliedrigen Arista (~720 Œºm lang). Die Funiculi beider Geschlechter sind an der Oberfl√§che mit zahlreichen, abgebogenen Dornen sowie mit Sensilla trichodea (Abb. 9), Sensilla basiconica, Sensilla clavata (Abb. 11), Sensilla styloconica (Abb. 12a, b) und je einer Riechgrube (Abb. 7) besetzt. Unterhalb der Cuticula der Funiculi befindet sich eine 30 bis 60 Œºm dicke Schicht prim√§rer Sinneszellen, deren Axone im F√ºhlernerv vereinigt sind (Abb. 8). Die ‚Äê mit zahlreichen Poren ausgestatteten ‚Äê Sensilla trichodea (Abb. 10) reagieren auf M√§nnchenduft mindestens 103fach empfindlicher als auf Weibchenduft (Abb. 13). Die Pheromonwahrnehmung erfolgt an den ‚Äê besonders am oberen Teil des Weibchenfuniculus zahlreich vorhandenen ‚Äê Sensilla trichodea (Abb. 9). Der Anblick eines M√§nnchens in Lockstellung rief bei weiblichen, ungepaarten C. capitata keine Paarung hervor (Abb. 15), wogegen Erblicken eines lockenden M√§nnchens und gleichzeitige Wahrnehmung dessen Pheromons auf die Weibchen synergistisch wirkte und die ‚Äê zur Paarung f√ºhrende ‚Äê Verhaltenssequenz ausl√∂ste (Abb. 16). Ursprung der Gattungs‚Äê und Artnamen der Mittelmeerfruchtfiiege sowie deren Schadwirkung an Zitrusfr√ºchten wurden diskutiert. 1987 Blackwell Verlag GmbH</t>
  </si>
  <si>
    <t>448-461</t>
  </si>
  <si>
    <t>Journal of Applied Entomology</t>
  </si>
  <si>
    <t>January/December 1987</t>
  </si>
  <si>
    <t>60005460;60005460;60005460</t>
  </si>
  <si>
    <t>7102170884;16212286200;7203052412</t>
  </si>
  <si>
    <t>Levinson, H. Z.;Levinson, A. R.;Sch√§fer, K.</t>
  </si>
  <si>
    <t>Levinson H.</t>
  </si>
  <si>
    <t>Pheromone biology of the Mediterranean fruit fly (Ceratitis capitata Wied.) with emphasis on the functional anatomy of the pheromone glands and antennae as well as mating behaviour</t>
  </si>
  <si>
    <t>10.1111/j.1439-0418.1987.tb00546.x</t>
  </si>
  <si>
    <t>2-s2.0-0002148301</t>
  </si>
  <si>
    <t>['¬© 1987', 'virtually independent', 'two exponential', 'two components', 'treated samples', 'trapping rate', 'strongly affected', 'second component', 'rights reserved', 'results indicate', 'relative amplitudes', 'rapidly trapped', 'picosecond time', 'oxidation state', 'minor changes', 'initial decay', 'free p700', 'first component', 'fast component', 'excitation kinetics', 'enriched complex', 'decay components', 'biophysical society', 'average lifetime', 'antennae may', '665 nm', '16 ps', '106 ps']</t>
  </si>
  <si>
    <t>Picosecond time-resolved fluorescence measurements have been taken on a detergent-free P700-enriched complex at room temperature isolated from the blue-green alga Phormidium luridum with a chlorophyll a to reaction center ratio of 100. Emission at greater than 665 nm is characterized by two exponential-decay components. A fast component, which dominates the initial decay with an average lifetime of 16 ps and 87% amplitude, is attributed to excitations in the core antenna chlorophyll-proteins, which are rapidly trapped by the primary electron donor, P700. A second component, with an average lifetime of 106 ps and 13% amplitude, is attributed to the peripheral antenna proteins. For 532-nm, 30-ps pulse excitation the results are virtually independent of fluence in the range of 2 √ó 1012 to 4 √ó 1016 photons/cm2 and the oxidation state of P700. Addition of sodium dodecyl sulfate to 0.1% causes the second component's lifetime to increase by an average of a factor of 2.5. Only minor changes are observed in the first component's lifetime and the relative amplitudes of the two components. Two fractions isolated from the detergent-treated samples have also been examined. Our results indicate that excitation energy transfer within photosystem I is very efficient and that the excitation kinetics of the antennae may be limited by the trapping rate of P700 or strongly affected by the heterogeneity of the antennae. ¬© 1987, The Biophysical Society. All rights reserved.</t>
  </si>
  <si>
    <t>829-836</t>
  </si>
  <si>
    <t>Biophysical Journal</t>
  </si>
  <si>
    <t>;;</t>
  </si>
  <si>
    <t>6602436920;7005247378;7406888160</t>
  </si>
  <si>
    <t>Wittmershaus, Bruce P.;Berns, Donald S.;Huang, Cinnia</t>
  </si>
  <si>
    <t>Wittmershaus B.</t>
  </si>
  <si>
    <t>Picosecond Time-Resolved Fluorescence from Detergent-Free Photosystem I Particles</t>
  </si>
  <si>
    <t>S0006349587832769</t>
  </si>
  <si>
    <t>10.1016/S0006-3495(87)83276-9</t>
  </si>
  <si>
    <t>2-s2.0-0003081403</t>
  </si>
  <si>
    <t>['« éles', 'unsaturated aldehydes', 'unsaturated alcohols', 'significantly greater', 'selective sensitivity', 'saturated analogs', 'saturated alcohols', 'pour les', 'male antennae', 'foraging behaviors', 'examin √©', 'dacus dorsalis', 'compounds tested', 'aldehydes peaking', 'alcools et']</t>
  </si>
  <si>
    <t>Dacus dorsalis | Diptera | electroantennogram | electrophysiology | fruit | green‚Äêleaf volatiles | olfaction | oriental fruit fly | Tephritidae</t>
  </si>
  <si>
    <t>Electroantennograms (EAGs) were recorded from unmated, laboratory‚Äêreared, male and female oriental fruit flies, Dacus dorsalis, in response to a range of between C1 and C12 carbon chain‚Äêlength saturated and unaturated aliphatic alcohols and aldehydes, most all of which are known host‚Äêplant volatiles. Only two of the 35 compounds tested elicited significantly larger EAGs from female than male antennae. For the two functional‚Äêgroup series tested, aldehydes elicited responses greater than or equal to the responses to the alcohols. In general, the unsaturated alcohols did not elicit responses significantly different from the saturated alcohols. However, the unsaturated aldehydes, (E)‚Äê2‚Äêhexenal and 10‚Äêundecenal, elicited larger amplitude EAGs than their saturated analogs. EAGs were significantly greater for a particular carbon chain‚Äêlength, with responsiveness to primary alcohols peaking at C6 and aldehydes peaking at C7. The (E)‚Äê2‚Äê monoenic alcohols peaked at C6, while the (E)‚Äê3‚Äêalcohols plateaued between C5 and C8. The greatest EAG responses of all compounds tested were elicited by the saturated and unsaturated C6 alcohols and aldehydes which are constituents of the ‚Äúgeneral green‚Äêleaf volatile complex‚Äù that emanates from most plants. The potential adapative benefit of selective sensitivity to green‚Äêleaf volatiles is discussed in regards to foraging behaviors of oriental fruit flies. Electroantennogrammes des r√©ponses de Dacus dorsalis √† une gamme d'alcools et d'ald√©hydes de substances volatiles de v√©g√©taux Des √©lectroantennogrammes (EAG) ont enregistr√© les r√©ponses, en √©levages de femelles et m«éles vierges de Dacus dorsalis, √† une gamme de cha«ênes de carbones de C1 √† C12 satur√©s et non‚Äêsatur√©s d'alcools aliphatiques et d'ald√©hydes, dont beaucoup sont connus comme substances volatiles des v√©g√©taux. Seulement 2 des 35 compos√©s examin√©s ont provoqu√© des EAG significativement plus importants chez les femelles que chez les m«éles. Pour les s√©ries des deux groupes fonctionnels examin√©s, les ald√©hydes ont provoqu√© des r√©ponses sup√©rieures ou √©gales aux alcools. En g√©n√©ral, les r√©ponses aux alcools non‚Äêsatur√©s n'√©taient pas significativement diff√©rentes des r√©ponses aux alcools satur√©s. Cependant, les ald√©hydes non‚Äêsatur√©s, (E)‚Äê2‚Äêhex√©nal et 10‚Äêund√©c√©nal, ont induit des EAG de plus grande ampleur que leurs analogues satur√©s. Les EAG √©taient significativement les plus importants pour une cha«êne de longueur particuli√®re, la r√©ponse aux alcools primaires culminant en C6 et les ald√©hydes en C7. Les alcools mono√©niques (E)‚Äê2‚Äê culminaient en C6, tandis que les alcools (E)‚Äê3‚Äê √©taient √©tales entre C5 et C8. Les EAG les plus importants ont √©t√© obtenus pour tous les compos√©s examin√©s avec les alcools et ald√©hydes en C6 qui appartiennent √† ‚Äúl'odeur verte complexe‚Äù √©mise par beaucoup de plantes. Le b√©n√©fice adaptatif potentiel de la sensibilit√© s√©lective √† ‚Äúl'odeur verte‚Äù des feuilles est examin√©e en fonction du comportement de prospection de D. dorsalis. 1987 The Netherlands Entomological Society</t>
  </si>
  <si>
    <t>55-64</t>
  </si>
  <si>
    <t>60022600-60001989;60022600-60001989</t>
  </si>
  <si>
    <t>7102068858;7006157410</t>
  </si>
  <si>
    <t>Light, Douglas M.;Jang, Eric B.</t>
  </si>
  <si>
    <t>Albany;Washington, D.C.</t>
  </si>
  <si>
    <t>USDA ARS Western Regional Research Center (WRRC);USDA Agricultural Research Service</t>
  </si>
  <si>
    <t>60022600;60001989</t>
  </si>
  <si>
    <t>Light D.M.</t>
  </si>
  <si>
    <t>Electroantennogram responses of the oriental fruit fly, Dacus dorsalis, to a spectrum of alcohol and aldehyde plant volatiles</t>
  </si>
  <si>
    <t>10.1111/j.1570-7458.1987.tb02255.x</t>
  </si>
  <si>
    <t>2-s2.0-0004606095</t>
  </si>
  <si>
    <t>['¬© 1987', 'still attached', 'spectral properties', 'six pigment', 'protein complexes', 'polypeptide compositions', 'polyacrylamide gel', 'plant physiologists', 'particular organization', 'mild detergents', 'jspp ).', 'japanese society', 'harvesting complexes', 'dimethylamide oxide', 'chloroplast membranes']</t>
  </si>
  <si>
    <t>Chlorophyll-proteins | Chlorophyllase | Diatom | Gel electrophoresis</t>
  </si>
  <si>
    <t>Chloroplast membranes of the diatom Phaeodactylum tricornutum were dissociated by means of mild detergents, digitonin and lauryl-dimethylamide oxide. After electrophoresis on polyacrylamide gel, all the pigments were still attached to proteins, and six pigment-protein complexes were obtained. Three Chl Œ±-Œ≤-carotene complexes had the characteristics of Photosystem I and Photosystem II antennae. The other three contained Chl Œ±, Chl c and fucoxanthin and were related to light-harvesting complexes. Chlorophyllide Œ±, a product of the hydrolysis of Chl Œ± by chlorophyllase, has been found only in light-harvesting complexes. The spectral properties, pigment and polypeptide compositions of the complexes are discussed in relation to those of other plants and to the particular organization of the chloroplasts of diatoms. ¬© 1987. The Japanese Society of Plant Physiologists (JSPP).</t>
  </si>
  <si>
    <t>775-785</t>
  </si>
  <si>
    <t>Plant and Cell Physiology</t>
  </si>
  <si>
    <t>60015339;60024613</t>
  </si>
  <si>
    <t>7006626676;7409449087</t>
  </si>
  <si>
    <t>Caron, Lise;Brown, Jeanette</t>
  </si>
  <si>
    <t>United States;France</t>
  </si>
  <si>
    <t>Washington, D.C.;Banyuls-sur-Mer</t>
  </si>
  <si>
    <t>Carnegie Institution of Washington;Observatoire Oceanologique de Banyuls-sur-Mer</t>
  </si>
  <si>
    <t>60024613;60015339</t>
  </si>
  <si>
    <t>Caron L.</t>
  </si>
  <si>
    <t>Chlorophyll-carotenoid protein complexes from the diatom, phaeodactylum tricornutum: Spectrophotometric, pigment and polypeptide analyses</t>
  </si>
  <si>
    <t>10.1093/oxfordjournals.pcp.a077358</t>
  </si>
  <si>
    <t>2-s2.0-0005142481</t>
  </si>
  <si>
    <t>Ta 82/2-2</t>
  </si>
  <si>
    <t>['¬© 1987', 'whole surface', 'water vibration', 'tailfan resulted', 'stimulus direction', "silence ',", 'phenomenon helps', 'one ipsilateral', 'obvious relationship', 'moving object', 'minimal stimulation', 'ipsilateral antenna', 'forwards movement', 'first reactions', 'contralateral antenna', 'backwards movement', 'antennal sweeps', 'antennal movements', 'antennae swept', '50 degrees']</t>
  </si>
  <si>
    <t>Antennal movements in freshwater crayfish elicited by water vibration were analysed with respect to the reliability of the reactions and to the direction and degree of the antennal sweeps. Antennal sweeps were the first reactions to occur in response to stimulation by water vibration. If both antennae were moving, the one ipsilateral to the stimulus usually moved towards the stimulus; the contralateral one moved forwards or backwards with equal probability without an obvious relationship to the stimulus direction. The angles through which the antennae swept were in the range of 20-50 degrees of arc. Stimulation of extero-mechanoreceptors on the whole surface of the crayfish by direct touch typically caused a backwards movement of the ipsilateral antenna and a forwards movement of the contralateral antenna. Only touching the tailfan resulted in a different behavioural reaction of the contralateral antenna, which then moved with equal frequency forwards and backwards as on stimulation by water vibration. A mathematical model indicates that as an antenna sweeps past a moving object it goes through a 'cone of silence', i.e. a region of minimal stimulation. It is proposed that this phenomenon helps a crayfish localize moving objects. ¬© 1987.</t>
  </si>
  <si>
    <t>748-754</t>
  </si>
  <si>
    <t>Animal Behaviour</t>
  </si>
  <si>
    <t>Tautz, J.</t>
  </si>
  <si>
    <t>Konstanz</t>
  </si>
  <si>
    <t>Universit√§t Konstanz</t>
  </si>
  <si>
    <t>Tautz J.</t>
  </si>
  <si>
    <t>Water vibration elicits active antennal movements in the crayfish, Orconectes limosus</t>
  </si>
  <si>
    <t>S0003347287801112</t>
  </si>
  <si>
    <t>10.1016/S0003-3472(87)80111-2</t>
  </si>
  <si>
    <t>2-s2.0-0005622721</t>
  </si>
  <si>
    <t>['¬© 1987', 'transmitters cross', 'supply nights', 'simultaneous use', 'routine antarctic', 'rapidly attenuated', 'propagation paths', 'omega transmitters', 'new zealand', 'made possible', 'ice cap', 'amplitude data']</t>
  </si>
  <si>
    <t>Measurements of the amplitude and phase of VLF radio signals from the Omega transmitters on La Reunion Island and in Argentina have been made on routine Antarctic re-supply nights from Christchurch, New Zealand. It has been found that when the propagation paths to the transmitters cross the Antarctic ice cap, the direct path signals are very rapidly attenuated below the receiver noise level, the dominant signal source then being provided by the radio waves diffracting around the edge of the ice cap. These results have been made possible by the simultaneous use of the phase and amplitude data in a synthetic aperture antenna type analysis. ¬© 1987.</t>
  </si>
  <si>
    <t>Barr, R.</t>
  </si>
  <si>
    <t>New Zealand</t>
  </si>
  <si>
    <t>New Zealand Department of Scientific and Industrial Research</t>
  </si>
  <si>
    <t>Barr R.</t>
  </si>
  <si>
    <t>The diffraction of VLF radio waves by the Antarctic ice cap</t>
  </si>
  <si>
    <t>10.1016/0021-9169(87)90075-4</t>
  </si>
  <si>
    <t>2-s2.0-0006843040</t>
  </si>
  <si>
    <t>['vigna unguiculata', 'simple loss', 'removed singly', 'relative importance', 'phaseolus vulgaris', 'palpi consistently', 'organs depended', 'ont √©', 'les palpes', 'les antennes', 'hosts tested', 'host selection', 'host choice', 'greatest effect', 'glycine max', 'est l', 'dominance hierarchy', 'discrimination ).', 'dans la', 'complete reversal', 'cicer arietinum', 'chaque combinaison', 'callosobruchus maculatus', 'apr √®']</t>
  </si>
  <si>
    <t>ablation | antennae | Callosobruchus maculatus | cowpea weevil | foretarsi | host selection | oviposition | palpi | sense organs</t>
  </si>
  <si>
    <t>Ablations were performed to identify the sense organs used in host selection by ovipositing cowpea weevils, Callosobruchus maculatus. Antennae, foretarsi and palpi (maxillary + labial) were removed singly or in combination, and females were offered pairwise choices of four host species. Removal of the palpi consistently had the greatest effect on host choice, whereas the relative importance of other organs depended on the pair of hosts tested. Different organs may provide conflicting input as to the ‚Äòpreferred‚Äô host; certain ablations led to a complete reversal in preference (as opposed to a simple loss of discrimination). Input from separate organs appeared to be received in a dominance hierarchy. S√©lection de l'h«íte lors de la ponte de Callosobruchus maculatus: mod√©lisation des influx provenant s√©par√©ment des divers organes sensoriels Les ablations ont servi d'√©ttape nitiale lors de la d√©termination des organes sensoriels impliqu√©s dans la s√©lection du lieu de ponte par C. maculatus. Les antennes, les tarses ant√©rieurs, les palpes (maxillaires et labiaux) ont √©t√© retir√©s seuls ou en combinaison. Les femelles ont eu des choix binaires entre les graines de 4 l√©gumineuses: Cicer arietinum, Glycine max, Phaseolus vulgaris, Vigna unguiculata. Chaque combinaison d'ablations √©tait accompagn√©e d'un t√©moin chez lequel les mƒõmes ablations √©taient unilat√©rales. C'est l'ablation des palpes qui a le plus modifi√© le choix de l'h«íte; l'influence relative des autres organes d√©pendait des paires d'h«ítes offerts. Diff√©rents organes peuvent fournir des influx oppos√©s quant √† l'h«íte pr√©f√©r√©; certaines ablations ont conduit √† une inversion compl√®te des pr√©f√©rences. Il semble que les influx sensoriels formaient une gamma avec hi√©rarchie dominante. Dans les choix binaires, les pr√©f√©rences initiales des femelles intactes ont √©t√© supprim√©es avec l'ablation des palpes seuls, cependant elles n'avaient pas √©t√© modifi√©es par l'ablation conjointe des palpes et des tarses. Dans ces exp√©riences, l'influx antennaire ne devenait dominant qu'apr√®s ablation des deux autres organes sensoriels. Les pr√©f√©rences des femelles avec ablations unilat√©rales ne diff√©raient pas de celles des femelles intactes. 1987 The Netherlands Entomological Society</t>
  </si>
  <si>
    <t>169-173</t>
  </si>
  <si>
    <t>Host selection by ovipositing cowpea weevils: Patterning of input from separate sense organs</t>
  </si>
  <si>
    <t>10.1111/j.1570-7458.1987.tb03601.x</t>
  </si>
  <si>
    <t>2-s2.0-0007021862</t>
  </si>
  <si>
    <t>['trichogen cell', 'thecogen cells', 'thecogen cell', 'still enclosed', 'sensory neurons', 'sensory epithelium', 'protrude laterally', 'prospective hair', 'pernyi silkmoths', 'often attached', 'mechanical treatment', 'long apical', 'large numbers', 'large nucleus', 'forming process', 'finally possible', 'early stages', 'distinguished near', 'developing antennae', 'cuticle deposition', 'combined enzymatic', 'basal region', 'axon stumps', 'apical process', 'antennal branches']</t>
  </si>
  <si>
    <t>Antheraea polyphemus, Antheraea pernyi (Insecta, Lepidoptera) | Cell isolation | Morphogenesis | Olfactory sensilla | Sensory neurons</t>
  </si>
  <si>
    <t>By combined enzymatic and mechanical treatment, it was possible to dissociate the sensory epithelium of developing antennae of male Antheraea polyphemus and A. pernyi silkmoths from the stage of separation of the antennal branches up to the early stages of cuticle deposition. Large numbers of entire developing trichoid sensilla were isolated. These are characterized by a large trichogen cell with a long apical, hair-forming process and a large nucleus. A cluster of 2-3 sensory neurons, enclosed by the thecogen cell, is situated in the basal region. The dendrites run past the nucleus of the trichogen cell into the apical process from which they protrude laterally. The nuclei of the tormogen and a 4th enveloping cell can be distinguished near the base of the prospective hair. After further dissociation, only the neuron clusters remain, still enclosed by their thecogen cell and often attached to the antennal branch nerve via their axons. It is finally possible to disrupt the thecogen cells and the axons, leaving the sensory neurons with inner dendritic segments and axon stumps. The majority of these neurons can be expected to be olfactory. ¬© 1987 Springer-Verlag.</t>
  </si>
  <si>
    <t>543-549</t>
  </si>
  <si>
    <t>Keil, Thomas A.</t>
  </si>
  <si>
    <t>Keil T.</t>
  </si>
  <si>
    <t>Structure of isolated sensilla and sensory neurons in vitro: Observations on developing silkmoth antennae</t>
  </si>
  <si>
    <t>10.1007/BF00218945</t>
  </si>
  <si>
    <t>2-s2.0-0009567755</t>
  </si>
  <si>
    <t>Centre for Studies in Religion and Society, University of Victoria</t>
  </si>
  <si>
    <t>85-CRCR-l-1706</t>
  </si>
  <si>
    <t>CSRS</t>
  </si>
  <si>
    <t>['¬© 1987', 'virgin individuals', 'tarsal response', 'sucrose followed', 'proboscis extension', 'either appendage', 'antennal stimulation', 'adult male']</t>
  </si>
  <si>
    <t>antennae | Heliothis virescens | proboscis extension | sugars | tarsi | tobacco budworm</t>
  </si>
  <si>
    <t>Tarsal or antennal stimulation with sugars of adult male or female Heliothis virescens results in proboscis extension. Moths are most responsive to sucrose followed by fructose and glucose. Tarsal response to glucose is higher than that of antennae while stimulation of either appendage with sucrose or fructose is similar. Moths do not respond to ribose, rhamnose and raffinose, constituents of cotton extrafloral nectar. There is also no difference in response between males and females, mated and virgin individuals, with age and during scotophase or photophase. ¬© 1987.</t>
  </si>
  <si>
    <t>755-760</t>
  </si>
  <si>
    <t>Journal of Insect Physiology</t>
  </si>
  <si>
    <t>Ramaswamy, Sonny B.</t>
  </si>
  <si>
    <t>Mississippi State</t>
  </si>
  <si>
    <t>Mississippi State University</t>
  </si>
  <si>
    <t>Ramaswamy S.</t>
  </si>
  <si>
    <t>Behavioural responses of Heliothis virescens (Lepidoptera: Noctuidae) to stimulation with sugars</t>
  </si>
  <si>
    <t>0022-1910(87)90062-X</t>
  </si>
  <si>
    <t>10.1016/0022-1910(87)90062-X</t>
  </si>
  <si>
    <t>2-s2.0-0010479805</t>
  </si>
  <si>
    <t>['wiley blackwell', 'two subgenera', 'special setae', 'several genera', 'rights reserved', 'previous literature', 'present data', 'male antennae', 'lepidopteran sensilla', 'highly uniform', 'flagellar segments', 'flagellar cuticle', 'dominating structure', 'chaetica type', 'branches occurs', 'ascoid sensilla', 'alt flagellomeres', 'additional synapomorphy', '12 short']</t>
  </si>
  <si>
    <t>Antennal sensilla | Lepidoptera | Nepticulidae | Phylogeny | Ultrastructure</t>
  </si>
  <si>
    <t>Antennae of representatives of most genera and subgenera of Nepticulidae have been examined in detail with SEM. Flagellar segments are highly uniform and possess each 1‚Äì3 s. trichodea, 1‚Äì3 long s. chaetica type I, 12 short s. chaetica type II and 0‚Äì2 s. coeloconica of a simpified type without ‚Äúpicket fence‚Äù. The dominating structure is a pair of s. vesiculoclada, a unique sensillum type, believed to be a synapomorphy for the Nepticulidae. A pair is present on alt flagellomeres in male antennae but not on all flagellomeres of females in two subgenera of Ectoedemia. Principally each s. vesiculocladum is five‚Äêbranched, with the branches joined tightly to the flagellar cuticle, but reduction of the branches occurs in several genera, in particular in Ectoedemia. This sensillum can be classified as a single‚Äêwalled wp sensillum, and thus a chemoreceptor. The s. vesiculocladum is considered to be a homologue of the ascoid sensilla in the Opostegidae. The presence of these special setae is considered as an additional synapomorphy for both families. A review of previous Literature on lepidopteran sensilla is presented and the present data are compared and discussed. In the Nepticulidae the s. vesiculocladum is assumed to be the major pheromone detector in contrast to the s. trichodea of most other Lepidoptera. Copyright ¬© 1987, Wiley Blackwell. All rights reserved</t>
  </si>
  <si>
    <t>104-126</t>
  </si>
  <si>
    <t>Journal of Zoological Systematics and Evolutionary Research</t>
  </si>
  <si>
    <t>60008734;60008734</t>
  </si>
  <si>
    <t>57194693619;6506977142</t>
  </si>
  <si>
    <t>NIEUKERKEN, E. J.VAN;DOP, H.</t>
  </si>
  <si>
    <t>Netherlands</t>
  </si>
  <si>
    <t>Amsterdam</t>
  </si>
  <si>
    <t>Vrije Universiteit Amsterdam</t>
  </si>
  <si>
    <t>NIEUKERKEN E.</t>
  </si>
  <si>
    <t>Antennal sensory structures in Nepticulidae (Lepidoptera) and their phylogenetic implications</t>
  </si>
  <si>
    <t>10.1111/j.1439-0469.1987.tb00595.x</t>
  </si>
  <si>
    <t>2-s2.0-0010799005</t>
  </si>
  <si>
    <t>['room temperature', 'reaction center', 'markedly slower', 'helium temperatures', 'excitation transport']</t>
  </si>
  <si>
    <t>Zero-phonon, vibronic, and phononic satellite hole structure are reported for a core antenna complex (C670) of photosystem I. The electron-protein phonon coupling of C670 is compared with that for the primary electron donor state P700. Low-frequency phonons (‚àº30 cm-1) are implicated as the primary acceptor modes for excitation transport from the antenna to the reaction center. Excitation transport within the antenna at helium temperatures is markedly slower than at room temperature. ¬© 1987 American Chemical Society.</t>
  </si>
  <si>
    <t>5524-5527</t>
  </si>
  <si>
    <t>Journal of Physical Chemistry</t>
  </si>
  <si>
    <t>60008023;60008023;60008023;60023908</t>
  </si>
  <si>
    <t>8784715500;57035722600;7202142626;7006150149</t>
  </si>
  <si>
    <t>Gillie, J. K.;Hayes, J. M.;Small, G. J.;Golbeck, J. H.</t>
  </si>
  <si>
    <t>Portland;Ames</t>
  </si>
  <si>
    <t>Portland State University;Ames Laboratory</t>
  </si>
  <si>
    <t>60023908;60008023</t>
  </si>
  <si>
    <t>Gillie J.</t>
  </si>
  <si>
    <t>Hole burning spectroscopy of a core antenna complex</t>
  </si>
  <si>
    <t>10.1021/j100306a003</t>
  </si>
  <si>
    <t>2-s2.0-0011031801</t>
  </si>
  <si>
    <t>['type arise', 'trap closure', 'results show', 'protein complexes', 'precise origins', 'photosystem 2', 'photosynthetic mutants', 'overall decays', 'observed pigment', 'induced quenching', 'different emissions', 'cp4 ).', 'chlamydomonas reinhardtii', 'charge recombination', 'associated emissions', '73 ns', '250 ps', '2 ns']</t>
  </si>
  <si>
    <t>chlorophyll fluorescence | excitation transfer | lifetime | photon counting | photosynthetic mutant (Chlamydomonas reinhardtii) | photosystem (1 and 2)</t>
  </si>
  <si>
    <t>The room temperature chlorophyll fluorescence decay kinetics of photosynthetic mutants of Chlamydomonas reinhardtii have been measured as a function of Photosystem 2 (PS2) trap closure, DNB-induced quenching at FM, and time-resolved emission spectra. The overall decays have been analyzed in terms of three or four kinetic components where necessary. A comparison of the characteristics of the decay components exhibited by the mutants with the wild-type has been carried out to elucidate the precise origins of the different emissions in relation to the observed pigment-protein complexes. It is shown that a) charge recombination in PS2 is not necessary for the presence of long-lived decay components, b) there are two rapid PS1-associated emissions (œÑ=30 and 150-200 ps), c) a slow PS1 decay is observed (œÑ=1.73 ns) in the absence of PS1 reaction centres, d) the two variable components (œÑ=0.25-1.2 and 0.5-2.2 ns) observed in the wild-type arise from LHC2 and e) a rapid (œÑ=50-250 ps) decay is associated with the PS2 core antenna (CP3 and CP4). These results show that the intact thylakoid membrane system is too complex to distinguish all of the individual kinetic components. ¬© 1987 Martinus Nijhoff Publishers.</t>
  </si>
  <si>
    <t>125-141</t>
  </si>
  <si>
    <t>60008134;60008134</t>
  </si>
  <si>
    <t>7101788792;16459596100</t>
  </si>
  <si>
    <t>Hodges, M.;Mova, I.</t>
  </si>
  <si>
    <t>France</t>
  </si>
  <si>
    <t>Paris</t>
  </si>
  <si>
    <t>CNRS Centre National de la Recherche Scientifique</t>
  </si>
  <si>
    <t>Hodges M.</t>
  </si>
  <si>
    <t>Time-resolved chlorophyll fluorescence studies on photosynthetic mutants of Chlamydomonas reinhardtii: origin of the kinetic decay components</t>
  </si>
  <si>
    <t>10.1007/BF00035236</t>
  </si>
  <si>
    <t>2-s2.0-0011311473</t>
  </si>
  <si>
    <t>['¬© 1987', 'west germany', 'wave bursts', 'transient sources', 'source parameters', 'smooth f', 'results presented', 'resonant nature', 'resonant bar', 'radiation emitted', 'noise ratios', 'interferometer sensitivities', 'hole interactions', 'gravitational radiation', 'gravitational burst', 'energy gravitational', 'bar frequency', '840 hz', '500 hz', '20 mk', '10 kpc', '1 dependence']</t>
  </si>
  <si>
    <t>The signal-to-noise ratios for the detection of gravitational radiation are derived and compared for resonant bar and laser interferometric detectors. The results presented here apply to the detection of transient gravitational radiation as would be emitted in particlendashblack-hole interactions, stellar collapse events, or the decay of compact binary systems. For the detection of fixed-energy gravitational-wave bursts, the bar antenna shows its resonant nature with a sensitivity that is broadly peaked near the bar frequency, while the interferometer response shows a smooth f-1 dependence. Applied to the detection of the radiation emitted in the decay of a compact binary system, the ratio of bar to interferometer sensitivities is independent of source parameters. Using operational antenna parameters (circa 1985), the 4.2-K Stanford bar (Td=20 mK, Ma=4.8√ó103 kg, La=3 m, fa=840 Hz) is shown to be typically three times more sensitive to transient sources than the 30-m interferometer (h=2√ó10-19/ Hz above 500 Hz) at the Max-Planck-Institut f√ºr Quantenoptik in Garching, West Germany. Additionally, the signal-to-noise ratios calculated here are normalized to represent optimistic Galactic sources (located at 10 kpc, 10-2 Mc2 emitted in a gravitational burst) and indicate that both antennas are operating near astrophysically interesting sensitivities with signal-to-noise ratios ranging from 1 to 10 for these sources. ¬© 1987 The American Physical Society.</t>
  </si>
  <si>
    <t>1577-1586</t>
  </si>
  <si>
    <t>Dewey, Daniel</t>
  </si>
  <si>
    <t>Cambridge</t>
  </si>
  <si>
    <t>Massachusetts Institute of Technology</t>
  </si>
  <si>
    <t>Dewey D.</t>
  </si>
  <si>
    <t>Comparison of bar and interferometer sensitivities to sources of transient gravitational radiation</t>
  </si>
  <si>
    <t>10.1103/PhysRevD.36.1577</t>
  </si>
  <si>
    <t>2-s2.0-0011676473</t>
  </si>
  <si>
    <t>['theory established', 'sphere distances', 'somewhat simpler', 'small roughness', 'previous findings', 'perfect flatness', 'molecules near', 'latter theory', 'large molecule', 'formally equivalent', 'flat surface', 'dynamical approach', 'diffraction theory', 'dielectric sphere']</t>
  </si>
  <si>
    <t>A dynamical approach to the classical decay rates for molecules near a dielectric sphere is presented through the application of the diffraction theory for a dipole antenna established by Van del Pol and Bremmer. This theory is somewhat simpler than but formally equivalent to that established by Ruppin and preserves a feature which is closer to the method of the theory established by Chance, Prock, and Silbey for a flat surface. The results, when compared to those obtained from the static image theory, show that this latter theory can be very inaccurate for large molecule-sphere distances or highly conducting spheres, consistent with previous findings for surfaces with perfect flatness or small roughness. ¬© 1987 American Institute of Physics.</t>
  </si>
  <si>
    <t>6722-6724</t>
  </si>
  <si>
    <t>The Journal of Chemical Physics</t>
  </si>
  <si>
    <t>60032083;60032083</t>
  </si>
  <si>
    <t>23972950700;57211731554</t>
  </si>
  <si>
    <t>Leung, P. T.;George, Thomas F.</t>
  </si>
  <si>
    <t>Buffalo</t>
  </si>
  <si>
    <t>University at Buffalo, The State University of New York</t>
  </si>
  <si>
    <t>Leung P.</t>
  </si>
  <si>
    <t>Dynamical analysis of molecular decay at spherical surfaces</t>
  </si>
  <si>
    <t>10.1063/1.453408</t>
  </si>
  <si>
    <t>2-s2.0-0011926107</t>
  </si>
  <si>
    <t>Office of Naval Research</t>
  </si>
  <si>
    <t>N62269-85-C-0383</t>
  </si>
  <si>
    <t>ONR</t>
  </si>
  <si>
    <t>['transmitter polarization', 'reflected wave', 'problem considered', 'polarization state', 'performed directly', 'particularly convenient', 'optimization problem', 'known linear', 'energy density', 'electronics engineers', 'bistatic applications', 'algebraic construction']</t>
  </si>
  <si>
    <t>The problem considered is one of finding the polarization state of an antenna such that a power ratio due to two different objects is optimized. It is reduced to an optimization problem of two Hermitian forms which can be simultaneously diagonalized using a well-known linear-algebraic construction. The coiresponding polarization vectors are found. The calculations are performed directly on the expression for the energy density of the reflected wave as a function of the transmitter polarization and are, therefore, decoupled from the receiving antenna parameters. Such decoupling is particularly convenient in bistatic applications. Copyright ¬© 1987 by The Institute of Electrical and Electronics Engineers, Inc.</t>
  </si>
  <si>
    <t>988-991</t>
  </si>
  <si>
    <t>0018926X</t>
  </si>
  <si>
    <t>IEEE Transactions on Antennas and Propagation</t>
  </si>
  <si>
    <t>60027561;60027561</t>
  </si>
  <si>
    <t>20436169300;7006670998</t>
  </si>
  <si>
    <t>Kostinski, Alexander B.;Boerner, Wolfgang Martin</t>
  </si>
  <si>
    <t>Chicago</t>
  </si>
  <si>
    <t>University of Illinois at Chicago</t>
  </si>
  <si>
    <t>Kostinski A.</t>
  </si>
  <si>
    <t>On the Polarimetric Contrast Optimization</t>
  </si>
  <si>
    <t>10.1109/TAP.1987.1144209</t>
  </si>
  <si>
    <t>2-s2.0-0012622633</t>
  </si>
  <si>
    <t>['œ ±-', '¬© 1987', 'various states', 'state transitions', 'state ii', 'rights reserved', 'reversible migration', 'properties identical', 'picosecond resolution', 'photon timing', 'measurably increase', 'major effect', 'low amplitude', 'light adaptation', 'harvesting complexes', 'fourth component', 'following conclusions', 'fmax level', 'fluorescence kinetics', 'f0 level', 'decay components', 'dead chlorophyll', 'biophysical society', 'antenna size', 'antenna organization', 'algal cells', '685 nm', '3 ns', '2 ns']</t>
  </si>
  <si>
    <t>Decay-associated fluorescence spectra of the green alga Scenedesmus obliquus have been measured by single-photon timing with picosecond resolution in various states of light adaptation. The data have been analyzed by applying a global data analysis procedure. The amplitudes of the decay-associated spectra allow a determination of the relative antenna sizes of the photosystems. We arrive at the following conclusions: (a) The fluorescence kinetics of algal cells with open PS II centers (F0 level) have to be described by a sum of three exponential components. These decay components are attributed to photosystem (PS) I (œÑ ‚âà 85 ps, Œªmaxem ‚âà 695‚Äì700 nm), open PS II Œ±-centers (œÑ ‚âà 300 ps, Œªmaxem = 685 nm), and open PS II Œ≤-centers (œÑ ‚âà 600 ps, Œªmaxem = 685 nm). A fourth component of very low amplitude (œÑ ‚âà 2.2‚Äì2.3 ns, Œªmaxem = 685 nm) derives from dead chlorophyll. (b) At the Fmax level of fluorescence there are also three decay components. They originate from PS I with properties identical to those at the F0 level, from closed PS II Œ±-centers (œÑ ‚âà 2.2 ns, Œªmaxem = 685 nm) and from closed PS Œ≤-centers (œÑ ‚âà 1.2 ns, Œªmaxem = 685 nm). (c) The major effect of light-induced state transitions on the fluorescence kinetics involves a change in the relative antenna size of Œ±- and Œ≤-units brought about by the reversible migration of light-harvesting complexes between Œ±-centers and Œ≤-centers. (d) A transition to state II does not measurably increase the direct absorption cross-section (antenna size) of PS I. Our data can be rationalized in terms of a model of the antenna organization that relates the effects of state transitions and light-harvesting complex phosphorylation with the concepts of PS II Œ±,Œ≤-heterogeneity. We discuss why our results are in disagreement with those of a recent lifetime study of Chlorella by M. Hodges and I. Moya (1986, Biochim. Biophys. Acta., 849:193‚Äì202). ¬© 1987, The Biophysical Society. All rights reserved.</t>
  </si>
  <si>
    <t>717-728</t>
  </si>
  <si>
    <t>;</t>
  </si>
  <si>
    <t>24395584500;35501122300</t>
  </si>
  <si>
    <t>Wendler, Joachim;Holzwarth, Alfred R.</t>
  </si>
  <si>
    <t>Wendler J.</t>
  </si>
  <si>
    <t>State Transitions in the Green Alga Scenedesmus Obliquus Probed by Time-Resolved Chlorophyll Fluorescence Spectroscopy and Global Data Analysis</t>
  </si>
  <si>
    <t>S0006349587832666</t>
  </si>
  <si>
    <t>10.1016/S0006-3495(87)83266-6</t>
  </si>
  <si>
    <t>2-s2.0-0013399854</t>
  </si>
  <si>
    <t>['tie antennas', 'test apparatus', 'scale modeling', 'recent superconductor', 'quantum theory', 'mixer measurements', 'low noise', 'developments related', 'computer modeling', 'band mixers', 'array mixers', 'accurate measurements']</t>
  </si>
  <si>
    <t>A summary is presented of recent superconductor-insulator-superconductor (SIS) quasi-particle heterodyne mixer work done at the University of California, Berkeley. Developments related to millimeter-wavelength waveguide mixers include techniques for accurate measurements of noise and gain, fabrication of integrated RF matching elements for large instantaneous bandwidths, large scaled modeling experiments, and W-band mixers with wide tuning bandwidth and only one mechanical adjustment. In addition, the author describes observation of very large coupled gain, studies of the properties of array mixers, analysis of the effect of saturation on mixer measurements, very low noise in mixers with high quality junctions, and computer modeling to test the quantum theory of mixing. Developments related to planar lithographed mixers with quasi-optical antennas include construction of test apparatus, large-scale modeling, and the design and evaluation of mixers that use RF matching structures integrated with bow-tie antennas.</t>
  </si>
  <si>
    <t>MAG-23</t>
  </si>
  <si>
    <t>IEEE Transactions on Magnetics</t>
  </si>
  <si>
    <t>Mar</t>
  </si>
  <si>
    <t>Richards, P. L.</t>
  </si>
  <si>
    <t>Berkeley</t>
  </si>
  <si>
    <t>University of California, Berkeley</t>
  </si>
  <si>
    <t>Richards P.</t>
  </si>
  <si>
    <t>PROGRESS IN THE DEVELOPMENT OF SIS QUASIPARTICLE MIXERS.</t>
  </si>
  <si>
    <t>2-s2.0-0022682693</t>
  </si>
  <si>
    <t>['zenith angles', 'wind speed', 'taylor expansion', 'surface temperature', 'paper proposes', 'observed ones', 'observed data', 'observation errors', 'main lobe', 'less utility', 'incidence angles', 'incidence angle', 'horizontal polarizations', 'good agreement', 'electronics engineers', 'dual frequencies', 'derived results', 'case study', 'application along', 'antenna characteristics', '70 ¬∫', '7 ghz', '6 ghz', '20 ¬∫', '10 ¬∫,']</t>
  </si>
  <si>
    <t>This paper proposes a simplified microwave model, linearized by Taylor expansion and incorporating observed fundamental microwave emissive properties, and discusses its application along with the least square method for determining some oceanic environmental parametric values from multichannel observation data. As a case study, microwave radiometric observations were made in vertical and horizontal polarizations at 6.7 and 18.6 GHz at incidence angles from 20¬∫ to 70¬∫ at steps of 10¬∫, and sea-surface temperature, wind speed, and sky brightness temperatures at the above dual frequencies at zenith angles from 20¬∫ to 70¬∫ were determined from a set of observed data at each incidence angle. The algorithm-derived results were compared with observed ones and showed good agreements within 10 percent of errors at incidence angles from 20¬∫ to 60¬∫; however, no good agreement was attained at large incidence angles such as 70¬∞, except sky brightness temperature at 6.7 GHz. This disagreement may beattributed mainly to the difficulty and incompleteness in corrections such as estimation of reflected sky radiation and antenna characteristics, both for retrieval of the antenna temperature averaged over the main lobe and observation errors. This fact, however, may also suggest that observations at such larger incidence angles are of less utility. Copyright ¬© 1987 by The Institute of Electrical and Electronics Engineers, Inc.</t>
  </si>
  <si>
    <t>384-392</t>
  </si>
  <si>
    <t>GE-25</t>
  </si>
  <si>
    <t>IEEE Transactions on Geoscience and Remote Sensing</t>
  </si>
  <si>
    <t>60004283;60004283;60004283;60027170;60032315</t>
  </si>
  <si>
    <t>7404559419;6603742934;6701452590;6603714097;55731586100</t>
  </si>
  <si>
    <t>Sasaki, Yasunori;Asanuma, Ichio;Muneyama, Kei;Naito, Gen'ichi;Suzuki, Tsutomu</t>
  </si>
  <si>
    <t>Japan;Japan;Japan</t>
  </si>
  <si>
    <t>Chofu;Tsukuba;Yokosuka</t>
  </si>
  <si>
    <t>The University of Electro-Communications;National Research Institute for Earth Science and Disaster Resilience;Japan Agency for Marine-Earth Science and Technology</t>
  </si>
  <si>
    <t>60032315;60027170;60004283</t>
  </si>
  <si>
    <t>Sasaki Y.</t>
  </si>
  <si>
    <t>A Simplified Microwave Model and Its Application to the Determination of Some Oceanic Environmental Parametric Values, Using Multichannel Microwave Radiometric Observations</t>
  </si>
  <si>
    <t>10.1109/TGRS.1987.289809</t>
  </si>
  <si>
    <t>2-s2.0-0022719517</t>
  </si>
  <si>
    <t>['parallel position', 'one side', 'normal position', 'moved first', 'magnetic field', 'loop axis', 'electronics engineers', 'conductive objects', 'close proximity', 'arranged coaxially', '50 mhz']</t>
  </si>
  <si>
    <t>The magnetic field radiated from a small loop antenna is used for calibration of field strength meters. When conductive objects are in close proximity to the antenna, the magnetic field is affected by them. Experiments to study the effects of a conductive square plate smaller than 2 m on one side, and those of an upright human body on the magnetic field were carried out at the frequencies up to 50 MHz. The transmitting and receiving loop antennas were arranged coaxially, the spacing between them ranging from 0.25 to 0.75 m. The conductive objects were moved first in the parallel position to, and second in the normal position to the loop axis. The relationship between the limit of the errors and the distance from the object to the antenna is shown in the tables. Copyright ¬© 1987 by The Institute of Electrical and Electronics Engineers, Inc.</t>
  </si>
  <si>
    <t>540-542</t>
  </si>
  <si>
    <t>IM-36</t>
  </si>
  <si>
    <t>IEEE Transactions on Instrumentation and Measurement</t>
  </si>
  <si>
    <t>60025141-60031701;60025141-60031701</t>
  </si>
  <si>
    <t>14320555700;7102497816</t>
  </si>
  <si>
    <t>Nakane, Hiroshi;Omori, Shunichi</t>
  </si>
  <si>
    <t>Japan;Japan</t>
  </si>
  <si>
    <t>Tsukuba;Tokyo</t>
  </si>
  <si>
    <t>Electrotechnical Laboratory;Tokyo University of Science</t>
  </si>
  <si>
    <t>60031701;60025141</t>
  </si>
  <si>
    <t>Nakane H.</t>
  </si>
  <si>
    <t>Effect of Conductive Objects on the Magnetic Field Radiated by Loop Antennae</t>
  </si>
  <si>
    <t>10.1109/TIM.1987.6312735</t>
  </si>
  <si>
    <t>2-s2.0-0022732814</t>
  </si>
  <si>
    <t>['type probes', 'thin walls', 'successfully used', 'shielding enclosures', 'rf leakage', 'open scatters', 'new design', 'electronics engineers', 'direct measurements', 'calibration studies']</t>
  </si>
  <si>
    <t>The direct measurements of surface currents using King-type probes are valuable diagnostic tools in calibration studies. A new design and the corresponding calibration curves of a compact movable probe is introduced. It has been successfully used for surface current measurements in open scatters with thin walls and for the detection of RF leakage on shielding enclosures. Copyright ¬© 1987 by The Institute of Electrical and Electronics Engineers, Inc.</t>
  </si>
  <si>
    <t>564-566</t>
  </si>
  <si>
    <t>60029570;60029570</t>
  </si>
  <si>
    <t>7003895942;7004822283</t>
  </si>
  <si>
    <t>Conforti, Evandro;Giarola, Att√≠lio Jos√©</t>
  </si>
  <si>
    <t>Brazil</t>
  </si>
  <si>
    <t>Campinas</t>
  </si>
  <si>
    <t>Universidade Estadual de Campinas</t>
  </si>
  <si>
    <t>Conforti E.</t>
  </si>
  <si>
    <t>A Compact and Movable King-Type Probe for Surface Field Measurements</t>
  </si>
  <si>
    <t>10.1109/TIM.1987.6312741</t>
  </si>
  <si>
    <t>2-s2.0-0022732816</t>
  </si>
  <si>
    <t>['submillimeter three', 'strength probe', 'present information', 'field strengths', 'electronics engineers', '1200 v']</t>
  </si>
  <si>
    <t>This paper will present information on the design, fabri- cation, and testing of a submillimeter three-axis electric field (E-field) strength probe. The probe is designed to detect frequencies ranging from approximately 200 MHz to 18 GHz along with field strengths as small as 60 to over 1200 V/m. Copyright ¬© 1987 by The Institute of Electrical and Electronics Engineers, Inc.</t>
  </si>
  <si>
    <t>567-571</t>
  </si>
  <si>
    <t>60020588-60021918</t>
  </si>
  <si>
    <t>Howerton, Phillip H.</t>
  </si>
  <si>
    <t>Charlottesville;Crofton</t>
  </si>
  <si>
    <t>University of Virginia;SFA, Inc</t>
  </si>
  <si>
    <t>60021918;60020588</t>
  </si>
  <si>
    <t>Howerton P.H.</t>
  </si>
  <si>
    <t>Design of a Three-Axis Microwave E- Field Probe Having Submillimeter Dimensions</t>
  </si>
  <si>
    <t>10.1109/TIM.1987.6312742</t>
  </si>
  <si>
    <t>2-s2.0-0022732953</t>
  </si>
  <si>
    <t>['¬© 1987', 'two wavelengths', 'rights reserved', 'new type', 'maximum value', 'helicoid operates', 'gain relative', 'frequency range', 'electrical engineers', 'director composed', 'conventional helix', 'broadband exciter', 'axial length', 'also found', '5 db']</t>
  </si>
  <si>
    <t>Antennas | EM waves</t>
  </si>
  <si>
    <t>A new type of director for circularly polarised waves is proposed and its characteristics investigated experimentally. The experiment is performed by using an Archimedean spiral antenna as a broadband exciter. It is revealed that the director composed of a helicoid operates over a frequency range of 1 to 2, which is broader than a conventional helix. It is also found that the gain relative to the spiral antenna shows a maximum value of about 5 dB when the axial length of the director is two wavelengths. ¬© 1987, The Institution of Electrical Engineers. All rights reserved.</t>
  </si>
  <si>
    <t>851-853</t>
  </si>
  <si>
    <t>Electronics Letters</t>
  </si>
  <si>
    <t>60082079;60030526</t>
  </si>
  <si>
    <t>57220533028;55633340100</t>
  </si>
  <si>
    <t>Yamauchi, J.;Nakano, H.</t>
  </si>
  <si>
    <t>Tokyo;Tokyo</t>
  </si>
  <si>
    <t>Tokyo Metropolitan College of Technology;Hosei University</t>
  </si>
  <si>
    <t>Yamauchi J.</t>
  </si>
  <si>
    <t>Helicoidal Director For Circularly Polarised Waves</t>
  </si>
  <si>
    <t>10.1049/el:19870602</t>
  </si>
  <si>
    <t>2-s2.0-0022751275</t>
  </si>
  <si>
    <t>['¬© 1987', 'rights reserved', 'receiving pattern', 'mutual coupling', 'linear array', 'electrical engineers', 'antenna elements']</t>
  </si>
  <si>
    <t>Antenna arrays | Antennas</t>
  </si>
  <si>
    <t>The mutual coupling between the antenna elements of a phased array causes null filling and null steering error in the receiving pattern. It is shown that by putting guard elements on each end of a linear array, these effects are reduced. The result indicates useful applications in adaptive array implementation. ¬© 1987, The Institution of Electrical Engineers. All rights reserved.</t>
  </si>
  <si>
    <t>854-855</t>
  </si>
  <si>
    <t>60028333;60028333</t>
  </si>
  <si>
    <t>7402101459;7102344747</t>
  </si>
  <si>
    <t>Lo, K. W.;Vu, T. B.</t>
  </si>
  <si>
    <t>Sydney</t>
  </si>
  <si>
    <t>UNSW Sydney</t>
  </si>
  <si>
    <t>Lo K.W.</t>
  </si>
  <si>
    <t>Minimisation Of Mutual Coupling Effect On Null Steering By Using Guard Elements</t>
  </si>
  <si>
    <t>10.1049/el:19870604</t>
  </si>
  <si>
    <t>2-s2.0-0022753755</t>
  </si>
  <si>
    <t>['¬© 1987', 'system consists', 'simple beacons', 'results obtained', 'required codes', 'rails according', 'low level', 'fixed along', 'entirely passive', 'dielectric lens', 'cylindrical horn', 'cost module', 'antenna base', 'actual working']</t>
  </si>
  <si>
    <t>The system consists of simple beacons, which are entirely passive and fixed along the rails according to the required codes, and a radar transceiver working at low level in the X-band. The antenna is constituted by a cylindrical horn and a dielectric lens. The tranceiver is based on a specially adapted commercial low-cost module. The results obtained on the antenna base as well as those performed during actual working are presented. ¬© 1987.</t>
  </si>
  <si>
    <t>313-322</t>
  </si>
  <si>
    <t>Sensors and Actuators</t>
  </si>
  <si>
    <t>November 1987/December 1987</t>
  </si>
  <si>
    <t>60102125;60102125;60019269</t>
  </si>
  <si>
    <t>7003576817;6701701858;6602389254</t>
  </si>
  <si>
    <t>Pistre, J. D.;Zardini, Ch;Drabowitch, S.</t>
  </si>
  <si>
    <t>France;France</t>
  </si>
  <si>
    <t>Bordeaux;Puteaux</t>
  </si>
  <si>
    <t>Universit√© de Bordeaux;Thales Group</t>
  </si>
  <si>
    <t>60102125;60019269</t>
  </si>
  <si>
    <t>Pistre J.</t>
  </si>
  <si>
    <t>Radar detector for automatic control of trains</t>
  </si>
  <si>
    <t>10.1016/0250-6874(87)80051-3</t>
  </si>
  <si>
    <t>2-s2.0-0022813226</t>
  </si>
  <si>
    <t>['two forms', 'top cover', 'surface wave', 'structures without', 'space wave', 'performance features', 'one finds', 'leakage occurs', 'explains quantitatively', 'copyright 1987', 'continuous spectrum', 'clarified regarding']</t>
  </si>
  <si>
    <t>Some confusion in the literature is clarified regarding the properties of microstrip‚Äêline higher modes in the neighborhood of cutoff. It is shown that those modes become leaky in that range; with the aid of the steepest‚Äêdescent plane, one finds that the continuous spectrum can be characterized in a highly convergent manner by essentially a single leaky mode. The leakage occurs in two forms: a surface wave and a space wave. For structures without a top cover, it is found that almost all of the leakage is in the form of a space wave, so that an efficient leaky‚Äêwave antenna of particularly simple configuration may be designed that consists of just a length of uniform microstrip line fed in its first higher mode. An accurate leaky‚Äêwave analysis is developed that explains quantitatively the performance features and the limitations of this class of antennas. Copyright 1987 by the American Geophysical Union.</t>
  </si>
  <si>
    <t>907-912</t>
  </si>
  <si>
    <t>1944799X</t>
  </si>
  <si>
    <t>Radio Science</t>
  </si>
  <si>
    <t>Oliner, Arthur A.</t>
  </si>
  <si>
    <t>Oliner A.</t>
  </si>
  <si>
    <t>Leakage from higher modes on microstrip line with application to antennas</t>
  </si>
  <si>
    <t>10.1029/RS022i006p00907</t>
  </si>
  <si>
    <t>2-s2.0-0022943440</t>
  </si>
  <si>
    <t>['sommerfeld integrals', 'several cases', 'practical interest', 'modified implementation', 'copyright 1987', 'antennas near']</t>
  </si>
  <si>
    <t>The electric‚Äêfield integral equation for the current on a thin, horizontal wire antenna radiating above a lossy half‚Äêspace is solved by the method of moments, with the effect of interface included via the Sommerfeld integrals, the well‚Äêknown reflection‚Äêcoefficient approximation and the high‚Äêcontrast approximation. A modified implementation of the reflection‚Äêcoefficient approximation is suggested, which makes this technique reasonably accurate for antennas near the interface. A comparison is made between the methods for several cases of practical interest. The high‚Äêcontrast approximation is shown to be superior to the reflection‚Äêcoefficient approximation. Copyright 1987 by the American Geophysical Union.</t>
  </si>
  <si>
    <t>922-928</t>
  </si>
  <si>
    <t>55301786100;7004961387</t>
  </si>
  <si>
    <t>Karwowski, Andrzej;Michalski, Krzysztof A.</t>
  </si>
  <si>
    <t>Karwowski A.</t>
  </si>
  <si>
    <t>A comparative numerical study of several techniques for modeling a horizontal wire antenna over a lossy half‚Äêspace</t>
  </si>
  <si>
    <t>10.1029/RS022i006p00922</t>
  </si>
  <si>
    <t>2-s2.0-0022947375</t>
  </si>
  <si>
    <t>['various parameters', 'two dimensional', 'radiation patterns', 'radiation characteristics', 'primary antenna', 'large compared', 'increasing necessity', 'even inhomogeneous', 'essentially based', 'copyright 1987', 'become possible', 'aperture antenna']</t>
  </si>
  <si>
    <t>Most of earlier investigations concerning radomes have been restricted to the cases that the radome is two dimensional, or the radome and the primary antenna are not too large compared to a wave‚Äêlength, although there are increasing necessity in analysis and design of practical three dimensional large radomes. Recently, it has become possible to respond to this requirements by the appearance of high speed large computers. The purpose of this report is to analyze the radiation characteristics of an aperture antenna covered by an arbitrarily curved three dimensional large radome. In this analysis, the aperture antenna is also arbitrarily shaped, illuminated and located. Moreover, it is permitted that the radome is multilayered or even inhomogeneous. The analysis is essentially based on the method of local slab model approximation. The radiation patterns for various parameters of radomes are shown. Copyright 1987 by the American Geophysical Union.</t>
  </si>
  <si>
    <t>913-916</t>
  </si>
  <si>
    <t>7201851714;56779495700;35598806700</t>
  </si>
  <si>
    <t>Uno, Toru;Adachi, Saburo;Sawaya, Kunio</t>
  </si>
  <si>
    <t>Uno T.</t>
  </si>
  <si>
    <t>Three‚Äêdimensional computational analysis of radomes</t>
  </si>
  <si>
    <t>10.1029/RS022i006p00913</t>
  </si>
  <si>
    <t>2-s2.0-0022950228</t>
  </si>
  <si>
    <t>['wide range', 'next applied', 'moderate variation', 'equivalent radius', 'enables arrays', 'described first', 'copyright 1987']</t>
  </si>
  <si>
    <t>A method is proposed for synthesis of antenna arrays consisting of narrow strip‚Äêdipole antennas printed on a thin dielectric substrate. Approximately antiresonant dipoles (i.e., dipoles about one wavelength long) are considered, because by moderate variation of their width and length their impedance can be varied in a wide range. A method for analysis of such arrays is described first, in which the printed strip dipoles are replaced by approximately equivalent circular‚Äêcylindrical dipoles with coaxial magnetic coating, using recently proposed generalization of equivalent radius of thin cylindrical antennas. An interactive optimization procedure is next applied for synthesis, which enables arrays to be obtained having array radiation pattern and, particularly, dipole impedances close to the desired. Copyright 1987 by the American Geophysical Union.</t>
  </si>
  <si>
    <t>917-921</t>
  </si>
  <si>
    <t>Popoviƒá, Branko D.</t>
  </si>
  <si>
    <t>Popoviƒá B.</t>
  </si>
  <si>
    <t>A method for synthesis of small arrays of printed dipole antennas backed by a ground plane</t>
  </si>
  <si>
    <t>10.1029/RS022i006p00917</t>
  </si>
  <si>
    <t>2-s2.0-0022951560</t>
  </si>
  <si>
    <t>['¬© 1987', 'voyager mission', 'successfully complete', 'planet uranus', 'original itinerary', 'major challenges']</t>
  </si>
  <si>
    <t>antenna aperture array | image data compression | spacecraft consumables | target motion compensation | Uranus | Voyager</t>
  </si>
  <si>
    <t>The planet Uranus was not on the Voyager mission's original itinerary. Numerous engineering obstacles were overcome in order to successfully complete the mission. The major challenges and their solutions are described. ¬© 1987.</t>
  </si>
  <si>
    <t>75-82</t>
  </si>
  <si>
    <t>C</t>
  </si>
  <si>
    <t>Acta Astronautica</t>
  </si>
  <si>
    <t>Laeser, Richard P.</t>
  </si>
  <si>
    <t>Washington, D.C.</t>
  </si>
  <si>
    <t>National Aeronautics and Space Administration</t>
  </si>
  <si>
    <t>Laeser R.</t>
  </si>
  <si>
    <t>Engineering the voyager uranus mission</t>
  </si>
  <si>
    <t>10.1016/0094-5765(87)90096-8</t>
  </si>
  <si>
    <t>2-s2.0-0022957892</t>
  </si>
  <si>
    <t>['¬© 1987', 'utilizing cs', 'using cs', 'terrestrial lines', 'preoperational experiment', 'pilot program', 'operational users', 'operational use', 'governmental organizations', 'communication satellites', 'band transponders', '6 ka', '2 c']</t>
  </si>
  <si>
    <t>CS-2 | Ka-band | Operational Users | Pilot Program | Pre-operational Experiment</t>
  </si>
  <si>
    <t>Communication satellites of Japan, CS-2a and CS-2b were launched in 1983. Each satellite has 6 Ka-band transponders and 2 C-band transponders. Operational users of public or governmental organizations are using CS-2's. In addition to these operational users, CS-2 Pilot Program participants are using CS-2's for preoperational experiment in Ka-band. More than 50 earth stations of Ka-band are utilizing CS-2's in operational use. Configuration of the operational use are back-up link to their terrestrial lines in an emergency or tentative transmission link in case of disaster or event. Satellite business communication services using small antenna started recently. 32 earth stations of 1 to 5 meter antenna are used in the Pilot Program. Some results of experiments in Pilot Program were obtained. ¬© 1987.</t>
  </si>
  <si>
    <t>251-256</t>
  </si>
  <si>
    <t>60092258;60092258;60092258;60092258</t>
  </si>
  <si>
    <t>55477154400;55698814400;7202209355;7103229294</t>
  </si>
  <si>
    <t>Hashimoto, Kazuhiko;Yamamoto, Minoru;Iguchi, Masaaki;Yamazaki, Ichiro</t>
  </si>
  <si>
    <t>Japan</t>
  </si>
  <si>
    <t>Koganei</t>
  </si>
  <si>
    <t>Ministry of Posts and Telecommunications, Japan</t>
  </si>
  <si>
    <t>Hashimoto K.</t>
  </si>
  <si>
    <t>Pilot program and operational users of CS-2 communication satellite in Ka-band</t>
  </si>
  <si>
    <t>0094-5765(87)90112-3</t>
  </si>
  <si>
    <t>10.1016/0094-5765(87)90112-3</t>
  </si>
  <si>
    <t>2-s2.0-0022958529</t>
  </si>
  <si>
    <t>['¬© 1987', 'whilst attention', 'phased arrays', 'paper discusses', 'multiple beam', 'imaging reflectors', 'effective exploitation', 'contoured beam', 'board power', 'bandwidth resources', 'also presented', 'active antennas']</t>
  </si>
  <si>
    <t>Antenna | Beam Hopping | Contoured Beam | Multiple Beam | Reconfigurability</t>
  </si>
  <si>
    <t>Point to multipoint and multipoint to multipoint satellite telecommunications require the cost-effective exploitation of on-board power and bandwidth resources. This leads to the implementation of advanced antenna concepts such as Contoured Beam, Multiple Beam and Beam Hopping Antennas. The paper discusses the advantages of these antennas in order to meet the new system requirements. Whilst attention is focussed on the reflector antenna configurations, different hardware solutions are also presented such as phased arrays, imaging reflectors and active antennas. ¬© 1987.</t>
  </si>
  <si>
    <t>287-294</t>
  </si>
  <si>
    <t>De Vincenti, P.</t>
  </si>
  <si>
    <t>Eutelsat Communications S.A.</t>
  </si>
  <si>
    <t>De Vincenti P.</t>
  </si>
  <si>
    <t>Trends of the antenna systems on-board new generation telecommunications satellites</t>
  </si>
  <si>
    <t>10.1016/0094-5765(87)90116-0</t>
  </si>
  <si>
    <t>2-s2.0-0022960425</t>
  </si>
  <si>
    <t>['¬© 1987', 'system parameters', 'multibeam effects', 'also described']</t>
  </si>
  <si>
    <t>The relation between satellite antenna diameter and other system parameters is clarified. Based on this relation, multibeam effects on a satellite communications system are described from the view of minimizing satellite systems channel cost. A domestic multibeam satellite communication system in Japan is also described. ¬© 1987.</t>
  </si>
  <si>
    <t>489-495</t>
  </si>
  <si>
    <t>June 1987/July 1987</t>
  </si>
  <si>
    <t>60025555;60025555;60025555</t>
  </si>
  <si>
    <t>7403261380;55137662500;6602333292</t>
  </si>
  <si>
    <t>Morita, Kozo;Kawai, Makoto;Okasaka, Sadaatsu</t>
  </si>
  <si>
    <t>Tokyo</t>
  </si>
  <si>
    <t>Nippon Telegraph and Telephone Corporation</t>
  </si>
  <si>
    <t>Morita K.</t>
  </si>
  <si>
    <t>Multibeam effects on satellite communication system</t>
  </si>
  <si>
    <t>0094-5765(87)90187-1</t>
  </si>
  <si>
    <t>10.1016/0094-5765(87)90187-1</t>
  </si>
  <si>
    <t>2-s2.0-0022986688</t>
  </si>
  <si>
    <t>['¬© 1987', 'vlbi demonstration', 'vlbi array', 'three quasars', 'system performance', 'synthesize telescopes', 'successfully correlated', 'stability tests', 'radio telescopes', 'performed using', 'ovlbi use', 'orbiting vlbi', 'orbiting element', 'microwave frequencies', 'large fraction', 'haystack observatory', 'effective dimensions', 'earth diameter', 'earth cease', 'communication links', 'astronautical science', 'antenna observatories']</t>
  </si>
  <si>
    <t>A desire for increased angular resolution at microwave frequencies has led to the development of radio telescopes with very large effective apertures. Very long baseline interferometry (VLBI) has made it possible to synthesize telescopes with effective dimensions of a large fraction of an Earth diameter. By using a satellite-borne radio telescope as part of a VLBI array, the dimensions of the Earth cease to be a limitation. The use of a satellite VLBI telescope puts stringent requirements on the communication links between the spacecraft and the ground. A demonstration was performed to show that the orbiting VLBI (OVLBI) concept is feasible. The Tracking and Data Relay Satellite System (TDRSS) was used as the orbiting element of the VLBI demonstration. Stability tests were made before the observations to determine the suitability of the TDRSS for OVLBI use. The first successful OVLBI observations were performed using the 64-m antenna observatories of NASA's Deep Space Network in Tidbinbilla, Australia, and of the Institute for Space and Astronautical Science in Usuda, Japan in conjunction with the TDRSS. Data from three quasars were successfully correlated at the Haystack Observatory in Westford, Mass.; the results were used to deduce the system performance. ¬© 1987.</t>
  </si>
  <si>
    <t>481-487</t>
  </si>
  <si>
    <t>60009037;60009037;60009037;60009037;60009037;60009037;60009037;60009037;60009037;60000809;60000809;60000809;60000809;100385533;100385533;100385533;60029701;60029701;60029701;60022195;60015009;60030000;60025209;60006337;60015827</t>
  </si>
  <si>
    <t>16200992900;7201582818;35564734000;7201370075;7403062595;7003671406;6701622208;6602247566;7003366473;23030809700;23081029300;7402167894;55724857300;7101608969;23080630700;7102913956;34968137900;7202520376;7101821985;7202791054;7005455500;7003412348;6507976411;23079490000;56646767400</t>
  </si>
  <si>
    <t>Levy, G. S.;Christensen, C. S.;Jordan, J. F.;Preston, R. A.;Edwards, C. D.;Linfield, R. P.;Di Nardo, S. J.;Skjerve, L.;Ulvestad, J. S.;Hayashi, T.;Nishimura, T.;Takano, T.;Yamada, T.;Shiomi, T.;Kunimori, H.;Kawaguchi, N.;Inoue, M.;Morimoto, M.;Hirabayashi, H.;Burke, B. F.;Whitney, A.;Jauncey, D. L.;Ottenhoff, C. H.;Blaney, K.;Peters, W.</t>
  </si>
  <si>
    <t>Australia;Japan;United States;United States;Australia;United States;United States;United States;Japan;Japan</t>
  </si>
  <si>
    <t>Sydney;Mitaka;Los Angeles;Cambridge;Canberra;Westford;Pasadena;Greenbelt;Sagamihara;Kashima</t>
  </si>
  <si>
    <t>CSIRO Industrial Physics;National Institutes of Natural Sciences - National Astronomical Observatory of Japan;Northrop Grumman corporation;Massachusetts Institute of Technology;Australian National University, Mount Stromlo Observatory;MIT Haystack Observatory;Jet Propulsion Laboratory;NASA Goddard Space Flight Center;JAXA Institute of Space and Astronautical Science;Radio Research Laboratories</t>
  </si>
  <si>
    <t>60030000;60029701;60025209;60022195;60015827;60015009;60009037;60006337;60000809;100385533</t>
  </si>
  <si>
    <t>Levy G.</t>
  </si>
  <si>
    <t>Results and communications considerations of the very long baseline interferometry demonstration using the tracking and data relay satellite system</t>
  </si>
  <si>
    <t>009457658790186X</t>
  </si>
  <si>
    <t>10.1016/0094-5765(87)90186-X</t>
  </si>
  <si>
    <t>2-s2.0-0022988292</t>
  </si>
  <si>
    <t>['water presented', 'various odors', 'usually excitatory', 'structural identity', 'several test', 'recurrent loop', 'recorded neurons', 'particular reference', 'one neuron', 'mushroom body', 'multimodal responding', 'mechanical stimulation', 'many seconds', 'iii ).', 'filled iontophoretically', 'feedback neurons', 'dendritic regions', 'collar zones', 'clear match', 'calyx lip', 'blebbed processes', 'anatomical features', 'airstreams towards']</t>
  </si>
  <si>
    <t>"Feedback neurons" in the bee's mushroom body were recorded from and filled iontophoretically with either Lucifer Yellow or cobalt-hexammino-chloride (III). The neurons have complex shapes arborizing in one, or sometimes two layers of the alpha-lobe, and sometimes in the beta-lobe and pedunculus. Their axons project via the protocerebral-calycal-tract into the calyx lip and collar zones, ending as blebbed processes. Additionally these neurons also project around the alpha-lobe into the protocerebrum. More than 70% of the recorded neurons were multimodal responding to several test-stimuli. These include: light, airstreams towards the antennae and the abdomen, various odors, water and sugar-water presented to the antennae and proboscis, and mechanical stimulation of the legs. Responses were usually excitatory and in many cases showed aftereffects which lasted for many seconds. Some neurons showed spontaneous changes in their response-properties. There appeared to be no clear match between the modality of any one neuron and the anatomical features of its dendritic regions. The possible functional r√¥les of feedback neurons in learning and behaviour are discussed with particular reference to their structural identity as a recurrent loop from the lobes to the calyces.</t>
  </si>
  <si>
    <t>115-125</t>
  </si>
  <si>
    <t>Experimental biology</t>
  </si>
  <si>
    <t>Gronenberg, W.</t>
  </si>
  <si>
    <t>Gronenberg W.</t>
  </si>
  <si>
    <t>Anatomical and physiological properties of feedback neurons of the mushroom bodies in the bee brain.</t>
  </si>
  <si>
    <t>2-s2.0-0023069562</t>
  </si>
  <si>
    <t>['systems consisting', 'system simulates', 'signals errors', 'right time', 'radar market', 'optimum balance', 'key elements', 'iterative steps', 'individually updated', 'important factor', 'dynamic performance', 'cost trends', 'careful management', 'cad system']</t>
  </si>
  <si>
    <t>A family of radars have been developed over a period of years for a variety of clients and end-users. There has been an optimum balance between the expenditure on development, and on investments in technology, with systems consisting of modules that were individually updated as necessary. An important factor has been the forecasting of the cost trends for key elements. Silicon LSI circuits are used for advanced signal processing, designed with the 'megacel' CAD system, which engineers can learn to use very quickly. The system simulates both the logic and the dynamic performance of the chip, and signals errors for correction by the engineer, in a series of iterative steps. The radar market is very competitive, and the name of the game is careful management of expenditure on technology, at just the right time to meet market needs.</t>
  </si>
  <si>
    <t>89-95</t>
  </si>
  <si>
    <t>0143702X</t>
  </si>
  <si>
    <t>IEE Proceedings A: Physical Science. Measurement and Instrumentation. Management and Education. Reviews</t>
  </si>
  <si>
    <t>Jan</t>
  </si>
  <si>
    <t>Jones, A. W.</t>
  </si>
  <si>
    <t>United Kingdom</t>
  </si>
  <si>
    <t>London</t>
  </si>
  <si>
    <t>Plessey Company plc</t>
  </si>
  <si>
    <t>Jones A.</t>
  </si>
  <si>
    <t>TAKING ADVANTAGE OF TECHNOLOGY IN THE INTERNATIONAL MARKET PLACE, FOR PROFIT.</t>
  </si>
  <si>
    <t>10.1049/ip-a-1.1987.0013</t>
  </si>
  <si>
    <t>2-s2.0-0023089208</t>
  </si>
  <si>
    <t>['way range', 'velocity information', 'small bandwidth', 'rights reserved', 'orbit periapse', 'mission orbit', 'measurement noise', 'magnitude across', 'highly dependent', 'geometric influence', 'frequently imposes', 'data noise', 'coherent doppler', 'careful selection', 'band transponder', 'angular position', 'although limited', 'acquisition techniques', 'acquisition strategies', 'acquisition geometry']</t>
  </si>
  <si>
    <t>Acquisition strategies for delta differential one-way range measurements are designed for determining highly elliptical Earth orbits. The mission orbit for the U.S. Charged Composition Explorer spacecraft of the international Active Magnetospheric Particle Tracer Explorers serves to illustrate these acquisition techniques. The study assumes intercontinental baselines formed by Deep Space Network antennas at Goldstone, Canberra, and Madrid. The best performing strategy employs data spanning baseline view periods covering both inbound and outbound legs near the same orbit periapse. Rapidly changing viewing geometry yields both angular position and velocity information but frequently imposes the need for a different reference quasar for each observation. Although limited by an S-band transponder and a small bandwidth, the addition of delta differential one-way range to coherent Doppler and range improves apogee position accuracy by more than an order of magnitude. The measurement noise, highly dependent on acquisition geometry, varies several orders of magnitude across the baseline view periods primarily due to parallax. Careful selection of observation times minimizes the geometric influence on data noise. Additional measurement accuracy improvements, possible with dual frequency calibration, increased spanned bandwidth, and water vapor radiometry, are presented for comparison. Quasar position uncertainties then dominate the measurement noise. ¬© 1987 American Institute of Aeronautics and Astronautics, Inc. All rights reserved.</t>
  </si>
  <si>
    <t>37-44</t>
  </si>
  <si>
    <t>Journal of Guidance, Control, and Dynamics</t>
  </si>
  <si>
    <t>January-February 1987</t>
  </si>
  <si>
    <t>Frauenholz, Raymond B.</t>
  </si>
  <si>
    <t>Pasadena</t>
  </si>
  <si>
    <t>Jet Propulsion Laboratory</t>
  </si>
  <si>
    <t>Frauenholz R.</t>
  </si>
  <si>
    <t>Using delta differential one-way range to determine highly elliptical earth orbits</t>
  </si>
  <si>
    <t>10.2514/3.20178</t>
  </si>
  <si>
    <t>2-s2.0-0023089225</t>
  </si>
  <si>
    <t>['underwater sensors', 'thermal conductivity', 'surface temperature', 'spectral analysis', 'solar radiation', 'provides power', 'powerful microcomputer', 'meteorological sensors', 'later recovery', 'internal storage', 'ice motion', 'data compression', 'data collection', 'collect data', 'barometric pressure', 'argos satellite', 'ambient noise', 'air temperature']</t>
  </si>
  <si>
    <t>The Arctic remote autonomous measurement platform is a drifting ice water borne platform to collect data from a variety of sensors, transmit selected results by Argos satellite and store large data sets for later recovery or offloading via RF telemetry. A typical sensor suite measures vector wind, barometric pressure, air temperature, humidity, compass, surface temperature, ice motion, broadband ambient noise and upper ocean currents, temperature and conductivity. Optional sensors might measure ice thickness, ablation, thermal conductivity and solar radiation. The Arctic remote autonomous measurement platform is a four meter augmented spar buoy. A tower above supports an anemometer, meteorological sensors and antennas. A variable length cable below provides power and communications to underwater sensors. A three axis accelerometer for ice motion measurements is inside the buoy. Data collection is controlled by a powerful microcomputer that performs intelligent data sampling, spectral analysis of ambient noise, telemetry, data compression and internal storage.</t>
  </si>
  <si>
    <t>1 , New York, U.S.A., IEEE Publishing Serv., 1987, p.54-58. (87-CH2498-4)</t>
  </si>
  <si>
    <t>IN: OCEANS 87, THE OCEAN AN INTERNATIONAL WORKPLACE, PROC., (HALIFAX, CANADA: SEP. 28-OCT. 1, 1987)</t>
  </si>
  <si>
    <t>;;;</t>
  </si>
  <si>
    <t>6603498366;6602921607;35613673000;7203057952</t>
  </si>
  <si>
    <t>Prada, K. E.;Koelsch, D. E.;Witzell, W.;Singer, R.</t>
  </si>
  <si>
    <t>Prada K.</t>
  </si>
  <si>
    <t>An Arctic remote autonomous measurement platform.</t>
  </si>
  <si>
    <t>2-s2.0-0023102455</t>
  </si>
  <si>
    <t>['related method', 'heuvelink method', 'fourier series', 'fourier coefficients', 'difference error', 'calibration measurements']</t>
  </si>
  <si>
    <t>In the paper a derivation is given how to find the coefficients of a Fourier series. For range differences also the coefficients of the Fourier series, describing the range-difference error from calibration measurements are derived because they are needed to find the first mentioned coefficients. The method of Fourier coefficients here developed has been inspired by the Heuvelink method for checking theodolite circles, and by a related method to find the irregularities of a near circular axis.-from Authors</t>
  </si>
  <si>
    <t>19-26</t>
  </si>
  <si>
    <t>Hydrographic Journal</t>
  </si>
  <si>
    <t>60006288;60006288</t>
  </si>
  <si>
    <t>57224721181;57030004500</t>
  </si>
  <si>
    <t>De Jong, C. D.;De Munck, J. C.</t>
  </si>
  <si>
    <t>Delft</t>
  </si>
  <si>
    <t>Delft University of Technology</t>
  </si>
  <si>
    <t>De Jong C.D.</t>
  </si>
  <si>
    <t>Determination of phase errors of an antenna-ship system for position fixing with MF and LF radiowaves.</t>
  </si>
  <si>
    <t>2-s2.0-0023103806</t>
  </si>
  <si>
    <t>['transmit configurations', 'spatial filtering', 'receive requirements', 'phased arrays', 'expanded functions', 'ecm systems', 'author discusses', 'arrival sorting', 'also examined']</t>
  </si>
  <si>
    <t>The author discusses the use of phased arrays with new airborne ECM systems. He describes the concepts that make phased arrays useful in this application and presents the basics of ECM systems. Receive requirements and limitations and transmit configurations for electronically steered arrays are discussed. Direction-of-arrival sorting and spatial filtering are considered. Expanded functions for electronic support measures and the possibilities for error-free precision direction-finding are also examined.</t>
  </si>
  <si>
    <t>Microwave journal</t>
  </si>
  <si>
    <t>Moynihan, R. L.</t>
  </si>
  <si>
    <t>Arlington</t>
  </si>
  <si>
    <t>BAE Systems Inc.</t>
  </si>
  <si>
    <t>Moynihan R.</t>
  </si>
  <si>
    <t>PHASED ARRAYS FOR AIRBORNE ECM: THE REST OF THE STORY.</t>
  </si>
  <si>
    <t>2-s2.0-0023104187</t>
  </si>
  <si>
    <t>National Institute of Neurological Disorders and Stroke</t>
  </si>
  <si>
    <t>F32NS007602</t>
  </si>
  <si>
    <t>NINDS</t>
  </si>
  <si>
    <t>['synaptic neuropil', 'stereotyped series', 'shortly thereafter', 'sensory axons', 'outer regions', 'olfactory systems', 'olfactory axons', 'glomerulus consists', 'glomeruli emerge', 'glial differentiation', 'glial cells', 'first signs', 'first half', 'extend processes', 'ever reaching', 'direct influence', 'developmental interactions', 'antennal lobe', 'afferent axons']</t>
  </si>
  <si>
    <t>glia | glial‚Äêneuronal interactions | invertebrate | olfactory glomeruli | olfactory system</t>
  </si>
  <si>
    <t>The synaptic neuropil of the olfactory (antennal) lobe of the moth Manduca sexta is subdivided into histologically conspicuous structures called glomeruli that are typical of olfactory systems in vertebrates and invertebrates. Each glomerulus consists of the highly branched neuritic arbors of both primary olfactory axons and antennal‚Äêlobe neurons, bounded by a nearly complete envelope of glial cells. We have studied events occurring during the first half of metamorphic adult development. The first signs of organization of the neuropil into glomeruli are changes in glial cells. Prior to the ingrowth of olfactory axons from the antenna, glial cells form a continuous border around the neuropil. When olfactory axons begin to reach the lobe, glial cells embark on a stereotyped series of changes: the border becomes disrupted, glial cells begin to proliferate and extend processes into the outer regions of the neuropil, and some glial cells migrate toward the center of the neuropil. Shortly thereafter, glomeruli emerge from the neuropil, delineated by glial cells. If, however, afferent axons are prevented from ever reaching the antennal lobe, glomeruli never develop and the glial cells remain almost entirely restricted to a thick layer bordering the neuropil. Thus sensory axons have a direct influence not only on neuronal but also on glial differentiation. Our results lead us to suggest that the glial cells may be in a position to act as intermediaries in developmental interactions between sensory axons and antennal‚Äêlobe neurons. Copyright ¬© 1987 Alan R. Liss, Inc.</t>
  </si>
  <si>
    <t>196-207</t>
  </si>
  <si>
    <t>Journal of Comparative Neurology</t>
  </si>
  <si>
    <t>60023927;60023927</t>
  </si>
  <si>
    <t>7004335896;7102144017</t>
  </si>
  <si>
    <t>Oland, Lynne A.;Tolbert, Leslie P.</t>
  </si>
  <si>
    <t>Georgetown University</t>
  </si>
  <si>
    <t>Oland L.</t>
  </si>
  <si>
    <t>Glial patterns during early development of antennal lobes of Manduca sexta: A comparison between normal lobes and lobes deprived of antennal axons</t>
  </si>
  <si>
    <t>10.1002/cne.902550204</t>
  </si>
  <si>
    <t>2-s2.0-0023106762</t>
  </si>
  <si>
    <t>['quantum step', 'phased arrays', 'major components', 'increasing demands', 'fundamental properties', 'evolving technology', 'digital processing', 'digital beamforming', 'dbf arrays', 'dbf antennas', 'approach preserves', 'antenna performance']</t>
  </si>
  <si>
    <t>Digital beamforming (DBF) represents a quantum step in antenna performance and complexity. The approach preserves the total information available at the aperture. This, coupled with digital processing, offers tremendous flexibility in meeting the increasing demands on phased arrays for radar. An introduction to the evolving technology of DBF is given, starting with the advances and possibilities for its use. The major components and fundamental properties of DBF arrays, are considered, and some illustrative experimental systems and the state of the art of DBF antennas are reviewed.</t>
  </si>
  <si>
    <t>Steyskal, Hans</t>
  </si>
  <si>
    <t>Hanscom AFB</t>
  </si>
  <si>
    <t>Steyskal H.</t>
  </si>
  <si>
    <t>DIGITAL BEAMFORMING ANTENNAS: AN INTRODUCTION.</t>
  </si>
  <si>
    <t>2-s2.0-0023108599</t>
  </si>
  <si>
    <t>['us airports', 'tactical use', 'phased arrays', 'design tradeoffs', 'currently developing', 'air force']</t>
  </si>
  <si>
    <t>The application of phased arrays in microwave landing systems (MLS) using the time reference scanning beam (TRSB) approach is discussed. The FAA is currently developing and building approximately 200 systems to be installed at US airports and the Air Force is interested in developing a lightweight mobile MLS system for tactical use. The advantages and design tradeoffs of arrays for these applications are discussed.</t>
  </si>
  <si>
    <t>129-130, 132, 134</t>
  </si>
  <si>
    <t>Howell, James M.</t>
  </si>
  <si>
    <t>Waltham</t>
  </si>
  <si>
    <t>Raytheon</t>
  </si>
  <si>
    <t>Howell J.</t>
  </si>
  <si>
    <t>PHASED ARRAYS FOR MICROWAVE LANDING SYSTEMS.</t>
  </si>
  <si>
    <t>2-s2.0-0023119541</t>
  </si>
  <si>
    <t>['¬© taylor', 'various techniques', 'various constructions', 'toward implementation', 'present trends', 'paper reviews', 'important characteristics', 'francis group', 'fiber optics', 'distribution networks', 'data buses', 'configurations together']</t>
  </si>
  <si>
    <t>The present trends are toward implementation of fiber optics in data-distribution networks such as data buses, community antenna television, and local area networks. The thrust is, therefore, on high-volume and economical production ofgood quality optical fiber couplers. This paper reviews the various techniques for making fiber couplers. Important characteristics of various constructions and configurations together with their merits and demerits are discussed. ¬© Taylor &amp; Francis Group, LLC.</t>
  </si>
  <si>
    <t>27-53</t>
  </si>
  <si>
    <t>Fiber and Integrated Optics</t>
  </si>
  <si>
    <t>Agarwal, Arun K.</t>
  </si>
  <si>
    <t>Braunschweig</t>
  </si>
  <si>
    <t>Technische Universit√§t Braunschweig</t>
  </si>
  <si>
    <t>Agarwal A.K.</t>
  </si>
  <si>
    <t>Review of optical fiber couplers</t>
  </si>
  <si>
    <t>10.1080/01468038708219344</t>
  </si>
  <si>
    <t>2-s2.0-0023119569</t>
  </si>
  <si>
    <t>['simple technique', 'qualitatively estimating', 'phase center', 'error introduced', 'element yagis', 'edm application', 'directly related', 'complete model', 'commonly used', 'beam pattern', 'antenna main', 'angular derivative']</t>
  </si>
  <si>
    <t>Yagi array configurations, such as those commonly used in UHF Electronic Distance Measuring (EDM) systems, are analyzed to show that antenna phase center movements may occur within the antenna main-beam pattern and the movement of phase center is directly related to the angular derivative of the polar radiation pattern. A simple technique is proposed for qualitatively estimating the suitability of any antenna for this type of EDM application. A complete model is presented to evaluate the error introduced for any transmitter-receiver antenna orientation. Results are presented for 7- and 12-element Yagis such as are commonly used in the SYLEDIS UHF radio positioning system.</t>
  </si>
  <si>
    <t>Canadian electrical engineering journal</t>
  </si>
  <si>
    <t>60016983;60016983</t>
  </si>
  <si>
    <t>7004680083;36882000000</t>
  </si>
  <si>
    <t>Tranquilla, J. M.;Best, S. R.</t>
  </si>
  <si>
    <t>Canada</t>
  </si>
  <si>
    <t>Fredericton</t>
  </si>
  <si>
    <t>University of New Brunswick</t>
  </si>
  <si>
    <t>Tranquilla J.</t>
  </si>
  <si>
    <t>ANTENNA PHASE CENTRE MOVEMENT IN UHF RADIO POSITIONING SYSTEMS.</t>
  </si>
  <si>
    <t>10.1109/CEEJ.1987.6593619</t>
  </si>
  <si>
    <t>2-s2.0-0023120880</t>
  </si>
  <si>
    <t>['wise scheduling', 'unsynchronized space', 'synchronized space', 'random scheduling', 'random accessing', 'mss ).', 'electronics engineers', 'dynamic time', 'division approach', 'directional antennas', 'cellular concept', 'called prs', 'based pair']</t>
  </si>
  <si>
    <t>Several candidate crosslink communications architectures are described for a packet-switched, low-altitude, multiple satellite system (MSS). One architecture represents a frequency-division approach, in which a cellular concept is combined with dynamic time-domain allocation within a cell. A second architecture uses an unsynchronized space-time division approach consisting of directional antennas and random accessing. A third architecture uses toroidal antennas with unsynchronized random accessing. The recommended architecture uses a synchronized space-time division approach, consisting of directional antennas and contention-based pair-wise scheduling. This architecture, called PRS (Pseudo-random Scheduling) is found to have significantly reduced power and bandwidth requirements relative to the other approaches. Copyright ¬© 1987 by The Institute of Electrical and Electronics Engineers, Inc.</t>
  </si>
  <si>
    <t>74-82</t>
  </si>
  <si>
    <t>Proceedings of the IEEE</t>
  </si>
  <si>
    <t>60021366;60021366;100366379;60021366</t>
  </si>
  <si>
    <t>7101742278;35813004900;6505977873;6701862644</t>
  </si>
  <si>
    <t>Binder, Richard;Huffman, Stephen D.;Gurantz, Itzhak;Vena, Peter A.</t>
  </si>
  <si>
    <t>Lowell;San Diego</t>
  </si>
  <si>
    <t>M/A-COM (MACOM);ComStream Corp</t>
  </si>
  <si>
    <t>60021366;100366379</t>
  </si>
  <si>
    <t>Binder R.</t>
  </si>
  <si>
    <t>Crosslink Architectures for a Multiple Satellite System</t>
  </si>
  <si>
    <t>10.1109/PROC.1987.13706</t>
  </si>
  <si>
    <t>2-s2.0-0023123264</t>
  </si>
  <si>
    <t>Medical Research Council Canada</t>
  </si>
  <si>
    <t>MT 4046</t>
  </si>
  <si>
    <t>MRC</t>
  </si>
  <si>
    <t>['¬© 1987', 'statistical analysis', 'spinal cord', 'significant difference', 'scored blindly', 'schwann cells', 'placed proximal', 'pathological effects', 'injury site', 'implanted subcutaneously', 'histological sections', 'frequently present', 'following injury', 'field adjusted', 'ependymal cells', 'encircling antennae', 'cystic cavitation', 'cord injury', 'control groups', 'control animals', 'complete absence', '20 weeks', '20 animals']</t>
  </si>
  <si>
    <t>Pathology | Regeneration | Spinal cord injury</t>
  </si>
  <si>
    <t>Long-term regenerative changes and pathological effects after acute compression injury of the spinal cord were studied in rats. Twenty adult female Wistar rats underwent cord injury by the extradural clip compression technique at T6-7. Following injury, extradural electrodes attached to receiver-stimulators that were implanted subcutaneously were placed proximal and distal to the injury site. The animals were maintained in cages with electromagnetic fields created by encircling antennae. The control animals were in a field adjusted to a frequency below the sensitive frequency range of the receiver-stimulators so that they received no spinal cord stimulation. After 15-20 weeks of continuous spinal cord stimulation, histological sections of the cords were assessed and scored blindly for pathological changes including magnitude and extent of cord injury, and cystic cavitation, and for regenerative changes including proliferation of axons, Schwann cells and ependymal cells, and formation of myelin. In all 20 animals, there was a complete absence of normal cord tissue at the injury site, and cystic cavitation was frequently present at the injury site and beyond. Extensive regenerative changes were seen in all animals including regeneration of axons, Schwann cells and ependymal cells, and formation of myelin. Statistical analysis did not show a significant difference between treatment and control groups. ¬© 1987.</t>
  </si>
  <si>
    <t>209-219</t>
  </si>
  <si>
    <t>Surgical Neurology</t>
  </si>
  <si>
    <t>60016849;60016849;60016849</t>
  </si>
  <si>
    <t>8238912100;7102720018;35594004700</t>
  </si>
  <si>
    <t>Wallace, M. Christopher;Tator, Charles H.;Lewis, Anthony J.</t>
  </si>
  <si>
    <t>Toronto</t>
  </si>
  <si>
    <t>University of Toronto</t>
  </si>
  <si>
    <t>Wallace M.</t>
  </si>
  <si>
    <t>Chronic regenerative changes in the spinal cord after cord compression injury in rats</t>
  </si>
  <si>
    <t>10.1016/0090-3019(87)90031-0</t>
  </si>
  <si>
    <t>2-s2.0-0023127634</t>
  </si>
  <si>
    <t>['subsequent germ', 'second legs', 'predictable way', 'molecular studies', 'molecular analysis', 'line transformation', 'heat induction', 'function mutants', 'fruit fly', 'ectopic overexpression', 'dorsal part', 'dominant gain', 'body plan', 'antp protein']</t>
  </si>
  <si>
    <t>Genetic and molecular studies on the expression of Antennapedia (Antp) have suggested that this gene specifies mainly the second thoracic segment. On the basis of our molecular analysis of dominant gain-of-function mutants we have postulated that the transformation of antennae into second legs is due to the ectopic overexpression of the Antp+protein. This hypothesis was tested by inserting the complementary DNA encoding the normal Antp protein into a heat-shock expression vector and subsequent germ-line transformation. As predicted, heat induction at defined larval stages leads to the transformation of antennae into second legs. The dorsal part of the head can also be transformed into second thoracic structures (scutum) indicating that Antp indeed specifies the second thoracic segment. By ectopic overexpression of the Antp protein the body plan of the fruit fly can be altered in a predictable way. ¬© 2002 Nature Publishing Group.</t>
  </si>
  <si>
    <t>816-818</t>
  </si>
  <si>
    <t>60015184;60015184;60015184</t>
  </si>
  <si>
    <t>6603819397;7004418415;57203032471</t>
  </si>
  <si>
    <t>Schneuwly, Stephan;Klemenz, Roman;Gehring, Walter J.</t>
  </si>
  <si>
    <t>Switzerland</t>
  </si>
  <si>
    <t>Basel</t>
  </si>
  <si>
    <t>Biozentrum, Universit√§t Basel</t>
  </si>
  <si>
    <t>Schneuwly S.</t>
  </si>
  <si>
    <t>Redesigning the body plan of Drosophila by ectopic expression of the homoeotic gene Antennapedia</t>
  </si>
  <si>
    <t>10.1038/325816a0</t>
  </si>
  <si>
    <t>2-s2.0-0023128247</t>
  </si>
  <si>
    <t>['production yield', 'new approaches', 'large number', 'labor involved', 'future trends', 'discrete components', 'current state', 'cost problem', 'brief discussion', 'assembling components', 'also presented']</t>
  </si>
  <si>
    <t>Phased array radars still are not in large scale production due to their relatively high cost. This cost problem is attributed to four basic factors in phased array radar systems. The large number of discrete components; the production yield of components; the labor involved in fabricating and assembling components; and the limited production quantity involved in each radar system application. To address the cost problem, new approaches in design, manufacturing and testing are described. A summary of the current state of the art of phased array technology and a brief discussion of future trends are also presented.</t>
  </si>
  <si>
    <t>139-140, 143</t>
  </si>
  <si>
    <t>60005304;60005304</t>
  </si>
  <si>
    <t>7202300269;57213543414</t>
  </si>
  <si>
    <t>Tang, Raymond;Brown, Raymond</t>
  </si>
  <si>
    <t>Tang R.</t>
  </si>
  <si>
    <t>COST REDUCTION TECHNIQUES FOR PHASED ARRAYS.</t>
  </si>
  <si>
    <t>2-s2.0-0023129320</t>
  </si>
  <si>
    <t>National Science Foundation</t>
  </si>
  <si>
    <t>NSF</t>
  </si>
  <si>
    <t>['state conditions', 'sixfold greater', 'saline phantom', 'rights reserved', 'power deposition', 'paper presents', 'interstitial hyperthermia', 'improved steady', 'improved heating', 'cold zone', 'active region']</t>
  </si>
  <si>
    <t>This paper presents a new microwave antenna design with improved heating at the tip for interstitial hyperthermia and thermocoagulation. Temperature distribution patterns surrounding a conventional insulated antenna and the new sleeved coaxial slot radiator are measured in a saline phantom under transient and steady-state conditions. The new design provides an improved steady-state temperature distribution over the active region of the radiator. In contrast to the cold zone at the tip of a conventional insulated antenna the new sleeved coaxial slot antenna provides maximal (sixfold greater) power deposition at its tip. ¬© 1987 Informa UK Ltd All rights reserved: reproduction in whole or part not permitted.</t>
  </si>
  <si>
    <t>37-47</t>
  </si>
  <si>
    <t>International Journal of Hyperthermia</t>
  </si>
  <si>
    <t>56129745800;57200051431</t>
  </si>
  <si>
    <t>Lin, James C.;Wang, Yu Jin</t>
  </si>
  <si>
    <t>Lin J.</t>
  </si>
  <si>
    <t>Interstitial microwave antennas for thermal therapy</t>
  </si>
  <si>
    <t>10.3109/02656738709140371</t>
  </si>
  <si>
    <t>2-s2.0-0023131063</t>
  </si>
  <si>
    <t>['useful tool', 'repeater simulates', 'radar antenna', 'field calibration', 'far field', 'delay built', 'approximately 60']</t>
  </si>
  <si>
    <t>A delay-repeater was found to be a very useful tool is described in the development, test, maintenance and field calibration of a mm-wave seeker radar. This repeater simulates a target and, since it has its own delay built in, it need not be placed any farther from the radar antenna than at the edge of the far field, which is approximately 60 m for a 1 foot diameter radar antenna dish at 3 mm wavelength.</t>
  </si>
  <si>
    <t>161-162</t>
  </si>
  <si>
    <t>Lohrmann, Dieter R.</t>
  </si>
  <si>
    <t>Naval Research Laboratory</t>
  </si>
  <si>
    <t>Lohrmann D.R.</t>
  </si>
  <si>
    <t>USEFUL TOOL FOR DEVELOPING, TESTING, MAINTAINING OR CALIBRATING MM-WAVE SEEKER RADARS.</t>
  </si>
  <si>
    <t>2-s2.0-0023133039</t>
  </si>
  <si>
    <t>['shielded atmosphere', 'rise time', 'pulse generator', 'plate antenna', 'field sensors', 'electronic devices', 'completely isolated']</t>
  </si>
  <si>
    <t>A nuclear explosion creates an intense electromagnetic field that may reach amplitudes of tens of kilovolts per meter with a rise time of a few nanoseconds. This paper describes briefly the design of a nuclear electromagnetic pulse (NEMP) simulator. This device basically consists of a pulse generator, a parallel-plate antenna and E- and H-field sensors. Very fast measurements need to be performed in a completely isolated and shielded atmosphere. With this device, electronic devices and other components can be tested for their resistance to NEMP.</t>
  </si>
  <si>
    <t>Mehran University research journal of engineering and technology</t>
  </si>
  <si>
    <t>Laghari, J. R.</t>
  </si>
  <si>
    <t>Laghari J.</t>
  </si>
  <si>
    <t>DESIGN OF NUCLEAR ELECTROMAGNETIC PULSE SIMULATOR.</t>
  </si>
  <si>
    <t>2-s2.0-0023133075</t>
  </si>
  <si>
    <t>['tuning facilities', 'test results', 'test bed', 'several seconds', 'rf testing', 'pulse operation', 'pulse lengths', 'mv generators', 'major components', 'icrf system', 'icrf ).', 'associated 3', 'also presented', 'already operational', 'additional heating', '6 mw', '15 mw']</t>
  </si>
  <si>
    <t>The Joint European Torus (JET) tokamak will ultimately have 15 MW of additional heating in the ion cyclotron range of frequencies (ICRF). Three uncooled prototype antennas and associated 3-MV generators are already operational and have coupled up to 6 MW to the plasma for pulse lengths up to several seconds. Eight cooled antennas for long-pulse operation are to be installed in 1987. The design and development of the major components of this ICRF system - the radio-frequency (rf) generators, the coaxial transmission lines, the tuning facilities, and the antennas - are detailed. A test bed for rf testing of the components and assemblies has been installed on JET and test results are also presented.</t>
  </si>
  <si>
    <t>203-234</t>
  </si>
  <si>
    <t>Fusion Technology</t>
  </si>
  <si>
    <t>120569393;120569393;120569393;120569393</t>
  </si>
  <si>
    <t>56220187800;7005524697;6602949949;7103355564</t>
  </si>
  <si>
    <t>Kaye, A.;Jacquinot, J.;Lallia, P.;Wade, T.</t>
  </si>
  <si>
    <t>Abingdon</t>
  </si>
  <si>
    <t>JET Joint Undertakiong</t>
  </si>
  <si>
    <t>Kaye A.</t>
  </si>
  <si>
    <t>RADIO-FREQUENCY HEATING SYSTEM.</t>
  </si>
  <si>
    <t>10.13182/FST11-203-234</t>
  </si>
  <si>
    <t>2-s2.0-0023133076</t>
  </si>
  <si>
    <t>['two cylinders', 'outlined using', 'numerical treatment', 'integral equations', 'incident fields', 'incident field', 'finite length', 'field inside', 'dyadic green', 'dielectric cylinders', 'characteristic examples']</t>
  </si>
  <si>
    <t>The problem of scattering from a system of cylinders is treated. The dielectric cylinders are considered to have radii small compared to the wavelength of the incident field, finite length and their axes are parallel to each other. The polarization of the incident fields is parallel to the axes of the cylinders. - For the determination of the field inside as well as outside the cylinders, the dyadic Green's function is used. - For the numerical treatment of the integral equations the method of moments is used and a few characteristic examples are studied. - Generalizations for more than two cylinders are outlined using the same procedure. ¬© 1987 Springer-Verlag.</t>
  </si>
  <si>
    <t>23-29</t>
  </si>
  <si>
    <t>Archiv f√ºr Elektrotechnik</t>
  </si>
  <si>
    <t>60015331;60015331;60015331</t>
  </si>
  <si>
    <t>6507899313;6506198850;7006644175</t>
  </si>
  <si>
    <t>Dadakaridis, S. D.;Papayannakis, A. G.;Kriezis, E. E.</t>
  </si>
  <si>
    <t>Greece</t>
  </si>
  <si>
    <t>Thessaloniki</t>
  </si>
  <si>
    <t>Aristotle University of Thessaloniki</t>
  </si>
  <si>
    <t>Dadakaridis S.D.</t>
  </si>
  <si>
    <t>Scattering from a system of parallel thin dielectric cylinders of finite length</t>
  </si>
  <si>
    <t>10.1007/BF01572104</t>
  </si>
  <si>
    <t>2-s2.0-0023133114</t>
  </si>
  <si>
    <t>['water vapor', 'stimulating air', 'steps 0', 'static discharge', 'single cell', 'similar steps', 'sharp rise', 'resolving power', 'impulse frequency', 'f ).', 'easily identified', 'downward temperature', 'differential sensitivity', 'correctly discriminate', 'cold cell', 'clear dependence', 'carausius morosus', 'average increase', 'antennae responds', '9 ).', '8 ).', '5 ).', '4 ).', '12th segment', '1 imp']</t>
  </si>
  <si>
    <t>The cold cell in the easily identified 'mound-shaped' sensillum on the 12th segment of Carausius morosus' antennae responds to downward temperature (T) steps from about 15 ¬∞C with a sharp rise in impulse frequency (F). Responses to similar steps from higher initial temperatures are smaller (Figs. 1, 3, 4). As initial T increases from 16 ¬∞C to 31 ¬∞C, differential sensitivity to downward steps falls off by a factor of 27: to yield an average increase in F of 1 imp/s, steps down from 31 ¬∞C must increase by 1.7 ¬∞C; steps down from 16 ¬∞C, by only 0.06 ¬∞C (Fig. 5). Resolving power for T-steps at mid-range initial temperatures is about 0.7 ¬∞C, i.e. the probability that a single cold cell at average differential sensitivity will correctly discriminate between two T steps 0.7 ¬∞C apart is 90% when the cell is presented with each step just once. The same cold cell also displays a clear dependence on steady t between 14 ¬∞C and 24 ¬∞C (Figs. 7, 8). The static discharge rate of a single cell at average differential sensitivity has a resolving power of about 0.9 ¬∞C for steady T. - The static discharge is not affected by the amount of water vapor in the stimulating air (Fig. 9). ¬© 1987 Springer-Verlag.</t>
  </si>
  <si>
    <t>33-42</t>
  </si>
  <si>
    <t>60011394;60030807</t>
  </si>
  <si>
    <t>56249960300;7003421668</t>
  </si>
  <si>
    <t>Tichy, Harald;Loftus, Richard</t>
  </si>
  <si>
    <t>Germany;Austria</t>
  </si>
  <si>
    <t>Regensburg;Vienna</t>
  </si>
  <si>
    <t>Universit√§t Regensburg;Medizinische Universitat Wien</t>
  </si>
  <si>
    <t>60030807;60011394</t>
  </si>
  <si>
    <t>Tichy H.</t>
  </si>
  <si>
    <t>Response characteristics of a cold receptor in the stick insect Carausius morosus</t>
  </si>
  <si>
    <t>10.1007/BF00613439</t>
  </si>
  <si>
    <t>2-s2.0-0023133622</t>
  </si>
  <si>
    <t>['tray module', 'significant work', 'receive mmics', 'radiating elements', 'pattern performance', 'includes work', 'factor affecting', 'develop v', 'communication applications', '30 transmit']</t>
  </si>
  <si>
    <t>Significant work is under way to develop V-band, space-based phased arrays for radar and communication applications. This paper presents development of mm-wave array technology and includes work on a highly integrated tray module comprised of 20 to 30 transmit/receive MMICs. GaAs monolithic microwave integrated circuits. The performance of the radiating elements and the pattern performance of the tray module are discussed. The factor affecting the diameter and depth of the module are examined.</t>
  </si>
  <si>
    <t>60015623;60015623;60015623</t>
  </si>
  <si>
    <t>6603376274;6602145813;36727256800</t>
  </si>
  <si>
    <t>Kinzel, Joseph A.;Edward, Brian J.;Rees, Daniel</t>
  </si>
  <si>
    <t>Boston</t>
  </si>
  <si>
    <t>General Electric Company</t>
  </si>
  <si>
    <t>Kinzel J.A.</t>
  </si>
  <si>
    <t>V-BAND, SPACE-BASED PHASED ARRAYS.</t>
  </si>
  <si>
    <t>2-s2.0-0023138810</t>
  </si>
  <si>
    <t>['test stations', 'test station', 'properly executed', 'military requirements', 'following procedures', 'commercial usage', 'antennas submitted', 'anechoic chamber', 'accurately measure']</t>
  </si>
  <si>
    <t>Certification of antenna test stations is mandated by military requirements. But even for commercial usage, certification of test stations is needed to prevent substantial errors from resulting during antenna performance tests. With the following procedures, anyone can certify their test station and ensure that the system will accurately measure the quality and performance of the antennas submitted to test. Evaluation of the anechoic chamber and calibration of the standard antenna must be properly executed in place.</t>
  </si>
  <si>
    <t>75-76, 78, 80</t>
  </si>
  <si>
    <t>Microwaves &amp; RF</t>
  </si>
  <si>
    <t>Kardon, Bernard</t>
  </si>
  <si>
    <t>Kardon B.</t>
  </si>
  <si>
    <t>CERTIFY TEST STATIONS FOR ACCURATE ANTENNA QA.</t>
  </si>
  <si>
    <t>2-s2.0-0023142506</t>
  </si>
  <si>
    <t>['rigorous treatment', 'rigorous approach', 'radio astronomy', 'planetary sciences', 'paper presents', 'frequency stability', 'exact definitions', 'copyright 1987', 'cassegrainian antennas']</t>
  </si>
  <si>
    <t>Phase and frequency stability of Cassegrainian antennas is important in radio astronomy, geodesy, and planetary sciences. This paper presents a rigorous approach, exact definitions, and simple algo‚Äêrithms for computing these characteristics. Such a consistent and rigorous treatment of phase and frequency stability does not appear to exist in the literature. Copyright 1987 by the American Geophysical Union.</t>
  </si>
  <si>
    <t>156-166</t>
  </si>
  <si>
    <t>Cha, A. G.</t>
  </si>
  <si>
    <t>Cha A.</t>
  </si>
  <si>
    <t>Phase and frequency stability of Cassegrainian antennas</t>
  </si>
  <si>
    <t>10.1029/RS022i001p00156</t>
  </si>
  <si>
    <t>2-s2.0-0023146977</t>
  </si>
  <si>
    <t>['¬© 1987', 'type ship', 'topside designers', 'tdm ),', 'substantial firepower', 'severe constraints', 'recent development', 'range detection', 'radiation pattern', 'patrol boats', 'naval engineers', 'little boats', 'interactive design', 'incorrect notion', 'fully optimize', 'feasible options', 'extensively utilized', 'emi ).', 'design manager', 'considerable interest', 'communication equipment', 'broadband fan', 'big problems', 'american society']</t>
  </si>
  <si>
    <t>Along with the recent development of shipboard weapon systems of substantial firepower, considerable interest has risen in the design of light‚Äêdisplacement, high‚Äêspeed combatant patrol boats. However, there has been an incorrect notion about patrol boats; ‚Äúlittle boats have little problems.‚Äù From topside designers' point of view, little boats have many and big problems. Because of extremely limited shipboard topside space of this type ship, severe constraints are imposed for topside designers to effectively arrange shipboard combat systems, such as radars, fire control systems and communication equipment, to fully optimize the overall system performance and to sufficiently reduce electromagnetic hazards and interference (EMI). Recently, computer‚Äêaided design techniques have been extensively utilized in combatant patrol boat topside design by making effective use of NAVSEA's topside design model (TDM), which allows for interactive design in graphically illustrated topside arrangements. Combat systems effectiveness is analyzed in terms of elevation plane optical coverages, radar line‚Äêof‚Äêsight (LOS) range detection, and omni‚Äêdirectional antenna range prediction. The TDM algorithm includes the cumulative amplitude probability distribution of the HF communications range for the broadband fan and tuned whip antennas. The program is extended to analysis of the radiation pattern of directive antennas showing gain reduction principally due to blockage by superstructures. Finally, a set of candidate topside arrangements are proposed to the appropriate ship acquisition and design manager as feasible options to be pursued in the preliminary design phase. ¬© 1987 by the American Society of Naval Engineers</t>
  </si>
  <si>
    <t>59-69</t>
  </si>
  <si>
    <t>Naval Engineers Journal</t>
  </si>
  <si>
    <t>7103300536;7006522291;7202131119</t>
  </si>
  <si>
    <t>LAW, PRESTON E.;KUNIYOSHI, SEIJI;MORGAN, THOMAS P.</t>
  </si>
  <si>
    <t>LAW P.</t>
  </si>
  <si>
    <t>COMBATANT PATROL BOAT TOPSIDE DESIGN</t>
  </si>
  <si>
    <t>10.1111/j.1559-3584.1987.tb01396.x</t>
  </si>
  <si>
    <t>2-s2.0-0023147030</t>
  </si>
  <si>
    <t>['without corrections', 'sensor errors', 'second study', 'rms distortions', 'rights reserved', 'measured distortions', 'inc .,', 'expected value', 'distortion ratio', 'approximate formulas', 'actuator errors', '12 actuators']</t>
  </si>
  <si>
    <t>An analytical study using applied temperatures was performed to predict and assess the effect of actuator and sensor errors on the performance of a shape control procedure for flexible space structures. Approximate formulas were derived for the expected value and variance of the rms distortion ratio (ratio of rms distortions with and without corrections) based on the assumption of zero-mean normally distributed random errors in measured distortions and actuator output temperatures. Studies were carried out for a 55 m radiometer antenna reflector distorted from its ideal parabolic shape by nonuniform orbital heating. The first study consisted of varying the sensor and actuator errors and computing the distortion ratio for the case of 12 actuators. In the second study, sensor and actuator errors were prescribed and effect of increasing the number of actuators was evaluated. ¬© 1987 American Institute of Aeronautics and Astronautics, Inc., All rights reserved.</t>
  </si>
  <si>
    <t>134-138</t>
  </si>
  <si>
    <t>AIAA Journal</t>
  </si>
  <si>
    <t>60027090;60000854</t>
  </si>
  <si>
    <t>7102367440;7102463776</t>
  </si>
  <si>
    <t>Haftka, Raphael T.;Adelman, Howard M.</t>
  </si>
  <si>
    <t>Blacksburg;Hampton</t>
  </si>
  <si>
    <t>Virginia Polytechnic Institute and State University;NASA Langley Research Center</t>
  </si>
  <si>
    <t>Haftka R.</t>
  </si>
  <si>
    <t>Effect of sensor and actuator errors on static shape control for large space structures</t>
  </si>
  <si>
    <t>10.2514/3.9592</t>
  </si>
  <si>
    <t>2-s2.0-0023148214</t>
  </si>
  <si>
    <t>Institut National de la Sant√© et de la Recherche M√©dicale</t>
  </si>
  <si>
    <t>Inserm</t>
  </si>
  <si>
    <t>['¬© 1987', 'usual efficiency', 'sensitive manner', 'sarcoplasmic reticulum', 'remotor expected', 'operate ca2', 'min ).', 'mg protein', 'lobster antenna', 'large volume', 'large ca2', 'indicate behaviour', 'gel electrophoresis', 'electron microscopy', 'content released', '2 ca2']</t>
  </si>
  <si>
    <t>Ca  uptake and release 2+ | Ca -ATPase 2+ | caffeine | Lobster remoter | sarcoplasmic reticulum | skinned fiber</t>
  </si>
  <si>
    <t>The striated remotor muscle of the lobster antenna has an extraordinarily profuse sarcoplasmic reticulum as shown by electron microscopy. Gel electrophoresis reveals a simple protein composition in which the Ca2+-ATPase predominates. Vesicles of sarcoplasmic reticulum (SR) from this remoter are shown to operate Ca2+ binding, Ca2+ transport, and Ca2+-activated hydrolysis of ATP with an usual efficiency (2 Ca2+ transported per ATP hydrolysed, 4 Œºmol ATP hydrolysed/mg protein/min). Skinned fiber experiments were performed. They indicate behaviour of the remotor expected from observations by EM and gel electrophoresis: contraction of low maximal intensity under Ca2+ excitation, long internal diffusion time due to the large volume of SR to be crossed, and large Ca2+ Content released in a caffeine-sensitive manner. ¬© 1987.</t>
  </si>
  <si>
    <t>135-143</t>
  </si>
  <si>
    <t>Tissue and Cell</t>
  </si>
  <si>
    <t>60008134;60008134;60019615;60008134</t>
  </si>
  <si>
    <t>7003857998;8839849300;7004635842;7004858538</t>
  </si>
  <si>
    <t>Villaz, Michel;Ronjat, Michel;Garrigos, Manuel;Dupont, Yves</t>
  </si>
  <si>
    <t>Gif-sur-Yvette;Paris</t>
  </si>
  <si>
    <t>CEA Saclay;CNRS Centre National de la Recherche Scientifique</t>
  </si>
  <si>
    <t>60019615;60008134</t>
  </si>
  <si>
    <t>Villaz M.</t>
  </si>
  <si>
    <t>The remotor muscle of the lobster antenna: Sarcoplasmic reticulum and skinned fiber experiments</t>
  </si>
  <si>
    <t>10.1016/0040-8166(87)90064-4</t>
  </si>
  <si>
    <t>2-s2.0-0023159930</t>
  </si>
  <si>
    <t>['vanishing cross', 'turnstile antennas', 'polarization properties', 'polarization could', 'circular polarization']</t>
  </si>
  <si>
    <t>The polarization properties of antennas for circular polarization are considered, using a two-dimensional representation method. In the farfield of turnstile antennas, spiral and helical antennas points of vanishing cross-polarization could be found. Complete polarization charts or these antennas are presented.</t>
  </si>
  <si>
    <t>59-62</t>
  </si>
  <si>
    <t>AEU. Archiv fur Elektronik und Ubertragungstechnik</t>
  </si>
  <si>
    <t>60011604;60011604</t>
  </si>
  <si>
    <t>7003780679;6603753374</t>
  </si>
  <si>
    <t>Kraft, Ulrich;Moenich, Gerhard</t>
  </si>
  <si>
    <t>Berlin</t>
  </si>
  <si>
    <t>Technical University of Berlin</t>
  </si>
  <si>
    <t>Kraft U.</t>
  </si>
  <si>
    <t>TWO-DIMENSIONAL MAPPING OF ELLIPTICALLY POLARIZED ANTENNA FIELDS.</t>
  </si>
  <si>
    <t>2-s2.0-0023162795</t>
  </si>
  <si>
    <t>['wave travel', 'variations must', 'surface buoy', 'small compared', 'sea surface', 'received signal', 'patch implies', 'nearly simultaneously', 'measured velocities', 'large compared', 'illuminated patch', 'francis ltd']</t>
  </si>
  <si>
    <t>A technique is presented for measuring ocean wave directional spectra from aircraft using microwave Dopper radar. The technique involves backscattering coherent microwave radiation from a patch of sea surface which is small compared to dominant ocean wavelengths in the antenna look direction, and large compared to these lengths in the perpendicular (azimuthal) direction. The mean Doppler shift of the return signal measured over short time intervals is proportional to the mean sea surface velocity of the illuminated patch. Variable sea surface velocities induced by wave motion therefore produce time-varying Doppler shifts in the received signal. The large azimuthal dimension of the patch implies that these variations must be produced by surface waves travelling near the horizontal antenna look direction thus allowing determination of the direction of wave travel. Linear wave theory is used to convert the measured velocities into ocean wave spectral densities. Spectra measured simultaneously with this technique and two laser profilometers, and nearly simultaneously with a surface buoy, are presented. Applications and limitations of this airborne Doppler technique are discussed. ¬© 1987 Taylor &amp; Francis Ltd.</t>
  </si>
  <si>
    <t>315-330</t>
  </si>
  <si>
    <t>International Journal of Remote Sensing</t>
  </si>
  <si>
    <t>60027271;60027271;60027271;60027271;60000854</t>
  </si>
  <si>
    <t>7005333525;7202217661;7102708229;6602216340;7406818675</t>
  </si>
  <si>
    <t>Plant, W. J.;Keller, W. C.;Reeves, A. B.;Uliana, E. A.;Johnson, J. W.</t>
  </si>
  <si>
    <t>Washington, D.C.;Hampton</t>
  </si>
  <si>
    <t>Naval Research Laboratory;NASA Langley Research Center</t>
  </si>
  <si>
    <t>60027271;60000854</t>
  </si>
  <si>
    <t>Plant W.J.</t>
  </si>
  <si>
    <t>Airborne microwave doppler measurements of ocean wave directional spectra</t>
  </si>
  <si>
    <t>10.1080/01431168708948644</t>
  </si>
  <si>
    <t>2-s2.0-0023163625</t>
  </si>
  <si>
    <t>['torsatron geometry', 'pass absorption', 'magnetic axis', 'antenna positions', 'antenna polarizations', 'antenna orientations', 'antenna directivities']</t>
  </si>
  <si>
    <t>The designer of electron cyclotron heating (ECH) systems may select from a range of antenna positions, antenna orientations, antenna directivities, antenna polarizations and magnetic field strengths to provide optimum heating. The purpose of this study is to determine the sensitivity of ECH in torsatron geometry to these choices, regarding maximum one-pass absorption and maximum power deposition near the magnetic axis as figures of merit.</t>
  </si>
  <si>
    <t>31-51</t>
  </si>
  <si>
    <t>Nuclear Fusion</t>
  </si>
  <si>
    <t>60024266;60024266</t>
  </si>
  <si>
    <t>6602357390;7006526034</t>
  </si>
  <si>
    <t>Goldfinger, R. C.;Batchelor, D. B.</t>
  </si>
  <si>
    <t>Oak Ridge</t>
  </si>
  <si>
    <t>Oak Ridge National Laboratory</t>
  </si>
  <si>
    <t>Goldfinger R.</t>
  </si>
  <si>
    <t>THEORY OF ELECTRON CYCLOTRON HEATING IN THE ATF TORSATRON.</t>
  </si>
  <si>
    <t>2-s2.0-0023164323</t>
  </si>
  <si>
    <t>['yielding evidence', 'winds near', 'wave spectrum', 'wave slope', 'valid assumption', 'unified function', 'returned power', 'remote sensing', 'rcs data', 'radar measurements', 'model functions', 'incidence angle', 'geophysical variables', 'fluctuating winds', 'extensive set', 'direct application', 'data set', 'copyright 1987', 'complementary roles', 'atmospheric stability', 'atmospheric fluctuations', 'antennas directed', '45 ¬∞,']</t>
  </si>
  <si>
    <t>An extensive set of X‚Äêband microwave backscatter measurements has been analyzed to determine its dependence on winds near the surface, atmospheric stability, and long‚Äêwave slopes. These radar measurements, made from a tower in the Gulf of Mexico, were performed in conjunction with an extensive set of simultaneous environmental measurements. The CW microwave system operated at an incidence angle of 45¬∞, with antennas directed into winds and waves. Model functions for the radar cross section (RCS) and the modulation transfer function (MTF) are developed that depend on the geophysical variables, including wind stress. Statistical analysis shows that these models functions yield a significantly smaller error when fit to the RCS data than a simple wind speed function displays. A Taylor series expansion of the returned power from a small area provides a unified function that demonstrates the complementary roles of wave slope and atmospheric fluctuations on both the RCS, the MTF and the coherence. The issue of linearity of the MTF is addressed with this data set, yielding evidence that this is a valid assumption. These results have direct application to the remote sensing of the mean and fluctuating winds, and the wave spectrum with coherent and incoherent active radars. Copyright 1987 by the American Geophysical Union.</t>
  </si>
  <si>
    <t>87-99</t>
  </si>
  <si>
    <t>Weissman, David E.</t>
  </si>
  <si>
    <t>Weissman D.</t>
  </si>
  <si>
    <t>Modeling the interactions between the ocean and the environment for microwave radar sensing</t>
  </si>
  <si>
    <t>10.1029/RS022i001p00087</t>
  </si>
  <si>
    <t>2-s2.0-0023164486</t>
  </si>
  <si>
    <t>['various orders', 'uniform theory', 'uat ).', 'several airports', 'primary emphasis', 'mathematical modelling', 'madras airport', 'innovative algorithm', 'handling combinations', 'graded according', 'glideslope aberrations', 'first time', 'electric fields', 'direct determination', 'critically analyzed', 'computer programs', 'accurate prediction']</t>
  </si>
  <si>
    <t>The primary emphasis of this paper is to evolve a general analytical method for the accurate prediction of glideslope aberrations in aircraft instrument landing systems (ILS) in the presence of known terrain features. Methods of mathematical modelling for electric fields in the presence of arbitrary reflecting boundaries are critically analyzed, and graded according to their applicability to the evaluation of glideslopes in ILS. Using a multiple plate model of the terrain, a series of computer programs is developed to compute glideslopes using the Uniform Theory of Diffraction (UTD) and, for the first time, Uniform Asymptotic Theory (UAT). The programs are most general in terms of handling combinations of rays of various orders. An innovative algorithm for direct determination of the point of diffraction at an edge is incorporated. Results have been generated for several airports in India and those pertaining to Madras airport are presented in this paper.</t>
  </si>
  <si>
    <t>22-29</t>
  </si>
  <si>
    <t>IETE Journal of Research</t>
  </si>
  <si>
    <t>Jan-Feb</t>
  </si>
  <si>
    <t>6603349097;7005329304;57198008972</t>
  </si>
  <si>
    <t>Poulose, M. M.;Mahapatra, P. R.;Balakrishnan, N.</t>
  </si>
  <si>
    <t>Poulose M.M.</t>
  </si>
  <si>
    <t>ACCURATE ESTIMATION OF ILS GLIDESLOPE IN THE PRESENCE OF TERRAIN IRREGULARITIES.</t>
  </si>
  <si>
    <t>10.1080/03772063.1987.11436652</t>
  </si>
  <si>
    <t>2-s2.0-0023166306</t>
  </si>
  <si>
    <t>['signal stability', 'resulting signal', 'radio links', 'radio link', 'passive reflectors', 'feeder line', 'attentuation functions', 'attentuation function', '3 refs']</t>
  </si>
  <si>
    <t>In this paper we analyze one aspect of the signal stability in radio links with passive reflectors when the attentuation function of the resulting signal can be considered as the product of the attentuation functions of the signals in both halves of the radio link. This approach is valid for most radio links with passive reflectors, for example, for radio-relay links using specular reflectors or using relay stations in the form of two antennas connected by a feeder line. This representation may also be valid when obstacle-type passive reflectors are used. 3 refs.</t>
  </si>
  <si>
    <t>164-166</t>
  </si>
  <si>
    <t>Soviet journal of communications technology &amp; electronics</t>
  </si>
  <si>
    <t>Frolov, O. P.</t>
  </si>
  <si>
    <t>Frolov O.</t>
  </si>
  <si>
    <t>ESTIMATE OF THE SIGNAL STABILITY IN RADIO LINKS WITH PASSIVE REFLECTORS.</t>
  </si>
  <si>
    <t>2-s2.0-0023166582</t>
  </si>
  <si>
    <t>['radioacoustic sounding', 'gaussian approximation', 'antenna system']</t>
  </si>
  <si>
    <t>The problem of the scattering of a continuous radio wave by an acoustic pulse propagating in the atmosphere is examined. An expression, which refines the formula found previously in left bracket 1 right bracket , is obtained for the power of the received signal using the Gaussian approximation for the distribution of the fields on the radiators and apertures of the antennas. The characteristics of the operation of the antenna system in the problem of radioacoustic sounding of the atmosphere and the practical results following from this are discussed.</t>
  </si>
  <si>
    <t>118-123</t>
  </si>
  <si>
    <t>7006058852;6503849263</t>
  </si>
  <si>
    <t>Kon, A. I.;Tatarskiy, V. I.</t>
  </si>
  <si>
    <t>Kon A.</t>
  </si>
  <si>
    <t>POWER OF A SIGNAL UNDER CONDITIONS OF RADIOACOUSTIC SOUNDING OF THE ATMOSPHERE.</t>
  </si>
  <si>
    <t>2-s2.0-0023166679</t>
  </si>
  <si>
    <t>['propagating wave', 'paper concentrates', 'outer conductor', 'numerical analysis', 'mode expansion', 'line type', 'helical direction', 'fixed interval', 'eigencurrent mode', 'current antenna', 'clearly described', 'basic characteristics']</t>
  </si>
  <si>
    <t>This paper concentrates on the glide symmetry contained in the structure of a magnetic-current antenna of transmission-line type. By theoretical analysis based on mode expansion, basic characteristics are clearly described which have been known only by experiment and numerical analysis. An easily analyzed coaxial structure is proposed in which the outer conductor has conductivity only along the helical direction and the direction of the helix is reversed at a fixed interval. The complex propagation constant and the eigencurrent mode of the propagating wave are determined.</t>
  </si>
  <si>
    <t>67-76</t>
  </si>
  <si>
    <t>Electronics and Communications in Japan, Part I: Communications (English translation of Denshi Tsushin Gakkai Ronbunshi)</t>
  </si>
  <si>
    <t>Inagaki, Naoki</t>
  </si>
  <si>
    <t>Nagoya</t>
  </si>
  <si>
    <t>Nagoya Institute of Technology</t>
  </si>
  <si>
    <t>Inagaki N.</t>
  </si>
  <si>
    <t>GLIDE SYMMETRY AND RADIATION CHARACTERISTICS OF MAGNETIC-CURRENT ANTENNAS OF TRANSMISSION-LINE TYPE - COAXIAL STRUCTURES.</t>
  </si>
  <si>
    <t>2-s2.0-0023166867</t>
  </si>
  <si>
    <t>['uat ).', 'radiation patterns', 'radiation pattern', 'planes shows', 'generated reflector', 'engineering point', 'computer program', 'arbitrary eccentricity']</t>
  </si>
  <si>
    <t>Radiation patterns of focus-fed axially symmetric reflector antennas are determined by using the uniform geometrical theory of diffraction (UTD) and the uniform asymptotic theory (UAT). The calculations are based on a computer program, which can determine the radiation pattern of any conic-section-generated reflector with arbitrary eccentricity. Comparison of the radiation patterns in E- and H-planes shows that the UTD and UAT yield similar results and the differences between the two are insignificant from engineering point of view. Copyright ¬© 1987 by The Institute of Electrical and Electronics, Inc.</t>
  </si>
  <si>
    <t>113-116</t>
  </si>
  <si>
    <t>60020484;60020484-60085421</t>
  </si>
  <si>
    <t>7003893885;7003884961</t>
  </si>
  <si>
    <t>Yazgan, Erdem;≈ûafak, Mehmet</t>
  </si>
  <si>
    <t>Netherlands;Turkey</t>
  </si>
  <si>
    <t>The Hague;Ankara</t>
  </si>
  <si>
    <t>NATO Consultation, Command and Control Agency;Hacettepe √úniversitesi</t>
  </si>
  <si>
    <t>60085421;60020484</t>
  </si>
  <si>
    <t>Yazgan E.</t>
  </si>
  <si>
    <t>Comparison of UTD and UAT in Axially Symmetric Reflectors</t>
  </si>
  <si>
    <t>10.1109/TAP.1987.1143965</t>
  </si>
  <si>
    <t>2-s2.0-0023168255</t>
  </si>
  <si>
    <t>N00014-79-C-0598</t>
  </si>
  <si>
    <t>['polarization matrix', 'main beam', 'icm solutions', 'fields predicted', 'discrepancy remains', 'compared numerically', 'come mainly', 'afm solutions']</t>
  </si>
  <si>
    <t>The fields predicted by integration of the physical optics induced currents on the reflector (ICM) and the geometrical optics aperture fields (AFM) on the surface that caps the reflector are compared numerically for offset parabolic reflectors. It is found that the AFM solutions are very close to ICM solutions for the main beam and the first few sidelobes but discrepancy remains for the far-out sidelobes. This discrepancy is found to come mainly from the difference of polarization matrix for each method. Copyright ¬© 1987 by The Institute of Electrical and Electronics, Inc.</t>
  </si>
  <si>
    <t>101-105</t>
  </si>
  <si>
    <t>60103680;60103680</t>
  </si>
  <si>
    <t>7401432606;55390837800</t>
  </si>
  <si>
    <t>Matsuura, Hideaki;Hongo, Kohei</t>
  </si>
  <si>
    <t>Shizuoka</t>
  </si>
  <si>
    <t>Shizuoka University</t>
  </si>
  <si>
    <t>Matsuura H.</t>
  </si>
  <si>
    <t>Comparison of Induced Current and Aperture Field Integrations for an Offset Parabolic Reflector</t>
  </si>
  <si>
    <t>10.1109/TAP.1987.1143977</t>
  </si>
  <si>
    <t>2-s2.0-0023168256</t>
  </si>
  <si>
    <t>['thin slit', 'theoretical model', 'slit resonances', 'integer order', 'ground plane', 'experiment display', 'dimensional slit', 'also described']</t>
  </si>
  <si>
    <t>A method for detecting a thin slit in a thick ground plane is discussed. The method is based upon detecting the slit resonances which occur when the thickness of the ground plane is approximately an integer order of half-wavelengths. A theoretical model for the scattering from a two-dimensional slit by a short current element is also described. Both theory and experiment display the slit resonances. Copyright ¬© 1987 by The Institute of Electrical and Electronics, Inc.</t>
  </si>
  <si>
    <t>116-120</t>
  </si>
  <si>
    <t>60003500;60026097;60026097</t>
  </si>
  <si>
    <t>7203066664;6602896533;6602997105</t>
  </si>
  <si>
    <t>Newman, Edward H.;Birchmeier, John R.;Shubert, Keith A.</t>
  </si>
  <si>
    <t>Columbus;Columbus</t>
  </si>
  <si>
    <t>Battelle;The Ohio State University</t>
  </si>
  <si>
    <t>60026097;60003500</t>
  </si>
  <si>
    <t>Newman E.H.</t>
  </si>
  <si>
    <t>Remote Detection of a Thin Slit in a Thick Ground Plane</t>
  </si>
  <si>
    <t>10.1109/TAP.1987.1143979</t>
  </si>
  <si>
    <t>2-s2.0-0023169123</t>
  </si>
  <si>
    <t>62-72</t>
  </si>
  <si>
    <t>60025778;60025778</t>
  </si>
  <si>
    <t>7102576479;6603280209</t>
  </si>
  <si>
    <t>Volakis, John L.;Ricoy, Mark A.</t>
  </si>
  <si>
    <t>Ann Arbor</t>
  </si>
  <si>
    <t>University of Michigan, Ann Arbor</t>
  </si>
  <si>
    <t>Volakis J.L.</t>
  </si>
  <si>
    <t>Diffraction by a Thick Perfectly Conducting Half-Plane</t>
  </si>
  <si>
    <t>10.1109/TAP.1987.1143961</t>
  </si>
  <si>
    <t>2-s2.0-0023169364</t>
  </si>
  <si>
    <t>['waveguide grill', 'waveguide coupling', 'theoretical analysis', 'reflected signals', 'plasma density', 'mainly caused', 'investigated using', 'grill mouth', 'current drive']</t>
  </si>
  <si>
    <t>By using a lower hybrid current drive, changes in the amplitude and phase of reflected signals at the four-waveguide grill as well as decreases in the edge plasma density measured by double probes could be monitored. The influence of the plasma density and its gradient at the grill mouth on the coupling between waveguides and a plasma was investigated using a simplified linear grill theory based on a step plus ramp density model. It was confirmed from a comparison with the theoretical analysis that changes in waveguide coupling during current drive were mainly caused by a decrease of the density in the scrape-off plasma. ¬© 1987 IOP Publishing Ltd.</t>
  </si>
  <si>
    <t>142-147</t>
  </si>
  <si>
    <t>1 R</t>
  </si>
  <si>
    <t>Japanese Journal of Applied Physics</t>
  </si>
  <si>
    <t>60000264;60000264-60016074</t>
  </si>
  <si>
    <t>57082283400;55471188200</t>
  </si>
  <si>
    <t>Ohkubo, Kunizo;Matsumoto, Kazunori</t>
  </si>
  <si>
    <t>Yamagata;Nagoya</t>
  </si>
  <si>
    <t>Yamagata University;Nagoya University</t>
  </si>
  <si>
    <t>60016074;60000264</t>
  </si>
  <si>
    <t>Ohkubo K.</t>
  </si>
  <si>
    <t>Waveguide coupling during lower hybrid current drive in a tokamak</t>
  </si>
  <si>
    <t>10.1143/JJAP.26.142</t>
  </si>
  <si>
    <t>2-s2.0-0023169405</t>
  </si>
  <si>
    <t>['ground plane', 'flush mounted']</t>
  </si>
  <si>
    <t>An annular aperture antenna mounted on an infinite ground plane and containing a hemispherical center conductor extension above the ground plane is investigated. A Green‚Äôs function for the region above the ground plane is derived so as to be compatible with numerical solution techniques. A magnetic field integral equation is obtained in terms of the unknown tangential aperture electric field and is solved by the method of moments. A comparison between flush mounted and hemispherically extended annular aperture antennas is presented for the tangential aperture electric field, the coaxial line apparent input admittance, and the far radiated field. Copyright ¬© 1987 by The Institute of Electrical and Electronics, Inc.</t>
  </si>
  <si>
    <t>41-45</t>
  </si>
  <si>
    <t>Nevels, Robert D.</t>
  </si>
  <si>
    <t>College Station</t>
  </si>
  <si>
    <t>Texas A&amp;M University</t>
  </si>
  <si>
    <t>Nevels R.D.</t>
  </si>
  <si>
    <t>The Annular Aperture Antenna with a Hemispherical Center Conductor Extension</t>
  </si>
  <si>
    <t>10.1109/TAP.1987.1143975</t>
  </si>
  <si>
    <t>2-s2.0-0023169613</t>
  </si>
  <si>
    <t>['electronics engineers', 'beam system']</t>
  </si>
  <si>
    <t>A multiple-beam satellite communications system that can adapt beam power to varying beam traffic is proposed. A new type activearray fed, single reflector antenna design and an S band, 5-beam system concept including interbeam exchange are described. Based on these concepts, a high EIRP multiple-beam system with traffic adaptability similar to a single-beam system is realized. Copyright ¬© 1987 by The Institute of Electrical and Electronics Engineers, Inc.</t>
  </si>
  <si>
    <t>AES-23</t>
  </si>
  <si>
    <t>IEEE Transactions on Aerospace and Electronic Systems</t>
  </si>
  <si>
    <t>115568795;60025555</t>
  </si>
  <si>
    <t>35451621500;55137662500</t>
  </si>
  <si>
    <t>Egami, Shunichiro;Kawai, Makoto</t>
  </si>
  <si>
    <t>Tokyo;</t>
  </si>
  <si>
    <t>Nippon Telegraph and Telephone Corporation;Kamakura Works Electric Corporation</t>
  </si>
  <si>
    <t>60025555;115568795</t>
  </si>
  <si>
    <t>Egami S.</t>
  </si>
  <si>
    <t>An Adaptive Multiple-Beam Transmitter for Satellite Communications</t>
  </si>
  <si>
    <t>10.1109/TAES.1987.313353</t>
  </si>
  <si>
    <t>2-s2.0-0023169989</t>
  </si>
  <si>
    <t>['simulation results', 'signal cancellation', 'optimum beamformers', 'optimum beamformer', 'interference rejection', 'given displacement', 'electronics engineers', 'desired source', 'correlated interference', 'computer plots', 'briefly discuss', 'array motion']</t>
  </si>
  <si>
    <t>In this paper, we study the effect of array motion on signal cancellation and interference rejection in optimum beamformers in the presence of multipath with partially or fully correlated sources. First, we show how array motion causes signal decorrelation with a rate that depends on the spacing and directions of the sources. Next, we briefly discuss the signal cancellation and interference rejection behavior of the optimum beamformer in the presence of a correlated interference to motivate the need to decorrelate the desired source from the interference. We then propose an optimally weighted covariance averaging technique to ensure perfect decorrelation of the sources for any given displacement. Computer plots and simulation results are included to support our analysis. Copyright ¬© 1987 by The Institute of Electrical and Electronics Engineers, Inc.</t>
  </si>
  <si>
    <t>163-172</t>
  </si>
  <si>
    <t>IEEE Journal of Oceanic Engineering</t>
  </si>
  <si>
    <t>60012708;60012708;60012708</t>
  </si>
  <si>
    <t>7004920065;57193685841;7102843718</t>
  </si>
  <si>
    <t>Paulraj, Arogyaswami;Reddy, V. Umapathi;Ka1Lath, Thomas</t>
  </si>
  <si>
    <t>Paulraj A.</t>
  </si>
  <si>
    <t>Analysis of Signal Cancellation Due To Multipath in Optimum Beamformers for Moving Arrays</t>
  </si>
  <si>
    <t>10.1109/JOE.1987.1145231</t>
  </si>
  <si>
    <t>2-s2.0-0023173585</t>
  </si>
  <si>
    <t>['resin leaves', 'poor semi', 'natural voltage', 'magnetic field', 'highly semi', 'hall voltage', 'hall effect', 'green leaves', 'engineering applications', 'conducting material', 'average inductances', 'average capacitances']</t>
  </si>
  <si>
    <t>A study of the Hall effect in green leaves from plants such as Mango, Eucalyptus, Ashok, etc. , is made. The Hall voltage is generated in the presence of a magnetic field. There is a natural voltage in the y-axis in the absence of the magnetic field. Several leaves produce such a voltage when Jx is present in the direction of the length of a leaf. The green leaves are highly semiconducting materials and useful as transducers. The green leaves are useful as antennas. The link (petiole) is a highly semi-conducting material. The average inductances of a leaf are measured and calculated. The average capacitances of the green leaves are measured and calculated for analysing them for use as transducers. High-cellulose leaves show better Hall effect, while high-resin leaves are poor semi-conductors. A study of various material aspects is made to evaluate their utility for engineering applications.</t>
  </si>
  <si>
    <t>Modelling, simulation &amp; control. B</t>
  </si>
  <si>
    <t>60069494;60069494;60069494</t>
  </si>
  <si>
    <t>7003913804;6602225184;6602144026</t>
  </si>
  <si>
    <t>Chhalotra, G. P.;Vani, A.;Gavai, A. N.</t>
  </si>
  <si>
    <t>India</t>
  </si>
  <si>
    <t>Bilaspur</t>
  </si>
  <si>
    <t>Government Engineering College Bilaspur</t>
  </si>
  <si>
    <t>Chhalotra G.</t>
  </si>
  <si>
    <t>STUDY OF HALL EFFECT IN GREEN LEAVES AND APPLICATIONS AS MATERIAL TRANSDUCERS.</t>
  </si>
  <si>
    <t>2-s2.0-0023175145</t>
  </si>
  <si>
    <t>['used extensively', 'structure profile', 'several decades', 'remotely measuring', 'relatively simple', 'radar community', 'permits adjustments', 'particular application', 'monopulse radars', 'monopulse concept', 'little attention', 'errors due', 'electronics engineers', 'beam sonar', 'band operation', 'band adaptation', 'array processor', 'antenna beamwidth', 'angle ambiguities', 'ambient noise', 'adaptation also', 'accommodate wide']</t>
  </si>
  <si>
    <t>Monopulse radars are used extensively to track isolated targets to within angular error variances that are very small in comparison with antenna beamwidth. Analogous active sonar configurations (e.g., split-beam sonar) have been in use for several decades, although very little attention has been paid to adaptation of the monopulse concept to accommodate wide-band operation, or to the angular error variance that is due to a wave phenomenon known in the radar community as ‚Äúglint.‚Äù The wide-band adaptation is relatively simple, and permits adjustments in the design of the array processor to reduce glint errors and to avoid anomalous magnification of errors due to ambient noise. This adaptation also has the advantage of being free of angle ambiguities, regardless of the transmitted pulse spectrum. Performance is analyzed for the particular application of remotely measuring the depth/structure profile of the seafloor. Sensitivity to various design parameters is analyzed in detail. Copyright ¬© 1987 by The Institute of Electrical and Electronics Engineers, Inc.</t>
  </si>
  <si>
    <t>182-197</t>
  </si>
  <si>
    <t>Henderson, Terry L.</t>
  </si>
  <si>
    <t>Austin</t>
  </si>
  <si>
    <t>The University of Texas at Austin</t>
  </si>
  <si>
    <t>Henderson T.L.</t>
  </si>
  <si>
    <t>Wide-Band Monopulse Sonar: Processor Performance in the Remote Profiling Application</t>
  </si>
  <si>
    <t>10.1109/JOE.1987.1145243</t>
  </si>
  <si>
    <t>2-s2.0-0023188537</t>
  </si>
  <si>
    <t>['space limited', 'slot due', 'scattering vibrator', 'reciprocal effect', 'external conductance', 'experimental data', 'energy parameters', 'electromagnetic interaction', 'cosinusoid function', 'broad wall']</t>
  </si>
  <si>
    <t>The problem of electromagnetic interaction of a slot in the broad wall of a rectangular waveguide emitting into half-space limited by an ideally conducting plane and the vertical passive vibrator situated above this plane is analyzed. An algorithm is constructed for calculating the correction of the external conductance of the slot due to the reciprocal effect of the scattering vibrator, which calculates the energy parameters of the slot by using relations derived earlier. The applicability of the cosinusoid function of the current distribution along the scatter is evaluated. Calculated and experimental data are compared.</t>
  </si>
  <si>
    <t>36-40</t>
  </si>
  <si>
    <t>Radioelectronics and Communications Systems (English translation of Izvestiya Vysshikh Uchebnykh Z</t>
  </si>
  <si>
    <t>Yatsuk, L. P.</t>
  </si>
  <si>
    <t>Yatsuk L.</t>
  </si>
  <si>
    <t>INFLUENCE OF THE SCATTERER ON THE ENERGY PARAMETER OF THE SLOT IN A WAVEGUIDE.</t>
  </si>
  <si>
    <t>2-s2.0-0023206256</t>
  </si>
  <si>
    <t>['thin strip', 'singular integrand', 'mutual impedance', 'impedance involves', 'equivalent separation']</t>
  </si>
  <si>
    <t>The concept and computation of the equivalent separation and separations, which are useful in the evaluation of the self-impedance of an electrically thin strip of current, are described. The self-impedance involves the evaluation of an integral with a singular integrand. Using the concepts of equivalent filament separation and separations, it is shown that the self-impedance of the thin strip is equivalent to the mutual impedance between two or three parallel filaments, respectively. This avoids numerical integration near a singularity. Copyright ¬© 1987 by The Institute of Electrical and Electronics, Inc.</t>
  </si>
  <si>
    <t>110-113</t>
  </si>
  <si>
    <t>Newman, Edward H.</t>
  </si>
  <si>
    <t>Columbus</t>
  </si>
  <si>
    <t>The Ohio State University</t>
  </si>
  <si>
    <t>The Equivalent Separation(s) for the Self-Impedance of Thin Strips</t>
  </si>
  <si>
    <t>10.1109/TAP.1987.1143976</t>
  </si>
  <si>
    <t>2-s2.0-0023208154</t>
  </si>
  <si>
    <t>['¬© 1987', 'tightly connected', 'space platforms', 'parameter due', 'mission requirements', 'maximum effort', 'hardware performances', 'generally manufactured', 'composite materials', 'applied technology', 'antenna reflectors', 'antenna performances']</t>
  </si>
  <si>
    <t>Manufacturing and thermal distortion RMS is an important dimensional parameter which can be correlated with the antenna performances. For this reason it is used to characterize their allowed dimensional stability in order to guarantee the mission requirements. The antenna reflectors on board of space platforms are generally manufactured with composite materials. The RMS of these structures is very tightly connected with the technologies like curing cycles, kind of materials, lay up tipology, mould configuration etc. The maximum effort is produced to minimize this parameter due to the manufacturing, while the prediction methods able to correlate the residual distortions versus the applied technology can be very useful to optimize the hardware performances. ¬© 1987.</t>
  </si>
  <si>
    <t>267-283</t>
  </si>
  <si>
    <t>Composite Structures</t>
  </si>
  <si>
    <t>60032350;60084299;60032350</t>
  </si>
  <si>
    <t>7201839044;35511078400;6603508226</t>
  </si>
  <si>
    <t>Marchetti, M.;Morganti, F.;Tizzi, S.</t>
  </si>
  <si>
    <t>Italy;Italy</t>
  </si>
  <si>
    <t>Rome;Rome</t>
  </si>
  <si>
    <t>Selenia S.p.A.;Sapienza Universit√† di Roma</t>
  </si>
  <si>
    <t>60084299;60032350</t>
  </si>
  <si>
    <t>Marchetti M.</t>
  </si>
  <si>
    <t>Evaluation of the built-in stresses and residual distortions on cured composites for space antenna reflectors applications</t>
  </si>
  <si>
    <t>0263-8223(87)90079-1</t>
  </si>
  <si>
    <t>10.1016/0263-8223(87)90079-1</t>
  </si>
  <si>
    <t>2-s2.0-0023208380</t>
  </si>
  <si>
    <t>['z axes', 'television antennas', 'study brings', 'salient features', 'resistance offered', 'quality cellulose', 'polar dielectrics', 'paramagnetic substances', 'paramagnetic materials', 'green leaves', 'electrical properties', 'electrical networks', 'digital simulation', 'chemical constituents', 'ashok leaves']</t>
  </si>
  <si>
    <t>A study of the digital simulation of chemical and electrical properties of green leaves is made. This study may help to determine the chemical constituents of a given green leaf. The resistances of mango, eucalyptus and ashok leaves have been measured and calculated. Electrical networks of these leaves were developed to simulate their characteristics. Currents and voltages were applied in the x, y and z axes. This study brings out salient features of green leaves, that they are polar dielectrics, and are composed of paramagnetic substances. Digital simulation is required to estimate mutual resistances and the self-resistance offered to the flow of a current. These leaves can be used as television antennas because they are polar dielectrics and paramagnetic materials. The leaves have high quality resins and inferior-quality cellulose.</t>
  </si>
  <si>
    <t>7003913804;6603088237;6602144026</t>
  </si>
  <si>
    <t>Chhalotra, G. P.;Juneja, P. L.;Gavai, A. N.</t>
  </si>
  <si>
    <t>DIGITAL COMPUTER SIMULATION OF CHEMICAL AND ELECTRICAL PROPERTIES OF GREEN LEAVES WITH RESISTANCE MEASUREMENTS.</t>
  </si>
  <si>
    <t>2-s2.0-0023210877</t>
  </si>
  <si>
    <t>['tracking low', 'tracking ability', 'target position', 'surface waveheight', 'rough specular', 'quantitatively determine', 'phase length', 'multipath effects', 'move far', 'maximum error', 'mathematical models', 'lossy surface', 'indicated position', 'including sidelobes', 'electronics engineers', 'divergence factors', 'difference patterns', 'antenna sum', 'antenna polarization', 'altitude targets', 'actual position', 'accurate calculations']</t>
  </si>
  <si>
    <t>Radar systems often experience difficulties when tracking low-altitude targets over the ocean because of multipath effects. When-ever the radar cannot resolve the target from its image, it will track a false target position which can move far above or below the actual position. In this paper, mathematical models are utilized to quantitatively determine the degradation in tracking ability of a monopulse radar due to multipath. The model incorporates provisions for the antenna sum and difference patterns, including sidelobes, and for the antenna polarization. Divergence factors are utilized to account for the curvature of the earth's lossy surface. More accurate calculations of the phase length of the direct and reflected rays using the spherical earth model are included. Smooth and rough surface models are used to model the prevailing sea state. The smooth surface model determines both stable and unstable equilibrium directions toward which the target position is indicated. The rough surface model defines a band of maximum error in the indicated position, as a function of the surface waveheight, and it includes both the rough specular and the rough diffuse reflection term. Copyright ¬© 1987 by The Institute of Electrical and Electronics Engineers, Inc.</t>
  </si>
  <si>
    <t>289-295</t>
  </si>
  <si>
    <t>60003892;60003892</t>
  </si>
  <si>
    <t>6601934202;35583458100</t>
  </si>
  <si>
    <t>Griesser, Timothy;Balanis, Constantine A.</t>
  </si>
  <si>
    <t>Tempe</t>
  </si>
  <si>
    <t>Arizona State University</t>
  </si>
  <si>
    <t>Griesser T.</t>
  </si>
  <si>
    <t>Oceanic Low-Angle Monopulse Radar Tracking Errors</t>
  </si>
  <si>
    <t>10.1109/JOE.1987.1145238</t>
  </si>
  <si>
    <t>2-s2.0-0023210976</t>
  </si>
  <si>
    <t>138-140</t>
  </si>
  <si>
    <t>Worms, J.</t>
  </si>
  <si>
    <t>Munich</t>
  </si>
  <si>
    <t>Fraunhofer-Gesellschaft</t>
  </si>
  <si>
    <t>Worms J.</t>
  </si>
  <si>
    <t>A New Representation of Adaptive Antenna Pattern</t>
  </si>
  <si>
    <t>10.1109/TAES.1987.313343</t>
  </si>
  <si>
    <t>2-s2.0-0023223675</t>
  </si>
  <si>
    <t>National Institute of Allergy and Infectious Diseases</t>
  </si>
  <si>
    <t>R37AI023253</t>
  </si>
  <si>
    <t>NIAID</t>
  </si>
  <si>
    <t>['vertebrate cns', 'strong hyperpolarization', 'reversibly blocked', 'reversal potential', 'resting potential', 'odors consist', 'ipsilateral antenna', 'gabab receptors', 'gabaa receptors', 'gaba responses', 'gaba analog', 'electrical shock', 'chloride conductance', 'chloride concentration', 'characteristic ipsp', 'apparently mediated', 'antennal lobe', '8 ).', '7 ).', '3 ),', '2b ).', '2a ).', '13 ).', '12b ).', '11 ).']</t>
  </si>
  <si>
    <t>1. Responses of neurons in the antennal lobe (AL) of the moth Manduca sexta to stimulation of the ipsilateral antenna by odors consist of excitatory and inhibitory synaptic potentials (Fig. 2A). Stimulation of primary afferent fibers by electrical shock of the antennal nerve causes a characteristic IPSP-EPSP synaptic response in AL projection neurons (Fig. 2B). 2. The IPSP in projection neurons reverses below the resting potential (Fig. 3), is sensitive to changes in external (Fig. 4) and internal (Fig. 5) chloride concentration, and thus is apparently mediated by an increase in chloride conductance. 3. The IPSP is reversibly blocked by 100 ŒºM picrotoxin (Fig. 6) or bicuculline (Fig. 7). 4. Many AL neurons respond to application of GABA with a strong hyperpolarization and an inhibition of spontaneous spiking activity (Fig. 8). GABA responses are associated with an increase in neuronal input conductance (Fig. 9) and a reversal potential below the resting potential (Fig. 11). 5. Application of GABA blocks inhibitory synaptic inputs (Fig. 12 A) and reduces or blocks excitatory inputs (Fig. 12B). EPSPs can be protected from depression by application of GABA (Fig. 12B). 6. Muscimol, a GABA analog that mimics GABA responses at GABAA receptors but not at GABAB receptors in the vertebrate CNS, inhibits many AL neurons in the moth (Fig. 13). ¬© 1987 Springer-Verlag.</t>
  </si>
  <si>
    <t>23-32</t>
  </si>
  <si>
    <t>60023324;60023324;60023324</t>
  </si>
  <si>
    <t>6602106910;57213669759;7102653635</t>
  </si>
  <si>
    <t>Waldrop, Brian;Christensen, Thomas A.;Hildebrand, John G.</t>
  </si>
  <si>
    <t>Tucson</t>
  </si>
  <si>
    <t>Arizona Research Laboratories</t>
  </si>
  <si>
    <t>Waldrop B.</t>
  </si>
  <si>
    <t>GABA-mediated synaptic inhibition of projection neurons in the antennal lobes of the sphinx moth, Manduca sexta</t>
  </si>
  <si>
    <t>10.1007/BF00609452</t>
  </si>
  <si>
    <t>2-s2.0-0023224734</t>
  </si>
  <si>
    <t>['typically less', 'transmitting antenna', 'pyramidal horn', 'probe method', 'made using', 'field gain', 'experimental results', 'ended waveguide', 'empirical near', 'antenna method', '450 mhz', '2 ghz']</t>
  </si>
  <si>
    <t>Generating a standard electromagnetic field requires knowledge of the gain of the transmitting antenna. The theory and supporting experimental measurements of the near-field gain of a pyramidal horn and an open-ended waveguide (OEG) at 450 MHz are given. The empirical near-field gain for the OEG is derived from experimental results obtained by a two-antenna method at about 2 GHz. The theoretical nearfield gain for the rectangular pyramidal horn is derived from Schelkunoff‚Äôs formula. Two independent near-field gain measurements of these antennas are made using a three-antenna method and a transfer-standard-probe method. The discrepancy between theoretical and experimental results is typically less than ¬± 1 dB. Copyright ¬© 1987 by The Institute of Electrical and Electronics, Inc.</t>
  </si>
  <si>
    <t>33-40</t>
  </si>
  <si>
    <t>60023053;60023053</t>
  </si>
  <si>
    <t>35578175900;7102568848</t>
  </si>
  <si>
    <t>Kanda, Motohisa;Orr, R. David</t>
  </si>
  <si>
    <t>Gaithersburg</t>
  </si>
  <si>
    <t>National Institute of Standards and Technology</t>
  </si>
  <si>
    <t>Kanda M.</t>
  </si>
  <si>
    <t>Near-Field Gain of a Horn and an Open-Ended Waveguide: Comparison Between Theory and Experiment</t>
  </si>
  <si>
    <t>10.1109/TAP.1987.1143963</t>
  </si>
  <si>
    <t>2-s2.0-0023238183</t>
  </si>
  <si>
    <t>['wire elements', 'theoretical calculations', 'straight lines', 'simultaneous equations', 'present theory', 'found useful', 'found sufficient', 'experimental results', 'envelope length', '50 0', '16 elements']</t>
  </si>
  <si>
    <t>The rotationally symmetric monopole antenna is given by a set of simultaneous equations on the rotationally symmetric surface current of a conductor, separated with respect to the variable of the envelope length on the surface of the rotationally symmetric antenna and the variable in the direction of revolution. The structure is analyzed in detail by means of an extended moment method based on the present theory. As an application, this analysis is applied to a conical monopole antenna. Studies are performed to find body shapes providing broadband characteristics. It is found that the antennas with lengthwise cross sections approximated by straight lines, ellipses, and circles have an impedance of 50 0 over a wide frequency band. When these shapes are replaced with wire elements for analysis, 16 elements are found sufficient to approximate the characteristics of the rotationally symmetric antenna. Theoretical calculations and experimental results are compared. Agreement is excellent and the method is found useful. Copyright ¬© 1987 by The Institute of Electrical and Electronics, Inc.</t>
  </si>
  <si>
    <t>26-32</t>
  </si>
  <si>
    <t>60002784;60002784</t>
  </si>
  <si>
    <t>7202484181;7103403544</t>
  </si>
  <si>
    <t>Kawakami, Haruo;Sato, Gentei</t>
  </si>
  <si>
    <t>Sophia University</t>
  </si>
  <si>
    <t>Kawakami H.</t>
  </si>
  <si>
    <t>Broad-Band Characteristics of Rotationally Symmetric Antennas and Thin Wire Constructs</t>
  </si>
  <si>
    <t>10.1109/TAP.1987.1143967</t>
  </si>
  <si>
    <t>2-s2.0-0023242882</t>
  </si>
  <si>
    <t>['wave excitation', 'various portions', 'tangential component', 'reflectors consists', 'reflecting strips', 'pulse expansion', 'outer surface', 'near field', 'matching technique', 'magnetic currents', 'interaction among', 'integral equations', 'good agreement', 'far field', 'equivalent electric', 'equivalence principle', 'electromagnetic transmission', 'eequivalent currents', 'dimensional radomes', 'computed results', 'boundary conditions', 'automatically included']</t>
  </si>
  <si>
    <t>A simple moment solution is given for the problem of the electromagnetic transmission through two-dimensional radomes of arbitrary cross section. The radome is composed of one or more layers of lossy dielectric shells of arbitrary cross sections. The reflectors consists of conducting strips next to the outer surface of the radome. The equivalence principle is used to replace the surfaces of the radome and the strips by equivalent electric and magnetic currents. The boundary conditions on the tangential component of the total electric field yields a set of coupled integral equations for the eequivalent currents. The integral equations are solved by the method of moments with pulse expansion and point-matching technique. The effects of the surface-wave excitation and the interaction among the various portions of the dielectrics and the reflecting strips are automatically included in this solution. Computed results are the equivalent surface currents, the near field and the far field. The computed results are in very good agreement with whatever published data available.</t>
  </si>
  <si>
    <t>46-50</t>
  </si>
  <si>
    <t>60001777;60001777</t>
  </si>
  <si>
    <t>7003593230;55650323300</t>
  </si>
  <si>
    <t>Arvas, Ercument;Sarkar, Tapan K.</t>
  </si>
  <si>
    <t>Rochester</t>
  </si>
  <si>
    <t>Rochester Institute of Technology</t>
  </si>
  <si>
    <t>Arvas E.</t>
  </si>
  <si>
    <t>ANALYSIS OF TWO-DIMENSIONAL LOSSY RADOMES OF ARBITRARY CROSS SECTION WITH OR WITHOUT REFLECTORS.</t>
  </si>
  <si>
    <t>2-s2.0-0023246151</t>
  </si>
  <si>
    <t>['used outside', 'unit housing', 'pifas mounted', 'performance characteristics', 'antennas used']</t>
  </si>
  <si>
    <t>Detachable mobile radio units have been developed to meet customer demands for mobile radio units that can be used outside the vehicles in which they have been installed. This paper describes configurations for and performance characteristics of antennas used with detachable mobile radio units. A built-in planar inverted F antenna (PIFA) mounted on the side of the unit housing has been equipped. Under actual usage conditions, it provides better performance than PIFAs mounted in other positions on the outside of the housing, or an external sleeve dipole antenna mounted on the top of the housing.</t>
  </si>
  <si>
    <t>59-65</t>
  </si>
  <si>
    <t>Reports of the Electrical Communication Laboratory</t>
  </si>
  <si>
    <t>7102629706;55585630900;57206015376</t>
  </si>
  <si>
    <t>Taga, Tokio;Tsunekawa, Kouichi;Sasaki, Akio</t>
  </si>
  <si>
    <t>Taga T.</t>
  </si>
  <si>
    <t>ANTENNAS FOR DETACHABLE MOBILE RADIO UNITS.</t>
  </si>
  <si>
    <t>2-s2.0-0023246395</t>
  </si>
  <si>
    <t>84-110-1006</t>
  </si>
  <si>
    <t>['wave ratio', 'voltage standing', 'transmission line', 'theoretical model', 'microstrip dipole', 'frequency range', 'experimental verification', 'experimental e', '2 criterion']</t>
  </si>
  <si>
    <t>Bandwidth enhancement methods for electromagnetically coupled microstrip dipoles are discussed. It is demonstrated that if parasitic metallic strips are incorporated in the structure either co-planar and parallel to the embedded microstrip transmission line open end, or between the transmission line and the microstrip dipole, then substantial bandwidth enhancement results. Experimental verification of this model is introduced for a bandwidth definition based on the frequency range which satisfies a voltage standing-wave ratio (VSWR) &lt; 2 criterion. Also, experimental E- and H-plane patterns verify the theoretical model which accounts for radiation from the microstrip dipole, the parasitics, and the transmission line. Copyright ¬© 1987 by The Institute of Electrical and Electronics, Inc.</t>
  </si>
  <si>
    <t>60025778;60027550;60027550</t>
  </si>
  <si>
    <t>7004624580;7004468161;6603237307</t>
  </si>
  <si>
    <t>Katehi, Pisti B.;Alexopoulos, Nicolaos G.;Hsia, I. Y.</t>
  </si>
  <si>
    <t>Los Angeles;Ann Arbor</t>
  </si>
  <si>
    <t>University of California, Los Angeles;University of Michigan, Ann Arbor</t>
  </si>
  <si>
    <t>60027550;60025778</t>
  </si>
  <si>
    <t>Katehi P.B.</t>
  </si>
  <si>
    <t>A Bandwidth Enhancement Method for Microstrip Antennas</t>
  </si>
  <si>
    <t>10.1109/TAP.1987.1143970</t>
  </si>
  <si>
    <t>2-s2.0-0023246445</t>
  </si>
  <si>
    <t>['transmitting station', 'sumitomo electric', 'october 1984', 'lower separation', 'improve reliability', 'commercial broadcasters', 'antenna system']</t>
  </si>
  <si>
    <t>In order to improve television reception in Naha, Okinawa, Sumitomo Electric was contracted to provide all of the equipment and labor for the installation of common transmitting antennas for two commercial broadcasters (the Ryukyu Broadcasting Corporation and the Okinawa Television Broadcasting Corporation) on a NIPPOP HOSO KYOKAI transmitting tower located in Tomishiro. Design and production were begun in October 1984, and work has now been completed. This transmitting station is now broadcasting a signal with improved reception conditions to the local television viewers. This high-power transmitting station is one of only a few common antenna systems in use by commercial broadcasters. The design of the system entails various considerations such as the use of upper and lower separation of the antenna system in order to improve reliability and the inclusion of a DCR monitor device for effective preventive maintenance.</t>
  </si>
  <si>
    <t>162-173</t>
  </si>
  <si>
    <t>Sumitomo Electric Technical Review</t>
  </si>
  <si>
    <t>;;;;;;</t>
  </si>
  <si>
    <t>7101691068;6504265803;7006455753;7403554266;7102317417;7403947409;7103286494</t>
  </si>
  <si>
    <t>Kotani, Hiroyuki;Hatao, Tetsuo;Isono, Tomoaki;Takagi, Toshio;Ohishi, Takeshi;Ono, Toshinari;Kawabata, Masaaki</t>
  </si>
  <si>
    <t>Kotani H.</t>
  </si>
  <si>
    <t>TELEVISION TRANSMITTING STATION CONSOLIDATED BY REARRANGING PANEL ANTENNAS.</t>
  </si>
  <si>
    <t>2-s2.0-0023246669</t>
  </si>
  <si>
    <t>['waveguide simulators', 'test array', 'results calculated', 'radiation impedance', 'presented first', 'present theory', 'modal expansions', 'method based', 'limiting case', 'ground plane', 'good agreement', 'dipole printed', 'dipole element', 'current distribution', 'also made', 'also given']</t>
  </si>
  <si>
    <t>The radiation impedance of a dipole printed on periodic dielectric slabs standing over a ground plane in an infinite phased array is calculated. The calculation is made by means of modal expansions in terms of longitudinal section electric (LSE) and longitudinal section magnetic (LSM) modes. Derivations of these hybrid space modes and development of the modal expansions are presented first. The impedance of the dipole element is then calculated by a method based on the complex power relations with the aid of Poynting‚Äôs theorem. The results calculated by the present theory in the limiting case of no dielectric slab loading have been compared with the results calculated by the method of ordinary plane wave expansions. A comparison is also made between results calculated by the theory and the experimental data obtained from waveguide simulators or test array. These results are shown to be in good agreement. An outline of steps to formulate the solution of the current distribution on dipole is also given. Copyright ¬© 1987 by The Institute of Electrical and Electronics, Inc.</t>
  </si>
  <si>
    <t>13-25</t>
  </si>
  <si>
    <t>7102122144;7501503817</t>
  </si>
  <si>
    <t>Chu, Ruey Shi;Lee, Kuan Min</t>
  </si>
  <si>
    <t>Chu R.S.</t>
  </si>
  <si>
    <t>Radiation Impedance of a Dipole Printed on Periodic Dielectric Slabs Protruding Over a Ground Plane in an Infinite Phased Array</t>
  </si>
  <si>
    <t>10.1109/TAP.1987.1143966</t>
  </si>
  <si>
    <t>2-s2.0-0023249034</t>
  </si>
  <si>
    <t>['working size', 'magnetic resonance', 'equal size', 'conventional coils', 'coil depending']</t>
  </si>
  <si>
    <t>A switchable-array surface coil for magnetic resonance (MR) imaging of the spine has been built that enables the user to change the working size of the coil depending on the volume of interest. The prototype has achieved similar image quality to that obtained with conventional coils of equal size. This type of antenna may reduce the number of individual coils necessary for a high-quality MR imaging study.</t>
  </si>
  <si>
    <t>574-575</t>
  </si>
  <si>
    <t>Radiology</t>
  </si>
  <si>
    <t>60028673;60028673;60028673;60028673;60028673</t>
  </si>
  <si>
    <t>7003752100;57191396202;6506956035;57198048963;7403097219</t>
  </si>
  <si>
    <t>Requardt, H.;Offermann, J.;Kess, H.;Krause, N.;Weber, H.</t>
  </si>
  <si>
    <t>Siemens AG</t>
  </si>
  <si>
    <t>Requardt H.</t>
  </si>
  <si>
    <t>Surface coil with variable geometry: A new tool for MR imaging of the spine</t>
  </si>
  <si>
    <t>10.1148/radiology.165.2.3659389</t>
  </si>
  <si>
    <t>2-s2.0-0023253082</t>
  </si>
  <si>
    <t>['spectral efficiency', 'since contributions', 'simplified derivation', 'radio tower', 'polarization discrimination', 'polar characteristics', 'necessary filter', 'known angular', 'digital receiver', 'different nodes', 'detection threshold', 'dense network', 'channel interference']</t>
  </si>
  <si>
    <t>In a dense network, where frequency re-use is required in possibly many directions from different nodes, a new dimension may be added to the definition of spectral efficiency, since contributions of channel interference from other directions have to be considered as well. A simplified derivation of an expression for the deterioration of the detection threshold by channel interference in a digital receiver is given. The necessary filter- and/or cross-polarization discrimination for commonly transmitted channels in one particular direction is evaluated. A formula for the minimum required angular discrimination of antennas in a node (radio tower) for channel re-use is derived. Applying the known angular and cross-polar characteristics of commercially available antennas, corresponding minimum angular spacings can be specified.</t>
  </si>
  <si>
    <t>154-157</t>
  </si>
  <si>
    <t>Technische Mitteilungen PTT (Post-, Telefon- und Telegrafenbetrieben)</t>
  </si>
  <si>
    <t>Leuenberger, Kurt</t>
  </si>
  <si>
    <t>Leuenberger K.</t>
  </si>
  <si>
    <t>NETWORK PLANNING ASPECTS FOR TERRESTRIAL DIGITAL RADIO: IMPLICATIONS OF USING HIGHER ORDER MODULATION SCHEMES.</t>
  </si>
  <si>
    <t>2-s2.0-0023254431</t>
  </si>
  <si>
    <t>['¬© 1987', 'wave pulses', 'wave pulse', 'two groups', 'tuned receiver', 'thoracic spine', 'therapeutic value', 'stimulating electrodes', 'spinal cord', 'similar field', 'significantly different', 'receivers converted', 'rats injured', 'placed extradurally', 'paraspinal muscles', 'methods required', 'maximum angle', 'injury site', 'implanted subcutaneously', 'implantable receiver', 'group randomization', 'future study', 'electrical stimulation', 'cord electrodes', 'clinical recovery', 'acute compression', '9 ).', '15 weeks', '125 g', '10 hz', '1 minute']</t>
  </si>
  <si>
    <t>Electrical stimulation | Recovery | Spinal cord injury</t>
  </si>
  <si>
    <t>The therapeutic value of electrical stimulation of the spinal cord was studied in rats injured by acute compression of the spinal cord. Twenty adult Wistar rats underwent cord compression at T6-7 by the extradural clip compression technique at a force of 125 g for 1 minute. After injury and group randomization, stimulating electrodes were placed extradurally, proximal and distal to the injury site, and attached to a small, implantable receiver-stimulator. The receiver was secured to the paraspinal muscles and implanted subcutaneously, overlying the thoracic spine. The animals were maintained in specially designed cages with encircling antennae attached to radio frequency transmitters. The 10 treatment animals were subjected to a 460-kHz electromagnetic field, pulsed at a frequency of 10 Hz. The receivers converted the pulsed radio frequency into square-wave pulses at the cord electrodes (width 1 ms, frequency 10 Hz). The 10 control animals were exposed to a similar field but with a frequency below the range of the tuned receiver, and therefore they did not receive the square-wave pulse. Clinical recovery was assessed by the inclined plane technique which measures the maximum angle of inclination attained without falling. After 15 weeks of continuous spinal cord stimulation, the inclined plane performance was not significantly different between the two groups (treatment group mean, 44.4 ¬± 5.4; control group mean, 41.7 ¬± 7.9). This is the first experimental study of the effect of long-term continuous electrical stimulation on spinal cord recovery in mammals. The methods required and the technical aspects involved in achieving continuous stimulation, and the guidelines for future study of this modality are discussed. ¬© 1987.</t>
  </si>
  <si>
    <t>269-276</t>
  </si>
  <si>
    <t>60002401-60016849;60002401-60016849;60002401-60016849</t>
  </si>
  <si>
    <t>8238912100;7102720018;6604034105</t>
  </si>
  <si>
    <t>Wallace, M. Christopher;Tator, Charles H.;Gentles, William M.</t>
  </si>
  <si>
    <t>Canada;Canada</t>
  </si>
  <si>
    <t>Toronto;Toronto</t>
  </si>
  <si>
    <t>University of Toronto;Toronto Western Hospital University of Toronto</t>
  </si>
  <si>
    <t>60016849;60002401</t>
  </si>
  <si>
    <t>Effect of alternating current stimulation of the spinal cord on recovery from acute spinal cord injury in rats</t>
  </si>
  <si>
    <t>0090-3019(87)90305-3</t>
  </si>
  <si>
    <t>10.1016/0090-3019(87)90305-3</t>
  </si>
  <si>
    <t>2-s2.0-0023256176</t>
  </si>
  <si>
    <t>['¬© 1987', 'trichoplusia ni', 'spike records', 'sorting spikes', 'report describes', 'regression analyses', 'recording session', 'performing analyses', 'perform frequency', 'olfactory stimuli', 'olfactory sensillum', 'microcomputer system', 'methods used', 'managing records', 'main features', 'interspike interval', 'individual spikes', 'different patterns', 'different formats', 'analyze responses', '4 classes', '2 types']</t>
  </si>
  <si>
    <t>Action potential classification | Insect olfaction | Microcomputer data acquisition and analysis | Trichoplusia ni</t>
  </si>
  <si>
    <t>A microcomputer system has been built to stimulate, record, and analyze responses from peripheral insect olfactory receptor neurons. Software has been developed to sort action potentials (spikes) in extracellular records obtained from multi-innervated antennal sensilla, and perform frequency, interspike interval, distributional, and regression analyses on responses in groups of records. The olfactory stimuli can be presented in different patterns, and plots or histograms of analyses, spike records, and individual spikes can be displayed in different formats and hard-copied during a recording session. This report describes the main features of the system and discusses the methods used for sorting spikes, performing analyses, and managing records and analyses in a database. Examples are given of renewal density analyses for 4 classes of peripheral receptor neuron in records from 2 types of olfactory sensillum on the antenna of the cabbage looper moth, Trichoplusia ni (H√ºbner). ¬© 1987.</t>
  </si>
  <si>
    <t>307-322</t>
  </si>
  <si>
    <t>Journal of Neuroscience Methods</t>
  </si>
  <si>
    <t>60103678;60103678;60103678</t>
  </si>
  <si>
    <t>7004006558;7402445350;7402465354</t>
  </si>
  <si>
    <t>Mankin, R. W.;Grant, A. J.;Mayer, M. S.</t>
  </si>
  <si>
    <t>Gainesville</t>
  </si>
  <si>
    <t>USDA Agricultural Research Service, Gainesville</t>
  </si>
  <si>
    <t>Mankin R.</t>
  </si>
  <si>
    <t>A microcomputer-controlled response measurement and analysis system for insect olfactory receptor neurons</t>
  </si>
  <si>
    <t>016502708790063X</t>
  </si>
  <si>
    <t>10.1016/0165-0270(87)90063-X</t>
  </si>
  <si>
    <t>2-s2.0-0023258553</t>
  </si>
  <si>
    <t>['unit testing', 'philosophy behind', 'paper describes', 'inside vehicles', 'fundamental parameters', 'functioning effectively']</t>
  </si>
  <si>
    <t>This paper describes the philosophy behind and design method utilized to establish the fundamental parameters for portable radio units capable of functioning effectively both inside vehicles and out. It also presents performance evaluation results obtained from unit testing with the existing Japanese land mobile radio system.</t>
  </si>
  <si>
    <t>45-50</t>
  </si>
  <si>
    <t>57206015376;7005403898;6701786597</t>
  </si>
  <si>
    <t>Sasaki, Akio;Urabe, Shuuji;Nishiki, Sadayuki</t>
  </si>
  <si>
    <t>Sasaki A.</t>
  </si>
  <si>
    <t>DETACHABLE MOBILE RADIO UNITS FOR 800 MHz LAND MOBILE TELEPHONE SYSTEM.</t>
  </si>
  <si>
    <t>2-s2.0-0023263762</t>
  </si>
  <si>
    <t>['significant variations', 'significant amount', 'several rays', 'resolution estimates', 'provide high', 'primary objective', 'presented linking', 'presented indicating', 'measured values', 'individual rays', 'individual components', 'experimental results', 'determine experimentally', 'also observed']</t>
  </si>
  <si>
    <t>A wide-aperture vertical array is described, the function of which is to determine experimentally the angle-of-arrival and amplitude of individual rays during tropospheric multipath propagation. The primary objective is to provide high-resolution estimates both in measured values and in time. Some experimental results are presented indicating that under such conditions, several rays are generated which are separated in angle-of-arrival by a significant amount, consistent with that predicted by ray-tracing. Significant variations in amplitude of the individual components in times in the order of a few seconds are also observed. Some evidence is presented linking the occurrence of deep fast fading to atmospheric buoyancy waves. Copyright ¬© 1987 by The Institute of Electrical and Electronics, Inc.</t>
  </si>
  <si>
    <t>94-99</t>
  </si>
  <si>
    <t>60010884;60010884</t>
  </si>
  <si>
    <t>7202946915;55472487500</t>
  </si>
  <si>
    <t>Webster, Alan R.;Scott, Andrew M.</t>
  </si>
  <si>
    <t>The University of Western Ontario</t>
  </si>
  <si>
    <t>Webster A.R.</t>
  </si>
  <si>
    <t>Angles-of-Arrival and Tropospheric Multipath Microwave Propagation</t>
  </si>
  <si>
    <t>10.1109/TAP.1987.1143962</t>
  </si>
  <si>
    <t>2-s2.0-0023263813</t>
  </si>
  <si>
    <t>['wide class', 'triangular prism', 'tapered resistivity', 'shadow boundaries', 'satisfactory agreement', 'rounded wedge', 'po ).', 'mm ).', 'initial computations', 'ground plane', 'geometrical theory', 'finite bodies', 'diffraction coefficients', 'conducting shields', 'canonical structures', 'applied within', 'analytic results']</t>
  </si>
  <si>
    <t>Direct numerical methods are explored for the computation of diffraction coefficients for a wide class of canonical structures. Although these canonical structures are infinite or semi-infinite, the initial computations are performed on finite bodies. Extraction of the desired coefficient therefore necessitates the elimination of radiation from extraneous diffraction centers. This is accomplished by a variety of techniques including current windowing, tapered resistivity, and screening by conducting shields. Singularities at shadow boundaries are derived via physical optics (PO). The procedure is elucidated through a number of examples for which analytic results are available for comparison. These include the perfectly conducting half-plane, wedge, rounded wedge, and grooves in a ground plane. Computed diffraction coefficients for lossy dielectric wedges.are applied within the context of geometrical theory of diffraction (GTD) to the computation of diffraction from a triangular prism and the results are in satisfactory agreement with those of the method of moments (MM). Copyright ¬© 1987 by The Institute of Electrical and Electronics, Inc.</t>
  </si>
  <si>
    <t>53-61</t>
  </si>
  <si>
    <t>Herrmann, Gabriel F.</t>
  </si>
  <si>
    <t>Boulevard</t>
  </si>
  <si>
    <t>Lockheed Martin Space Systems Company</t>
  </si>
  <si>
    <t>Herrmann G.F.</t>
  </si>
  <si>
    <t>Numerical Computation of Diffraction Coefficients</t>
  </si>
  <si>
    <t>10.1109/TAP.1987.1143971</t>
  </si>
  <si>
    <t>2-s2.0-0023263814</t>
  </si>
  <si>
    <t>['cavity model']</t>
  </si>
  <si>
    <t>The appropriate correction factor to use in the resonant frequency formula of an equilateral triangular patch antenna obtained from the cavity model with perfect magnetic walls is discussed. Copyright ¬© 1987 by The Institute of Electrical and Electronics, Inc.</t>
  </si>
  <si>
    <t>100-101</t>
  </si>
  <si>
    <t>60009658;60032143</t>
  </si>
  <si>
    <t>7003504220;7501501369</t>
  </si>
  <si>
    <t>Dahele, Jashwant S.;Lee, Kai Fong</t>
  </si>
  <si>
    <t>United States;United Kingdom</t>
  </si>
  <si>
    <t>Akron;Swindon</t>
  </si>
  <si>
    <t>University of Akron;Defence College of Management and Technology</t>
  </si>
  <si>
    <t>60032143;60009658</t>
  </si>
  <si>
    <t>Dahele J.S.</t>
  </si>
  <si>
    <t>On the Resonant Frequencies of the Triangular Patch Antenna</t>
  </si>
  <si>
    <t>10.1109/TAP.1987.1143960</t>
  </si>
  <si>
    <t>2-s2.0-0023271429</t>
  </si>
  <si>
    <t>['three examples', 'software issues', 'slightly increasing', 'optimal reshading', 'often regain', 'mainlobe beamwidth', 'hp9836c microcomputer', 'failed elements', 'execution time', 'element array', 'electronics engineers', '2 min']</t>
  </si>
  <si>
    <t>An algorithm is presented which computes optimal weights for arbitrary linear arrays. The application of this algorithm to in situ optimal reshading of arrays with failed elements is discussed. It is shown that optimal reshading can often regain the original sidelobe level by slightly increasing the mainlobe beamwidth. Three examples are presented to illustrate the algorithm's effectiveness. Hardware and software issues are discussed. Execution time for a 25-element array is typically between 1 and 2 min on an HP9836C microcomputer. Copyright ¬© 1987 by The Institute of Electrical and Electronics Engineers, Inc.</t>
  </si>
  <si>
    <t>155-162</t>
  </si>
  <si>
    <t>115486601;115486601</t>
  </si>
  <si>
    <t>6603807186;7007141696</t>
  </si>
  <si>
    <t>Sherrill, Michael S.;Streit, Roy L.</t>
  </si>
  <si>
    <t>Naval Underwater Systems Center</t>
  </si>
  <si>
    <t>Sherrill M.S.</t>
  </si>
  <si>
    <t>In Situ Optimal Reshading of Arrays with Failed Elements</t>
  </si>
  <si>
    <t>10.1109/JOE.1987.1145245</t>
  </si>
  <si>
    <t>2-s2.0-0023271982</t>
  </si>
  <si>
    <t>['serious hindrance', 'required accuracy', 'reference signal', 'radio communication', 'processor configuration', 'one another', 'multipath components', 'may generate', 'general correlated', 'extremely accurate', 'electronics engineers', 'correlation coefficient', 'approximate 1', 'also discussed', 'adaptive array']</t>
  </si>
  <si>
    <t>Multipath fading often poses a serious hindrance in radio communication. The application of a least-mean-square (LMS) adaptive array to the problem of multipath fading reduction is discussed. However, it is known that multipath components are in general correlated with one another. We examine the effect of the correlation on the performance of the LMS adaptive array. When the correlation coefficient does not equal or approximate 1, the LMS adaptive array suppresses the multipath signals significantly by nulling. On the other hand, when the correlation coefficient nearly equals 1, the LMS adaptive array prevents the output signal power from decreasing. Therefore, the LMS adaptive array may reduce the multipath fading effectively for any correlation coefficient value. A reference signal in the LMS adaptive array is also discussed. It is shown that synchronization in the reference signal generation must be extremely accurate. Moreover, a processor configuration is proposed which may generate the reference signal with the required accuracy. Copyright ¬© 1987 by The Institute of Electrical and Electronics Engineers, Inc.</t>
  </si>
  <si>
    <t>17-23</t>
  </si>
  <si>
    <t>60014652;60014652;60014652</t>
  </si>
  <si>
    <t>35516180700;6603767346;7404897527</t>
  </si>
  <si>
    <t>Ogawa, Yasutaka;Ohmiya, Manabu;Itoh, Kiyohiko</t>
  </si>
  <si>
    <t>Sapporo</t>
  </si>
  <si>
    <t>Hokkaido University</t>
  </si>
  <si>
    <t>Ogawa Y.</t>
  </si>
  <si>
    <t>An LMS Adaptive Array for Multipath Fading Reduction</t>
  </si>
  <si>
    <t>10.1109/TAES.1987.313354</t>
  </si>
  <si>
    <t>2-s2.0-0023272933</t>
  </si>
  <si>
    <t>['salient features', 'polar dielectrics', 'paramagnetic material', 'heterogeneous mixture', 'green leaves', 'electrical properties']</t>
  </si>
  <si>
    <t>A study of green leaves is made to bring out their salient features of chemical and electrical properties. The leaves are a heterogeneous mixture of cellulose, resin, lignin, tannins and minerals. The leaves are paramagnetic material. The leaves are polar dielectrics because their dielectric constant decreases when temperature is raised.</t>
  </si>
  <si>
    <t>15-36</t>
  </si>
  <si>
    <t>7003913804;6602144026;7402898869</t>
  </si>
  <si>
    <t>Chhalotra, G. P.;Gavai, A. N.;Rao, Vani</t>
  </si>
  <si>
    <t>MACROSCOPIC STUDY OF GREEN LEAVES, THEIR CHEMICAL AND ELECTRICAL PROPERTIES AND THEIR APPLICATIONS.</t>
  </si>
  <si>
    <t>2-s2.0-0023273133</t>
  </si>
  <si>
    <t>['ventral one', 'type animals', 'tissue taken', 'results suggest', 'metamorphosed implants', 'leg tissue', 'lateral region', 'implants taken', 'imaginal disc', 'host mwh', 'homeotic transformation', 'homeotic tissue', 'homeotic structures', 'head structures', 'eye region', 'eye disc', 'external genitalia', 'e4 larvae', 'dorsal structures', 'dorsal structure', 'distal leg', 'discs isolated', 'differentiated structures', 'developmental potential', 'defined positions', 'compound disc', 'cells taken', 'antennal region', 'antennal portion', 'antennal disc', 'abdominal tergite', '3 mutants']</t>
  </si>
  <si>
    <t>In specific genetic background, a mutation in the tuh-3 gene results in the homeotic transformation of head structures to either leg disc derivatives or structures normally found in the extreme posterior end of wild-type animals. The origins of the homeotic structures were mapped to defined positions in the eye-antennal imaginal disc by transplanting abnormal regions of discs isolated from tuh-3 mutants into host mwh;e4 larvae. These metamorphosed implants were removed and differentiated structures were identified. Of 211 successfully recovered implants, 157 gave rise to homeotic tissue: abdominal tergite, male or female external genitalia and/or leg tissue. Transformations to abdominal tergite occurred primarily in cells taken from the eye region of the compound disc. Male and female genitalia arose most often in implants taken from the antennal portion of the disc, although some tissue taken from the lateral region of the eye disc also gave rise to external genitalia. Leg structures came exclusively from implants from the antennal region of the imaginal disc. These results suggest that cells from within specific regions of the eye-antennal compound disc are constrained in their developmental potential. An obvious constraint observed with this mutation is a dorsal/ventral one: Cells from the eye disc, a dorsal structure, primarily gave rise to other dorsal structures, abdominal tergite tissue. Cells from the antennal disc, a ventrally derived structure, primarily gave rise to other ventral structures including genital tissue and distal leg.</t>
  </si>
  <si>
    <t>261-269</t>
  </si>
  <si>
    <t>Development</t>
  </si>
  <si>
    <t>Andrew, D. J.</t>
  </si>
  <si>
    <t>Orlando</t>
  </si>
  <si>
    <t>University of Central Florida</t>
  </si>
  <si>
    <t>Andrew D.</t>
  </si>
  <si>
    <t>Fate map of the eye-antennal imaginal disc of the tumourous-head mutant of Drosophila melanogaster</t>
  </si>
  <si>
    <t>2-s2.0-0023273631</t>
  </si>
  <si>
    <t>['typically detected', 'small amount', 'significantly perturb', 'shown experimentally', 'recording instrument', 'probe temperature', 'microwave power', 'microwave field', 'measurement device', 'linearly related', 'fiber optics', 'errors resulting', 'electromagnetic fields', 'electrically connected', 'electrical connection', 'conductive material', 'certain conditions', 'associated connections', 'always subject']</t>
  </si>
  <si>
    <t>Measurements are always subject to errors resulting from the interaction of the measurement device with the quantity being measured. Electromagnetic fields are typically detected with an antenna that must be electrically connected to a recording instrument, and the antenna and its electrical connection can significantly perturb the field being measured. The use of fiber optics in the detection process minimizes the perturbation of the microwave fields since most of the probe and its associated connections are dielectric. This paper presents results obtained using a commercially available fiber optic thermometer in the measurement of microwave power. A small amount of slightly conductive material is placed in contact with the fiber optic sensor. In the presence of a microwave field, currents are induced in the conductive material, which in turn produces joule heating. It is shown experimentally that under certain conditions the probe temperature is linearly related to the power level present.</t>
  </si>
  <si>
    <t>170-173</t>
  </si>
  <si>
    <t>Optical Engineering</t>
  </si>
  <si>
    <t>Feb</t>
  </si>
  <si>
    <t>60022225;60022225;60022225</t>
  </si>
  <si>
    <t>7202200460;7006081196;24372793000</t>
  </si>
  <si>
    <t>Martin, Victor M.;Sega, Ronald M.;Durham, Richard</t>
  </si>
  <si>
    <t>Colorado Springs</t>
  </si>
  <si>
    <t>United States Air Force Academy</t>
  </si>
  <si>
    <t>Martin V.M.</t>
  </si>
  <si>
    <t>FIBER OPTIC MICROWAVE POWER PROBE.</t>
  </si>
  <si>
    <t>10.1117/12.7974044</t>
  </si>
  <si>
    <t>2-s2.0-0023287294</t>
  </si>
  <si>
    <t>83-86</t>
  </si>
  <si>
    <t>0950107X</t>
  </si>
  <si>
    <t>IEE Proceedings H: Microwaves, Antennas and Propagation</t>
  </si>
  <si>
    <t>Xu, Gang</t>
  </si>
  <si>
    <t>China</t>
  </si>
  <si>
    <t>Chengdu</t>
  </si>
  <si>
    <t>University of Electronic Science and Technology of China</t>
  </si>
  <si>
    <t>Xu G.</t>
  </si>
  <si>
    <t>ENGINEERING MODEL FOR ARBITRARILY SHAPED MICROSTRIP ANTENNAS BASED ON THE COLLOCATION METHOD.</t>
  </si>
  <si>
    <t>10.1049/ip-h-2.1987.0016</t>
  </si>
  <si>
    <t>2-s2.0-0023287483</t>
  </si>
  <si>
    <t>['waves reflecting', 'typical correlation', 'two signals', 'two antennas', 'theoretical analysis', 'term fading', 'satellite communications', 'reduced cost', 'real time', 'physical attack', 'paper reports', 'one wavelength', 'new scheme', 'lower vulnerability', 'ionospheric communications', 'generally needed', 'experiments verified', 'electronics engineers', 'diversity scheme', '10 wavelengths']</t>
  </si>
  <si>
    <t>The advantages of ionospheric communications over satellite communications for the military are reduced cost and lower vulnerability to physical attack. However, the long haul ionospheric signal is not as reliable as the satellite communications signal, and experiences both long-term and short-term fading. Frequency management shows good promise in the reduction of long-term fading. Short-term fading, caused by waves reflecting from multiple layers changing in real time, can be reduced by space diversity schemes. However, a spacing of 10 wavelengths is generally needed for HF space diversity and is not practical for the highly mobile military requirements of today. This paper reports a field component E (electric) and H (magnetic) fields] diversity scheme in which two antennas are spread much less than one wavelength (Œª /16) resulting in typical correlation between the two signals of less than 0.7. A theoretical analysis was made and experiments verified the concept of this new scheme. Copyright ¬© 1987 by The Institute of Electrical and Electronics Engineers, Inc.</t>
  </si>
  <si>
    <t>270-273</t>
  </si>
  <si>
    <t>IEEE Journal on Selected Areas in Communications</t>
  </si>
  <si>
    <t>Lee, William C.Y.</t>
  </si>
  <si>
    <t>Irvine</t>
  </si>
  <si>
    <t>PACTEL Mobile Companies</t>
  </si>
  <si>
    <t>Lee W.C.Y.</t>
  </si>
  <si>
    <t>Close-Spaced Diversity Antenna for HF Transmission</t>
  </si>
  <si>
    <t>10.1109/JSAC.1987.1146522</t>
  </si>
  <si>
    <t>2-s2.0-0023287581</t>
  </si>
  <si>
    <t>['¬© 1987', 'symmetry properties', 'rights reserved', 'linear arrays', 'explicit expressions', 'electrical engineers', 'array evaluation']</t>
  </si>
  <si>
    <t>Antenna arrays | Quadratic forms</t>
  </si>
  <si>
    <t>Explicit expressions are given for certain performance indices of linear arrays, taking into account their symmetry properties. These are useful for both array evaluation and in numerical optimisation procedures. ¬© 1987, The Institution of Electrical Engineers. All rights reserved.</t>
  </si>
  <si>
    <t>148-149</t>
  </si>
  <si>
    <t>Mcnamara, D. A.</t>
  </si>
  <si>
    <t>South Africa</t>
  </si>
  <si>
    <t>Pretoria</t>
  </si>
  <si>
    <t>University of Pretoria</t>
  </si>
  <si>
    <t>Mcnamara D.</t>
  </si>
  <si>
    <t>Quadratic Forms for Performance Indices of Symmetrical And Antisymmetrical Linear Arrays</t>
  </si>
  <si>
    <t>10.1049/el:19870104</t>
  </si>
  <si>
    <t>2-s2.0-0023288372</t>
  </si>
  <si>
    <t>['symmetric reflector', 'shaped profile', 'paper describes', 'free space', 'crossed dipole', 'antenna comprises']</t>
  </si>
  <si>
    <t>The paper describes a highly shaped beam telemetry antenna developed for the ERS-1 satellite payload. The antenna comprises a symmetric reflector of shaped profile and a circularly polarised dual-mode feed horn excited by a crossed dipole. Measured radiation patterns are shown for the antenna in free space and in the presence of the satellite back structure.</t>
  </si>
  <si>
    <t>106-108</t>
  </si>
  <si>
    <t>Kumar, A.</t>
  </si>
  <si>
    <t>Edmonton</t>
  </si>
  <si>
    <t>L-3 Communications SPAR Aerospace Limited</t>
  </si>
  <si>
    <t>Kumar A.</t>
  </si>
  <si>
    <t>HIGHLY SHAPED BEAM TELEMETRY ANTENNA FOR THE ERS-1 SATELLITE.</t>
  </si>
  <si>
    <t>10.1049/ip-h-2.1987.0022</t>
  </si>
  <si>
    <t>2-s2.0-0023288528</t>
  </si>
  <si>
    <t>['vertical separation', 'two media', 'sommerfeld integrals', 'radial displacement', 'proposed technique', 'original path', 'occur near', 'numerical evaluation', 'novel approach', 'field points', 'electrically small', 'descent path', 'conditions prevail', 'axis path']</t>
  </si>
  <si>
    <t>A novel approach is described to the numerical evaluation of Sommerfeld integrals, which offers a compromise between efficiency and simplicity. In this method, the real-axis path of integration is deformed to a contour, which is the steepest-descent path for the exponential function present in the integrand. This new contour also avoids the singularities of the integrand which occur near the original path. The proposed technique is applicable if the radial displacement of the source and field points is electrically small and is most efficient if this displacement is smaller than the vertical separation between these points. Such conditions prevail, for example, in the analysis by means of the integral equation technique of a thin, vertical wire antenna, which penetrates the interface between two media (the so-called ground stake antenna).</t>
  </si>
  <si>
    <t>93-97</t>
  </si>
  <si>
    <t>60010491;60010491</t>
  </si>
  <si>
    <t>7004961387;7201550943</t>
  </si>
  <si>
    <t>Michalski, K. A.;Butler, C. M.</t>
  </si>
  <si>
    <t>University</t>
  </si>
  <si>
    <t>University of Mississippi</t>
  </si>
  <si>
    <t>Michalski K.</t>
  </si>
  <si>
    <t>EVALUATION OF SOMMERFELD INTEGRALS ARISING IN THE GROUND STAKE ANTENNA PROBLEM.</t>
  </si>
  <si>
    <t>10.1049/ip-h-2.1987.0018</t>
  </si>
  <si>
    <t>2-s2.0-0023288615</t>
  </si>
  <si>
    <t>['¬© 1987', 'support struts', 'strut effects', 'significant modification', 'rights reserved', 'relative significance', 'measured near', 'looking reconstruction', 'imaging properties', 'give rise', 'field data', 'electrical engineers', 'diffraction model', 'contribution made', 'certain configurations', '10 ghz']</t>
  </si>
  <si>
    <t>Antennas | Reflector antennas</t>
  </si>
  <si>
    <t>The phase-imaging properties of microwave holographic processing are used to provide an inward-looking reconstruction of support strut diffraction and its effect on reflector surface profile assessment. Measured near-field data are employed to illustrate the contribution made by the support strut geometry to the apparent profile error for a 2-5 m reflector antenna operating at 10 GHz. The relative significance of real profile errors and those deriving from strut effects are studied by using a diffraction model. It is concluded that certain configurations of support struts can give rise to significant modification of the effective profile error distribution. ¬© 1987, The Institution of Electrical Engineers. All rights reserved.</t>
  </si>
  <si>
    <t>146-147</t>
  </si>
  <si>
    <t>60001881;60001881;60001881</t>
  </si>
  <si>
    <t>6506990483;7403369332;7404251432</t>
  </si>
  <si>
    <t>Kerbyson, P.;Anderson, A. P.;Bennett, J. C.</t>
  </si>
  <si>
    <t>Sheffield</t>
  </si>
  <si>
    <t>The University of Sheffield</t>
  </si>
  <si>
    <t>Kerbyson P.</t>
  </si>
  <si>
    <t>Effect of Support Strut Diffraction on Reflector Surface Profile Assessment</t>
  </si>
  <si>
    <t>10.1049/el:19870102</t>
  </si>
  <si>
    <t>2-s2.0-0023288630</t>
  </si>
  <si>
    <t>['wide angles', 'wavefront employed', 'technique employed', 'spherical wavefront', 'sidelobe measurements', 'residual spectrum', 'residual defines', 'finite distance', 'field transformation', 'field range', 'different types', 'compact range', 'better accuracy', 'antenna measurements', 'analytically decomposed', 'accurate means', 'accuracy offered']</t>
  </si>
  <si>
    <t>The concept of the far-field residual source distribution is presented as a convenient and accurate means of assessing the quality of a wavefront employed in antenna measurements. The residual defines the errors in radiation pattern measurements in terms of the plane wavefront quality of the technique employed and can be used to examine the far-field range, the compact range and the near-field/far-field transformation. It is shown that the spherical wavefront of the far-field range can be analytically decomposed into a residual spectrum which can be used to explain the classical errors found in radiation patterns measured at a finite distance. The significance of different types of illumination is examined for the compact range. It is demonstrated that heavily tapered distributions can provide high accuracy at wide angles, whereas more uniform illumination results in better accuracy for near-in sidelobe measurements. The residual is used to quantify the accuracy offered by the near-field/far-field transformation and demonstrates this to be the most accurate antenna measurement technique available.</t>
  </si>
  <si>
    <t>30-34</t>
  </si>
  <si>
    <t>60001881;60001881</t>
  </si>
  <si>
    <t>7404251432;6603759531</t>
  </si>
  <si>
    <t>Bennett, J. C.;Farhat, K. S.</t>
  </si>
  <si>
    <t>Bennett J.</t>
  </si>
  <si>
    <t>WAVEFRONT QUALITY IN ANTENNA PATTERN MEASUREMENT: THE USE OF RESIDUALS.</t>
  </si>
  <si>
    <t>10.1049/ip-h-2.1987.0007</t>
  </si>
  <si>
    <t>2-s2.0-0023288912</t>
  </si>
  <si>
    <t>['truncation rules', 'thin dipoles', 'theoretical discussion', 'solved numerically', 'scattering problem', 'particular cases', 'outlined showing', 'numerical results', 'mode truncations', 'different floquet', 'dichroic surfaces', 'crossed dipoles', 'convergence problem', 'also presented']</t>
  </si>
  <si>
    <t>The convergence problem that arises when the scattering problem of dichroic surfaces is solved numerically by means of Galerkin's method and Floquet's theorem is investigated. A theoretical discussion is outlined showing that a truncation of the infinite Floquet spectrum is equivalent to modifying the used basis functions. Examples of modified basis functions due to different Floquet-mode truncations and the effect on the numerical results are demonstrated for the particular cases of arrays of thin dipoles and crossed dipoles. Some truncation rules are also presented, and the theories are verified by comparing predicted values with experimental results obtained by waveguide simulator measurements.</t>
  </si>
  <si>
    <t>87-92</t>
  </si>
  <si>
    <t>Johansson, F. S.</t>
  </si>
  <si>
    <t>Sweden</t>
  </si>
  <si>
    <t>Gothenburg</t>
  </si>
  <si>
    <t>Chalmers University of Technology</t>
  </si>
  <si>
    <t>Johansson F.</t>
  </si>
  <si>
    <t>CONVERGENCE PHENOMENON IN THE SOLUTION OF DICHROIC SCATTERING PROBLEMS BY GALERKIN'S METHOD.</t>
  </si>
  <si>
    <t>10.1049/ip-h-2.1987.0017</t>
  </si>
  <si>
    <t>2-s2.0-0023289085</t>
  </si>
  <si>
    <t>['untuned monopole', 'noise performance', 'noise output', 'experimental results', 'active antennas']</t>
  </si>
  <si>
    <t>Limitations in the noise performance of untuned active monopoles are discussed with respect to their low radiation resistance. The noise performance of tuned active monopoles is analysed and shown to be superior to the untuned monopole. The method of analysis is based on lumped equivalent circuits for both antenna and amplifier, and a figure of merit for comparing the noise performance of passive and active antennas is proposed. Experimental results for the noise output of lambda /20 and lambda /10 tuned active monopoles are presented.</t>
  </si>
  <si>
    <t>45-49</t>
  </si>
  <si>
    <t>60031004;60031004</t>
  </si>
  <si>
    <t>54934557900;24579838100</t>
  </si>
  <si>
    <t>Tang, T.;Gunn, M. W.</t>
  </si>
  <si>
    <t>Brisbane</t>
  </si>
  <si>
    <t>The University of Queensland</t>
  </si>
  <si>
    <t>Tang T.</t>
  </si>
  <si>
    <t>NOISE CONSIDERATIONS IN ACTIVE MONOPOLES.</t>
  </si>
  <si>
    <t>10.1049/ip-h-2.1987.0009</t>
  </si>
  <si>
    <t>2-s2.0-0023289122</t>
  </si>
  <si>
    <t>53-59</t>
  </si>
  <si>
    <t>IEE Proceedings F: Communications Radar and Signal Processing</t>
  </si>
  <si>
    <t>Nickel, U.</t>
  </si>
  <si>
    <t>Nickel U.</t>
  </si>
  <si>
    <t>Angular superresolution with phased array radar: A review of algorithms and operational constraints</t>
  </si>
  <si>
    <t>10.1049/ip-f-1.1987.0010</t>
  </si>
  <si>
    <t>2-s2.0-0023289176</t>
  </si>
  <si>
    <t>['resolution method', 'paper discusses', 'optimum weight', 'main beam', 'likelihood super', 'likelihood estimation', 'derivative constraints', 'adaptive nulling', 'adaptive array']</t>
  </si>
  <si>
    <t>The paper discusses the angle estimation problem for an adaptive array for the case where the interference covariance matrix alone is measured (signal absent adaptation). It is shown that derivative constraints for the main beam do not solve the problem. The optimum weight for angle estimation derived from maximum-likelihood estimation is given. This weight is shown to be related to a maximum-likelihood super-resolution method. This method is proposed as an alternative to adaptive nulling.</t>
  </si>
  <si>
    <t>77-82</t>
  </si>
  <si>
    <t>ANGLE ESTIMATION WITH ADAPTIVE ARRAYS AND ITS RELATION TO SUPER-RESOLUTION.</t>
  </si>
  <si>
    <t>10.1049/ip-h-2.1987.0015</t>
  </si>
  <si>
    <t>2-s2.0-0023289239</t>
  </si>
  <si>
    <t>['therefore important', 'statistical behavior', 'rural environments', 'radio channels', 'propagation environments', 'mobile channels', 'measured channels', 'fading statistics', 'envelope fading', 'electronics engineers', 'distribution function', 'digital information', 'deciduous trees', 'conditions similar', 'channel characteristics', 'channel bandwidth', 'also given']</t>
  </si>
  <si>
    <t>The probability of error for the transmission of digital information on fading radio channels is influenced by the statistical behavior of fading. This is characterized by the cumulative distribution function (CDF) for the received signal envelope, and the correlation of random variations across the channel bandwidth. It is therefore important for system design purposes to determine the distribution function for envelope fading, and the frequency correlation characteristics of radio channels in propagation environments where the use of digital radio systems is planned. This paper details experiments that were conducted under conditions similar to those which would be typical on 800/900 MHz band satellite-mobile channels in rural environments. The impulse response functions of measured channels were estimated by operating a pseudonoise channel probe from a 65 m tower through deciduous trees to a receiver at ‚Äòclose range. Measurement results include: Channel impulse response estimates, envelope fading statistics, and double-sided frequency correlation plots. Comparisons are made between channel characteristics during the summer and during the autumn after the leaves have fallen from the trees. Estimates of digital channel capacity limitations are also given. Aside from the fading statistics, these channel characteristics have not previously been reported. Copyright ¬© 1987 by The Institute of Electrical and Electronics Engineers, Inc.</t>
  </si>
  <si>
    <t>116-127</t>
  </si>
  <si>
    <t>Bultitude, Robert J.C.</t>
  </si>
  <si>
    <t>Ottawa</t>
  </si>
  <si>
    <t>Communications Research Centre</t>
  </si>
  <si>
    <t>Bultitude R.J.C.</t>
  </si>
  <si>
    <t>Measured Characteristics of 800/900 MHz Fading Radio Channels with High Angle Propagation Through Moderately Dense Foliage</t>
  </si>
  <si>
    <t>10.1109/JSAC.1987.1146517</t>
  </si>
  <si>
    <t>2-s2.0-0023289267</t>
  </si>
  <si>
    <t>['radiating elements', 'perfect conductor', 'partial reflector', 'made larger', 'infinite structures', 'gain enhancement', 'finite structures', 'different parameters', 'antenna gain']</t>
  </si>
  <si>
    <t>The problem of gain enhancement for radiating elements between two finite plane reflectors, one of which is a partial reflector and the other a perfect conductor, is investigated. The problem is studied numerically using the method of moments and the effect of different parameters is investigated. It is shown that, the antenna gain can be increased with finite size reflectors. For finite structures, the gain enhancement can be made larger than that of infinite structures. However, for optimum gain enhancement, the structure parameters must be selected with care.</t>
  </si>
  <si>
    <t>60-64</t>
  </si>
  <si>
    <t>7004922524;8092251400</t>
  </si>
  <si>
    <t>Kishk, A. A.;Shafai, L.</t>
  </si>
  <si>
    <t>Kishk A.</t>
  </si>
  <si>
    <t>GAIN ENHANCEMENT OF ANTENNAS OVER FINITE GROUND PLANE COVERED BY A DIELECTRIC SHEET.</t>
  </si>
  <si>
    <t>10.1049/ip-h-2.1987.0012</t>
  </si>
  <si>
    <t>2-s2.0-0023289314</t>
  </si>
  <si>
    <t>['phase shifts', 'phase shifters', 'output ports', 'input ports', 'design procedures', '128 multiplied']</t>
  </si>
  <si>
    <t>This paper gives procedures for designing Butler matrices up to 128 multiplied by 128 using 90 degree or 180 degree hybrids. A formula is given for calculating the number of fixed phase shifters in each row for matrices using 180 degree hybrids and the positions and magnitudes of these phase shifters are shown. The phase shifts obtained across the output ports are specified, together with the input ports that produce these phase shifts. Design procedures for larger Butler matrices are indicated.</t>
  </si>
  <si>
    <t>50-54</t>
  </si>
  <si>
    <t>Macnamara, T.</t>
  </si>
  <si>
    <t>Leatherhead</t>
  </si>
  <si>
    <t>ERA</t>
  </si>
  <si>
    <t>Macnamara T.</t>
  </si>
  <si>
    <t>SIMPLIFIED DESIGN PROCEDURES FOR BUTLER MATRICES INCORPORATING 90 degree HYBRIDS OR 180 degree HYBRIDS.</t>
  </si>
  <si>
    <t>10.1049/ip-h-2.1987.0010</t>
  </si>
  <si>
    <t>2-s2.0-0023289385</t>
  </si>
  <si>
    <t>['time rate', 'peak current', 'nemp scale', 'nemp protection', 'nemp data', 'modern aircraft', 'model data', 'minimum amount', 'lightning events', 'lightning data', 'ft altitude', 'extensive set', 'exposed areas', 'electronics engineers', 'combined lightning', 'central florida', 'also designed', 'aircraft must', '7 ka', '40 000', '38 ka', '18 000']</t>
  </si>
  <si>
    <t>Aircraft lightning | aircraft nuclear electromagnetic threat | experimental data</t>
  </si>
  <si>
    <t>Most modern aircraft are designed to withstand a direct lightning strike. To accomplish this protection, the aircraft must have an external conductive path with a given skin thickness and a minimum amount of exposed areas and antennas that could allow energy coupling to the inside. Additionally, some modern military aircraft are also designed to operate in a nuclear electromagnetic pulse (NEMP) environment. This paper provides experimental lightning data and NEMP scale-model data to characterize both phenomena. The lightning data were obtained by measuring the surface electromagnetic fields on a CV-580 research aircraft during an actual lightning strike. The aircraft was struck by lightning 48 times in central Florida between 1500- and 18 000-ft altitude during the summers of 1984 and 1985. One of these lightning events, for which an extensive set of data was available, has been analyzed. For this event, the maximum measured values were as follows: Time rate of change of the surface magnetic flux density, 3750 T/s; total normal current density, 20 A/m2; peak current, 4.7 kA; and rate of rise of the current, 38 kA/Œºs. The NEMP data were obtained by measuring the surface electromagnetic fields during a simulated NEMP test in a 1:74 scale model of the same aircraft. During scale-model NEMP simulation, the maximum values measured were as follows: Time rate of change of the surface magnetic flux density, 40 000 T/s; and total normal current density, 90 A/m2. The analyses of these results should provide new insights for combined lightning and NEMP protection. Copyright ¬ö 1987 by The Institute of Electrical and Electronics Engineers, Inc.</t>
  </si>
  <si>
    <t>49-63</t>
  </si>
  <si>
    <t>EMC-29</t>
  </si>
  <si>
    <t>1558187X</t>
  </si>
  <si>
    <t>IEEE Transactions on Electromagnetic Compatibility</t>
  </si>
  <si>
    <t>Rustan, Pedro L.</t>
  </si>
  <si>
    <t>Dayton</t>
  </si>
  <si>
    <t>Wright-Patterson AFB</t>
  </si>
  <si>
    <t>Rustan P.L.</t>
  </si>
  <si>
    <t>Description of an aircraft lightning and simulated nuclear electromagnetic pulse (nemp) threat based on experimental data</t>
  </si>
  <si>
    <t>10.1109/TEMC.1987.304332</t>
  </si>
  <si>
    <t>2-s2.0-0023289644</t>
  </si>
  <si>
    <t>['¬© 1987', 'variable pulse', 'variable length', 'space plasmas', 'rights reserved', 'process signals', 'power levels', 'particle beams', 'operational flexibility', 'mhz range', 'maximum density', 'ionospheric plasma', 'ionospheric irregularities', 'inclination orbit', 'high level', 'hf receivers', 'hf equipment', 'heights near', 'frequency part', 'collaborative u', 'based transmitter', 'active experiments', '5 kw']</t>
  </si>
  <si>
    <t>WISP/HF is the high-frequency part of the collaborative U.S.-Canada investigation, Waves In Space Plasmas. Instrumentation is being developed that will be flown on NASA's Space Shuttle starting with the Space Plasma Lab missions in the 1990s. Using a high-inclination orbit at heights near the maximum density of the ionospheric F region, active experiments will be carried out on antennas, electromagnetic and electrostatic wave propagation, problems in linear and nonlinear plasma physics, large-scale ionospheric structures, ionospheric irregularities, and the interaction of charged-particle beams with the ionospheric plasma. The WISP/HF equipment will generate, receive, and process signals in the 0.1- to 30-MHz range. The Orbiter-based transmitter will have variable pulse-power levels up to 0.5 kW and will use a dipole of variable length up to 300 m tip-to-tip. WISP/HF receivers will be located both on the Orbiter and on a subsatellite. A high level of operational flexibility in the WISP/HF instrument design has been achieved through programmable digital control. The design also permits human control of experiments, both from the Orbiter and from the ground. ¬© 1987, IEEE. All rights reserved.</t>
  </si>
  <si>
    <t>218-235</t>
  </si>
  <si>
    <t>60018714;60009839;60009839;;</t>
  </si>
  <si>
    <t>55663947600;6602822452;6507256805;57203775284;7202240965</t>
  </si>
  <si>
    <t>James, H. Gordon;Darlington, T. R.;Gruno, R. S.;Hersom, C. H.;Gore, Joseph V.</t>
  </si>
  <si>
    <t>Ottawa;Ottawa ON,</t>
  </si>
  <si>
    <t>Communications Research Centre;National Research Council Canada</t>
  </si>
  <si>
    <t>60018714;60009839</t>
  </si>
  <si>
    <t>James H.G.</t>
  </si>
  <si>
    <t>Exploring space plasmas‚Äîthe WISP/HF experiment</t>
  </si>
  <si>
    <t>10.1109/PROC.1987.13722</t>
  </si>
  <si>
    <t>2-s2.0-0023289649</t>
  </si>
  <si>
    <t>['vehicular communications', 'port antenna', 'omnidirectional coverage', 'n greater', 'modal expansion', 'impedance loci', 'higher order', 'frequency dependence', 'example indicates', 'dominant mode', 'diversity applications', 'design example', 'circular polarization', 'azimuthal dependence', 'antenna ),']</t>
  </si>
  <si>
    <t>For circular microstrip antennas, single-mode design techniques work well for the dominant mode (n equals 1, where n is the azimuthal dependence of the fields in the antenna), but this is not the case for zero-order (n equals 0) and higher order (n greater than 1) modes, where a modal expansion is necessary. The design of higher order dominant mode circular microstrip antennas is addressed, with an example and measurements for the n equals 3 case. Measurements for the n equals 3 modes show reasonable agreement with theory in the forms of the impedance loci, but the frequency dependence is in error by the order of the bandwidth of the antenna. A design example is given for a roof-mounted circular patch for vehicular communications. The example indicates that an n equals 3 dominant mode patch can be used as a two-port antenna for diversity applications or with a 90 degree phase shifter and adder as a single-port antenna for omnidirectional coverage with (essentially) circular polarization.</t>
  </si>
  <si>
    <t>Vaughan, Rodney G.</t>
  </si>
  <si>
    <t>Physics &amp; Engineering Lab</t>
  </si>
  <si>
    <t>Vaughan R.</t>
  </si>
  <si>
    <t>TWO-PORT HIGHER MODE CIRCULAR MICROSTRIP ANTENNAS.</t>
  </si>
  <si>
    <t>2-s2.0-0023290324</t>
  </si>
  <si>
    <t>['upper semi', 'upper medium', 'substrate thickness', 'single lobe', 'remote sensing', 'radiation pattern', 'power radiated', 'pattern along', 'many lobes', 'lower semi', 'lower medium', 'line source', 'infinite medium', 'bottom surface', 'antenna arrays']</t>
  </si>
  <si>
    <t>The radiation pattern of a line source is calculated for the case in which the source is lying on the top or the bottom surface of a lossless dielectric substrate that is mounted on the top of semi-infinite dielectric medium. It is found that in both cases the pattern along the interfaces has a null; that the pattern in the upper semi-infinite medium has a single lobe; and that the pattern in the lower semi-infinite medium has many lobes, the number of which varies with the substrate thickness. In both cases, the power radiated into the lower medium is more than that radiated into the upper medium. Applications of this calculation to remote sensing, microstrip antenna technology, and antenna arrays are discussed.</t>
  </si>
  <si>
    <t>60031581;60031581</t>
  </si>
  <si>
    <t>7005850584;7005392498</t>
  </si>
  <si>
    <t>Engheta, Nader;Elachi, Charles</t>
  </si>
  <si>
    <t>California Institute of Technology</t>
  </si>
  <si>
    <t>Engheta N.</t>
  </si>
  <si>
    <t>RADIATION CHARACTERISTICS OF A SOURCE IN A THIN SUBSTRATE MOUNTED OVER A DIELECTRIC MEDIUM.</t>
  </si>
  <si>
    <t>2-s2.0-0023290325</t>
  </si>
  <si>
    <t>['subreflector surface', 'relative angle', 'reflector geometries', 'radiation characteristics', 'polarization depends', 'peak cross', 'pattern characteristics', 'offset angle', 'geometrical parameters', 'field patterns', 'feed illumination', 'feed axis', 'beamwidth ratio', 'antenna aperture', '19 refs']</t>
  </si>
  <si>
    <t>The radiation characteristics of dual parabolic cylindrical antennas are studied, and the dependence of the principal plane beamwidths and the peak cross-polarization on their geometrical parameters is determined. The antenna aperture is rectangular in shape and generates an elliptical beam pattern, with a beamwidth ratio that can be controlled by the main and subreflector focal lengths. The far-field patterns are determined by an extended aperture integration method that includes the contributions of the reflected and the main diffracted rays. It is found that the cross-polarization depends on the offset angle between the feed axis and the direction of the normal to the subreflector surface and can be minimized by optimizing the relative angle between the reflectors. Other pattern characteristics are controlled by the antenna geometrical parameters and the feed illumination. A procedure for the design of these antennas and the expressions for determining the reflector geometries are provided. 19 refs.</t>
  </si>
  <si>
    <t>60009697;60009697</t>
  </si>
  <si>
    <t>7004817270;8092251400</t>
  </si>
  <si>
    <t>Sanad, Mohamed S.A.;Shafai, Lotfollah</t>
  </si>
  <si>
    <t>Winnipeg</t>
  </si>
  <si>
    <t>University of Manitoba</t>
  </si>
  <si>
    <t>Sanad M.</t>
  </si>
  <si>
    <t>PERFORMANCE AND DESIGN PROCEDURE OF DUAL PARABOLIC CYLINDRICAL ANTENNAS.</t>
  </si>
  <si>
    <t>2-s2.0-0023290418</t>
  </si>
  <si>
    <t>['transmit short', 'terminal voltages', 'sem ).', 'pulse voltage', 'pulse techniques', 'pole singularities', 'optimum solutions', 'numerical search', 'located ),', 'energy concentrations', 'dominant singularities', 'domain waveform', 'dipole arrays', 'calculated plots', 'array terminals', 'approximated k']</t>
  </si>
  <si>
    <t>An investigation of K-pulse techniques to transmit short-time duration pulses from dipole arrays is presented. The array is analyzed from a radiation standpoint using the singularity expansion method (SEM). The analysis also makes use of the method of moments to express the array's radiation in terms of the terminal voltages and pole singularities. Following a numerical search in the complex frequency plane (from which the dominant singularities of the array are located), the time-domain waveform of the approximated K-pulse voltage is constructed. Calculated plots of the far-zone radiated electric field resulting from applying these voltages at the array terminals are presented, and their energy concentrations are compared to those of the optimum solutions.</t>
  </si>
  <si>
    <t>60014313;60014313</t>
  </si>
  <si>
    <t>8507385300;7006791463</t>
  </si>
  <si>
    <t>Bayard, Jean Pierre R.;Schaubert, Daniel H.</t>
  </si>
  <si>
    <t>Amherst MA</t>
  </si>
  <si>
    <t>University of Massachusetts Amherst</t>
  </si>
  <si>
    <t>Bayard J.</t>
  </si>
  <si>
    <t>K-PULSE TECHNIQUES FOR SHORT-PULSE RADIATION FROM DIPOLE ARRAYS.</t>
  </si>
  <si>
    <t>2-s2.0-0023290487</t>
  </si>
  <si>
    <t>['two methods', 'surface characteristics', 'small area', 'series expression', 'reflector surfaces', 'reflector surface', 'raw data', 'much smaller', 'locally described', 'local methods', 'form expression', 'entire surface', 'discrete set', 'diffraction analysis', 'coefficients used', 'area segment']</t>
  </si>
  <si>
    <t>The diffraction analysis of reflector surfaces which are described only at a discrete set of locations usually leads to the requirement of an interpolation to determine the surface characteristics over a continuum of locations. Two methods of interpolation, the global and the local methods, are presented. The global interpolation representation is a closed-form or series expression valid over the entire surface. The coefficients of a series expression are found by an integration of all of the raw data. Since the number of coefficients used to describe the surface is much smaller than the number of raw data points, the integration effectively provides a smoothing of the raw data. The local interpolation provides a closed-form expression for only a small area of the reflector surface. The subreflector is divided into sectors each of which has constant discretized data. Each area segment is then locally described by a two-dimensional quadratic surface. The second derivative data give the desired smoothed values.</t>
  </si>
  <si>
    <t>60031581;60031581;60031581;60031581</t>
  </si>
  <si>
    <t>7003293983;7003977774;7102110120;35613310900</t>
  </si>
  <si>
    <t>Galindo-Israel, Victor;Imbriale, William A.;Rahmat-Samii, Yahya;Veruttipong, Thavath</t>
  </si>
  <si>
    <t>Galindo-Israel V.</t>
  </si>
  <si>
    <t>INTERPOLATION METHODS FOR SHAPED REFLECTOR ANALYSIS.</t>
  </si>
  <si>
    <t>2-s2.0-0023290545</t>
  </si>
  <si>
    <t>['used rather', 'uniformly illuminates', 'synthesis using', 'synthesis based', 'simplex formulation', 'sampling functions', 'radiation pattern', 'method begins', 'lawson synthesis', 'iterative methods', 'fixed positions', 'desired region', 'composing functions']</t>
  </si>
  <si>
    <t>Synthesis based on sampling functions in fixed positions was used to optimize the radiation pattern of antenna phased arrays for direct broadcast satellite applications. The synthesis procedure described obtains the antenna excitations required to create a shaped sector beam which uniformly illuminates a desired region and minimizes the maximum sidelobe level. The method begins with the composing functions from Woodward-Lawson synthesis. By fixing the position of these functions, a simplex formulation can be used rather than iterative methods. The simplex formulation is more computer-efficient because the algorithm is guaranteed to converge. Examples of synthesis using this procedure are given.</t>
  </si>
  <si>
    <t>60006297;60006297</t>
  </si>
  <si>
    <t>7103311439;7004484815</t>
  </si>
  <si>
    <t>Richie, James E.;Kritikos, Haralambos N.</t>
  </si>
  <si>
    <t>Philadelphia</t>
  </si>
  <si>
    <t>University of Pennsylvania</t>
  </si>
  <si>
    <t>Richie J.</t>
  </si>
  <si>
    <t>LINEAR PROGRAM SYNTHESIS FOR DIRECT BROADCAST SATELLITE PHASED ARRAYS.</t>
  </si>
  <si>
    <t>2-s2.0-0023290890</t>
  </si>
  <si>
    <t>['july 1986', 'field information', 'far field', 'electrical size', 'coupling loss', 'antenna along']</t>
  </si>
  <si>
    <t>Computer programs presently exist to calculate the coupling loss between two antennas provided that the amplitude and phase of the far field are available. It is shown that when this far-field information is not available it is possible to specify approximate far fields from a knowledge of the sidelobe of each antenna along the axis of separation and the electrical size of each antenna. The ENVLP computer program developed by M. H. Francis and A. D. Yaghjian (ibid. vol. AP-34, pp. 952-955, July 1986) was modified for this purpose. Measurements of near-field coupling loss between two moderately sized microwave antennas were made to determine the effectiveness of using approximate sidelobe level data instead of the detailed far fields. Comparison of the measured and computed coupling indicates that the use of approximate far fields gives an estimate of the coupling loss with an uncertainty of about plus or minus 5 dB.</t>
  </si>
  <si>
    <t>7201841610;7004384154</t>
  </si>
  <si>
    <t>Francis, Michael H.;Stubenrauch, Carl F.</t>
  </si>
  <si>
    <t>Francis M.</t>
  </si>
  <si>
    <t>COMPARISON OF MEASURED AND CALCULATED ANTENNA SIDELOBE COUPLING LOSS IN THE NEAR FIELD USING APPROXIMATE FAR-FIELD DATA.</t>
  </si>
  <si>
    <t>2-s2.0-0023290891</t>
  </si>
  <si>
    <t>['radome analysis', 'physical optics', 'order 1', 'detailed analysis']</t>
  </si>
  <si>
    <t>A detailed analysis is presented of assumptions and limitations of physical optics and stationary phase techniques for radome analysis. A two-dimensional ogival structure with an electric or magnetic line source inside is investigated. A method-of-moments analysis using J. H. Richmond's (1965) polarization current technique is performed to obtain reference results. Physical optics, uniform geometrical theory of diffraction, and stationary phase techniques of order 1 and 2 are analyzed.</t>
  </si>
  <si>
    <t>60020975;60020975</t>
  </si>
  <si>
    <t>56219429900;7005395103</t>
  </si>
  <si>
    <t>Rengarajan, Sembiam R.;Gillespie, Edmond S.</t>
  </si>
  <si>
    <t>Northridge</t>
  </si>
  <si>
    <t>California State University, Northridge</t>
  </si>
  <si>
    <t>Rengarajan S.R.</t>
  </si>
  <si>
    <t>ASYMPTOTIC APPROXIMATIONS IN RADOME ANALYSIS.</t>
  </si>
  <si>
    <t>2-s2.0-0023290941</t>
  </si>
  <si>
    <t>['sidelobe patterns', 'receive modules', 'optimum minimum', 'minus 27', 'microwave network', 'loss design', 'identical transmit', 'efficiency low', '5 db']</t>
  </si>
  <si>
    <t>A microwave network is described for use with identical transmit/receive modules such that amplitude-tapered aperture distributions are obtained with no loss. High-efficiency low-sidelobe patterns are calculated for the line source case with sidelobes as low as minus 27. 5 dB. An optimum minimum-loss design is described for arbitrarily low sidelobes. The effects of errors on sidelobes are shown to be the same as in any array. The extension of the technique to the planar array case is presented.</t>
  </si>
  <si>
    <t>Dufort, Edward C.</t>
  </si>
  <si>
    <t>Dufort E.</t>
  </si>
  <si>
    <t>LOW SIDELOBE ELECTRONICALLY SCANNED ANTENNA USING IDENTICAL TRANSMIT/RECEIVE MODULES.</t>
  </si>
  <si>
    <t>2-s2.0-0023290963</t>
  </si>
  <si>
    <t>['sample array', 'random amplitude', 'power levels', 'phase errors', 'optimized configuration', 'gain drop', 'five groups', 'array performance', 'aperture design', 'also studied', '36 columns', '31 36', '14 rows']</t>
  </si>
  <si>
    <t>An aperture design is described for two-dimensional (2-D) solid-state phased arrays that transmits low sidelobes. A five-step amplitude distribution for the aperture was optimized by a gradient search method to achieve -31 36-dB peak sidelobes. The optimized configuration was applied to a sample array of 36 columns by 14 rows, with 400 modules divided into five groups of power levels. The array performance with the actual module lattice structure taken into account is discussed. Gain drop and sidelobe degradations due to random amplitude and phase errors are also studied.</t>
  </si>
  <si>
    <t>Lee, Jar Jueh</t>
  </si>
  <si>
    <t>Fullerton</t>
  </si>
  <si>
    <t>Arran Antenna Lab</t>
  </si>
  <si>
    <t>Lee J.</t>
  </si>
  <si>
    <t>SIDELOBES CONTROL OF SOLID-STATE ARRAY ANTENNAS.</t>
  </si>
  <si>
    <t>2-s2.0-0023291051</t>
  </si>
  <si>
    <t>['variance beamformers', 'theory predicts', 'state conditions', 'simulations illustrating', 'interference scenarios', 'eigenstructure approach', 'adaptive dimension']</t>
  </si>
  <si>
    <t>A procedure is presented for designing partially adaptive arrays having nearly fully adaptive performance under steady-state conditions. Theory predicts that the required adaptive dimension is less than or equal to the rank of the spatially/temporally correlated portion of the interference correlation matrix for arbitrary linearly constrained minimum-variance beamformers. Knowledge of the eigenstructure of the interference correlation matrix is required to implement a beamformer with this adaptive dimension. To avoid adaptive estimation of the eigenstructure, the eigenstructure of an averaged correlation matrix (which spans the interference scenarios of interest) is utilized, and the adaptive dimension is given by the rank of the averaged correlation matrix. Construction of a transformation for reducing adaptive dimension is addressed. Simulations illustrating the utility of the eigenstructure approach are provided.</t>
  </si>
  <si>
    <t>Van Veen, Barry D.</t>
  </si>
  <si>
    <t>Madison</t>
  </si>
  <si>
    <t>University of Wisconsin-Madison</t>
  </si>
  <si>
    <t>Van Veen B.</t>
  </si>
  <si>
    <t>EIGENSTRUCTURE BASED PARTIALLY ADAPTIVE ARRAY DESIGN.</t>
  </si>
  <si>
    <t>2-s2.0-0023291209</t>
  </si>
  <si>
    <t>['wavelength monopoles', 'wave ratio', 'thus effectively', 'sufficiently large', 'resistive loading', 'reduced space', 'model measurements', 'measured insertion', 'least 48', 'insertion loss', 'input impedance', 'ground plane', 'gain measurements', 'existing measured', '5 scale', '25 mhz']</t>
  </si>
  <si>
    <t>The possibility of making acceptably accurate monopole input impedance and gain measurements on a reduced-size ground plane is discussed. Existing measured and calculated data show that the diameter of a highly conducting ground plane should be at least 4 lambda (where lambda is the wavelength) for measuring the input impedance of quarter-wavelength monopoles. At 25 MHz, the lowest frequency considered here, such a ground plane would require a space at least 48 m in diameter. The model impedance measurements and calculations presented imply that a reduced space of only 10 m by 11 m is if 16 resistively loaded wire radials are connected to a 3. 66 by 4. 88-m rectangular aluminum ground plane, thus effectively 'extending' the ground plane by the resistive loading. Measured insertion-loss data acquired using a 1:5 scale-model ground plane with resistively loaded radials indicate that the plane is sufficiently large for gain measurements as well. Measured and calculated monopole standing-wave ratio and insertion loss on a full-scale ground plane verify the results of the model measurements.</t>
  </si>
  <si>
    <t>Fitzgerrell, Richard G.</t>
  </si>
  <si>
    <t>Fitzgerrell R.</t>
  </si>
  <si>
    <t>MONOPOLE IMPEDANCE AND GAIN MEASUREMENTS ON FINITE GROUND PLANES.</t>
  </si>
  <si>
    <t>2-s2.0-0023291255</t>
  </si>
  <si>
    <t>['volume arrays', 'unique determination', 'synthesis problem', 'square approximation', 'source currents', 'proposed near', 'point dipoles', 'planar contour', 'phase patterns', 'pattern information', 'nyquist sampling', 'nf patterns', 'llsa ).', 'linear least', 'finite size', 'field data', 'directive elements', 'arrays located', 'array configurations', 'also stated']</t>
  </si>
  <si>
    <t>A technique of synthesis of near-field (NF) amplitude and phase patterns of linear, planar, or volume arrays of finite size, or of arrays located on a planar contour of finite size, is presented. The array could consist of point dipoles or directive elements. The criterion for prescribing the NF (amplitude and phase) pattern information in the synthesis problem for unique determination of array excitation currents is also stated. The proposed near-field synthesis technique is based on the potential integral solution of source currents, Nyquist sampling of the near-field data, and the technique of linear least-square approximation (LLSA). The NF pattern synthesis technique is illustrated to synthesize a variety of NF patterns with a number of array configurations.</t>
  </si>
  <si>
    <t>212-218</t>
  </si>
  <si>
    <t>AP-35</t>
  </si>
  <si>
    <t>60025757;60025757</t>
  </si>
  <si>
    <t>7006389495;57196539182</t>
  </si>
  <si>
    <t>Narasimhan, M. S.;Philips, Bobby</t>
  </si>
  <si>
    <t>Chennai</t>
  </si>
  <si>
    <t>Indian Institute of Technology Madras</t>
  </si>
  <si>
    <t>Narasimhan M.S.</t>
  </si>
  <si>
    <t>SYNTHESIS OF NEAR-FIELD PATTERNS OF ARRAYS.</t>
  </si>
  <si>
    <t>10.1109/tap.1987.1144071</t>
  </si>
  <si>
    <t>2-s2.0-0023291882</t>
  </si>
  <si>
    <t>['two centimeters', 'tissue properties', 'spatial resolution', 'relative transparency', 'proper design', 'pattern measurements', 'obtain information', 'microwave thermography', 'microwave temperature', 'microwave radiation', 'measuring antenna', 'made independently', 'disease activity', 'directly obtain', 'complete safety', 'clinical assessments', 'centimetric wavelengths', 'body tissues']</t>
  </si>
  <si>
    <t>Microwave thermography is the technique of observing the natural thermal radiation from the tissues of the body at centimetric wavelengths to obtain information about internal body temperature patterns. The ability of the technique to directly obtain a measurement of body internal temperatures is the result of the relative transparency of body tissues to microwave radiation at the lower microwave frequencies. Tissue properties are such that, for many medical applications, the optimum measurement frequency is near 3 GHz at which frequency temperature information can be obtained from clinically useful depths of several centimeters within the body while achieving a spatial resolution of one to two centimeters. With proper design of equipment, microwave temperature-pattern measurements can be made independently of the type of tissue being viewed by the measuring antenna. Equipment has been developed which is suitable for routine clinical use. This equipment is being used for clinical assessments of the technique and has demonstrated that microwave thermography can simply, and with complete safety, provide medically valuable information about disease activity.</t>
  </si>
  <si>
    <t>193-200</t>
  </si>
  <si>
    <t>Land, D. V.</t>
  </si>
  <si>
    <t>Glasgow</t>
  </si>
  <si>
    <t>University of Glasgow</t>
  </si>
  <si>
    <t>Land D.</t>
  </si>
  <si>
    <t>CLINICAL MICROWAVE THERMOGRAPHY SYSTEM.</t>
  </si>
  <si>
    <t>10.1049/ip-a-1.1987.0027</t>
  </si>
  <si>
    <t>2-s2.0-0023291920</t>
  </si>
  <si>
    <t>['transformed contributions', 'traditional methods', 'subsequently found', 'spherical near', 'snf transformation', 'pattern prediction', 'near field', 'method possesses', 'geometrical theory', 'far field', 'facilitates analysis', 'collimated beams', 'antenna using']</t>
  </si>
  <si>
    <t>The spherical near-field geometrical theory of diffraction (SNFGTD) method is an extended aperture method by which the near field from an antenna is computed on a spherical surface enclosing the antenna using the geometrical theory of diffraction. The far field is subsequently found by means of a spherical near-field to far-field transformation based on a spherical wave expansion of the near field. Due to the properties of the SNF transformation, the total far field may be obtained as a sum of transformed contributions, which facilitates analysis of collimated beams. It is demonstrated that the method possesses some advantages over traditional methods of pattern prediction, but also that the accuracy of the method is determined by the quasioptical methods used to calculate the near field.</t>
  </si>
  <si>
    <t>169-175</t>
  </si>
  <si>
    <t>60011373;60011373</t>
  </si>
  <si>
    <t>7102334844;6701433161</t>
  </si>
  <si>
    <t>Bach, Henning;Viskum, Hans Henrik</t>
  </si>
  <si>
    <t>Denmark</t>
  </si>
  <si>
    <t>Lyngby</t>
  </si>
  <si>
    <t>Danmarks Tekniske Universitet</t>
  </si>
  <si>
    <t>Bach H.</t>
  </si>
  <si>
    <t>SNFGTD METHOD AND ITS ACCURACY.</t>
  </si>
  <si>
    <t>10.1109/tap.1987.1144066</t>
  </si>
  <si>
    <t>2-s2.0-0023291973</t>
  </si>
  <si>
    <t>['¬© 1987', 'rights reserved', 'radiation pattern', 'numerical results', 'moment method', 'electrical engineers', 'aperture field']</t>
  </si>
  <si>
    <t>Antennas | Planar antennas | Striplines</t>
  </si>
  <si>
    <t>Numerical results of the aperture field and the radiation pattern of a stripline excited rectangular aperture antenna are obtained by the moment method. ¬© 1987, The Institution of Electrical Engineers. All rights reserved.</t>
  </si>
  <si>
    <t>187-188</t>
  </si>
  <si>
    <t>60017605;60017605</t>
  </si>
  <si>
    <t>57194907023;57194905983</t>
  </si>
  <si>
    <t>Wen-Hong, Shi;Jin-Guang, Chen</t>
  </si>
  <si>
    <t>Fuzhou</t>
  </si>
  <si>
    <t>Fuzhou University</t>
  </si>
  <si>
    <t>Wen-Hong S.</t>
  </si>
  <si>
    <t>Radiation Pattern of A Stripline Excited Rectangular Aperture</t>
  </si>
  <si>
    <t>10.1049/el:19870132</t>
  </si>
  <si>
    <t>2-s2.0-0023292019</t>
  </si>
  <si>
    <t>['whole system', 'tuning system', 'tuning errors', 'tem modes', 'strong coupling', 'separate generator', 'electronics engineers', 'arbitrary phasing', 'antenna pair']</t>
  </si>
  <si>
    <t>A model for arrays of ion cyclotron resonance heating (ICRH) antennae is presented, each antenna being fed by a separate generator with its own tuning System. In view of wave spectrum shaping, arbitrary phasing is introduced between the generators. The array is analyzed in quasi-TEM modes, and its equivalent impedance matrix is derived. In the case of an antenna pair, we study the matching of both generators, which becomes quite involved due to the strong coupling between antennae, and we investigate the consequences of tuning errors on the whole System. Copyright ¬© 1987 by The Institute of Electrical and Electronics Engineers, Inc.</t>
  </si>
  <si>
    <t>60-69</t>
  </si>
  <si>
    <t>IEEE Transactions on Plasma Science</t>
  </si>
  <si>
    <t>60004280;60004280;60004280</t>
  </si>
  <si>
    <t>6701841220;7006450633;6603675835</t>
  </si>
  <si>
    <t>Lamalle, P. U.;Messiaen, A. M.;Vandenplas, P. E.</t>
  </si>
  <si>
    <t>Belgium</t>
  </si>
  <si>
    <t>Brussels</t>
  </si>
  <si>
    <t>Koninklijke Militaire School - Ecole Royale Militaire</t>
  </si>
  <si>
    <t>Lamalle P.U.</t>
  </si>
  <si>
    <t>Icrh antenna array analysis and resulting problem of generator matching</t>
  </si>
  <si>
    <t>10.1109/TPS.1987.4316661</t>
  </si>
  <si>
    <t>2-s2.0-0023292119</t>
  </si>
  <si>
    <t>['standard textbook', 'em field', 'electronics engineers']</t>
  </si>
  <si>
    <t>chirality | Scattering</t>
  </si>
  <si>
    <t>Exactly how the handedness of an optically active scatterer affects its electromagnetic (EM) response is a question of importance in EM field theory. It has been shown here that the presence of handedness (chirality) in a scatterer does so by modifying the charge and current densities included on its surface when it is being illuminated by an EM field. Field-theoretic arguments found in any standard textbook on classical EM theory have been used to establish this conclusion. Copyright ¬ö 1987 by The Institute of Electrical and Electronics Engineers, Inc.</t>
  </si>
  <si>
    <t>70-72</t>
  </si>
  <si>
    <t>60001439;60001439;60001439</t>
  </si>
  <si>
    <t>53877620200;36039583900;7202350150</t>
  </si>
  <si>
    <t>Lakhtakia, Akhlesh;Varadan, Vijay K.;Varadan, Vasundara V.</t>
  </si>
  <si>
    <t>University Park</t>
  </si>
  <si>
    <t>Pennsylvania State University</t>
  </si>
  <si>
    <t>Lakhtakia A.</t>
  </si>
  <si>
    <t>On the influence of chirality on the scattering response of a chiral scatterer</t>
  </si>
  <si>
    <t>10.1109/TEMC.1987.304334</t>
  </si>
  <si>
    <t>2-s2.0-0023292170</t>
  </si>
  <si>
    <t>['scattering matrix', 'scan blindness', 'radiator symmetry', 'dual probes', 'balanced wire', 'authors show']</t>
  </si>
  <si>
    <t>The authors show that scanning an array of balanced wire or patch type radiators in their E-plane can destroy the radiators' dual probe symmetry. This loss of symmetry can cause the radiator's unit cell scattering matrix to be nonreciprocal, where in this scattering matrix each of the radiator's dual probes is now considered as a separate input port. This breaking of radiator symmetry can result in scan blindness when the radiator is fed by a reactive power divider balun. This effect is illustrated by a numerical example using balanced-fed patch radiators.</t>
  </si>
  <si>
    <t>6701592281;6603030657</t>
  </si>
  <si>
    <t>Schuss, Jack J.;Hanfling, Jerome D.</t>
  </si>
  <si>
    <t>Schuss J.J.</t>
  </si>
  <si>
    <t>NONRECIPROCITY AND SCAN BLINDNESS IN PHASED ARRAYS USING BALANCED-FED RADIATORS.</t>
  </si>
  <si>
    <t>10.1109/tap.1987.1144064</t>
  </si>
  <si>
    <t>2-s2.0-0023292171</t>
  </si>
  <si>
    <t>['video display', 'patients suffering', 'lower limbs', 'improves assessment', 'image processing', 'image analysis', 'human body', 'emission temperature', 'conventional techniques', 'band 9', 'antenna smoothing', '10 ghz']</t>
  </si>
  <si>
    <t>A scanning microwave thermograph has been built, operating in the band 9-10 GHz, which provides a video display of the variations in the emission temperature of the human body. Image processing is incorporated to reduce the effects of noise and antenna smoothing and to assist in image analysis. Preliminary medical studies on a number of patients suffering from occlusive vascular disease of the lower limbs have shown that the instrument confirms medical diagnosis made by conventional techniques and improves assessment of tissue blood flow. The technique is fast, noninvasive and passive. The instrument is self-contained and can be used wherever convenient in clinics.</t>
  </si>
  <si>
    <t>171-174</t>
  </si>
  <si>
    <t>60012070;60012070;60012070;60012070;60012070;60012070</t>
  </si>
  <si>
    <t>6506542827;6602161164;6602738214;7202324700;7102918585;7004863377</t>
  </si>
  <si>
    <t>Abdul-Razzak, M. M.;Hardwick, B. A.;Hey-Shipton, G. L.;Matthews, P. A.;Monson, J. R.T.;Kester, R. C.</t>
  </si>
  <si>
    <t>Leeds</t>
  </si>
  <si>
    <t>University of Leeds</t>
  </si>
  <si>
    <t>Abdul-Razzak M.</t>
  </si>
  <si>
    <t>MICROWAVE THERMOGRAPHY FOR MEDICAL APPLICATIONS.</t>
  </si>
  <si>
    <t>10.1049/ip-a-1.1987.0023</t>
  </si>
  <si>
    <t>2-s2.0-0023292218</t>
  </si>
  <si>
    <t>['slot axis', 'plane wave', 'one wavelength', 'numerical results', 'narrow slot', 'characteristic modes', 'characteristic currents', 'analytic expressions']</t>
  </si>
  <si>
    <t>An infinitely long slot in a perfectly conducting plane in an unbounded medium illuminated by a uniform transverse electric (TE) (to the slot axis) plane wave is considered. The theory of characteristic modes for apertures is applied to solve the problem. For a narrow slot, analytic expressions for the first two characteristic currents and the equivalent magnetic current are given. As computed by the method of moments, numerical results for the characteristic currents and fields, the equivalent magnetic current, and the transmitted field pattern are presented for the slot whose width is one wavelength.</t>
  </si>
  <si>
    <t>162-168</t>
  </si>
  <si>
    <t>60068761;60068761;60068761;60068761</t>
  </si>
  <si>
    <t>7006960314;7201653432;6701487674;7003887991</t>
  </si>
  <si>
    <t>Kabalan, Karim Y.;Harrington, Roger F.;Auda, Hesham A.;Mautz, Joseph R.</t>
  </si>
  <si>
    <t>Lebanon</t>
  </si>
  <si>
    <t>Beirut</t>
  </si>
  <si>
    <t>American University of Beirut</t>
  </si>
  <si>
    <t>Kabalan K.Y.</t>
  </si>
  <si>
    <t>CHARACTERISTIC MODES FOR SLOTS IN A CONDUCTING PLANE, TE CASE.</t>
  </si>
  <si>
    <t>10.1109/tap.1987.1144060</t>
  </si>
  <si>
    <t>2-s2.0-0023292274</t>
  </si>
  <si>
    <t>['wide range', 'toroidal direction', 'thermonuclear dimensions', 'reactance x', 'radiofrequency coupling', 'proper care', 'projected machines', 'plasma radius', 'phase control', 'parameters using', 'optimal conditions', 'linear dimensions', 'implies using', 'fully analytic', 'faraday shielded', 'efficient coupling', 'asdex upgrade', 'antenna design', 'antenna characteristics', 'alfven waves']</t>
  </si>
  <si>
    <t>Antenna optimization studies for radiofrequency coupling to the Alfven waves is carried out by using a self-consistent, three-dimensional, fully analytic, Faraday shielded, periodic loop antenna model. The antenna characteristics (the loading resistance R, the reactance X, the quality factor Q, and the efficiency Œ∑A are investigated over a wide range of parameters using the ASDEX UPGRADE parameters as reference. With proper care, it is possible to obtain an experimentally acceptable loading of R ‚àº 1 Œ© with an attendant, Q‚àº 20 under optimal conditions. The required conditions consist of (i) locating the singular Alfv√©n layer at about two-thirds the plasma radius, and (ii) the adjacent antenna separation along the toroidal direction is of the order of the plasma radius. This implies using a toroidal wave number n ‚àº 8, for the ASDEX UPGRADE case. The extensive results presented here should facilitate the antenna design for Alfv√©n wave heating in most existing as well as projected machines. By scaling the linear dimensions of the ASDEX UPGRADE, it is shown that the Alfv√©n wave heating continues to be an attractive alternative even for plasmas of thermonuclear dimensions. Because of the changing plasma conditions during the radiofrequency heating phase, dynamic impedance tracking may become necessary. Methods are suggested for maintaining an efficient coupling under these conditions through the phase control of a dense cluster array antenna, resembling the lower hybrid grill coupler. ¬© IOP Publishing Ltd.</t>
  </si>
  <si>
    <t>229-239</t>
  </si>
  <si>
    <t>Puri, S.</t>
  </si>
  <si>
    <t>Garching bei Munchen</t>
  </si>
  <si>
    <t>Max Planck Institute for Plasma Physics</t>
  </si>
  <si>
    <t>Puri S.</t>
  </si>
  <si>
    <t>Antenna optimization for alfv√©n wave heating</t>
  </si>
  <si>
    <t>10.1088/0029-5515/27/2/004</t>
  </si>
  <si>
    <t>2-s2.0-0023292291</t>
  </si>
  <si>
    <t>['stubs act', 'roughly equal', 'matching elements', 'dipole made', 'coaxial stubs', 'also equal', '1984 ).']</t>
  </si>
  <si>
    <t>A dipole made of coaxial stubs, with or without wire end extensions, where the stubs act as built-in matching elements, was patented by R. D. Snyder (1984). This type of dipole is analyzed, with the result that the bandwidth is roughly equal to that of a dipole of the same fatness, with a lumped resonant circuit at the terminals. The bandwidth is also equal to that of a comparable folded dipole, but the impedance of the latter is four times larger.</t>
  </si>
  <si>
    <t>207-210</t>
  </si>
  <si>
    <t>Hansen, Robert C.</t>
  </si>
  <si>
    <t>Hansen R.C.</t>
  </si>
  <si>
    <t>EVALUATION OF THE SNYDER DIPOLE.</t>
  </si>
  <si>
    <t>10.1109/tap.1987.1144080</t>
  </si>
  <si>
    <t>2-s2.0-0023292379</t>
  </si>
  <si>
    <t>['¬© 1987', 'video signals', 'satellite antenna', 'rights reserved', 'noise ratio', 'electrical engineers', '56 db', '55 db']</t>
  </si>
  <si>
    <t>Microwave circuits and systems | Optical fibres | Optical transmission | Satellite links</t>
  </si>
  <si>
    <t>The entire 500 MHz bandwidth multicarrier C-band microwave signal spectrum from a satellite antenna is transmitted over low-loss optical fibre. The optical system introduces 1 dB or less of degradation for both low-spectral-density QPSK signals and high-spectral-density FM video signals present in typical satellite transmission systems. For the video signals, the signal/noise ratio after AM conversion was reduced from 56 dB to 55 dB. ¬© 1987, The Institution of Electrical Engineers. All rights reserved.</t>
  </si>
  <si>
    <t>185-187</t>
  </si>
  <si>
    <t>60021378;60021378;60021378;60021378</t>
  </si>
  <si>
    <t>56520932400;6507859329;6507284462;57197599403</t>
  </si>
  <si>
    <t>Bowers, J. E.;Chipaloski, A. C.;Boodaghians, S.;Carlin, J. W.</t>
  </si>
  <si>
    <t>Murray</t>
  </si>
  <si>
    <t>Nokia Bell Labs</t>
  </si>
  <si>
    <t>Bowers J.</t>
  </si>
  <si>
    <t>Direct Fibre-Optic Transmission of Entire Microwave Satellite Antenna Signals</t>
  </si>
  <si>
    <t>10.1049/el:19870131</t>
  </si>
  <si>
    <t>2-s2.0-0023292604</t>
  </si>
  <si>
    <t>['target zone', 'scattering systems', 'plane wave', 'many years', 'limited use', 'limitation results', 'large structures', 'large edge', 'large discrepancy', 'edge modification', 'edge diffraction', 'diffracted signal', 'curved modification', 'compact range', '4 refs']</t>
  </si>
  <si>
    <t>For many years, the compact range has successfully been used to design and evaluate many electromagnetic radiation and scattering systems. However, it has had limited use for large structures because of the large discrepancy between the reflector and target zone sizes. The limitation results from the large edge-diffracted signal which emanates from the termination of the reflector. A curved-edge modification is presented that reduces the edge diffraction by an order of magnitude or more but does not in the process create new mechanisms which perturb the plane wave in the target zone. Using this curved modification, one is able to design a compact range reflector whose target-zone cross section approaches the size of the reflector parabolic surface. 4 refs.</t>
  </si>
  <si>
    <t>176-182</t>
  </si>
  <si>
    <t>60003500;60003500;60003500;60003500</t>
  </si>
  <si>
    <t>7004270570;6602640682;7005927459;7004685437</t>
  </si>
  <si>
    <t>Burnside, Walter D.;Gilreath, Melvin C.;Kent, Brian M.;Clerici, Giancarlo L.</t>
  </si>
  <si>
    <t>Burnside W.D.</t>
  </si>
  <si>
    <t>CURVED EDGE MODIFICATION OF COMPACT RANGE REFLECTOR.</t>
  </si>
  <si>
    <t>10.1109/tap.1987.1144063</t>
  </si>
  <si>
    <t>2-s2.0-0023293454</t>
  </si>
  <si>
    <t>['two r', 'thermal barriers', 'thermal barrier', 'slow wave', 'response time', 'resonances near', 'parameters necessary', 'magnetic wells', 'magnetic maximum', 'local mirrors', 'gas injection', 'either side', 'efficiently absorbed', 'charge exchange', 'central cell', 'background gas', '2 mirrors']</t>
  </si>
  <si>
    <t>A new gas fuelling and magnetic field configuration of the central cell of the Tara tandem mirror is described which achieves the parameters necessary to establish and maintain both a sloshing ion population and thermal barriers in the axicells. Gas injection at the central cell midplane leads to low neutral pressures in the axicell and minimizes the losses of sloshing ions due to charge exchange with background gas. A magnetic maximum at the Tara midplane divides the central cell into two R = 2 mirrors in order to isolate the region of hot ions trapped magnetically in the local mirrors from the gas injection location at the magnetic maximum and thereby to reduce the effect of charge exchange recombination on the energy confinement time. The midplane magnetic ‚Äòbump‚Äò also permits launching of a slow wave by an ICRF antenna located near the midplane; this wave is efficiently absorbed at the resonances near the bottom of the magnetic wells on either side. Numerical simulations based on current central cell parameters and the response time of the gas fuelling indicate that the central cell density rise at the onset of thermal barrier formation can be controlled, thereby preventing collisional filling of the thermal barrier by the central cell ion stream. ¬© IOP Publishing Ltd.</t>
  </si>
  <si>
    <t>217-227</t>
  </si>
  <si>
    <t>60022195;60022195;60022195;60022195;60022195;60022195;60022195;60022195;60022195</t>
  </si>
  <si>
    <t>22968392900;6602240440;57082986700;6603304334;22972885000;6701494834;7003784525;7004260738;7403984202</t>
  </si>
  <si>
    <t>Post, R. S.;Brau, K.;Golovato, R.;Sevillano, E.;Smith, D. K.;Guss, W.;Irby, J.;Myer, R.;Sullivan, J.</t>
  </si>
  <si>
    <t>Post R.</t>
  </si>
  <si>
    <t>Improved plasma startup in the tara central cell</t>
  </si>
  <si>
    <t>10.1088/0029-5515/27/2/003</t>
  </si>
  <si>
    <t>2-s2.0-0023293615</t>
  </si>
  <si>
    <t>IEEE Communications Magazine</t>
  </si>
  <si>
    <t>60025555;60025555</t>
  </si>
  <si>
    <t>7004043708;36912501400</t>
  </si>
  <si>
    <t>Kohiyama, K.;Kurita, O.</t>
  </si>
  <si>
    <t>Kohiyama K.</t>
  </si>
  <si>
    <t>Future trends in microwave digital radio: A view from asia</t>
  </si>
  <si>
    <t>10.1109/MCOM.1987.1093543</t>
  </si>
  <si>
    <t>2-s2.0-0023293616</t>
  </si>
  <si>
    <t>['¬© 1987', 'third definition', 'shaped beam', 'rights reserved', 'letter calculates', 'electrical engineers', 'arbitrary definition']</t>
  </si>
  <si>
    <t>Antennas | Crosspolarisation detection | Reflector antennas</t>
  </si>
  <si>
    <t>In antenna test ranges the crosspolarisation of a shaped reflector antenna is measured utilising Ludwig's third definition. However, in practice crosspolarisation discrimination (XPD) does not depend on any arbitrary definition. The letter calculates the variation of XPD in a shaped beam and finds considerable difference between the XPD and that calculated using Ludwig's third definition. ¬© 1987, The Institution of Electrical Engineers. All rights reserved.</t>
  </si>
  <si>
    <t>238-239</t>
  </si>
  <si>
    <t>60022109;60022109;60022109</t>
  </si>
  <si>
    <t>57197192970;7006192058;55553740385</t>
  </si>
  <si>
    <t>Brown, R. C.;Clarricoats, P. J.B.;Zhou, H.</t>
  </si>
  <si>
    <t>Queen Mary University of London</t>
  </si>
  <si>
    <t>Brown R.</t>
  </si>
  <si>
    <t>Polarisation discrimination in shaped beam applications</t>
  </si>
  <si>
    <t>10.1049/el:19870168</t>
  </si>
  <si>
    <t>2-s2.0-0023293966</t>
  </si>
  <si>
    <t>['quantifying electromagnetic', 'prototype electric', 'nbs ).', 'national bureau', 'isotropic response', 'field probe', 'electronics engineers', 'electric fields', 'developmental aspects', 'accurately characterizing', '3 db', '1600 v', '15 ghz', '1 mhz']</t>
  </si>
  <si>
    <t>A new broadband electric-field probe, capable of accurately characterizing and quantifying electromagnetic (EM) fields, has been developed at the National Bureau of Standards (NBS). The probe's 8-mm resistively tapered dipole elements allow measurement of electric fields between 1 and 1600 V/m from 1 MHz to 15 GHz, with a flatness of ¬±2 dB. A mutually orthogonal dipole configuration provides an overall standard deviation in isotropic response, with respect to angle, that is within ¬±0.3 dB. Both the theoretical and developmental aspects of this prototype electric-field probe are discussed in this paper. Copyright ¬© 1987 by The Institute of Electrical and Electronics Engineers, Inc.</t>
  </si>
  <si>
    <t>124-130</t>
  </si>
  <si>
    <t>IEEE Transactions on Microwave Theory and Techniques</t>
  </si>
  <si>
    <t>35578175900;6602766065</t>
  </si>
  <si>
    <t>Kanda, Motohisa;Driver, Lanny D.</t>
  </si>
  <si>
    <t>An Isotropic Electric-Field Probe with Tapered Resistive Dipoles for Broadband Use, 100 kHz to 18 GHz</t>
  </si>
  <si>
    <t>10.1109/TMTT.1987.1133614</t>
  </si>
  <si>
    <t>2-s2.0-0023294210</t>
  </si>
  <si>
    <t>['¬© 1987', 'source spaces', 'solution requires', 'situations exist', 'sine law', 'second surface', 'rights reserved', 'original solution', 'first surface', 'exact solutions', 'electrical engineers', 'designed using', 'best approximations']</t>
  </si>
  <si>
    <t>Two surface aspheric systems are designed using the principle that Snell's laws of reflection are obeyed at the first surface and an eikonal function used to derive the second surface for completely general focusing conditions in the image and source spaces. In most cases the solution requires a computational optimisation procedure and the results are best approximations. However, some situations exist where exact solutions can be derived. These range from the original solution by Schwarzschild for a dual mirror system obeying the sine law, and an afocal distortionless magnifying reflecting system. ¬© 1987, The Institution of Electrical Engineers. All rights reserved.</t>
  </si>
  <si>
    <t>199-200</t>
  </si>
  <si>
    <t>Cornbleet, S.</t>
  </si>
  <si>
    <t>Guildford</t>
  </si>
  <si>
    <t>University of Surrey</t>
  </si>
  <si>
    <t>Cornbleet S.</t>
  </si>
  <si>
    <t>Aspheric double mirror systems</t>
  </si>
  <si>
    <t>10.1049/el:19870140</t>
  </si>
  <si>
    <t>2-s2.0-0023294521</t>
  </si>
  <si>
    <t>['walker sarcoma', 'radiation powers', 'radiated power', 'preliminary results', 'operation frequency', 'observed variations', 'loaded antenna', 'indirect cooling', 'good thermal', 'good coupling', 'external chamber', 'electronics engineers', 'electrical stability', 'common walls', 'circulating water', 'antenna cavity', 'also reported', '5 cm2', '432 mhz', '2x 5', '100 w']</t>
  </si>
  <si>
    <t>A water-loaded, indirectly cooled waveguide antenna with a small aperture size (2X 5.5 cm2) has been developed for local hyperthermia applications. The operation frequency is 432 MHz. The indirect cooling is achieved by circulating water in an external chamber having common walls with the waveguide, and good thermal and electrical stability is achieved for radiation powers up to 100 W. The water loading provides a good coupling of the radiated power into tissue. The observed variations in standing wave ratios and the concentration of the specific absorption rates (SAR's) are found to be satisfactory for localized superficial hyperthermia treatments. The matching of the water-loaded antenna into the power generator requires special attention because of two possible matching conditions corresponding to high- and low-power dissipations inside the antenna cavity. SAR distributions inside tissues have been computed and compared with thermographic measurements performed in phantoms. Preliminary results of trials in Wistar rats transplanted with Walker sarcoma are also reported. Copyright ¬© 1987 by The Institute of Electrical and Electronics Engineers, Inc.</t>
  </si>
  <si>
    <t>106-111</t>
  </si>
  <si>
    <t>60002947;60002947;60009078</t>
  </si>
  <si>
    <t>7102355233;7801391986;6507826737</t>
  </si>
  <si>
    <t>Uzunoglu, Nikolaos K.;Angelikas, Elias A.;Cosmidis, P. A.</t>
  </si>
  <si>
    <t>Greece;Greece</t>
  </si>
  <si>
    <t>Piraeus;Athens</t>
  </si>
  <si>
    <t>Metaxa Cancer Hospital;National Technical University of Athens</t>
  </si>
  <si>
    <t>60009078;60002947</t>
  </si>
  <si>
    <t>Uzunoglu N.K.</t>
  </si>
  <si>
    <t>A 432-MHz Local Hyperthermia System Using an Indirectly Cooled, Water-Loaded Waveguide Applicator</t>
  </si>
  <si>
    <t>10.1109/TMTT.1987.1133611</t>
  </si>
  <si>
    <t>2-s2.0-0023294669</t>
  </si>
  <si>
    <t>['zone field', 'successive multiple', 'significant effect', 'scattering terms', 'results due', 'radiation field', 'numerical technique', 'numerical solutions', 'long dipole', 'infinitely long', 'excellent agreement', 'examined analytically', 'dipole due', 'derived using', 'current induced', 'analytical solution', 'also found']</t>
  </si>
  <si>
    <t>The radiation from a long dipole in the presence of an infinitely long, circular conducting parallel cylinder is examined analytically. The expression for the far-zone field, which includes all successive multiple-scattering terms between the dipole and the cylinder, is derived using an iterative approximate procedure. The current induced on the dipole due to backscattering from the cylinder is calculated for each iteration. The derivation includes integral expressions, which are solved asymptotically using the far-zone field approximation. Also, a numerical technique is employed for solving the problem to verify the analytical solution. The results due to both analytical and numerical solutions are in excellent agreement. It is also found that the interaction between the dipole and the cylinder has a significant effect on the radiation field.</t>
  </si>
  <si>
    <t>101-108</t>
  </si>
  <si>
    <t>Canadian journal of physics</t>
  </si>
  <si>
    <t>7006917371;7103051886</t>
  </si>
  <si>
    <t>Ragheb, H. A.;Hamid, M.</t>
  </si>
  <si>
    <t>Ragheb H.</t>
  </si>
  <si>
    <t>MULTIPLE INTERACTION BETWEEN A RADIATING DIPOLE AND PARALLEL CONDUCTING CYLINDER.</t>
  </si>
  <si>
    <t>10.1139/p87-018</t>
  </si>
  <si>
    <t>2-s2.0-0023294990</t>
  </si>
  <si>
    <t>['vast indeed', 'sierpinski gasket', 'problems may', 'paraxial fraunhoffer', 'great profit', 'fractal structures', 'also establishes']</t>
  </si>
  <si>
    <t>Using the Sierpinski gasket as an example, it has been shown here that the paraxial Fraunhoffer-zone diffracted field of a self-similar fractal screen also exhibits self-similarity. This also establishes that fractal structures can be used with great profit in problems involving array syntheses. This accords with recent results showing that the Sierpinski gasket is itself a member of a much wider class of gaskets, and the potential for the use of fractal structures in electromagnetic (EM) problems may be vast indeed.</t>
  </si>
  <si>
    <t>236-239</t>
  </si>
  <si>
    <t>60001439;60001439;60001439;60001439</t>
  </si>
  <si>
    <t>53877620200;6507342978;36039583900;7202350150</t>
  </si>
  <si>
    <t>Lakhtakia, Akhlesh;Holter, Neal S.;Varadan, Vijay K.;Varadan, Vasundara V.</t>
  </si>
  <si>
    <t>SELF-SIMILARITY IN DIFFRACTION BY A SELF-SIMILAR FRACTAL SCREEN.</t>
  </si>
  <si>
    <t>10.1109/tap.1987.1144058</t>
  </si>
  <si>
    <t>2-s2.0-0023295296</t>
  </si>
  <si>
    <t>['zero value', 'zero bandwidth', 'waves consisting', 'waveforms consisting', 'power patterns', 'nonsinusoidal waves', 'negative values', 'narrow beamwidth', 'energy patterns', 'electronics engineers', 'beam axis', 'also derived']</t>
  </si>
  <si>
    <t>angular resolution | beam forming | energy patterns | Nonsinusoidal wave</t>
  </si>
  <si>
    <t>In this paper, energy patterns of antennas are derived for nonsinusoidal waves with different time variations. Some of the energy patterns for waveforms consisting of positive as well as negative values have a narrow beamwidth and drop to almost the zero value in the vicinity of the beam axis. Such features are desirable for good angular resolution. Energy or average-power patterns for waves consisting of one and two sinusoidal cycles are also derived and compared to that of an infinitely long sinusoidal wave with zero bandwidth. Copyright ¬ö 1987 by The Institute of Electrical and Electronics Engineers, Inc.</t>
  </si>
  <si>
    <t>24-31</t>
  </si>
  <si>
    <t>Hussain, Malek G.M.</t>
  </si>
  <si>
    <t>Kuwait</t>
  </si>
  <si>
    <t>Kuwait City</t>
  </si>
  <si>
    <t>Kuwait University</t>
  </si>
  <si>
    <t>Hussain M.G.M.</t>
  </si>
  <si>
    <t>Antenna energy patterns of nonsinusoidal waveforms</t>
  </si>
  <si>
    <t>10.1109/TEMC.1987.304329</t>
  </si>
  <si>
    <t>2-s2.0-0023295447</t>
  </si>
  <si>
    <t>['two terms', 'strong perturbations', 'reasonable characterization', 'predictive tool', 'generic geometries', 'electronics engineers', 'effectiveness term', 'composition changed', 'broad range', '12 db']</t>
  </si>
  <si>
    <t>coupling effectiveness | shielded cable model | shielding effectiveness</t>
  </si>
  <si>
    <t>A simple interior decomposition model composed of the product of two terms, a shielding-effectiveness term and a coupling-effectiveness term, has been developed that bounds the measured wire responses within a simple generic test object. A variety of modest to strong perturbations to the test object geometry and composition changed the response trend downward by at most 12 dB and typically only by 3‚Äì6 dB. Thus the model, called shielding effectiveness x coupling effectiveness (SEXCE), serves as a reasonable characterization of a broad range of generic geometries. It is useful in understanding the interior coupling response behavior and can be used as a predictive tool. Copyright ¬ö 1987 by The Institute of Electrical and Electronics Engineers, Inc.</t>
  </si>
  <si>
    <t>60026175;60026175;60026175</t>
  </si>
  <si>
    <t>7006948386;6701384134;6506848937</t>
  </si>
  <si>
    <t>Kunz, K. S.;Breakall, J. K.;Ludwigsen, A. P.</t>
  </si>
  <si>
    <t>Livermore</t>
  </si>
  <si>
    <t>Lawrence Livermore National Laboratory</t>
  </si>
  <si>
    <t>Kunz K.S.</t>
  </si>
  <si>
    <t>A simple interior decomposition model: Its development and application</t>
  </si>
  <si>
    <t>10.1109/TEMC.1987.304327</t>
  </si>
  <si>
    <t>2-s2.0-0023295448</t>
  </si>
  <si>
    <t>['wiley company', 'wide area', 'transmitting information', 'switching circuit', 'reflector yields', 'reflector site', 'reflector consists', 'receiving signals', 'radar station', 'radar reflector', 'modulation ratio', 'microstrip antenna', 'luneberg lens', 'inc .,', 'experimental model', 'experimental measurements', 'antenna gain', '5 db', '13 db']</t>
  </si>
  <si>
    <t>A radar reflector with bidirectional communication capability is presented. The reflector consists of a Luneberg lens and a reflecting plate combining a microstrip antenna and a switching circuit, which is placed at the focus of the lens. The reflector is capable of transmitting information from a reflector site as well as receiving signals from a radar station. Characteristics of the reflector are analyzed by the moment method using a wire‚Äêgrid model. The results are confirmed by experimental measurements. An experimental model of the reflector yields an antenna gain of 26.5 dB and a modulation ratio of reflectivity of 13 dB. A passive telemetry system covering a wide area can be built with a radar station and a group of these reflectors. Alternatively, a Luneberg lens having many reflecting plates can respond to plural radar stations simultaneously and independently. Copyright ¬© 1987 Wiley Periodicals, Inc., A Wiley Company</t>
  </si>
  <si>
    <t>103-111</t>
  </si>
  <si>
    <t>Electronics and Communications in Japan (Part I: Communications)</t>
  </si>
  <si>
    <t>60002561;60007951;60007951;60180342</t>
  </si>
  <si>
    <t>35554356600;57216221095;7102917465;57214216443</t>
  </si>
  <si>
    <t>Hasebe, Nozomu;Sugiyama, Hiroshi;Kuramoto, Akio;Onoe, Morio</t>
  </si>
  <si>
    <t>Tokyo;Minato;Tokyo</t>
  </si>
  <si>
    <t>Institute of Industrial Science;Fujitsu Ltd.;Nihon University</t>
  </si>
  <si>
    <t>60180342;60007951;60002561</t>
  </si>
  <si>
    <t>Hasebe N.</t>
  </si>
  <si>
    <t>Radar reflector with bidirectional communication capability</t>
  </si>
  <si>
    <t>10.1002/ecja.4410700212</t>
  </si>
  <si>
    <t>2-s2.0-0023295529</t>
  </si>
  <si>
    <t>['waveguide aperture', 'studied numerically', 'spillover efficiency', 'reflector antenna', 'gain factor', 'different parameters', 'dielectric end', 'dielectric diameter', 'dielectric constant', 'antenna surface', 'also studied', 'actual form', '1975 ).']</t>
  </si>
  <si>
    <t>The problem of the dielectric rod antenna is studied numerically. The surface integral equation is used to simulate the problem in its actual form. From the surface currents induced on the antenna surface, the far-field radiation patterns are calculated. Different parameters are considered, such as the extension of the dielectric from the waveguide aperture, the waveguide and the dielectric diameter, the dielectric constant, and the effect of shaping of the dielectric end. The performance of the antenna as a feed for the reflector antenna is also studied by calculating the gain factor, spillover efficiency and the phase center location of the feed. Some of the results are compared with the available experimental data of P. K. Dombek (1975). The agreement is found to be excellent.</t>
  </si>
  <si>
    <t>139-146</t>
  </si>
  <si>
    <t>Kishk, A. A.;Shafai, Lotfollah</t>
  </si>
  <si>
    <t>Kishk A.A.</t>
  </si>
  <si>
    <t>RADIATION CHARACTERISTICS OF THE SHORT DIELECTRIC ROD ANTENNA: A NUMERICAL SOLUTION.</t>
  </si>
  <si>
    <t>10.1109/tap.1987.1144078</t>
  </si>
  <si>
    <t>2-s2.0-0023295911</t>
  </si>
  <si>
    <t>['three dimensions', 'results obtained', 'particular interest', 'operability criterion', 'link transmitter', 'link region', 'link assets', 'interference environments', 'interference contours', 'higher altitude', 'generated plots', 'electronics engineers', 'computer models', 'computer model', 'communications region', 'arbitrarily located', 'antenna heights', 'analytic models']</t>
  </si>
  <si>
    <t>Analytic and computer models are presented that can provide an assessment of land-mobile and air-mobile communications performance in interference environments. The results obtained with these models, based on a communications region of operability criterion, include the effects of greater-than-free-space propagation path losses associated with low-elevation signal paths. The analytic models are used to examine the effects of higher order path loss on signal-to-interference contours for single and linearly distributed interference scenarios. The computer model can be used to investigate link performance for interference environments in which the link assets and each source of interference are arbitrarily located in three dimensions. A propagation submodel permits independent calculation of the loss over each link or interference signal path. Computer-generated plots are presented that illustrate the effect of antenna heights and frequency on the shape of the signal-to-interference (S/I) contours. Of particular interest is the effect on link region of operability when either the link transmitter or the sources of interference are at a higher altitude than the other. Copyright ¬© 1987 by The Institute of Electrical and Electronics Engineers, Inc.</t>
  </si>
  <si>
    <t>151-165</t>
  </si>
  <si>
    <t>IEEE Transactions on Communications</t>
  </si>
  <si>
    <t>Cook, Charles E.</t>
  </si>
  <si>
    <t>McLean</t>
  </si>
  <si>
    <t>MITRE Corporation</t>
  </si>
  <si>
    <t>Cook C.E.</t>
  </si>
  <si>
    <t>Modeling interference effects for land-mobile and air-mobile communications</t>
  </si>
  <si>
    <t>10.1109/TCOM.1987.1096752</t>
  </si>
  <si>
    <t>2-s2.0-0023295918</t>
  </si>
  <si>
    <t>['wiley company', 'various cases', 'transmitted powers', 'radiation pattern', 'radiation mode', 'optical fibers', 'optical fiber', 'numerical examples', 'inc .,', 'electromagnetic fields', 'electromagnetic field', 'compute numerically']</t>
  </si>
  <si>
    <t>The electromagnetic fields at the facets of optical fibers were analyzed by using a three‚Äêdimensional model, unlike a conventional slab waveguide which is a two‚Äêdimensional model. A closed‚Äêtype waveguide model of an optical fiber was analyzed by using the eigenmode expansion method, since the radiation mode in an open‚Äêtype waveguide (such as an optical fiber) is difficult to treat and compute numerically. The radiation pattern at the facet was obtained by applying the stationary‚Äêphase method to the electromagnetic field. The radiation pattern of the electromagnetic field of a dielectric rod antenna was also analyzed via the same method, since this is a pattern at the facet of a dielectric cylindrical waveguide. Numerical examples of the reflected and transmitted powers in various cases were shown. Copyright ¬© 1987 Wiley Periodicals, Inc., A Wiley Company</t>
  </si>
  <si>
    <t>30-37</t>
  </si>
  <si>
    <t>8756663X</t>
  </si>
  <si>
    <t>Electronics and Communications in Japan (Part II: Electronics)</t>
  </si>
  <si>
    <t>60024322;60024322;60024322</t>
  </si>
  <si>
    <t>7005854055;7004111430;35567682900</t>
  </si>
  <si>
    <t>Toyoda, Ichihiko;Matsuhara, Masanori;Kumagai, Nobuaki</t>
  </si>
  <si>
    <t>Suita</t>
  </si>
  <si>
    <t>Osaka University</t>
  </si>
  <si>
    <t>Toyoda I.</t>
  </si>
  <si>
    <t>Analysis of the electromagnetic fields at the facets of optical fibers and dielectric rod antennas</t>
  </si>
  <si>
    <t>10.1002/ecjb.4420700204</t>
  </si>
  <si>
    <t>2-s2.0-0023295998</t>
  </si>
  <si>
    <t>['time constant', 'temporal properties', 'reaction center', 'protein complex', 'predicted previously', 'photosynthetic pigments', 'linear relationship', 'linear dependence', 'lattice model', 'fluorescence lifetimes', 'fluorescence decay', 'excitation transfer', 'excitation migration', 'excitation making', 'excitation lifetime', 'energy migration', 'dimeric p700', 'diffusion limit', 'data predict', 'core antenna', 'chlamydomonas reinhardtii', 'assuming monomeric', 'antenna size', '844 ].', '7 psec', '45 psec', '4 visits', '04 psec']</t>
  </si>
  <si>
    <t>We have examined the photophysics of energy migration and trapping in photosystem I by investigating the spectral and temporal properties of the fluorescence from the core antenna chlorophylls as a function of the antenna size. Time-correlated single photon counting was used to determine the fluorescence lifetimes in the isolated P700 chlorophyll a-protein complex and in a mutant of Chlamydomonas reinhardtii that lacks the photosystem II reaction center complex. The fluorescence decay in both types of sample is dominated by a fast (15-45 psec) component that is attributed to the lifetime of excitations in the photosystem I core antenna. These excitations decay primarily by an efficient photochemical quenching on P700. The measured lifetimes show a linear relationship to the core antenna size. A linear dependence of the excitation lifetime on antenna size was predicted previously in a lattice model for excitation migration and trapping in arrays of photosynthetic pigments [Pearlstein, R.M. (1982) Photochem. Photobiol. 35, 835-844]. Based on this model, our data predict a time constant for photochemical charge separation in the photosystem I reaction center of 2.8 ¬± 0.7 or 3.4 ¬± 0.7 psec, assuming monomeric or dimeric P700, respectively. The predicted average single-step transfer time for excitation transfer between core antenna pigments is 0.21 ¬± 0.04 psec. Under these conditions, excitation migration in photosystem I is near the diffusion limit, with each excitation making an average of 2.4 visits to the reaction center before photoconversion.</t>
  </si>
  <si>
    <t>1531-1536</t>
  </si>
  <si>
    <t>Proceedings of the National Academy of Sciences of the United States of America</t>
  </si>
  <si>
    <t>60008185;60008185;60008185</t>
  </si>
  <si>
    <t>57213437301;7402908281;6701820953</t>
  </si>
  <si>
    <t>Owens, T. G.;Webb, S. P.;Mets, L.</t>
  </si>
  <si>
    <t>Department of Chemistry, The University of Chicago</t>
  </si>
  <si>
    <t>Owens T.G.</t>
  </si>
  <si>
    <t>Antenna size dependence of fluorescence decay in the core antenna of photosystem I: Estimates of charge separation and energy transfer rates</t>
  </si>
  <si>
    <t>10.1073/pnas.84.6.1531</t>
  </si>
  <si>
    <t>2-s2.0-0023304037</t>
  </si>
  <si>
    <t>['unmodeled dynamics', 'torque actuators', 'rights reserved', 'recovery method', 'quadratic gaussian', 'performance degradation', 'encountered due', 'element model', 'design methodology', 'design bandwidth', 'conservative nature', 'column antenna']</t>
  </si>
  <si>
    <t>The linear-quadratic Gaussian/loop-transfer-recovery method is used to synthesize a fine-pointing control system for a large space antenna. A finite-element model for the 122-m hoop/column antenna is employed, and a compensator, utilizing attitude sensors and torque actuators, is designed which achieves pointing performance while maintaining stability robustness to unmodeled dynamics. Inclusion of the rigid-body modes plus the first three elastic modes is found to be necessary to achieve a 0.1-rad/s bandwidth. Results are obtained by employing a modification of the standard robustness recovery procedure, which reduces the conservative nature of the design methodology. Performance degradation is encountered due to the presence of unavoidable invariant zeros within the design bandwidth. ¬© 1987 American Institute of Aeronautics and Astronautics, Inc. All rights reserved.</t>
  </si>
  <si>
    <t>201-208</t>
  </si>
  <si>
    <t>March-April 1987</t>
  </si>
  <si>
    <t>60007652-60023345;60000854-100525085;60000854-100525085</t>
  </si>
  <si>
    <t>57192169356;7402524832;7101645337</t>
  </si>
  <si>
    <t>Sundararajan, N.;Joshi, S. M.;Armstrong, E. S.</t>
  </si>
  <si>
    <t>India;United States;United States;United States</t>
  </si>
  <si>
    <t>Bengaluru;Norfolk;Hampton;Philadelphia</t>
  </si>
  <si>
    <t>Indian Space Research Organization;Old Dominion University;NASA Langley Research Center;The Scientist</t>
  </si>
  <si>
    <t>60023345;60007652;60000854;100525085</t>
  </si>
  <si>
    <t>Sundararajan N.</t>
  </si>
  <si>
    <t>Robust controller synthesis for a large flexible space antenna</t>
  </si>
  <si>
    <t>10.2514/3.20203</t>
  </si>
  <si>
    <t>2-s2.0-0023306247</t>
  </si>
  <si>
    <t>['vibrations induced', 'two objectives', 'two approaches', 'two algorithms', 'thus come', 'specified motion', 'spacecraft antennae', 'second objective', 'robot arms', 'rigid body', 'rights reserved', 'fundamental flaws', 'draw attention', 'dimensional motions', 'coriolis forces', 'centrifugal stiffening', 'accommodated automatically']</t>
  </si>
  <si>
    <t>The behavior of a cantilever beam built into a rigid body that is performing a specified motion of rotation and translation is studied with two objectives in mind. First, because the subject is of interest in connection with spacecraft antennae, helicopter rotor blades, robot arms, and other systems that perform complex motions, we create an algorithm that can be used to predict the behavior of the beam when the base undergoes general three-dimensional motions. Effects such as centrifugal stiffening and vibrations induced by Coriolis forces are accommodated automatically, rather than with the aid of ad hoc provisions. The second objective is to draw attention to fundamental flaws in certain multibody computer programs currently under development or already in use. To this end, we construct a second simulation algorithm, one that embodies the procedure apparently employed in the programs in question, and then compare simulation results produced by computer programs based on the two algorithms. Conflicts between the two approaches that thus come to light are discussed in detail. ¬© 1987 American Institute of Aeronautics and Astronautics, Inc. All rights reserved.</t>
  </si>
  <si>
    <t>139-151</t>
  </si>
  <si>
    <t>60012708;60012708;60022774</t>
  </si>
  <si>
    <t>7101829435;7402191504;57212417406</t>
  </si>
  <si>
    <t>Kane, T. R.;Ryan, R. R.;Banerjee, A. K.</t>
  </si>
  <si>
    <t>Boulevard;Palo Alto</t>
  </si>
  <si>
    <t>Lockheed Martin Space Systems Company;Stanford University</t>
  </si>
  <si>
    <t>60022774;60012708</t>
  </si>
  <si>
    <t>Kane T.</t>
  </si>
  <si>
    <t>Dynamics of a cantilever beam attached to a moving base</t>
  </si>
  <si>
    <t>10.2514/3.20195</t>
  </si>
  <si>
    <t>2-s2.0-0023306258</t>
  </si>
  <si>
    <t>European Space Agency</t>
  </si>
  <si>
    <t>ESA</t>
  </si>
  <si>
    <t>['¬© 1987', 'three frequencies', 'shall operate', 'results derived', 'reflector proposed', 'performances envisaged', 'joint esa', 'discussed together', 'design shall', '22 ghz']</t>
  </si>
  <si>
    <t>QUASAT is a joint ESA/NASA cooperative mission for a free-flying VLBI antenna to be used with the U.S. and European ground arrays. The spaceborn reflector shall have a diameter of 15 m or more and shall operate at three frequencies: 1.6, 5 and 22 GHz. These requirements are very stringent and very difficult to satisfy. The reflector proposed by the European Space Agency as part of the Quasat assessment study shall be presented. Such reflector shall use the Inflatable Space Rigidized technology under development within ESA. Results of the performances envisaged from such design shall be discussed together with the manufacturing and testing problems envisaged for such reflector. Results derived by different reflector design but using the same Inflatable Space Rigidized technology shall also be presented. ¬© 1987.</t>
  </si>
  <si>
    <t>181-187</t>
  </si>
  <si>
    <t>60031159;109539469</t>
  </si>
  <si>
    <t>6602457433;7007016033</t>
  </si>
  <si>
    <t>Reibaldi, G. G.;Bernasconi, M. C.</t>
  </si>
  <si>
    <t>Netherlands;Switzerland</t>
  </si>
  <si>
    <t>Noordwijk aan Zee;Zurich</t>
  </si>
  <si>
    <t>ESTEC - European Space Research and Technology Centre;Contraves AG</t>
  </si>
  <si>
    <t>Reibaldi G.</t>
  </si>
  <si>
    <t>QUASAT program: The ESA reflector</t>
  </si>
  <si>
    <t>009457658790018X</t>
  </si>
  <si>
    <t>10.1016/0094-5765(87)90018-X</t>
  </si>
  <si>
    <t>2-s2.0-0023310748</t>
  </si>
  <si>
    <t>['¬© 1987', 'simulations obtained', 'similar configurations', 'rights reserved', 'predicted vswr', 'nec ),', 'moments code', 'empirical technique', 'electrical engineers', 'computed results']</t>
  </si>
  <si>
    <t>Antennas | Broadband | HF | Loaded antennas | Wire</t>
  </si>
  <si>
    <t>Improvements in the performance of a loaded, broadband HF wire antenna are reported. An empirical technique, based on simulations obtained from a method of moments code (NEC), was used to design the antenna. The predicted VSWR and efficiency performance indicated its superiority over similar configurations. VSWR measurements confirmed the computed results. ¬© 1987, The Institution of Electrical Engineers. All rights reserved.</t>
  </si>
  <si>
    <t>276-278</t>
  </si>
  <si>
    <t>60016218;60016218</t>
  </si>
  <si>
    <t>7005409475;7101618795</t>
  </si>
  <si>
    <t>Fourie, A. P.C.;Austin, B. A.</t>
  </si>
  <si>
    <t>Johannesburg</t>
  </si>
  <si>
    <t>University of the Witwatersrand, Johannesburg</t>
  </si>
  <si>
    <t>Fourie A.</t>
  </si>
  <si>
    <t>Improved hf broadband wire antenna</t>
  </si>
  <si>
    <t>10.1049/el:19870201</t>
  </si>
  <si>
    <t>2-s2.0-0023310910</t>
  </si>
  <si>
    <t>N00014-85-K-0082</t>
  </si>
  <si>
    <t>['slot axis', 'plane wave', 'one wavelength', 'numerical results', 'narrow slot', 'electronics engineers', 'conducting plane', 'characteristic modes', 'characteristic currents', 'analytic expressions']</t>
  </si>
  <si>
    <t>Consider an infinitely long slot in a conducting plane in an unbounded medium illuminated by a uniform transverse magnetic (TM) (to the slot axis) plane wave. The theory‚Äô of characteristic modes for apertures is applied to solve the problem. For a narrow slot, analytic expressions for the first two characteristic currents and the equivalent magnetic current are given. As computed by the method of moments, numerical results for the characteristic currents and fields, the equivalent magnetic current, and the transmitted field pattern are presented for the slot whose width is one wavelength. Copyright ¬© 1987 by The Institute of Electrical and Electronics Engineers, Inc.</t>
  </si>
  <si>
    <t>331-335</t>
  </si>
  <si>
    <t>60030551;60030551;60030551;60010491</t>
  </si>
  <si>
    <t>7006960314;7201653432;7003887991;6701487674</t>
  </si>
  <si>
    <t>Kabalan, Karim Y.;Harrington, Roger F.;Mautz, Joseph R.;Auda, Hesham A.</t>
  </si>
  <si>
    <t>Syracuse;University</t>
  </si>
  <si>
    <t>Syracuse University;University of Mississippi</t>
  </si>
  <si>
    <t>60030551;60010491</t>
  </si>
  <si>
    <t>Characteristic Modes for a Slot in a Conducting Plane TM Case</t>
  </si>
  <si>
    <t>10.1109/TAP.1987.1144083</t>
  </si>
  <si>
    <t>2-s2.0-0023311069</t>
  </si>
  <si>
    <t>['¬© 1987', 'two antennas', 'theoretical patterns', 'similarly convolved', 'rights reserved', 'range antennas', 'radiative coupling', 'novel derivation', 'letter proposes', 'electrical engineers']</t>
  </si>
  <si>
    <t>Antennas | Microwave antennas</t>
  </si>
  <si>
    <t>A novel derivation is given for the radiative coupling between two antennas. Compact range measurements are seen to be convolutions of the patterns from test and range antennas. The letter proposes that theoretical patterns should be similarly convolved for comparison, rather than attempting pattern deconvolution. ¬© 1987, The Institution of Electrical Engineers. All rights reserved.</t>
  </si>
  <si>
    <t>263-265</t>
  </si>
  <si>
    <t>Brown, R. C.</t>
  </si>
  <si>
    <t>Interpretation of compact range measurements</t>
  </si>
  <si>
    <t>10.1049/el:19870192</t>
  </si>
  <si>
    <t>2-s2.0-0023311249</t>
  </si>
  <si>
    <t>['waveguide diameter', 'sufficiently accurate', 'small eilipticites', 'slightly elliptical', 'section ellipse', 'mode horn', 'horn throat', 'extremely strong', 'electronics engineers', 'cross polarization', 'conical hybrid', '12 ghz']</t>
  </si>
  <si>
    <t>The cross polarization caused by a perturbed cross section of the conical hybrid-mode horn is analyzed. The perturbed cross section is assumed to be slightly elliptical. The theory previously presented for cross polarization in a smooth-walled waveguide supporting the TE11-mode is referred and applied to the HE11-mode as well. Simple analytical formulas which are sufficiently accurate for small eilipticites of the cross-section ellipse are presented. These show that the tolerances on the waveguide diameter are extremely strong, typically on the order of 2 to 4 x 10‚àí2 mm in the horn throat for typical horn geometries at 12 GHz. Copyright ¬© 1987 by The Institute of Electrical and Electronics Engineers, Inc.</t>
  </si>
  <si>
    <t>335-337</t>
  </si>
  <si>
    <t>Lier, Erik</t>
  </si>
  <si>
    <t>Norway</t>
  </si>
  <si>
    <t>Trondheim</t>
  </si>
  <si>
    <t>Norges Teknisk-Naturvitenskapelige Universitet</t>
  </si>
  <si>
    <t>Lier E.</t>
  </si>
  <si>
    <t>Cross Polarization Caused by Perturbed Circular Cross Sections of Waveguides and Horn Antennas</t>
  </si>
  <si>
    <t>10.1109/TAP.1987.1144090</t>
  </si>
  <si>
    <t>2-s2.0-0023311304</t>
  </si>
  <si>
    <t>['results obtained', 'reflector antennas', 'originally given', 'electronics engineers', 'discuss relations', 'diffracted fields']</t>
  </si>
  <si>
    <t>Definitions of scattered and diffracted fields, originally given by R. F. Millar, are reviewed and supplemented. The definitions are used to discuss relations between results obtained by commonly used pattern prediction methods for reflector antennas. Copyright ¬© 1987 by The Institute of Electrical and Electronics Engineers, Inc.</t>
  </si>
  <si>
    <t>325-327</t>
  </si>
  <si>
    <t>Bach, Henning</t>
  </si>
  <si>
    <t>A Note on Antennas: Definitions and Methods</t>
  </si>
  <si>
    <t>10.1109/TAP.1987.1144094</t>
  </si>
  <si>
    <t>2-s2.0-0023311305</t>
  </si>
  <si>
    <t>['theoretical model', 'order theory', 'numerical results', 'electronics engineers', 'computer simulations', 'coaxial collinear', '915 mhz', '50 mhz']</t>
  </si>
  <si>
    <t>A theoretical model and computer simulations of the current on the coaxial collinear (COCO) antenna are presented. Comparisons between numerical results and measurements are made for 24- and 26-element COCO antennas at 50 MHz and for six- and eight-element COCO antennas at 915 MHz. The results show reasonable agreement between first-order theory and measurements. Copyright ¬© 1987 by The Institute of Electrical and Electronics Engineers, Inc.</t>
  </si>
  <si>
    <t>327-331</t>
  </si>
  <si>
    <t>60000221;60027716;60027716</t>
  </si>
  <si>
    <t>7801652124;7005490049;7006241919</t>
  </si>
  <si>
    <t>Judasz, Thierry J.;Ecklund, Warner L.;Balsley, Ben B.</t>
  </si>
  <si>
    <t>Washington, D.C.;Boulder</t>
  </si>
  <si>
    <t>National Oceanic and Atmospheric Administration;University of Colorado Boulder</t>
  </si>
  <si>
    <t>60027716;60000221</t>
  </si>
  <si>
    <t>Judasz T.J.</t>
  </si>
  <si>
    <t>The Coaxial Collinear Antenna: Current Distribution from the Cylindrical Antenna Equation</t>
  </si>
  <si>
    <t>10.1109/TAP.1987.1144095</t>
  </si>
  <si>
    <t>2-s2.0-0023311394</t>
  </si>
  <si>
    <t>['¬© 1987', 'threat levels', 'test facility', 'test equipment', 'processing schemes', 'parametric models', 'object subjected', 'national concern', 'important issue', 'identification techniques', 'high energy', 'extrapolate responses', 'enhanced data', 'electronic systems', 'electromagnetic pulse', 'desired signals', 'computer systems', '), especially']</t>
  </si>
  <si>
    <t>electromagnetics | estimation | identification | modeling | prediction | Signal processing</t>
  </si>
  <si>
    <t>The response of an object subjected to high energy, transient electromagnetic fields sometimes called an electromagnetic pulse (EMP) is an important issue in the survivability of electronic systems (e.g. aircraft, computer systems, etc.), especially when the field has been generated by a high-altitude nuclear burst. The characterization of transient response information is a matter of national concern. In this paper, estimation and identification techniques are applied to: (1) improve signal processing at a test facility, and (2) parameterize a particular object response. First, the application of identification-based signal processing techniques to improve signal levels at the Lawrence Livermore National Laboratory (LLNL) Electromagnetic Test Facility is discussed. Models of test equipment are identified and then utilized in processing schemes to enhance or recover the desired signals. Parametric models of objects under test are identified from the enhanced data in order to extrapolate responses to threat levels. ¬© 1987.</t>
  </si>
  <si>
    <t>175-187</t>
  </si>
  <si>
    <t>Automatica</t>
  </si>
  <si>
    <t>60026175;60025590</t>
  </si>
  <si>
    <t>7102758381;6507086119</t>
  </si>
  <si>
    <t>Candy, J. V.;Zicker, J. E.</t>
  </si>
  <si>
    <t>Livermore;Menlo Park</t>
  </si>
  <si>
    <t>Lawrence Livermore National Laboratory;SLAC National Accelerator Laboratory</t>
  </si>
  <si>
    <t>Candy J.</t>
  </si>
  <si>
    <t>Electromagnetic signal processing An estimation/identification application</t>
  </si>
  <si>
    <t>0005-1098(87)90090-2</t>
  </si>
  <si>
    <t>10.1016/0005-1098(87)90090-2</t>
  </si>
  <si>
    <t>2-s2.0-0023312423</t>
  </si>
  <si>
    <t>['wiley company', 'sufficiently practical', 'studied extensively', 'restricted somewhat', 'low frequencies', 'inc .,', 'images similar', 'geometrical relationship', 'estimated location', 'cross method', 'computer simulation', 'aperture center', 'antenna configuration', '10 œª']</t>
  </si>
  <si>
    <t>Unwanted electromagnetic waves radiated from equipment making use of electromagnetic energy create numerous societal problems. The prevention of these problems has been studied extensively. In this paper, a method for estimating the location of the unwanted electromagnetic waves is studied. Since it is difficult to make the antenna aperture large especailly at low frequencies, a search for electromagnetic wave source via a synthetic aperture technique is proposed. In the estimated electromagnetic source distribution by this method, images similar to the antenna sidelobes appear. It is demonstrated by computer simulation that the images can be suppressed by use of the synthetic aperture method with subarrays or use of Mill's cross method. Discrepancies between the true source location and the estimated location have been found in regard to the synthetic aperture length and the geometrical relationship with respect to the aperture center. It has been found that the antenna configuration with the synthetic aperture length of 10 Œª can estimate an electromagnetic wave source within 10 Œª square with accuracy of less than 1/4 Œª square. Therefore this method is sufficiently practical if the location of the source is restricted somewhat. Copyright ¬© 1987 Wiley Periodicals, Inc., A Wiley Company</t>
  </si>
  <si>
    <t>75-85</t>
  </si>
  <si>
    <t>60025555;60008435;60008435;60033089</t>
  </si>
  <si>
    <t>7102953906;7405726997;57203456121;7403248989</t>
  </si>
  <si>
    <t>Kikuchi, Jun‚ÄêIchi ‚ÄêI;Sato, Motoyuki;Nagasawa, Yoji;Sato, Risaburo</t>
  </si>
  <si>
    <t>Sendai;Tokyo;Sendai</t>
  </si>
  <si>
    <t>Tohoku Gakuin University;Nippon Telegraph and Telephone Corporation;Tohoku University</t>
  </si>
  <si>
    <t>60033089;60025555;60008435</t>
  </si>
  <si>
    <t>Kikuchi J.‚Äê.</t>
  </si>
  <si>
    <t>A proposal for searching for electromagnetic wave sources by using a synthetic aperture technique</t>
  </si>
  <si>
    <t>10.1002/ecja.4410700308</t>
  </si>
  <si>
    <t>2-s2.0-0023312523</t>
  </si>
  <si>
    <t>Langley Research Center</t>
  </si>
  <si>
    <t>LaRC</t>
  </si>
  <si>
    <t>['solved using', 'solution begins', 'microstrip patch', 'microstrip feed', 'large peaks', 'integral equation', 'electronics engineers', 'computed data', 'close agreement']</t>
  </si>
  <si>
    <t>A solution to the problem of plane wave scattering by a rectangular microstrip patch on a grounded dielectric substrate is presented. The model does not include the microstrip feed, and thus does not include the so-called ‚Äúantenna mode‚Äù component of the scattering. The solution begins by formulating an electric field integral equation for the surface current density on the microstrip patch. The integral equation is solved using the method of moments. Computed data for the patch radar cross section (RCS) is found to be in close agreement with measurements over a broad frequency range. The microstrip RCS versus frequency consists of a number of large peaks which are identified as impedance or pattern factor resonance peaks. Copyright ¬© 1987 by The Institute of Electrical and Electronics Engineers, Inc.</t>
  </si>
  <si>
    <t>245-251</t>
  </si>
  <si>
    <t>60003500;60003500</t>
  </si>
  <si>
    <t>7203066664;57193397777</t>
  </si>
  <si>
    <t>Newman, Edward H.;Forrai, David</t>
  </si>
  <si>
    <t>Scattering from a Microstrip Patch</t>
  </si>
  <si>
    <t>10.1109/TAP.1987.1144084</t>
  </si>
  <si>
    <t>2-s2.0-0023312538</t>
  </si>
  <si>
    <t>['y0 ).', 'wide range', 'transformation relating', 'small feed', 'reflector antenna', 'reduced substantially', 'negligible spillover', 'main reflector', 'imaging laws', 'illuminating efficiently', 'given accurately', 'geometric optics', 'focal plane', 'feed distribution', 'electronics engineers', 'classical problem', 'approximately frequency']</t>
  </si>
  <si>
    <t>The classical problem of illuminating efficiently the aperture of a reflector antenna is discussed. We combine a small feed with an ellipsoidal reflector producing, directly on the main reflector, a magnified image f(x, y) of the feed aperture distribution f0(x0, y0). The transformation relating the feed distribution to its image is approximately frequency-independent, since it is given accurately by the imaging laws of geometric optics. Thus the antenna is efficient over a wide range of frequencies. Furthermore, since the entire image distribution f(x, y) is reflected by the main reflector with negligible spillover, the antenna far field is approximately a replica of the focal plane field and, therefore, its sidelobes can be reduced substantially by using spatial filtering in the focal plane. Copyright ¬© 1987 by The Institute of Electrical and Electronics Engineers, Inc.</t>
  </si>
  <si>
    <t>258-267</t>
  </si>
  <si>
    <t>Dragone, Corrado</t>
  </si>
  <si>
    <t>San Antonio</t>
  </si>
  <si>
    <t>AT&amp;T Inc.</t>
  </si>
  <si>
    <t>Dragone C.</t>
  </si>
  <si>
    <t>Use of Imaging with Spatial Filtering in Reflector Antennas</t>
  </si>
  <si>
    <t>10.1109/TAP.1987.1144105</t>
  </si>
  <si>
    <t>2-s2.0-0023313020</t>
  </si>
  <si>
    <t>['using cylinders', 'unequal radii', 'published data', 'necessarily possible', 'large n', 'electronics engineers', 'distribution along', 'cylindrical reflector', 'corner reflector', 'backscattering pattern', 'arbitrary radius']</t>
  </si>
  <si>
    <t>A cylindrical reflector is simulated by N parallel circular conducting cylinders of arbitrary radius and distribution along the trajectory of the continuous reflector surface. The resulting radiation pattern of the transmitting reflector antenna is computed as the backscattering pattern of the circular cylinders due to a line source excitation. The results for large N are compared with published data for a cylindrical parabolic reflector by Kinzel and for a corner reflector by Tsai. It is shown that the beamwidth and first sidelobe level can be improved by using cylinders of unequal radii and spacing but that, contrary to expectation, further improvement by increasing the number of cylinders is not necessarily possible. Copyright ¬© 1987 by The Institute of Electrical and Electronics Engineers, Inc.</t>
  </si>
  <si>
    <t>349-353</t>
  </si>
  <si>
    <t>Ragheb, H. A.;Hamid, Michael</t>
  </si>
  <si>
    <t>Simulation of a Cylindrical Reflector by Conducting Circular Cylinders</t>
  </si>
  <si>
    <t>10.1109/TAP.1987.1144096</t>
  </si>
  <si>
    <t>2-s2.0-0023313074</t>
  </si>
  <si>
    <t>Sandia National Laboratories</t>
  </si>
  <si>
    <t>SNL</t>
  </si>
  <si>
    <t>['zone radiation', 'scattering measurements', 'measurement volume', 'make near', 'made available', 'incident wave', 'gtd ).', 'geometrical theory', 'far zone', 'electronics engineers', 'demonstrated variable', 'demonstrated using', 'conventional far', 'compact range', 'circular cylinder', 'adjustable continuously', '50 ft']</t>
  </si>
  <si>
    <t>The purpose of this paper is to demonstrate the feasibility of using compact range reflector systems to make near-zone radiation or scattering measurements. This can be achieved by designing the compact range to provide a uniform spherical wave incident upon the antenna or scatterer under test. The basic design technique is demonstrated using the Scientific Atlanta reflector system which has been modified by adding an elliptic rolled Edge to improve the uniformity of the incident wave. The near-zone range design is validated (from around 50 ft range to the far zone) by probing the field in the measurement volume and by comparing measured backscattering patterns from a circular cylinder with those calculated by the geometrical theory of diffraction (GTD). All the advantages of a conventional far-zone compact range are now made available by our demonstrated variable-zone (adjustable continuously from 50 ft to infinity) compact range. Copyright ¬© 1987 by The Institute of Electrical and Electronics Engineers, Inc.</t>
  </si>
  <si>
    <t>280-286</t>
  </si>
  <si>
    <t>60003500;60003500;60003500;60007843</t>
  </si>
  <si>
    <t>6603843146;26323299700;7004270570;7405525534</t>
  </si>
  <si>
    <t>Rudduck, Roger C.;Liang, Ming Cheng;Burnside, Walter D.;Yu, Jiunn S.</t>
  </si>
  <si>
    <t>Albuquerque;Columbus</t>
  </si>
  <si>
    <t>Sandia National Laboratories, New Mexico;The Ohio State University</t>
  </si>
  <si>
    <t>60007843;60003500</t>
  </si>
  <si>
    <t>Rudduck R.</t>
  </si>
  <si>
    <t>Feasibility of Compact Ranges for Near-Zone Measurements</t>
  </si>
  <si>
    <t>10.1109/TAP.1987.1144088</t>
  </si>
  <si>
    <t>2-s2.0-0023313075</t>
  </si>
  <si>
    <t>['surface impedances', 'resistive types', 'radiation patterns', 'gtd ).', 'geometrical theory', 'generalized method', 'electronics engineers', 'chosen loads']</t>
  </si>
  <si>
    <t>The radiation patterns of the focus-fed axially symmetric and loaded ellipsoidal antennas in E- and H-planes are calculate by using the generalized method of geometrical theory of diffraction (GTD). The chosen loads are resistive types which are described in terms of surface impedances. Copyright ¬© 1987 by The Institute of Electrical and Electronics Engineers, Inc.</t>
  </si>
  <si>
    <t>347-349</t>
  </si>
  <si>
    <t>Yazgan, Erdem</t>
  </si>
  <si>
    <t>Turkey</t>
  </si>
  <si>
    <t>Ankara</t>
  </si>
  <si>
    <t>Hacettepe √úniversitesi</t>
  </si>
  <si>
    <t>The Radiation Pattern of a Surface Loaded Ellipsoidal Reflector</t>
  </si>
  <si>
    <t>10.1109/TAP.1987.1144102</t>
  </si>
  <si>
    <t>2-s2.0-0023313590</t>
  </si>
  <si>
    <t>['wiley company', 'unbalanced modes', 'transmission line', 'theoretical results', 'structural restrictions', 'somewhat arbitrary', 'radiation pattern', 'present antenna', 'power divider', 'making use', 'inc .,', 'experimentally confirmed', 'equivalent circuit', 'element length', 'effective lengths', 'current distribution', 'axial ratio', 'appropriate length']</t>
  </si>
  <si>
    <t>Analysis and design of a circularly polarized antenna made of a folded antenna loaded orthogonally with a dipole of an appropriate length is presented here. This antenna is developed in recognition that a folded antenna includes the characteristics of a transmission line. It is a simple single‚Äêfeed antenna without a power divider and a phase shifter commonly used in a conventional crossed‚Äêdipole antenna. Making use of the fact that the current distribution can be decomposed into the balanced and unbalanced modes, one can derive the equivalent circuit and the equivalent crossed dipoles of the present antenna. The circular polarization condition is derived on effective lengths and impedances of dipoles. Based on investigation of this condition, a circularly polarized antenna has actually been designed and the characteristics of axial ratio and radiation pattern have been obtained. It is found that this antenna has few structural restrictions. Among them, element length is somewhat arbitrary. Validity of the theoretical results has been experimentally confirmed. Copyright ¬© 1987 Wiley Periodicals, Inc., A Wiley Company</t>
  </si>
  <si>
    <t>66-74</t>
  </si>
  <si>
    <t>60018429;60018429;60018429</t>
  </si>
  <si>
    <t>56036522400;6507243531;7003674455</t>
  </si>
  <si>
    <t>Nakamura, Takashi;Abeta, Takehiro;Yokokawa, Senji</t>
  </si>
  <si>
    <t>Gifu</t>
  </si>
  <si>
    <t>Gifu University</t>
  </si>
  <si>
    <t>Nakamura T.</t>
  </si>
  <si>
    <t>Folded antenna loaded with a dipole for circular polarization</t>
  </si>
  <si>
    <t>10.1002/ecja.4410700307</t>
  </si>
  <si>
    <t>2-s2.0-0023313711</t>
  </si>
  <si>
    <t>['relative phases', 'receiving antennas', 'receiving antenna', 'power transfer', 'phase angle', 'measured data', 'electronics engineers', 'axial ratio', 'antenna illuminated', 'algorithmis derived']</t>
  </si>
  <si>
    <t>A method for Determining the axial ratio of an antenna illuminated by an imperfectly circularly polarized source is described. This method requires measurements of the right- and left-handed amplitude components and their relative phases for both the receiving and transmitting (or source) antennas. From these measured data and, of course, the theory of power transfer between the source and receiving antennas, an algorithmis derived for the actual axial ratio of the receiving antenna. Illustrative results showing the effects of the phase angle are presented. Copyright ¬© 1987 by The Institute of Electrical and Electronics Engineers, Inc.</t>
  </si>
  <si>
    <t>339-342</t>
  </si>
  <si>
    <t>Igwe, Christian I.</t>
  </si>
  <si>
    <t>Canoga Park</t>
  </si>
  <si>
    <t>Rockwell International</t>
  </si>
  <si>
    <t>Igwe C.I.</t>
  </si>
  <si>
    <t>Axial Ratio of an Antenna Illuminated by an Imperfectly Circularly Polarized Source</t>
  </si>
  <si>
    <t>10.1109/TAP.1987.1144100</t>
  </si>
  <si>
    <t>2-s2.0-0023313727</t>
  </si>
  <si>
    <t>['technique implements', 'spaced samples', 'space shuttle', 'sampled points', 'reflector antenna', 'recent investigations', 'radio frequency', 'prescribed directions', 'polar patterns', 'phase data', 'pattern reconstruction', 'numerical results', 'many reflector', 'many circumstances', 'life simulation', 'generate uniform', 'field patterns', 'field measurement', 'feed configurations', 'employ irregularly', 'electronics engineers', 'effectively applied', 'complete far', 'almost impractical', 'actual far', 'accurately control']</t>
  </si>
  <si>
    <t>Recent investigations have demonstrated that uniform sampling techniques can be effectively applied for construction of far-field patterns of antennas. There are, however, many circumstances for which it may not be practical to directly utilize uniform sampling techniques. A two-dimensional sampling technique which can employ irregularly (nonuniformly) spaced samples (amplitude and phase) in order to generate the complete far-field patterns is presented. The technique implements a matrix inversion algorithm which depends only on the nonuniform sampled data point locations and with no dependence on the actual field values at these points. A powerful simulation algorithm is presented to allow a real-life simulation of many reflector/feed configurations and to determine the usefulness of the nonuniform sampling technique for the co-polar and cross-polar patterns. Additionally, an overlapped window concept and a generalized error simulation model are discussed to identify the stability of the technique for recovering the field data among the nonuniform sampled data. Numerical results are tailored for the pattern reconstruction of a 20-m offset reflector antenna operating at L-band. This reflector is planned to be used in a proposed measurement concept of large antennas aboard the space shuttle, whereby it would be almost impractical to accurately control the movement of the shuttle with respect to the radio frequency (RF) source in prescribed directions in order to generate uniform (u, v) sampled points. Also, application of the nonuniform sampling technique to patterns obtained using near-field measured data is demonstrated. Finally, results of an actual far-field measurement are presented for the construction of patterns of a reflector antenna from a set of nonuniformly distributed measured amplitude and phase data. Copyright ¬© 1987 by The Institute of Electrical and Electronics Engineers, Inc.</t>
  </si>
  <si>
    <t>268-279</t>
  </si>
  <si>
    <t>60009037;60009037</t>
  </si>
  <si>
    <t>7102110120;56209633900</t>
  </si>
  <si>
    <t>Rahmat-Samii, Yahya;Cheung, Rudolf Lap Tung</t>
  </si>
  <si>
    <t>Rahmat-Samii Y.</t>
  </si>
  <si>
    <t>Nonuniform Sampling Techniques for Antenna Applications</t>
  </si>
  <si>
    <t>10.1109/TAP.1987.1144092</t>
  </si>
  <si>
    <t>2-s2.0-0023314203</t>
  </si>
  <si>
    <t>['single slot', 'linear array', 'investigated theoretically', 'electronics engineers', 'boxed stripline']</t>
  </si>
  <si>
    <t>Transverse slots fed by a boxed stripline, with the strip passing centrally under the slot at an angle which controls the coupling, have been investigated theoretically and experimentally. A procedure has been developed which permits the design of arrays of such slots, including the effects of external mutual coupling. Agreement between theory and experiment has been found to be good for both a single slot and a linear array. Copyright ¬© 1987 by The Institute of Electrical and Electronics Engineers, Inc.</t>
  </si>
  <si>
    <t>252-257</t>
  </si>
  <si>
    <t>60021392;60027550</t>
  </si>
  <si>
    <t>7403142893;57220065537</t>
  </si>
  <si>
    <t>Robertson, Ralston S.;Elliott, Robert S.</t>
  </si>
  <si>
    <t>Los Angeles;Tucson</t>
  </si>
  <si>
    <t>University of California, Los Angeles;Hughes Missile Systems Company</t>
  </si>
  <si>
    <t>60027550;60021392</t>
  </si>
  <si>
    <t>Robertson R.S.</t>
  </si>
  <si>
    <t>The Design of Transverse Slot Arrays Fed by the Meandering Strip of a Boxed Stripline</t>
  </si>
  <si>
    <t>10.1109/TAP.1987.1144085</t>
  </si>
  <si>
    <t>2-s2.0-0023314204</t>
  </si>
  <si>
    <t>['wave frequencies', 'new 10', 'including details', 'experimental results', 'electronics engineers']</t>
  </si>
  <si>
    <t>A new 10-GHz microwave source which utilizes picosecond photoconductors is presented. Experimental results are given, including details of a comprehensive noise study. Such a source can be extended to millimeter-wave frequencies, with application to monolithic active phased array antenna elements, high speed data processing, and transceivers. Copyright ¬© 1987 by The Institute of Electrical and Electronics Engineers, Inc.</t>
  </si>
  <si>
    <t>388-397</t>
  </si>
  <si>
    <t>Journal of Lightwave Technology</t>
  </si>
  <si>
    <t>60020304;60020304;60020304;60020304;60020304;60018836;60007742;60007742</t>
  </si>
  <si>
    <t>55454836600;6603775757;57203875412;7006596510;52763632200;56838214800;7101794937;55910934800</t>
  </si>
  <si>
    <t>Clark, Christopher J.;Chauchard, Eve A.;Webb, Kevin J.;Zaki, Kawthar A.;Lee, Chi H.;Polak-Dincles, Penelope;Hung, Hing Loi A.;Huang, Ho C.</t>
  </si>
  <si>
    <t>United States;United States;United States</t>
  </si>
  <si>
    <t>College Park;College Park;Clarksburg</t>
  </si>
  <si>
    <t>University of Maryland, College Park;Laboratory for Physical Sciences;Comsat Laboratories</t>
  </si>
  <si>
    <t>60020304;60018836;60007742</t>
  </si>
  <si>
    <t>Clark C.J.</t>
  </si>
  <si>
    <t>Investigation of a New Optoelectronic CW Microwave Source</t>
  </si>
  <si>
    <t>10.1109/JLT.1987.1075503</t>
  </si>
  <si>
    <t>2-s2.0-0023314289</t>
  </si>
  <si>
    <t>['sufficiently attenuated', 'smaller antennas', 'side lobes', 'results indicate', 'performance degrades', 'orbital arc', 'noise ratio', 'larger antennas', 'expected interference', 'ensure interference', 'electronics engineers', 'diameter ),', 'attendant imposition', 'antenna size', 'adjacent satellites', 'achieve improvement', '16 feet', '11 feet', '10 feet']</t>
  </si>
  <si>
    <t>The crowding of the orbital arc with the attendant imposition by the FCC of the 2¬∞ orbital spacing requirements between satellites will end the trend toward smaller satellite home receiving antennas. Smaller antennas (less than 10 feet in diameter), which are subject to interference from adjacent satellites, will be replaced by larger antennas. In this paper the expected interference is calculated, and the resulting received signal-to-noise ratio is estimated. To ensure interference-free C band reception under the present 2¬∞ spacing requirement, the results indicate that the receiving antenna diameter should not be smaller than about 11 feet. In high satellite EIRP cases, only by increasing the antenna size to 16 feet or larger is it possible to achieve improvement over an 11 foot antenna. For sizes between 11 and 16 feet, performance degrades in comparison with an 11 foot antenna because the interference falls onto the antenna's side lobes and is not sufficiently attenuated. Copyright ¬© 1987 by The Institute of Electrical and Electronics Engineers, Inc.</t>
  </si>
  <si>
    <t>23-26</t>
  </si>
  <si>
    <t>BC-33</t>
  </si>
  <si>
    <t>IEEE Transactions on Broadcasting</t>
  </si>
  <si>
    <t>7005552518;7003551977</t>
  </si>
  <si>
    <t>Sion, E.;Mathur, U.</t>
  </si>
  <si>
    <t>Sion E.</t>
  </si>
  <si>
    <t>Optimum satellite home receiving antenna size at c band</t>
  </si>
  <si>
    <t>10.1109/TBC.1987.266617</t>
  </si>
  <si>
    <t>2-s2.0-0023314339</t>
  </si>
  <si>
    <t>Kementerian Pendidikan Malaysia</t>
  </si>
  <si>
    <t>KPM</t>
  </si>
  <si>
    <t>['¬© 1987', 'thermal ageing', 'test results', 'suitable dimension', 'strong non', 'station environments', 'space structures', 'space applications', 'particularly applies', 'numerical study', 'modal analyzer', 'mechanical parameters', 'material behaviour', 'mass versus', 'manufacturing methodology', 'mainly correlated', 'lamination typology', 'laminate panels', 'glass fiber', 'generally obtained', 'extensively used', 'experimental evidence', 'ep composites', 'energy dissipated', 'dynamic behaviour', 'damping factors', 'damping characteristics', 'damping behaviour', 'considered driving', 'composite structures', 'composite materials', 'antenna reflectors', 'also impacted', 'also evaluated']</t>
  </si>
  <si>
    <t>Composite materials are extensively used for space structures: the sandwich and laminate panels are now part of the current manufacturing technology for spacecraft and antenna reflectors. Depending on the applications, some mechanical parameters are considered driving in the design, in order to satisfy the required structural performance. Among them, the knowledge of the damping is necessary to evaluate the dynamic behaviour of the structures. That particularly applies to the composite structures for space applications; for which an optimization of their mass versus their stiffness is attempted to take into account both launch and on station environments. The prediction of the damping factors of composites is rather difficult since it depends not only on the nature of the materials, which are in general neither homogeneous nor isotropic, but also on the kind of structures (i.e. size and shape) and on the manufacturing methodology, due to the strong non-linearity in the material behaviour. All the above is also impacted by the tendency of these materials to microcracking under stress. This phenomenon, mainly correlated to the cyclic loads introduced by thermal ageing, produces a variation of damping with time. For these reasons an evaluation of the damping characteristics of this kind of structure has been generally obtained by tests on full scale hardware or specimens with suitable dimension, being any prediction method rather difficult to apply. The purpose of this work is to study the damping behaviour of Gr/Ep, Kevlar/Ep and Glass Fiber/Ep composites which are extensively used in space structures, starting from test results on beam and plate shaped specimens. Experimental evidence will be fitted in an analytical and numerical study, the purpose of which is to correlate the energy dissipated in the composite to the lamination typology. Using a Finite Element Method, the amount of energy dissipated for each mode will be also evaluated, providing the correlations with the test results obtained with a modal analyzer. ¬© 1987.</t>
  </si>
  <si>
    <t>157-164</t>
  </si>
  <si>
    <t>60032350;60084299;60084299;60084299</t>
  </si>
  <si>
    <t>7201839044;35511078400;6505736258;57212934865</t>
  </si>
  <si>
    <t>Marchetti, M.;Morganti, F.;Mucciante, L.;Bruno, C.</t>
  </si>
  <si>
    <t>Damping of composite plate for space structures: Prediction and measurement methods</t>
  </si>
  <si>
    <t>10.1016/0094-5765(87)90015-4</t>
  </si>
  <si>
    <t>2-s2.0-0023314725</t>
  </si>
  <si>
    <t>['worst cases', 'values improved', 'smaller building', 'sight paths', 'physical differences', 'performed within', 'overall worst', 'much smaller', 'electronics engineers', 'detailed analysis', 'also shown', '850 mhz', '250 ns', '218 ns', '100 ns']</t>
  </si>
  <si>
    <t>A detailed analysis of time delay spread and signal level measurements at 850 MHz was performed within a large office building. The results were compared with studies of a much smaller and dissimilar office building. The results were found to be substantially the same, despite the physical differences of the buildings themselves. This may be due to external geographical features. Overall worst-case root mean square (rms) time delay spreads in the buildings were 250 ns and 218 ns in the larger and smaller building, respectively. However, these values improved to under 100 ns when there was a good direct path between the antennas. Time delay spread was also shown to be independent of relative antenna polarizations of the transmitter and receiver, even on line-of-sight paths. Received signal levels were below ‚àí90 dB with reference to the level at 0.3 m separation, in the worst cases. Copyright ¬© 1987 by The Institute of Electrical and Electronics Engineers, Inc.</t>
  </si>
  <si>
    <t>319-324</t>
  </si>
  <si>
    <t>Devasirvatham, Daniel M.J.</t>
  </si>
  <si>
    <t>Piscataway</t>
  </si>
  <si>
    <t>Telcordia Technologies, Inc.</t>
  </si>
  <si>
    <t>Devasirvatham D.M.J.</t>
  </si>
  <si>
    <t>A Comparison of Time Delay Spread and Signal Level Measurements Within Two Dissimilar Office Buildings</t>
  </si>
  <si>
    <t>10.1109/TAP.1987.1144106</t>
  </si>
  <si>
    <t>2-s2.0-0023314861</t>
  </si>
  <si>
    <t>2261/83</t>
  </si>
  <si>
    <t>['proper treatment', 'numerical results', 'monopole located', 'input impedance', 'geometrical theory', 'electronics engineers', 'axial caustic', 'arbitrary direction']</t>
  </si>
  <si>
    <t>The input impedance of a monopole located off-axis on a disk and oriented in an arbitrary direction is investigated using hybrid method of moments/geometrical theory of diffraction (MM/GTD) techniques. The equivalent currents method (ECM) and the uniform geometrical theory of diffraction (UTD) are used to ensure a proper treatment of each situation. A criterion for switching from UTD to ECM in the vicinity of the axial caustic is discussed. Measurements of impedance have been made in order to check the numerical results and are presented here, showing good agreement with theory. Copyright ¬© 1987 by The Institute of Electrical and Electronics Engineers, Inc.</t>
  </si>
  <si>
    <t>287-292</t>
  </si>
  <si>
    <t>60028442;60028442</t>
  </si>
  <si>
    <t>57216145348;57220192155</t>
  </si>
  <si>
    <t>Marin, Miguel;Catedra, Manuel F.</t>
  </si>
  <si>
    <t>Spain</t>
  </si>
  <si>
    <t>Madrid</t>
  </si>
  <si>
    <t>Universidad Polit√©cnica de Madrid</t>
  </si>
  <si>
    <t>Marin M.</t>
  </si>
  <si>
    <t>A Study of a Monopole Arbitrarily Located on a Disk Using Hybrid MM/GTD Techniques</t>
  </si>
  <si>
    <t>10.1109/TAP.1987.1144093</t>
  </si>
  <si>
    <t>2-s2.0-0023315017</t>
  </si>
  <si>
    <t>['target zone', 'spread factor', 'smooth transition', 'reflected field', 'proposed shaping', 'main reflector', 'electronics engineers', 'directed toward', 'diffracted fields']</t>
  </si>
  <si>
    <t>Compact ranges offer many advantages over other types of ranges, and as a result much effort is being directed toward the improvement of their performance. The use of concave edge contours and blended rolled edge terminations to reduce the unwanted energy diffracted into the target zone from the termination of the main reflector is discussed. The proposed shaping of the edge contour minimizes the diffracted fields by virtue of reducing the spread factor; whereas, the blended rolled edge terminations reduce the diffracted fields by creating a smooth transition in the reflected field. Two design examples are treated in order to illustrate these concepts. Copyright ¬© 1987 by The Institute of Electrical and Electronics Engineers, Inc.</t>
  </si>
  <si>
    <t>342-347</t>
  </si>
  <si>
    <t>7004219095;7004270570</t>
  </si>
  <si>
    <t>Pistorius, Carl W.I.;Burnside, Walter D.</t>
  </si>
  <si>
    <t>Pistorius C.W.I.</t>
  </si>
  <si>
    <t>An Improved Main Reflector Design for Compact Range Applications</t>
  </si>
  <si>
    <t>10.1109/TAP.1987.1144101</t>
  </si>
  <si>
    <t>2-s2.0-0023315191</t>
  </si>
  <si>
    <t>['signal bandwidth', 'results show', 'mutual coupling', 'much greater', 'illustrate quantitatively', 'electronics engineers', 'band cases', 'antenna elements']</t>
  </si>
  <si>
    <t>The effect of mutual coupling on the performance of a least mean square (LMS) adaptive array using dipole elements is analyzed in consideration of the signal bandwidth. The purpose here is to illustrate quantitatively the significance of the effect of mutual coupling. The results show that the effect in the broad-band signal cases is much greater than that in the narrow-band cases, particularly when few antenna elements are used. Copyright ¬© 1987 by The Institute of Electrical and Electronics Engineers, Inc.</t>
  </si>
  <si>
    <t>337-339</t>
  </si>
  <si>
    <t>60014256;60014256;60014256</t>
  </si>
  <si>
    <t>7601317130;7102376306;7403304145</t>
  </si>
  <si>
    <t>Zhang, Yimin;Hirasawa, Kazuhiro;Fujimoto, Kyohei</t>
  </si>
  <si>
    <t>Tsukuba</t>
  </si>
  <si>
    <t>University of Tsukuba</t>
  </si>
  <si>
    <t>Zhang Y.</t>
  </si>
  <si>
    <t>Signal Bandwidth Consideration of Mutual Coupling Effects on Adaptive Array Performance</t>
  </si>
  <si>
    <t>10.1109/TAP.1987.1144091</t>
  </si>
  <si>
    <t>2-s2.0-0023315780</t>
  </si>
  <si>
    <t>National Institute of General Medical Sciences</t>
  </si>
  <si>
    <t>R01GM030331</t>
  </si>
  <si>
    <t>NIGMS</t>
  </si>
  <si>
    <t>['¬© 1987', 'surface coil', 'spectral resolution', 'significant improvements', 'rights reserved', 'proton decoupling', 'noise ratio', 'noe ).', 'nmr spectroscopy', 'living subject', 'intact subject', 'helmholtz pair', 'glucose metabolism', 'fluorinated compound', 'decoupling channels', 'cerebral tissue', 'biophysical society', '200 mhz', '1h decoupling', '19f observe', '19f observation']</t>
  </si>
  <si>
    <t>The efficacy of proton decoupling for enhancing the 19F nuclear magnetic resonance (NMR) signal-to-noise ratio and spectral resolution in the intact subject is demonstrated. A geometrically orthogonal cross-coil antenna configuration (Helmholtz pair, surface coil) is employed to provide 40 dB of isolation between the 19F observe and 1H decouple frequencies of 188 and 200 MHz, respectively. Further isolation is achieved through the use of high-quality notch filters on both observation and decoupling channels. Application of 19F-(1H) NMR spectroscopy to the study of 2-fluoro-2-deoxy-D-glucose metabolism in cerebral tissue in situ is presented. Significant improvements in sensitivity and resolution are obtained and result from both a collapse of the JFH multiple structure and a substantial positive nuclear Overhauser effect (NOE). To our knowledge, this is the first such demonstration of 1H decoupling in conjunction with 19F observation for study of the metabolism of a fluorinated compound in the living subject. ¬© 1987, The Biophysical Society. All rights reserved.</t>
  </si>
  <si>
    <t>681-685</t>
  </si>
  <si>
    <t>7103292898;55945905800</t>
  </si>
  <si>
    <t>Berkowitz, B. A.;Ackerman, J. J.</t>
  </si>
  <si>
    <t>Berkowitz B.</t>
  </si>
  <si>
    <t>Proton decoupled fluorine nuclear magnetic resonance spectroscopy in situ</t>
  </si>
  <si>
    <t>S0006349587833933</t>
  </si>
  <si>
    <t>10.1016/S0006-3495(87)83393-3</t>
  </si>
  <si>
    <t>2-s2.0-0023323694</t>
  </si>
  <si>
    <t>248-253</t>
  </si>
  <si>
    <t>ASLE Transactions</t>
  </si>
  <si>
    <t>56021726700;56291461600</t>
  </si>
  <si>
    <t>Miyake, Shojiro;Takahashi, Sadao</t>
  </si>
  <si>
    <t>Miyake S.</t>
  </si>
  <si>
    <t>Small-angle oscillatory performance of solid-lubricant film-coated ball bearings for vacuum applications</t>
  </si>
  <si>
    <t>10.1080/05698198708981755</t>
  </si>
  <si>
    <t>2-s2.0-0023324846</t>
  </si>
  <si>
    <t>['¬© 1987', 'theoretical explanation', 'rights reserved', 'radiation characteristics', 'electrical engineers']</t>
  </si>
  <si>
    <t>Antennas | Microstrip</t>
  </si>
  <si>
    <t>A simple microstripline feed network for an array module comprising four microstrip elements is described. The advantages and disadvantages of the network are discussed as well as a theoretical explanation for the radiation characteristics of array modules using the network. ¬© 1987, The Institution of Electrical Engineers. All rights reserved.</t>
  </si>
  <si>
    <t>436-437</t>
  </si>
  <si>
    <t>60000745;60000745;60026717</t>
  </si>
  <si>
    <t>6507149157;7401934487;24522606100</t>
  </si>
  <si>
    <t>Oberhart, M. L.;Lo, Y. T.;Lee, R. Q.H.</t>
  </si>
  <si>
    <t>Cleveland;Urbana</t>
  </si>
  <si>
    <t>NASA Glenn Research Center;University of Illinois Urbana-Champaign</t>
  </si>
  <si>
    <t>60026717;60000745</t>
  </si>
  <si>
    <t>Oberhart M.</t>
  </si>
  <si>
    <t>New Simple Feed Network for an Array Module of Four Microstrip Elements</t>
  </si>
  <si>
    <t>10.1049/el:19870314</t>
  </si>
  <si>
    <t>2-s2.0-0023326730</t>
  </si>
  <si>
    <t>['topics include', 'timing delay', 'studied cancellers', 'results show', 'receiver performance', 'propagation impairments', 'polarization discrimination', 'paper presents', 'new techniques', 'new kinds', 'multipath fading', 'interfering signals', 'frequency reuse', 'electronics engineers', 'critically sensitive', 'canceller description', 'attractive way', 'asynchronous clocks']</t>
  </si>
  <si>
    <t>Frequency reuse is an attractive way for increasing transmission capacity of digital radio systems. Propagation impairments such as multipath fading or antenna imperfections require the introduction of new techniques to fight against the degradation of cross-polarization discrimination. This paper presents the performance of new kinds of cross-polarization interference cancellers for a dual 16 QAM system over dispersive radio channels. The structure of the studied cancellers is a decision feedback one. Topics include a multipath propagation model, canceller description, and the, theoretical and dynamic simulated performance of the receiver. For asynchronous clocks for the horizontally and vertically polarized channels, the results show that the receiver performance is critically sensitive to the timing delay between the main and the interfering signals. Copyright ¬© 1987 by The Institute of Electrical and Electronics Engineers, Inc.</t>
  </si>
  <si>
    <t>484-492</t>
  </si>
  <si>
    <t>Borgne, Michel</t>
  </si>
  <si>
    <t>Issy-les-Moulineaux</t>
  </si>
  <si>
    <t>Orange Labs</t>
  </si>
  <si>
    <t>Borgne M.</t>
  </si>
  <si>
    <t>A New Class of Adaptive Cross-Polarization Interference Cancellers for Digital Radio Systems</t>
  </si>
  <si>
    <t>10.1109/JSAC.1987.1146545</t>
  </si>
  <si>
    <t>2-s2.0-0023326989</t>
  </si>
  <si>
    <t>['vacuum evaporation', 'successfully used', 'substrate temperature', 'glass substrates', 'first time', 'devices fabricated', 'coupled point', 'co2 laser', '600 nm']</t>
  </si>
  <si>
    <t>Polycrystalline germanium films with a thickness of 600 nm were deposited on glass substrates by vacuum evaporation and used for the first time as antenna-coupled point-contact warm carrier devices. Devices fabricated by using a Ge film deposited at a substrate temperature of 640≈∂C were successfully used to detect a CO2 laser. ¬© 1987 IOP Publishing Ltd.</t>
  </si>
  <si>
    <t>643-644</t>
  </si>
  <si>
    <t>4 R</t>
  </si>
  <si>
    <t>60004176;60004176</t>
  </si>
  <si>
    <t>7403247020;7004555963</t>
  </si>
  <si>
    <t>Inoue, Narumi;Yasuoka, Yoshizumi</t>
  </si>
  <si>
    <t>Yokosuka</t>
  </si>
  <si>
    <t>National Defense Academy of Japan</t>
  </si>
  <si>
    <t>Inoue N.</t>
  </si>
  <si>
    <t>CO&lt;inf&gt;2&lt;/inf&gt; laser detection using a warm carrier device fabricated by evaporated ge films</t>
  </si>
  <si>
    <t>10.1143/JJAP.26.643</t>
  </si>
  <si>
    <t>2-s2.0-0023327411</t>
  </si>
  <si>
    <t>['theoretical analysis', 'station antennas', 'sometimes necessary', 'smaller antennas', 'requirements imposed', 'radiation pattern', 'radiation characteristics', 'paper discusses', 'offset geometries', 'offset configuration', 'lambda less', 'lambda greater', 'international radio', 'cassegrain antennas', 'also considered']</t>
  </si>
  <si>
    <t>Using the results of a theoretical analysis of the radiation pattern of Cassegrain antennas, the paper discusses the requirements imposed by the most recent Consultative Committee on International Radio (CCIR) recommendations for the maximum-allowable sidelobe level applicable to earth-station antennas with D/ lambda greater than 150 (D being the diameter of the main reflector). Also considered are the requirements of smaller antennas, and a possible sidelobe level response for D/ lambda less than 150 is suggested. Although the analysis explicitly considers axisymmetric configurations, the results have been extended to embrace the radiation characteristics of offset geometries. This permits the indication of when it is preferable and sometimes necessary to employ the offset configuration.</t>
  </si>
  <si>
    <t>217-222</t>
  </si>
  <si>
    <t>Apr</t>
  </si>
  <si>
    <t>James, G. L.</t>
  </si>
  <si>
    <t>Melbourne</t>
  </si>
  <si>
    <t>Commonwealth Scientific and Industrial Research Organization</t>
  </si>
  <si>
    <t>James G.</t>
  </si>
  <si>
    <t>RADIATION-PATTERN CONTROL OF CASSEGRAIN ANTENNAS.</t>
  </si>
  <si>
    <t>10.1049/ip-h-2.1987.0040</t>
  </si>
  <si>
    <t>2-s2.0-0023327568</t>
  </si>
  <si>
    <t>['upon use', 'transmissions coefficients', 'simple closed', 'pmm ).', 'physical interpretations', 'making use', 'interesting characteristics', 'frequency approximation', 'form expressions', 'excellent provided', 'examined numerically', 'electronics engineers', 'arbitrary direction', 'also given', '3 wavelength']</t>
  </si>
  <si>
    <t>Reflection and transmissions coefficients of thin strip gratings are discussed for plane wave incidence from arbitrary direction. Upon use of the low-frequency approximation, simple closed-form expressions are obtained. They are applicable for the analysis of grid reflector antennas. Physical interpretations of the phenomena are also given and interesting characteristics of the gratings are pointed out. The validity and the applicability of our results is examined numerically by making use of the point matching method (PMM). It is shown that the accuracy is excellent provided the period of gratings is smaller than about 0.3 wavelength. Copyright ¬© 1987 by The Institute of Electrical and Electronics Engineers, Inc.</t>
  </si>
  <si>
    <t>367-371</t>
  </si>
  <si>
    <t>60031126;60031126</t>
  </si>
  <si>
    <t>35495699200;57225351561</t>
  </si>
  <si>
    <t>Ando, Makoto;Takei, Ken</t>
  </si>
  <si>
    <t>Tokyo Institute of Technology</t>
  </si>
  <si>
    <t>Ando M.</t>
  </si>
  <si>
    <t>Reflection and Transmission Coefficients of a Thin Strip Grating for Antenna Application</t>
  </si>
  <si>
    <t>10.1109/TAP.1987.1144112</t>
  </si>
  <si>
    <t>2-s2.0-0023327775</t>
  </si>
  <si>
    <t>['technique utilizes', 'rough interfaces', 'relevant fields', 'radiation characteristics', 'problem solved', 'periodically rough', 'numerical examples', 'layered medium', 'equations derived', 'electronics engineers', 'briefly mentioned', 'also shown']</t>
  </si>
  <si>
    <t>A method for determining the radiation characteristics of a line source embedded in a layered medium having rough interfaces is described. This technique utilizes the plane wave spectral decomposition of the relevant fields in the framework of the extended boundary condition method. It is also shown that the equations derived for the general case reduce considerably when the interfaces are periodically rough. Extensions of the problem solved here have been briefly mentioned. and some numerical examples have been provided. Copyright ¬© 1987 by The Institute of Electrical and Electronics Engineers, Inc.</t>
  </si>
  <si>
    <t>462-466</t>
  </si>
  <si>
    <t>Excitation of Layered Media Having Rough Interfaces by Line Sources</t>
  </si>
  <si>
    <t>10.1109/TAP.1987.1144107</t>
  </si>
  <si>
    <t>2-s2.0-0023327865</t>
  </si>
  <si>
    <t>['values predicted', 'novel technique', 'meteorological sensors', 'meteorological measurements', 'measured angle', 'first time', 'evaporation ducts', 'electronics engineers', 'early results', 'direct comparison', 'collocated radio', 'arrival errors', 'arrival deviations', 'anomalous propagation']</t>
  </si>
  <si>
    <t>The effects of anomalous propagation on the accuracy of low-angle radar tracking are discussed, perhaps for the first time. A novel technique is described for carrying out very low-level propagation measurements. It is based on a large sampled aperture antenna system which is instrumented with both radio and meteorological sensors. Early results are given of collocated radio (angle-of-arrival) and meteorological measurements which were recorded on the Ottawa River near Ottawa, Canada. In particular, a direct comparison is given of measured angle-of-arrival deviations and values predicted from meteorological measurements, as well as results showing angle-of-arrival errors for propagation in evaporation ducts. Copyright ¬© 1987 by The Institute of Electrical and Electronics Engineers, Inc.</t>
  </si>
  <si>
    <t>469-473</t>
  </si>
  <si>
    <t>Litva, John</t>
  </si>
  <si>
    <t>Litva J.</t>
  </si>
  <si>
    <t>Early Results: Very Low-Level Propagation Measurements on the Ottawa River</t>
  </si>
  <si>
    <t>10.1109/TAP.1987.1144126</t>
  </si>
  <si>
    <t>2-s2.0-0023327976</t>
  </si>
  <si>
    <t>61-66</t>
  </si>
  <si>
    <t>Canadian Electrical Engineering Journal</t>
  </si>
  <si>
    <t>60013506;60013506</t>
  </si>
  <si>
    <t>6602458086;8092251400</t>
  </si>
  <si>
    <t>Sudhakar Rao, K.;Shafai, L.</t>
  </si>
  <si>
    <t>Sudhakar Rao K.</t>
  </si>
  <si>
    <t>ARRAY FACTOR CONSIDERATIONS OF SPACE-FED PLANAR PHASED ARRAYS.</t>
  </si>
  <si>
    <t>10.1109/ceej.1987.6592803</t>
  </si>
  <si>
    <t>2-s2.0-0023328010</t>
  </si>
  <si>
    <t>['wiley company', 'transmission line', 'source within', 'selected along', 'satisfactory search', 'rather insensitive', 'planar space', 'placed along', 'measurement points', 'inc .,', 'estimate accurately', 'electromagnetic wave', 'different types', 'cross method', 'confirmed experimentally', 'algorithm used', '400 mhz']</t>
  </si>
  <si>
    <t>To control unwanted electromagnetic waves, it is important to estimate accurately the location of the electromagnetic source nearby. Based on the synthetic aperture technique and the signal processing algorithm of the spatial Fourier transform, the location of the source within a planar space of 10 wavelength square has been performed with an electromagnetic source model. It is confirmed experimentally that a satisfactory search of the source is possible using Mills' cross method. A parallel twin wire is used as the electromagnetic source model. Different types of discontinuities are placed along the transmission line and the electromagnetic wave is forced to radiate to create a source. In practice, 300 or 400 MHz is selected and 21 measurement points are selected along the x and y axes with each half‚Äêwavelength spacing. The error of locating the measurement points is the cause of the wave source estimation error. It is demonstrated that the algorithm used here is rather insensitive to these errors. Copyright ¬© 1987 Wiley Periodicals, Inc., A Wiley Company</t>
  </si>
  <si>
    <t>111-124</t>
  </si>
  <si>
    <t>60008435;60025555;60033089</t>
  </si>
  <si>
    <t>57203456121;7102953906;7403248989</t>
  </si>
  <si>
    <t>Nagasawa, Yoji;Kikuchi, Jun'Ichi;Sato, Risaburo</t>
  </si>
  <si>
    <t>Nagasawa Y.</t>
  </si>
  <si>
    <t>Experiment on searching for electromagnetic wave sources by using a synthetic aperture technique</t>
  </si>
  <si>
    <t>10.1002/ecja.4410700412</t>
  </si>
  <si>
    <t>2-s2.0-0023328187</t>
  </si>
  <si>
    <t>['vector potentials', 'general method', 'field regions', 'exact integration', 'electronics engineers']</t>
  </si>
  <si>
    <t>A general method for exact integration of vector potentials of thin dipole antennas characterized by various current distributions is developed. Such solutions are shown to be independent of the usual farfield restrictions involving dipole length, observation point distance, and wavelength. Their convergence is rapid in the induction and near-field regions. Copyright ¬© 1987 by The Institute of Electrical and Electronics Engineers, Inc.</t>
  </si>
  <si>
    <t>442-444</t>
  </si>
  <si>
    <t>Overfelt, P. L.</t>
  </si>
  <si>
    <t>China Lake</t>
  </si>
  <si>
    <t>Naval Air Warfare Center Weapons Division</t>
  </si>
  <si>
    <t>Overfelt P.L.</t>
  </si>
  <si>
    <t>An Exact Method of Integration for Vector Potentials of Thin Dipole Antennas</t>
  </si>
  <si>
    <t>10.1109/TAP.1987.1144121</t>
  </si>
  <si>
    <t>2-s2.0-0023328288</t>
  </si>
  <si>
    <t>['widespread use', 'two antennas', 'transmission capacity', 'todays long', 'technological measures', 'system family', 'rf channels', 'radio systems', 'radio routes', 'radio equipment', 'public networks', 'presented using', 'particular advantage', 'minor modifications', 'limited number', 'future high', 'existing systems', 'existing antennas', 'electronics engineers', 'cochannel operation', 'capacity requirements', 'become insufficient', 'band efficiency', 'antenna arrangements', '5 rolloff', '2 ghz', '19 rolloff', '16 qam', '140 mbit']</t>
  </si>
  <si>
    <t>In view of the rapidly increasing demands for transmission capacity of public networks and the limited number of radio frequencies available, the band efficiency of existing systems in general will become insufficient for future high-capacity requirements. This fact is becoming increasingly evident for 16 QAM-140 Mbit /s radio systems at 3.9, 6.7, and 11.2 GHz which are in widespread use in todays long-haul transmission networks. Conceptual and technological measures for making cochannel operation feasible and practical are presented using the example of a system family. By these means, even the capacity of existing 16 QAM-140 Mbit / s radio routes with 40 MHz interleaved channel arrangements can be doubled with the particular advantage of reutilizing the existing antennas and radio equipment with only minor modifications. A progressive filter concept makes orthogonal cochannel transmission possible with negligible adjacent channel spectrum interference. Surface acoustic wave IF filters are used to convert existing systems from 0.5 rolloff to 0.19 rolloff. Special RF channel/antenna arrangements were developed for the transmission of all RF channels in both directions, including space diversity and using only two antennas. A field experiment verified the feasibility of the concept and indicated that a cross-polar interference canceller is generally not necessary for 16 QAM-140 Mbit / s cochannel operation. Copyright ¬© 1987 by The Institute of Electrical and Electronics Engineers, Inc.</t>
  </si>
  <si>
    <t>321-328</t>
  </si>
  <si>
    <t>Vogel, Klaus</t>
  </si>
  <si>
    <t>Vogel K.</t>
  </si>
  <si>
    <t>Orthogonal Cochannel Operation for High Spectrum Efficiency Based on the Example of 16 QAM-140 Mbit/s Systems Using Rolloff 0.19</t>
  </si>
  <si>
    <t>10.1109/JSAC.1987.1146564</t>
  </si>
  <si>
    <t>2-s2.0-0023328932</t>
  </si>
  <si>
    <t>['station antenna', 'sidelobe peaks', 'satellite systems', 'old one', 'old method', 'mutual interference', 'measured data', 'level exceeded', 'frequency band', 'electronics engineers', 'earth stations', 'coordination studies', 'cassegrain antenna', '12 ghz', '10 percent']</t>
  </si>
  <si>
    <t>For coordination studies and for the assessment of mutual interference between radiocommunication-satellite systems and between earth stations and radio-relay stations sharing the same frequency band, the method which represents off-axis radiation characteristics of the earth-station antenna is desirable. For this purpose, International Radio Consultative Committee (CCIR) Report 391‚Äì4 describes a statistical processing method of sidelobe peaks which was adopted at the XVth Plenary Assembly in 1982. This statistical processing method is based on the slope of reference radiation pattern, while the old one, which has been used, is based on the absolute peak value. Therefore, the results of the statistical evaluation using the current (new) method may differ from that using the old method. According to the measured data on a Cassegrain antenna of 13 m in diameter at about 12 GHz, it is shown that the worst 10 percent value of sidelobe peaks of the new processing method, which is the level exceeded by 10 percent of the peaks, is statistically about 0.8 dB lower than that of the old method. Copyright ¬© 1987 by The Institute of Electrical and Electronics Engineers, Inc.</t>
  </si>
  <si>
    <t>444-447</t>
  </si>
  <si>
    <t>60092258;60092258;60092258</t>
  </si>
  <si>
    <t>35501540000;35452406400;7006355853</t>
  </si>
  <si>
    <t>Wakana, Hiromitsu;Kosaka, Katsuhiko;Fujieda, Tsuyoshi</t>
  </si>
  <si>
    <t>Wakana H.</t>
  </si>
  <si>
    <t>Statistical Processing Method of Sidelobe Peaks for Earth-Station Antennas</t>
  </si>
  <si>
    <t>10.1109/TAP.1987.1144122</t>
  </si>
  <si>
    <t>2-s2.0-0023329156</t>
  </si>
  <si>
    <t>['scan angle', 'reflection coefficient', 'one aperture', 'linear array', 'indirect determination', 'frequency range', 'domain methods', 'central port', '6 ghz', '54 degree']</t>
  </si>
  <si>
    <t>A linear array of five radiating apertures with separate feed ports is used to illustrate the variation of reflection coefficient at the central port with variation of scan angle from zero to 54 degree over the frequency range from 0. 6 to 6 GHz. Two different time-domain methods, showing excellent agreement for the determination of reflection coefficient, are employed. Indirect determination, by summing the separate components coupled from one aperture to another, is shown to be preferable.</t>
  </si>
  <si>
    <t>211-215</t>
  </si>
  <si>
    <t>60031101;60031101</t>
  </si>
  <si>
    <t>7004006859;36184993700</t>
  </si>
  <si>
    <t>Reader, H. C.;Evans, S.</t>
  </si>
  <si>
    <t>University of Cambridge</t>
  </si>
  <si>
    <t>Reader H.</t>
  </si>
  <si>
    <t>FEED-POINT REFLECTION COEFFICIENT OF AN ELEMENT IN A SCANNING ANTENNA ARRAY: TIME-DOMAIN MEASUREMENTS.</t>
  </si>
  <si>
    <t>10.1049/ip-h-2.1987.0039</t>
  </si>
  <si>
    <t>2-s2.0-0023329224</t>
  </si>
  <si>
    <t>['signal processing', 'reshaping u', 'recent advances', 'pulse compression', 'power devices', 'missile attacks', 'latest systems', 'detect objects', 'conventional radars', 'also considered']</t>
  </si>
  <si>
    <t>Recent advances in solid-state phased arrays and power devices and in pulse compression and signal processing are reshaping U. S. defenses against aircraft and missile attacks. The U. S. is installing a new radar system based on over-the-horizon backscatter technology, which can detect objects at far greater distances than conventional radars can. The latest systems for the Strategic Defense Initiative (SDI) are also considered.</t>
  </si>
  <si>
    <t>78-81</t>
  </si>
  <si>
    <t>Electronics</t>
  </si>
  <si>
    <t>Eleccion, Marce</t>
  </si>
  <si>
    <t>Eleccion M.</t>
  </si>
  <si>
    <t>MAJOR FACELIFT STARTS FOR STRATEGIC RADAR NETS.</t>
  </si>
  <si>
    <t>2-s2.0-0023329316</t>
  </si>
  <si>
    <t>['well controlled', 'thus deviates', 'reflector antennas', 'polarization level', 'performance characteristics', 'microstrip radiators', 'magnetic source', 'limited mainly', 'feed volume', 'conventional feeds', 'balanced magnetic', '30 db']</t>
  </si>
  <si>
    <t>The use of microstrip radiators as feeds for reflector antennas is of interest, as they can result in reduced feed volume and weight, and such aspects are important in a number of applications, including satellite systems. The performance characteristics, and the radiation pattern symmetry and cross-polarization, together with bandwidth and efficiency, of such feeds are quantified. Both single-patch and small-array feeds suitable for prime focus fed circularly symmetric reflectors with a range of F/D ratios are examined. The cross-polarization level of the reflector is found to be between -25 and -30 db and is limited mainly by unwanted feed radiation and substrate surface wave scattering and, when these are well controlled, by the fact that a thin microstrip radiator is primarily a magnetic source and thus deviates from the balanced magnetic and electric Huygen source used in conventional feeds. Application is foreseen when the feed volume or weight are constrained system parameters.</t>
  </si>
  <si>
    <t>185-193</t>
  </si>
  <si>
    <t>60009658;60009658</t>
  </si>
  <si>
    <t>57213425197;36861134800</t>
  </si>
  <si>
    <t>Hall, P. S.;Prior, C. J.</t>
  </si>
  <si>
    <t>Swindon</t>
  </si>
  <si>
    <t>Defence College of Management and Technology</t>
  </si>
  <si>
    <t>Hall P.</t>
  </si>
  <si>
    <t>MICROSTRIP FEEDS FOR PRIME FOCUS FED REFLECTOR ANTENNAS.</t>
  </si>
  <si>
    <t>10.1049/ip-h-2.1987.0035</t>
  </si>
  <si>
    <t>2-s2.0-0023329508</t>
  </si>
  <si>
    <t>['sum patterns', 'subarray level', 'radiation patterns', 'phase steering', 'phase quantization', 'peak sidelobe', 'linear array', 'element level', 'electronics engineers', 'different number', 'difference patterns', 'contiguous subarrays', 'contiguous arrays', 'amplitude quantization']</t>
  </si>
  <si>
    <t>Design of large array antennas with contiguous subarrays and having very low sidelobe levels of the order of ‚àí40 dB is discussed. The effects of the amplitude quantization, phase quantization and the number of subarrays on the radiation patterns of contiguous arrays are studied, and results are presented for both sum and difference patterns. A linear array of length 200 X with different number of contiguous subarrays and having true time delay steering at the subarray level and phase steering at the element level is analyzed. It is shown that peak sidelobe/quantization lobe levels better than ‚àí39 dB for the sum patterns and better than ‚àí35 dB for the difference patterns can be realized within ¬±60¬∞ scan and 0.3 percent bandwidth. Copyright ¬© 1987 by The Institute of Electrical and Electronics Engineers, Inc.</t>
  </si>
  <si>
    <t>361-366</t>
  </si>
  <si>
    <t>7404812629;7005400394</t>
  </si>
  <si>
    <t>Rao, K. Sudhakar;Karlsson, Ingmar</t>
  </si>
  <si>
    <t>Rao K.S.</t>
  </si>
  <si>
    <t>Low Sidelobe Design Considerations of Large Linear Array Antennas with Contiguous Subarrays</t>
  </si>
  <si>
    <t>10.1109/TAP.1987.1144119</t>
  </si>
  <si>
    <t>2-s2.0-0023330212</t>
  </si>
  <si>
    <t>['triangular msa', 'single feed', 'radiation pattern', 'paper presents', 'operating frequency', 'feed location', 'axial ratio', 'also compared']</t>
  </si>
  <si>
    <t>The paper presents an equilateral-triangular microstrip antenna (MSA) that can produce circularly polarized waves with a single feed. Theoretically predicted results, such as the operating frequency and feed location with which good circularly polarized radiation can be obtained, are compared with experimentally obtained results. The calculations for the axial ratio and the radiation pattern are also compared with the measurements. It is confirmed that a singly fed equililateral-triangular MSA can produce two kinds of good circularly polarized waves at two different frequencies.</t>
  </si>
  <si>
    <t>194-198</t>
  </si>
  <si>
    <t>60018735;60018735;60018735</t>
  </si>
  <si>
    <t>55624479867;7003572886;7402420535</t>
  </si>
  <si>
    <t>Suzuki, Y.;Miyano, N.;Chiba, T.</t>
  </si>
  <si>
    <t>Toshiba Corporation</t>
  </si>
  <si>
    <t>Suzuki Y.</t>
  </si>
  <si>
    <t>CIRCULARLY POLARISED RADIATION FROM SINGLY FED EQUILATERAL-TRIANGULAR MICROSTRIP ANTENNA.</t>
  </si>
  <si>
    <t>10.1049/ip-h-2.1987.0036</t>
  </si>
  <si>
    <t>2-s2.0-0023330585</t>
  </si>
  <si>
    <t>['usually produce', 'unknown direction', 'uncorrelated interference', 'sufficient snr', 'small number', 'mobile receiver', 'desired signal', 'coherent multipath', 'antenna circuit', '1 ghz']</t>
  </si>
  <si>
    <t>An adaptive antenna algorithm is described which acquires a signal of unknown direction in the presence of uncorrelated interference and coherent multipath by using a sequential power search procedure on a small number of stored vector samples of the field. A set of candidate weighting vectors is generated, one of which, when used to filter the antenna circuit, will usually produce the desired signal at a sufficient snr for communications. The system is tested by simulation on a mobile receiver at 1 GHz in heavy multipath conditions with several interference sources and the effects of motion and bandwidth are assessed.</t>
  </si>
  <si>
    <t>174-180</t>
  </si>
  <si>
    <t>Hudson, J. E.</t>
  </si>
  <si>
    <t>Loughborough</t>
  </si>
  <si>
    <t>Loughborough University</t>
  </si>
  <si>
    <t>Hudson J.</t>
  </si>
  <si>
    <t>FAST SIGNAL ACQUISITION BY AN ADAPTIVE ANTENNA MOVING IN A MULTIPATH FIELD.</t>
  </si>
  <si>
    <t>10.1049/ip-h-2.1987.0033</t>
  </si>
  <si>
    <t>2-s2.0-0023330832</t>
  </si>
  <si>
    <t>['precision spectroscopy', 'overlap region', 'microwave sources', 'microwave power', 'microwave field', 'interacting species', 'almost 100']</t>
  </si>
  <si>
    <t>A high-Q confocal Fabry-Perot microwave resonator for precision spectroscopy of atoms, ions and molecules is described, giving convenient access to the overlap region of interacting species, microwave field and light. Microwave power is coupled with almost 100% efficiency into the interferometer by means of a small copper wire dipole antenna. The concept of an uncomplicated and inexpensive frequency stabilisation of microwave sources through coupling to a Fabry-Perot reference resonator is discussed.</t>
  </si>
  <si>
    <t>409-412</t>
  </si>
  <si>
    <t>Journal of Physics E: Scientific Instruments</t>
  </si>
  <si>
    <t>60016908;60016908;60016908;60016908;60016908;60016908</t>
  </si>
  <si>
    <t>6506164007;7201647630;7202469529;6507150046;6603757297;7004453438</t>
  </si>
  <si>
    <t>Harbarth, U.;Kowalski, J.;Neumann, R.;Noehte, S.;Scheffzek, K.;Zu Putlitz, G.</t>
  </si>
  <si>
    <t>Heidelberg</t>
  </si>
  <si>
    <t>Universit√§t Heidelberg</t>
  </si>
  <si>
    <t>Harbarth U.</t>
  </si>
  <si>
    <t>Confocal Fabry-Perot microwave resonator at 48 GHz for high-resolution spectroscopy</t>
  </si>
  <si>
    <t>10.1088/0022-3735/20/4/012</t>
  </si>
  <si>
    <t>2-s2.0-0023330836</t>
  </si>
  <si>
    <t>['‚ äì', 'using waves', 'radial profile', 'plasma system', 'planck calculation', 'phase dependence', 'linear theory', 'launching conditions', 'high density', 'global efficiency', 'global analysis', 'entire antenna', 'current induced', 'current drive', 'antenna spacing', 'also found', 'affected considerably', 'absorption analysis']</t>
  </si>
  <si>
    <t>A global analysis of current drive in tokamaks by using waves in the ion cyclotron range of frequencies (ICRF), considering the entire antenna-plasma system, is presented. A phase shifted antenna array is used to inject toroidal momentum into the electrons. Within the context of quasi-linear theory, a Fokker-Planck calculation is combined with an ICRF wave propagation-absorption analysis which includes kinetic effects and realistic boundary conditions. The radial profile of the current induced by the mode converted ion Bernstein wave and by the magnetosonic fast wave is obtained, together with the global current drive efficiency (total induced current/total emitted power from the antennas) in the high density and temperature plasma regime. The phase dependence of the global efficiency is investigated by changing the launching conditions such as the total antenna number and the antenna spacing. ‚Äì In medium size tokamaks, the electron power absorption and the associated driven current are found to be affected considerably by the plasma cavity resonance. It is also found that the global efficiency is sensitive to the antenna spacing. When the antenna spacing is increased, the global efficiency is reduced by counter current generation. ¬© IOP Publishing Ltd.</t>
  </si>
  <si>
    <t>549-567</t>
  </si>
  <si>
    <t>60015658;60015658;60023147;60030788;60011001</t>
  </si>
  <si>
    <t>7201867837;7004717270;7005509402;35352798500;13306390500</t>
  </si>
  <si>
    <t>Kishimoto, Y.;Hamamatsu, K.;Fukuyama, A.;Itoh, S. I.;Itoh, K.</t>
  </si>
  <si>
    <t>Japan;Japan;Japan;Japan</t>
  </si>
  <si>
    <t>Higashihiroshima;Okayama;Kashiwa;Kyoto</t>
  </si>
  <si>
    <t>Hiroshima University;Okayama University;Japan Atomic Energy Agency;Kyoto University</t>
  </si>
  <si>
    <t>60030788;60023147;60015658;60011001</t>
  </si>
  <si>
    <t>Kishimoto Y.</t>
  </si>
  <si>
    <t>ICRF current drive by using antenna phase control</t>
  </si>
  <si>
    <t>10.1088/0029-5515/27/4/002</t>
  </si>
  <si>
    <t>2-s2.0-0023330940</t>
  </si>
  <si>
    <t>['prototype design', 'paper presents', 'offset antenna', 'measured performance', 'antenna provides']</t>
  </si>
  <si>
    <t>This paper presents a study of an offset antenna which employs a spherical main reflector and phase correcting subreflector. Predictions are compared with the measured performance of a prototype design. The antenna provides a sidelobe envelope well within the US Federal Communications Commission specification for small earth stations.</t>
  </si>
  <si>
    <t>199-204</t>
  </si>
  <si>
    <t>60033387;60033387;60033387</t>
  </si>
  <si>
    <t>7006375883;7006192058;57197192970</t>
  </si>
  <si>
    <t>Ramanujam, P.;Clarricoats, P. J.B.;Brown, R. C.</t>
  </si>
  <si>
    <t>University of London</t>
  </si>
  <si>
    <t>Ramanujam P.</t>
  </si>
  <si>
    <t>OFFSET SPHERICAL REFLECTOR WITH A LOW SIDELOBE RADIATION.</t>
  </si>
  <si>
    <t>10.1049/ip-h-2.1987.0037</t>
  </si>
  <si>
    <t>2-s2.0-0023330996</t>
  </si>
  <si>
    <t>['¬© 1987', 'wireline telephones', 'using demand', 'telephone loops', 'system configurations', 'strongly influences', 'residential areas', 'radio ports', 'radio paging', 'providing voice', 'portable communications', 'planned reuse', 'people away', 'multipath environment', 'mobile radiotelephone', 'many limitations', 'link availability', 'integrated parts', 'integrated part', 'high antennas', 'evolving approaches', 'electronics engineers', 'efficient use', 'data communications', 'considers objectives', 'calculations suggest', 'calculations indicate', 'around buildings', 'adjacent ports', '99 percent', '35 segments']</t>
  </si>
  <si>
    <t>Providing voice and data communications to people away from their wireline telephones has become a major communication frontier. This frontier is being penetrated by evolving approaches to portable communications, e.g., cordless telephones, mobile radiotelephone, and radio paging. However, these approaches have many limitations; none can provide universal portable communications services. This paper discusses limitations of the evolving approaches and considers objectives and approaches for providing more universal digital portable communications as an integrated part of telephone exchange networks. These more universal communications could be accomplished by using demand-assigned radio links for the last thousand feet or so of telephone loops and sharing the remainder of the fixed distribution facilities. Fixed radio ports as integrated parts of telephone distribution networks could be placed throughout service regions. Efficient use of the radio spectrum could be insured by the planned reuse of radio frequencies throughout the regions. The severe multipath radio propagation environment within and around buildings that strongly influences the design of portable communications sys-tems is described in the paper. System configurations and radio link techniques, that can provide reliable communications in the multipath environment, are discussed. Radio system calculations are illustrated for radio ports with 30-ft-high antennas in residential areas. The calculations indicate that radio link availability would be greater than 99 percent for 2000-ft port separations and 5-mW portable transmitters. Reuse of frequencies would require dividing the allocated frequency band into segments for use at adjacent ports. Calculations suggest that link availability in the cochannel interference environment would be greater than 99 percent, if 25 to 35 segments were used in residential areas. ¬© 1987 by The Institute of Electrical and Electronics Engineers, Inc.</t>
  </si>
  <si>
    <t>436-477</t>
  </si>
  <si>
    <t>Cox, Donald C.</t>
  </si>
  <si>
    <t>Cox D.C.</t>
  </si>
  <si>
    <t>Universal Digital Portable Radio Communications</t>
  </si>
  <si>
    <t>10.1109/PROC.1987.13755</t>
  </si>
  <si>
    <t>2-s2.0-0023331289</t>
  </si>
  <si>
    <t>['plane capacitor', 'obtained numerically', 'maxwellian one', 'kinetic theory', 'electronics engineers', 'analytical solution']</t>
  </si>
  <si>
    <t>The RF impedance characteristics of a plane capacitor, which is immersed in a warm isotropic plasma, are investigated with a kinetic theory. An analytical solution is derived by assuming that the plasma has a resonance velocity distribution function which approximates a Maxwellian one. It is found that the results agree fairly well with those obtained numerically from the Maxwellian velocity distribution function. Copyright ¬© 1987 by The Institute of Electrical and Electronics Engineers, Inc.</t>
  </si>
  <si>
    <t>460-462</t>
  </si>
  <si>
    <t>Fujita, Takao</t>
  </si>
  <si>
    <t>Kofu</t>
  </si>
  <si>
    <t>University of Yamanashi</t>
  </si>
  <si>
    <t>Fujita T.</t>
  </si>
  <si>
    <t>Impedance of a Plane Capacitor in a Plasma with a Resonance Velocity Distribution Function</t>
  </si>
  <si>
    <t>10.1109/TAP.1987.1144127</t>
  </si>
  <si>
    <t>2-s2.0-0023331330</t>
  </si>
  <si>
    <t>['tuning slugs', 'return loss', 'radiation patterns', 'pyramidal horns', 'paper describes', 'linear single', 'good agreement', 'francis group', 'experimental investigations', 'arbitrary dimensions']</t>
  </si>
  <si>
    <t>This paper describes the theoretical and experimental investigations of a linear single or double tapers connecting waveguide and aperture of arbitrary dimensions. A good agreement was found between the theoretical and measured return loss of a number of pyramidal horns. The return loss was improved by placing tuning slugs at the aperture of the horn. The effects of tuning slugs on radiation patterns are presented. ¬© 1987 Taylor and Francis Group, LLC.</t>
  </si>
  <si>
    <t>507-514</t>
  </si>
  <si>
    <t>International Journal of Electronics</t>
  </si>
  <si>
    <t>Pyramidal aperture matched horns</t>
  </si>
  <si>
    <t>10.1080/00207218708921001</t>
  </si>
  <si>
    <t>2-s2.0-0023331460</t>
  </si>
  <si>
    <t>['¬© 1987', 'special rate', 'rights reserved', 'random error', 'proposed technique', 'new approach', 'integrating coding', 'first describe', 'electrical engineers', 'decoding process', 'correction decoding', 'approach minimises', 'approach consists', 'antenna switching']</t>
  </si>
  <si>
    <t>Codes and decoding | Noise and interference</t>
  </si>
  <si>
    <t>Based on the fact that the performance of random error-correction decoding is insensitive to code symbols erased before its decoding process, a new approach to mitigate the effects of interference is derived. This approach consists of three basic functions: it modifies conventional interleaving, detects and deletes burst errors, and corrects random errors. Therefore this approach minimises the effects of jamming, antenna switching and nuclear deep fading. In the paper we first describe a tactic for integrating coding and interleaving. The derivation and application of a special rate-1/4 convolutional code are then illustrated, and, finally, some preliminary computer simulation results are utilised to demonstrate the effectiveness of the proposed technique. ¬© 1987, The Institution of Electrical Engineers. All rights reserved.</t>
  </si>
  <si>
    <t>121-125</t>
  </si>
  <si>
    <t>Wai-Hung, Ng</t>
  </si>
  <si>
    <t>El Segundo</t>
  </si>
  <si>
    <t>Aerospace Corporation, USA</t>
  </si>
  <si>
    <t>Wai-Hung N.</t>
  </si>
  <si>
    <t>Mitigating the effects of interference through coding, interleaving and signal editing</t>
  </si>
  <si>
    <t>10.1049/ip-f-1.1987.0022</t>
  </si>
  <si>
    <t>2-s2.0-0023331846</t>
  </si>
  <si>
    <t>['specific formulae', 'solutions known', 'reciprocal distance', 'new method', 'integral representation', 'francis group', 'electrical polarizability', 'circular segment', 'circular sector', 'analytical solution']</t>
  </si>
  <si>
    <t>A new method is proposed for the analytical solution to the problem of electrical polarizability of arbitrarily shaped small apertures. The method is based on an integral representation for the reciprocal distance between two points obtained earlier by the author. A simple general formula is established for the computation of the coefficients of electrical polarizability. Specific formulae are derived for an aperture having the shape of a polygon, a rectangle, a rhombus, a cross, a circular sector and a circular segment. All the formulae are checked against the solutions known in the literature, and their accuracy is confirmed. ¬© 1987 Taylor and Francis Group, LLC.</t>
  </si>
  <si>
    <t>533-545</t>
  </si>
  <si>
    <t>Fabrikant, V. I.</t>
  </si>
  <si>
    <t>Montreal</t>
  </si>
  <si>
    <t>Concordia University</t>
  </si>
  <si>
    <t>Fabrikant V.</t>
  </si>
  <si>
    <t>Electrical polarizability of small apertures: Analytical approach</t>
  </si>
  <si>
    <t>10.1080/00207218708921004</t>
  </si>
  <si>
    <t>2-s2.0-0023332068</t>
  </si>
  <si>
    <t>['symmetrical thin', 'stable solution', 'squares sense', 'potential equation', 'polynomial approximation', 'overdetermined system', 'matching method', 'matching equations', 'experimental results', 'edge effect', 'current distribution']</t>
  </si>
  <si>
    <t>A method is presented for the analysis of a class of symmetrical thin-plane triangular antennas. The antenna current distribution is obtained by solving the two-potential equation by means of the point-matching method with a polynomial approximation for the current distribution. The edge effect is taken into account by introducing line currents at the edges. To obtain an accurate and stable solution, point-matching equations and conditions for currents at the discontinuities are used to form an overdetermined system of complex linear equations which is then solved in the least-squares sense. Theoretical and experimental results are presented.</t>
  </si>
  <si>
    <t>205-210</t>
  </si>
  <si>
    <t>60068815;60068815</t>
  </si>
  <si>
    <t>7006225695;7004349349</t>
  </si>
  <si>
    <t>Popovic, B. D.;Kolundzija, B. M.</t>
  </si>
  <si>
    <t>Serbia</t>
  </si>
  <si>
    <t>Belgrade</t>
  </si>
  <si>
    <t>University of Belgrade</t>
  </si>
  <si>
    <t>Popovic B.</t>
  </si>
  <si>
    <t>ANALYSIS OF A CLASS OF SYMMETRICAL THIN-PLATE TRIANGULAR ANTENNAS.</t>
  </si>
  <si>
    <t>10.1049/ip-h-2.1987.0038</t>
  </si>
  <si>
    <t>2-s2.0-0023332161</t>
  </si>
  <si>
    <t>['paired 8th', 'noted among', 'morphological characteristics', 'male genitalia', 'internal sac', 'dissected fragments', 'diagnostic differences', 'apical margin', 'ahasverus advena', 'abdominal sternite']</t>
  </si>
  <si>
    <t>Morphological characteristics of dissected fragments from male and female adult beetles of Ahasverus advena (Waltl) and A. rectus (LeConte) are described and illustrated, including original descriptions of the male genitalia of both species. Diagnostic differences are noted among the morphology of the head, antennae, mandibles, labium, tibial leg segments, prothorax, metasternum, and abdominal sternite I, and between the shape and/or setation of the paired lateral lobes, the apical margin of the aedeagus, the internal sac, and the paired 8th and 9th abdominal sternites for the male genitalia.</t>
  </si>
  <si>
    <t>484-495</t>
  </si>
  <si>
    <t>Journal - Association of Official Analytical Chemists</t>
  </si>
  <si>
    <t>1987 May-Jun</t>
  </si>
  <si>
    <t>Zimmerman, M. L.</t>
  </si>
  <si>
    <t>Zimmerman M.L.</t>
  </si>
  <si>
    <t>Identification of Ahasverus advena (Waltl) (foreign grain beetle) and Ahasverus rectus (LeConte) (Coleoptera: Cucujidae) by micromorphology of adult fragments including genitalia.</t>
  </si>
  <si>
    <t>10.1093/jaoac/70.3.484</t>
  </si>
  <si>
    <t>2-s2.0-0023333085</t>
  </si>
  <si>
    <t>U.S. Department of Agriculture</t>
  </si>
  <si>
    <t>USDA</t>
  </si>
  <si>
    <t>['¬© 1987', 'short antenna', 'sa ).', 'ph 7', 'peak intensity', 'pcmb treatment', 'pcmb 10', 'mercaptoethanol protected', 'map distances', 'male hybrids', 'isocitrate dehydrogenase', 'gene sequence', 'female hybrids', 'edta 5mm', 'characterized physiochemically', 'anopheles quadrimaculatus', 'analyzed genetically']</t>
  </si>
  <si>
    <t>The isocitrate dehydrogenase-2 (idh-2) locus of Anopheles quadrimaculatus was analyzed genetically and the enzyme was characterized physiochemically. Three-point testcrosses involving chromosome 3 markers showed that in female hybrids the gene sequence and the map distances are: nonstripe (st)-6.8-idh-2-43.5-short antenna (Sa). Reduced recombination frequencies were observed in male hybrids (st-3.4-idh-2-25.5-Sa). idh-2 activity gradually increases during development and reaches a peak intensity in adults. Maximum enzyme activity of idh-2 was obtained at pH 7.5. One-minute heat treatment at 50¬∞C caused about 50 percent reduction of IDH-2. Ethylene diamine tetraacetic acid (EDTA 5mM) and p-chloromercuribenzoate (pCMB 10-5M) caused complete loss of activity of IDH-2, but pretreatment of the enzyme in situ with mercaptoethanol protected the activity of allozymes from inhibition by pCMB treatment. ¬© 1987, American Genetic Association.</t>
  </si>
  <si>
    <t>187-190</t>
  </si>
  <si>
    <t>Journal of Heredity</t>
  </si>
  <si>
    <t>May/June 1987</t>
  </si>
  <si>
    <t>60071042;60103678;60103678</t>
  </si>
  <si>
    <t>7601585344;7102851806;7003850059</t>
  </si>
  <si>
    <t>Kim, Sang Seock;Narang, S. K.;Seawright, J. A.</t>
  </si>
  <si>
    <t>United States;South Korea</t>
  </si>
  <si>
    <t>Gainesville;Daejeon</t>
  </si>
  <si>
    <t>USDA Agricultural Research Service, Gainesville;Korea Ginseng and Tobacco Research Institute</t>
  </si>
  <si>
    <t>60103678;60071042</t>
  </si>
  <si>
    <t>Kim S.</t>
  </si>
  <si>
    <t>Genetic polymorphism, mapping, and characterization of isocitrate dehydrogenase in Anopheles quadrimaculatus</t>
  </si>
  <si>
    <t>10.1093/oxfordjournals.jhered.a110354</t>
  </si>
  <si>
    <t>2-s2.0-0023335937</t>
  </si>
  <si>
    <t>['rectangular slot', 'rectangular line', 'radiation properties', 'plasma medium', 'plasma frequencies', 'free space', 'different ratios', 'circular patch', 'annular slot', 'also compared']</t>
  </si>
  <si>
    <t>The radiation properties of four new types of mirostrip line antennas named as circular patch, rectangular line, annular slot and rectangular slot in plasma medium are compared in this paper. Graphs are plotted for the EM-mode, and the P-mode field pattern factors for different ratios of the source to plasma frequencies. The experimental and theoretically computed values in free space are compared. The efficiency of the rectangular line and circular patch microstrip antennas is also compared with the conventional half wavelength dipole antenna.</t>
  </si>
  <si>
    <t>82-86</t>
  </si>
  <si>
    <t>May-Jun</t>
  </si>
  <si>
    <t>60017757;60017757;60017757</t>
  </si>
  <si>
    <t>35453137500;57208877036;36042421800</t>
  </si>
  <si>
    <t>Saxena, V. K.;Sharma, K. B.;Gupta, R. K.</t>
  </si>
  <si>
    <t>Jaipur</t>
  </si>
  <si>
    <t>Malaviya National Institute of Technology Jaipur</t>
  </si>
  <si>
    <t>Saxena V.K.</t>
  </si>
  <si>
    <t>COMPARISON OF THE PERFORMANCE OF DIFFERENT TYPES OF MICROSTRIP ANTENNAS IN A WARM PLASMA.</t>
  </si>
  <si>
    <t>10.1080/03772063.1987.11436669</t>
  </si>
  <si>
    <t>2-s2.0-0023342501</t>
  </si>
  <si>
    <t>Air Force Materiel Command</t>
  </si>
  <si>
    <t>AFMC</t>
  </si>
  <si>
    <t>['zero extent', 'two wavelengths', 'numerical results', 'monopole element', 'moments combined', 'models include', 'input impedance', 'gtd ).', 'ground plane', 'geometric theory', 'free space', 'element radius', 'directive gain']</t>
  </si>
  <si>
    <t>The input impedance and directive gain of a monopole element at the center of a circular ground plane in free space are summarized for arbitrary element length and element radius with ground plane radii of zero to more than two wavelengths. Numerical results are obtained by utilizing various models and are compared with measurements. The models include a ground plane of zero extent, the integral equation method, method of moments, oblate spheroidal wave functions, and the method of moments combined with the geometric theory of diffraction (GTD). ¬© 1987 IEEE</t>
  </si>
  <si>
    <t>488-495</t>
  </si>
  <si>
    <t>Weiner, Melvin M.</t>
  </si>
  <si>
    <t>Weiner M.M.</t>
  </si>
  <si>
    <t>Monopole element at the center of a circular ground plane whose radius is small or comparable to a wavelength</t>
  </si>
  <si>
    <t>10.1109/TAP.1987.1144136</t>
  </si>
  <si>
    <t>2-s2.0-0023344209</t>
  </si>
  <si>
    <t>NW14-80-C-0668</t>
  </si>
  <si>
    <t>['two semi', 'transverse magnetic', 'simple technique', 'planar interface', 'numerical method', 'infinite extent', 'induced current', 'homogeneous half', 'data displaying', 'cylinder current', 'cylinder axes']</t>
  </si>
  <si>
    <t>An analysis of scattering from coupled conducting cylinders near the planar interface between two semi-infinite, homogeneous half-spaces of different electromagnetic properties and from partially buried conducting cylinders is presented. The perfectly conducting cylinders of general cross sections are of infinite extent and the excitation is transverse magnetic to the cylinder axes. Coupled integral equations for the unknown current induced on the cylinders are derived and a numerical method for solving them is described. In addition, a simple technique is employed to determine the far-zone scattered field from knowledge of the cylinder current. Data displaying the distribution of the induced current and the scattered field patterns for cylinders of interest are presented and discussed. ¬© 1987 IEEE</t>
  </si>
  <si>
    <t>529-538</t>
  </si>
  <si>
    <t>60026610;60026610</t>
  </si>
  <si>
    <t>7405292572;7201550943</t>
  </si>
  <si>
    <t>Xu, Xiao Bang;Butler, Chalmers M.</t>
  </si>
  <si>
    <t>Clemson</t>
  </si>
  <si>
    <t>Clemson University</t>
  </si>
  <si>
    <t>Xu X.B.</t>
  </si>
  <si>
    <t>Scattering of tm excitation by coupled and partially buried cylinders at the interface between two media</t>
  </si>
  <si>
    <t>10.1109/TAP.1987.1144140</t>
  </si>
  <si>
    <t>2-s2.0-0023344335</t>
  </si>
  <si>
    <t>['tbe paper', 'staging base', 'space station', 'small terminals', 'science spacecraft', 'science payloads', 'predicted crowding', 'potential communications', 'platform assembly', 'paper describes', 'originally conceived', 'new dimension', 'mobile communications', 'last decade', 'large spacecraft', 'large antennas', 'geostationary platforms', 'geostationary platform', 'geostationary orbit', 'geo ),', 'electronics engineers', 'efficient means', 'could provide', 'conventional design', 'conceptual development', 'broadcast services', 'also envisioned']</t>
  </si>
  <si>
    <t>Tbe paper will review the conceptual development over the last decade of the use of very large spacecraft, i.e., ‚Äúplatforms,‚Äù in geostationary orbit. Geostationary platforms were originally conceived as an efficient means of increasing the capacity at a point in the geostationary orbital arc. This geostationary platform was seen as a solution to the predicted crowding of the orbital arc since it could provide the functions of many individual satellites of conventional design. Also, geostationary platforms have been suggested for mounting very large antennas as will be required for mobile communications, or high power sources as will be required for broadcast services to small terminals. More recently these ‚Äúlarge satellite‚Äù platforms were also envisioned as including earth observation and other science payloads. The advent of the Space Station which can provide a staging base for platform assembly and test in space at low earth orbit (LEO), prior to launch to geostationary earth orbit (GEO), will introduce a new dimension to practical platform design. This dimension has reintroduced the geostationary platform concept as a potential communications and science spacecraft of the post-IOC-Space Station family. This paper describes the evolution of concepts for geostationary platforms over the last decade based on both communications and science user scenarios developed worldwide. Copyright ¬© 1987 by The Institute of Electrical and Electronics Engineers, Inc.</t>
  </si>
  <si>
    <t>601-614</t>
  </si>
  <si>
    <t>60016296;60016296;60016296</t>
  </si>
  <si>
    <t>7004298107;7102670655;7003368060</t>
  </si>
  <si>
    <t>Edelson, Burton I.;Lovell, Robert R.;Cuccia, C. Louis</t>
  </si>
  <si>
    <t>Edelson B.I.</t>
  </si>
  <si>
    <t>The Evolution of the Geostationary Platform Concept</t>
  </si>
  <si>
    <t>10.1109/JSAC.1987.1146582</t>
  </si>
  <si>
    <t>2-s2.0-0023344336</t>
  </si>
  <si>
    <t>['detailed analysis']</t>
  </si>
  <si>
    <t>A detailed analysis of infinite slot arrays excited by delta-function current sources is presented. The existence of severe array blindness is proved for most of the cases of slots without metallic cavity separators. ¬© 1987 IEEE</t>
  </si>
  <si>
    <t>477-487</t>
  </si>
  <si>
    <t>Mailloux, Robert J.</t>
  </si>
  <si>
    <t>Air Force Geophysics Laboratory Hanscom Air Force Base</t>
  </si>
  <si>
    <t>Mailloux R.J.</t>
  </si>
  <si>
    <t>On the Use of Metallized Cavities in Printed Slot Arrays with Dielectric Substrates</t>
  </si>
  <si>
    <t>10.1109/TAP.1987.1144146</t>
  </si>
  <si>
    <t>2-s2.0-0023344487</t>
  </si>
  <si>
    <t>Air Force Office of Scientific Research</t>
  </si>
  <si>
    <t>AFOSR-78-3688</t>
  </si>
  <si>
    <t>AFOSR</t>
  </si>
  <si>
    <t>['quality beams', 'pointing error', 'location knowledge', 'form high', 'baseline measurements', 'accurate beaeon']</t>
  </si>
  <si>
    <t>A technique is proposed for locating the elements of a flexible phased array sufficiently accurately to form high-quality beams. The technique requires beacon signal phase measurements and baseline measurements, but does not require the accurate beaeon-location knowledge which is characteristic of radio navigation schemes. The effects of phase measurement errors and baseline measurement errors on array beam gain and pointing error are predicted and verified by experiments. ¬© 1987 IEEE</t>
  </si>
  <si>
    <t>496-503</t>
  </si>
  <si>
    <t>60011688;60102562</t>
  </si>
  <si>
    <t>7406967738;6603267176</t>
  </si>
  <si>
    <t>Lee, Eu An;Dorny, C. Nelson</t>
  </si>
  <si>
    <t>Philadelphia;Palo Alto</t>
  </si>
  <si>
    <t>School of Engineering and Applied Science;Space Systems Loral</t>
  </si>
  <si>
    <t>60102562;60011688</t>
  </si>
  <si>
    <t>Lee E.A.</t>
  </si>
  <si>
    <t>A generalized self-survey technique for self-cohering of large arrays</t>
  </si>
  <si>
    <t>10.1109/TAP.1987.1144132</t>
  </si>
  <si>
    <t>2-s2.0-0023344564</t>
  </si>
  <si>
    <t>['wire problem', 'wire coupling', 'wave form', 'vary little', 'transmissionline lengths', 'transmission lines', 'transmission line', 'superhigh frequencies', 'shf range', 'several types', 'receiving antenna', 'maximum value', 'maximum susceptibility', 'large electrically', 'induced currents', 'induced current', 'including uniform', 'electronics engineers', 'current distributions', 'cases examined', 'bounds may']</t>
  </si>
  <si>
    <t>Methods have been developed for the treatment of field-to-wire coupling at superhigh frequencies (SHF's) and beyond. In this region, transmissionline lengths and wire separations become very large electrically, and field-to-wire coupling problems become intractable. Several types of transmission lines have been examined in the SHF range, including uniform and nonuniform transmission lines, coaxial transmission lines, and multiconductor transmission lines. Current distributions are found to be predominantly of a standing-wave or traveling-wave form. The higher order modes are not significant for those cases examined. Bounds may be obtained for induced currents in the field-to-wire problem by considering the transmission line as a receiving antenna. The maximum value of induced current under conditions of maximum susceptibility is shown to vary little with frequency. Copyright ¬© 1987 by The Institute of Electrical and Electronics Engineers, Inc.</t>
  </si>
  <si>
    <t>126-131</t>
  </si>
  <si>
    <t>60030551;60030551;60030551;60030551;60030551</t>
  </si>
  <si>
    <t>7401909668;7004152171;6603007352;6506054085;6603104085</t>
  </si>
  <si>
    <t>Adams, Arlon T.;Perini, Jose;Miyabayashi, Masahiro;Shau, D. H.;Heidary, Kaveh</t>
  </si>
  <si>
    <t>Syracuse</t>
  </si>
  <si>
    <t>Syracuse University</t>
  </si>
  <si>
    <t>Adams A.T.</t>
  </si>
  <si>
    <t>Electromagnetic Field-to-Wire Coupling in the SHF Frequency Range and Beyond</t>
  </si>
  <si>
    <t>10.1109/TEMC.1987.304351</t>
  </si>
  <si>
    <t>2-s2.0-0023344765</t>
  </si>
  <si>
    <t>U.S. Department of Energy</t>
  </si>
  <si>
    <t>W-7405-ENG48</t>
  </si>
  <si>
    <t>USDOE</t>
  </si>
  <si>
    <t>['section results', 'scattering data', 'polarization dependencies', 'plane wave', 'interior wire', 'handle cylinders', 'either case', 'effects corresponding', 'corresponding h', 'backed nature', 'aperture coupling', 'also shown']</t>
  </si>
  <si>
    <t>The generalized dual series solution to the scattering of an E-polarized (E-pol) plane wave from an infinite circular cylinder having an infinite axial slot and enclosing an infinite concentric impedance cylinder is presented. This solution explicitly exhibits the correct edge behavior, and it can handle cylinders that are either electrically small or large without special considerations. The angle of incidence is arbitrary. A variety of current, field, and cross-section results are presented. These are compared with the corresponding H-pol problem results to establish the polarization dependencies of the aperture coupling. It is also shown that effects corresponding to the presence of the interior cavity dominate all of the scattering data. In particular, the bistatic cross sections in either case and the current induced along an interior wire in the E-pol case exhibit new resonance features that are due to the cavity-backed nature of the aperture. ¬© 1987 IEEE</t>
  </si>
  <si>
    <t>504-528</t>
  </si>
  <si>
    <t>60026175;60026175</t>
  </si>
  <si>
    <t>7006392487;7403160909</t>
  </si>
  <si>
    <t>Ziolkowski, Richard W.;Grant, J. Brian</t>
  </si>
  <si>
    <t>Ziolkowski R.W.</t>
  </si>
  <si>
    <t>Scattering from cavity-backed apertures: The generalized dual series solution of the concentrically loaded e-pol slit cylinder problem</t>
  </si>
  <si>
    <t>10.1109/TAP.1987.1144143</t>
  </si>
  <si>
    <t>2-s2.0-0023344772</t>
  </si>
  <si>
    <t>['power combining', 'multiport network', 'multiport hybrids', 'intermodulation characteristics', 'experimental 8', 'electronics engineers', 'amplifying elements', 'amplifier 8']</t>
  </si>
  <si>
    <t>An adaptive multiple beam system, which has flexibility to adapt beam power to varying beam traffic, is proposed. The multiple beam transmitter, which is called ‚Äúhybrid transponder‚Äù in this paper, consists of a pair of multiport hybrids and a set of amplifying elements. Power combining, isolation, and intermodulation characteristics of this multiport network are analyzed. Also, a new interbeam exchange and feeder link connection concept, which serves as the basis for an adaptive multiple beam system, is proposed. Finally, characteristics of an experimental 8-amplifier 8-port hybrid transponder are described. Copyright ¬© 1987 by The Institute of Electrical and Electronics Engineers, Inc.</t>
  </si>
  <si>
    <t>630-636</t>
  </si>
  <si>
    <t>60101699;60025555</t>
  </si>
  <si>
    <t>Mitsubishi Electric Corporation;Nippon Telegraph and Telephone Corporation</t>
  </si>
  <si>
    <t>An Adaptive Multiple Beam System Concept</t>
  </si>
  <si>
    <t>10.1109/JSAC.1987.1146577</t>
  </si>
  <si>
    <t>2-s2.0-0023344911</t>
  </si>
  <si>
    <t>['waveguide apertures', 'salient features', 'procedure uses', 'power loss', 'phased arrays', 'paper permit', 'modal expansions', 'method improves', 'lossy surface', 'lossy region', 'lossy medium', 'lossy ground', 'feed waveguide', 'copyright 1987', 'blind spot', 'approximate method', 'accurately predicted']</t>
  </si>
  <si>
    <t>An approximate method for the analysis of phased arrays of waveguide apertures in a lossy surface is developed. The procedure uses a surface impedance boundary condition in place of modal expansions in the lossy region. The method is validated in the two‚Äêdimensional case by comparing numerical results with those obtained by using modal expansions both in the feed waveguide and the lossy medium. The accuracy of the method improves as the magnitude of the lossy dielectric constant increases. The location of the blind spot when the lossy region is backed with a conductor is accurately predicted by the surface impedance method. Calculations of scan dependent matched reflection coefficient, element power gain and power loss to the surface are presented. Salient features of the effects of loss are discussed. The results of the paper permit an extrapolation of the surface impedance method to arrays of realistic waveguide phased array elements with lossy ground. Copyright 1987 by the American Geophysical Union.</t>
  </si>
  <si>
    <t>323-333</t>
  </si>
  <si>
    <t>May-June 1987</t>
  </si>
  <si>
    <t>6603129106;6602805535;7005831705</t>
  </si>
  <si>
    <t>Stalzer, Henry J.;Shmoys, Jerry;Hessel, Alexander</t>
  </si>
  <si>
    <t>Stalzer H.</t>
  </si>
  <si>
    <t>Surface impedance method for the analysis of phased arrays with a lossy ground plane</t>
  </si>
  <si>
    <t>10.1029/RS022i003p00323</t>
  </si>
  <si>
    <t>2-s2.0-0023345360</t>
  </si>
  <si>
    <t>['two reflectors', 'representative results', 'proper selection', 'polar component', 'high degree', 'geometrical parameters', 'focal lengths', 'field distribution', 'feed polarization', 'feed orientation', 'aperture field']</t>
  </si>
  <si>
    <t>For dual parabolic cylindrical reflectors, the field distribution over the aperture is calculated. This aperture-field distribution is a function of the feed orientation, and feed radiation pattern, the feed polarization, and the geometry of the configuration, in particular, the focal lengths of the two reflectors and the angle between them. The effects of these parameters on the uniformity of the co-polar component and the level of the cross-polar component of the aperture field are studied, and some representative results are presented. It is shown that by a proper selection of the geometrical parameters of the system, a high degree of co-polar field uniformity on the aperture can be maintained. Therefore, the system can be used as a compact antenna range to test large antennas.</t>
  </si>
  <si>
    <t>518-524</t>
  </si>
  <si>
    <t>May</t>
  </si>
  <si>
    <t>Sanad, M. S.A.;Shafai, L.</t>
  </si>
  <si>
    <t>APERTURE-FIELD UNIFORMITY AND CROSS-POLARIZATION LEVEL OF DUAL PARABOLIC CYLINDRICAL REFLECTORS.</t>
  </si>
  <si>
    <t>10.1139/p87-071</t>
  </si>
  <si>
    <t>2-s2.0-0023345952</t>
  </si>
  <si>
    <t>['unbounded medium', 'transmit mode', 'surface currents', 'special attention', 'sectional shapes', 'rectangular shells', 'receive mode', 'pulse expansion', 'moment method', 'integral equations', 'good agreement', 'filled slots', 'exciting source', 'equivalence principle', 'electronics engineers', 'electromagnetic transmission', 'different cross', 'computed results', 'aperture field']</t>
  </si>
  <si>
    <t>A simple moment solution is given for the problem of electromagnetic transmission through dielectric-filled slots in a conducting cylindrical shell of arbitrary cross section. The exciting source is assumed to be either a TM plane wave (receive mode) or an electric line current placed inside the shell (transmit mode). The surface-equivalence principle is used to replace the surfaces of the shell and the dielectrics by equivalent surface currents radiating in an unbounded medium. The application of the appropriate boundary conditions yields a set of coupled integral equations for the surface currents. The moment method with pulse expansion and point-matching testing procedures is used to solve the integral equations. Shells of different cross-sectional shapes are considered. Special attention is paid to circular and rectangular shells. In the transmit mode, the total far field transmitted through the slot is computed. In the receive mode, the aperture field and the field at the center of the shell are computed. For the case of air dielectric filling the slots, the computed results are in very good agreement with available published data. Copyright ¬© 1987 by The Institute of Electrical and Electronics Engineers, Inc.</t>
  </si>
  <si>
    <t>150-156</t>
  </si>
  <si>
    <t>60001777;60030551</t>
  </si>
  <si>
    <t>Syracuse;Rochester</t>
  </si>
  <si>
    <t>Syracuse University;Rochester Institute of Technology</t>
  </si>
  <si>
    <t>60030551;60001777</t>
  </si>
  <si>
    <t>TM Transmission Through Dielectric-Filled Slots in a Conducting Cylindrical Shell of Arbitrary Cross Section</t>
  </si>
  <si>
    <t>10.1109/TEMC.1987.304354</t>
  </si>
  <si>
    <t>2-s2.0-0023346559</t>
  </si>
  <si>
    <t>['well suited', 'time scale', 'terrestrial networks', 'short term', 'satisfying many', 'planned developments', 'new requirements', 'needs adequately', 'longer term', 'intersatellite links', 'electronics engineers', 'e .,', 'conventional design', 'called upon', 'board processing', 'advanced antennas']</t>
  </si>
  <si>
    <t>Europe has so far launched four experimental and six operational communications satellites successfully. Fifteen more spacecraft are scheduled to be launched before the end of 1990. As every-where in the world, requirements for new telecommunications services are emerging very rapidly, and it is becoming increasingly apparent that the planned developments in terrestrial networks (ISDN, radio cellular networks) will fail to meet all the needs adequately, either in scope or in time scale. Against this background, it is shown that satellites of conventional design, carrying transparent payloads, are well suited to satisfying many of the new requirements in the short term. For the longer term, i.e., from the year 2000 onwards, innovative system concepts are being developed in which the satellite is called upon to perform more sophisticated functions requiring very advanced antennas, on-board processing, and intersatellite links. Copyright ¬© 1987 by The Institute of Electrical and Electronics Engineers, Inc.</t>
  </si>
  <si>
    <t>615-623</t>
  </si>
  <si>
    <t>Bartholom√©, Pierre</t>
  </si>
  <si>
    <t>Noordwijk aan Zee</t>
  </si>
  <si>
    <t>ESTEC - European Space Research and Technology Centre</t>
  </si>
  <si>
    <t>Bartholom√© P.</t>
  </si>
  <si>
    <t>The Future of Satellite Communications in Europe</t>
  </si>
  <si>
    <t>10.1109/JSAC.1987.1146572</t>
  </si>
  <si>
    <t>2-s2.0-0023346586</t>
  </si>
  <si>
    <t>['¬© 1987', 'rights reserved', 'readily applied', 'frequency techniques', 'first time', 'electrical engineers', 'applying high', 'antenna analysis', 'analytical expressions']</t>
  </si>
  <si>
    <t>Antennas | Geodesics | GTD | Mutual coupling</t>
  </si>
  <si>
    <t>A methodology has been presented for the first time for computing geometric parameters of a GPOR, necessary for applying high-frequency techniques to antenna analysis. The analytical expressions for the geometric parameters derived here could be readily applied to mutual coupling problems. ¬© 1987, The Institution of Electrical Engineers. All rights reserved.</t>
  </si>
  <si>
    <t>60014097;60014097;60014097</t>
  </si>
  <si>
    <t>7101680121;6701695987;57198008972</t>
  </si>
  <si>
    <t>Jha, R. M.;Sudhakar, V.;Balakrishnan, N.</t>
  </si>
  <si>
    <t>Bengaluru</t>
  </si>
  <si>
    <t>Indian Institute of Science</t>
  </si>
  <si>
    <t>Jha R.M.</t>
  </si>
  <si>
    <t>Ray Analysis of Mutual Coupling Between Antennas on A General Paraboloid of Revolution (Gpor)</t>
  </si>
  <si>
    <t>10.1049/el:19870419</t>
  </si>
  <si>
    <t>2-s2.0-0023346722</t>
  </si>
  <si>
    <t>['field penetration', 'electrostatic devices', 'electronics engineers', 'electric potential', 'circular aperture', 'also calculated']</t>
  </si>
  <si>
    <t>The solution of several electrostatic potential problems involving open spherical perfectly conducting shells is presented in the context of the dual series equations method. These equations are a consequence of mixed boundary conditions imposed on the electric potential and field. A solution is given for the dual series equations corresponding to two concentric spherical shells, one of which has a circular aperture. The aperture dipole moment, the capacity, and field penetration of some electrostatic devices are also calculated. Copyright ¬© 1987 by The Institute of Electrical and Electronics Engineers, Inc.</t>
  </si>
  <si>
    <t>132-140</t>
  </si>
  <si>
    <t>Boridy, Elie</t>
  </si>
  <si>
    <t>Universit√© du Qu√©bec √† Montr√©al</t>
  </si>
  <si>
    <t>Boridy E.</t>
  </si>
  <si>
    <t>Solution of Some Electrostatic Potential Problems Involving Spherical Conductors: A Dual Series Approach</t>
  </si>
  <si>
    <t>10.1109/TEMC.1987.304352</t>
  </si>
  <si>
    <t>2-s2.0-0023346769</t>
  </si>
  <si>
    <t>['transient response', 'thetransient solution', 'obtained via', 'impulse excitation', 'exact solution', 'electromagnetic pulse', 'diffusion limit', 'delta gap', 'definite integrals', 'classic result']</t>
  </si>
  <si>
    <t>Thetransient solution of an infinite cylindrical antenna in a dissipative medium caused by an impulse excitation at a delta gap is obtained via an exact solution in the form of definite integrals and a simple asymptotic formula. This formula is used to obtain an integral for calculating the antenna current caused by a double exponential input voltage at the gap; furthermore, the resulting integral reduces to Sunde's classic result under the diffusion limit. These results are applied to the transient response of a buried wire subject to an electromagnetic pulse (EMP) or nearby lightning incident wave. ¬© 1987 IEEE</t>
  </si>
  <si>
    <t>562-573</t>
  </si>
  <si>
    <t>Chen, Kenneth C.</t>
  </si>
  <si>
    <t>Albuquerque</t>
  </si>
  <si>
    <t>Sandia National Laboratories, New Mexico</t>
  </si>
  <si>
    <t>Chen K.C.</t>
  </si>
  <si>
    <t>Transient response of an infinite cylindrical antenna in a dissipative medium</t>
  </si>
  <si>
    <t>10.1109/TAP.1987.1144145</t>
  </si>
  <si>
    <t>2-s2.0-0023347034</t>
  </si>
  <si>
    <t>['¬© 1987', 'rights reserved', 'particularly appropriate', 'paper describes', 'operational environments', 'nonlubricated direct', 'model based', 'mechanical engineers', 'mbscs ),', 'low mass', 'japan society', 'high stiffness', 'high reliability', 'experimental performance', 'drive actuators', 'documented along', 'component performance', 'compact size', 'antenna reflector']</t>
  </si>
  <si>
    <t>Antenna pointing mechanism | Communication satellite | Direct-drive actuator | Multi-beam antenna | Nonlubrication | Satellite communication</t>
  </si>
  <si>
    <t>In a Multi-Beam Satellite Communication System (MBSCS), the high-accuracy mechanical control for the antenna reflector is necessary. This paper describes the design, development and experimental performance of antenna pointing mechanism (APM) for the MBSCS. The mechanism mechanical configration and component performance is documented along with the launch and operational environments of three-axis communications satellite. This model based on nonlubricated direct-drive actuators are particularly appropriate for the APM's requirements ; compact size, low mass, high stiffness, low power consumption and high reliability. ¬© 1987, The Japan Society of Mechanical Engineers. All rights reserved.</t>
  </si>
  <si>
    <t>1047-1052</t>
  </si>
  <si>
    <t>Transactions of the Japan Society of Mechanical Engineers Series C</t>
  </si>
  <si>
    <t>57217955977;7402364536;56021726700;7401872119</t>
  </si>
  <si>
    <t>Tsukada, Eiichi;Kawakami, Yoichi;Miyake, Shojiro;Ogawa, Shigeki</t>
  </si>
  <si>
    <t>Tsukada E.</t>
  </si>
  <si>
    <t>On-Board Antenna Pointing Mechanism for Multi-Beam Satellite Communication System</t>
  </si>
  <si>
    <t>10.1299/kikaic.53.1047</t>
  </si>
  <si>
    <t>2-s2.0-0023347423</t>
  </si>
  <si>
    <t>['radiation pattern', 'paraboloidal reflector', 'must communicate', 'gain antennas', 'gain antenna', 'fundamental characteristics', 'conical spiral', 'classified nature', 'circular orbit', 'briefly described', 'based antennas']</t>
  </si>
  <si>
    <t>Antennas for three-axis stabilized spacecraft that are in circular orbit and must communicate with one or more earth-based antennas are discussed. Antennas for many military satellites of a classified nature and for NASA's deep space probes are excluded. The fundamental characteristics of an antenna, namely, radiation pattern, directivity, gain, and polarization, are defined. These properties are discussed in relation to the dipole and the conical spiral, both low-gain antennas, and the paraboloidal reflector, a high-gain antenna. A consideration of the nature of the transmission of information over long, free space paths reveals that high-gain antennas are required when the information data rate is high, as in color TV transmissions. Some typical satellite antennas are briefly described, including those of the Global Positioning System's Navstar and the Telecommunications Data Relay satellites.</t>
  </si>
  <si>
    <t>22-25</t>
  </si>
  <si>
    <t>IEEE Potentials</t>
  </si>
  <si>
    <t>Love, Allan W.</t>
  </si>
  <si>
    <t>Love A.</t>
  </si>
  <si>
    <t>ANTENNAS FOR SATELLITES.</t>
  </si>
  <si>
    <t>10.1109/MP.1987.6500926</t>
  </si>
  <si>
    <t>2-s2.0-0023347506</t>
  </si>
  <si>
    <t>['wire grids', 'urban area', 'slot location', 'slot antenna', 'receiving performance', 'radiation pattern', 'input impedance', 'horizontal elements', 'feed point', 'equipment box', 'electronics engineers', 'current distribution']</t>
  </si>
  <si>
    <t>A newly developed bent-slot antenna for UHF portable communication equipment is introduced. The bent-slot antenna, modified from a half-wave slot element, is designed to have both vertical and horizontal elements and is intended to achieve the improvement of the receiving performance in the urban area. The antenna system characteristics such as current distribution, radiation pattern, gain, and input impedance are investigated both theoretically and experimentally for such parameters as the slot location, the feed point and the width and height of the equipment box. In the calculation, the equipment box is assumed as a rectangular conducting box, and the surface of the box and the slot are modeled by wire grids. The method of moments is applied to find both the electric and magnetic current distributions on wires. Copyright ¬© 1987 by The Institute of Electrical and Electronics Engineers. Inc</t>
  </si>
  <si>
    <t>78-85</t>
  </si>
  <si>
    <t>IEEE Transactions on Vehicular Technology</t>
  </si>
  <si>
    <t>6601997784;7403304145;7102376306</t>
  </si>
  <si>
    <t>Kuboyama, Haruhiro;Fujimoto, Kyohei;Hirasawa, Kazuhiro</t>
  </si>
  <si>
    <t>Kuboyama H.</t>
  </si>
  <si>
    <t>Uhf bent-slot antenna system for portable equipment-i</t>
  </si>
  <si>
    <t>10.1109/T-VT.1987.24103</t>
  </si>
  <si>
    <t>2-s2.0-0023347898</t>
  </si>
  <si>
    <t>['wave values', 'wave 2', 'time since', 'thermal area', 'thermal anomaly', 'several lines', 'probably represents', 'mineralized water', 'magma intrusion', 'like structure', 'like feature', 'including heat', 'hot water', 'heat source', 'geophysical data', 'flow measurements', 'flow data', 'field data', 'excellent conductor', 'electrical nature', 'difference calculations', 'correct near', 'conducting anomaly', 'basal layer', 'attracted interest', 'approximately 200']</t>
  </si>
  <si>
    <t>The Puhimau thermal area in the Volcanoes National Park, Hawaii, has attracted interest because it represents an area with anomalously high heat flow and the heat source may be a shallow magma body. At Puhimau a variety of geophysical data, including heat-flow measurements, have been acquired. The self-potential data suggest that the heat source is a result of a magma intrusion which plunges steeply northward. The heat-flow data can be explained in terms of a shallow, relatively thick magma intrusion with a solidification rate sufficient to supply the surficial heat flow for the period of time since the appearance of the thermal area in 1936. In February of 1984, we performed a controlled-source audiofrequency magnetotelluric (CSAMT) electromagnetic geophysical survey at the Puhimau thermal area to investigate the electrical nature of the thermal anomaly and estimate the depth to any hot water and/or remaining molten magma. The CSAMT survey consisted of several lines of stations where two orthogonal primary-field transmitting antennas were used. A technique was developed to correct near-field CSAMT apparent resistivities to plane-wave values so that plane-wave analysis techniques could be applied. Plane-wave 2-D finite-difference calculations are used to interpret the field data. The results are consistent with the interpretation that the conducting anomaly is a long, thick, dike-like feature and within this conducting anomaly there is an excellent conductor (approximately 5 Œ© ¬∑ m) at a depth of approximately 200 m which may be magma or hot, mineralized water. Above this conductor is a zone 40 times less conductive which probably represents an area with less than 100 percent water saturation. The dike-like structure is connected to a conducting (approximately 5 Œ© ¬∑ m) basal layer at a depth of 350 m.</t>
  </si>
  <si>
    <t>665-677</t>
  </si>
  <si>
    <t>Geophysics</t>
  </si>
  <si>
    <t>60007843;60007843</t>
  </si>
  <si>
    <t>57188750368;7201670554</t>
  </si>
  <si>
    <t>Bartel, L. C.;Jacobson, R. D.</t>
  </si>
  <si>
    <t>Bartel L.C.</t>
  </si>
  <si>
    <t>Results of a controlled-source audiofrequency magnetotelluric survey at the Puhimau thermal area, Kilauea Volcano, Hawaii</t>
  </si>
  <si>
    <t>10.1190/1.1442334</t>
  </si>
  <si>
    <t>2-s2.0-0023348035</t>
  </si>
  <si>
    <t>['year 2000', 'varying degrees', 'technologically motivated', 'spread use', 'service categories', 'satellite communications', 'regulatory activities', 'paper addresses', 'major role', 'intelsat vi', 'future services', 'future directions', 'expensive spacecraft', 'electronics engineers', 'earth stations', 'current services', 'brief recapping', 'brief allusion', 'advancing technology', '8 fiber']</t>
  </si>
  <si>
    <t>Commercial satellite communications continues to undergo changes arising not only from advancing technology but also from new service offerings and regulatory activities. As the communications industry grows more competitive, future directions in satellite communications will become more economically than technologically motivated. This paper addresses the future of satellite communications, emphasizing fixed satellite services but also covering maritime mobile and broadcast satellite services. Following a brief recapping of the past, current services are discussed and future services are projected for the above service categories. A projection is made of the economics of satellite communications systems using gateway and varying degrees of distribution of earth stations, for both INTELSAT VI and future multibeam satellites and the TAT-8 fiber-optic undersea cable. After a brief allusion to systems design considerations, the anticipated technology projections towards the year 2000 for satellite communication services (including satellite antennas, transmitters and receivers, and on-board interconnection subsystems) are presented in some detail. Finally, it is concluded that satellite communications will have a major role in this epoch, and wide-spread use of low-cost customer premise earth station may justify more sophisticated and more expensive spacecraft. Copyright ¬© 1987 by The Institute of Electrical and Electronics Engineers, Inc.</t>
  </si>
  <si>
    <t>556-570</t>
  </si>
  <si>
    <t>60007742;60007742;60007742</t>
  </si>
  <si>
    <t>7004465295;7005406017;36639763300</t>
  </si>
  <si>
    <t>Mahle, Christoph E.;Hyde, Geoffrey;Inukai, Thomas</t>
  </si>
  <si>
    <t>Clarksburg</t>
  </si>
  <si>
    <t>Comsat Laboratories</t>
  </si>
  <si>
    <t>Mahle C.E.</t>
  </si>
  <si>
    <t>Satellite Scenarios and Technology for the 1990's</t>
  </si>
  <si>
    <t>10.1109/JSAC.1987.1146569</t>
  </si>
  <si>
    <t>2-s2.0-0023348232</t>
  </si>
  <si>
    <t>['time domain', 'significant magnitudes', 'reception characteristics', 'radiation field', 'planar array', 'numerical method', 'mutual impedances', 'monopulse technique', 'frequency dependence', 'electronics engineers', 'angle measurement']</t>
  </si>
  <si>
    <t>The radiation and reception characteristics of a planar array of straight-wire coupled antennas are analyzed by a numerical method in the time domain. The numerical method allows us to calculate some significant magnitudes in an array of coupled wire antennas, such as the frequency dependence of the self- and mutual impedances between antennas. The antennas are fed by a timevarying Gaussian pulse, and they are loaded with various nonlinear elements to exert some control over the radiation field. The results are used to show how the monopulse technique with the slope pattern promises a much higher accuracy of angle measurement for a target. Copyright ¬© 1987 by The Institute of Electrical and Electronics Engineers, Inc.</t>
  </si>
  <si>
    <t>169-174</t>
  </si>
  <si>
    <t>60014655;60014655;60014655</t>
  </si>
  <si>
    <t>7003589064;57207871862;7004533004</t>
  </si>
  <si>
    <t>Martin, Rafael Gomez;Morente, Juan A.;Salinas, Alfonso</t>
  </si>
  <si>
    <t>Granada</t>
  </si>
  <si>
    <t>Universidad de Granada, Facultad de Ciencias</t>
  </si>
  <si>
    <t>Martin R.G.</t>
  </si>
  <si>
    <t>Application of the Monopulse Technique to a Planar Array of Nonlinearly Loaded Straight-Wire Coupled Antennas</t>
  </si>
  <si>
    <t>10.1109/TEMC.1987.304356</t>
  </si>
  <si>
    <t>2-s2.0-0023348484</t>
  </si>
  <si>
    <t>['possible hazard', 'electronics engineers', 'different conditions', 'accidental antenna']</t>
  </si>
  <si>
    <t>The possible hazard of a spark producing ignition in flammable mixtures due to the presence of an accidental antenna in the field of a transmitter is studied. Different conditions are considered to estimate the level of risks. Copyright ¬© 1987 by The Institute of Electrical and Electronics Engineers, Inc.</t>
  </si>
  <si>
    <t>191-194</t>
  </si>
  <si>
    <t>100469915;100469915;100469915;100469915</t>
  </si>
  <si>
    <t>6602766855;7102695492;6507570575;6506520579</t>
  </si>
  <si>
    <t>Oriolo, L. M.;Diaz, S. B.;Alvarez-Ovide, B.;Padula-Pintos, V.</t>
  </si>
  <si>
    <t>Argentina</t>
  </si>
  <si>
    <t>Buenos Aires</t>
  </si>
  <si>
    <t>CAERCEM</t>
  </si>
  <si>
    <t>Oriolo L.M.</t>
  </si>
  <si>
    <t>Possible Risks Caused by an Accidental Antenna</t>
  </si>
  <si>
    <t>10.1109/TEMC.1987.304360</t>
  </si>
  <si>
    <t>2-s2.0-0023348552</t>
  </si>
  <si>
    <t>['year 2000', 'third generation', 'small stations', 'small antennas', 'ses ).', 'required eb', 'omon codes', 'multipath fading', 'measurements show', 'measured results', 'lower end', 'inmarsat system', 'fec codecs', 'elevation angle', 'electronics engineers', 'doppler shift', 'data transmission', 'costas loop', 'communication channel', 'channel model', 'antenna type', 'antenna stabilization', 'analytical calculations', 'almost compensated', '2 kbits', '15 dbi']</t>
  </si>
  <si>
    <t>Towards the year 2000, maritime satellite communications using the INMARSAT system will employ a second and third generation of satellites and new ship earth stations (SES). The new SES standards will use very small antennas with gains between 0 and 15 dBi. At the lower end of SES there will be no antenna stabilization. The communication channel for such small stations is described by a model including multipath fading, Doppler shift, and noise. The results of an extensive measurement program were used to determine the parameters of the channel model, which depend on antenna type and elevation angle. Analytical calculations as well as synthetic and stored channel hardware simulations have been used to determine the performance of several modulation schemes. A complete data link using PSK modems with AFC/Costas loop, interleaving, and FEC codecs at 1.2 kbits / s was built up around a hardware maritime channel simulator, to study the performance of data transmission on the small SES maritime channel. Theoretical and measured results are given for inter-leaved Viterbi decoding with channel state information and Reed-Sol-omon codes. The measurements show that with interleaved FEC schemes, the required Eb/N0 for a BER 10‚Äì5 is in the range of 9‚Äì15 dB and the effects of multipath fading are almost compensated for. Copyright ¬© 1987 by The Institute of Electrical and Electronics Engineers, Inc.</t>
  </si>
  <si>
    <t>701-713</t>
  </si>
  <si>
    <t>60007798;60007798;60007798;60007798;60007798</t>
  </si>
  <si>
    <t>7004425445;7801413221;56212006200;6603238554;7003839424</t>
  </si>
  <si>
    <t>Hagenauer, Joachim;Dolainsky, Frank;Lutz, Erich;Papke, Wolfgang;Schweikert, Robert</t>
  </si>
  <si>
    <t>¬†Cologne</t>
  </si>
  <si>
    <t>Deutsches Zentrum fur Luft- Und Raumfahrt</t>
  </si>
  <si>
    <t>Hagenauer J.</t>
  </si>
  <si>
    <t>The Maritime Satellite Communication Channel‚ÄîChannel Model, Performance of Modulation and Coding</t>
  </si>
  <si>
    <t>10.1109/JSAC.1987.1146571</t>
  </si>
  <si>
    <t>2-s2.0-0023348557</t>
  </si>
  <si>
    <t>['technological breakthroughs', 'satellite communication', 'paper addresses', 'issues concerning', 'following subjects', 'electronics engineers', 'band satellites']</t>
  </si>
  <si>
    <t>This paper addresses the issues concerning the future of satellite communication, which will be influenced by the advancement of fiber optical cables, the proliferation of C- and Ku-band satellites, the standardization of ISDN, the requirements for new and low cost services, the economic disparity among countries, the extent of institutional policy changes, as well as technological breakthroughs. The factors will dictate and shape, both internationally and domestically, the directions of future satellite communications. In addition, the following subjects are discussed: ‚Ä¢ service and traffic projections ‚Ä¢ access strategies ‚Ä¢ modulation alternatives ‚Ä¢ satellite switching and on-board processing ‚Ä¢ phase array antennas ‚Ä¢ low-altitude orbit options ‚Ä¢ satellite lifetime extension. Copyright ¬© 1987 by The Institute of Electrical and Electronics Engineers, Inc.</t>
  </si>
  <si>
    <t>571-591</t>
  </si>
  <si>
    <t>60004541;60004541</t>
  </si>
  <si>
    <t>7006602637;7407078805</t>
  </si>
  <si>
    <t>Pelton, Joseph N.;Wu, William W.</t>
  </si>
  <si>
    <t>INTELSAT</t>
  </si>
  <si>
    <t>Pelton J.N.</t>
  </si>
  <si>
    <t>The Challenge of 21st Century Satellite Communications: INTELSAT Enters the Second Millennium</t>
  </si>
  <si>
    <t>10.1109/JSAC.1987.1146580</t>
  </si>
  <si>
    <t>2-s2.0-0023348696</t>
  </si>
  <si>
    <t>['¬© 1987', 'wideband antenna', 'wave generation', 'theoretically predicted', 'single probe', 'rights reserved', 'probe inductance', 'probe feeding', 'patch surface', 'patch impedance', 'order modes', 'input connector', 'high efficiency', 'high crosspolarisation', 'electrical engineers', 'capacitive gap', 'bandwidths equal']</t>
  </si>
  <si>
    <t>In thick microstrip patches, probe inductance prevents matching of the patch impedance to the input connector. The probe inductance can be tuned out with a capacitive gap. To maintain simplified construction the gap is here etched on the patch surface. Bandwidths equal to or greater than that theoretically predicted are realised. Use of a single probe-compensated feed results in radiation pattern distortion, high crosspolarisation and low efficiency due both to higher-order modes and surface-wave generation. Two-probe feeding is used here to overcome these problems and to give a wideband antenna with good radiation pattern control and high efficiency. ¬© 1987, The Institution of Electrical Engineers. All rights reserved.</t>
  </si>
  <si>
    <t>606-607</t>
  </si>
  <si>
    <t>Hall, P. S.</t>
  </si>
  <si>
    <t>Probe Compensation in Thick Microstrip Patches</t>
  </si>
  <si>
    <t>10.1049/el:19870434</t>
  </si>
  <si>
    <t>2-s2.0-0023348932</t>
  </si>
  <si>
    <t>['widely used', 'waveguide arrays', 'synthesis procedures', 'scattering characteristics', 'radar systems', 'paper reviews', 'linear slotted', 'high degree', 'francis group', 'different methods', 'comprehensive computer', 'aided design']</t>
  </si>
  <si>
    <t>Planar array antennas which are formed by stacking together two or more linear slotted-waveguide arrays are widely used in radar systems. These arrays are becoming increasingly amenable to comprehensive computer-aided design and synthesis procedures, since the scattering characteristics of apertures in waveguide can now be predicted to a high degree of accuracy. This paper reviews the three most useful theoretical methods of determining slot characteristics and examines the advantages and disadvantages of the different methods for use in computer-aided design programmes. ¬© 1987 Taylor and Francis Group, LLC.</t>
  </si>
  <si>
    <t>641-662</t>
  </si>
  <si>
    <t>60019656;60019656</t>
  </si>
  <si>
    <t>7007049394;7102450073</t>
  </si>
  <si>
    <t>Sangster, A. J.;McCormick, A. H.I.</t>
  </si>
  <si>
    <t>Edinburgh</t>
  </si>
  <si>
    <t>Heriot-Watt University</t>
  </si>
  <si>
    <t>Sangster A.</t>
  </si>
  <si>
    <t>Some observations on the computer-aided design/synthesis of slotted-waveguide antennas</t>
  </si>
  <si>
    <t>10.1080/00207218708921016</t>
  </si>
  <si>
    <t>2-s2.0-0023349399</t>
  </si>
  <si>
    <t>['vertical coordinate', 'upper halfspace', 'third material', 'regge theory', 'qualitative agreement', 'medium may', 'finite number', 'exact results', 'electronics engineers', 'electromagnetic boundary', 'dielectric constants', 'conducting material', 'concepts based', 'boundary conditions', 'approximation along', 'approximately implemented']</t>
  </si>
  <si>
    <t>We present an analytic formalism applied to the electromagnetic boundary-value problem consisting of a vertical semiinfinite conducting cylinder embedded in another conducting medium, with an upper halfspace of a third material, in the presence of a normally incident plane electromagnetic wave from infinity. The cylinder and the medium may have arbitrary finite conductivities and dielectric constants. We use analyticity arguments and concepts based on Regge theory and Prony/SEM (singularity expansion method) formalism to construct an expansion for the fields. The expansion uses poles in the Fourier conjugate variable Œ± to the vertical coordinate. A finite number of Œ± poles are taken as an approximation along with a truncation of the standard azimuthal expansion. The results satisfy Maxwell's equations in each region of space with given constitutive parameters. The boundary conditions between regions are approximately implemented by a least-squares fitting procedure. Practical examples include a lossy cylindrical object in a conducting material (pictorially an ‚Äúisland‚Äù in an ‚Äúocean‚Äù), or a long metallic cylindrical object in the earth, with the upper halfspace being air. Qualitative agreement with exact results is obtained. Copyright ¬© 1987 by The Institute of Electrical and Electronics Engineers, Inc.</t>
  </si>
  <si>
    <t>175-185</t>
  </si>
  <si>
    <t>60021378;60021378;60021378</t>
  </si>
  <si>
    <t>6508295910;56782563100;7004088462</t>
  </si>
  <si>
    <t>Beilis, Alan;Dash, Fan W.;Farrow, Amy</t>
  </si>
  <si>
    <t>Beilis A.</t>
  </si>
  <si>
    <t>Analytic ‚ÄúŒ±-Pole‚Äù Approach to an Electromagnetic Scattering Problem</t>
  </si>
  <si>
    <t>10.1109/TEMC.1987.304357</t>
  </si>
  <si>
    <t>2-s2.0-0023349627</t>
  </si>
  <si>
    <t>['wiley company', 'theoretical analysis', 'substantial attenuation', 'skin depth', 'similar theory', 'previous effect', 'phantom model', 'new applicator', 'muscle layer', 'microwave energy', 'inc .,', 'hyperthermia reached', 'human muscle', 'heating experiment', 'electromagnetic irradiation', 'dielectric heating', 'converging effect', 'conventional waveguide', 'biological body', 'applicator developed', '30 mm', '2450 mhz', '17 mm']</t>
  </si>
  <si>
    <t>In hyperthermia which has recently been considered as a promising cancer therapy, heating of tissue is produced by dielectric heating by microwave energy. On the other hand, owing to the substantial attenuation of electromagnetic waves within a biological body, it is not possible to heat a cancer located deep inside the body. The authors have proposed an antenna (applicator) for electromagnetic irradiation of the biological body with a converging effect in the magnetic field plane (H‚Äêplane). In this paper, a new applicator is proposed which has a converging effect in the electric field plane (E‚Äêplane) in addition to the previous effect in the H‚Äêplane. Such an E‚Äê and H‚Äêplane converging lens applicator has been fabricated. In addition to the theoretical analysis, a heating experiment has been performed for a phantom model of human muscle. The theoretical and experimental results agree well. If a surface cooling device is added in the applicator, the depth of the maximum temperature point is found to be more than twice that of the conventional waveguide with an identical aperture size. A similar theory has been used at 2450 MHz in the simulation of heating of a biological model considering the presence of cancer. Although the skin depth of the muscle layer at this frequency is 17 mm, the range of heating in the hyperthermia reached more than 30 mm (about twice the surface skin depth), indicating the effectiveness of the applicator developed here. Copyright ¬© 1987 Wiley Periodicals, Inc., A Wiley Company</t>
  </si>
  <si>
    <t>95-104</t>
  </si>
  <si>
    <t>60025997-60004176;60025997-60004176;60025997-60004176;60019916</t>
  </si>
  <si>
    <t>7004151048;57190920613;36901229000;36047913300</t>
  </si>
  <si>
    <t>Nikawa, Yoshio;Moris, Shinsaku;Katsumata, Tohru;Kikuchi, Makoto</t>
  </si>
  <si>
    <t>Tokyo;Tokorozawa;Yokosuka</t>
  </si>
  <si>
    <t>Keio University;National Defense Medical College Tokorozawa;National Defense Academy of Japan</t>
  </si>
  <si>
    <t>60025997;60019916;60004176</t>
  </si>
  <si>
    <t>Nikawa Y.</t>
  </si>
  <si>
    <t>Both E‚Äê and H‚Äêplane converging lens applicator for deep and localized microwave hyperthermia</t>
  </si>
  <si>
    <t>10.1002/ecja.4410700510</t>
  </si>
  <si>
    <t>2-s2.0-0023349674</t>
  </si>
  <si>
    <t>['paper provides', 'improvements observed', 'em absorbers', 'electronics engineers', 'brief history']</t>
  </si>
  <si>
    <t>Lawrence Livermore National Laboratory recently improved its electromagnetic measurement capability through the installation of a precision BroadBand monocone antenna, shrouded by EM absorbers, at its Transient Range Facility. This paper provides a brief history of the facility, describes the current measurement systems, and discusses the improvements observed. Copyright ¬© 1987 by The Institute of Electrical and Electronics Engineers, Inc.</t>
  </si>
  <si>
    <t>93-103</t>
  </si>
  <si>
    <t>60026175;60026175;60026175;60026175;60026175;60026175</t>
  </si>
  <si>
    <t>7006948386;56782579600;6701384134;22993430300;7004068325;56782512700</t>
  </si>
  <si>
    <t>Kunz, Karl S.;Gerald Hudson, H.;Breakall, James K.;King, Ray J.;Pennock, Steven T.;Peter Ludwigsen, A.</t>
  </si>
  <si>
    <t>Kunz K.</t>
  </si>
  <si>
    <t>Lawrence Livermore National Laboratory Electromagnetic Measurement Facility</t>
  </si>
  <si>
    <t>10.1109/TEMC.1987.304348</t>
  </si>
  <si>
    <t>2-s2.0-0023349731</t>
  </si>
  <si>
    <t>['‚ äêimportant', 'wiley blackwell', 'useful structural', 'triantennary structure', 'single antenna', 'similar conformation', 'rights reserved', 'previously observed', 'peptide part', 'patterns expected', 'hydroxymethyl protons', 'glycopeptides derived', 'fine structure', 'detailed analysis', 'cross peaks', 'core unit', 'conformational information', 'common carbohydrates', 'calf fetuin', 'appreciable part', 'additional antenna']</t>
  </si>
  <si>
    <t>Useful structural and conformational information was obtained from a detailed analysis of the fine structure of cross peaks that appears in the phase‚Äêsensitive homonuclear correlated two‚Äêdimensional spectra of complex large glycopeptides. The small chemical shift range observed for the oligosaccharide part results in a variety of cross‚Äêpeak patterns. A catalogue of cross‚Äêpeak fine structures and patterns expected for common carbohydrates are presented which can help in making some, all‚Äêimportant and crucial, proton resonance assignments. Analysis of the vicinal coupling constants extracted from the cross peaks corresponding to the hydroxymethyl protons of the inner core carbohydrates of glycopeptides derived from calf fetuin, has yielded information regarding the time‚Äêaveraged solution conformation of this triantennary structure. It was shown that in solution the Man(Œ±1‚Äì6) arm of the core pentasaccharide unit, which carries a single antenna, adopts for an appreciable part of the time a conformation which brings it close to the arm that is attached to the peptide part. A similar conformation for the Man(Œ±1‚Äì6) arm was previously observed for the biantennary oligosaccharide chain. Therefore, we concluded that the presence of an additional antenna on the Man(Œ±1‚Äì3) arm of the core unit in the triantennary structure does not alter the basic biantennary conformation. Copyright ¬© 1987, Wiley Blackwell. All rights reserved</t>
  </si>
  <si>
    <t>385-391</t>
  </si>
  <si>
    <t>European Journal of Biochemistry</t>
  </si>
  <si>
    <t>BERMAN, Elisha</t>
  </si>
  <si>
    <t>Israel</t>
  </si>
  <si>
    <t>Rehovot</t>
  </si>
  <si>
    <t>Weizmann Institute of Science Israel</t>
  </si>
  <si>
    <t>BERMAN E.</t>
  </si>
  <si>
    <t>Conformational analysis and the fine structure of cross peaks in phase‚Äêsensitive homonuclear two‚Äêdimensional correlated NMR spectra of oligosaccharides</t>
  </si>
  <si>
    <t>10.1111/j.1432-1033.1987.tb11451.x</t>
  </si>
  <si>
    <t>2-s2.0-0023351255</t>
  </si>
  <si>
    <t>['tide tables', 'system uses', 'successful trial', 'significant impact', 'significant advancement', 'selected group', 'sea trials', 'satellite communications', 'safety system', 'receive data', 'provide news', 'printed form', 'position automatically', 'performance data', 'optimal way', 'omnidirectional antenna', 'north atlantic', 'multifunctional capabilities', 'messages throughout', 'marine community', 'light lists', 'latter part', 'imo making', 'hazardous cargo', 'engine monitoring', 'egc system', 'early bird', 'communications practice', 'commodity market', 'commercial user', 'commercial service', 'commercial calls', 'closely together', 'carriage requirements', 'business information', 'advise ships', '21st century', '1987 institute']</t>
  </si>
  <si>
    <t>Since the days of Sputnik, 1, Transit and Early Bird, satellite communications and navigation have followed separate development paths. Now with the development of the INMARSAT Standard‚ÄêC and Enhanced Group Call systems the two will be drawn more closely together. Standard‚ÄêC will provide a simple low cost satellite solution for ships to send and receive data and messages throughout the world in any weather 24 hours a day. For the mariner this will mark a significant advancement over existing conventional services. The Enhanced Group Call (EGC) system uses the basic Standard‚ÄêC system architecture to broadcast Marine Safety Information (SafetyNET) and commercial calls (FleetNET) to defined geographic areas or groups of ships. The EGC system therefore brings the mariner an optimal way to automatically receive shore‚Äêto‚Äêship distress alerts, routine weather forecasts and NAVAREA and storm warnings applicable to the area in which he is sailing. For the commercial user it offers a means to provide news, stock, commodity market and other business information to a selected group of recipients. In the future it may also provide the means for automatically updating data bases containing electronic charts, light lists, tide tables, hazardous cargo and other information currently carried in printed form. The ability to advise ships in near real‚Äêtime of pertinent Marine Safety Information will be demonstrated during sea trials of the EGC system in the North Atlantic during 1987. A successful trial is expected to lead to IMO making an EGC receiver capability a part of the Global Maritime Distress and Safety System (GMDSS) carriage requirements which, together with 518 KHz NAVTEX, will enable the mariner to receive crucial Marine Safety Information automatically anywhere he sails. The Standard‚ÄêC ship earth station (SES) will have the ability to transmit the vessel's position automatically when connected to an electronic positioning system, either at pre‚Äêassigned intervals or on demand when polled. The same capability may also be used to transmit meteorological observations as well as cargo and engine monitoring/performance data. Starting in 1987, INMARSAT will test and demonstrate position determination through its satellites by using ranging techniques. It is planned that some of these tests will be conducted using modified Standard‚ÄêC SESs. Sea Trials of Standard‚ÄêC will begin in the latter part of 1987 with commercial service from 1988. The multifunctional capabilities of this small, lightweight, low‚Äêcost SES with omnidirectional antenna are remarkable. Standard‚ÄêC will therefore have a significant impact on navigation and communications practice and thinking by the marine community into the 21st Century. 1987 Institute of Navigation</t>
  </si>
  <si>
    <t>124-139</t>
  </si>
  <si>
    <t>Navigation</t>
  </si>
  <si>
    <t>Summer 1987</t>
  </si>
  <si>
    <t>Bell, J. C.</t>
  </si>
  <si>
    <t>Inmarsat plc</t>
  </si>
  <si>
    <t>Bell J.</t>
  </si>
  <si>
    <t>Standard‚ÄêC and Positioning</t>
  </si>
  <si>
    <t>10.1002/j.2161-4296.1987.tb01495.x</t>
  </si>
  <si>
    <t>2-s2.0-0023352785</t>
  </si>
  <si>
    <t>['wiley company', 'spot size', 'scattered fields', 'scattered field', 'propagation axis', 'numerical example', 'multipole field', 'inc .,', 'gaussian beam', 'engineering applications', 'eight cylinders', 'complex points', 'bragg angle']</t>
  </si>
  <si>
    <t>The problem of a Gaussian beam with the spatial energy concentrated along the propagation axis is important in engineering applications. This paper studies scattering of two‚Äêdimensional Hermite‚ÄêGaussian beams by several parallel conducting cylinders located arbitrarily. First, the relation between the conventional beam modes and the complex beam modes proposed by Siegman is used for expression of a Hermite‚ÄêGaussian beam in terms of multipoles with complex points. Next, the scattered field of each multipole field by cylinders is derived. The scattered fields of a conventional beam mode are represented in terms of those of complex‚Äêsource‚Äêpoint multipole fields. As a numerical example, the effect of the spot size and that of the displacement of the propagation axis are studied in the case where a Gaussian beam is incident with the Bragg angle on the array of eight cylinders. It is found that the directivity of the diffraction of the order ‚Äê1 is increased with the spot size and the maximum can be found in the direction almost equal to that for a plane wave incidence. Copyright ¬© 1987 Wiley Periodicals, Inc., A Wiley Company</t>
  </si>
  <si>
    <t>122-129</t>
  </si>
  <si>
    <t>60011047;60011047;60011047</t>
  </si>
  <si>
    <t>24826025400;55017725400;57190924933</t>
  </si>
  <si>
    <t>Yokota, Mitsuhiro;Takenaka, Takashi;Fukumitsus, Otozo</t>
  </si>
  <si>
    <t>Fukuoka</t>
  </si>
  <si>
    <t>Kyushu University</t>
  </si>
  <si>
    <t>Yokota M.</t>
  </si>
  <si>
    <t>Scattering of Hermite‚ÄêGaussian beams by parallel conducting cylinders</t>
  </si>
  <si>
    <t>10.1002/ecja.4410700612</t>
  </si>
  <si>
    <t>2-s2.0-0023362250</t>
  </si>
  <si>
    <t>['universal codec', 'tv signals', 'tv codec', 'paper describes', 'new approach', 'intrafield predictor', 'general principles', 'field trial', 'efficiency coding', 'earth stations', 'digital transmission', 'diameter antenna', 'compensated interframe', 'commonly applicable', '604 ).', '30 mbit', '15 mbit']</t>
  </si>
  <si>
    <t>This paper describes a 15/30 Mbit/s TV codec with a new approach to high-efficiency coding for TV signals, i.e., median adaptive prediction. The 15/30 Mbit/s codec, commonly applicable to NTSC, PAL, and SECAM (525/60 and 625/50) systems, uses adaptive prediction incorporating a motion-compensated interframe, an interfield, and an intrafield predictor. Its performance for digital transmission is presented. This universal codec is designed, based on CCIR recommendations concerning digital TV coding parameters for studios (Rec. 601) and general principles on long-distance digital TV transmission (Rec. 604). A field trial of 15 Mbit/s digital TV transmission using this codec between earth stations with a 30 m diameter antenna and a 5 m diameter antenna is reported. ¬© 1987 IEEE</t>
  </si>
  <si>
    <t>637-645</t>
  </si>
  <si>
    <t>60025556;60025556;60025556;60025556</t>
  </si>
  <si>
    <t>7402080381;35476617400;7004056041;56306858700</t>
  </si>
  <si>
    <t>Murakami, Hitomi;Matsumoto, Shuichi;Hatori, Yoshinori;Yamamoto, Hideo</t>
  </si>
  <si>
    <t>Fujimino</t>
  </si>
  <si>
    <t>KDDI R&amp;D Laboratories</t>
  </si>
  <si>
    <t>Murakami H.</t>
  </si>
  <si>
    <t>15/30 Mbit/s Universal Digital TV Codec using a Median Adaptive Predictive Coding Method</t>
  </si>
  <si>
    <t>10.1109/TCOM.1987.1096833</t>
  </si>
  <si>
    <t>2-s2.0-0023362544</t>
  </si>
  <si>
    <t>['subreflector shifts', 'maximum g', 'examples studied', 'design philosophy', 'axial feed']</t>
  </si>
  <si>
    <t>The effect on gain and the first few sidelobes of Cassegrain antennas due to axial feed and subreflector shifts is investigated. The shaped and classical Cassegrain designs are the objects of study, and the motivation is the concern over possible compromise introduced by the maximum G/T//a design philosophy on a radio telescope antenna. The result of the investigation is a set of general design rules for shaped Cassegrain antennas, based on the examples studied.</t>
  </si>
  <si>
    <t>297-302</t>
  </si>
  <si>
    <t>Jun</t>
  </si>
  <si>
    <t>Kennedy, R. A.</t>
  </si>
  <si>
    <t>Kennedy R.</t>
  </si>
  <si>
    <t>PARAMETRIC STUDY OF SHAPED CASSEGRAIN ANTENNAS.</t>
  </si>
  <si>
    <t>10.1049/ip-h-2.1987.0058</t>
  </si>
  <si>
    <t>2-s2.0-0023362934</t>
  </si>
  <si>
    <t>['serrated edges', 'field performance', 'field behavior']</t>
  </si>
  <si>
    <t>The far-field behavior of rectangular and circular antenna apertures with serrated edges is investigated. It is shown that the application of serrated edges in microwave antenna systems offers new possibilities of controlling the far-field performance of antennas.</t>
  </si>
  <si>
    <t>270-274</t>
  </si>
  <si>
    <t>Beeckman, P. A.</t>
  </si>
  <si>
    <t>Eindhoven</t>
  </si>
  <si>
    <t>Technische Universiteit Eindhoven</t>
  </si>
  <si>
    <t>Beeckman P.</t>
  </si>
  <si>
    <t>CONTROL OF FAR-FIELD RADIATION PATTERNS OF MICROWAVE REFLECTOR ANTENNAS BY USING SERRATED EDGES.</t>
  </si>
  <si>
    <t>10.1049/ip-h-2.1987.0054</t>
  </si>
  <si>
    <t>2-s2.0-0023363047</t>
  </si>
  <si>
    <t>['radiation patterns', 'numerical example', 'good agreement', 'experimental results', 'aperture problems', '4 multiplied']</t>
  </si>
  <si>
    <t>Using a generalized network representation of aperture problems in terms of the method of moments a theory of cavity backed slot array is developed. A 4 multiplied by 4 element broadside slot array excited by rectangular cavity resonator was chosen as a numerical example and calculations for the antenna quality factor, power transmission coefficient and radiation patterns were made. The theory was found to be in good agreement with the experimental results.</t>
  </si>
  <si>
    <t>280-284</t>
  </si>
  <si>
    <t>60004554;60004554</t>
  </si>
  <si>
    <t>7004206434;7006587951</t>
  </si>
  <si>
    <t>Savov, S. V.;Hristov, H. D.</t>
  </si>
  <si>
    <t>Bulgaria</t>
  </si>
  <si>
    <t>Sofia</t>
  </si>
  <si>
    <t>Technical University of Sofia</t>
  </si>
  <si>
    <t>Savov S.</t>
  </si>
  <si>
    <t>CAVITY-BACKED SLOT ARRAY ANALYSIS.</t>
  </si>
  <si>
    <t>10.1049/ip-h-2.1987.0056</t>
  </si>
  <si>
    <t>2-s2.0-0023363099</t>
  </si>
  <si>
    <t>['two phase', 'shift walls', 'phase shifts', 'lower modes', 'field structure', 'element analysis', 'different geometries', 'cutoff wavelengths', 'conducting waveguides']</t>
  </si>
  <si>
    <t>The finite-element analysis of conducting waveguides is modified to replace two conducting walls by two phase-shift walls. This simulates an infinite periodically fed parallel-plate type structure, which serves as a feed for an infinite linear phased array. The cutoff wavelengths and field structure of the lower modes are calculated for different geometries and phase shifts. A mode splitting effect is observed for phase shifts larger than pi .</t>
  </si>
  <si>
    <t>235-240</t>
  </si>
  <si>
    <t>60026340;60026340</t>
  </si>
  <si>
    <t>6602571763;57208807295</t>
  </si>
  <si>
    <t>Kol, Y.;Frenkel, A.</t>
  </si>
  <si>
    <t>Haifa</t>
  </si>
  <si>
    <t>RAFAEL Armament Development Authority Ltd.</t>
  </si>
  <si>
    <t>Kol Y.</t>
  </si>
  <si>
    <t>FINITE-ELEMENT ANALYSIS OF PARALLEL-PLATE FEEDS FOR LINEAR PHASED ARRAYS.</t>
  </si>
  <si>
    <t>10.1049/ip-h-2.1987.0044</t>
  </si>
  <si>
    <t>2-s2.0-0023363102</t>
  </si>
  <si>
    <t>['varying roughly', 'thin patches', 'surface waves', 'strongly dependent', 'rectangular patches', 'rectangular patch', 'polarization level', 'peak values', 'peak value', 'little effect', 'electronics engineers', 'aspect ratio']</t>
  </si>
  <si>
    <t>The cross-polarization level of circular and rectangular patches is evaluated by finding the peak value angles. The peak value is strongly dependent on substrate dielectric constant, varying roughly as 1/ √ë‚Äù. Aspect ratio of a rectangular patch has little effect on peak values or location. Patch thickness also has little effect; results are limited to thin patches as surface waves are not included. Copyright ¬© 1987 by The Institute of Electrical and Electronics Engineers, Inc.</t>
  </si>
  <si>
    <t>731-732</t>
  </si>
  <si>
    <t>Hansen, R.</t>
  </si>
  <si>
    <t>Hansen R.</t>
  </si>
  <si>
    <t>Cross Polarization of Microstrip Patch Antennas</t>
  </si>
  <si>
    <t>10.1109/TAP.1987.1144154</t>
  </si>
  <si>
    <t>2-s2.0-0023363119</t>
  </si>
  <si>
    <t>['ignited plasmas', 'ground planes', 'experimental results', 'electronics engineers', 'direction transverse', 'current flow', 'current distribution', 'arbitrary shape', 'adequate coupling']</t>
  </si>
  <si>
    <t>The application of ion cyclotron range of frequency (ICRF) heating to near-ignited plasmas will require launching structures that will be capable of withstanding the harsh plasma environment. The recessed antenna configuration is expected to provide sufficient protection for the structure, but to date no analysis has been done to determine if adequate coupling can be achieved in such a configuration. In this work we present a method for determining the current distribution for the antenna in the direction transverse to current flow and predict antenna loading in the presence of plasma. Antennas of arbitrary cross section are analyzed above ground planes of arbitrary shape. Results from the antenna design code (ANDES) are presented and compared to experimental results. Copyright ¬© 1987 by The Institute of Electrical and Electronics Engineers, Inc.</t>
  </si>
  <si>
    <t>285-293</t>
  </si>
  <si>
    <t>60018020-112645565;60018020</t>
  </si>
  <si>
    <t>6602713706;7004002507</t>
  </si>
  <si>
    <t>Lehrman, Ira S.;Colestock, Patrick L.</t>
  </si>
  <si>
    <t>Princeton;Princeton</t>
  </si>
  <si>
    <t>Princeton Plasma Physics Laboratory;Grumman Aerospace Corporation</t>
  </si>
  <si>
    <t>60018020;112645565</t>
  </si>
  <si>
    <t>Lehrman I.</t>
  </si>
  <si>
    <t>An algorithm for the analysis of inductive antennas of arbitrary cross section for heating in the ion cyclotron range of frequencies</t>
  </si>
  <si>
    <t>10.1109/TPS.1987.4316703</t>
  </si>
  <si>
    <t>2-s2.0-0023363120</t>
  </si>
  <si>
    <t>['separate substrates', 'proximity coupling', 'microstrip feedline', 'microstrip antennas', 'measured results', 'joined perpendicular', 'feeding configurations', 'electronics engineers', 'design thus']</t>
  </si>
  <si>
    <t>A new feeding configuration for microstrip antennas is described, where separate substrates are used for the radiating patch element and the microstrip feedline. The substrates are joined perpendicular to each other, and the patch is excited through an aperture in the antenna substrate ground plane by proximity coupling to the microstrip feedline. This design thus has a number of advantages over other feeding configurations, particularly when used in an integrated phased array application. These features, as well as the measured results from two experimental models, are described. Copyright ¬© 1987 by The Institute of Electrical and Electronics Engineers, Inc.</t>
  </si>
  <si>
    <t>728-731</t>
  </si>
  <si>
    <t>7006061921;57211924426</t>
  </si>
  <si>
    <t>Pozar, David M.;Jackson, Robert W.</t>
  </si>
  <si>
    <t>Pozar D.M.</t>
  </si>
  <si>
    <t>An Aperture Coupled Microstrip Antenna with a Proximity Feed on a Perpendicular Substrate</t>
  </si>
  <si>
    <t>10.1109/TAP.1987.1144167</t>
  </si>
  <si>
    <t>2-s2.0-0023363232</t>
  </si>
  <si>
    <t>['wire antenna', 'value predicted', 'unknown amplitudes', 'two wavelength', 'tie elements', 'tie antenna', 'theoretical predictions', 'space fields', 'rigorous calculation', 'resulting set', 'radiation pattern', 'quasistatic value', 'plane pattern', 'periodic antenna', 'new formulation', 'modes increases', 'metal surface', 'linear array', 'infinitesimal thickness', 'finite length', 'electronics engineers', 'dielectric wavenumber', 'current modes', 'current density', 'continuous spectra', 'calculations show', 'also presented', 'agree well', '94 ghz']</t>
  </si>
  <si>
    <t>A new formulation is discussed for the rigorous calculation of the radiation pattern of a bow-tie antenna of finite length and infinitesimal thickness, placed on a lossless dielectric substrate. The analysis is based on a representation of the current density on the metal surface of the antenna as a sum of an imposed (quasistatic) term and a set of current modes with unknown amplitudes. Free-space fields that are expressed in terms of continuous spectra of symmetrized plane waves are matched to the current modes using the method of moments. The resulting set of equations are solved for the unknown current amplitudes. The calculations show that for increasing bow length the antenna impedance spirals rapidly to a value predicted by transmission line theory. The theory also shows that the E-plane pattern of a two wavelength, 60¬∞ bow-tie antenna is dominated by low-loss current modes propagating at the dielectric wavenumber. As the bow tie narrows, the loss of the modes increases, and the dominant wavenumber tends to the quasistatic value. Pattern measurements made at 94 GHz are shown to agree well with theoretical predictions. Measurements for a long-wire antenna, a linear array of bow-tie elements, and a log-periodic antenna are also presented. Copyright ¬© 1987 by The Institute of Electrical and Electronics Engineers, Inc.</t>
  </si>
  <si>
    <t>622-631</t>
  </si>
  <si>
    <t>60007776;60025709;60031581;60031581;60031581;60020536</t>
  </si>
  <si>
    <t>7202478023;7005548593;57220705008;7006384021;7102803490;7102333102</t>
  </si>
  <si>
    <t>Compton, Richard C.;McPhedran, Ross C.;Popovic, Zorana;Rebeiz, Gabriel M.;Rutledge, David B.;Tong, Peter P.</t>
  </si>
  <si>
    <t>United States;Australia;United States;United States</t>
  </si>
  <si>
    <t>Pasadena;Sydney;Palo Alto;Ithaca</t>
  </si>
  <si>
    <t>California Institute of Technology;The University of Sydney;Hewlett-Packard Inc.;Cornell University</t>
  </si>
  <si>
    <t>60031581;60025709;60020536;60007776</t>
  </si>
  <si>
    <t>Compton R.C.</t>
  </si>
  <si>
    <t>Bow-Tie antennas on a dielectric half-space: Theory and experiment</t>
  </si>
  <si>
    <t>10.1109/TAP.1987.1144162</t>
  </si>
  <si>
    <t>2-s2.0-0023363233</t>
  </si>
  <si>
    <t>['wiley company', 'wide range', 'tracking error', 'switching arrays', 'simulation results', 'simulation experiment', 'rain attenuation', 'n channels', 'monitoring accuracy', 'many countries', 'low c', 'inc .,', 'fading channels', 'evaluated experimentally', 'enable communication', 'clarified theoretically', 'also given']</t>
  </si>
  <si>
    <t>Mobile satellite communication systems employ the wide area accessibility of a satellite. Digital signal transmission systems which enable communication by highly efficient voice encoding techniques and error correcting techniques, even on low C/N channels, are being studied and developed in many countries. This paper studies error rate monitoring for application to antenna tracking control and transmitting power control in mobile satellite communication systems. A soft decision error correction method, which is expected to be available in a wide range of C/N, is proposed and its performance is clarified theoretically and experimentally. Considering the application to ship antenna tracking control, the monitoring accuracy on fading channels is evaluated experimentally. A simulation experiment is carried out for an electronic tracking control with switching arrays, and the reception level degradation due to tracking error is clarified. Simulation results of transmitting power control against rain attenuation are also given. Copyright ¬© 1987 Wiley Periodicals, Inc., A Wiley Company</t>
  </si>
  <si>
    <t>55451688200;35399100700;7101894509</t>
  </si>
  <si>
    <t>Sakai, Tsutomu;Nakajima, Shigeo;Mishima, Hiraku</t>
  </si>
  <si>
    <t>Sakai T.</t>
  </si>
  <si>
    <t>A study on error rate monitoring in mobile satellite communication systems</t>
  </si>
  <si>
    <t>10.1002/ecjb.4420700602</t>
  </si>
  <si>
    <t>2-s2.0-0023363395</t>
  </si>
  <si>
    <t>['results obtained', 'printed antenna', 'present method', 'matching performance', 'infinite array', 'include details', 'feed structure', 'electronics engineers', 'dielectric layer', 'dielectric cover', 'cover layer', 'array without']</t>
  </si>
  <si>
    <t>A method is presented to determine the active input impedance of an infinite array of rectangular patches embedded in a dielectric layer. The reaction integral equation is used to include details of feed structure into the formulation. The matching performance over wide scan angles of the printed antenna with a dielectric cover is studied. The results obtained by the present method are compared with the theoretical and experimental results reported earlier, for an array without a cover layer. Copyright ¬© 1987 by The Institute of Electrical and Electronics Engineers, Inc.</t>
  </si>
  <si>
    <t>732-736</t>
  </si>
  <si>
    <t>60004750;114175643</t>
  </si>
  <si>
    <t>56782594200;7102211143</t>
  </si>
  <si>
    <t>Rufus Prabhakar, P. David;Deshpande, Manohar D.</t>
  </si>
  <si>
    <t>India;India</t>
  </si>
  <si>
    <t>Kharagpur;New Delhi</t>
  </si>
  <si>
    <t>Indian Institute of Technology Kharagpur;Ltd.</t>
  </si>
  <si>
    <t>Rufus Prabhakar P.D.</t>
  </si>
  <si>
    <t>Analysis of Dielectric Covered Infinite Array of Rectangular Microstrip Antennas</t>
  </si>
  <si>
    <t>10.1109/TAP.1987.1144169</t>
  </si>
  <si>
    <t>2-s2.0-0023363462</t>
  </si>
  <si>
    <t>['radio case', 'radiation characteristics', 'portable radio', 'operator holding', 'mobile antennas', 'lateral side', 'inclination angle', 'grid model', 'experimentally investigated', 'average gain', 'appropriate selection', 'antenna patterns', 'antenna gain', 'antenna configuration', 'antenna bandwidth']</t>
  </si>
  <si>
    <t>The pattern averaging gain (PAG) method to estimate the average gain of mobile antennas in a multipath propagation environment is proposed. By using this method and a wire-grid model, the radiation characteristics of the planar inverted F antenna (PIFA) mounted on a portable radio case is analyzed. In particular, the variation of the antenna gain with the radio case dimensions and inclination angle of the radio case during operation is clarified. Also, the effect on antenna patterns of the operator holding the portable radio is experimentally investigated. Based on this analysis, the antenna configuration with the PIFA element mounted on the lateral side of the radio case is found to be most suitable for portable radio units. In addition, an appropriate selection of the radio case dimensions is found to result in further improvements in the antenna bandwidth. ¬© 1987 IEEE</t>
  </si>
  <si>
    <t>921-929</t>
  </si>
  <si>
    <t>7102629706;55585630900</t>
  </si>
  <si>
    <t>Taga, Tokio;Tsunekawa, Kouichi</t>
  </si>
  <si>
    <t>Performance Analysis of a Built-In Planar Inverted F Antenna for 800 MHz Band Portable Radio Units</t>
  </si>
  <si>
    <t>10.1109/JSAC.1987.1146593</t>
  </si>
  <si>
    <t>2-s2.0-0023363569</t>
  </si>
  <si>
    <t>['wireless network', 'wired network', 'uses radio', 'time slots', 'small pool', 'selective fading', 'results show', 'resource sharing', 'queueing delay', 'novel media', 'negligible impact', 'needed basis', 'data rate', 'complete portability', 'channel impairments', 'base station', 'alone basis', 'access scheme', '75 percent', '10 mbit', '01 percent']</t>
  </si>
  <si>
    <t>We pronose and analyze a wide-band indoor communication system that uses radio as the transmission medium either on a stand-alone basis or to supplement a hard-wired network for those situations where complete portability is desired. One principal impairment to such a system is intersymbol interference caused by frequency-selective fading. A novel media-access scheme is proposed which permits the use of resource sharing, wherein a small pool of time slots is effectively shared among all users to provide added protection against channel impairments on an as-needed basis. Our results show that the use of resource sharing and diversity provide excellent protection against intersymbol interference caused by frequency-selective fading with negligible impact on throughput. Furthermore, resource sharing plus diversity can permit significantly higher data rates without large queueing delays. For example, a wireless network with a.10 Mbit/s data rate in a 10 MHz bandwidth using four antennas at the base station has a less than 10‚Äì 4 outage probability at a 10‚Äì4 BER in buildings with less than 58 ns rms delay spread. A loading of 75 percent is permitted for a queueing delay of less than 20 packet transmission times all but 0.01 percent of the time. ¬©1987 IEEE</t>
  </si>
  <si>
    <t>796-805</t>
  </si>
  <si>
    <t>60021378;60021378</t>
  </si>
  <si>
    <t>7006070875;7102662778</t>
  </si>
  <si>
    <t>Acampora, Anthony S.;Winters, Jack H.</t>
  </si>
  <si>
    <t>Acampora A.</t>
  </si>
  <si>
    <t>A Wireless Network for Wide-Band Indoor Communications</t>
  </si>
  <si>
    <t>10.1109/JSAC.1987.1146606</t>
  </si>
  <si>
    <t>2-s2.0-0023363570</t>
  </si>
  <si>
    <t>['¬© 1987', 'rights reserved', 'parameter matrix', 'microstripline coupled', 'many applications', 'electrical engineers']</t>
  </si>
  <si>
    <t>Antennas | Microstrip | Microwave circuits and systems</t>
  </si>
  <si>
    <t>An analytical method based on the aperture coupling theory and S-parameter matrix has been developed for modelling a microstripline coupled to a microstrip antenna using a circular coupling aperture. The theoretical results agree fairly well with the measurements. The analysis should have many applications in active array developments. ¬© 1987, The Institution of Electrical Engineers. All rights reserved.</t>
  </si>
  <si>
    <t>694-695</t>
  </si>
  <si>
    <t>60020547;60020547</t>
  </si>
  <si>
    <t>7403873276;7404879378</t>
  </si>
  <si>
    <t>Gao, X. Z.;Chang, K.</t>
  </si>
  <si>
    <t>Gao X.</t>
  </si>
  <si>
    <t>Analysis of microstripline coupled to microstrip antenna</t>
  </si>
  <si>
    <t>10.1049/el:19870494</t>
  </si>
  <si>
    <t>2-s2.0-0023363692</t>
  </si>
  <si>
    <t>['¬© 1987', 'waveguide model', 'transmission matrix', 'scattering matrix', 'saved compared', 'rights reserved', 'electrical engineers', 'cpu time']</t>
  </si>
  <si>
    <t>Microstrip Antennas | Microwave antennas | Microwave circuits and systems | Optical fibres | Optics | Radar</t>
  </si>
  <si>
    <t>The transmission matrix is applied to characterise general microstrip step discontinuities based on the waveguide model. Considerably more CPU time can be saved compared to the scattering matrix. ¬© 1987, The Institution of Electrical Engineers. All rights reserved.</t>
  </si>
  <si>
    <t>678-679</t>
  </si>
  <si>
    <t>24495645400;7404494858</t>
  </si>
  <si>
    <t>Hong, J. S.;Shi, J. M.</t>
  </si>
  <si>
    <t>Hong J.</t>
  </si>
  <si>
    <t>Modelling microstrip step discontinuities by the transmission matrix</t>
  </si>
  <si>
    <t>10.1049/el:19870484</t>
  </si>
  <si>
    <t>2-s2.0-0023363724</t>
  </si>
  <si>
    <t>['transmit antennas', 'single channel', 'results show', 'receiver processing', 'receive antennas', 'outage probability', 'optimum linear', 'limited bandwidth', 'large capacity', 'independent channels', 'fundamental limits', 'data rate', '2 channels']</t>
  </si>
  <si>
    <t>In this paper, we study the fundamental limits on the data rate of multiple antenna systems in a Rayleigh fading environment. With M transmit and M receive antennas, up to M independent channels can be established in the same bandwidth. We study the distribution of the maximum data rate at a given error rate in the channels between up to M transmit antennas and M receive antennas and determine the outage probability for systems that use various signal processing techniques. We analyze the performance of the optimum linear and nonlinear receiver processor and the optimum linear transmitter/ receiver processor pair, and the capacity of these channels. Results show that with optimum linear processing at the receiver, up to M/2 channels can be established with approximately the same maximum data rate as a single channel. With either nonlinear processing at the receiver or optimum linear transmitter/receiver processing, up to M channels can be established with approximately the same maximum data rate as a single channel. Results show the potential for large capacity in systems with limited bandwidth. ¬© 1987 IEEE</t>
  </si>
  <si>
    <t>871-878</t>
  </si>
  <si>
    <t>Winters, Jack H.</t>
  </si>
  <si>
    <t>Winters J.</t>
  </si>
  <si>
    <t>On the Capacity of Radio Communication Systems with Diversity in a Rayleigh Fading Environment</t>
  </si>
  <si>
    <t>10.1109/JSAC.1987.1146600</t>
  </si>
  <si>
    <t>2-s2.0-0023363836</t>
  </si>
  <si>
    <t>['¬© 1987', 'required computation', 'possible optical', 'phased array', 'optimum phased', 'new procedure', 'higher speed', 'field intensity', 'energy function', 'electronics engineers', 'directly related', 'array synthesis']</t>
  </si>
  <si>
    <t>A new procedure is described for optimum phased-array synthesis. The synthesis is optimized by a simulated annealing process in which the energy function is directly related to the far-field intensity of a phased array. Numerical simulation results are presented. A possible optical-digital hybrid implementation that can perform the required computation at higher speed than a pure digital implementation is discussed. ¬© 1987 by The Institute of Electrical and Electronics Engineers, Inc.</t>
  </si>
  <si>
    <t>842-844</t>
  </si>
  <si>
    <t>60102562;60102562</t>
  </si>
  <si>
    <t>7005196541;7102195471</t>
  </si>
  <si>
    <t>Farhat, N. H.;Bai, B.</t>
  </si>
  <si>
    <t>School of Engineering and Applied Science</t>
  </si>
  <si>
    <t>Farhat N.H.</t>
  </si>
  <si>
    <t>Phased-Array Antenna Pattern Synthesis by Simulated Annealing</t>
  </si>
  <si>
    <t>10.1109/PROC.1987.13805</t>
  </si>
  <si>
    <t>2-s2.0-0023363880</t>
  </si>
  <si>
    <t>['¬© 1987', 'two frequency', 'spatial sampling', 'simultaneously generated', 'rights reserved', 'radar frequency', 'offset injection', 'microwave signals', 'linear seven', 'element array', 'electrical engineers', 'bragg cell', 'array elements', '2 ghz']</t>
  </si>
  <si>
    <t>Microwave signals for all array elements in a phased array microwave antenna are simultaneously generated by spatial sampling of a moving sinusoidal interference pattern formed between two frequency-offset injection-locked laser diodes. The offset and radar frequency of 3-2 GHz were generated by a Bragg cell. A nearly distortionless antenna beam pattern and 180¬∞ steering are demonstrated in a linear seven-element array. ¬© 1987, The Institution of Electrical Engineers. All rights reserved.</t>
  </si>
  <si>
    <t>680-681</t>
  </si>
  <si>
    <t>60027271;60027271;60027271;60027271</t>
  </si>
  <si>
    <t>7004826252;7101852187;23003948200;55480420000</t>
  </si>
  <si>
    <t>Tamburrini, M.;Parent, M.;Goldberg, L.;Stillwell, D.</t>
  </si>
  <si>
    <t>Tamburrini M.</t>
  </si>
  <si>
    <t>Optical feed for a phased array microwave antenna</t>
  </si>
  <si>
    <t>10.1049/el:19870485</t>
  </si>
  <si>
    <t>2-s2.0-0023363894</t>
  </si>
  <si>
    <t>['superresolution df', 'substantial saving', 'square magnitude', 'signal space', 'required projection', 'paper shows', 'noneigenvector methods', 'noise space', 'music function', 'eigenvector basis', 'different methods', 'computational loads']</t>
  </si>
  <si>
    <t>The MUSIC function for superresolution DF is defined here from an adaptive array point of view and shown to be equal to the square magnitude of the projection of the array steering vector into the noise space of the system covariance matrix. The normal MUSIC algorithm finds this projection in terms of eigenvectors of the matrix. The paper shows that bases for the signal space other than the eigenvector basis can be found and used for the required projection. Some comparisons of the computational loads of the different methods are given, showing a substantial saving by the noneigenvector methods.</t>
  </si>
  <si>
    <t>303-309</t>
  </si>
  <si>
    <t>Brandwood, D. H.</t>
  </si>
  <si>
    <t>Romsey</t>
  </si>
  <si>
    <t>Roke Manor Research Limited</t>
  </si>
  <si>
    <t>Brandwood D.</t>
  </si>
  <si>
    <t>NOISE-SPACE PROJECTION: MUSIC WITHOUT EIGENVECTORS.</t>
  </si>
  <si>
    <t>10.1049/ip-h-2.1987.0059</t>
  </si>
  <si>
    <t>2-s2.0-0023364529</t>
  </si>
  <si>
    <t>['subarray design', 'subarray beams', 'small number', 'region occupied', 'optimum fashion', 'electronics engineers', 'adaptive applications']</t>
  </si>
  <si>
    <t>A linear subarray type optical antenna is considered for adaptive applications. The antenna has a small number of subarrays whose radiation patterns cover the region occupied by targets and interference in a near-optimum fashion. The subarray design is such that very low subarray pattern sidelobes are produced, thereby allowing operation in the presence of additional strong interference outside the subarray beams. The design of a near-optimum sheet metal antenna to perform these functions is described and the performance is analyzed. Copyright ¬© 1987 by The Institute of Electrical and Electronics Engineers, Inc.</t>
  </si>
  <si>
    <t>643-651</t>
  </si>
  <si>
    <t>Dufort E.C.</t>
  </si>
  <si>
    <t>An Optical Subarray Antenna Having Antenna Nulling Applications</t>
  </si>
  <si>
    <t>10.1109/TAP.1987.1144164</t>
  </si>
  <si>
    <t>2-s2.0-0023364562</t>
  </si>
  <si>
    <t>['zone fields', 'uniaxial substrate', 'spectral form', 'resonant frequency', 'microstrip patch', 'load impedance', 'isotropic substrate', 'input impedance', 'electronics engineers']</t>
  </si>
  <si>
    <t>The problem of a rectangular microstrip antenna printed on a uniaxially anisotropic substrate is treated. The effect of anisotropy on the resonant frequency and surface wave excitation of the antenna is considered, and the radar cross section (RCS) of the antenna is calculated. The RCS calculation includes the effect of the load impedance (antenna mode scattering). Results for the resonant frequency of a patch on a uniaxial substrate are compared with measurements, and the RCS of a patch on an isotropic substrate is compared with measurements. The derivation of the uniaxial Green‚Äôs function in spectral form, the associated moment method analysis for the input impedance and scattering of the microstrip patch, and the expressions for the far-zone fields of a source on a uniaxial substrate are presented. Copyright ¬© 1987 by The Institute of Electrical and Electronics Engineers, Inc.</t>
  </si>
  <si>
    <t>613-621</t>
  </si>
  <si>
    <t>Pozar, David M.</t>
  </si>
  <si>
    <t>Radiation and scattering from a microstrip patch on a uniaxial substrate</t>
  </si>
  <si>
    <t>10.1109/TAP.1987.1144161</t>
  </si>
  <si>
    <t>2-s2.0-0023364828</t>
  </si>
  <si>
    <t>['supplied dipoles', 'printed dipoles', 'layered structure', 'large arrays', 'exact green', 'dielectric cover', 'array consisting', 'antenna currents']</t>
  </si>
  <si>
    <t>An array of printed dipoles with a dielectric cover is analyzed. The antenna currents are determined by solving an integral equation based on the exact Green's function for the layered structure. An approximate method applicable to very large arrays is described. The parameters of an array consisting of five parallel radiation-supplied dipoles are determined.</t>
  </si>
  <si>
    <t>Hansen, V.</t>
  </si>
  <si>
    <t>Bochum</t>
  </si>
  <si>
    <t>Ruhr-Universitat Bochum</t>
  </si>
  <si>
    <t>Hansen V.</t>
  </si>
  <si>
    <t>FINITE ARRAY OF PRINTED DIPOLES WITH A DIELECTRIC COVER.</t>
  </si>
  <si>
    <t>10.1049/ip-h-2.1987.0053</t>
  </si>
  <si>
    <t>2-s2.0-0023364879</t>
  </si>
  <si>
    <t>['slot structures', 'slot separation', 'slot fin', 'return loss', 'line coupler', 'line circuits', 'insertion loss', 'experimental results', 'excited separately', 'even modes', 'coupling length', 'coupling due', 'computed using', 'also computed']</t>
  </si>
  <si>
    <t>The odd and even modes of the fin-line coupler are excited separately in two different coupled-slot fin-line circuits. Experimental results of insertion loss and return loss of the transitions from waveguide to the coupled-slot structures are presented with guide wavelength measurements compared with those computed using the spectral domain method of analysis. The performance of a 0 db fin-line coupler is presented and the dependence on the degree of coupling due to variations in the slot separation and coupling length are also computed.</t>
  </si>
  <si>
    <t>229-233</t>
  </si>
  <si>
    <t>Sillars, D. B.</t>
  </si>
  <si>
    <t>Ayr</t>
  </si>
  <si>
    <t>University of the West of Scotland</t>
  </si>
  <si>
    <t>Sillars D.</t>
  </si>
  <si>
    <t>ODD- AND EVEN-MODE COUPLED-SLOT FIN-LINE CIRCUITS.</t>
  </si>
  <si>
    <t>10.1049/ip-h-2.1987.0043</t>
  </si>
  <si>
    <t>2-s2.0-0023364880</t>
  </si>
  <si>
    <t>['suspended substrate', 'shielded single', 'numerical results', 'coupled slotlines']</t>
  </si>
  <si>
    <t>A hybrid mode analysis is presented for shielded single and coupled slotlines on a suspended substrate. The method is based on the transverse modal analysis (TMA) technique. Numerical results are consistent with other theories.</t>
  </si>
  <si>
    <t>327-329</t>
  </si>
  <si>
    <t>Chang, T. N.</t>
  </si>
  <si>
    <t>Taiwan</t>
  </si>
  <si>
    <t>Taipei</t>
  </si>
  <si>
    <t>Tatung Institute of Technology Taiwan</t>
  </si>
  <si>
    <t>Chang T.N.</t>
  </si>
  <si>
    <t>HYBRID-MODE ANALYSIS OF SHIELDED AND COUPLED SLOTLINES ON A SUSPENDED SUBSTRATE.</t>
  </si>
  <si>
    <t>10.1049/ip-h-2.1987.0064</t>
  </si>
  <si>
    <t>2-s2.0-0023365245</t>
  </si>
  <si>
    <t>['small dimensions', 'real space', 'radiating characteristic', 'multipole series', 'magnitude better', 'linear approximation', 'inner field', 'first terms', 'electronics engineers', 'dipole approximation', 'complex space', 'complex location']</t>
  </si>
  <si>
    <t>Classical multipole theory valid for radiation from sources with small dimensions is extended to complex space. It is shown that by locating the multipole in complex space, the first terms in mUltipole series can be made more dominating than when restricting to real space. Expression for the complex location is derived to minimize the effect of the second-order multipole term. With an example, radiation from a phased cubic source it is seen that the radiating characteristic is an order of magnitude better for the dipole approximation when the dipole is in complex space instead of being at the center of the cube. Simultaneously, it is demonstrated that the validity of the dipole approximation is extended from l‚â™Œª to about L ‚â§ Œª/2, L being the measure of the source. Complex location for the electric dipole approximating a dielectric spherical scatterer is found through integral equation analysis corresponding to a linear approximation of the inner field of the scatterer. Copyright ¬© 1987 by The Institute of Electrical and Electronics Engineers, Inc.</t>
  </si>
  <si>
    <t>683-689</t>
  </si>
  <si>
    <t>Lindell, Ismo V.</t>
  </si>
  <si>
    <t>Finland</t>
  </si>
  <si>
    <t>Espoo</t>
  </si>
  <si>
    <t>Aalto University</t>
  </si>
  <si>
    <t>Lindell I.</t>
  </si>
  <si>
    <t>Complex Space Multipole Expansion Theory with Application to Scattering from Dielectric Bodies</t>
  </si>
  <si>
    <t>10.1109/TAP.1987.1144157</t>
  </si>
  <si>
    <t>2-s2.0-0023365378</t>
  </si>
  <si>
    <t>['focusing procedures', 'available volume', 'analytic expressions', 'also shown']</t>
  </si>
  <si>
    <t>The capabilities of a microwave imaging system working in air using two crossed linear arrays are described. The analytic expressions of the focusing procedures are derived, resolution and available volume of reconstruction are discussed. Finally, some experimental images corresponding to two dielectric objects are also shown.</t>
  </si>
  <si>
    <t>249-252</t>
  </si>
  <si>
    <t>60007592;60007592;60007592;60007592</t>
  </si>
  <si>
    <t>36932615600;7003898162;6701922105;56796502600</t>
  </si>
  <si>
    <t>Girones, J. M.;Jofre, L.;de los Reyes, E.;Bolomey, J. Ch</t>
  </si>
  <si>
    <t>Barcelona</t>
  </si>
  <si>
    <t>Universitat Polit√®cnica de Catalunya</t>
  </si>
  <si>
    <t>Girones J.</t>
  </si>
  <si>
    <t>MICROWAVE IMAGING WITH CROSSED LINEAR ARRAYS.</t>
  </si>
  <si>
    <t>10.1049/ip-h-2.1987.0046</t>
  </si>
  <si>
    <t>2-s2.0-0023365472</t>
  </si>
  <si>
    <t>['spectral green', 'spectral domains', 'recurrence algorithm', 'numerical examples', 'n 2', 'main advantage', 'lossless media', 'layer problems', 'layer problem', 'explicit algorithms', 'dyadic matrix', 'anisotropic substrates']</t>
  </si>
  <si>
    <t>The problem of finding the spectral Green's dyadic matrix for planar stratified linear media, with layers of arbitrary electromagnetic properties and arbitrary current sources at interfaces, is solved in the spectral domains as a chain of 2- and single-layer problems. The main advantage of this method is that it transforms an n-layer problem into n 2-layer stripline problems plus 2n (n for lossless media) single-layer problems by using a recurrence algorithm, which is obtained here. The method can be applied to multiconductor and multilayer planar microwave integrated circuit (MIC) lines with anisotropic substrates. Explicit algorithms and numerical examples are provided.</t>
  </si>
  <si>
    <t>241-248</t>
  </si>
  <si>
    <t>60033284;60033284</t>
  </si>
  <si>
    <t>7102046035;7006164897</t>
  </si>
  <si>
    <t>Marques, R.;Horno, M.</t>
  </si>
  <si>
    <t>Sevilla</t>
  </si>
  <si>
    <t>Universidad de Sevilla</t>
  </si>
  <si>
    <t>Marques R.</t>
  </si>
  <si>
    <t>ON THE SPECTRAL DYADIC GREEN'S FUNCTION FOR STRATIFIED LINEAR MEDIA: APPLICATION TO MULTILAYER MIC LINES WITH ANISOTROPIC DIELECTRICS.</t>
  </si>
  <si>
    <t>10.1049/ip-h-2.1987.0045</t>
  </si>
  <si>
    <t>2-s2.0-0023365473</t>
  </si>
  <si>
    <t>['two airports', 'touchdown point', 'signal strength', 'shadowing caused', 'humped runways', 'guidance signals', 'flat runway', 'electronics engineers', 'aircraft approaches']</t>
  </si>
  <si>
    <t>Shadowing caused by humped runways at some airports significantly attenuates the guidance signals of the microwave landing system as the aircraft approaches the touchdown point. Application of wedge diffraction theory provides an estimate of this effect. A wedge diffraction factor is presented which relates the signal strength in the shadow to that for line-of-sight on a flat runway. Computations are confirmed by measurements at two airports. Copyright ¬© 1987 by The Institute of Electrical and Electronics Engineers, Inc.</t>
  </si>
  <si>
    <t>708-714</t>
  </si>
  <si>
    <t>Lopez, Alfred R.</t>
  </si>
  <si>
    <t>Farnborough</t>
  </si>
  <si>
    <t>BAE Systems plc</t>
  </si>
  <si>
    <t>Lopez A.R.</t>
  </si>
  <si>
    <t>Application of wedge diffraction theory to estimating power density at airport humped runways</t>
  </si>
  <si>
    <t>10.1109/TAP.1987.1144163</t>
  </si>
  <si>
    <t>2-s2.0-0023365580</t>
  </si>
  <si>
    <t>['transverse magnetic', 'transverse electric', 'simply connected', 'numerical results', 'isotropic case', 'incident waves', 'electronics engineers', 'anisotropic medium']</t>
  </si>
  <si>
    <t>A set of two coupled integral equations based on a plane wave representation of the fields in a simply connected and anisotropic medium has been derived in order to handle the problem of scattering by a homogeneous anisotropic cylinder for an obliquely incident plane wave of arbitrary linear polarization. The unknowns are scalar, the range of integration is finite, and the kernels are not singular. Numerical results are presented and discussed in detail. The gyrotropic type case is emphasized, and it is found that as in the isotropic case, the depolarization is the same for transverse electric (TE) and transverse magnetic (TM) incident waves. Copyright ¬© 1987 by The Institute of Electrical and Electronics Engineers, Inc.</t>
  </si>
  <si>
    <t>670-682</t>
  </si>
  <si>
    <t>Monzon, J. Cesar</t>
  </si>
  <si>
    <t>Concordville</t>
  </si>
  <si>
    <t>Damaskos Inc</t>
  </si>
  <si>
    <t>Monzon J.</t>
  </si>
  <si>
    <t>Three-Dimensional Scattering by an Infinite Homogeneous Anisotropic Circular Cylinder: A Spectral Approach</t>
  </si>
  <si>
    <t>10.1109/TAP.1987.1144159</t>
  </si>
  <si>
    <t>2-s2.0-0023365581</t>
  </si>
  <si>
    <t>['vector potential', 'static approximation', 'poisson solver', 'plasma medium', 'plasma distance', 'optimum configuration', 'handling properties', 'fast 2', 'electronics engineers', 'cyclotron range', 'coupling properties', 'cavity wall', 'cavity coupler', 'also established']</t>
  </si>
  <si>
    <t>The coupling properties of the ion-cyclotron range of frequencies (ICRF) resonant cavity launcher for DIII-D were investigated with a two-dimensional (2-D) model. In the context of the magneto-static approximation, Poisson's equation was solved for the vector potential with a self-consistent antenna current distribution. The tool of analysis is a fast 2-D Poisson solver which takes into account the plasma medium and the shape of the cavity wall and antenna cross section. This permits the design of the optimum configuration for such a launcher to be used on the DIII-D tokamak. Extensive parametric studies of the launcher loading impedance were carried out. It was found that the antenna-plasma distance and the edge density gradient are the two most critical parameters determining the coupling. Criteria were also established to optimize the power-handling properties of the cavity coupler. Copyright ¬© 1987 by The Institute of Electrical and Electronics Engineers, Inc.</t>
  </si>
  <si>
    <t>273-284</t>
  </si>
  <si>
    <t>60027550;60013901;60013901</t>
  </si>
  <si>
    <t>7005597256;7202291663;7404140627</t>
  </si>
  <si>
    <t>Mau, T. K.;Chiu, S. C.;Baker, D. R.</t>
  </si>
  <si>
    <t>Los Angeles;San Diego</t>
  </si>
  <si>
    <t>University of California, Los Angeles;General Atomics</t>
  </si>
  <si>
    <t>60027550;60013901</t>
  </si>
  <si>
    <t>Mau T.K.</t>
  </si>
  <si>
    <t>Coupling analysis for the icrf resonant cavity launcher on diii-d</t>
  </si>
  <si>
    <t>10.1109/TPS.1987.4316702</t>
  </si>
  <si>
    <t>2-s2.0-0023365585</t>
  </si>
  <si>
    <t>['suitable choice', 'scanning function', 'phase pattern', 'novel method', 'general shape', 'equispaced radiators', 'desired pattern', 'aperture illumination', 'angular passband']</t>
  </si>
  <si>
    <t>A novel method of designing the aperture illumination of an N-element linear array of equispaced radiators to produce an approximation to a specified beam shape is described. The method essentially consists of selecting a 'scanning function', which itself is a physically realisable power pattern for the array. Convolution of the scanning function with the desired power pattern gives the physically realisable approximation to the desired pattern, here termed the 'realized power pattern'. A suitable choice of scanning function can provide desirable properties such as freedom from ripple in the angular passband and extremely low sidelobes. The different illuminations produce different far-field phase patterns and guidance is given on how to select this phase pattern so as to exercise some control over the general shape of the aperture illumination.</t>
  </si>
  <si>
    <t>285-296</t>
  </si>
  <si>
    <t>Milne, K.</t>
  </si>
  <si>
    <t>University College London</t>
  </si>
  <si>
    <t>Milne K.</t>
  </si>
  <si>
    <t>SYNTHESIS OF POWER RADIATION PATTERNS FOR LINEAR ARRAY ANTENNAS.</t>
  </si>
  <si>
    <t>10.1049/ip-h-2.1987.0057</t>
  </si>
  <si>
    <t>2-s2.0-0023365985</t>
  </si>
  <si>
    <t>12ST-361W-4070</t>
  </si>
  <si>
    <t>['simple model', 'secondary parameter', 'satellite antennas', 'reasonable based', 'radiation characteristics', 'primarily described', 'parametric template', 'orbit planning', 'new template', 'main beam', 'electronics engineers', 'current satellites', 'comparisons made', 'antenna size']</t>
  </si>
  <si>
    <t>A simple model for specifying the radiation characteristics of satellite antennas for use in orbit planning of the fixed satellite service (FSS) is developed. A new parametric template is derived for specifying the main beam and sidelobe radiation envelope of shaped beam antennas. The template is primarily described in terms of local component beamwidth/antenna size and the peak sidelobe level. The coverage region width in the direction of interest is used as a secondary parameter in deriving the parametric template. The new template is found to be reasonable based on the comparisons made with measured shaped beam patterns on current satellites. Copyright ¬© 1987 by The Institute of Electrical and Electronics Engineers, Inc.</t>
  </si>
  <si>
    <t>632-642</t>
  </si>
  <si>
    <t>7404812629;7006406536</t>
  </si>
  <si>
    <t>Rao, K. Sudhakar;Moody, Harry J.</t>
  </si>
  <si>
    <t>Rao K.</t>
  </si>
  <si>
    <t>Modeling of shaped beam satellite antenna patterns</t>
  </si>
  <si>
    <t>10.1109/TAP.1987.1144155</t>
  </si>
  <si>
    <t>2-s2.0-0023366352</t>
  </si>
  <si>
    <t>['theoretical performance', 'slot model', 'paper shows']</t>
  </si>
  <si>
    <t>Round-ended slot radiators in waveguides remain difficult to analyse accurately using conventional techniques because these are, in general, incapable of accommodating other than square-ended slot models. This paper shows that a sectional-slot model can provide some improvement in theoretical performance for the moment method analysis of such slots.</t>
  </si>
  <si>
    <t>310-314</t>
  </si>
  <si>
    <t>MOMENT METHOD APPLIED TO ROUND-ENDED SLOTS.</t>
  </si>
  <si>
    <t>10.1049/ip-h-2.1987.0060</t>
  </si>
  <si>
    <t>2-s2.0-0023366373</t>
  </si>
  <si>
    <t>['various methods', 'uniform theory', 'terrain around', 'systematic study', 'results compared', 'recent years', 'paper makes', 'irregularities introduced', 'ils problem', 'glideslope antenna', 'glideslope aberration', 'geometric optics', 'general treatment', 'actual installation']</t>
  </si>
  <si>
    <t>The paper makes a contribution to the evaluation of irregularities introduced in electronically defined glideslopes of UHF instrument landing systems (ILS) by the unevenness of the terrain around the glideslope antenna. Various methods of physical and geometric optics have been applied in recent years to model and estimate the glideslope aberration at given locations prior to actual installation. A systematic study of various methods is made in the paper. A general treatment is evolved, which is capable of exhaustively handling arbitrary ray order effects and topography. The uniform asymptotic theory has been applied to the ILS problem and results compared with the uniform theory of diffraction. The results of actual case studies are presented.</t>
  </si>
  <si>
    <t>275-279</t>
  </si>
  <si>
    <t>TERRAIN MODELLING OF GLIDESLOPE FOR INSTRUMENT LANDING SYSTEM.</t>
  </si>
  <si>
    <t>10.1049/ip-h-2.1987.0055</t>
  </si>
  <si>
    <t>2-s2.0-0023366539</t>
  </si>
  <si>
    <t>['waveguide counterpart', 'readily computed', 'oblique flare', 'localized heating', 'less bulky', 'effective way', 'different methods', 'approximate analysis']</t>
  </si>
  <si>
    <t>The compact array described here uses two microstrip half-wave radiating elements, driven in phase, polarized for complete field reinforcement and having an oblique flare-angle between the faces, the reduction of which increases field concentration. An approximate analysis of the configuration for various applicator sizes, frequencies of operation and flare-angles enables field plots to be readily computed for realistic, homogeneous, tissue electrical constants. Measurements at 900 and 918 MHz using uniform and cylindrical tissue phantoms, respectively, and different methods of thermometry produced results in accord with theory. It is concluded that the dual angled compact applicator is an effective way of increasing the depth of localized heating and is less bulky than its waveguide counterpart.</t>
  </si>
  <si>
    <t>315-320</t>
  </si>
  <si>
    <t>60009658;60009658;60009658</t>
  </si>
  <si>
    <t>7403018268;7403015676;6602536785</t>
  </si>
  <si>
    <t>James, J. R.;Hall, C. M.;Andrasic, G.</t>
  </si>
  <si>
    <t>James J.</t>
  </si>
  <si>
    <t>ANGLED DUAL COMPACT HYPERTHERMIC APPLICATORS.</t>
  </si>
  <si>
    <t>10.1049/ip-h-2.1987.0061</t>
  </si>
  <si>
    <t>2-s2.0-0023366808</t>
  </si>
  <si>
    <t>['tilted prime', 'studied employing', 'radiation characteristics', 'optimum orientation', 'focus feed', 'electronics engineers']</t>
  </si>
  <si>
    <t>Radiation characteristics of the offset paraboloidal reflectors illuminated by a tilted prime-focus feed are studied employing the physical optics current method. A family of curyes is generated which indicates the optimum orientation of the axis of the feed for maximum. Copyright ¬© 1987 by The Institute of Electrical and Electronics Engineers, Inc.</t>
  </si>
  <si>
    <t>736-739</t>
  </si>
  <si>
    <t>7401617703;8092251400</t>
  </si>
  <si>
    <t>Prasad, K. M.;Shafai, Lotfollah</t>
  </si>
  <si>
    <t>Prasad K.M.</t>
  </si>
  <si>
    <t>Performance of Offset Prime Focus Reflectors as a Function of Feed Orientation</t>
  </si>
  <si>
    <t>10.1109/TAP.1987.1144168</t>
  </si>
  <si>
    <t>2-s2.0-0023366871</t>
  </si>
  <si>
    <t>['¬© 1987', 'voltage generator', 'two sources', 'standing dilemma', 'rights reserved', 'power source', 'power generated', 'impedance za', 'electrical engineers', 'current sources', 'current generator', 'completely determined', 'combining voltage', 'available power', 'aperture antenna']</t>
  </si>
  <si>
    <t>Antennas | Equivalent circuits</t>
  </si>
  <si>
    <t>The commonly used equivalent circuit based on a constant-voltage generator does not correctly characterise scattering by an aperture antenna, nor does its dual, the constant-current generator. This long-standing dilemma has been resolved by combining voltage and current sources to form a constant-power source. The power generated by this source is equated to the available power in a plane wave incident on the aperture. The voltage and current of the two sources and their respective internal impedances are then completely determined from a knowledge of the aperture area A0, the impedance ZA, the aperture efficiency Œ∑0 and the relative power pattern p(Œ∏, Œ¶) of the antenna. ¬© 1987, The Institution of Electrical Engineers. All rights reserved.</t>
  </si>
  <si>
    <t>708-710</t>
  </si>
  <si>
    <t>Love, A. W.</t>
  </si>
  <si>
    <t>Equivalent circuit for aperture antennas</t>
  </si>
  <si>
    <t>10.1049/el:19870504</t>
  </si>
  <si>
    <t>2-s2.0-0023367208</t>
  </si>
  <si>
    <t>['voltage phasor', 'two lines', 'transmission line', 'tower arrays', 'technique either', 'specified impedance', 'resulting impedance', 'programmable calculator', 'personal computer', 'particular point', 'paper describes', 'novel method', 'mutual impedance', 'matching network', 'feedpoint voltage', 'feeding two', 'end voltages', 'electronics engineers', 'desired value', 'base currents', 'assumed set', 'antenna feeder', '50 ohms']</t>
  </si>
  <si>
    <t>This paper describes a novel method for feeding two-tower arrays. If the self-impedance of each tower and the mutual impedance between the towers are known, then the feedpoint voltage at each tower can be calculated for an assumed set of base currents. When a transmission line of specified impedance is connected to the base of each tower; the voltage at any point on these two lines can be calculated using transmissionline theory, since the load-end voltages are known. If the voltage phasor at some point on one of the lines is identical to the voltage phasor at some point on the other line, then each antenna feeder can be cut at that particular point and the two ends joined together. The resulting impedance at this ‚Äúcommon point‚Äù can be transformed to 50 ohms (or any desired value) by a matching network which then connects to a single transmission line extending back to the transmitter. Software for implementing the technique either on a personal computer or programmable calculator is included for those who are interested. Copyright ¬© 1987 by The Institute of Electrical and Electronics Engineers, Inc.</t>
  </si>
  <si>
    <t>Christman, Al</t>
  </si>
  <si>
    <t>Athens</t>
  </si>
  <si>
    <t>Ohio University</t>
  </si>
  <si>
    <t>Christman A.</t>
  </si>
  <si>
    <t>A Voltage-Matching Method For Feeding Two-Tower Arrays</t>
  </si>
  <si>
    <t>10.1109/TBC.1987.266628</t>
  </si>
  <si>
    <t>2-s2.0-0023367221</t>
  </si>
  <si>
    <t>['two residences', 'root mean', 'results indicate', 'necessarily found', 'also found', '850 mhz']</t>
  </si>
  <si>
    <t>Time delay jitter in digital personal communications systems, caused by moving the antenna by a few wavelengths, was studied at two office buildings and two residences at a frequency of 850 MHz. A wide-band pseudonoise code technique was used. The results indicate that peak-to-peak time delay variations on the order of 375 ns may be encountered. The worst case jitter was not necessarily found when there was a large time delay spread. It was also found that the excess mean delay and the root mean-square (rms) time delay spread of the delay distribution profiles were approximately the same. ¬© 1987 IEEE</t>
  </si>
  <si>
    <t>855-861</t>
  </si>
  <si>
    <t>Devasirvatham D.</t>
  </si>
  <si>
    <t>Multipath Time Delay Jitter Measured at 850 MHz in the Portable Radio Environment</t>
  </si>
  <si>
    <t>10.1109/JSAC.1987.1146588</t>
  </si>
  <si>
    <t>2-s2.0-0023367508</t>
  </si>
  <si>
    <t>RE-182</t>
  </si>
  <si>
    <t>NASA</t>
  </si>
  <si>
    <t>['tracking threshold', 'rms errors', 'range rate', 'performance characterized', 'feedback configuration', 'electronics engineers', 'demonstration receiver', 'circular trajectories', 'assuming 3', '40 g']</t>
  </si>
  <si>
    <t>A new high dynamic global positioning system (GPS) receiver is presented and its performance characterized by analysis, simulation, and demonstration. The demonstration receiver is a breadboard model capable of tracking a single simulated satellite signal in pseudorange and range rate. Pseudorange and range rate estimates are made once every 20 ms, using a maximum likelihood estimator, and are tracked by means of a third-order fading memory filter in a feedback configuration. The receiver tracks pseudorange with rms errors of under 1 m when subjected to simulated 50 g, 40 g/s circular trajectories. The tracking threshold is approximately 28 dB-Hz, which provides 12 dB margin relative the the minimum specified signal strength, assuming 3.5 dB system noise figure and 0 dBi antenna gain. Copyright ¬© 1987 by The Institute of Electrical and Electronics Engineers, Inc.</t>
  </si>
  <si>
    <t>425-437</t>
  </si>
  <si>
    <t>60009037;60009037;60009037</t>
  </si>
  <si>
    <t>7006887227;6603537106;6603728073</t>
  </si>
  <si>
    <t>Hurd, W. J.;Statman, J. I.;Vilnrotter, V. A.</t>
  </si>
  <si>
    <t>Hurd W.</t>
  </si>
  <si>
    <t>High Dynamic GPS Receiver Using Maximum Likelihood Estimation and Frequency Tracking</t>
  </si>
  <si>
    <t>10.1109/TAES.1987.310876</t>
  </si>
  <si>
    <t>2-s2.0-0023379064</t>
  </si>
  <si>
    <t>['suppressed cross', 'square waveguide', 'radiation field', 'qualitative explanation', 'polarised component', 'deep null', 'boresight axis', 'appropriate assembly']</t>
  </si>
  <si>
    <t>The technique to generate the higher order modes TE//1//1 and TM//1//1 in the square waveguide, required for the E plane error single channel feed in the single aperture monopulse feed system, has been presented and the appropriate assembly for this purpose has been designed in the 8. 5-9. 0 GHz frequency band. The assembly can be incorporated as an E plane error signal channel feed in the design of a single aperture monopulse feed system. The features of the design are a suppressed cross-polarised component of the radiation field and a deep null in the E plane pattern at the boresight axis of the feed. A qualitative explanation for the behaviour of the feed has been presented.</t>
  </si>
  <si>
    <t>377-382</t>
  </si>
  <si>
    <t>0011748X</t>
  </si>
  <si>
    <t>Defence Science Journal</t>
  </si>
  <si>
    <t>Jul</t>
  </si>
  <si>
    <t>Shukla, S. R.</t>
  </si>
  <si>
    <t>Dehradun</t>
  </si>
  <si>
    <t>Defence Research and Development Organisation India</t>
  </si>
  <si>
    <t>Shukla S.R.</t>
  </si>
  <si>
    <t>DESIGN AND STUDY OF THE ELEVATION DIFFERENCE CHANNEL FEED OF THE SINGLE APERTURE MONOPULSE FEED SYSTEM.</t>
  </si>
  <si>
    <t>10.14429/dsj.37.5926</t>
  </si>
  <si>
    <t>2-s2.0-0023379444</t>
  </si>
  <si>
    <t>Naval Air Systems Command</t>
  </si>
  <si>
    <t>N00014-78-C-0049</t>
  </si>
  <si>
    <t>NAVAIR</t>
  </si>
  <si>
    <t>['system output', 'specifically addressed', 'signal powers', 'several examples', 'quadrature phase', 'qpsk detectors', 'performance measure', 'interference rejection', 'ideal bpsk', 'evaluated first', 'error probability', 'electronics engineers', 'dpsk ),', 'desired signal', 'continuous wave', 'communication systems', 'binary phase', 'arrival angles', 'adaptive array']</t>
  </si>
  <si>
    <t>The performance of binary phase-shift-keyed (BPSK), binary differential phase-shift-keyed (DPSK), and quadrature phase-shift-keyed (QPSK) communication systems that use adaptive array antennas for interference rejection is examined. The case where the desired signal is corrupted by continuous wave (CW) interference is specifically addressed. The performance of the adaptive array and the ideal BPSK, DPSK, and QPSK detectors are evaluated first and the results of these calculations are combined to determine the overall system performance. The bit-error probability at the system output is used as the performance measure. Several examples are presented which illustrate the effects of signal powers, arrival angles, frequencies, and the array input bandwidth. Copyright ¬© 1987 by The Institute of Electrical and Electronics Engineers, Inc.</t>
  </si>
  <si>
    <t>528-536</t>
  </si>
  <si>
    <t>60024592;60003500</t>
  </si>
  <si>
    <t>7005826279;35611381200</t>
  </si>
  <si>
    <t>Ganz, M. W.;Compton, R. T.</t>
  </si>
  <si>
    <t>Lexington;Columbus</t>
  </si>
  <si>
    <t>Lincoln Laboratory;The Ohio State University</t>
  </si>
  <si>
    <t>Ganz M.</t>
  </si>
  <si>
    <t>Protection of PSK Communication Systems with Adaptive Arrays</t>
  </si>
  <si>
    <t>10.1109/TAES.1987.310886</t>
  </si>
  <si>
    <t>2-s2.0-0023379930</t>
  </si>
  <si>
    <t>['spatially dispersed', 'several db', 'scan beams', 'recent development', 'mobile satellite', 'given capacity', 'frequency reuse', 'frequencies different', 'element amplifiers', 'electronics engineers', 'carriers intended', 'beam area']</t>
  </si>
  <si>
    <t>In the recent development of scan beams for application to mobile satellite or thin route communication systems, the intermodulation (IM) generated by the element amplifiers is spatially dispersed, such that some of the IM radiated energy falls outside the intended beam area. In addition, some of the IM falling inside the beam area have frequencies different from the carriers intended for that area. It is shown that for systems with frequency reuse, an average IM noise reduction of several dB can be realized. The improvement in carrier-to-IM noise ratio can be used to increase system capacity, or for given capacity it can be used to reduce RF power amplifier backoff, which can be translated into a reduction of spacecraft prime power requirement. Copyright ¬© 1987 by The Institute of Electrical and Electronics Engineers, Inc.</t>
  </si>
  <si>
    <t>543-557</t>
  </si>
  <si>
    <t>Johannsen, Klaus G.</t>
  </si>
  <si>
    <t>Johannsen K.</t>
  </si>
  <si>
    <t>Scan Beam Antenna Intermodulation Improvement Due to Spatial Dispersion</t>
  </si>
  <si>
    <t>10.1109/TAES.1987.310888</t>
  </si>
  <si>
    <t>2-s2.0-0023380299</t>
  </si>
  <si>
    <t>['wave propagation', 'tutorial paper', 'free space']</t>
  </si>
  <si>
    <t>An attempt is made in this tutorial paper to point out important facts concerning wave propagation and to indicate the implications for the application of antennas. Propagation in Free space, tropospheric and ground-wave propagation are analyzed.</t>
  </si>
  <si>
    <t>269-284</t>
  </si>
  <si>
    <t>IETE Technical Review (Institution of Electronics and Telecommunication Engineers)</t>
  </si>
  <si>
    <t>Stark, Axel</t>
  </si>
  <si>
    <t>Stark A.</t>
  </si>
  <si>
    <t>PROPAGATION OF ELECTROMAGNETIC WAVES.</t>
  </si>
  <si>
    <t>10.1080/02564602.1987.11438136</t>
  </si>
  <si>
    <t>2-s2.0-0023380484</t>
  </si>
  <si>
    <t>['small loss', 'radar beam', 'point targets', 'electronics engineers', 'effect loss', 'acting like', '2 ],', '1 ].']</t>
  </si>
  <si>
    <t>The atmosphere, acting like a lens, causes a small loss in radar signal strength [1]. Unlike atmospheric absorption [2], the lens-effect loss is different for distributed targets versus point targets. For a distributed target uniformly filling the radar beam, the lens-effect loss (in decibels) is one-half the lens-effect loss for point targets. Copyright ¬© 1987 by The Institute of Electrical and Electronics Engineers, Inc.</t>
  </si>
  <si>
    <t>594-595</t>
  </si>
  <si>
    <t>6604086688;7102735174</t>
  </si>
  <si>
    <t>Shrader, William W.;Weil, Thomas A.</t>
  </si>
  <si>
    <t>Shrader W.W.</t>
  </si>
  <si>
    <t>Lens-Effect Loss for Distributed Targets</t>
  </si>
  <si>
    <t>10.1109/TAES.1987.310894</t>
  </si>
  <si>
    <t>2-s2.0-0023380650</t>
  </si>
  <si>
    <t>['tone signals', 'tone interferences', 'test statistic', 'significantly different', 'often used', 'gaussian signal', 'gaussian noise', 'estimate performance', 'electronics engineers', 'detection performance', 'detection curves', 'characteristic function', 'analysis technique']</t>
  </si>
  <si>
    <t>An analysis technique is presented for multiple-tone signals in systems employing noncoherent integration of a square-law detector output. It is shown how the characteristic function for the test statistic can be found from the easily determined ‚Äúcoherent‚Äù characteristic function defined in the two-dimensional signal space. This result is applied to two detection problems, the detection of multiple-tone signals in Gaussian noise and the detection of a Gaussian signal in multiple-tone plus Gaussian noise interference. The detection curves are compared to an approximation that is often used in practice to estimate performance. It is found that detection performance in the presence of multiple-tone interferences can be significantly different from that in the presence of Gaussian noise alone. Copyright ¬© 1987 by The Institute of Electrical and Electronics Engineers, Inc.</t>
  </si>
  <si>
    <t>500-508</t>
  </si>
  <si>
    <t>106618082-60018491</t>
  </si>
  <si>
    <t>Bird, J. S.</t>
  </si>
  <si>
    <t>Burnaby;Ottawa</t>
  </si>
  <si>
    <t>Simon Fraser University;Communications Research Center</t>
  </si>
  <si>
    <t>60018491;106618082</t>
  </si>
  <si>
    <t>Bird J.S.</t>
  </si>
  <si>
    <t>Multiple-Tone Signals and Detection Probabilities</t>
  </si>
  <si>
    <t>10.1109/TAES.1987.310883</t>
  </si>
  <si>
    <t>2-s2.0-0023380910</t>
  </si>
  <si>
    <t>['special provision', 'significant broadening', 'safety factor', 'rotational transform', 'poloidal degeneracy', 'optimum coupling', 'inadvertent excitation', 'improved coupling', 'icrf antennas', 'fully analytic', 'faraday shielded', 'appreciable changes', 'antenna loading', '3 ).']</t>
  </si>
  <si>
    <t>The spModifications in the Alfv√©n wave coupling contributed by the plasma equilibrium current through (i) the rotational transform, (ii) the drift induced enhanced Hall effect, and (iii) the discrete Alfv√©n wave excitation are studied in a model that uses a self-consistent, three-dimensional, fully analytic, Faraday shielded, periodic loop antenna and incorporates kinetic absorption effects occurring via electron Landau damping. ASDEX Upgrade parameters are employed in the computations. Among the significant changes produced by the finite rotational transform is an improved coupling (by a factor of about 2.5) at low toroidal numbers (n ‚àº 1-3). Despite this gain, however, the coupling to low n continues to be poor, with R‚âà 0.03 Œ© and Q ‚âà 180 for n = 2. Optimum coupling, with R ‚âà 0.7 Œ©, occurs for n = 8 and is unaffected by the rotational transform. The safety factor of the antenna, Q ‚âà 17, is comparable to that of ICRF antennas. For the large antenna configuration (n ‚àº 8), mode splitting due to the removal of the poloidal degeneracy in combination with the finite electron temperature effects lead to significant broadening of the energy absorption profile. Any appreciable changes in the antenna loading, as well as an inadvertent excitation of the discrete Alfv√©n wave resonances due to the enhanced Hall current, are conspicuous by their absence. Direct antenna coupling to the surface shear wave is small, and no special provision such as Faraday shielding may be needed for preventing surface losses. Thus the recommendations regarding antenna design for optimum coupling to the Alfv√©n wave remain unaffected by the inclusion of the plasma equilibrium current. ¬© IOP Publishing Ltd.</t>
  </si>
  <si>
    <t>1091-1104</t>
  </si>
  <si>
    <t>Role of plasma equilibrium current in alfv√©n wave antenna optimization</t>
  </si>
  <si>
    <t>10.1088/0029-5515/27/7/003</t>
  </si>
  <si>
    <t>2-s2.0-0023380914</t>
  </si>
  <si>
    <t>['wave tunnelling', 'vessel wall', 'thomson scattering', 'take place', 'soft x', 'several milliseconds', 'rf pulse', 'rf onset', 'power deposition', 'plasma interior', 'overdense plasma', 'modest level', 'marfe reflects', 'layer persists', 'large radius', 'intuitive expectation', 'inner portion', 'high densities', 'gyroresonance layer', 'extraordinary mode', 'expected within', 'expected theoretically', 'edge heating', 'ech waves', 'damping rate', 'bulk plasma', '3 larger']</t>
  </si>
  <si>
    <t>The electron cyclotron heating (ECH) experiment on the Doublet III tokamak with inside oblique launch of the extraordinary mode has shown good heating even at very high densities, up to the operational density limit. According to ray tracing calculations for the high density discharges, the ECH waves are reflected at the periphery of the plasma around r/a ‚àº 0.9, and bulk plasma heating is not expected theoretically. But effective good heating has been observed in the increases of both the central electron temperature measured by Thomson scattering and the total energy measured magnetically. Furthermore, in the high density discharges, an extremely high density layer (marfe) exists in front of the antenna before the application of RF, and this layer persists for several milliseconds into the RF pulse. Since the marfe reflects the wave and does not allow its penetration to the bulk plasma, heating is not expected within the framework of standard wave propagation theory. A wave focusing phenomenon is introduced to explain the wave tunnelling through the marfe, using a localized collisional heating combined with the constraint of constant pressure along the magnetic flux line. After the marfe has been removed, after several milliseconds from the RF onset, the power deposition for the bulk plasma appears to be at large radius, according to the soft X-ray diode array diagnostics. But whether the deposition is at about r/a ‚àº 2/3 or at the very edge of the plasma has not been confirmed. Theoretically, the accessibility of the overdense plasma for the wave can be improved by introducing a modest level of low frequency density fluctuations into the ray tracing calculations. The damping rate is not, however, large in the inner portion of the plasma. The heating is predicted to take place at large radius, r/a &gt; 0.8, either by heating at the gyroresonance layer after multiple wave reflections on the vessel wall or by a parametric decay instability which excites an ion acoustic mode. Thus, contrary to our intuitive expectation that the deposition might take place in the plasma interior, we are led to conclude that the observed good heating is, indeed, due to the edge heating. The gross energy confinement time œÑE evaluated at r/a = 2/3 is a factor of about 2.3 larger than the global value œÑE(a), because of the lack of ECH power deposition within that radius. Since more than 85% of total plasma kinetic energy is contained within r/a = 2/3, this edge heating appears to be very effective in raising the bulk plasma energy. ¬© IOP Publishing Ltd.</t>
  </si>
  <si>
    <t>1135-1146</t>
  </si>
  <si>
    <t>60013901-60103403;60013901</t>
  </si>
  <si>
    <t>7004116733;7004204756</t>
  </si>
  <si>
    <t>Ejima, S.;Prater, R.</t>
  </si>
  <si>
    <t>Japan;United States</t>
  </si>
  <si>
    <t>Tokyo;San Diego</t>
  </si>
  <si>
    <t>Shin-Etsu Chemical Co., Ltd.;General Atomics</t>
  </si>
  <si>
    <t>60103403;60013901</t>
  </si>
  <si>
    <t>Ejima S.</t>
  </si>
  <si>
    <t>Interpretation of electron cyclotron heating results in overdense plasma in doublet iii</t>
  </si>
  <si>
    <t>10.1088/0029-5515/27/7/007</t>
  </si>
  <si>
    <t>2-s2.0-0023381076</t>
  </si>
  <si>
    <t>['steady state', 'signal sources', 'results reported', 'resulting increase', 'power inversion', 'performance degradation', 'jamming cancellation', 'electronics engineers', 'either 1', 'degraded due', 'computer simulations', 'array elements', 'array caused', 'algorithm used', 'adaptive arrays']</t>
  </si>
  <si>
    <t>The performance of adaptive arrays for jamming cancellation is degraded due to relative angular movements between the array elements and the signal sources in space. We consider small angular variations about the steady state of a linear (power inversion) array caused by either 1) a discrete angular jump, or 2) a continuous angular movement with constant angular velocity. Performance degradation is assessed in terms of the resulting increase in the total output power relative to its steady-state (minimum) value. The results reported are independent of the algorithm used to minimize the output mean square error (MSE) and are supported by computer simulations. Copyright ¬© 1987 by The Institute of Electrical and Electronics Engineers, Inc.</t>
  </si>
  <si>
    <t>485-492</t>
  </si>
  <si>
    <t>60026340;60002092</t>
  </si>
  <si>
    <t>6603065910;35611536100</t>
  </si>
  <si>
    <t>Goffer, A.;Langholz, G.</t>
  </si>
  <si>
    <t>Israel;United States</t>
  </si>
  <si>
    <t>Haifa;Tallahassee</t>
  </si>
  <si>
    <t>RAFAEL Armament Development Authority Ltd.;Florida State University</t>
  </si>
  <si>
    <t>Goffer A.</t>
  </si>
  <si>
    <t>The Performance of Adaptive Array in a Dynamic Environment</t>
  </si>
  <si>
    <t>10.1109/TAES.1987.310881</t>
  </si>
  <si>
    <t>2-s2.0-0023381206</t>
  </si>
  <si>
    <t>['wideband frequency', 'three methods', 'maximin algorithm', 'hopping communications', 'full exploitation', 'frequency compensation', 'electronics engineers', 'anticipative processing']</t>
  </si>
  <si>
    <t>For the full exploitation of an adaptive antenna system for wideband frequency-hopping communications, some form of frequency compensation is necessary. Parameter-dependent, spectral, and anticipative processing are the three methods of frequency compensation that are examined; their strengths, limitations, and variations are discussed. The underlying adaptive algorithm is the Maximin algorithm, which has major advantages compared with other algorithms. Copyright ¬© 1987 by The Institute of Electrical and Electronics Engineers, Inc.</t>
  </si>
  <si>
    <t>448-467</t>
  </si>
  <si>
    <t>100420596;100400885</t>
  </si>
  <si>
    <t>7003426663;6602724688</t>
  </si>
  <si>
    <t>Torrieri, Don;Bakhru, Kesh</t>
  </si>
  <si>
    <t>Adelphi;San Diego</t>
  </si>
  <si>
    <t>US Army Survivability Management;Cubic Corporation</t>
  </si>
  <si>
    <t>Torrieri D.</t>
  </si>
  <si>
    <t>Frequency Compensation in an Adaptive Antenna System for Frequency-Hopping Communications</t>
  </si>
  <si>
    <t>10.1109/TAES.1987.310878</t>
  </si>
  <si>
    <t>2-s2.0-0023381412</t>
  </si>
  <si>
    <t>['theoretical results', 'radiation patterns', 'plasma medium', 'good agreement', 'free space', 'experimentally measured', 'experimental results']</t>
  </si>
  <si>
    <t>A microstrip square patch antenna is fabricated and its radiation patterns have been experimentally measured in the free space as well as in the dielectric plasma media. The experimentally measured and the theoretically computed values in free space and in plasma medium are compared. The experimental results are in good agreement with theoretical results. It is concluded that the effect of dielectric plasma media on the radiation patterns of the antenna is considerable.</t>
  </si>
  <si>
    <t>133-136</t>
  </si>
  <si>
    <t>Jul-Aug</t>
  </si>
  <si>
    <t>100349921;100349921;100349921</t>
  </si>
  <si>
    <t>57208877036;35453137500;36042421800</t>
  </si>
  <si>
    <t>Sharma, K. B.;Saxena, V. K.;Gupta, R. K.</t>
  </si>
  <si>
    <t>MR Engineering Coll</t>
  </si>
  <si>
    <t>Sharma K.B.</t>
  </si>
  <si>
    <t>EXPERIMENTAL STUDY OF MICROSTRIP SQUARE PATCH ANTENNA IN SIMULATED PLASMA CONDITIONS.</t>
  </si>
  <si>
    <t>10.1080/03772063.1987.11436680</t>
  </si>
  <si>
    <t>2-s2.0-0023381625</t>
  </si>
  <si>
    <t>['theoretical expressions', 'statistical distributions', 'several paths', 'phase difference', 'path length', 'multipath propagation', 'meteorological parameters', 'experimental data', 'equiprobable values', 'direct ray', 'curvature set', 'copyright 1987', 'copolarized attenuation', 'atmospheric layer', 'arrival angles']</t>
  </si>
  <si>
    <t>For multipath propagation in spherically stratified clear air, the formulas are derived for the phase difference between the direct ray and the multipath ray reflected from an atmospheric layer, and for their arrival angles. With the earth's curvature set to zero, the above formulas will reduce to those currently in use for a plane‚Äêstratified atmosphere. With the formulas here derived and the empirical cumulative distribution of refractive index gradients, theoretical expressions for the statistical distributions of the cross‚Äêpolarization discrimination (XPD) and copolarized attenuation (CPA) are obtained. Furthermore, the relationship between equiprobable values of XPD and CPA is found to be linear. All the above formulas are related to the frequency, the path length, meteorological parameters and cross‚Äêpolar antenna patterns. The theoretically predicted results for XPD and CPA agree well with experimental data for several paths. Copyright 1987 by the American Geophysical Union.</t>
  </si>
  <si>
    <t>499-510</t>
  </si>
  <si>
    <t>July-August 1987</t>
  </si>
  <si>
    <t>26651553100;7006705331;56325446300</t>
  </si>
  <si>
    <t>Jin, Hui‚ÄêQun ‚ÄêQ;Sha, Zong;Xie, Yi‚ÄêXi ‚ÄêX</t>
  </si>
  <si>
    <t>Jin H.‚Äê.</t>
  </si>
  <si>
    <t>Distributions of the cross‚Äêpolarization discrimination and the copolarized attenuation due to multipath in clear air</t>
  </si>
  <si>
    <t>10.1029/RS022i004p00499</t>
  </si>
  <si>
    <t>2-s2.0-0023381721</t>
  </si>
  <si>
    <t>['two transverse', 'tapered array', 'probes form', 'probe inserted', 'port network', 'penetration depth', 'line source', 'input impedance', 'ground plane', 'feed waveguide', 'fed separately', 'coaxial line']</t>
  </si>
  <si>
    <t>A line source feed for an offset cylindrical parabolic reflector antenna is described. The line source consists of two transverse and longitudinal dipole arrays over a ground plane. The elements of each array are fed separately from a feed waveguide through a coaxial line, which is connected to a probe inserted into the waveguide. Within each waveguide these probes form a tapered array. The probes are treated as an N-port network to determine their penetration depth for a required Taylor distribution along the line source. The line source is then constructed and tested for both aperture field distribution and the input impedance. Its performance as a feed for an offset cylindrical parabolic reflector antenna is studied.</t>
  </si>
  <si>
    <t>105-111</t>
  </si>
  <si>
    <t>60009697;60009697;60009697</t>
  </si>
  <si>
    <t>8092251400;57027512900;7101949627</t>
  </si>
  <si>
    <t>Shafai, L.;Ittipiboon, A.;Dobrowolski, J. A.</t>
  </si>
  <si>
    <t>Shafai L.</t>
  </si>
  <si>
    <t>DUAL POLARIZED LINE SOURCE FEED FOR CYLINDRICAL REFLECTOR ANTENNAS.</t>
  </si>
  <si>
    <t>10.1109/CEEJ.1987.6593829</t>
  </si>
  <si>
    <t>2-s2.0-0023381840</t>
  </si>
  <si>
    <t>['wiley company', 'time based', 'systems deal', 'systematic analysis', 'sturdy configuration', 'significant effect', 'several problems', 'ridge waveguide', 'poynting vector', 'power distribution', 'paper applies', 'much interest', 'medium conditions', 'inc .,', 'high power', 'heating system', 'heating regions', 'fundamental properties', 'field distribution', 'field determining', 'entire system', 'dielectric material', 'cutoff characteristics', 'communication systems', 'bergeron method', 'analysis technique']</t>
  </si>
  <si>
    <t>Recently, there has been much interest in research and development of a high‚Äêpower heating system for nuclear fusion plasma heating. Since these systems deal with high power, there are several problems that are different from those in the sources for communication systems. A structure is proposed which is based on the T‚Äêtype ridge waveguide, a simple and sturdy configuration. In these systems, the complex near field due to the three‚Äêdimensional structure including the medium conditions has a significant effect on the characteristics. Especially, in a high‚Äêpower system, the effect of higher‚Äêorder modes with relatively small power distributions cannot be neglected. Also, transient field distributions strongly affect the characteristics so that the time domain response must be analyzed. This paper applies an analysis technique for the three‚Äêdimensional space and time based on the Bergeron method to the systematic analysis of the radiated near field from the entire system of a T‚Äêtype ridge waveguide slot antenna including the waveguide, slot and the heating regions. The power distribution of the field determining the fundamental properties of the heating system is found in terms of the Poynting vector and the fundamental properties of the system are obtained. Specifically, the effect of the dielectric material on the field distribution is found. The cutoff characteristics of the ridge waveguide and the fundamental properties of the slot are studied and their characteristics are investigated. Copyright ¬© 1987 Wiley Periodicals, Inc., A Wiley Company</t>
  </si>
  <si>
    <t>88-97</t>
  </si>
  <si>
    <t>55574713100;7403004870;57191018363</t>
  </si>
  <si>
    <t>Kashiwa, Tatsuya;Yoshida, Norinobu;Fukais, Ichiro</t>
  </si>
  <si>
    <t>Kashiwa T.</t>
  </si>
  <si>
    <t>Unified analysis of ridge‚Äêwaveguide slot antenna in three‚Äêdimensional space and time</t>
  </si>
  <si>
    <t>10.1002/ecja.4410700710</t>
  </si>
  <si>
    <t>2-s2.0-0023382725</t>
  </si>
  <si>
    <t>['¬© 1987', 'would yield', 'suitable characterization', 'scattered waves', 'radar imaging', 'power received', 'partially polarized', 'optimum polarizations', 'optimum amount', 'necessarily limited', 'incoherent scattering', 'general class', 'fully characterized', 'electronics engineers', 'e .,', 'complex elements', 'case wherein']</t>
  </si>
  <si>
    <t>In radar imaging, the scattered waves are usually partially polarized. Accordingly, the concept of optimum polarization must be extended to the case of incoherent scattering where the scattered waves are partially polarized. Here, it will be shown that the Stokes scattering operator is the most suitable characterization of incoherent scattering. The problem of finding the polarization that would yield an optimum amount of power received from the scatterer is solved by assuming a knowledge of the Stokes scattering operator instead of the 2 x 2 scattering matrix with complex elements. The advantage of this method is that it may be used to find the optimum polarizations for the case wherein the scatterers can only be fully characterized by their Stokes scattering operator (incoherent scattering) and the case wherein the scatterer can be fully characterized by the complex 2x2 scattering matrix (coherent scattering). In this report, it will be shown that the optimum polarizations reported thus far in the literature, i.e., when the problem is solved by using a knowledge of the 2x2 scattering matrix, form the solutions for a subset of a more general class of problems. When the solution of the problem is based on a knowledge of the Stokes scattering operator, it is found that for incoherent scattering six optimum polarizations can exist, whereas when the solution is based on the 2x2 scattering matrix, the number of optimum polarizations is necessarily limited to four. ¬© 1987 by The Institute of Electrical and Electronics Engineers, Inc.</t>
  </si>
  <si>
    <t>818-825</t>
  </si>
  <si>
    <t>60009037;60031581;60009037</t>
  </si>
  <si>
    <t>7103099518;6701353313;7005392498</t>
  </si>
  <si>
    <t>Van Zyl, Jakob J.;Papas, Charles H.;Elachi, Charles</t>
  </si>
  <si>
    <t>Pasadena;Pasadena</t>
  </si>
  <si>
    <t>California Institute of Technology;Jet Propulsion Laboratory</t>
  </si>
  <si>
    <t>60031581;60009037</t>
  </si>
  <si>
    <t>Van Zyl J.J.</t>
  </si>
  <si>
    <t>On the Optimum Polarizations of Incoherently Reflected Waves</t>
  </si>
  <si>
    <t>10.1109/TAP.1987.1144175</t>
  </si>
  <si>
    <t>2-s2.0-0023382747</t>
  </si>
  <si>
    <t>['taking advantage', 'sum beamformers', 'source signal', 'power beamwidth', 'phase errors', 'paper studies', 'noise ratios', 'noise ratio', 'much narrower', 'input signal', 'imperfections considered', 'element errors', 'capon half', 'capon beamformer', 'array aberrations', 'adaptive beamwidth', '0 db']</t>
  </si>
  <si>
    <t>The Capon beamformer can perform accurate bearing estimation by taking advantage of the fact that for high input signal-to-noise ratios, the ‚Äúadaptive beamwidth‚Äù is much narrower than the classical Rayleigh limit. This paper studies the effect of random antenna element errors on this adaptive beamwidth. The imperfections considered are amplitude and phase errors which are constant during the period of adaptation. With a single input point-source signal, it is shown that the Capon beamformer half-power beamwidth is degraded by array aberrations, but it is still several times better than that of conventional nonadaptive delay-and-sum beamformers, provided the input signal-to-noise ratio is 0 dB or higher. A simple scalar formula is derived to predict the Capon half-power beamwidth in the presence of element errors for uniformly spaced line arrays, and computer simulation data are presented to verify its accuracy to within 4 percent. ¬© 1987 IEEE</t>
  </si>
  <si>
    <t>743-752</t>
  </si>
  <si>
    <t>IEEE Transactions on Circuits and Systems</t>
  </si>
  <si>
    <t>Jablon, Neil K.</t>
  </si>
  <si>
    <t>Jablon N.</t>
  </si>
  <si>
    <t>Effect of Element Errors on Half-Power Beamwidth of the Capon Adaptive Beamformer</t>
  </si>
  <si>
    <t>10.1109/TCS.1987.1086200</t>
  </si>
  <si>
    <t>2-s2.0-0023382876</t>
  </si>
  <si>
    <t>['¬© 1987', 'various geometries', 'value integrals', 'uniqueness theorem', 'small horns', 'radiation patterns', 'numerical results', 'moment method', 'main interest', 'magnitude smaller', 'integrals appear', 'integral equations', 'fields created', 'emec formulation', 'emec ).', 'electronics engineers', 'electric currents', 'eec formulation', 'eec approach', 'computing electric', 'cauchy principal', 'avoided using', 'aperture antennas']</t>
  </si>
  <si>
    <t>A system of integral equations (SIE) based on the uniqueness theorem that uses only electric equivalent currents (EEC) is formulated to analyze conducting bodies with apertures. This SIE is compared with an SIE that uses both electric and magnetic equivalent currents (EMEC). In general, to solve both SIE‚Äôs numerically difficult computations of Cauchy principal-value integrals with highly singular kernels are required. These integrals appear when computing electric (magnetic) fields created by magnetic (electric) currents. Their evaluation can be avoided using the EEC approach in many practical cases when the main interest is in the radiation patterns of aperture antennas. The two SIE‚Äôs are compared by carrying out an analysis of rotationally symmetric horns using the moment method (MM) in its formulation for bodies of revolution. Numerical results of electric currents and radiation patterns are presented for small horns of various geometries. These results compare quite well with measurements for both SIE‚Äôs. However, the central processing unit (CPU) time for the EEC formulation is an order of magnitude smaller than for the EMEC formulation. ¬© 1987 by The Institute of Electrical and Electronics Engineers, Inc.</t>
  </si>
  <si>
    <t>782-789</t>
  </si>
  <si>
    <t>Catedra, Manuel F.</t>
  </si>
  <si>
    <t>Catedra M.F.</t>
  </si>
  <si>
    <t>A Comparison Between Two Kinds of Equivalent Currents to Analyze Conducting Bodies with Apertures Using Moment Methods: Application to Horns with Symmetry of Revolution</t>
  </si>
  <si>
    <t>10.1109/TAP.1987.1144179</t>
  </si>
  <si>
    <t>2-s2.0-0023383027</t>
  </si>
  <si>
    <t>['¬© 1987', 'tolerable defocusing', 'substantially reduced', 'substantial defocusing', 'spillover noise', 'sometimes added', 'shaped system', 'shaped subreflector', 'reflector antenna', 'paraboloid focus', 'observed effects', 'multiple feeds', 'feed tilt', 'feed may', 'electronics engineers', 'constraint requiring', 'considerable noise', 'circularly symmetric', 'cassegrainian system', 'axis around']</t>
  </si>
  <si>
    <t>Circularly symmetric, dual-reflector, high-gain antenna systems often require feeds placed off the system‚Äôs axis because of the need for multiple feeds to use the reflector antenna. Also, the constraint requiring the hyperboloid or shaped subreflector to remain circularly symmetric is sometimes added. In a Cassegrainian system, the subreflector and feed may be rotated off-axis around the paraboloid focus and retain main reflector focusing. However, substantial spillover results in considerable noise in a high-gain/low-noise temperature system. In a shaped system, the tilt of the shaped subreflector and feed together results in substantial defocusing as well as spillover noise. If the subreflector is tilted approximately one-half the angle of the feed tilt in either the Cassegrainian or the dual-shaped reflector antenna, it is found that spillover and noise are substantially reduced with tolerable defocusing. An extensive numerical analysis of these effects was conducted to determine the characteristics of a 70-meter, dual-shaped reflector versus Cassegrainian antenna and to gain some understanding of the cause of the observed effects. ¬© 1987 by The Institute of Electrical and Electronics Engineers, Inc.</t>
  </si>
  <si>
    <t>745-755</t>
  </si>
  <si>
    <t>35613310900;7003293983;7003977774</t>
  </si>
  <si>
    <t>Veruttipong, Thavath;Galindo-Israel, Victor;Imbriale, William A.</t>
  </si>
  <si>
    <t>Veruttipong T.</t>
  </si>
  <si>
    <t>Low-Loss Offset Feeds for Electrically Large Symmetric Dual-Reflector Antennas</t>
  </si>
  <si>
    <t>10.1109/TAP.1987.1144182</t>
  </si>
  <si>
    <t>2-s2.0-0023383028</t>
  </si>
  <si>
    <t>['¬© 1987', 'stochastic characteristics', 'steering vector', 'reference signal', 'noise ratio', 'noise power', 'interference power', 'electronics engineers', 'computational results', 'array sensitivity']</t>
  </si>
  <si>
    <t>Using the knowledge of signal arrival direction and the stochastic characteristics of the steering vector and reference signal, the performance of an adaptive array combining reference signal and steering vector algorithms is presented. Expressions for output signal power, interference power, and noise power are obtained to show that the array sensitivity to the random steering vector error is reduced. Computational results of signal-to-interference-plus-noise ratio (SINR) as a function of random steering vector error are presented, showing that the sensitivity is reduced. ¬© 1987 by The Institute of Electrical and Electronics Engineers, Inc.</t>
  </si>
  <si>
    <t>763-770</t>
  </si>
  <si>
    <t>60026415;60026415;60026415</t>
  </si>
  <si>
    <t>37022359400;6603876932;7401672122</t>
  </si>
  <si>
    <t>Hong, Young J.;Ucci, Donald R.;Yeh, Chien Chung</t>
  </si>
  <si>
    <t>Stony Brook</t>
  </si>
  <si>
    <t>Stony Brook University</t>
  </si>
  <si>
    <t>Hong Y.J.</t>
  </si>
  <si>
    <t>The Performance of an Adaptive Array Combining Reference Signal and Steering Vector</t>
  </si>
  <si>
    <t>10.1109/TAP.1987.1144181</t>
  </si>
  <si>
    <t>2-s2.0-0023383126</t>
  </si>
  <si>
    <t>DAAG-03-83-K- o090</t>
  </si>
  <si>
    <t>['¬© 1987', 'scan angle', 'radiation properties', 'radiation characteristics', 'practical materials', 'inhomogeneous substrates', 'electronics engineers', 'chosen properly', 'also used']</t>
  </si>
  <si>
    <t>Reciprocity and a transmission line model are used to determine the radiation properties of printed circuit antennas (PCA‚Äôs) in a multilayered material configuration. It is demonstrated that extremely high directive gain may result at any scan angle, with practical materials, if the thickness of the substrate and multiple superstrate layers is chosen properly. This model is also used to analyze the radiation characteristics of printed circuit antennas in inhomogeneous substrates. ¬© 1987 by The Institute of Electrical and Electronics Engineers, Inc.</t>
  </si>
  <si>
    <t>860-863</t>
  </si>
  <si>
    <t>60027550;60027550</t>
  </si>
  <si>
    <t>7406565241;7004468161</t>
  </si>
  <si>
    <t>Yang, H. Y.;Alex√≥poulos, Nic√≥laos G.</t>
  </si>
  <si>
    <t>Los Angeles</t>
  </si>
  <si>
    <t>University of California, Los Angeles</t>
  </si>
  <si>
    <t>Yang H.</t>
  </si>
  <si>
    <t>Gain Enhancement Methods for Printed Circuit Antennas Through Multiple Superstrates</t>
  </si>
  <si>
    <t>10.1109/TAP.1987.1144186</t>
  </si>
  <si>
    <t>2-s2.0-0023383309</t>
  </si>
  <si>
    <t>DAAG 29-83-K-0127</t>
  </si>
  <si>
    <t>['¬© 1987', 'various points', 'radiating structure', 'performed using', 'overall admittance', 'numerical analysis', 'monopole antenna', 'input admittances', 'input admittance', 'ground plane', 'functional dependence', 'experimental investigation', 'experimental data', 'electronics engineers', 'electrical size', 'conducting box', 'box could']</t>
  </si>
  <si>
    <t>An experimental investigation has been performed to deter- mine the input admittance characteristics of a monopole antenna mounted on a conducting cubical box over a ground plane. Input admittances of monopoles from 2 to 6 cm long mounted on a 10 cm box were considered in the investigation so that effects of changes in the electrical size of the box could be evaluated. The monopoles were placed at various points to determine the functional dependence of input admittance on the position of the monopole antenna. A numerical analysis of the radiating structure was performed using the method of moments to compare the experimental data with the computed input admittance. This comparison and the observed empirical behavior of the input admittance were then utilized to predict the effects of the conducting box on the overall admittance of the radiator. ¬© 1987 by The Institute of Electrical and Electronics Engineers, Inc.</t>
  </si>
  <si>
    <t>756-762</t>
  </si>
  <si>
    <t>60005837;60005837;60005837</t>
  </si>
  <si>
    <t>55451788800;57218185139;57226228872</t>
  </si>
  <si>
    <t>Bhattacharya, Shyamal;Wilton, Donald R.;Long, Stuart A.</t>
  </si>
  <si>
    <t>Houston</t>
  </si>
  <si>
    <t>University of Houston</t>
  </si>
  <si>
    <t>Bhattacharya S.</t>
  </si>
  <si>
    <t>The Input Impedance of a Monopole Antenna Mounted on a Cubical Conducting Box</t>
  </si>
  <si>
    <t>10.1109/TAP.1987.1144172</t>
  </si>
  <si>
    <t>2-s2.0-0023383310</t>
  </si>
  <si>
    <t>['¬© 1987', 'theoretical results', 'rights reserved', 'radiation patterns', 'input impedance', 'experimental measurements', 'especially interesting', 'electrical engineers', 'crosspolarisation ).', 'complete analysis', 'alternative solution']</t>
  </si>
  <si>
    <t>Dipole antennas | EM field theory | Microstrip | Microwave circuits and systems</t>
  </si>
  <si>
    <t>A rigorous and complete analysis of the electromagnetically coupled transverse microstrip dipole is presented. This new feeding process offers an alternative solution, which is especially interesting when it is necessary to excite several dipoles from the same line. The theoretical results are compared to experimental measurements in X-band for the input impedance and the radiation patterns (co- and crosspolarisation). ¬© 1987, The Institution of Electrical Engineers. All rights reserved.</t>
  </si>
  <si>
    <t>822-824</t>
  </si>
  <si>
    <t>60005049;60005049;60005049</t>
  </si>
  <si>
    <t>6602558390;7003348642;22955400400</t>
  </si>
  <si>
    <t>Lepeltier, P.;Floc'H, J. M.;Citerne, J.</t>
  </si>
  <si>
    <t>Rennes</t>
  </si>
  <si>
    <t>INSA Rennes</t>
  </si>
  <si>
    <t>Lepeltier P.</t>
  </si>
  <si>
    <t>Complete And Rigorous Analysis Of Electromagnetically Coupled Transverse Microstrip Dipole</t>
  </si>
  <si>
    <t>10.1049/el:19870583</t>
  </si>
  <si>
    <t>2-s2.0-0023383381</t>
  </si>
  <si>
    <t>['useful way', 'used successfully', 'urban areas', 'stokes matrix', 'scattering matrix', 'scattering coefficient', 'reflected energy', 'receive polarizations', 'randomly polarized', 'radar image', 'polarization signatures', 'polarization signature', 'polarization information', 'polarization filtering', 'polarization effects', 'parameter derived', 'observations show', 'low coefficient', 'large coefficient', 'highly polarized', 'enables us', 'desired combination', 'copyright 1987', 'considerable component', 'areas contains', 'allowing us']</t>
  </si>
  <si>
    <t>We have converted a conventional synthetic aperture radar system into an imaging radar polarimeter by employing two orthogonally polarized antennas and recording both the amplitude and absolute phase measurements of the received electric fields. This enables us to measure the complete complex scattering matrix for each individual resolution element in the radar image. The Stokes matrix, derived from the scattering matrix, is then used to synthesize the scattering coefficient for any desired combination of transmit and receive antenna polarizations, allowing us to measure the variation of the scattering coefficient with polarization. This polarization information can be displayed in a new and useful way, producing the polarization signature for each point in an image. Comparison of the theoretical and observed polarization signatures permits identification of the dominant scattering mechanisms contributing to the measured radar backscatter. For example, the ocean and smoother lava flows have polarization signatures which are similar to those predicted by a slightly rough dielectric surface model; thus the model likely approximates the physical mechanisms responsible for the reflected energy from these surfaces. Urban areas, on the other hand, exhibit polarization signatures which resemble those predicted by dihedral corner reflector geometries. The coefficient of variation, a parameter derived from the polarization signature, is a measure of resolution scale variation of a surface and indicates the degree to which polarization filtering can be used to enhance or suppress the return from a collection of scatterers. Our observations show that the ocean has a low coefficient of variation; thus the return from the ocean is highly polarized, and polarization effects can be used successfully to suppress or enhance the return from the ocean. Parks and other vegetated areas exhibit a large coefficient of variation, suggesting that the return from these areas contains a considerable component that is randomly polarized; varying the transmit and receive polarizations will not change the return from the vegetated areas appreciably. Copyright 1987 by the American Geophysical Union.</t>
  </si>
  <si>
    <t>529-543</t>
  </si>
  <si>
    <t>7103099518;7005577978;7005392498</t>
  </si>
  <si>
    <t>van Zyl, Jakob J.;Zebker, Howard A.;Elachi, Charles</t>
  </si>
  <si>
    <t>van Zyl J.</t>
  </si>
  <si>
    <t>Imaging radar polarization signatures: Theory and observation</t>
  </si>
  <si>
    <t>10.1029/RS022i004p00529</t>
  </si>
  <si>
    <t>2-s2.0-0023383513</t>
  </si>
  <si>
    <t>['¬© 1987', 'total fields', 'simply modified', 'scattered fields', 'resulting expressions', 'numerical evaluation', 'hertz potential', 'exact expressions', 'electronics engineers', 'brief discussion', 'also shown']</t>
  </si>
  <si>
    <t>Exact expressions for the Hertz potential and electromagnetic fields radiated by an electric traveling wave line source, of arbitrary but uniform dipole orientation, in the presence of a perfectly conducting half-plane are presented. A brief discussion of the numerical evaluation of the resulting expressions is given. It is also shown that the results for the total fields can be simply modified to produce the scattered fields. ¬© 1987 by The Institute of Electrical and Electronics Engineers, Inc.</t>
  </si>
  <si>
    <t>866-870</t>
  </si>
  <si>
    <t>Newman, E. H.</t>
  </si>
  <si>
    <t>The Fields of a Traveling Wave Line Source in the Vicinity of a Half-Plane</t>
  </si>
  <si>
    <t>10.1109/TAP.1987.1144188</t>
  </si>
  <si>
    <t>2-s2.0-0023383893</t>
  </si>
  <si>
    <t>['well casings', 'well casing', 'relatively simple', 'readily found', 'matrix inversion', 'interface resistance', 'geophysical exploration', 'embedded conductors', 'electronics engineers', 'dipole arrays', 'different sections', 'conductors may', 'arbitrary length', 'actually flows']</t>
  </si>
  <si>
    <t>The effect of embedded conductors such as well casings on apparent resistivity measurements on the earth's surface is of interest in geophysical exploration. A relatively simple and computationally efficient method of analysis is presented to determine the apparent resistivity error that is caused by the presence of long slender cylindrical conductors embedded vertically into the earth. The conductors may be of arbitrary length, with arbitrary longitudinal resistance and interface resistance. The potential at the well casing surface is found by modeling the casing as a set of finite-length line current sources and obtaining their values by a matrix inversion. The currents thus found are equivalent to the current that actually flows into the different sections of the well casing, and the potential at a field point due to the finite line current sources and the point current source can then be readily found and can be compared to the undisturbed field point voltage. Apparent resistivity profiles calculated for pole-pole, Schlumberger, and dipole-dipole arrays with adjacent well casings are presented. Copyright ¬© 1987 by The Institute of Electrical and Electronics Engineers, Inc.</t>
  </si>
  <si>
    <t>414-421</t>
  </si>
  <si>
    <t>60002306;60002306;60002306</t>
  </si>
  <si>
    <t>7403679208;7004510069;7006164042</t>
  </si>
  <si>
    <t>Johnston, Ronald H.;Trofimenkoff, F. N.;Haslett, James W.</t>
  </si>
  <si>
    <t>Calgary</t>
  </si>
  <si>
    <t>University of Calgary</t>
  </si>
  <si>
    <t>Johnston R.</t>
  </si>
  <si>
    <t>Resistivity Response of a Homogeneous Earth with a Finite-Length Contained Vertical Conductor</t>
  </si>
  <si>
    <t>10.1109/TGRS.1987.289852</t>
  </si>
  <si>
    <t>2-s2.0-0023383911</t>
  </si>
  <si>
    <t>['optical fiber', 'highly sensitive', '38 nw', '10 œºa']</t>
  </si>
  <si>
    <t>Characteristics are described of a novel probe sensitive to the amplitude and phase of the radio-frequency magnetic field which is composed of a laser diode linked with a small loop antenna, an optical fiber, and a phase-sensitive detection instrument. The probe is highly sensitive and is radio-frequency interference free. The minimum detectable radio-frequency magnetic field is 10 ŒºA/cm (38 nW/cm&lt;sup&gt;2&lt;/sup&gt; in power density). Copyright ¬© 1987 by The Institute of Electrical and Electronics, Inc.</t>
  </si>
  <si>
    <t>906-909</t>
  </si>
  <si>
    <t>60024784;60024784;60024784</t>
  </si>
  <si>
    <t>55254841900;36785598100;7102015955</t>
  </si>
  <si>
    <t>Hayashi, Ken Ichi;Arai, Kazuo;Ida, Yoshio</t>
  </si>
  <si>
    <t>Kanazawa</t>
  </si>
  <si>
    <t>Kanazawa University</t>
  </si>
  <si>
    <t>Hayashi K.I.</t>
  </si>
  <si>
    <t>Phase-Sensitive Radio-Frequency Magnetic Probe Using Laser Diode and Optical Fiber</t>
  </si>
  <si>
    <t>10.1109/JLT.1987.1075596</t>
  </si>
  <si>
    <t>2-s2.0-0023384194</t>
  </si>
  <si>
    <t>['weighted output', 'two processors', 'specified response', 'signals derived', 'signal direction', 'signal beam', 'pic needs', 'paper shows', 'paper presents', 'one beam', 'interference beam', 'forming weights', 'exact expression', 'complex weight', 'antenna array', 'adaptive algorithm']</t>
  </si>
  <si>
    <t>A post-beam-former interference canceller (PIC) processes the signals derived from an antenna array by forming two beams using fixed beam-forming weights. The weighted output of the one beam, referred to as the interference beam, is subtracted from the other beam, referred to as the signal beam, which has a specified response in the signal direction. This paper presents an algorithm to adjust the complex weight of the interference channel iteratively, studies its convergence, presents an exact expression for the misadjustment, and compares the performance of this processor with that of an element space processor. The paper shows that in the absence of errors the performance of the two processors is identical but in the presence of the signal direction error the PIC processor performs better than the element space processor. Furthermore, the adaptive algorithm of the PIC needs to adjust only one complex weight per iteration, whereas in the element space processor the number of complex weights required to be updated at each iteration is equal to the number of elements in the array. ¬© 1987 IEEE</t>
  </si>
  <si>
    <t>721-730</t>
  </si>
  <si>
    <t>Godara, Lal Chand</t>
  </si>
  <si>
    <t>Canberra</t>
  </si>
  <si>
    <t>University of Canberra</t>
  </si>
  <si>
    <t>Godara L.C.</t>
  </si>
  <si>
    <t>A Robust Adaptive Array Processor</t>
  </si>
  <si>
    <t>10.1109/TCS.1987.1086197</t>
  </si>
  <si>
    <t>2-s2.0-0023384204</t>
  </si>
  <si>
    <t>DAAL03-86-K-0087</t>
  </si>
  <si>
    <t>['¬© 1987', 'variable analysis', 'system design', 'practical considerations', 'potential applications', 'oscillators coupled', 'form solutions', 'experimental data', 'electronics engineers', 'dependent network', 'coupled oscillators', 'arbitrary frequency']</t>
  </si>
  <si>
    <t>The behavior of a system of coupled oscillators is shown to have potential applications in the generation of power for integrated phased antenna arrays. Nonlinear differential equations are derived to describe a system of oscillators coupled by an arbitrary frequency-dependent network. State-variable analysis of the linearized equations leads to closed-form solutions for one- and two-dimensional phased array systems. Experimental data for a VHF prototype system is presented, and practical considerations in system design are discussed. ¬© 1987 by The Institute of Electrical and Electronics Engineers, Inc.</t>
  </si>
  <si>
    <t>771-781</t>
  </si>
  <si>
    <t>7102375534;7402679648</t>
  </si>
  <si>
    <t>Stephan, Karl D.;Morgan, William A.</t>
  </si>
  <si>
    <t>Stephan K.D.</t>
  </si>
  <si>
    <t>Analysis of Interinjection-Locked Oscillators for Integrated Phased Arrays</t>
  </si>
  <si>
    <t>10.1109/TAP.1987.1144184</t>
  </si>
  <si>
    <t>2-s2.0-0023384249</t>
  </si>
  <si>
    <t>['transmitting loop', 'static approximations', 'scattering problems', 'quite general', 'planar interface', 'multiple reflections', 'many antenna', 'experimental results', 'either antenna', 'buried objects', 'antennas separated', 'also shown']</t>
  </si>
  <si>
    <t>The plane-wave spectrum technique is used to analyze the coupling between a pair of antennas separated by a planar interface. Multiple reflections between the antennas or between either antenna and the interface are included in the formulation. The formulation is used to model the detection of buried objects, but it is quite general and applicable to many antenna or scattering problems. A low-frequency metal detector example is analyzed in detail. For a transmitting loop and a buried oblate spheroid, the plane-wave spectrum technique is shown to agree with quasi-static approximations. Some experimental results from a 3 kHz metal detector are also shown.</t>
  </si>
  <si>
    <t>422-431</t>
  </si>
  <si>
    <t>56050028200;6603423078</t>
  </si>
  <si>
    <t>Hill, David A.;Cavcey, Kenneth H.</t>
  </si>
  <si>
    <t>Hill D.</t>
  </si>
  <si>
    <t>COUPLING BETWEEN TWO ANTENNAS SEPARATED BY A PLANAR INTERFACE.</t>
  </si>
  <si>
    <t>10.1109/TGRS.1987.289853</t>
  </si>
  <si>
    <t>2-s2.0-0023384424</t>
  </si>
  <si>
    <t>['¬© 1987', 'slightly less', 'rights reserved', 'produce beams', 'main reflector', 'electrical engineers', 'efficient multiple', 'designing multiple', 'compact system', 'also shaping', 'access antennas', '300 œª']</t>
  </si>
  <si>
    <t>Antennas | Multiple-beam antennas | Reflector antennas | Scanning antennas</t>
  </si>
  <si>
    <t>A method of designing multiple-beam antennas based on shaping the subreflector of an offset Cassegrain antenna is described. It is applied to a compact system having a diameter of 300 Œª that is required to produce beams up to 4-6¬∞ either side of boresight. The performance is shown to be only slightly less than that obtainable by also shaping the main reflector, indicating that efficient multiple-satellite-access antennas can be designed without specially shaped main reflectors. ¬© 1987, The Institution of Electrical Engineers. All rights reserved.</t>
  </si>
  <si>
    <t>789-791</t>
  </si>
  <si>
    <t>Hay, S. G.</t>
  </si>
  <si>
    <t>Hay S.</t>
  </si>
  <si>
    <t>Subreflector Shaping to Improve Multiple-Beam Performance of A Cassegrain Antenna</t>
  </si>
  <si>
    <t>10.1049/el:19870560</t>
  </si>
  <si>
    <t>2-s2.0-0023384443</t>
  </si>
  <si>
    <t>['special case', 'simple way', 'radar illuminates', 'multiplicative models', 'large class', 'gaussian clutter', 'exogenous models', 'dwell time', 'conveniently described', 'amplitude distributions']</t>
  </si>
  <si>
    <t>Non-Gaussian clutter is conveniently described by exogenous models (i. e. , by the interaction of two mutually independent random processes) that include, as a special case, the multiplicative models. These take into account the physics of the phenomenon and are shown to fit in a simple way a large class of amplitude distributions. The random processes resulting from these models are found to be a generalization of the spherically invariant ones, or SIRPs, to which they reduce when the radar illuminates a stationary reflecting patch as during the dwell time of an electronically scanned antenna.</t>
  </si>
  <si>
    <t>151-155</t>
  </si>
  <si>
    <t>Journal of the Institution of Electronic and Radio Engineers</t>
  </si>
  <si>
    <t>60017293;60017293;60017293</t>
  </si>
  <si>
    <t>7005463417;55198522400;7101714713</t>
  </si>
  <si>
    <t>Conte, E.;Galati, G.;Longo, M.</t>
  </si>
  <si>
    <t>Italy</t>
  </si>
  <si>
    <t>Naples</t>
  </si>
  <si>
    <t>Universit√† degli Studi di Napoli Federico II</t>
  </si>
  <si>
    <t>Conte E.</t>
  </si>
  <si>
    <t>EXOGENOUS MODELLING OF NON-GAUSSIAN CLUTTER.</t>
  </si>
  <si>
    <t>10.1049/jiere.1987.0056</t>
  </si>
  <si>
    <t>2-s2.0-0023384616</t>
  </si>
  <si>
    <t>['¬© 1987', 'thin antennas', 'radiation resistance', 'electronics engineers', 'dipole segmentation', 'arbitrary elevation']</t>
  </si>
  <si>
    <t>Dipole segmentation is used to estimate the radiation resistance of thin antennas of arbitrary elevation and configuration over a perfectly conducting ground plane. Utility of the method for estimating the radiation resistance of VLF/LF trailing wire antennas from aircraft. ¬© 1987 by The Institute of Electrical and Electronics Engineers, Inc.</t>
  </si>
  <si>
    <t>863-866</t>
  </si>
  <si>
    <t>Pappert, Richard A.</t>
  </si>
  <si>
    <t>San Diego</t>
  </si>
  <si>
    <t>Space and Naval Warfare Systems Center San Diego</t>
  </si>
  <si>
    <t>Pappert R.A.</t>
  </si>
  <si>
    <t>Radiation Resistance of Thin Antennas of Arbitrary Elevation and Configuration Over Perfectly Conducting Ground</t>
  </si>
  <si>
    <t>10.1109/TAP.1987.1144187</t>
  </si>
  <si>
    <t>2-s2.0-0023384756</t>
  </si>
  <si>
    <t>['wave frequency', 'two models', 'true speed', 'surface speed', 'straight line', 'speeds derived', 'spatial changes', 'random temporal', 'random surfaces', 'random changes', 'plane waves', 'model 2', 'model 1', 'known velocity', 'infinite set', 'half widths', 'half width', 'greatest spacing', 'found experimentally', 'decorrelation arising', 'correlation method', 'correlation functions', 'correlation analysis', 'better estimate', 'autocorrelation function', 'antenna pair', 'alternate analysis']</t>
  </si>
  <si>
    <t>Two models of moving random surfaces with known velocity and known correlation function are described. The random surfaces are formed from an infinite set of plane waves with decorrelation arising from random temporal and spatial changes. For model 1 the random changes are independent of the wave frequency. For model 2 they increase with frequency. It is shown that if there are random spatial changes in the direction of motion, then speeds derived by the full correlation method will be less than the true speed of the surface. If temporal series based on the models are subjected to a high‚Äêpass filter before correlation analysis, the correlation speeds increase in value. Correlation functions from one of these models (model 2) fail the requirements for full correlation analysis because the half widths of the cross‚Äêcorrelation functions are greater than the half width of the autocorrelation function. However, from a survey of experimental ionospheric drift measurements it is argued that radio interference patterns appear to have the form of this model. For this model, (1) correlation speeds increase with increasing antenna spacing, (2) the correlation ellipse tends to line up with that antenna pair with the greatest spacing, (3) the straight line of the straight‚Äêline method will not be straight, and as stated above, (4) the speeds will be low. These features have been found experimentally and are contrary to the assumptions of the correlation method. It is shown that an alternate analysis, the ‚Äúsimilar fades average velocity method,‚Äù gives a better estimate of the surface speed than does the correlation method. Published in 1987 by the American Geophysical Union.</t>
  </si>
  <si>
    <t>607-624</t>
  </si>
  <si>
    <t>Burke, M. J.</t>
  </si>
  <si>
    <t>Burke M.</t>
  </si>
  <si>
    <t>Moving random surfaces and correlation analysis</t>
  </si>
  <si>
    <t>10.1029/RS022i004p00607</t>
  </si>
  <si>
    <t>2-s2.0-0023384985</t>
  </si>
  <si>
    <t>['water vapor', 'time scale', 'new delhi', 'monsoon period', 'highly variable', 'ghz frequencies', 'electronics engineers', 'cumulonimbus clouds', 'cloud liquid', 'calculations show', '2 g']</t>
  </si>
  <si>
    <t>An algorithm has been developed for determining cloud liquid in the monsoon period from ground-based microwave radiometric observations over New Delhi. For cloud liquid measurements, 11-and 17.47-GHz frequencies are used. Calculations show that liquid content changes from 0.1 √ó 103 to 6.1 √ó 103g/m2 and water vapor from 3 √ó 104 to 6 √ó 104 g/m2 in the monsoon period over New Delhi. Cloud liquid is found to be highly variable on a time scale and shows poor correlation (0.4) with water vapor content. The average liquid water density of cumulonimbus clouds is obtained as 1.2 g/m3 from these observations. Copyright ¬© 1987 by The Institute of Electrical and Electronics Engineers, Inc.</t>
  </si>
  <si>
    <t>472-476</t>
  </si>
  <si>
    <t>60009615;60009615</t>
  </si>
  <si>
    <t>7006024006;36773770000</t>
  </si>
  <si>
    <t>Bhattacharya, C. K.;Uppal, G. S.</t>
  </si>
  <si>
    <t>New Delhi</t>
  </si>
  <si>
    <t>National Physical Laboratory India</t>
  </si>
  <si>
    <t>Bhattacharya C.</t>
  </si>
  <si>
    <t>Determination of Cloud Liquid and Precipitable Water Vapor by Ground-Based Microwave Radiometers</t>
  </si>
  <si>
    <t>10.1109/TGRS.1987.289858</t>
  </si>
  <si>
    <t>2-s2.0-0023385150</t>
  </si>
  <si>
    <t>['temporary point', 'sufficient consideration', 'smith chart', 'point applications', 'loading elements', 'graphical approach', 'geographical conditions', 'employed usefully', 'design procedure', 'design methodology', 'antenna elements']</t>
  </si>
  <si>
    <t>Multiband, as opposed to broadband, antennas can be employed usefully at HF, particularly in tactical and temporary point-to-point applications, if sufficient consideration is given to both ionospheric and geographical conditions. A multiband wire antenna which contains no loading elements nor requires any separate lumped impedance matching networks is analyzed and a design methodology is presented. A graphical approach, based on the Smith chart, was used to determine design limits and then a computer-aided procedure optimized the design and developed the relationships between the antenna elements. Experimental results confirming the validity of the design procedure are included.</t>
  </si>
  <si>
    <t>167-173</t>
  </si>
  <si>
    <t>Austin, B. A.</t>
  </si>
  <si>
    <t>Liverpool</t>
  </si>
  <si>
    <t>University of Liverpool</t>
  </si>
  <si>
    <t>Austin B.</t>
  </si>
  <si>
    <t>HF MULTIBAND WIRE ANTENNA FOR SINGLE-HOP POINT-TO-POINT APPLICATIONS.</t>
  </si>
  <si>
    <t>10.1049/jiere.1987.0060</t>
  </si>
  <si>
    <t>2-s2.0-0023385272</t>
  </si>
  <si>
    <t>['short yagis', 'phase properties', 'periodic dipole']</t>
  </si>
  <si>
    <t>The phase centre properties of log-periodic dipole (LPD) arrays are examined for suitability in UHF radio positioning systems and are compared with phase properties of commonly used Yagi arrays. LPD arrays offer gain nearly comparable to that obtained from short Yagis, exhibit nearly 180 degree main lobe coverage with no front quadrant nulls, and show small phase centre movement over the entire front hemisphere.</t>
  </si>
  <si>
    <t>112-115</t>
  </si>
  <si>
    <t>APPROACH TO A SUITABLE DIRECTIONAL ANTENNA FOR UHF RADIO POSITIONING APPLICATIONS.</t>
  </si>
  <si>
    <t>10.1109/CEEJ.1987.6593830</t>
  </si>
  <si>
    <t>2-s2.0-0023385417</t>
  </si>
  <si>
    <t>['unblocked apertures', 'straightforward way', 'radiation pattern', 'fwhm beamwidth', 'edge taper', 'convenient expression', 'computed numerically', 'circular apertures', 'calculated using', 'aperture efficiency', 'analytic form']</t>
  </si>
  <si>
    <t>We analyze the radiation pattern from circular apertures with Gaussian electric field distribution. Patterns are calculated using the Fraunhofer diffraction integral and we obtain a convenient expression for the FWHM beamwidth as a function of the edge taper. The aperture efficiency can be calculated for blocked and unblocked apertures in analytic form. The beam efficiency must be computed numerically, but can be obtained in a straightforward way from the beamwidth. ¬© 1987 Plenum Publishing Corporation.</t>
  </si>
  <si>
    <t>International Journal of Infrared and Millimeter Waves</t>
  </si>
  <si>
    <t>100321467-60014313</t>
  </si>
  <si>
    <t>Goldsmith, Paul F.</t>
  </si>
  <si>
    <t>Amherst MA;Amherst</t>
  </si>
  <si>
    <t>University of Massachusetts Amherst;Millitech Corp</t>
  </si>
  <si>
    <t>60014313;100321467</t>
  </si>
  <si>
    <t>Goldsmith P.</t>
  </si>
  <si>
    <t>Radiation patterns of circular apertures with Gaussian illumination</t>
  </si>
  <si>
    <t>10.1007/BF01013128</t>
  </si>
  <si>
    <t>2-s2.0-0023385635</t>
  </si>
  <si>
    <t>['wanted signal', 'take place', 'suitable look', 'strong sources', 'stationary environment', 'paper develops', 'overall performance', 'highly suboptimal', 'full adaptation', 'frequency bands', 'far superior', 'direction contraints', 'conventional beamforming', 'broadband environments']</t>
  </si>
  <si>
    <t>The paper develops an adaptive antenna algorithm that is highly suboptimal and suitable for use in broadband environments. The algorithm is of the LMS beamforming type and is a variation on a frequency-domain adaptive beamformer. Processing is assumed to take place in frequency bands not exceeding one octave. In this band the complex weight vectors W//k are made a simple analytic function of FFT cell number k. The system minimizes broadband output power subject to suitable look-direction contraints. The algorithm was tested assuming constant sensor errors, full adaptation and a time-stationary environment. Broadband bearing resolution capability was found to be far superior to that with conventional beamforming. The system proved capable of steering multiple broadband nulls minus 40 to minus 60 db in depth. Algorithm degradation occurs when the system is steered at strong sources, but the overall performance is good, particularly when the wanted signal is weak.</t>
  </si>
  <si>
    <t>IEE proceedings. Part F. Communications, radar and signal processing</t>
  </si>
  <si>
    <t>Nunn, David</t>
  </si>
  <si>
    <t>Southampton</t>
  </si>
  <si>
    <t>University of Southampton</t>
  </si>
  <si>
    <t>Nunn D.</t>
  </si>
  <si>
    <t>SUBOPTIMAL FREQUENCY-DOMAIN ADAPTIVE ANTENNA PROCESSING ALGORITHM FOR BROADBAND ENVIRONMENTS.</t>
  </si>
  <si>
    <t>10.1049/ip-f-1.1987.0061</t>
  </si>
  <si>
    <t>2-s2.0-0023385655</t>
  </si>
  <si>
    <t>['¬© 1987', 'studied experimentally', 'significant increase', 'rights reserved', 'radiation characteristics', 'pattern characteristics', 'one centre', 'fed patch', 'element cross', 'electrical engineers']</t>
  </si>
  <si>
    <t>Antenna arrays | Antennas | Microstrip</t>
  </si>
  <si>
    <t>The radiation characteristics of microstrip antennas consisting of one centre-fed patch and several identical parasitic patches are studied experimentally. The configurations investigated include a five-element cross and three- and seven-element linear arrays. A significant increase in gain is obtained by using close interelement spacing, with no degradation in pattern characteristics. ¬© 1987, The Institution of Electrical Engineers. All rights reserved.</t>
  </si>
  <si>
    <t>835-837</t>
  </si>
  <si>
    <t>60026717;60026717;60032143</t>
  </si>
  <si>
    <t>24522606100;7006577375;7501501369</t>
  </si>
  <si>
    <t>Lee, R. Q.;Acosta, R.;Lee, K. F.</t>
  </si>
  <si>
    <t>Akron;Cleveland</t>
  </si>
  <si>
    <t>University of Akron;NASA Glenn Research Center</t>
  </si>
  <si>
    <t>60032143;60026717</t>
  </si>
  <si>
    <t>Lee R.Q.</t>
  </si>
  <si>
    <t>Radiation Characteristics Of Microstrip Arrays With Parasitic Elements</t>
  </si>
  <si>
    <t>10.1049/el:19870591</t>
  </si>
  <si>
    <t>2-s2.0-0023385777</t>
  </si>
  <si>
    <t>['¬© 1987', 'three degrees', 'substantially reduced', 'simple open', 'significant improvement', 'satellites occupying', 'satellite serving', 'one satellite', 'minimum spacing', 'interfering satellite', 'feed lines', 'example shows', 'electronics engineers', 'downlink interference', 'dish antenna', 'desired source', 'cannot cope', 'another satellite', '7 ¬∞,', '35 ¬∞,']</t>
  </si>
  <si>
    <t>The results of a preliminary study suggest that interference to the downlink of one geostationary satellite from that of another satellite in the adjacent orbital slot can be substantially reduced by the addition of a simple adaptive nulling system to the ground terminal antenna. Alternatively, the nulling system allows the satellites to be spaced significantly closer together with no increase in interference. Significant improvement is obtained with simple open-loop antenna pointing. The improvement is greater, however, if the adaptive antenna automatically tracks the direction of the desired source. For a dish antenna with a single receiving feed horn, the extra hardware required to provide the adaptive capability consists of two more receiving feed horns, a variable weighting device for each of the feed lines (now three in number) and the adaptive control electronics. An example shows that the minimum spacing between one satellite and an interfering satellite, consistent with certain assumed operating requirements, could be reduced from the 2.25‚óãneeded for a simple single bean antenna to 1.35¬∞, for the adaptive antenna using open loop pointing, to as little as 0.7¬∞, for the adaptive antenna using automatic pointing. The adaptive nulling also provides essentially the same protection against downlink interference from the two other satellites occupying the slots on both sides of the satellite serving the terminal. The three degrees of freedom of the postulated nulling system, however, cannot cope with three or more nearby interfering satellites. ¬© 1987 by The Institute of Electrical and Electronics Engineers, Inc.</t>
  </si>
  <si>
    <t>870-873</t>
  </si>
  <si>
    <t>Burrows, Michael L.</t>
  </si>
  <si>
    <t>Burrows M.L.</t>
  </si>
  <si>
    <t>Closer Spacing of Geostationary Satellites Through Adaptive Nulling at the Ground Terminal</t>
  </si>
  <si>
    <t>10.1109/TAP.1987.1144185</t>
  </si>
  <si>
    <t>2-s2.0-0023385990</t>
  </si>
  <si>
    <t>['¬© 1987', 'rights reserved', 'electrical engineers', 'discrete distributions', 'derived previously']</t>
  </si>
  <si>
    <t>Antenna arrays | Antennas | Difference patterns | Maximum directivity</t>
  </si>
  <si>
    <t>The discrete distributions which provide maximum difference directivity, analogous to that derived previously for continuous line sources, are considered, and some general results given. ¬© 1987, The Institution of Electrical Engineers. All rights reserved.</t>
  </si>
  <si>
    <t>780-781</t>
  </si>
  <si>
    <t>Excitations Providing Maximum Directivity for Difference Arrays of Discrete Elements</t>
  </si>
  <si>
    <t>10.1049/el:19870553</t>
  </si>
  <si>
    <t>2-s2.0-0023386042</t>
  </si>
  <si>
    <t>['tdl counterpart', 'square errors', 'proposed methods', 'paper studies', 'nonstationary environments', 'lattice realization', 'experiments seem', 'escalator realization', 'escalator filters', 'beam patterns']</t>
  </si>
  <si>
    <t>The use of adaptive multichannel lattice/escalator filters to realize a generalized sidelobe canceller is proposed. This paper studies the performances of the proposed methods and the TDL counterpart via computer simulations for both stationary and nonstationary environments. Experimental results show that the lattice/escalator realizations converge faster and yield smaller mean-square errors than the TDL counterpart. Also, experiments seem to indicate that the beam patterns of the escalator realization are the most consistent, while those of the lattice realization are more consistent than the TDL counterpart. ¬© 1987 IEEE</t>
  </si>
  <si>
    <t>759-764</t>
  </si>
  <si>
    <t>60016912-60033021;60016912;60016912</t>
  </si>
  <si>
    <t>56124562400;7006947969;56796457800</t>
  </si>
  <si>
    <t>Lee, Bong H.;Cha, Il W.;Youn, Dae H.</t>
  </si>
  <si>
    <t>Albuquerque;Seoul</t>
  </si>
  <si>
    <t>The University of New Mexico;Yonsei University</t>
  </si>
  <si>
    <t>60033021;60016912</t>
  </si>
  <si>
    <t>Lee B.H.</t>
  </si>
  <si>
    <t>Realization of a Generalized Sidelobe Canceller</t>
  </si>
  <si>
    <t>10.1109/TCS.1987.1086202</t>
  </si>
  <si>
    <t>2-s2.0-0023386123</t>
  </si>
  <si>
    <t>['wide range', 'tube revealed', 'threshold condition', 'substrate location', 'plasma produced', 'microwave plasma', 'microwave inlet', 'microwave discharge', 'magnetic fields', 'launching 2', 'impurity content', 'film depend', 'experimentally obtained', 'direct observation', 'argon gas', '20 %)']</t>
  </si>
  <si>
    <t>The characteristics of a plasma produced by launching 2.45 GHz microwave beams through a glass of pure argon gas have been studied. A direct observation of the microwave electric field with a loop antenna placed in the tube revealed that a plasma is produced at the microwave inlet. The threshold condition for a microwave discharge was experimentally obtained under a wide range of argon gas pressures and magnetic fields. The threshold gas pressure strongly decreases as the magnetic field approaches the electron cyclotron resonance (ECR) condition. By mixing SiH4 gas (20%) with argon gas, an amorphous silicon thin film can be prepared in the microwave plasma. The impurity content and the morphology of the film depend on the substrate location. ¬© 1987 IOP Publishing Ltd.</t>
  </si>
  <si>
    <t>1112-1116</t>
  </si>
  <si>
    <t>7R</t>
  </si>
  <si>
    <t>60019983;60019983;60019983;60019983-60011846</t>
  </si>
  <si>
    <t>35592137500;36927510400;7202901662;7401897596</t>
  </si>
  <si>
    <t>Fujita, Hiroharu;Handa, Hiroshi;Nagano, Masamitsu;Matsuo, Hisao</t>
  </si>
  <si>
    <t>Saga;Nagasaki</t>
  </si>
  <si>
    <t>Saga University;Nagasaki University</t>
  </si>
  <si>
    <t>60019983;60011846</t>
  </si>
  <si>
    <t>Fujita H.</t>
  </si>
  <si>
    <t>Characteristics of microwave plasma and preparation of a-si thin film</t>
  </si>
  <si>
    <t>10.1143/JJAP.26.1112</t>
  </si>
  <si>
    <t>2-s2.0-0023386132</t>
  </si>
  <si>
    <t>['significant challenge', 'recent efforts', 'phase shifters', 'new opportunity', 'limit bandwidth', 'instantaneous bandwidth', 'frequencies well', 'electronics engineers', 'component designer', 'communication provide', 'antenna beam', '10 ghz', '1 ghz']</t>
  </si>
  <si>
    <t>Wide instantaneous bandwidth phased array antennas for radar and communication provide a new opportunity for application of electronically variable time delay components. Conventional phased arrays use electronically variable phase shifters to steer the antenna beam. However, since the phase shifters do not produce the required phase shift at all frequencies, the beam scanning angle becomes a function of frequency and the instantaneous bandwidth of the antenna is limited. Ideal time delay, on the other hand, does not limit bandwidth. Practical time delay units must conform to a number of specifications which, when taken as a whole, represent a significant challenge to the component designer. A derivation of typical time delay specifications based on array antenna fundamentals is presented. Recent efforts to address the time delay problem using surface acoustic wave (SAW), microwave acoustic, and microwave magnetic technologies are reviewed. Surface acoustic wave technology is appropriate for frequencies up to 1 GHz. Bulk acoustic wave and magnetostatic delay lines operate to frequencies well over 10 GHz. The advantages and limitations of each approach are discussed. Copyright ¬© 1987 by The Institute of Electrical and Electronics Engineers, Inc.</t>
  </si>
  <si>
    <t>437-445</t>
  </si>
  <si>
    <t>IEEE Transactions on Ultrasonics, Ferroelectrics, and Frequency Control</t>
  </si>
  <si>
    <t>60001247;60001247</t>
  </si>
  <si>
    <t>7402927709;7201427801</t>
  </si>
  <si>
    <t>Webster, Richard T.;Carr, Paul H.</t>
  </si>
  <si>
    <t>Webster R.T.</t>
  </si>
  <si>
    <t>Microwave Acoustic and Magnetic Components for Phased Array Beam Steering</t>
  </si>
  <si>
    <t>10.1109/T-UFFC.1987.26964</t>
  </si>
  <si>
    <t>2-s2.0-0023386651</t>
  </si>
  <si>
    <t>['wiley company', 'wet radome', 'sidelobe levels', 'sidelobe level', 'reflector antenna', 'raindrop surface', 'rain plays', 'radome loss', 'present theory', 'predicted theoretically', 'planar radome', 'new method', 'inc .,', 'important role', 'contact angle', 'also found']</t>
  </si>
  <si>
    <t>The increase in radome loss, sidelobe levels, and cross‚Äêpolarization level in the rain plays an important role in determining antenna characteristics. These effects have been investigated at 10 GHz ‚àº 30 GHz with a reflector antenna having a planar radome, and a new method has been propsoed for deriving the radome loss in which a water‚Äêshedding property of the radome is taken into account. Raindrops on the radome form water streams that flow down onto the surface thereby increasing the loss of the vertical polarization wave. It is also found that the cross‚Äêpolarization level generated by a wet radome is less than ‚àí40 dB. The sidelobe level is not increased and the paraxial radiation pattern is not changed by a wet radome but it is lowered as a whole. In the present theory, the contact angle of a raindrop surface with a radome surface determines the condition of the wet radome surface and this angle was predicted theoretically by using measured radome loss. Copyright ¬© 1987 Wiley Periodicals, Inc., A Wiley Company</t>
  </si>
  <si>
    <t>119-126</t>
  </si>
  <si>
    <t>117293235;60025555;60025555</t>
  </si>
  <si>
    <t>57191016093;7403145974;35564404500</t>
  </si>
  <si>
    <t>Kondou, Manabu;Fukuda, Shigeru;Kagoshima, Kenichi</t>
  </si>
  <si>
    <t>Tokyo;Kimitsu</t>
  </si>
  <si>
    <t>Nippon Telegraph and Telephone Corporation;Telecommunications Satellite Corporation of Japan</t>
  </si>
  <si>
    <t>60025555;117293235</t>
  </si>
  <si>
    <t>Kondou M.</t>
  </si>
  <si>
    <t>Radiation characteristics of reflector antenna with radome at 10‚àº30 GHz in rainy conditions</t>
  </si>
  <si>
    <t>10.1002/ecja.4410700813</t>
  </si>
  <si>
    <t>2-s2.0-0023387362</t>
  </si>
  <si>
    <t>['¬© 1987', 'systems designed', 'sidelobe performance', 'rights reserved', 'produce beams', 'nonsymmetrical main', 'electrical engineers', 'beam capability', 'antennas suitable', '300 wavelengths']</t>
  </si>
  <si>
    <t>An investigation into the multiple-beam capability of offset antennas using circularly symmetric main reflectors is described. The efficiency and sidelobe performance of systems designed to produce beams up to 4-6¬∞ either side of boresight with reflector diameters ranging from 100 to 300 wavelengths are shown to make the antennas suitable for multiple-satellite-access earth stations. Comparison is made with a nonsymmetrical main-reflector antenna designed for the same requirements. ¬© 1987, The Institution of Electrical Engineers. All rights reserved.</t>
  </si>
  <si>
    <t>888-890</t>
  </si>
  <si>
    <t>Offset dual-reflector multiple-beam antennas using circularly symmetric main reflectors</t>
  </si>
  <si>
    <t>10.1049/el:19870628</t>
  </si>
  <si>
    <t>2-s2.0-0023387377</t>
  </si>
  <si>
    <t>['¬© 1987', 'rights reserved', 'printed elements', 'electrical engineers', 'dielectric substrate', 'analytical expression']</t>
  </si>
  <si>
    <t>An analytical expression for the directivity is derived for uniformly excited linear arrays of rectangular printed antennas. Each antenna is assumed to radiate as two identical slots with a spacing which depends on the dielectric substrate. The directivity is plotted against distance between printed elements for two dielectric substrates, PTFE and alumina. ¬© 1987, The Institution of Electrical Engineers. All rights reserved.</t>
  </si>
  <si>
    <t>897-899</t>
  </si>
  <si>
    <t>Daniel, J. P.</t>
  </si>
  <si>
    <t>Universite de Rennes 1</t>
  </si>
  <si>
    <t>Daniel J.</t>
  </si>
  <si>
    <t>Directivity of linear microstrip arrays</t>
  </si>
  <si>
    <t>10.1049/el:19870634</t>
  </si>
  <si>
    <t>2-s2.0-0023387558</t>
  </si>
  <si>
    <t>['wiley company', 'true sources', 'square cylinder', 'sources taking', 'source arrangement', 'simple method', 'scattering pattern', 'scattering body', 'scattered wave', 'results show', 'residual error', 'paper treats', 'numerical calculations', 'making use', 'linear combination', 'line source', 'inc .,', 'fundamental properties', 'fictitious sources', 'exact solution', 'elliptic cylinder', 'comformal mapping', 'boundary condition', 'arranged inside']</t>
  </si>
  <si>
    <t>In the charge simulation method, the scattered wave is represented by a linear combination of electromagnetic waves radiated from fictitious sources which are arranged inside the scattering body. The singularities of the scattered wave are the true sources from which the scattered wave is radiated. Therefore, the arrangement of fictitious sources will be affected by the location of singularities of the exact solution. This paper treats the scattering by a perfectly conducting cylinder of electromagnetic waves radiated from a line source. Singularities of the exact solution are located by a simple method, making use of the comformal mapping. An arrangement of sources taking the location of singularities into consideration is proposed. Numerical calculations of the residual error of the boundary condition are performed for an elliptic cylinder. The results show the effectiveness of the source arrangement. Calculations of the electric field distribution and scattering pattern are done by making use of the arrangement for an elliptic cylinder and a square cylinder. The fundamental properties of the line source scattering are clarified. Copyright ¬© 1987 Wiley Periodicals, Inc., A Wiley Company</t>
  </si>
  <si>
    <t>109-118</t>
  </si>
  <si>
    <t>Komiyama, Akira</t>
  </si>
  <si>
    <t>Meiji University</t>
  </si>
  <si>
    <t>Komiyama A.</t>
  </si>
  <si>
    <t>Arrangement of sources in the charge simulation method and singularities of solutions of the helmholtz equation. Scattering by a perfectly conducting cylinder of electromagnetic waves radiated from a line source</t>
  </si>
  <si>
    <t>10.1002/ecja.4410700812</t>
  </si>
  <si>
    <t>2-s2.0-0023389420</t>
  </si>
  <si>
    <t>['¬© 1987', 'successfully scanned', 'rights reserved', 'preliminary measurements', 'endfire action', 'electrical engineers', 'array designed']</t>
  </si>
  <si>
    <t>Endfire action with a very wide-bandwidth, low-profile antenna array has not yet been achieved. After showing that a conventional microstrip log-periodic array cannot be successfully scanned from broadside to endfire, a new configuration involving quarter-wavelength shorted patches is described. First-order theory indicates that good endfire action should be possible, and this is confirmed by preliminary measurements on an array designed for a 25% bandwidth. Radiation pattern control is seen to be the most critical performance parameter. ¬© 1987, The Institution of Electrical Engineers. All rights reserved.</t>
  </si>
  <si>
    <t>912-913</t>
  </si>
  <si>
    <t>60009658;60103092</t>
  </si>
  <si>
    <t>57213425197;7004966765</t>
  </si>
  <si>
    <t>Hall, P. S.;Sparrow, A.</t>
  </si>
  <si>
    <t>United Kingdom;United Kingdom</t>
  </si>
  <si>
    <t>Romsey;Swindon</t>
  </si>
  <si>
    <t>Roke Manor Research Limited;Defence College of Management and Technology</t>
  </si>
  <si>
    <t>60103092;60009658</t>
  </si>
  <si>
    <t>Microstrip log-periodic antenna array with endfire beam</t>
  </si>
  <si>
    <t>10.1049/el:19870644</t>
  </si>
  <si>
    <t>2-s2.0-0023389777</t>
  </si>
  <si>
    <t>['¬© 1987', 'rights reserved', 'reduced efficiency', 'order estimates', 'modified implementation', 'large arrays', 'electrical engineers', 'efficiency improvement', 'also given', '10 db']</t>
  </si>
  <si>
    <t>Antenna radiation patterns | Antennas | Microstrip arrays</t>
  </si>
  <si>
    <t>Feed radiation effects in microstrip patch arrays with coplanar feed networks result in increased sidelobe levels and reduced efficiency. A modified implementation of the sequential rotation feed principle is used to reduce feed radiation. Computed results confirmed by measurements show sidelobe reduction of up to 10 dB. First-order estimates of efficiency improvement in large arrays are also given. ¬© 1987, The Institution of Electrical Engineers. All rights reserved.</t>
  </si>
  <si>
    <t>877-878</t>
  </si>
  <si>
    <t>Feed radiation effects in sequentially rotated microstrip patch arrays</t>
  </si>
  <si>
    <t>10.1049/el:19870620</t>
  </si>
  <si>
    <t>2-s2.0-0023391721</t>
  </si>
  <si>
    <t>['¬© 1987', 'technique offers', 'specular reflections', 'rights reserved', 'perfect blazing', 'normal incidence', 'inexpensive method', 'electrical engineers', 'developed system', 'corrugated horns', 'conducting surface', 'also provided']</t>
  </si>
  <si>
    <t>Electromagnetic waves | Reflection gratings | Scattering</t>
  </si>
  <si>
    <t>The development of reflector-backed strip gratings exhibiting properties like the elimination of specular reflections from a conducting surface for normal and near-normal incidence is reported. This is not possibly by conventional corrugated metallic surfaces. Perfect blazing to n= ‚Äî 1 spectral order is also provided by the developed system. This technique offers a simple and inexpensive method for the simulation of corrugated horns. ¬© 1987, The Institution of Electrical Engineers. All rights reserved.</t>
  </si>
  <si>
    <t>905-906</t>
  </si>
  <si>
    <t>60031544;60031544;60031544</t>
  </si>
  <si>
    <t>7005956560;7004362848;56259735900</t>
  </si>
  <si>
    <t>Jose, K. A.;Aanandan, C. K.;Nair, K. G.</t>
  </si>
  <si>
    <t>Kochi</t>
  </si>
  <si>
    <t>Cochin University of Science and Technology</t>
  </si>
  <si>
    <t>Jose K.</t>
  </si>
  <si>
    <t>Low backscattered tm-polarised strip gratings</t>
  </si>
  <si>
    <t>10.1049/el:19870639</t>
  </si>
  <si>
    <t>2-s2.0-0023392318</t>
  </si>
  <si>
    <t>['wiley company', 'simply expressed', 'satellite mission', 'paper describes', 'optimized conditions', 'optimization method', 'onboard transponders', 'linear combination', 'inc .,', 'great importance', 'dissipation power', 'design parameters', 'aquivalent weight']</t>
  </si>
  <si>
    <t>Optimization of system design parameters, such as onboard antenna diameter, number of beams, and number of onboard transponders, is of great importance to decide system capacity of subscribers in a multi‚Äêbeam mobile satellite communication system. This paper describes an optimization method of important system design parameters to maximize system capacity of subscribers under limited weight budget and dissipation power of satellite mission and limited service area. First, the concept of aquivalent weight, which is defined by a linear combination of weight and dissipation power of satellite mission is proposed. Next, the optimization of above design parameters, giving the maximum system capacity of subscribers, is made under the constant equivalent weight of the total satellite mission. As a result, it is found that the optimized conditions are simply expressed and universal. Copyright ¬© 1987 Wiley Periodicals, Inc., A Wiley Company</t>
  </si>
  <si>
    <t>99-108</t>
  </si>
  <si>
    <t>7003420952;7201679872;7101894509</t>
  </si>
  <si>
    <t>Hagiwara, Eiji;Yasuda, Yoshiyuki;Mishima, Hiraku</t>
  </si>
  <si>
    <t>Hagiwara E.</t>
  </si>
  <si>
    <t>Optimized equivalent‚Äêweight budget design of communication satellite in multibeam mobile satellite communication system</t>
  </si>
  <si>
    <t>10.1002/ecja.4410700811</t>
  </si>
  <si>
    <t>2-s2.0-0023395618</t>
  </si>
  <si>
    <t>['wave incidence', 'slot antenna', 'receiving performance', 'received power', 'random models', 'polarized waves', 'limited angles', 'experimental results', 'electronics engineers', 'combined reception', 'analysis shows', 'actual environment']</t>
  </si>
  <si>
    <t>The receiving performance of UHF portable equipment with a bent-slot antenna is studied on the basis of experimental results. The received power increase in the experiment is analyzed by applying the ray and random models to urban area structures. The analysis shows that the bent-slot antenna designed with both vertical and horizontal polarization components has contributed to an increase in received power for some limited angles of wave incidence, as a result of combined reception of cross-polarized waves in an actual environment. Copyright ¬© 1987 by The Institute of Electrical and Electronics Engineers, Inc.</t>
  </si>
  <si>
    <t>129-134</t>
  </si>
  <si>
    <t>Uhf bent-slot antenna system for portable equipment-ii: Receiving performance in urban areas</t>
  </si>
  <si>
    <t>10.1109/T-VT.1987.24110</t>
  </si>
  <si>
    <t>2-s2.0-0023396573</t>
  </si>
  <si>
    <t>['unique advantage', 'several reasons', 'receiving antenna', 'reaction equipment', 'radiation pressures', 'program initialise', 'pointing coordinates', 'large drifts', 'geostationary satellites', 'fixed field', 'electronics engineers', 'computer program', 'accurate firing']</t>
  </si>
  <si>
    <t>Geostationary satellites have the unique advantage of having a fixed field of view. However, these satellites inevitably drift from their allotted orbital positions due to several reasons. For example, solar, lunar and non uniform earth gravity and radiation pressures. Large drifts are corrected by the accurate firing of reaction equipment on board of the satellite in order to keep it on station. The uncorrected small drifts can affect the quality of the reception of signals from the satellite. In this paper a computer program is presented which controls the pointing coordinates of the receiving antenna to receive maximum signal strength from the satellite. The program initialise itself after some hours of operation and it recognises ‚Äúrain events‚Äù and period of low intensity showers by a raingauge. Copyright ¬© 1985 by The Institute of Electrical and Electronics Engineers, Inc.</t>
  </si>
  <si>
    <t>CE-33</t>
  </si>
  <si>
    <t>IEEE Transactions on Consumer Electronics</t>
  </si>
  <si>
    <t>Holleboom, K. G.</t>
  </si>
  <si>
    <t>Holleboom K.</t>
  </si>
  <si>
    <t>Self-Learning step track system to point an antenna at a geostationary satellite using a PC</t>
  </si>
  <si>
    <t>10.1109/TCE.1987.290224</t>
  </si>
  <si>
    <t>2-s2.0-0023397898</t>
  </si>
  <si>
    <t>['two components', 'second time', 'scattering cross', 'scattered radiation', 'procedure used', 'modulation frequency', 'minimum disturbance', 'measured fields', 'coherently detecting', 'coherently detected', 'band frequencies', 'apparatus uses']</t>
  </si>
  <si>
    <t>Apparatus for measuring the amplitudes and phases of two components of the electric vector E in free-space microwave fields at X-band frequencies is described. The apparatus uses a small compound scatterer consisting of crossed dipoles loaded by phototransistors. These allow the scattering cross-sections of the dipoles to be modulated by optical signals guided to the scatterer along optical fibers. The scattered radiation is picked up by a remote receiver antenna and coherently detected to determine its amplitude and coherently detecting for a second time at the modulation frequency, two different components of E are measured. This enables precise information about polarization to be obtained with minimum disturbance to the measured fields. The procedure used to calibrate the compound modulated scatterer measuring system is discussed and some sample field measurements presented.</t>
  </si>
  <si>
    <t>350-356</t>
  </si>
  <si>
    <t>Aug</t>
  </si>
  <si>
    <t>Hajnal, J. V.</t>
  </si>
  <si>
    <t>Bristol</t>
  </si>
  <si>
    <t>University of Bristol</t>
  </si>
  <si>
    <t>Hajnal J.</t>
  </si>
  <si>
    <t>COMPOUND MODULATED SCATTERER MEASURING SYSTEM.</t>
  </si>
  <si>
    <t>10.1049/ip-h-2.1987.0069</t>
  </si>
  <si>
    <t>2-s2.0-0023399063</t>
  </si>
  <si>
    <t>['simplified procedure', 'resulting uncertainties', 'probe admittance', 'network analyser', 'lossy materials', 'line probe', 'experimental measurements', 'error correction', 'ended coaxial', 'determined using', 'circuit models', 'bilinear transform', '6 ghz', '50 mhz']</t>
  </si>
  <si>
    <t>The paper is concerned with the use of an open-ended coaxial-line probe for making dielectric measurements on lossy materials. The input reflection coefficient of the probe is measured with a network analyser, and the permittivity is determined using an approximate circuit model for the probe admittance. Applying the cross-ratio invariance property of the bilinear transform to two such circuit models, we derive a simplified procedure that permits simultaneous calibration of the probe and error correction of the network analyser. Estimates of the resulting uncertainties are given, and the technique is illustrated with experimental measurements on known dielectric liquids, between 50 MHz and 2. 6 GHz.</t>
  </si>
  <si>
    <t>341-349</t>
  </si>
  <si>
    <t>60120016;60120016</t>
  </si>
  <si>
    <t>7003704735;36184993700</t>
  </si>
  <si>
    <t>Marsland, T. P.;Evans, S.</t>
  </si>
  <si>
    <t>Department of Engineering</t>
  </si>
  <si>
    <t>Marsland T.</t>
  </si>
  <si>
    <t>Dielectric measurements with an open-ended coaxial probe</t>
  </si>
  <si>
    <t>10.1049/ip-h-2.1987.0068</t>
  </si>
  <si>
    <t>2-s2.0-0023399936</t>
  </si>
  <si>
    <t>['suitable dual', 'radiating feed', 'polarization levels', 'mode radiator', 'matching method', 'low sidelobe', 'electromagnetic model', 'developed using']</t>
  </si>
  <si>
    <t>For high-efficiency reflector antennas, it is important that the primary radiation pattern of the radiating feed should have complete bandwidth equalization with low sidelobe and cross-polarization levels. One such feed is the dual-mode circular waveguide loaded with a short dielectric sleeve. An electromagnetic model of the dielectric-sleeve-loaded circular waveguide is developed using the modal-matching method. The numerical results obtained from the model are verified experimentally wherever appropriate and are applied to the design of a suitable dual-mode radiator.</t>
  </si>
  <si>
    <t>369-374</t>
  </si>
  <si>
    <t>60017161;60017161;60017161</t>
  </si>
  <si>
    <t>7102006113;7005978720;7101872194</t>
  </si>
  <si>
    <t>Leong, M. S.;Koo, P. S.;Yeo, S. P.</t>
  </si>
  <si>
    <t>Singapore</t>
  </si>
  <si>
    <t>Singapore City</t>
  </si>
  <si>
    <t>National University of Singapore</t>
  </si>
  <si>
    <t>Leong M.</t>
  </si>
  <si>
    <t>MODAL ANALYSIS OF DIELECTRIC-SLEEVE-LOADED CIRCULAR WAVEGUIDE FOR DUAL-MODE RADIATOR APPLICATIONS.</t>
  </si>
  <si>
    <t>10.1049/ip-h-2.1987.0072</t>
  </si>
  <si>
    <t>2-s2.0-0023400112</t>
  </si>
  <si>
    <t>['many features', 'infrared radiation', 'flexibly interconnecting', 'electronics engineers', '30 meters']</t>
  </si>
  <si>
    <t>Infrared radiation has many features that are useful for flexibly interconnecting a cluster of terminals located within a range of about 30 meters. Copyright ¬© 1987 by The Institute of Electrical and Electronics Engineers, Inc.</t>
  </si>
  <si>
    <t>7401775859;7006813926</t>
  </si>
  <si>
    <t>Chu, T. S.;Gans, M. J.</t>
  </si>
  <si>
    <t>Chu T.</t>
  </si>
  <si>
    <t>High Speed Infrared Local Wireless Communication</t>
  </si>
  <si>
    <t>10.1109/MCOM.1987.1093675</t>
  </si>
  <si>
    <t>2-s2.0-0023400426</t>
  </si>
  <si>
    <t>Acampora, A. S.;Winters, J. H.</t>
  </si>
  <si>
    <t>Acampora A.S.</t>
  </si>
  <si>
    <t>System Applications for Wireless Indoor Communications</t>
  </si>
  <si>
    <t>10.1109/MCOM.1987.1093657</t>
  </si>
  <si>
    <t>2-s2.0-0023401378</t>
  </si>
  <si>
    <t>['theoretical multiple', 'planar arrays', 'mutual coupling', 'lens ports', 'design equations', 'beam patterns', '12 ghz']</t>
  </si>
  <si>
    <t>Design equations are presented for three-dimensional (volumetric) multiple-beam forming lenses for planar arrays. The minimum lens size for given array dimensions is derived. Theoretical multiple-beam patterns are predicted for a particular lens configuration, using flared waveguide ports, feeding a 37-element planar array. This lens has been constructed and tested, operating over the frequency band 8-12 GHz, and the results with theory in most respects. Mutual coupling between lens ports has an influence on the lens insertion loss.</t>
  </si>
  <si>
    <t>375-385</t>
  </si>
  <si>
    <t>60022148;60022148</t>
  </si>
  <si>
    <t>7004717296;55698377500</t>
  </si>
  <si>
    <t>Sole, G. C.;Smith, M. S.</t>
  </si>
  <si>
    <t>Sole G.</t>
  </si>
  <si>
    <t>MULTIPLE BEAM FORMING FOR PLANAR ANTENNA ARRAYS USING A THREE-DIMENSIONAL ROTMAN LENS.</t>
  </si>
  <si>
    <t>10.1049/ip-h-2.1987.0073</t>
  </si>
  <si>
    <t>2-s2.0-0023401411</t>
  </si>
  <si>
    <t>['¬© 1987', 'two microbatteries', 'rights reserved', 'realized measurement', 'power unit', 'main carrier', 'japanese society', 'intracranial pressure', 'dura mater', 'clinical applications', 'biological engineering', 'alumina substrate', 'allow contact', '80mhz band', '8 cases', '24 khz', '14mm dia']</t>
  </si>
  <si>
    <t>An implantable telemetry epidural pressure sensor has been developed to monitor the intracranial pressure (ICP) after an operation in the field of cerebro-surgery. This sensor is embedded under the scalp to measure the Intracranial pressure on dura mater. This sensor has microbatteries, operates on FM-FM active telemetry using a semiconductor pressure sensor at the pressure receiving area. A subcarrier of 24 kHz and the main carrier on 80MHz band are generated on both surfaces of a 14mm dia. alumina substrate. The power unit has two microbatteries. A reed switch installed at the top of the sensor is operated by an external magnetic field only when a monitoring. An antenna is embedded under the scalp to allow contact with the body. Experiments on dogs and 8 cases of clinical applications were made and realized measurement of ICP with nonrestriction. ¬© 1987, Japanese Society for Medical and Biological Engineering. All rights reserved.</t>
  </si>
  <si>
    <t>205-212</t>
  </si>
  <si>
    <t>Japanese journal of medical electronics and biological engineering</t>
  </si>
  <si>
    <t>117708652;117708652;117708652;117708652;117708505;108130192</t>
  </si>
  <si>
    <t>7202836836;7402144840;23021914100;35887515500;6701652834;7101709139</t>
  </si>
  <si>
    <t>Inagaki, Hazime;Ishihara, Toshikazu;Igarashi, Isemi;Kitano, Tomoyuki;Ikeyama, Atushi;Furuse, Masahiro</t>
  </si>
  <si>
    <t>;;Nakatsugawa, Gifu</t>
  </si>
  <si>
    <t>Toyota R &amp; D Labs;Junwa Hospital;Nakatsugawa Municipal General Hospital</t>
  </si>
  <si>
    <t>117708652;117708505;108130192</t>
  </si>
  <si>
    <t>Inagaki H.</t>
  </si>
  <si>
    <t>Development of Telemetric ICP Transducer</t>
  </si>
  <si>
    <t>10.11239/jsmbe1963.25.205</t>
  </si>
  <si>
    <t>2-s2.0-0023403139</t>
  </si>
  <si>
    <t>['¬© 1987', 'simple algorithm', 'rights reserved', 'require inversion', 'received signals', 'electrical engineers', 'covariance matrix']</t>
  </si>
  <si>
    <t>Adaptive arrays | Antenna arrays | Antennas | Signal processing</t>
  </si>
  <si>
    <t>A simple algorithm is presented which does not require inversion of the covariance matrix of received signals. Besides computational simplicity, it has the advantage of reducing the sensitivity to beam pointing error. ¬© 1987, The Institution of Electrical Engineers. All rights reserved.</t>
  </si>
  <si>
    <t>60032144;60032144</t>
  </si>
  <si>
    <t>56173202400;7006884400</t>
  </si>
  <si>
    <t>Choi, Y. H.;Ra, J. W.</t>
  </si>
  <si>
    <t>South Korea</t>
  </si>
  <si>
    <t>Daejeon</t>
  </si>
  <si>
    <t>Korea Advanced Institute of Science and Technology</t>
  </si>
  <si>
    <t>Choi Y.</t>
  </si>
  <si>
    <t>Simple adaptive algorithm for rejection of interference</t>
  </si>
  <si>
    <t>10.1049/el:19870726</t>
  </si>
  <si>
    <t>2-s2.0-0023403880</t>
  </si>
  <si>
    <t>['transponders implanted', 'small dipole', 'sector antenna', 'resonant frequency', 'limiting factor', 'design employs', 'ceramic material', 'antenna orientation', 'anesthetized rats']</t>
  </si>
  <si>
    <t>Batteryless temperature transponders have been constructed and tested. The design employs a sensing element consisting of a miniature cavity resonator loaded with a ceramic material of high dielectric constant and large temperature coefficient of resonant frequency. This is connected by thin coaxial cable to a small dipole or sector antenna. Prototypes with sensors 3 mm in diameter have been fabricated and can resolve temperature differences of 0.1¬∞C in air. Signals have been obtained from transponders implanted in anesthetized rats, but antenna orientation is a critical and limiting factor that will require further efforts before a system is capable of operating in freely roaming animals. ¬© 1987 IEEE</t>
  </si>
  <si>
    <t>754-757</t>
  </si>
  <si>
    <t>BME-34</t>
  </si>
  <si>
    <t>IEEE Transactions on Biomedical Engineering</t>
  </si>
  <si>
    <t>60002847;60021439;60021439</t>
  </si>
  <si>
    <t>7102456339;7004721662;7103036947</t>
  </si>
  <si>
    <t>Baumann, Stephen B.;Joines, William T.;Berman, Ezra</t>
  </si>
  <si>
    <t>Washington, D.C.;Research Triangle Park</t>
  </si>
  <si>
    <t>United States Environmental Protection Agency;Northrop Services Inc., North Carolina</t>
  </si>
  <si>
    <t>60021439;60002847</t>
  </si>
  <si>
    <t>Baumann S.</t>
  </si>
  <si>
    <t>Feasibility Study of Batteryless Temperature Transponders Using Miniature Microwave Cavity Resonators</t>
  </si>
  <si>
    <t>10.1109/TBME.1987.326002</t>
  </si>
  <si>
    <t>2-s2.0-0023410997</t>
  </si>
  <si>
    <t>['¬© 1987', 'two layers', 'rights reserved', 'relatively high', 'pattern shape', 'impedance bandwidth', 'gain region', 'experimental results', 'electrical engineers', '37 œª0', '31 œª0']</t>
  </si>
  <si>
    <t>Antennas</t>
  </si>
  <si>
    <t>Experimental results on the characteristics of a two-layer electromagnetically coupled rectangular patch antenna are presented. The variations of pattern shape, 3 dB beamwidth and impedance bandwidth with spacing s between the two layers are studied for s between 0 and 0.37 Œª0. A relatively high-gain region is found for s between 0.31 Œª0 and 0.37 Œª0. ¬© 1987, The Institution of Electrical Engineers. All rights reserved.</t>
  </si>
  <si>
    <t>1070-1072</t>
  </si>
  <si>
    <t>60026717;60032143;60032143</t>
  </si>
  <si>
    <t>24522606100;7501501369;6506472851</t>
  </si>
  <si>
    <t>Lee, R. Q.;Lee, K. F.;Bobinchak, J.</t>
  </si>
  <si>
    <t>Lee R.</t>
  </si>
  <si>
    <t>Characteristics of a two-layer electromagnetically coupled rectangular patch antennass</t>
  </si>
  <si>
    <t>10.1049/el:19870748</t>
  </si>
  <si>
    <t>2-s2.0-0023411482</t>
  </si>
  <si>
    <t>['¬© 1987', 'servicing operation', 'rear side', 'positioning aid', 'payload mass', 'mechanically attached', 'hermes wing', 'follows :.', 'figure 1', 'diam .)', 'cargo bay', '1 3']</t>
  </si>
  <si>
    <t>It has been demonstrated that HERMES with a cargo bay configuration as depicted in figure 1 (5 m length, 3 m diam.) with Handling and Positioning Aid (HPA) and HERMES Robotic Arm (HERA) is capable to service a small platform like EURECA, which is an NSTS quarter payload. Only 1 3 of the HERMES cargo bay volume and payload mass is required for the accommodation of the payload Orbital Replaceable Units. By implementing two additional hydrazine tanks refuelling can be avoided for a two-years EURECA mission. The overall servicing configuration is described as follows:. The European Retrievable Carrier EURECA-B is mechanically attached through its -y-side sill trunnion to the HERMES berthing port. The HERMES cargo bay doors with radiators are opened and oriented to earth. The HERMES Robotic Arm is equipped with a Module Service Tool (MST) ready for Orbital Replaceable Unit (ORU) exchange. The HERMES berthing port is located at the rear side of the cargo bay in order to achieve best visibility, clearance and accessibility of the HERMES Robotic Arm operation within the cargo bay and the EURECA payload area. The EURECA solar arrays and antennas remain deployed. During the servicing operation, power will be provided by the fully deployed solar arrays. In order to minimize the plume impingement effect, the solar array edge is directed to the HERMES wing. ¬© 1987.</t>
  </si>
  <si>
    <t>713-718</t>
  </si>
  <si>
    <t>60086226;60086226;60086226</t>
  </si>
  <si>
    <t>6603480917;6602177857;24406672300</t>
  </si>
  <si>
    <t>Kerstein, L.;Dettmer, J.;Rath, W.</t>
  </si>
  <si>
    <t>Bremen</t>
  </si>
  <si>
    <t>ERNO Raumfahrttechnik GmbH</t>
  </si>
  <si>
    <t>Kerstein L.</t>
  </si>
  <si>
    <t>European retrievable carrier Eureca servicing by Hermes</t>
  </si>
  <si>
    <t>0094-5765(87)90145-7</t>
  </si>
  <si>
    <t>10.1016/0094-5765(87)90145-7</t>
  </si>
  <si>
    <t>2-s2.0-0023412956</t>
  </si>
  <si>
    <t>['recent satellite', 'offset reflectors', 'numerical results', 'modified jacobi', 'modified algorithm', 'employ reflectors', 'elliptical apertures', 'electronics engineers', 'diffraction analysis', 'comparative study', 'circular apertures', 'bessel expansion', 'bessel algorithm', 'also performed']</t>
  </si>
  <si>
    <t>Although many reflector antennas possess circular projected apertures, there are recent satellite and ground antenna applications for which it is desirable to employ reflectors with elliptical apertures. Here a modification of the Jacobi-Bessel expansion is presented for the diffraction analysis of reflectors with elliptical apertures. A comparative study is also performed between this modified Jacobi-Bessel algorithm and the one which uses the Jacobi-Bessel expansion over a circumscribing circular region. Numerical results are presented for offset reflectors with elliptical and circular apertures and the improved convergence properties of the modified algorithm are highlighted. Copyright ¬© 1987 by The Institute of Electrical and Electronics Engineers, Inc.</t>
  </si>
  <si>
    <t>1070-1074</t>
  </si>
  <si>
    <t>Rahmat-Samii, Yahya</t>
  </si>
  <si>
    <t>Jacobi-Bessel Analysis of Reflector Antennas with Elliptical Apertures</t>
  </si>
  <si>
    <t>10.1109/TAP.1987.1144222</t>
  </si>
  <si>
    <t>2-s2.0-0023415765</t>
  </si>
  <si>
    <t>['signal parameter', 'phase modulation', 'noise ratio', 'modulation index', 'modulation frequency', 'interference signal', 'finite bandwidth', 'electronics engineers', 'arrival angle', 'adaptive array']</t>
  </si>
  <si>
    <t>We consider a least mean square (LMS) adaptive array [1] receiving a phase modulated interference signal. The phase modulation is assumed to be periodic and to have finite bandwidth. Under these assumptions, we determine the time-varying array weights, the modulation on the array output desired signal, and the time-varying output interference-to-noise ratio (INR) and SINR (signal-to-interference-plus-noise ratio). We present numerical results describing the behavior of a 2-element adaptive array that receives an interference signal with sinusoidal phase modulation. We show how each signal parameter (arrival angle, power, modulation index, and modulation frequency) affects the performance of the array. Copyright ¬© 1987 by The Institute of Electrical and Electronics Engineers, Inc.</t>
  </si>
  <si>
    <t>602-611</t>
  </si>
  <si>
    <t>60013183;60003500</t>
  </si>
  <si>
    <t>6602488659;35611381200</t>
  </si>
  <si>
    <t>Al-Ruwais, Abdulaziz S.;Compton, R. T.</t>
  </si>
  <si>
    <t>Saudi Arabia;United States</t>
  </si>
  <si>
    <t>Riyadh;Columbus</t>
  </si>
  <si>
    <t>King Saud University;The Ohio State University</t>
  </si>
  <si>
    <t>Al-Ruwais A.S.</t>
  </si>
  <si>
    <t>Adaptive Array Behavior with Periodic Phase Modulated Interference</t>
  </si>
  <si>
    <t>10.1109/TAES.1987.310853</t>
  </si>
  <si>
    <t>2-s2.0-0023415905</t>
  </si>
  <si>
    <t>['waveguide constructively', 'two modes', 'supported rear', 'radiation pattern', 'practical model', 'polar sidelobes', 'new self', 'model shows', 'hat antenna', 'feed instead', 'electronics engineers', 'axial waveguide', 'analytical model', '81 percent', '30 db']</t>
  </si>
  <si>
    <t>The hat antenna is a new self-supported rear-radiating waveguide feed, related to existing feeds known as splashplate and waveguide cup antennas. An analytical model for the radiation pattern of the hat antenna, a model which includes the axial waveguide itself is presented. This model shows that by exciting the feed with two modes it is possible to use the waveguide constructively as one of the dominant radiating parts of the feed instead of having to live with it as an undesirable blockage effect. Thereby aperture efficiencies up to 81 percent and cross-polar sidelobes down to -30 dB are available. The results are confirmed by measurements on a practical model, but the bandwidth is narrow. Copyright ¬© 1987 by The Institute of Electrical and Electronics Engineers, Inc.</t>
  </si>
  <si>
    <t>1010-1016</t>
  </si>
  <si>
    <t>Kildal, Per Simon</t>
  </si>
  <si>
    <t>Kildal P.S.</t>
  </si>
  <si>
    <t>The Hat Feed: A Dual-Mode Rear-Radiating Waveguide Antenna Having Low Cross Polarization</t>
  </si>
  <si>
    <t>10.1109/TAP.1987.1144221</t>
  </si>
  <si>
    <t>2-s2.0-0023415908</t>
  </si>
  <si>
    <t>U of M</t>
  </si>
  <si>
    <t>['wide range', 'small radius', 'optimization routine', 'new sidelobes', 'moment method', 'length l', 'given number', 'electronics engineers', 'computed using', 'arbitrary locations', 'antenna length']</t>
  </si>
  <si>
    <t>The gain of a mulitply fed dipole antenna of length L, small radius a and arbitrary locations of feed voltages along the antenna is computed using the well-known moment method. An optimization routine is then employed to study the possibility of maximizing the gain in a specified angular direction and minimizing it at other directions for any given number of excitations and antenna length in order to determine the optimum complex values and location of each source. The results are presented in tables and graphs for a wide range of antenna length and number of feeds. It is shown that both the gain and beamwidth are improved by this technique at the expense of appearance of new sidelobes and requirement to design a more complicated feed network. The Fourier series expansion method is extended in order to determine the gain of a multiply fed wire antenna, and the results for the radiation pattern show good agreement with those based on the moment method. Copyright ¬© 1987 by The Institute of Electrical and Electronics Engineers, Inc.</t>
  </si>
  <si>
    <t>1001-1009</t>
  </si>
  <si>
    <t>6701492696;7103051886</t>
  </si>
  <si>
    <t>Saoudy, Saoudy A.S.;Hamid, Michael</t>
  </si>
  <si>
    <t>Saoudy S.</t>
  </si>
  <si>
    <t>Optimal Design of Multiply Fed Dipole Antennas</t>
  </si>
  <si>
    <t>10.1109/TAP.1987.1144215</t>
  </si>
  <si>
    <t>2-s2.0-0023415963</t>
  </si>
  <si>
    <t>DAAG-29-85-K-0180</t>
  </si>
  <si>
    <t>['well adapted', 'various quasi', 'true gaussian', 'systematic approach', 'radiation properties', 'radiation integrals', 'propagation requirements', 'propagation problems', 'propagation path', 'problem area', 'physically informative', 'numerical integration', 'noted class', 'may point', 'large actual', 'high frequencies', 'gaussian beam', 'fields radiated', 'field tracking', 'favorable attributes', 'electronics engineers', 'complicated surroundings', 'complicated environments', 'complex rays', 'basis functions', 'aperture field']</t>
  </si>
  <si>
    <t>Many electromagnetic propagation problems require tracking of fields radiated by large actual or induced aperture distributions through complicated environments before reaching the observer. For a systematic approach to this problem area, it is desirable to represent the aperture field in terms of basis functions which are physically informative and well adapted to traversing the propagation path. At high frequencies, Gaussian beam-type basis functions meet these requirements. After referring to a rigorous aperture discretization scheme, various quasi-Gaussian basis field profiles are examined, with a special view toward expressing their radiation properties in terms of complex rays; complex ray tracing is promising for field tracking in complicated surroundings. By comparing reference solutions from numerical integration of radiation integrals with complex ray asymptotics, it is concluded that the true Gaussian has the most favorable attributes for matching aperture discretization, propagation requirements, and complex ray tracing. Thus, the analysis here may point the way toward systematic treatment of the above-noted class of propagation problems. Copyright ¬© 1987 by The Institute of Electrical and Electronics Engineers, Inc.</t>
  </si>
  <si>
    <t>1031-1044</t>
  </si>
  <si>
    <t>60022403;60022403;60108318</t>
  </si>
  <si>
    <t>35614064400;6505911458;56883021600</t>
  </si>
  <si>
    <t>Einziger, Pinchas D.;Haramaty, Y.;Felsen, Leopold B.</t>
  </si>
  <si>
    <t>United States;Israel</t>
  </si>
  <si>
    <t>New York;Haifa</t>
  </si>
  <si>
    <t>NYU Tandon School of Engineering;Technion - Israel Institute of Technology</t>
  </si>
  <si>
    <t>60108318;60022403</t>
  </si>
  <si>
    <t>Einziger P.D.</t>
  </si>
  <si>
    <t>Complex Rays for Radiation from Discretized Aperture Distributions</t>
  </si>
  <si>
    <t>10.1109/TAP.1987.1144219</t>
  </si>
  <si>
    <t>2-s2.0-0023416128</t>
  </si>
  <si>
    <t>['undesired radiation', 'small horns', 'novel typed', 'lower weight', 'lower price', 'electronics engineers', 'corrugated horn']</t>
  </si>
  <si>
    <t>A novel typed of hybrid-mode feed horn is presented. It comprises a hollow conical dielectric waveguide whose outer surface is metallized, and whose inner surface is coated with circumferentially oriented conducting strips. It may be designed to have mimimal cross polarization at two arbitrarily separated frequencies, as for a dual depth corrugated horn. Compared to the corrugated horn, it has the potential of lower weight and lower price. Small horns will have some cross polarization due to undesired radiation from the fields transmitted within the dielectric. Copyright ¬© 1987 by The Institute of Electrical and Electronics Engineers, Inc.</t>
  </si>
  <si>
    <t>1086-1089</t>
  </si>
  <si>
    <t>60013141;60013141</t>
  </si>
  <si>
    <t>55884538900;6506232260</t>
  </si>
  <si>
    <t>Lier, Erik;Schaug-Pettersen, Tor</t>
  </si>
  <si>
    <t>The Strip-Loaded Hybrid-Mode Feed Horn</t>
  </si>
  <si>
    <t>10.1109/TAP.1987.1144228</t>
  </si>
  <si>
    <t>2-s2.0-0023416190</t>
  </si>
  <si>
    <t>00014-81-K- 0276</t>
  </si>
  <si>
    <t>['vlf generated', 'steerable linear', 'properties examined', 'planar array', 'pattern multiplication', 'lower ionosphere', 'low frequency', 'ionospheric dipoles', 'ionosphere waveguide', 'investigated theoretically', 'field strengths', 'element currents', 'electronics engineers', 'dipole source', 'created within', 'array geometry', 'arecibo observatory']</t>
  </si>
  <si>
    <t>A Very low frequency (VLF) or extremely low frequency (ELF) dipole source has been created within the lower ionosphere by modulating the atmospheric dynamo currents with a ground-based high power HF source from the Arecibo Observatory. The authors and their colleagues have demonstrated that ELF or VLF generated in this way and injected into the earth-ionosphere waveguide could be received a few thousand kilometers away. The injection properties due to an array of ionospheric dipoles as a function of array geometry and element currents that will allow steerable ELF/VLF radiation within the earth-ionosphere waveguide are investigated theoretically. The ionospheric array factors for a linear and a planar array of Hertzian dipole sources are developed and their properties examined. The principle of pattern multiplication is then applied to include the effect of the ionospheric array element. This provides a means for predicting the field strengths at a remote receiving site due to a steerable linear or planar array of ionospheric sources generated by high power HF periodic plasma heating. Copyright ¬© 1987 by The Institute of Electrical and Electronics Engineers, Inc.</t>
  </si>
  <si>
    <t>1022-1030</t>
  </si>
  <si>
    <t>60001439;60001439</t>
  </si>
  <si>
    <t>55925714300;7005220941</t>
  </si>
  <si>
    <t>Werner, Douglas H.;Ferraro, Anthony J.</t>
  </si>
  <si>
    <t>Werner D.</t>
  </si>
  <si>
    <t>Steerable ELF/VLF Radiation Produced by an Array of Ionospheric Dipoles Generated from HF Heating</t>
  </si>
  <si>
    <t>10.1109/TAP.1987.1144214</t>
  </si>
  <si>
    <t>2-s2.0-0023416643</t>
  </si>
  <si>
    <t>['wide slit', 'remarkable simplicity', 'order interaction', 'omnidirectional source', 'numerical results', 'method relative', 'field diffraction', 'far field', 'electronics engineers', 'diffraction patterns', 'complex position', 'beam diffraction', 'basic solution']</t>
  </si>
  <si>
    <t>The far field of a two-dimensional beam resulting from an electric line source at a complex position is described, its half-power beamwidth determined, and its validity as an antenna beam indicated. Far-field diffraction by a half-plane is then determined from an exact uniform solution for an isotropic line source by making the source position complex. The same basic solution and technique are used for beam diffraction by a wide slit, with first-order interaction between the slit edges included. Numerical results for normal incidence illustrate the evolution of the diffraction patterns from those for an omnidirectional source to those for a highly directive beam. Results for plane wave incidence by a slit also come out of this solution. The remarkable simplicity and convenience of this method relative to alternative asymptotic procedures is discussed. Copyright ¬© 1987 by The Institute of Electrical and Electronics Engineers, Inc.</t>
  </si>
  <si>
    <t>1077-1083</t>
  </si>
  <si>
    <t>60010365;60010365</t>
  </si>
  <si>
    <t>6603435010;7003354840</t>
  </si>
  <si>
    <t>Suedan, G. A.;Jull, E. V.</t>
  </si>
  <si>
    <t>Vancouver</t>
  </si>
  <si>
    <t>The University of British Columbia</t>
  </si>
  <si>
    <t>Suedan G.A.</t>
  </si>
  <si>
    <t>Two-Dimensional Beam Diffraction by a Half-Plane and Wide Slit</t>
  </si>
  <si>
    <t>10.1109/TAP.1987.1144223</t>
  </si>
  <si>
    <t>2-s2.0-0023416644</t>
  </si>
  <si>
    <t>['axial ratio']</t>
  </si>
  <si>
    <t>An effort is made to attack the problem of electromagnetic direction finding (DF) by an antenna array configured near a perfectly conducting elliptic cylinder. Over the range of interest, the cylinder has an axial ratio that varies from 1:1 to 1:30. Results for the array with three wire dipoles show the practicality of such an array.</t>
  </si>
  <si>
    <t>1164-1170</t>
  </si>
  <si>
    <t>Sep</t>
  </si>
  <si>
    <t>60015331;60015331</t>
  </si>
  <si>
    <t>35070366800;7005683394</t>
  </si>
  <si>
    <t>Siakavara, K.;Sahalos, J. N.</t>
  </si>
  <si>
    <t>Siakavara K.</t>
  </si>
  <si>
    <t>ELECTROMAGNETIC DIRECTION FINDING FROM AN ANTENNA ARRAY CONFIGURED NER ON ELLIPTIC CYLINDER.</t>
  </si>
  <si>
    <t>10.1139/p87-190</t>
  </si>
  <si>
    <t>2-s2.0-0023417909</t>
  </si>
  <si>
    <t>['small bundle', 'jammers suppressed', 'electronics engineers', 'computer simulation', 'boresight axis', 'beams centered', 'approach include']</t>
  </si>
  <si>
    <t>Using a computer simulation, we investigate the use of a small bundle of beams centered on the boresight axis to provide adaptive sidelobe cancelling. Advantages of this approach include the fact that the number of jammers suppressed is not limited to the number of adaptive loops provided. Also, the technique adapts well to the suppression of jammers over a wide frequency band. Copyright ¬© 1987 by The Institute of Electrical and Electronics Engineers, Inc.</t>
  </si>
  <si>
    <t>612-619</t>
  </si>
  <si>
    <t>White, Warren D.</t>
  </si>
  <si>
    <t>White W.D.</t>
  </si>
  <si>
    <t>A Multiple-Beam Architecture for Sidelobe Cancellers</t>
  </si>
  <si>
    <t>10.1109/TAES.1987.310854</t>
  </si>
  <si>
    <t>2-s2.0-0023417947</t>
  </si>
  <si>
    <t>['sidelobe level', 'obtained level', 'method gives', 'fully filled', 'element thinning', 'electronics engineers', 'design method', 'computation time', 'also discussed', '7 db', '5815 elements']</t>
  </si>
  <si>
    <t>The sidelobe level of a planar array antenna with equal amplitude excitation can be suppressed by element thinning. The method of element thinning employed here is a kind of multistage decision procedure or steepest descent approach. Althongh this method gives the local optimum results, the reduced sidelobe level is assured to be within the obtained level over the whole radiation region. The sidelobe level, for example, can be suppressed - 29.7 dB where the array contains 3120 elements arranged within a circular aperture capable of 5815 elements if fully filled. The computation time is also discussed, and it is shown that the computation time decreases drastically by the use of the design method. Copyright ¬© 1987 by The Institute of Electrical and Electronics Engineers, Inc.</t>
  </si>
  <si>
    <t>1017-1021</t>
  </si>
  <si>
    <t>60194529;60031126</t>
  </si>
  <si>
    <t>7102186437;7201747933</t>
  </si>
  <si>
    <t>Tsunoda, Yukitoshi;Goto, Naohisa</t>
  </si>
  <si>
    <t>Kisarazu;Tokyo</t>
  </si>
  <si>
    <t>National Institute of Technology, Kisarazu College;Tokyo Institute of Technology</t>
  </si>
  <si>
    <t>Tsunoda Y.</t>
  </si>
  <si>
    <t>Sidelobe Suppression of Planar Array Antennas by the Multistage Decision Method</t>
  </si>
  <si>
    <t>10.1109/TAP.1987.1144217</t>
  </si>
  <si>
    <t>2-s2.0-0023417949</t>
  </si>
  <si>
    <t>['transmission line', 'stable loading', 'plasma parameters', 'phased antennas', 'optimum phasing', 'numerical calculation', 'loading resistance', 'combined heating', 'antenna phasing', '60 plasma']</t>
  </si>
  <si>
    <t>The propagation and absorption of the ion cyclotron range of frequencies (ICRF) waves, which are launched by toroidal-phased antennas, were studied in a JT-60 plasma. The second ion cyclotron resonance in a one-dimensional pure hydrogen plasma was considered by solving the kinetic wave equation. The dependence of the loading resistance on the antenna phasing as well as on the plasma parameters was obtained by numerical calculation. A model of a transmission line was introduced in our analysis. The optimum phasing and the plasma parameter region were obtained for a stable loading. Furthermore, it is shown that a combined heating with the neutral beam injection (NBI) makes the stable loading region wider. ¬© 1987 IOP Publishing Ltd.</t>
  </si>
  <si>
    <t>1525-1533</t>
  </si>
  <si>
    <t>9R</t>
  </si>
  <si>
    <t>;60015658;60023147;60011001;60030788;</t>
  </si>
  <si>
    <t>7004717270;7201867837;7005509402;13306390500;35352798500;7003355866</t>
  </si>
  <si>
    <t>Hamamatsu, Kiyotaka;Kishimoto, Yasuaki;Fukuyama, Atsushi;Itoh, Kimitaka;Itoh, Sanae I.;Azumi, Masafumi</t>
  </si>
  <si>
    <t>Hamamatsu K.</t>
  </si>
  <si>
    <t>Optimum toroidal phasing for stable loading of an ICRF wave in JT-60</t>
  </si>
  <si>
    <t>10.1143/JJAP.26.1525</t>
  </si>
  <si>
    <t>2-s2.0-0023418418</t>
  </si>
  <si>
    <t>['thinning method', 'thinned array', 'radiation patterns', 'planar array', 'orthogonal axes', 'method elements', 'measured results', 'good coincidence', 'four axes', 'elements fixed', 'electronics engineers', 'diagonal axes', 'density tapering', 'calculated ones', 'array lattice']</t>
  </si>
  <si>
    <t>A thinning method is presented to realize the desired aperture distribution in a planar array antenna with elements fixed on an array lattice. In this method elements to be excited are determined by quantizing cumulative weights which are calculated from the desired aperture distribution. At first, this method is applied to density tapering on orthogonal axes of a planar array. Radiation patterns of the planar array determined by this method are compared with those by the desired amplitude distribution, and the results show good coincidence. Next, this method is extended to density tapering on four axes, that is, orthogonal and diagonal axes of a planar array. Moreover, this method is applied to density tapering with multi-amplitude level elements in order to enhance directive gain of thinned array. Lastly, a rectangular planar array was fabricated, and its radiation patterns were measured. Measured results were in good coincidence with calculated ones, and the usefulness of this method was verified. Copyright ¬© 1987 by The Institute of Electrical and Electronics Engineers, Inc.</t>
  </si>
  <si>
    <t>1066-1070</t>
  </si>
  <si>
    <t>60101699;60101699;60101699;60101699-60006838</t>
  </si>
  <si>
    <t>6505819309;7006380481;7004304668;6701371445</t>
  </si>
  <si>
    <t>Numazaki, Tadashi;Mano, Seiji;Katagi, Takashi;Mizusawa, Motoo</t>
  </si>
  <si>
    <t>Mitsubishi Electric Corporation;Kanazawa Institute of Technology</t>
  </si>
  <si>
    <t>60101699;60006838</t>
  </si>
  <si>
    <t>Numazaki T.</t>
  </si>
  <si>
    <t>An Improved Thinning Method for Density Tapering of Planar Array Antennas</t>
  </si>
  <si>
    <t>10.1109/TAP.1987.1144224</t>
  </si>
  <si>
    <t>2-s2.0-0023419108</t>
  </si>
  <si>
    <t>NAG-1-279</t>
  </si>
  <si>
    <t>['termination effects', 'tapered slot', 'tapered geometry', 'successfully modeled', 'stepped approximation', 'step procedure', 'slot field', 'radiation pattern', 'plane green', 'method involves', 'measured patterns', 'lateral truncation', 'field distribution', 'electronics engineers', 'antenna dimensions', 'acceptable estimates']</t>
  </si>
  <si>
    <t>A method for calculating the radiation pattern of end-fire tapered slot antennas with or without dielectric substrate is presented. The method involves a two-step procedure: 1) determine the field distribution of a traveling wave along the tapered slot, and 2) compute the radiation from this slot field by using the half-plane Green's function to account for termination effects. Acceptable estimates of the slot field usually can be obtained from a stepped approximation to the tapered geometry. The method has been verified by comparisons to measured patterns for various dielectric substrates and antenna dimensions. However, the effect of lateral truncation has not yet been successfully modeled. Experimental patterns showing this effect are presented. Copyright ¬© 1987 by The Institute of Electrical and Electronics Engineers, Inc.</t>
  </si>
  <si>
    <t>1058-1065</t>
  </si>
  <si>
    <t>60022989-60033012;60014313</t>
  </si>
  <si>
    <t>7004052021;7006791463</t>
  </si>
  <si>
    <t>Janaswamy, Ramakrishna;Schaubert, Daniel H.</t>
  </si>
  <si>
    <t>Monterey;Wilkes-Barre;Amherst MA</t>
  </si>
  <si>
    <t>Naval Postgraduate School;Wilkes University;University of Massachusetts Amherst</t>
  </si>
  <si>
    <t>60033012;60022989;60014313</t>
  </si>
  <si>
    <t>Janaswamy R.</t>
  </si>
  <si>
    <t>Analysis of the Tapered Slot Antenna</t>
  </si>
  <si>
    <t>10.1109/TAP.1987.1144218</t>
  </si>
  <si>
    <t>2-s2.0-0023419929</t>
  </si>
  <si>
    <t>['slot aperture', 'simplified formulas', 'simple calculations', 'resonant conditions', 'numerical examples', 'new approach', 'electronics engineers', 'conducting strip']</t>
  </si>
  <si>
    <t>A new approach is proposed for determining the electromagnetic fields coupled from an incident plane wave into a lossy conducting cavity through a slot aperture under resonant conditions. Use is made of the duality between a slot and a conducting strip and of the equivalence between a strip and a wire. Simplified formulas are derived that are explicit and flexible. Determination of resonant fields inside a cavity is reduced to simple calculations. Numerical examples are given. Copyright ¬© 1987 by The Institute of Electrical and Electronics Engineers, Inc.</t>
  </si>
  <si>
    <t>1074-1077</t>
  </si>
  <si>
    <t>60000937;60030551</t>
  </si>
  <si>
    <t>55434961300;55712837400</t>
  </si>
  <si>
    <t>Ma, Bailin;Cheng, David K.</t>
  </si>
  <si>
    <t>United States;China</t>
  </si>
  <si>
    <t>Syracuse;Shenzhen</t>
  </si>
  <si>
    <t>Syracuse University;Shenzhen University</t>
  </si>
  <si>
    <t>60030551;60000937</t>
  </si>
  <si>
    <t>Ma B.</t>
  </si>
  <si>
    <t>Resonant Electromagnetic Field Coupled into a Lossy Cavity Through a Slot Aperture</t>
  </si>
  <si>
    <t>10.1109/TAP.1987.1144225</t>
  </si>
  <si>
    <t>2-s2.0-0023419930</t>
  </si>
  <si>
    <t>['thermal noise', 'system uses', 'single interferer', 'interference bandwidth', 'electronics engineers', 'communication system', 'arrival angles', 'array weights', 'array bandwidth', 'also examined']</t>
  </si>
  <si>
    <t>The performance of a bandlimited binary phase-shift-keyed (BPSK) communication system is examined when the received BPSK signal is corrupted by both thermal noise and a directional Gaussian noise interfering signal. The system uses an LMS adaptive array to suppress this interference. The effects of signal power levels, arrival angles, bandwidths, and the array bandwidth are examined. The performance of a system that uses tapped delay lines for the array weights is also examined. It is shown that the performance of a system with tapped delay lines is not affected by the interference bandwidth for a single interferer. Copyright ¬© 1987 by The Institute of Electrical and Electronics Engineers, Inc.</t>
  </si>
  <si>
    <t>654-663</t>
  </si>
  <si>
    <t>Ganz M.W.</t>
  </si>
  <si>
    <t>The Effects of Gaussian Interference on Communication Systems with Adaptive Arrays</t>
  </si>
  <si>
    <t>10.1109/TAES.1987.310859</t>
  </si>
  <si>
    <t>2-s2.0-0023420517</t>
  </si>
  <si>
    <t>['wave propagation', 'storm parameter', 'storm conditions', 'size distribution', 'riyadh together', 'power law', 'paper presents', 'optical visibility', 'meteorological parameters', 'large particles', 'investigated experimentally', 'height dependence', 'functional relationship', 'electronics engineers', 'calculated using', 'best described', 'actual measurements', '37 ghz']</t>
  </si>
  <si>
    <t>This paper presents a study of five dust storms that occurred in Riyadh together with their effect on millimeter-wave propagation. Meteorological parameters are given and airborne-dust‚Äòs permittivity is estimated using relative humidity data. For large particles, the size distribution and its height dependence are investigated experimentally and the findings are presented as a functional relationship. Based on actual measurements and analysis, attenuation at 37 GHz is calculated using a newly derived expression in terms of optical visibility as a storm parameter. It is found that the fitted probability distributions are best described by normal or lognormal and vary with dust-storm conditions. The average effective sizes and the 37-GHz attenuation decreases with the increase of antenna height following a power law. Copyright ¬© 1987 by The Institute of Electrical and Electronics Engineers, Inc.</t>
  </si>
  <si>
    <t>593-599</t>
  </si>
  <si>
    <t>60013183;60013183;60013183</t>
  </si>
  <si>
    <t>7403429334;7403355439;6603509274</t>
  </si>
  <si>
    <t>Ahmed, Abobakr S.;Ali, Adel A.;Alhaider, Mohammed A.</t>
  </si>
  <si>
    <t>Saudi Arabia</t>
  </si>
  <si>
    <t>Riyadh</t>
  </si>
  <si>
    <t>King Saud University</t>
  </si>
  <si>
    <t>Ahmed A.S.</t>
  </si>
  <si>
    <t>Airborne Dust Size Analysis for Tropospheric Propagation of Millimetric Waves into Dust Storms</t>
  </si>
  <si>
    <t>10.1109/TGRS.1987.289838</t>
  </si>
  <si>
    <t>2-s2.0-0023420580</t>
  </si>
  <si>
    <t>['wide angles', 'simple model', 'significant lobe', 'resulting expression', 'numerical data', 'normal incidence', 'gtd solution', 'good agreement', 'excellent agreement', 'electronics engineers', 'data shows', 'data exhibit', 'corresponding contribution', 'complete second', 'backscattered field', 'angles close']</t>
  </si>
  <si>
    <t>For a thin wire loop illuminated by a plane electromagnetic wave, the backscattered field is determined when the incident magnetic vector is parallel to the plane of the loop. The complete second-order geometrical theory of diffraction (GTD) solution is obtained and found to be in excellent agreement with numerical data at angles close to normal incidence on the loop. At wide angles, however, the data exhibit a significant lobe that is not predicted by GTD. Analysis of the data shows that the lobe is due to currents circulating around the loop and the properties of these currents are deduced. Using a simple model for the current, the corresponding contribution to the backscattered field is determined. When this is added to the GTD solution, the resulting expression for the backscattered field is in good agreement with the numerical data for all angles of incidence and all loop diameters greater than a wavelength. Copyright ¬© 1987 by The Institute of Electrical and Electronics Engineers, Inc.</t>
  </si>
  <si>
    <t>1049-1057</t>
  </si>
  <si>
    <t>60025778-60023201;60025778</t>
  </si>
  <si>
    <t>55425335300;7005010859</t>
  </si>
  <si>
    <t>Burns, Joseph W.;Senior, Thomas B.A.</t>
  </si>
  <si>
    <t>Ann Arbor;Ann Arbor</t>
  </si>
  <si>
    <t>University of Michigan, Ann Arbor;Altarum Institute</t>
  </si>
  <si>
    <t>60025778;60023201</t>
  </si>
  <si>
    <t>Burns J.W.</t>
  </si>
  <si>
    <t>The Backscattered Field of a Thin Wire Loop for H-Polarization</t>
  </si>
  <si>
    <t>10.1109/TAP.1987.1144216</t>
  </si>
  <si>
    <t>2-s2.0-0023420626</t>
  </si>
  <si>
    <t>['waveguide antenna', 'tritium neutrons', 'simple structure', 'radioactive conditions', 'r tokamak', 'power heating', 'plasma physics', 'new type', 'nagoya university', 'model experiment', 'ibwh ).', 'dielectric load', 'antenna called', 'aluminum alloy', 'also discussed']</t>
  </si>
  <si>
    <t>The ion cyclotron range of frequencies antennas design for the R tokamak (a proposal by the Institute of Plasma Physics, Nagoya University) is described. The design involves three types of antennas: a standard loop antenna, a panel heater antenna, and a waveguide antenna for ion Bernstein wave heating (IBWH). The standard loop antenna is made of aluminum alloy and has a simple structure because it has to be installed under radioactive conditions by deuterium-tritium neutrons. A new type of antenna called a panel heater antenna has been designed for high-power heating. It has a wide radiation area and is able to select a parallel wave number k// parallel . The feasibility of the waveguide antenna is also discussed in association with IBWH. The radiation from the aperture of the double ridge waveguide is estimated in a model experiment, where calculated surface plasma impedance is simulated by a dielectric load.</t>
  </si>
  <si>
    <t>293-309</t>
  </si>
  <si>
    <t>60000264;60000264;60000264;60000264;60000264;60000264</t>
  </si>
  <si>
    <t>56353825200;7007043532;7102396365;7404051215;7202492500;7102200764</t>
  </si>
  <si>
    <t>Kako, Eiji;Ando, Ritoku;Ichimura, Makoto;Ogawa, Yuichi;Amano, Tsuneo;Watari, Tetsuo</t>
  </si>
  <si>
    <t>Nagoya University</t>
  </si>
  <si>
    <t>Kako E.</t>
  </si>
  <si>
    <t>ION CYCLOTRON RANGE OF FREQUENCIES ANTENNA DESIGN FOR R TOKAMAK.</t>
  </si>
  <si>
    <t>10.13182/fst87-a11963787</t>
  </si>
  <si>
    <t>2-s2.0-0023421413</t>
  </si>
  <si>
    <t>['two orders', 'rls algorithm', 'magnitude larger', 'gradient algorithm', 'electronics engineers', 'data quantization', 'computational complexity', 'bandwidths one', 'bandwidths manageable', 'approximate range', 'adjustable weights']</t>
  </si>
  <si>
    <t>A new deflected stochastic-gradient algorithm for adaptive sensor arrays is introduced. It is shown to have the capability of converging substantially faster than the nondeflected stochastic gradient (LMS) algorithm but slower than the recursive least squares (RLS) algorithm. Because of its amenability to reduction of computational complexity by data quantization, it has the potential for processing digital signals with bandwidths one to two orders of magnitude larger than the bandwidths manageable with the RLS algorithm for sensor arrays containing a number of adjustable weights in the approximate range of 10‚Äì50. Copyright ¬© 1987 by The Institute of Electrical and Electronics Engineers, Inc.</t>
  </si>
  <si>
    <t>1314-1319</t>
  </si>
  <si>
    <t>IEEE Transactions on Acoustics, Speech, and Signal Processing</t>
  </si>
  <si>
    <t>60014439;60014439</t>
  </si>
  <si>
    <t>7202841195;7404195324</t>
  </si>
  <si>
    <t>Gardner, William A.;Brown, William A.</t>
  </si>
  <si>
    <t>Davis</t>
  </si>
  <si>
    <t>University of California, Davis</t>
  </si>
  <si>
    <t>Gardner W.</t>
  </si>
  <si>
    <t>A new algorithm for adaptive arrays</t>
  </si>
  <si>
    <t>10.1109/TASSP.1987.1165273</t>
  </si>
  <si>
    <t>2-s2.0-0023421535</t>
  </si>
  <si>
    <t>['two sources', 'theoretical results', 'results correct', 'numerical simulations', 'new expressions', 'miss probability', 'electronics engineers', '1 ].']</t>
  </si>
  <si>
    <t>New expressions are derived for the probabilities of overestimating and underestimating the number of sources by a narrow-band sensor array based on criteria such as AIC and MDL. These results correct the false alarm probability and extend the range of validity of the miss probability for two sources that were presented in [1]. The theoretical results are compared to numerical simulations. Copyright ¬© 1987 by The Institute of Electrical and Electronics Engineers, Inc.</t>
  </si>
  <si>
    <t>1350-1352</t>
  </si>
  <si>
    <t>60029445-60030551;60029445</t>
  </si>
  <si>
    <t>7006795426;7101794917</t>
  </si>
  <si>
    <t>Kaveh, M.;Hung, H.</t>
  </si>
  <si>
    <t>Syracuse;Minneapolis</t>
  </si>
  <si>
    <t>Syracuse University;University of Minnesota Twin Cities</t>
  </si>
  <si>
    <t>60030551;60029445</t>
  </si>
  <si>
    <t>Kaveh M.</t>
  </si>
  <si>
    <t>On the Theoretical Performance of a Class of Estimators of the Number of Narrow-Band Sources</t>
  </si>
  <si>
    <t>10.1109/TASSP.1987.1165277</t>
  </si>
  <si>
    <t>2-s2.0-0023421705</t>
  </si>
  <si>
    <t>['¬© 1987', 'presented together', 'paper discusses', 'francis group', '7 ghz']</t>
  </si>
  <si>
    <t>This paper discusses the design of a single-layer frequency selective surface to be used in a dual frequency band satellite antenna operating from 10-7-11-7 GHz and 18-2-20GHz. Relevant design equations and considerations are presented together with an optimized practical design. ¬© 1987, Taylor and Francis Group, LLC.</t>
  </si>
  <si>
    <t>291-296</t>
  </si>
  <si>
    <t>60010818;60010818</t>
  </si>
  <si>
    <t>57010564900;56020461500</t>
  </si>
  <si>
    <t>Lee, C. K.;Langley, R. J.</t>
  </si>
  <si>
    <t>Canterbury</t>
  </si>
  <si>
    <t>University of Kent</t>
  </si>
  <si>
    <t>Lee C.</t>
  </si>
  <si>
    <t>Design of a single layer frequency-selective surface</t>
  </si>
  <si>
    <t>10.1080/00207218708939130</t>
  </si>
  <si>
    <t>2-s2.0-0023421839</t>
  </si>
  <si>
    <t>['two extremes', 'te10 mode', 'practical antennas', 'nondimensional form', 'microwave energy', 'lossy medium', 'electronics engineers', 'dielectric properties', 'biomedical applications', 'aperture size']</t>
  </si>
  <si>
    <t>A widely used device for biomedical applications of microwave energy is the dielectric-loaded waveguide operating in the TE10 mode. We have calculated the (1/e) energy penetration depth from such antennas, modeled as rectangular apertures radiating into a lossy medium with dielectric properties resembling those of tissue. The results are presented in nondimensional form from which the characteristics of practical antennas can be estimated. Depending on the dielectric properties of the medium and the size of the aperture, the effective penetration depth can be limited by either the aperture size or the plane-wave penetration depth; practical antennas fall between these two extremes. Experimental results confirm the calculations. Copyright ¬© 1987 by The Institute of Electrical and Electronics Engineers, Inc.</t>
  </si>
  <si>
    <t>865-867</t>
  </si>
  <si>
    <t>60006297;60006297;60006297</t>
  </si>
  <si>
    <t>6701775042;7402283398;7202155857</t>
  </si>
  <si>
    <t>Cheever, Erik;Leonard, Jonathan B.;Foster, Kenneth R.</t>
  </si>
  <si>
    <t>Cheever E.</t>
  </si>
  <si>
    <t>Depth of Penetration of Fields from Rectangular Apertures into Lossy Media</t>
  </si>
  <si>
    <t>10.1109/TMTT.1987.1133765</t>
  </si>
  <si>
    <t>2-s2.0-0023422245</t>
  </si>
  <si>
    <t>['signals outside', 'signal parameters', 'signal arrivals', 'sensor outputs', 'obtained via', 'music algorithm', 'multiple constraints', 'minimum variance', 'information may', 'entire set', 'electronics engineers', 'correlation matrix', 'arrival estimates']</t>
  </si>
  <si>
    <t>An extension of the minimum variance (MV) method of Capon for spatial source parameter estimation using sensor arrays is described. The method is advantageous in applications where asymptotically unbiased estimates of the powers and cross correlations associated with a subset of the entire set of signal arrivals are required, in that direction-of-arrival estimates for signals outside the subset are not required. The method is shown to arise out of the imposition of multiple constraints, one for each signal in the group of interest, in the development of the Capon estimator using an estimate of the signal-only (no noise) correlation matrix of sensor outputs. Success of the method is contingent on the condition that the signals in the subset of interest be uncorrelated with signals outside the subset. The algorithm for extracting the signal parameters of interest from the overall correlation matrix requires an estimate of the noise correlation matrix and direction-of-arrival estimates for members of the subset. This information may be obtained via the MUSIC algorithm. Copyright ¬© 1987 by The Institute of Electrical and Electronics Engineers, Inc.</t>
  </si>
  <si>
    <t>1358-1360</t>
  </si>
  <si>
    <t>60009254-60006297</t>
  </si>
  <si>
    <t>Zoltowski, Michael D.</t>
  </si>
  <si>
    <t>West Lafayette;Philadelphia</t>
  </si>
  <si>
    <t>Purdue University;University of Pennsylvania</t>
  </si>
  <si>
    <t>60009254;60006297</t>
  </si>
  <si>
    <t>Zoltowski M.D.</t>
  </si>
  <si>
    <t>A multiply constrained minimum variance approach to multiple source parameter estimation</t>
  </si>
  <si>
    <t>10.1109/TASSP.1987.1165291</t>
  </si>
  <si>
    <t>2-s2.0-0023422398</t>
  </si>
  <si>
    <t>NAG-1-225</t>
  </si>
  <si>
    <t>['vibration caused', 'unperturbed motion', 'rotational maneuvers', 'rigidbody motions', 'rigidbody maneuver', 'rights reserved', 'quantities defining', 'perturbed motion', 'perturbation equations', 'perturbation approach', 'least amount', 'inc .,', 'elastic motions', 'elastic deformation', 'dependent coefficients', 'body maneuvers', 'based laboratory']</t>
  </si>
  <si>
    <t>This paper is concerned with the derivation of the equations of motion for maneuvering flexible spacecraft both in orbit and in an Earth-based laboratory. The structure is assumed to undergo large rigid-body maneuvers and small elastic deformations. A perturbation approach is presented in which the quantities defining the rigidbody maneuver are regarded as the unperturbed motion and the elastic motions and deviations from the rigidbody motions are regarded as the perturbed motion. The perturbation equations are linear, non-self-adjoint, and with time-dependent coefficients. A maneuver force distribution exciting the least amount of elastic deformation of the spacecraft is developed. Numerical results highlight the vibration caused by rotational maneuvers. ¬© 1987 American Institute of Aeronautics and Astronautics, Inc., All rights reserved.</t>
  </si>
  <si>
    <t>453-465</t>
  </si>
  <si>
    <t>60027090;60027090-60000305</t>
  </si>
  <si>
    <t>7004373066;7202179022</t>
  </si>
  <si>
    <t>Meirovitch, L.;Quinn, R. D.</t>
  </si>
  <si>
    <t>Blacksburg;Cleveland</t>
  </si>
  <si>
    <t>Virginia Polytechnic Institute and State University;Case Western Reserve University</t>
  </si>
  <si>
    <t>60027090;60000305</t>
  </si>
  <si>
    <t>Meirovitch L.</t>
  </si>
  <si>
    <t>Equations of motion for maneuvering flexible spacecraft</t>
  </si>
  <si>
    <t>10.2514/3.20240</t>
  </si>
  <si>
    <t>2-s2.0-0023422648</t>
  </si>
  <si>
    <t>['wide range', 'volume defined', 'three types', 'three cases', 'therefore included', 'small portion', 'pulse length', 'produce backscatter', 'power spectrum', 'numerical computations', 'magnetic field', 'jicamarca radar', 'irregularities fill', 'ionospheric refraction', 'general formula', 'formula involves', 'fluctuation needed', 'empirical formula', 'copyright 1987', 'beam width', 'aspect angle', 'approximately constant']</t>
  </si>
  <si>
    <t>The expression for the radar cross section for backscatter from elongated, field‚Äêaligned ionospheric irregularities is used to find a general formula for the backscattered power received by any radar for a given rms electron density fluctuation level. The formula involves an integral of the three‚Äêdimensional irregularity power spectrum over a volume defined by the beam width of the antenna and the pulse length. The three cases considered are where: (1) the irregularities fill the beam but the beam width measured parallel to the earth's magnetic field is so large that a wide range of aspect angles falls within the beam, (2) the irregularities fill the beam and the beam width is so narrow that the aspect angle is approximately constant, and (3) the irregularities fill only a small portion of the beam, over which the aspect angle is constant. The three cases are typified by the Goose Bay HF radar, the Jicamarca radar, and STARE‚Äêtype radars, respectively. An empirical formula for the power spectrum is used to obtain explicit formulas for the three types of radar. The Goose Bay radar works at a low enough frequency so that ionospheric refraction can be used to achieve good aspect sensitivity. The effect of ionospheric refraction and focusing is therefore included in the formulas for backscatter. The results of numerical computations are presented in order to compare the sensitivity of the Goose Bay radar with other types of radar and to estimate the levels of fluctuation needed to produce backscatter. Curves of signal‚Äêto‚Äênoise ratio versus range are plotted for the radar. Copyright 1987 by the American Geophysical Union.</t>
  </si>
  <si>
    <t>689-705</t>
  </si>
  <si>
    <t>September-October 1987</t>
  </si>
  <si>
    <t>7403910506;7102717774;7401611278</t>
  </si>
  <si>
    <t>Walker, A. D.M.;Greenwald, R. A.;Baker, K. B.</t>
  </si>
  <si>
    <t>Walker A.</t>
  </si>
  <si>
    <t>Determination of the fluctuation level of ionospheric irregularities from radar backscatter measurements</t>
  </si>
  <si>
    <t>10.1029/RS022i005p00689</t>
  </si>
  <si>
    <t>2-s2.0-0023422795</t>
  </si>
  <si>
    <t>['wiley company', 'wavelength ),', 'surface currents', 'sleeve length', 'sleeve antenna', 'results compared', 'numerical analysis', 'mobile radio', 'large influence', 'inc .,', 'horizontal plane', 'ground wires', 'ground wire', 'feeding point', 'feeder compared', 'experimental studies', 'experimental results', 'antenna properties', 'analyzed numerically', '1 db']</t>
  </si>
  <si>
    <t>Numerical and experimental studies have been performed on the sleeve antenna. The sperrtopf reduces surface leak currents of the feeder compared to surface currents on the antenna; hence it is confirmed that the feeder does not have a large influence on the antenna properties. Ground wires are attached to the sleeve to match the feeder with the antenna. The effect of the sleeve length, and the length, inclination, and position of the ground wires on the antenna properties have been analyzed numerically and the results compared with experimental results. In the numerical analysis, the feeder is not considered and Galerkin's method was applied to the Poklington integral equation. The 50‚ÄìŒ© input impedance was obtained when the sleeve length is 0.2Œª (Œª is wavelength), the length of the ground wire is 0.1Œª, distance of the ground wires from the feeding point is 0.025Œª, and the ground wires are in a horizontal plane; thus the horizontal actual gain is 2.1 dB. This antenna is very useful for mobile radio. Copyright ¬© 1987 Wiley Periodicals, Inc., A Wiley Company</t>
  </si>
  <si>
    <t>117-125</t>
  </si>
  <si>
    <t>60019983;60019983;60019983</t>
  </si>
  <si>
    <t>7202459692;35608208100;6601932953</t>
  </si>
  <si>
    <t>Taguchi, Mitsuo;Egashira, Shigeru;Ohzono, Tatsuru</t>
  </si>
  <si>
    <t>Saga</t>
  </si>
  <si>
    <t>Saga University</t>
  </si>
  <si>
    <t>Taguchi M.</t>
  </si>
  <si>
    <t>Analysis of sleeve antenna with ground wires</t>
  </si>
  <si>
    <t>10.1002/ecja.4410701012</t>
  </si>
  <si>
    <t>2-s2.0-0023427303</t>
  </si>
  <si>
    <t>['¬© 1987', 'various modes', 'radiation patterns', 'plane walls', 'plane patterns', 'pattern shaping', 'modal expansion', 'francis group', 'experimental results', 'demonstrated first', 'considerable control', 'antenna consists']</t>
  </si>
  <si>
    <t>Analytical and experimental results of a highly directional antenna feed with a beam shaping facility are presented. The antenna consists of a hybrid mode dielectric loaded rectangular horn that utilizes the technique of combining several higher order modes for pattern shaping. The amplitudes of the various modes in the waveguide are determined by means of modal expansion of fields for a known symmetrical throat excitation. The modes thus obtained are used to evaluate the radiation patterns derived by the aperture field method on the basis of the vector diffraction formula. The significance of higher order mode content in shaping the radiation patterns of dielectric loaded horn is demonstrated first for symmetrical dielectric loading on H-plane walls and E-plane walls separately and then for symmetrical dielectric loading on both E- and H-plane walls for considerable control over the E- and H-plane patterns. ¬© 1987, Taylor and Francis Group, LLC.</t>
  </si>
  <si>
    <t>479-488</t>
  </si>
  <si>
    <t>Nair, R. A.</t>
  </si>
  <si>
    <t>Mankato State University</t>
  </si>
  <si>
    <t>Nair R.</t>
  </si>
  <si>
    <t>Symmetrical dielectric loading on E- and H-plane walls of a rectangular horn for pattern shaping</t>
  </si>
  <si>
    <t>10.1080/00207218708547335</t>
  </si>
  <si>
    <t>2-s2.0-0023427931</t>
  </si>
  <si>
    <t>['¬© 1987', 'thin slot', 'short monopole', 'shadow region', 'new techniques', 'good agreement', 'free space', 'francis group', 'diffraction field', 'convex surface', 'application example']</t>
  </si>
  <si>
    <t>The aim of this paper is to present two new techniques to calculate the diffraction field in the shadow region of an arbitrary convex surface with slowly varying curvature. The source of such an electromagnetic field may be a thin slot or short monopole, mounted on the convex surface. The main contribution presented here is to prove that the asymptotic surface field solutions may be extended to compute the diffraction field in free space. This is the first attempt made for such a purpose. Finally, as an application example, we apply the new techniques to treat an infinitely long circular cylinder having a thin slot being the source. The good agreement of the calculated results based on these methods with those obtained from the exact modal solution demonstrates that the new techniques are useful, simple and easy to apply. ¬© 1987, Taylor and Francis Group, LLC.</t>
  </si>
  <si>
    <t>467-478</t>
  </si>
  <si>
    <t>60015763;60015763</t>
  </si>
  <si>
    <t>15925629400;7201881149</t>
  </si>
  <si>
    <t>Huang, Chi Fang;Chu, Fu Lai</t>
  </si>
  <si>
    <t>Huang C.F.</t>
  </si>
  <si>
    <t>Computation of the diffraction field using asymptotic surface field solutions</t>
  </si>
  <si>
    <t>10.1080/00207218708547334</t>
  </si>
  <si>
    <t>2-s2.0-0023429869</t>
  </si>
  <si>
    <t>['¬© 1987', 'side boundaries', 'rules defined', 'prometaphase chromosomes', 'prior knowledge', 'new method', 'movement automaton', 'move along', 'median axis', 'decision repertory', 'criterion used', 'automaton position', 'automaton movements', 'algorithm designed']</t>
  </si>
  <si>
    <t>We present an algorithm designed to obtain the optical density profile of prometaphase chromosomes. Our movement automaton (the cockshafer) is able to move along the median axis of the chromosome. The criterion used to maintain the correct movement direction lies on the distances from the automaton position to the side boundaries (lengths of the cockshafer antennae). The automaton movements are regulated by rules defined in a decision repertory. This new method does not use a transformation of the image and does not require any prior knowledge of the shape of the chromosome to be sampled. ¬© 1987.</t>
  </si>
  <si>
    <t>443-457</t>
  </si>
  <si>
    <t>Computers and Biomedical Research</t>
  </si>
  <si>
    <t>60009907;60000905;60003335</t>
  </si>
  <si>
    <t>6701406713;7004292200;57206374431</t>
  </si>
  <si>
    <t>Hejblum, G.;Hazout, S.;Mignot, J.</t>
  </si>
  <si>
    <t>France;France;France</t>
  </si>
  <si>
    <t>Paris;Boulogne-Billancourt;Paris</t>
  </si>
  <si>
    <t>H√¥pital Saint-Antoine;Hopital Ambroise Pare, Boulogne-Billancourt;Inserm</t>
  </si>
  <si>
    <t>60009907;60003335;60000905</t>
  </si>
  <si>
    <t>Hejblum G.</t>
  </si>
  <si>
    <t>The algorithm of the cockshafer walk: A movement automaton applied to the construction of the integrated optical density profile of prometaphase chromosomes</t>
  </si>
  <si>
    <t>0010-4809(87)90032-2</t>
  </si>
  <si>
    <t>10.1016/0010-4809(87)90032-2</t>
  </si>
  <si>
    <t>2-s2.0-0023432560</t>
  </si>
  <si>
    <t>['wiley company', 'theoretical model', 'measured results', 'input impedance', 'inc .,', 'experimental studies', 'examined well', 'automobile body', 'antenna mounted']</t>
  </si>
  <si>
    <t>Theoretical and experimental studies are made on an antenna mounted on the roof of an automobile. The theoretical model of an automobile body and a calculation technique based on GTD are developed to calculate the input impedance and vertical plane patterns of a quarter‚Äêwavelength monopole in the 300‚Äì900 MHz band. The theoretical model consists of three perfectly conducting plates. From a comparison of calculated and measured results it is seen that the effect of the body and the earth can be examined well with the theoretical model. The results of the pattern calculation show that the radiation patterns depend largely on the configuration of the automobile body. Copyright ¬© 1987 Wiley Periodicals, Inc., A Wiley Company</t>
  </si>
  <si>
    <t>64-74</t>
  </si>
  <si>
    <t>60003416;60003416</t>
  </si>
  <si>
    <t>7403216058;7401729105</t>
  </si>
  <si>
    <t>Nishikawa, Kunitoshi;Asano, Yoshikazu</t>
  </si>
  <si>
    <t>Aichi District</t>
  </si>
  <si>
    <t>Toyota Central Research Development Laboratory Inc</t>
  </si>
  <si>
    <t>Nishikawa K.</t>
  </si>
  <si>
    <t>Analysis of mobile antenna in UHF band</t>
  </si>
  <si>
    <t>10.1002/ecja.4410701007</t>
  </si>
  <si>
    <t>2-s2.0-0023433951</t>
  </si>
  <si>
    <t>['supporting feed', 'solved exactly', 'solution expressions', 'resulting equations', 'reflection coefficient', 'possible application', 'open end', 'one end', 'modes excited', 'explicit results', 'boundary conditions']</t>
  </si>
  <si>
    <t>A thin-walled coaxial waveguide open at one end and having the center conductor extending to infinity in the forward axial direction is studied for asymmetric mode excitation. After satisfying the boundary conditions on the structure the resulting equations are solved exactly by the Wiener-Hopf technique using Weinstein's approach. From this solution expressions are obtained for the coefficients of the modes excited in the waveguide and for the far fields radiated from the open end of the guide. Explicit results are given for the reflection coefficient and for far-field radiation patterns for TE//1//1 mode excitation. Experimental results demonstrate the validity and accuracy of the solution. Using these results we assess the performance of a thin-walled coaxial waveguide for possible application as a self-supporting feed for a reflector.</t>
  </si>
  <si>
    <t>443-448</t>
  </si>
  <si>
    <t>Oct</t>
  </si>
  <si>
    <t>Bird, T. S.</t>
  </si>
  <si>
    <t>Bird T.</t>
  </si>
  <si>
    <t>EXACT SOLUTION OF OPEN-ENDED COAXIAL WAVEGUIDE WITH CENTRE CONDUCTOR OF INFINITE EXTENT AND APPLICATIONS.</t>
  </si>
  <si>
    <t>10.1049/ip-h-2.1987.0089</t>
  </si>
  <si>
    <t>2-s2.0-0023434769</t>
  </si>
  <si>
    <t>['¬© 1987', 'ti samples', 'alloyed nb']</t>
  </si>
  <si>
    <t>acoustic loss | low temperature studies | niobium | titanium</t>
  </si>
  <si>
    <t>Low acoustic loss cryogenic materials are required for various high precision experiments, resonant-bar gravitational radiation antennae in particular. We report here cryogenic acoustic loss measurements of various commercially pure and alloyed Nb and Ti samples. ¬© 1987.</t>
  </si>
  <si>
    <t>586-588</t>
  </si>
  <si>
    <t>Cryogenics</t>
  </si>
  <si>
    <t>60031806;60031806;60031806;60031806</t>
  </si>
  <si>
    <t>7005135152;6603099848;22974326500;8682074600</t>
  </si>
  <si>
    <t>Veitch, P. J.;Ferreirinho, J.;Blair, D. G.;Linthorne, N.</t>
  </si>
  <si>
    <t>Perth</t>
  </si>
  <si>
    <t>The University of Western Australia</t>
  </si>
  <si>
    <t>Veitch P.J.</t>
  </si>
  <si>
    <t>Low temperature acoustic loss of pure and alloyed niobium and titanium with application to gravitational radiation detectors</t>
  </si>
  <si>
    <t>10.1016/0011-2275(87)90183-4</t>
  </si>
  <si>
    <t>2-s2.0-0023434864</t>
  </si>
  <si>
    <t>['oscillatory two', 'graphic representations', 'dimensional integrands', 'author presents']</t>
  </si>
  <si>
    <t>Following a description of this type of antenna and of the equation to be solved, the author presents some graphic representations of the oscillatory two-dimensional integrands and compares various numerical integration methods.</t>
  </si>
  <si>
    <t>456-466</t>
  </si>
  <si>
    <t>Damiano, J. P.</t>
  </si>
  <si>
    <t>Damiano J.</t>
  </si>
  <si>
    <t>COMPUTATION OF INPUT IMPEDANCE IN MICROSTRIP ANTENNAS. GRAPHIC REPRESENTATION AND NUMERICAL INTEGRATION OF OSCILLATING FUNCTIONS.</t>
  </si>
  <si>
    <t>10.1049/ip-h-2.1987.0091</t>
  </si>
  <si>
    <t>2-s2.0-0023434903</t>
  </si>
  <si>
    <t>['takes account', 'shorting planes', 'scattered energy', 'problem similar', 'plate waveguide', 'plate guide', 'phased array', 'mutual coupling', 'lens geometry', 'intimate involvement', 'incident energy', 'extract energy', 'experimental lens', 'elements used', 'compact low']</t>
  </si>
  <si>
    <t>The design of compact low-loss Rotman lenses is discussed with emphasis on minimizing the level of scattered energy in the parallel-plate waveguide. Of importance is the design of the elements used to excite and to extract energy from the waveguide so as to maximize the absorption of incident energy, a problem similar to that of minimizing the active reflection coefficient of a phased array with its intimate involvement with mutual coupling. A method of designing the elements is described for the case where the elements are monopoles and the parallel-plate guide is terminated by shorting planes. Constraints on the lens geometry imposed by the minimization of scattered energy are discussed and an approach to the design of the lens geometry which takes account of these constraints is described. Results of measurements on an experimental lens are presented.</t>
  </si>
  <si>
    <t>449-455</t>
  </si>
  <si>
    <t>Rogers, P. G.</t>
  </si>
  <si>
    <t>Rogers P.</t>
  </si>
  <si>
    <t>DESIGN OF COMPACT LOW-LOSS ROTMAN LENSES.</t>
  </si>
  <si>
    <t>10.1049/ip-h-2.1987.0090</t>
  </si>
  <si>
    <t>2-s2.0-0023435130</t>
  </si>
  <si>
    <t>['tight connection', 'resolution better', 'received signal', 'new concepts', 'latter case', 'increased performance', 'combined action', 'classical design', 'chirped interferometer']</t>
  </si>
  <si>
    <t>Some new concepts are presented which allow the design of arrays with a resolution better than, or equal to, the classical design, but without any ambiguity in the latter case. The proposed new antennas, the chirped interferometer and the space harmonic array, operate in tight connection with the processing of the received signal; this combined action is responsible for the increased performance of the array.</t>
  </si>
  <si>
    <t>438-442</t>
  </si>
  <si>
    <t>6507648488;7003330705</t>
  </si>
  <si>
    <t>Francheschetti, G.;Schirinzi, G.</t>
  </si>
  <si>
    <t>Francheschetti G.</t>
  </si>
  <si>
    <t>NEW IDEAS IN IMAGING ANTENNAS.</t>
  </si>
  <si>
    <t>10.1049/ip-h-2.1987.0088</t>
  </si>
  <si>
    <t>2-s2.0-0023435288</t>
  </si>
  <si>
    <t>['two coplanar', 'surface monopoles', 'special functions', 'simplified expression', 'mutual impedances', 'form suitable', 'exponential integral', 'electronics engineers', 'efficient implementation', 'dimensional integral']</t>
  </si>
  <si>
    <t>A simplified expression that is valid both for the self- and mutual impedances between two coplanar and parallel piecewise sinusoidal (PWS) surface monopoles is presented. In contrast to the currently existing two-dimensional integral form, the present expression involves only a one-dimensional integral. Further, the integrand remains regular even for the case of self-impedance and does not involve any special functions such as the exponential integral. It is in a form suitable for efficient implementation on a computer. The expressions are valid when the two surface monopoles are of the same size. Comparison is made with literature to demonstrate the validity of the expression. Copyright ¬© 1987 by The Institute of Electrical and Electronics Engineers, Inc.</t>
  </si>
  <si>
    <t>1174-1176</t>
  </si>
  <si>
    <t>60022989-60033012</t>
  </si>
  <si>
    <t>Janaswamy, Ramakrishna</t>
  </si>
  <si>
    <t>Monterey;Wilkes-Barre</t>
  </si>
  <si>
    <t>Naval Postgraduate School;Wilkes University</t>
  </si>
  <si>
    <t>60033012;60022989</t>
  </si>
  <si>
    <t>A Simplified Expression for the Self/Mutual Impedance Between Coplanar and Parallel Surface Monopoles</t>
  </si>
  <si>
    <t>10.1109/TAP.1987.1143988</t>
  </si>
  <si>
    <t>2-s2.0-0023435863</t>
  </si>
  <si>
    <t>U.S. Navy</t>
  </si>
  <si>
    <t>USN</t>
  </si>
  <si>
    <t>['¬© 1987', 'towed beneath', 'therefore warranted', 'system development', 'seawater conductivity', 'recording electronics', 'prudhoe bay', 'may 1985', 'large footprint', 'ice surface', 'feasibility study', 'electronics module', 'electromagnetic system', 'effectively smoothed']</t>
  </si>
  <si>
    <t>A study was made in May 1985 to determine the feasibility of using an airborne electromagnetic sounding system for profiling sea ice thickness and the sub-ice water depth and conductivity. The study was made in the area of Prudhoe Bay, Alaska. The multifrequency airborne electromagnetic sounding system consisted of control and recording electronics and an antenna. The electronics module was installed in a helicopter, and the 7 m long tubular antenna was towed beneath the helicopter at about 35 m above the ice surface. For this electromagnetic system, both first-year and second-year sea ice could be profiled, but the resolution of ice thickness decreased as the ice became rough. This decrease was associated with the large footprint of the system, which effectively smoothed out the sea ice relief. Under-ice water depth was determined, as was seawater conductivity. The results of the feasibility study were encouraging, and further system development is therefore warranted. ¬© 1987.</t>
  </si>
  <si>
    <t>289-311</t>
  </si>
  <si>
    <t>0165232X</t>
  </si>
  <si>
    <t>Cold Regions Science and Technology</t>
  </si>
  <si>
    <t>60006051;60006051;60006051</t>
  </si>
  <si>
    <t>7202441285;55278183100;7006800063</t>
  </si>
  <si>
    <t>Kovacs, Austin;Valleau, N. C.;Holladay, J. Scott</t>
  </si>
  <si>
    <t>Hanover</t>
  </si>
  <si>
    <t>U.S. Army Cold Regions Research and Engineering Laboratory</t>
  </si>
  <si>
    <t>Kovacs A.</t>
  </si>
  <si>
    <t>Airborne electromagnetic sounding of sea ice thickness and sub-ice bathymetry</t>
  </si>
  <si>
    <t>0165-232X(87)90021-8</t>
  </si>
  <si>
    <t>10.1016/0165-232X(87)90021-8</t>
  </si>
  <si>
    <t>2-s2.0-0023436131</t>
  </si>
  <si>
    <t>['spheroid axis', 'prolate spheroid', 'placed symmetrically', 'numerical results', 'loop radiator', 'interface layers', 'human body', 'field distributions', 'electronics engineers', 'boundary conditions']</t>
  </si>
  <si>
    <t>Analysis of the field distributions in a three-layer prolate spheroidal human body model for a loop antenna irradiation is described. The loop radiator is assumed to be placed symmetrically with respect to the spheroid axis. Spheroidal wave functions are employed to expand the field components inside and outside of the prolate spheroid. The boundary conditions on the interface layers are satisfied by using a mode matching procedure. The loop radiator can be very close to the human body. Numerical results are given for the 13 MHz frequency. Copyright ¬© 1987 by The Institute of Electrical and Electronics Engineers, Inc.</t>
  </si>
  <si>
    <t>1180-1185</t>
  </si>
  <si>
    <t>60002947;60002947</t>
  </si>
  <si>
    <t>7102355233;7801391986</t>
  </si>
  <si>
    <t>Uzunoglu, N. K.;Angelikas, E. A.</t>
  </si>
  <si>
    <t>National Technical University of Athens</t>
  </si>
  <si>
    <t>Field Distributions in a Three-Layer Prolate Spheroidal Human Body Model for a Loop Antenna Irradiation</t>
  </si>
  <si>
    <t>10.1109/TAP.1987.1143991</t>
  </si>
  <si>
    <t>2-s2.0-0023436608</t>
  </si>
  <si>
    <t>['¬© 1987', 'subaperture technique', 'subaperture methods', 'subaperture maximum', 'smooth surface', 'simulation results', 'rights reserved', 'radar target', 'main aperture', 'linear array', 'likelihood estimator', 'elevation angles', 'electrical engineers']</t>
  </si>
  <si>
    <t>Antennas (arrays) | Radar and radionavigation</t>
  </si>
  <si>
    <t>Three-subaperture methods for estimating the elevation angles of two targets within the 3 dB beamwidth for the main aperture of a linear array are discussed and applied to the case of a radar target in the presence of multipath over a smooth surface. Simulation results and comparison with the three-subaperture maximum-likelihood estimator by Cantrell et al. are presented. A four-subaperture technique to solve the in-phase and antiphase signal cases is suggested. ¬© 1987, The Institution of Electrical Engineers. All rights reserved.</t>
  </si>
  <si>
    <t>597-601</t>
  </si>
  <si>
    <t>60000891;60000891</t>
  </si>
  <si>
    <t>7103379557;7402565933</t>
  </si>
  <si>
    <t>Taha, A.;Hudson, J.</t>
  </si>
  <si>
    <t>Taha A.</t>
  </si>
  <si>
    <t>Trigonometric high-resolution method to resolve two close targets</t>
  </si>
  <si>
    <t>10.1049/ip-f-1.1987.0097</t>
  </si>
  <si>
    <t>2-s2.0-0023436671</t>
  </si>
  <si>
    <t>['signal bandwidth', 'shaping filter', 'several times', 'previous paper', 'paper describes', 'optimal detector', 'interference powers', 'electronics engineers', 'earlier results', 'desired signal', 'cw interference', 'bpsk signal', 'bandwidth reduction', 'arrival angles', 'array bandwidth', 'adaptive array']</t>
  </si>
  <si>
    <t>This paper describes the performance of an adaptive array when used with narrowband BPSK communication signals. A previous paper [11] described the performance of an adaptive array with a standard BPSK signal when the array bandwidth is several times the signal bandwidth. These earlier results are extended to the case where the array bandwidth is as small as possible, equal to the desired signal symbol rate. To realize such a bandwidth reduction, it is necessary to reshape the BPSK signaling waveform before transmission to prevent intersymbol interference. This is done by passing the BPSK signal through a pulse-shaping filter at the transmitter. The performance of the optimal detector for the narrowband BPSK signal is determined when this detector operates behind an adaptive array that is subjected to CW interference. The bit error probability is obtained as a function of the desired signal and interference powers and arrival angles as well as the array bandwidth. Copyright ¬© 1987 by The Institute of Electrical and Electronics Engineers, Inc.</t>
  </si>
  <si>
    <t>1005-1011</t>
  </si>
  <si>
    <t>Ganz, Matthew W.;Compton, R. T.</t>
  </si>
  <si>
    <t>Protection of a narrowband bpsk communication system with an adaptive array</t>
  </si>
  <si>
    <t>10.1109/TCOM.1987.1096681</t>
  </si>
  <si>
    <t>2-s2.0-0023436721</t>
  </si>
  <si>
    <t>NAG-1-562</t>
  </si>
  <si>
    <t>['two techniques', 'two methods', 'triple reflections', 'surface integrations', 'subsequently reduce', 'single diffractions', 'second method', 'reflected wave', 'readily amenable', 'rapid increase', 'ptd solution', 'planar nature', 'physical theory', 'physical optics', 'integrations cannot', 'initial reflections', 'inherently simple', 'horizontal polarizations', 'geometrical optics', 'first method', 'electronics engineers', 'easily performed', 'computer solutions', 'closed form', 'backscatter mechanisms', 'azimuthal plane', 'analytical calculations']</t>
  </si>
  <si>
    <t>Physical optics (PO) and the physical theory of diffraction (PTD) are used to determine the backscatter cross sections of dihedral corner reflectors in the azimuthal plane for the vertical and horizontal polarizations. The analysis incorporates single, double, and triple reflections; single diffractions; and reflection-diffractions. Two techniques for analyzing these backscatter mechanisms are contrasted. In the first method, geometrical optics (GO) is used in place of physical optics at initial reflections to maintain the planar nature of the reflected wave and subsequently reduce the complexity of the analysis. The objective is to avoid any surface integrations which cannot be performed in closed form. This technique is popular because it is inherently simple and is readily amenable to computer solutions. In the second method, physical optics is used at nearly every reflection to maximize the accuracy of the PTD solution at the expense of a rapid increase in complexity. In this technique, many of the integrations cannot be easily performed, and numerical techniques must be utilized. However, this technique can yield significant improvements in accuracy. In this paper, the induced surface current densities and the resulting cross section patterns are illustrated for these two methods. Experimental measurements confirm the accuracy of the analytical calculations for dihedral corner reflectors with right, acute, and obtuse interior angles. Copyright ¬© 1987 by The Institute of Electrical and Electronics Engineers, Inc.</t>
  </si>
  <si>
    <t>1137-1147</t>
  </si>
  <si>
    <t>Backscatter Analysis of Dihedral Corner Reflectors Using Physical Optics and the Physical Theory of Diffraction</t>
  </si>
  <si>
    <t>10.1109/TAP.1987.1143987</t>
  </si>
  <si>
    <t>2-s2.0-0023436873</t>
  </si>
  <si>
    <t>['variable spacing', 'switchable elements', 'measurements demonstrate', 'element array', 'electronics engineers', 'effective pattern']</t>
  </si>
  <si>
    <t>A procedure to design a switched pattern antenna array is developed and demonstrated on a 16- and eight-element array. The variable spacing of elements allows us to reduce the number of switchable elements to a minimum and to reduce the sidelobes of the effective pattern. Based on this design we have built and tested an eight-element prototype array. Measurements demonstrate the feasibility of the pattern switching concept for improved sidelobe performance. Copyright ¬© 1987 by The Institute of Electrical and Electronics Engineers, Inc.</t>
  </si>
  <si>
    <t>1104-1110</t>
  </si>
  <si>
    <t>60025916;60025916</t>
  </si>
  <si>
    <t>7006640608;6603942863</t>
  </si>
  <si>
    <t>Zrniƒá, Dusan S.;Sachidananda, M.</t>
  </si>
  <si>
    <t>Norman</t>
  </si>
  <si>
    <t>NOAA National Severe Storms Laboratory</t>
  </si>
  <si>
    <t>Zrniƒá D.S.</t>
  </si>
  <si>
    <t>A Switched Pattern Radar Antenna Array</t>
  </si>
  <si>
    <t>10.1109/TAP.1987.1143995</t>
  </si>
  <si>
    <t>2-s2.0-0023436951</t>
  </si>
  <si>
    <t>['¬© 1987', 'worst within', 'symmetry plane', 'rights reserved', 'produce merely', 'polarisation errors', 'parallel loop', 'idealised ship', 'hf range', 'evaluation process', 'electrical engineers', 'df errors', 'crossed loop', 'briefly analysed']</t>
  </si>
  <si>
    <t>Antennas | Radar and radionavigation</t>
  </si>
  <si>
    <t>The situation of shipboard DF antennas is briefly analysed. It is shown that DF errors are worst within the HF range, and then especially to port and starboard. It is shown that this region can be covered by a parallel loop arrangement which must be kept 'blind' to the main reradiating structures in addition to the conventional crossed loop DF. Theoretical considerations prove that all structures in a ship's symmetry plane and an idealised ship's hull no longer create bearing errors. Unsymmetrically placed components, which continue to affect the parallel loop, turn out to produce merely a very smooth error curve, which can easily be compensated by computer-stored correction tables during the evaluation process. Polarisation errors, which appear when direction-finding with a crossed loop, are shown to be at a much lower level when using a parallel loop. ¬© 1987, The Institution of Electrical Engineers. All rights reserved.</t>
  </si>
  <si>
    <t>609-614</t>
  </si>
  <si>
    <t>M√∂nich, G.</t>
  </si>
  <si>
    <t>M√∂nich G.</t>
  </si>
  <si>
    <t>Antenna elements for improved shipboard HF direction-finding</t>
  </si>
  <si>
    <t>10.1049/ip-f-1.1987.0100</t>
  </si>
  <si>
    <t>2-s2.0-0023437119</t>
  </si>
  <si>
    <t>['theoretical results', 'small deviations', 'reduce drastically', 'physical optics', 'modest departures', 'good agreement', 'experimental measurements', 'electronics engineers']</t>
  </si>
  <si>
    <t>Small deviations from orthogonality can reduce drastically the backscattering radar cross section (RCS) of dihedral cornner reflectors. The method of physical optics is used to calculate the magnitude of the reductions in RCS which result from modest departures from orthogonality. The theoretical results are then compared with experimental measurements which are found to be in very good agreement. Copyright ¬© 1987 by The Institute of Electrical and Electronics Engineers, Inc.</t>
  </si>
  <si>
    <t>1154-1159</t>
  </si>
  <si>
    <t>Anderson, W. C.</t>
  </si>
  <si>
    <t>Defence Science and Technology Organisation</t>
  </si>
  <si>
    <t>Anderson W.C.</t>
  </si>
  <si>
    <t>Consequences of Nonorthogonality on the Scattering Properties of Dihedral Reflectors</t>
  </si>
  <si>
    <t>10.1109/TAP.1987.1143993</t>
  </si>
  <si>
    <t>2-s2.0-0023437322</t>
  </si>
  <si>
    <t>['¬© 1987', 'wave antenna', 'theoretical results', 'rights reserved', 'radiation pattern', 'radiation characteristics', 'nrd leaky', 'new leaky', 'good agreement', 'gnrd leaky', 'experimental data', 'electrical engineers', 'dielectric strip', 'assembling precisely']</t>
  </si>
  <si>
    <t>Antennas | Dielectric waveguides | Dielectrics | Leaky-wave antennas | Millimetre-wave antennas</t>
  </si>
  <si>
    <t>A new leaky-wave antenna constructed from a groove nonradiative dielectric (GNRD) waveguide is presented. The GNRD leaky-wave antenna overcomes the difficulty of assembling precisely the dielectric strip in the NRD leaky-wave antenna, and is superior to the NRD leaky-wave antenna of the same size in the radiation pattern. The propagation and radiation characteristics of the GNRD leaky-wave antenna are analysed by use of the transverse resonance method. The theoretical results are in good agreement with experimental data. ¬© 1987, The Institution of Electrical Engineers. All rights reserved.</t>
  </si>
  <si>
    <t>1191-1192</t>
  </si>
  <si>
    <t>60106849;60106849</t>
  </si>
  <si>
    <t>7409424720;7404201926</t>
  </si>
  <si>
    <t>Zhang, Wen Xun;Zhu, Lei</t>
  </si>
  <si>
    <t>Nanjing</t>
  </si>
  <si>
    <t>Nanjing Institute of Technology</t>
  </si>
  <si>
    <t>Zhang W.</t>
  </si>
  <si>
    <t>New leaky-wave antenna for millimetre waves constructed from groove nrd waveguide</t>
  </si>
  <si>
    <t>10.1049/el:19870828</t>
  </si>
  <si>
    <t>2-s2.0-0023437339</t>
  </si>
  <si>
    <t>['wave ratio', 'voltage standing', 'unbalanced stripline', 'presented together', 'electronics engineers', 'e .,', 'dielectric substrate', 'design procedure', 'characteristic impedance', 'balanced l', 'antenna design', 'antenna analysis', 'also discussed']</t>
  </si>
  <si>
    <t>A microwave printed planar log-periodic dipole array (LPDA) antenna analysis and design procedure is presented together with the description of a planar feeding technique. The effects of the dielectric substrate on the antenna design are also discussed and taken into account. A numerical technique using the finite element method is employed to obtain the characteristic impedance and effective dielectric constant of the transmission lines involved, i.e., an unbalanced stripline and a balanced l i e having only two parallel strips. A 4-8 GHz printed LPDA antenna was manufactured and tested, showing very good radiation pattern and voltage standing-wave ratio (VSWR) values over the entire frequency range. Copyright ¬© 1987 by The Institute of Electrical and Electronics Engineers, Inc.</t>
  </si>
  <si>
    <t>1176-1178</t>
  </si>
  <si>
    <t>60021970;60021970;60032361-60011897</t>
  </si>
  <si>
    <t>57191016644;6701357898;6603297033</t>
  </si>
  <si>
    <t>Pantoja, R. R.;Sapienza, A. R.;Medeiros Filho, F. C.</t>
  </si>
  <si>
    <t>Brazil;Brazil;United Kingdom</t>
  </si>
  <si>
    <t>Rio de Janeiro;Rio de Janeiro;Leatherhead</t>
  </si>
  <si>
    <t>Pontif√≠cia Universidade Cat√≥lica do Rio de Janeiro;Instituto Militar de Engenharia;ERA Technology Ltd</t>
  </si>
  <si>
    <t>60032361;60021970;60011897</t>
  </si>
  <si>
    <t>Pantoja R.R.</t>
  </si>
  <si>
    <t>A Microwave Printed Planar Log-Periodic Dipole Array Antenna</t>
  </si>
  <si>
    <t>10.1109/TAP.1987.1143990</t>
  </si>
  <si>
    <t>2-s2.0-0023438153</t>
  </si>
  <si>
    <t>['¬© 1987', 'worst case', 'specific results', 'significant high', 'rights reserved', 'possible combinations', 'plane coupling', 'mode coupling', 'electrical engineers', 'crosspolar pattern']</t>
  </si>
  <si>
    <t>Antenna arrays | Antennas | Coupling | Waveguides</t>
  </si>
  <si>
    <t>Mutual admittance expressions are given for all possible combinations of mode coupling in an array of identical collinear rectangular waveguides opening into an infinite ground plane. Specific results are presented for the worst case of E-plane coupling between identical square waveguide to show that significant high-order mode excitation can occur. Some of these modes are a source of crosspolarisation, making mutual coupling important to the prediction of the crosspolar pattern of a rectangular waveguide array. ¬© 1987, The Institution of Electrical Engineers. All rights reserved.</t>
  </si>
  <si>
    <t>1199-1201</t>
  </si>
  <si>
    <t>Bird T.S.</t>
  </si>
  <si>
    <t>Mutual coupling in finite coplanar rectangular waveguide arrays</t>
  </si>
  <si>
    <t>10.1049/el:19870834</t>
  </si>
  <si>
    <t>2-s2.0-0023438564</t>
  </si>
  <si>
    <t>['rays diffracted', 'physical optics', 'model employs', 'loading impedance', 'loaded surfaces', 'found relevant', 'electronics engineers', 'diffracted fields', 'currents due']</t>
  </si>
  <si>
    <t>An accurate mathematical model for the backscattering from a loaded dihedral corner has been developed. Such a model employs a generalization of physical optics (PO) to loaded surfaces which takes into account the lighting of each face by the rays diffracted by the edge of the other one. The inclusion of the currents due to such diffracted fields in the PO current distribution has been found relevant in order to improve the accuracy of the solution. Moreover the solution is uniform with respect to the loading impedance; as it coincides with the previously obtained solution for the perfectly conducting case, when the loading impedance approaches zero. Copyright ¬© 1987 by The Institute of Electrical and Electronics Engineers, Inc.</t>
  </si>
  <si>
    <t>1148-1153</t>
  </si>
  <si>
    <t>60002324;60010146;60031624</t>
  </si>
  <si>
    <t>7006318221;7102694227;7003785247</t>
  </si>
  <si>
    <t>Corona, Paolo;Ferrara, Giuseppe;Gennarelli, Claudio</t>
  </si>
  <si>
    <t>Italy;Italy;Italy</t>
  </si>
  <si>
    <t>Ancona;Catania;Florence</t>
  </si>
  <si>
    <t>Universit√† Politecnica delle Marche;Universit√† degli Studi di Catania;Istituto Di Fisica Applicata Nello Carrara</t>
  </si>
  <si>
    <t>60031624;60010146;60002324</t>
  </si>
  <si>
    <t>Corona P.</t>
  </si>
  <si>
    <t>Backscattering by Loaded and Unloaded Dihedral Corners</t>
  </si>
  <si>
    <t>10.1109/TAP.1987.1143986</t>
  </si>
  <si>
    <t>2-s2.0-0023438736</t>
  </si>
  <si>
    <t>['true image', 'spherical cap', 'shaped lenses', 'secondary focus', 'phase center', 'installed near', 'incoming fields', 'horn aperture', 'highest efficiency', 'frequency independent', 'electronics engineers', 'convenient way', 'center located', 'cassegrain antenna', 'aperture illumination', 'aperture efficiency', 'aperture efficiencies', 'aperture distribution', 'angle horn', 'also independent']</t>
  </si>
  <si>
    <t>Gaussian mode analysis is a convenient way to characterize long focal length systems, such as the Cassegrain antenna at the secondary focus. We use multimode Gaussian optics to derive several interesting results concerning the aperture efficiencies of Cassegrain antennas fed by corrugated conical horns. The highest efficiency is obtained when the antenna is illuminated by a wide-band, wide-angle horn which has its phase center at the secondary focus, or equivalently by a narrow-band diffraction limited horn with its phase-center located at a confocal tertiary focus. In both cases this corresponds to placing the horn aperture at a position where the incoming fields are frequency-independent and have limited spatial extent. We generalize these results to show that a true image of the aperture distribution can always be formed on the spherical cap in the aperture of any arbitrary scalar horn, by using a single refocusing tertiary lens or mirror. Since both the incoming fields and the horn aperture fields on this surface are frequency independent, it follows that the aperture efficiency is also independent of frequency with either of these arrangements. We suggest that devices for shaping the aperture illumination, such as shaped lenses or dual shaped subreflector systems, should, in general, be installed near an image of the telescope aperture distribution. Copyright ¬© 1987 by The Institute of Electrical and Electronics Engineers, Inc.</t>
  </si>
  <si>
    <t>1093-1103</t>
  </si>
  <si>
    <t>60101780;60101780;60101780</t>
  </si>
  <si>
    <t>7005970572;55587645400;57203048048</t>
  </si>
  <si>
    <t>Padman, Rachael;Murphy, J. Anthony;Hills, Richard E.</t>
  </si>
  <si>
    <t>Mullard Radio Astronomy Observatory</t>
  </si>
  <si>
    <t>Padman R.</t>
  </si>
  <si>
    <t>Gaussian Mode Analysis of Cassegrain Antenna Efficiency</t>
  </si>
  <si>
    <t>10.1109/TAP.1987.1143983</t>
  </si>
  <si>
    <t>2-s2.0-0023439160</t>
  </si>
  <si>
    <t>['¬© 1987', 'simulation software', 'provide examples', 'future work', 'engineer often', 'considering directions', 'computer simulation', 'combined efficiently']</t>
  </si>
  <si>
    <t>In conducting a computer simulation, a scientist or engineer often has a criterion that the model should fit. This criterion can take the form of fitting experimental data or determining an extremum of a general optimization function. While such problems can be attacked via parameter sweep techniques, they can be dealt with more efficiently by using numerical optimization methods. We provide examples of such problems and discuss how optimization and simulation software can be combined efficiently and robustly. These examples are then summarized by seeking common features of the problems, and we conclude by considering directions for future work. ¬© 1987.</t>
  </si>
  <si>
    <t>453-466</t>
  </si>
  <si>
    <t>Applied Numerical Mathematics</t>
  </si>
  <si>
    <t>Minkoff, Michael</t>
  </si>
  <si>
    <t>Lemont</t>
  </si>
  <si>
    <t>Argonne National Laboratory</t>
  </si>
  <si>
    <t>Minkoff M.</t>
  </si>
  <si>
    <t>Approaches to optimization/simulation problems</t>
  </si>
  <si>
    <t>0168-9274(87)90033-X</t>
  </si>
  <si>
    <t>10.1016/0168-9274(87)90033-X</t>
  </si>
  <si>
    <t>2-s2.0-0023439658</t>
  </si>
  <si>
    <t>['tdrs satellites', 'system operates', 'orbiting platform', 'lan ).', 'ground facilities', 'frequency standards', 'following services', 'electronics engineers', 'effectors communicate', 'core systems', 'band channel', '300 mbps']</t>
  </si>
  <si>
    <t>The communications and tracking (C&amp;T) system on board the orbiting platform communicates with the ground facilities through the TDRS satellites. The C&amp;T system operates on Ku and S-band. Using a high gain antenna the Ku-band channel can support a downlink data rate of 300 Mbps through the TDRS single axis channel. The S-band system communicates with the orbiter and with both multiple and single axis TDRS channels. The Data Management System (DMS) provides the following services to the orbiting platform: data distribution within and between core systems and payloads, data processing facilities for core systems, data base management, time and frequency standards, and overall platform management and control. The DMS is a distributed data processing network. The nodes are connected by a local area network (LAN). Each node is autonomous. Since the design is modular, nodes can be added or deleted without disturbing the system. Sensors and effectors communicate with the core system software via the network through multiplexer/demultiplexers. Copyright ¬© 1987 by The Institute of Electrical and Electronics Engineers, Inc.</t>
  </si>
  <si>
    <t>24-29</t>
  </si>
  <si>
    <t>IEEE Aerospace and Electronic Systems Magazine</t>
  </si>
  <si>
    <t>60025209;</t>
  </si>
  <si>
    <t>7403515780;6507554563</t>
  </si>
  <si>
    <t>Clark, Walton;Kraiman, Howard</t>
  </si>
  <si>
    <t>Northrop Grumman corporation</t>
  </si>
  <si>
    <t>Clark W.</t>
  </si>
  <si>
    <t>Orbiting Platform Communication and Data Management Systems</t>
  </si>
  <si>
    <t>10.1109/MAES.1987.5005253</t>
  </si>
  <si>
    <t>2-s2.0-0023439972</t>
  </si>
  <si>
    <t>['way communications', 'transmitter power', 'space suit', 'space station', 'signal received', 'propulsive backpack', 'nominal values', 'mmu ),', 'maximum range', 'function regardless', 'flush mounted', 'desired coverage', 'communication system', 'band frequency', 'astronaut moves', 'antenna system', 'antenna gains']</t>
  </si>
  <si>
    <t>An Extra Vehicular Activity (EVA) crewmember has two-way communications with the Space Station in the Ku-band frequency (12-18 GHz). The maximum range of the EVA communications link with the Space Station is approximately one kilometer for nominal values for transmitter power, antenna gains, and receiver noise figure. The EVA Communications System, that will continue to function regardless of the astronaut's position and orientation, requires an antenna system that has a full spherical coverage. Three or more antennas that can be flush mounted on the astronaut's space suit (EMU) and/or his propulsive backpack (MMU), will be needed to provide the desired coverage. As the astronaut moves in the Space Station, the signal received by a given EVA antenna changes. An automatic antenna switching system is needed that will switch the communication system to the antenna with the largest signal strength. A design for automatic antenna switching is presented and discussed.</t>
  </si>
  <si>
    <t>NASA Contractor Reports</t>
  </si>
  <si>
    <t>Nov</t>
  </si>
  <si>
    <t>Randhawa, Manjit S.</t>
  </si>
  <si>
    <t>Southern University</t>
  </si>
  <si>
    <t>Randhawa M.</t>
  </si>
  <si>
    <t>Automatic antenna switching design for Extra Vehicular Activity (EVA) communication system</t>
  </si>
  <si>
    <t>2-s2.0-0023450245</t>
  </si>
  <si>
    <t>['undelayed signal', 'time delay', 'specular multipath', 'significant result', 'signals impinging', 'reflection coefficient', 'proposed approach', 'new approach', 'linear time', 'invariant imbedding', 'francis group', 'filter structure', 'estimated using', 'elevation angle', 'delay estimation', 'combined presence', 'accomplished using']</t>
  </si>
  <si>
    <t>A new approach, based on non-linear time-delay estimation, is described for estimating the elevation angle in the combined presence of specular multipath and receiver noise‚Äîa situation that is encountered in the low-angle tracking radar environment. Estimation of the elevation angle is accomplished using the time delay between the signals impinging on the antenna array elements. Thus, the accuracy in the elevation angle estimation is dependent on the accuracy of the time-delay estimation algorithm. The formulation of the problem enables one to find the desired estimates independently of the reflection coefficient, which is a significant result. In the proposed approach, a newly derived non-linear filter due to the author (1986) is used. The filter structure is estimated using the Pontryagin minimum principle and the method of invariant imbedding, and is used to find an estimate for the delayed and undelayed signal. Subsequently, the time delay and the elevation angle are estimated. ¬© 1987 Taylor &amp; Francis Group, LLC.</t>
  </si>
  <si>
    <t>2183-2196</t>
  </si>
  <si>
    <t>International Journal of Systems Science</t>
  </si>
  <si>
    <t>Abutaleb, Ahmed S.</t>
  </si>
  <si>
    <t>Temple University</t>
  </si>
  <si>
    <t>Abutaleb A.</t>
  </si>
  <si>
    <t>Low-angle tracking radars and non-linear time-delay estimation</t>
  </si>
  <si>
    <t>10.1080/00207728708967180</t>
  </si>
  <si>
    <t>2-s2.0-0023450804</t>
  </si>
  <si>
    <t>['spherical modes', 'special cases', 'ring arrays', 'key words', 'index code', 'free space', 'dimensional arrays', 'also considered']</t>
  </si>
  <si>
    <t>The performances of one-, two-, and three-dimensional arrays are reviewed and related to the spherical modes of free space. The characteristics of interferometers, ring arrays, and highly thinned arrays are also considered as special cases. Key Words-Arrays, one-, two-, three-dimensional, comparisons. Index Code-171. ¬© 1987 IEEE.</t>
  </si>
  <si>
    <t>314-316</t>
  </si>
  <si>
    <t>;60022403</t>
  </si>
  <si>
    <t>7401909668;7005691179</t>
  </si>
  <si>
    <t>Adams, A. T.;Leviatan, Yehuda</t>
  </si>
  <si>
    <t>Technion - Israel Institute of Technology</t>
  </si>
  <si>
    <t>One-, two-, and three-dimensional arrays</t>
  </si>
  <si>
    <t>10.1109/TEMC.1987.304311</t>
  </si>
  <si>
    <t>2-s2.0-0023451180</t>
  </si>
  <si>
    <t>['small angles', 'resolution angle', 'rectangular pulses', 'n2x n2', 'maximum sidelobe', 'main beam', 'large angles', 'energy patterns', 'energy pattern', 'dimensional arrays', 'coded sequence']</t>
  </si>
  <si>
    <t>A two-dimensional beamforming technique is presented for two-dimensional arrays of (N √ó N) sensors receiving plane wavefronts with nonsinusoidal time variations in the form of a single rectangular pulse of duration T or in the form of a coded sequence of rectangular pulses with nominal time duration T. The three-dimensional energy pattern has a main beam for small angles of incidence and a number of sidelobes for large angles of incidence. For wavefronts with rectangular time variations, the maximum sidelobe has the magnitude1/N and, for coded time variations, the maximum sidelobe exceeds 1/N. The magnitude of the sidelobes of the energy pattern can be decreased by increasing the number of sensors in the array. The resolution angle can be decreased by the ratio (N1/N2) when the number of sensors is increased from (N1 √ó N1) to (N2x N2) and it can be decreased by the ratio (T1/T2) when the nominal time duration is decreased from T2 to T1. Waveform distortion results in a degradation of the resolution angle. Key Words‚ÄîNonsinusoidal signals, beamforming, energy patterns, resolution angle. ¬© 1987 IEEE.</t>
  </si>
  <si>
    <t>303-313</t>
  </si>
  <si>
    <t>Mohamed, Nasser J.</t>
  </si>
  <si>
    <t>Safat</t>
  </si>
  <si>
    <t>College of Engineering and Petroleum Kuwait</t>
  </si>
  <si>
    <t>Mohamed N.J.</t>
  </si>
  <si>
    <t>Two-dimensional beamforming with nonsinusoidal signals</t>
  </si>
  <si>
    <t>10.1109/TEMC.1987.304310</t>
  </si>
  <si>
    <t>2-s2.0-0023451457</t>
  </si>
  <si>
    <t>['toroidal surface', 'theory presented', 'theory developed', 'storer considered', 'specifically takes', 'space green', 'solution extends', 'results obtained', 'previously considered', 'previous works', 'previous investigators', 'plane wave', 'loop current', 'following sections', 'finite dimension', 'fatter wires', 'excellent agreement', 'electronics engineers', 'driven antennas', 'cross section', 'authors used']</t>
  </si>
  <si>
    <t>The circular loop antenna has been investigated by many authors beginning as early as 1897 with Pocklington's study of the thin wire loop excited by a plane wave. Later, both Hallen and Storer considered the case of driven antennas. All of these authors used a Fourier series expansion for the loop current, and the latter two found numerical difficulties with the approach. These difficulties, as pointed out by Wu, can be avoided by integration of the free-space Green's function over the toroidal surface of the wire. The theory developed here is an improvement on previous works because it specifically takes into account the finite dimension of the wire. Consequently, the range of validity for our solution extends to fatter wires than previously considered. Furthermore, some detail of the loop current around the cross section of the wire is revealed. The theory, if applied to thin wire loops, gives radiation admittances in excellent agreement with results obtained by previous investigators. The computations of the electromagnetic fields near resonant loops show that the electric field strength is larger by a factor of ten than previously published values. Experimental results validate the theory presented in the following sections. Copyright ¬© 1988 by The Institute of Electrical and Electronics Engineers, Inc.</t>
  </si>
  <si>
    <t>173-183</t>
  </si>
  <si>
    <t>60024590;60024590</t>
  </si>
  <si>
    <t>56981005000;6603619174</t>
  </si>
  <si>
    <t>Ano, Quirino Balz;Siwiak, Kazimierz</t>
  </si>
  <si>
    <t>Schaumburg</t>
  </si>
  <si>
    <t>Motorola</t>
  </si>
  <si>
    <t>Ano Q.B.</t>
  </si>
  <si>
    <t>The near field of annular antennas</t>
  </si>
  <si>
    <t>10.1109/T-VT.1987.24116</t>
  </si>
  <si>
    <t>2-s2.0-0023452491</t>
  </si>
  <si>
    <t>['¬© 1987', 'uses papoulis', 'receiving antennas', 'random fields', 'particular case', 'gaussian process', 'francis group', 'finally applied', 'arbitrary transmitting', 'ambiguity function']</t>
  </si>
  <si>
    <t>An electromagnetic or acoustic beam incident on a randomly rough boundary is modelled as a random phase screen. The particular case of a gaussian beam incident on a screen whose phase is a gaussian process is considered in detail. The technique, which uses Papoulis' extension of Woodward's ambiguity function for random fields, is finally applied to arbitrary transmitting and receiving antennas (or transducers) coupled through a phase screen whose statistics are arbitary but stationary. ¬© 1987, Taylor and Francis Group, LLC.</t>
  </si>
  <si>
    <t>801-818</t>
  </si>
  <si>
    <t>Clarke, R. H.</t>
  </si>
  <si>
    <t>Imperial College London</t>
  </si>
  <si>
    <t>Clarke R.</t>
  </si>
  <si>
    <t>Beam diffraction by a random phase screen</t>
  </si>
  <si>
    <t>10.1080/00207218708939186</t>
  </si>
  <si>
    <t>2-s2.0-0023453218</t>
  </si>
  <si>
    <t>['wiley company', 'various characteristics', 'unbalanced modes', 'structure exists', 'present structure', 'paper reports', 'one wavelength', 'made much', 'loop conductor', 'loop antenna', 'inc .,', 'equivalent circuit', 'current distribution', 'circular polarization', 'branch wire', 'axial ratio', 'appropriate length', 'antenna derives']</t>
  </si>
  <si>
    <t>This paper reports on the analysis and design of a circularly polarized antenna consisting of a loop antenna with a branch wire of an appropriate length. The idea for developing this antenna derives from the fact that the branch wire has a characteristic as a transmission line coupled with a loop conductor. The present structure is a simple single‚Äêfeed antenna operating equivalently as a two‚Äêpoint feed‚Äêloop antenna. The current distribution in the antenna is decomposed to the balanced and unbalanced modes for which the equivalent circuit and equivalent loop antenna have been derived. The condition for circular polarization has been obtained from the equivalent loop antenna. Based on this condition, a circularly polarized antenna has been designed and various characteristics such as the axial ratio have been obtained. From these characteristics it is found that a structure exists for which the axial ratio can be made much more broadband than other antennas with the length of about one wavelength. The validity of the theory has been confirmed by experiments. Copyright ¬© 1987 Wiley Periodicals, Inc., A Wiley Company</t>
  </si>
  <si>
    <t>110-117</t>
  </si>
  <si>
    <t>60018429;60018429</t>
  </si>
  <si>
    <t>56036522400;7003674455</t>
  </si>
  <si>
    <t>Nakamura, Takashi;Yokokawa, Senji</t>
  </si>
  <si>
    <t>Loop antenna with a branch wire for circular polarization</t>
  </si>
  <si>
    <t>10.1002/ecja.4410701111</t>
  </si>
  <si>
    <t>2-s2.0-0023453345</t>
  </si>
  <si>
    <t>['sufficient condition', 'orthogonality relationship', 'nearly obey', 'mutual resistance', 'mutual coupling', 'incident field', 'far field', 'existing designs', 'electronics engineers', 'diversity antenna', 'diversity action', 'discussed along', 'certain class', 'base station', 'antenna parameters']</t>
  </si>
  <si>
    <t>The conditions for antenna diversity action are investigated. In terms of the fields, a condition is shown to be that the incident field and the far field of the diversity antenna should obey (or nearly obey) an orthogonality relationship. The role of mutual coupling is central, and it is different from that in a conventional array antenna. In terms of antenna parameters, a sufficient condition for diversity action for a certain class of high gain antennas at the mobile, which approximates most practical mobile antennas, is shown to be zero (or low) mutual resistance between elements. This is not the case at the base station, where the condition is necessary only. The mutual resistance condition offers a powerful design tool, and examples of new mobile diversity antennas are discussed along with some existing designs. Copyright ¬© 1988 by The Institute of Electrical and Electronics Engineers, Inc.</t>
  </si>
  <si>
    <t>149-172</t>
  </si>
  <si>
    <t>60016302;60022134</t>
  </si>
  <si>
    <t>7201481830;7403571081</t>
  </si>
  <si>
    <t>Vaughan, Rodney G.;Andersen, J. Bach</t>
  </si>
  <si>
    <t>Denmark;New Zealand</t>
  </si>
  <si>
    <t>Aalborg;</t>
  </si>
  <si>
    <t>Aalborg University;New Zealand Department of Scientific and Industrial Research</t>
  </si>
  <si>
    <t>60022134;60016302</t>
  </si>
  <si>
    <t>Vaughan R.G.</t>
  </si>
  <si>
    <t>Antenna diversity in mobile communications</t>
  </si>
  <si>
    <t>10.1109/T-VT.1987.24115</t>
  </si>
  <si>
    <t>2-s2.0-0023453372</t>
  </si>
  <si>
    <t>['¬© 1987', 'transmit aperture', 'receive aperture', 'optimum side', 'optical microscopy', 'lobe suppression', 'linear array', 'imaging techniques', 'equations describing', 'achieve side', '1 0']</t>
  </si>
  <si>
    <t>arrays | beam patterns | SAFT</t>
  </si>
  <si>
    <t>Equations describing the focal depth two-way continuous wave beam patterns of a linear array which is focussed on transmit and receive are analysed. By using different size apertures on transmit and receive, it is possible to place the minima of one beam pattern near the side-lobe of the other and achieve side-lobe suppression. The optimum side-lobe response occurs when the transmit aperture is ‚âà 0.72 (or 1 0.72) of the receive aperture. Simulations for pulsed mode operation of a 2 MHz synthetically focussed linear array, using this technique, are included. The implications for other imaging techniques such as confocal scanning acoustic and optical microscopy are discussed. ¬© 1987.</t>
  </si>
  <si>
    <t>322-327</t>
  </si>
  <si>
    <t>0041624X</t>
  </si>
  <si>
    <t>Ultrasonics</t>
  </si>
  <si>
    <t>Moshfeghi, M.</t>
  </si>
  <si>
    <t>Philips Research</t>
  </si>
  <si>
    <t>Moshfeghi M.</t>
  </si>
  <si>
    <t>Side-lobe suppression for ultrasonic imaging arrays</t>
  </si>
  <si>
    <t>0041624X87900795</t>
  </si>
  <si>
    <t>10.1016/0041-624X(87)90079-5</t>
  </si>
  <si>
    <t>2-s2.0-0023453439</t>
  </si>
  <si>
    <t>['slightly displacing', 'short distance', 'sharp cutoff', 'secondary mirror', 'minimal expense', 'millimeter wavelengths', 'gain amounts', 'dielectric lens', 'copyright 1987', '7 db', '17 %,']</t>
  </si>
  <si>
    <t>We have succeeded in boosting the overall aperture efficiency of a Cassegrain radio antenna by introducing a dielectric lens into the beam. The gain amounts to 0.7 dB, or about 17%, at millimeter wavelengths. The lens, of weak optical power, but strongly aspherical figure, is placed a short distance in front of the feed. It serves to redistribute the field in the aperture of the telescope, making the amplitude more uniform, with a sharp cutoff at the edge. The aberrations (defocusing and spherical) introduced by the lens are balanced by slightly displacing the secondary mirror. The lens can be adapted to many existing telescopes employing classical paraboloid‚Äêhyperboloid optics, at minimal expense. Copyright 1987 by the American Geophysical Union.</t>
  </si>
  <si>
    <t>1091-1101</t>
  </si>
  <si>
    <t>57225684156;7004435256;35552767000</t>
  </si>
  <si>
    <t>Hudson, Jerome A.;Plambeck, Richard;Welch, William J.</t>
  </si>
  <si>
    <t>Hudson J.A.</t>
  </si>
  <si>
    <t>Aperture efficiency enhancement in a Cassegrain system by means of a dielectric lens</t>
  </si>
  <si>
    <t>10.1029/RS022i006p01091</t>
  </si>
  <si>
    <t>2-s2.0-0023453856</t>
  </si>
  <si>
    <t>15 ST.36001-1-0703</t>
  </si>
  <si>
    <t>['¬© 1987', 'typical results', 'total space', 'satellite uplink', 'required performance', 'projected number', 'pointing error', 'ground segments', 'different unfaded', 'different modulations', 'different analogue', 'antenna diameter']</t>
  </si>
  <si>
    <t>The optimization of the satellite communications payload and ground mobile terminals is applied here to evaluate the impact of the ground modulation technique and required voice quality on the performance and cost of a mobile satellite system. Different analogue and digital modulation techniques are considered, each with different unfaded (C/No) values for the satellite uplink and a given fade margin. Some typical results are given for the ground mobile antenna gain and transmitter amplifier power for different modulations, with the satellite uplink parameters such as the antenna diameter, pointing error and number of beams. They illustrate how such optimization of the total space and ground segments of the Mobile Satellite System is essential to arrive at the total cost given a set of required performance and projected number of users. ¬© 1987.</t>
  </si>
  <si>
    <t>955-958</t>
  </si>
  <si>
    <t>100317072;100317072;105896799</t>
  </si>
  <si>
    <t>7005654269;24403617300;57199375396</t>
  </si>
  <si>
    <t>Sultan, Nizar;(Tory) Payne, W. F.;Carter, D. Randolph</t>
  </si>
  <si>
    <t>Nepean;Ottawa</t>
  </si>
  <si>
    <t>AIT Corporation;Canadian Astronautics Ltd</t>
  </si>
  <si>
    <t>105896799;100317072</t>
  </si>
  <si>
    <t>Sultan N.</t>
  </si>
  <si>
    <t>Impact of modulation on optimization of ground terminal and mobile satellite payload</t>
  </si>
  <si>
    <t>0094-5765(87)90057-9</t>
  </si>
  <si>
    <t>10.1016/0094-5765(87)90057-9</t>
  </si>
  <si>
    <t>2-s2.0-0023453923</t>
  </si>
  <si>
    <t>['total loss', 'statistical quantities', 'statistical nature', 'snr ),', 'small snr', 'resolution angle', 'representation leads', 'nonsinusoidal waveforms', 'noise ratio', 'large snr', 'free case', 'confidence interval', 'array beam', 'angular information']</t>
  </si>
  <si>
    <t>angular resolution | Array beamforming | nonsinusoidal waves</t>
  </si>
  <si>
    <t>In this paper, array beamforming based on nonsinusoidal waveforms has been extended to account for the effects of band-limited Gaussian noise. To account for the statistical nature of noise, the resolution angle of the array beam is expressed in terms of statistical quantities; i.e., given a signal-to-noise ratio (SNR), the resolution angle is bounded in a confidence interval. For large SNR, such a representation leads to the noise-free case when the resolution angle reaches a minimum. For small SNR's on the other hand, beam instability occurs, signifying either angular ambiguity or the total loss of angular information. ¬© 1987 IEEE.</t>
  </si>
  <si>
    <t>289-302</t>
  </si>
  <si>
    <t>60008676;60008676</t>
  </si>
  <si>
    <t>7201555363;7404301234</t>
  </si>
  <si>
    <t>Leong, Soon H.;Gray, John E.</t>
  </si>
  <si>
    <t>Dahlgren</t>
  </si>
  <si>
    <t>Naval Surface Warfare Center Dahlgren Division</t>
  </si>
  <si>
    <t>Leong S.H.</t>
  </si>
  <si>
    <t>Angular resolution with nonsinusoidal waveforms</t>
  </si>
  <si>
    <t>10.1109/TEMC.1987.304309</t>
  </si>
  <si>
    <t>2-s2.0-0023455234</t>
  </si>
  <si>
    <t>['radio services', 'potential impact', 'control leakage', 'channel interference', 'cable signals', 'cable operator', 'antenna inputs', 'allow selection']</t>
  </si>
  <si>
    <t>The Federal Communication Commission has released rules regarding the installation of switches for new cable TV installations to allow selection between cable and antenna inputs. A study is describe for the purposes of (1) determining the effect of such installations on cable operator's obligations to control leakage of their signals into the atmosphere and, coincidentally, the potential impact on other radio services, and (2) determining the degree to which such installations may adversely affect the quality of reception afforded customers because of antenna-received local television signals causing co-channel interference with cable signals.</t>
  </si>
  <si>
    <t>Large, David J.</t>
  </si>
  <si>
    <t>San Jose</t>
  </si>
  <si>
    <t>Gillcable TV</t>
  </si>
  <si>
    <t>Large D.</t>
  </si>
  <si>
    <t>ESTIMATION OF THE IMPACT OF WIDESPREAD INSTALLATION OF ANTENNA SELECTOR SWITCHES ON SIGNAL LEAKAGE FROM CABLE TELEVISION SYSTEMS.</t>
  </si>
  <si>
    <t>10.1109/TCE.1987.290204</t>
  </si>
  <si>
    <t>2-s2.0-0023455611</t>
  </si>
  <si>
    <t>['sidelobe level', 'random variables', 'incidence field', 'incidence angle', 'field patterns', 'effective aperture', 'band measurements', 'band frequencies', 'average value', 'aperture approach', 'antenna arrays', 'analyzed using']</t>
  </si>
  <si>
    <t>Antenna array | directivity | effective aperture | impedance mismatch | near-field measurements | out-of-band response | polarization | slotted waveguide</t>
  </si>
  <si>
    <t>The response of antenna arrays to out-of-band frequencies has been analyzed using the effective-aperture approach. An average value of effective aperture can be obtained by averaging the incidence angle and the polarization of the incidence field. Far-field patterns have also been calculated by treating the array element excitations as random variables. The randomness in the element excitations causes a decrease in directivity and an increase in sidelobe level. Out-of-band measurements on a slotted-waveguide array confirm these trends. ¬© 1987 IEEE.</t>
  </si>
  <si>
    <t>282-288</t>
  </si>
  <si>
    <t>56050028200;7201841610</t>
  </si>
  <si>
    <t>Hill, David A.;Francis, Michael H.</t>
  </si>
  <si>
    <t>Hill D.A.</t>
  </si>
  <si>
    <t>Out-of-band response of antenna arrays</t>
  </si>
  <si>
    <t>10.1109/TEMC.1987.304308</t>
  </si>
  <si>
    <t>2-s2.0-0023455657</t>
  </si>
  <si>
    <t>['time period', 'simultaneous results', 'several processes', 'remote antennas', 'particle precipitation', 'pancakes perpendicular', 'occurred sporadically', 'modification experiment', 'magnetic field', 'heater frequency', 'enhanced due', 'e region', 'copyright 1987']</t>
  </si>
  <si>
    <t>Highly enhanced backscattered power levels were measured with EISCAT during a modification experiment with a powerful HF heater. They occurred sporadically when the heater frequency was close to the local plasma frequency and very regularly during a time period when the heater frequency was definitely below the local plasma frequency (overdense heating). In this latter time interval the background electron density in the E region was enhanced due to particle precipitation. From the fact that the enhanced power levels were observed only with the Troms√∏ antenna looking along the magnetic field line and not with the remote antennas, it was concluded that the artificially created irregularities are pancake‚Äêshaped, with the plane of the pancakes perpendicular to the magnetic field. Several processes which may be responsible for the excitation of these irregularities are discussed, and simultaneous results from other ground‚Äêbased experiments are presented. Copyright 1987 by the American Geophysical Union.</t>
  </si>
  <si>
    <t>1063-1072</t>
  </si>
  <si>
    <t>7006343428;7005243495;7003708221</t>
  </si>
  <si>
    <t>Schlegel, K.;Rietveld, M.;Maul, A.</t>
  </si>
  <si>
    <t>Schlegel K.</t>
  </si>
  <si>
    <t>A modification event of the auroral E region as studied with EISCAT and other diagnostics</t>
  </si>
  <si>
    <t>10.1029/RS022i006p01063</t>
  </si>
  <si>
    <t>2-s2.0-0023455746</t>
  </si>
  <si>
    <t>['¬© 1987', 'soft substrate', 'rights reserved', 'photolithographic process', 'electrical engineers']</t>
  </si>
  <si>
    <t>Antenna feeders | Antennas | Microwave circuits and systems | Slot line antennas</t>
  </si>
  <si>
    <t>A linearly tapered slotline antenna for X-band, with a novel parallel feedline, realised on a soft substrate by a photolithographic process, is described. ¬© 1987, The Institution of Electrical Engineers. All rights reserved.</t>
  </si>
  <si>
    <t>1285-1286</t>
  </si>
  <si>
    <t>Popoviƒá, N.</t>
  </si>
  <si>
    <t>Institute of Applied Physics</t>
  </si>
  <si>
    <t>Popoviƒá N.</t>
  </si>
  <si>
    <t>Novel Feedline for Linearly Tapered Slotline Antenna (Ltsa)</t>
  </si>
  <si>
    <t>10.1049/el:19870890</t>
  </si>
  <si>
    <t>2-s2.0-0023456656</t>
  </si>
  <si>
    <t>['vertical separation', 'two vertically', 'test route', 'substantially improved', 'signals received', 'separated antennas', 'recorded envelopes', 'field trials', 'envelope cross', 'cumulative distribution', 'crossing rates', 'computer simulation', 'base station', 'approximately halved', '3 km', '12 lambda']</t>
  </si>
  <si>
    <t>A series of field trials has been conducted in which a 900 MHz cw signal was transmitted from a vehicle moving along a test route some 1. 3 km from a base station. The recorded envelopes of the signals received on two vertically-separated antennas at the base station have been used in a computer simulation of two-branch predetection diversity reception. Several different systems have been simulated and the computed results show that the theoretical diversity advantages can still be obtained for an envelope cross-correlation ( rho //e//n//v)of less than 0. 7 for all strategies except switching. For a 1. 3 km radius cell, a rho //e//n//v less than 0. 7 can be obtained using antennas with a vertical separation of about 12 lambda . It has been found that the cumulative distribution and level-crossing rates of the signal are substantially improved and the average fade duration is approximately halved.</t>
  </si>
  <si>
    <t>218-224</t>
  </si>
  <si>
    <t>Nov-Dec</t>
  </si>
  <si>
    <t>7103400688;7005186888;7402708406</t>
  </si>
  <si>
    <t>Adachi, F.;Feeney, M. T.;Parsons, J. D.</t>
  </si>
  <si>
    <t>Adachi F.</t>
  </si>
  <si>
    <t>EVALUATION OF SPECIFIC DIVERSITY COMBINERS USING SIGNALS RECEIVED BY VERTICALLY-SPACED BASE-STATION ANTENNAS.</t>
  </si>
  <si>
    <t>10.1049/jiere.1987.0112</t>
  </si>
  <si>
    <t>2-s2.0-0023456678</t>
  </si>
  <si>
    <t>['transmission line', 'torus experiment', 'textor subsystem', 'system consists', 'stub tuner', 'rf setup', 'pressurized 155', 'power limitation', 'oriented research', 'operation modes', 'mw transmitter', 'launch 1', 'interface linking', 'icrh experiment', 'hot liner', 'following items', 'conditioning procedure', 'antenna loading', 'antenna diagnostics', '5 mw']</t>
  </si>
  <si>
    <t>A multimegajoule ion cyclotron resonance heating (ICRH) experiment was installed on the Torus Experiment for Technology-Oriented Research (TEXTOR) tokamak. The system consists of two independent power lines each designed to generate and launch 1. 5 Mw of radio-frequency (rf) power into the machine during a 3-s period in the 25- to 29-MHz frequency range. Each power line consists of the following items: (a) a 1. 5-Mw transmitter, (b) a transmission line system, including a two-stub tuner, made of pressurized 155. 6-mm (6. 125-in. ) and 228. 6-mm (9-in. ) rigid coaxial line components, and (c) an interface linking the transmission line to the antenna of the shielded stripline type placed along the tokamak's hot liner. Details of the line and antenna diagnostics and data acquisition system together with the subsequent impedance characteristic calculations are given. The rf radiation shielding for the ICRH experiment is explained. The control of the rf setup as a TEXTOR subsystem and the generator pulse control and operation modes are outlined. The antenna loading and power limitation in the presence of plasma and the conditioning procedure are discussed. Finally, the new rf system compatible with the toroidal pump limiter Advanced Limiter Test-II is presented.</t>
  </si>
  <si>
    <t>449-475</t>
  </si>
  <si>
    <t>;;;;;;;;;;;;;</t>
  </si>
  <si>
    <t>7006718297;7102660576;57224265997;57197253453;6602186973;7403189436;7006450633;57213504963;6603675835;6508179569;6602572553;6506980445;6506575146;6603266302</t>
  </si>
  <si>
    <t>Van Oost, G.;Bhatnagar, V. P.;Delvigne, T.;Descamps, P.;Durodie, F.;Koch, R.;Messiaen, A. M.;Pearson, D. I.C.;Vandenplas, P. E.;Vanderstraeten, A.;Van Nieuwenhove, R.;Kohlhaas, W.;Stickelmann, C.;Cosler, A.</t>
  </si>
  <si>
    <t>Van Oost G.</t>
  </si>
  <si>
    <t>HIGH-POWER (3-MW) LONG-PULSE (3-s) RADIO-FREQUENCY SYSTEM FOR ION CYCLOTRON RESONANCE HEATING EXPERIMENTS ON TEXTOR.</t>
  </si>
  <si>
    <t>10.13182/FST87-A25078</t>
  </si>
  <si>
    <t>2-s2.0-0023456820</t>
  </si>
  <si>
    <t>255-266</t>
  </si>
  <si>
    <t>60025225;60025225;60025225;60025225</t>
  </si>
  <si>
    <t>7102725213;56731414000;57225699272;7102591227</t>
  </si>
  <si>
    <t>Chia, S. T.S.;Steele, R.;Green, E.;Baran, A.</t>
  </si>
  <si>
    <t>Chia S.T.S.</t>
  </si>
  <si>
    <t>PROPAGATION AND BIT ERROR RATIO MEASUREMENTS FOR A MICROCELLULAR SYSTEM.</t>
  </si>
  <si>
    <t>10.1049/jiere.1987.0107</t>
  </si>
  <si>
    <t>2-s2.0-0023457120</t>
  </si>
  <si>
    <t>['without cerci', 'wiley blackwell', 'vice versa', 'two components', 'tactile predators', 'stoneflies captured', 'southern ontario', 'short distances', 'rights reserved', 'prey species', 'predaeeous stoneflies', 'physical presence', 'physical contact', 'north wales', 'mm ).', 'minimum distance', 'mayfly species', 'mayfly prey', 'local smell', 'less sensitive', 'least favoured', 'interspecific responses', 'holding tank', 'herbivorous stonefly', 'fencing fashion', 'favoured prey', 'exact nature', 'equal numbers', 'either similar', 'effect appeared', 'curt .)', 'could elicit', 'conspeeific encounters', 'clear preference', 'based largely', 'baetis rhodani', 'ate mayflies']</t>
  </si>
  <si>
    <t>SUMMARY. 1. Reactions of individual predatory stoneflies to contact by individual mayfly prey, and vice versa, were studied in the laboratory using two sets of species, one from a stream in southern Ontario. Canada, and the other from a stream in North Wales. 2. Based largely on information received via their antennae, the stoneflies were capable of distinguishing between conspecifics and mayfly prey and between prey species. A clear preference for certain prey species was evident but less preferred species were made more attractive when damaged or when the stoneflies were very hungry. Detection of conspecifics by stoneflies was confused in the presence of prey or the local smell of prey body fluids and this led to interference during hunting and feeding at high predator densities. 3. Some mayfly species were capable of distinguishing between conspecifics. other mayflies and predators. The cerci were important in intra‚Äê and interspecific contact encounters between mayflies and were used in a fencing fashion to establish a minimum distance between nymphs. However, the cerci did not appear to play an anti‚Äêpredation role as stoneflies captured and ate mayflies with and without cerci in equal numbers. 4. Reactions to conspecifics by the Palaearetie mayflies Rhithrogena semicolorata (Curt.) and Baetis rhodani (Pictet) were similar to those of the ecologically‚Äêequivalent Nearctic species Stenonema vicarium (Walker) and Baetis vagans McDunnough. 5. In encounters between mayflies, intra‚Äê and interspecific responses were similar. However, the responses of some mayfly species to conspeeifics were modified in the physical presence of a predator or the water from its holding tank. Different mayfly species made specific responses to predaeeous stoneflies. Responses to a herbivorous stonefly were either similar to conspeeific encounters or were intermediate between them and encounters with predators. 6. Experiments to reveal the exact nature of the stonefly stimulus detected by the mayfly nymphs strongly suggested that there were two components to the stimulus. One was physical contact by the predator's antennae, the other was chemical in nature and could be detected only over short distances (up to a few mm). Independently each could elicit a response, but combined their effect appeared to be synergistic. 7. Different mayfly species responded differently to the stonefly Phasganophora capitata (Pictet) and this sequence of sensitivity was mirrored by the predator's choice of prey species‚Äîthe most sensitive to the predator being the favoured prey and the less sensitive the least favoured. The significance of these findings to optimal foraging theory, as applied to tactile predators, is discussed. Copyright ¬© 1987, Wiley Blackwell. All rights reserved</t>
  </si>
  <si>
    <t>471-490</t>
  </si>
  <si>
    <t>Freshwater Biology</t>
  </si>
  <si>
    <t>117251859-60025779</t>
  </si>
  <si>
    <t>WILLIAMS, D. DUDLEY</t>
  </si>
  <si>
    <t>United Kingdom;Canada</t>
  </si>
  <si>
    <t>Bangor;</t>
  </si>
  <si>
    <t>Bangor University;University of Torotito</t>
  </si>
  <si>
    <t>60025779;117251859</t>
  </si>
  <si>
    <t>WILLIAMS D.D.</t>
  </si>
  <si>
    <t>A laboratory study of predator‚Äêprey interactions of stoneflies and mayflies</t>
  </si>
  <si>
    <t>10.1111/j.1365-2427.1987.tb01068.x</t>
  </si>
  <si>
    <t>2-s2.0-0023482407</t>
  </si>
  <si>
    <t>['¬© 1987', 'weather operation', 'weather conditions', 'two modes', 'traditionally carried', 'space vehicles', 'slar mode', 'search radars', 'rotating antennas', 'paper presents', 'optical waveband']</t>
  </si>
  <si>
    <t>microwave | radar | Remote sensing | SLAR</t>
  </si>
  <si>
    <t>The success of remote sensing operations carried out in the optical waveband is limited by weather conditions. Microwave radar allows all weather operation and is traditionally carried out either by search radars with rotating antennas or by fixed beam antennas carried by aircraft or space vehicles. The paper presents a dual mode radar capable of operating as a real time search radar as well as in a SLAR mode at the same time and compares operational results from the two modes. ¬© 1987.</t>
  </si>
  <si>
    <t>21-26</t>
  </si>
  <si>
    <t>Pattern Recognition Letters</t>
  </si>
  <si>
    <t>Williams, P. D.L.</t>
  </si>
  <si>
    <t>Walton-on-Thames</t>
  </si>
  <si>
    <t>Racal-Decca Advanced Development Ltd</t>
  </si>
  <si>
    <t>Williams P.</t>
  </si>
  <si>
    <t>Results from a sideways looking radar (SLAR) with a very low pulse repetition frequency (PRF)</t>
  </si>
  <si>
    <t>0167-8655(87)90045-6</t>
  </si>
  <si>
    <t>10.1016/0167-8655(87)90045-6</t>
  </si>
  <si>
    <t>2-s2.0-0023495978</t>
  </si>
  <si>
    <t>['simple design', 'sensitive receiver', 'previously described', 'narrow bandwidth', 'locations carried', 'essential features', 'become known', 'article describes']</t>
  </si>
  <si>
    <t>The article describes a radio location device of a rather different design to those previously described in the literature. Its essential features are a sensitive receiver with a very narrow bandwidth and a transmitter of very simple design which is therefore comparatively cheap to build. The circuitry is described in some detail, as is the construction of the loop antennas used with the device. Finally some details are given of locations carried out with the device. Originating in Wales, this radio location equipment has become known as the 'Ogof Beacon'. -Authors</t>
  </si>
  <si>
    <t>NSS Bulletin</t>
  </si>
  <si>
    <t>Bell, A.</t>
  </si>
  <si>
    <t>Bell A.</t>
  </si>
  <si>
    <t>A new radio location device</t>
  </si>
  <si>
    <t>2-s2.0-0023498775</t>
  </si>
  <si>
    <t>['xylotrechus sagittatus', 'trunk sections', 'single cerambycid', 'single aulacid', 'new record', 'neacanthocinus obsoletus', 'aulacid host', '5 pseudoscorpions']</t>
  </si>
  <si>
    <t>Adult Dendrochernes cf. morosus (Pseudoscorpionida: Chernetidae) were phoretic on adults of the wood-boring cerambycids Monochamus titillator, Neacanthocinus obsoletus and Xylotrechus sagittatus and the aulacid parasitic wasp Pristaulacus niger that had emerged from trunk sections of naturally infested slash pine Pinus elliottii trees in Florida. This is apparently a new record of phoresy by pseudoscorpion on an aulacid host. The pseudoscorpions (collected in a 1:1 sex ratio) were attached to the legs and antennae of cerambycids and to the legs and the pedicel of the abdomen of aulacids. Up to 5 pseudoscorpions were attached to a single cerambycid and 3 to a single aulacid. -from Authors</t>
  </si>
  <si>
    <t>369-373</t>
  </si>
  <si>
    <t>American Midland Naturalist</t>
  </si>
  <si>
    <t>60032280;60032280</t>
  </si>
  <si>
    <t>7004177224;7402272401</t>
  </si>
  <si>
    <t>Haack, R. A.;Wilkinson, R. C.</t>
  </si>
  <si>
    <t>United States Department of Agriculture</t>
  </si>
  <si>
    <t>Haack R.</t>
  </si>
  <si>
    <t>Phoresy by Dendrochernes pseudoscorpions on Cerambycidae ( Coleoptera) and Aulacidae ( Hymenoptera) in Florida.</t>
  </si>
  <si>
    <t>10.2307/2425979</t>
  </si>
  <si>
    <t>2-s2.0-0023504110</t>
  </si>
  <si>
    <t>R01GM038408</t>
  </si>
  <si>
    <t>['substantially divergent', 'purple bacteria', 'ps ii', 'photosystem ii', 'overall identity', 'nucleotide sequence', 'hydropathy plots', 'even though', 'deduced sequence', 'corresponding segments', 'cab protein', 'bacterial proteins', 'antenna proteins']</t>
  </si>
  <si>
    <t>We report here the isolation and nucleotide sequence of a complete cDNA clone encoding a photosystem I (PS I) polypeptide that is recognized by a monoclonal antibody made against photosystem II (PS II) chlorophyll a/b-binding (CAB) proteins. The deduced sequence of this PS I protein shows 30% overall identity to PS II CAB sequences, and two long segments within this protein show 50% and 65% identity to the corresponding segments in the PS II CAB polypeptides. Even though the sequence of this PS I CAB protein is substantially divergent from PS II CAB sequences, their hydropathy plots are very similar and suggest they all traverse the thylakoid membrane three times. A segment of the PS I CAB polypeptide shows similarity to the functionally analogous beta subunits of the antenna proteins of purple bacteria. In contrast, no homology was observed between these bacterial proteins and PS II CAB polypeptides.</t>
  </si>
  <si>
    <t>8844-8848</t>
  </si>
  <si>
    <t>60006297;60006297;60006297;60006297;60006297;60006297;60006297</t>
  </si>
  <si>
    <t>7101625535;7005046349;7005309106;6701553367;7202689177;6603408123;35595869800</t>
  </si>
  <si>
    <t>Hoffman, N. E.;Pichersky, E.;Malik, V. S.;Castresana, C.;Ko, K.;Darr, S. C.;Cashmore, A. R.</t>
  </si>
  <si>
    <t>Hoffman N.</t>
  </si>
  <si>
    <t>A cDNA clone encoding a photosystem I protein with homology to photosystem II chlorophyll a/b-binding polypeptides.</t>
  </si>
  <si>
    <t>10.1073/pnas.84.24.8844</t>
  </si>
  <si>
    <t>2-s2.0-0023504594</t>
  </si>
  <si>
    <t>['relative phase', 'radar image', 'polarized antenna', 'measures directly', 'lava flows', 'individual pixel']</t>
  </si>
  <si>
    <t>An imaging radar polarimeter measures the dependence of radar backscatter intensity and relative phase as a function of both the transmitted and received wave polarization states. Such an instrument has been built by adding a dual-polarized antenna and a 4-channel data system to a conventional airborne synthetic aperture radar system. It measures directly the amplitude and phase of all elements of the scattering matrix corresponding to each individual pixel in a radar image. This technique has been applied to mapping and differentiation of lava flows and to differentiation of forested and clear-cut areas.-from Authors</t>
  </si>
  <si>
    <t>683-701</t>
  </si>
  <si>
    <t>B1</t>
  </si>
  <si>
    <t>Journal of Geophysical Research</t>
  </si>
  <si>
    <t>7005577978;7103099518;7006935768</t>
  </si>
  <si>
    <t>Zebker, H. A.;Van Zyl, J. J.;Held, D. N.</t>
  </si>
  <si>
    <t>Zebker H.</t>
  </si>
  <si>
    <t>Imaging radar polarimetry from wave synthesis.</t>
  </si>
  <si>
    <t>10.1029/JB092iB01p00683</t>
  </si>
  <si>
    <t>2-s2.0-0023506637</t>
  </si>
  <si>
    <t>416-418</t>
  </si>
  <si>
    <t>Doklady Biochemistry</t>
  </si>
  <si>
    <t>60069098;60069098;60069098;60069098;60069098</t>
  </si>
  <si>
    <t>6603827613;6603108979;6506815966;6603388581;7006232056</t>
  </si>
  <si>
    <t>Zenkevich, G. A.;Slanke, V. P.;Latse, Z. M.;Kirstukas, I. P.;Val'dman, A. R.</t>
  </si>
  <si>
    <t>Latvia</t>
  </si>
  <si>
    <t>Riga</t>
  </si>
  <si>
    <t>Latvijas ZinƒÅt≈Üu akadƒìmija</t>
  </si>
  <si>
    <t>Zenkevich G.</t>
  </si>
  <si>
    <t>Properties of subunits as components of antenna structure of gonadotropin from the Russian sturgeon</t>
  </si>
  <si>
    <t>2-s2.0-0023515683</t>
  </si>
  <si>
    <t>['transplantation studies', 'therefore appears', 'stereotyped set', 'sensory neurons', 'results show', 'relatively non', 'proximal direction', 'normal nerves', 'neuronal types', 'leg disks', 'host wing', 'guidance cues', 'grow along', 'effect assay', 'drosophila arise', 'cues guiding', 'better characterize', 'axons prefer', 'axons growing', 'axons converge', 'axonal outgrowth', 'approximate site', 'aneural wings']</t>
  </si>
  <si>
    <t>The sensory neurons of the wing of Drosophila arise during the first 24 hr of metamorphosis, and their axons converge to form a stereotyped set of nerves projecting proximally from the peripherally located cell bodies through the wing and towards the CNS. To better characterize the cues guiding this stereotyped axon outgrowth, we have performed a series of transplantation studies in which neurons from a variety of sources (wing, eye, antenna, and leg disks) were placed into mutant, aneural wings. Axons growing from such implants in effect assay the host wing for the presence and location of guidance cues. Our results show, first, that such axons prefer to grow in the normal, proximal direction and, second, that they prefer to grow along the approximate site of one of the normal nerves, that of the third longitudinal vein. It therefore appears that the aneural wing epithelium contains cues capable of directing both the polarity and the location of axonal outgrowth. These cues are relatively non-specific, in that a variety of neuronal types are capable of responding to them.</t>
  </si>
  <si>
    <t>4165-4175</t>
  </si>
  <si>
    <t>Journal of Neuroscience</t>
  </si>
  <si>
    <t>60015481;60015481;60015481</t>
  </si>
  <si>
    <t>7203060175;7403583491;7006064690</t>
  </si>
  <si>
    <t>Blair, S. S.;Murray, M. A.;Palka, J.</t>
  </si>
  <si>
    <t>Seattle</t>
  </si>
  <si>
    <t>University of Washington</t>
  </si>
  <si>
    <t>Blair S.S.</t>
  </si>
  <si>
    <t>The guidance of axons from transplanted neurons through aneural Drosophila wings</t>
  </si>
  <si>
    <t>10.1523/jneurosci.07-12-04165.1987</t>
  </si>
  <si>
    <t>2-s2.0-0023520655</t>
  </si>
  <si>
    <t>['west half', 'us department', 'tests reported', 'sensitivity gamma', 'selected environments', 'se quarter', 'palestine quadrangle', 'interpretation techniques', 'east half', 'conterminous us', 'aerial high']</t>
  </si>
  <si>
    <t>Advances in interpretation techniques have made possible effective use of aerial high-sensitivity gamma-ray spectral data to explore for petroleum in selected environments. These data were collected by the US Department of Energy during the National Uranium Resource Evaluation program throughout the conterminous US and most of Alaska between 1974 and 1981. The tests reported here were limited to portions of the following 1 degrees by 2 degrees National Topographic Map Series quadrangles: the west half of the Palestine quadrangle, the east half of the San Angelo quadrangle, and the SE quarter of the Big Spring quadrangle, all of which are in Texas. -from Authors</t>
  </si>
  <si>
    <t>1547-1556</t>
  </si>
  <si>
    <t>100382380;100382380;100382380</t>
  </si>
  <si>
    <t>7202074968;7006768362;7404237982</t>
  </si>
  <si>
    <t>Saunders, D. F.;Terry, S. A.;Thompson, C. K.</t>
  </si>
  <si>
    <t>Dallastown</t>
  </si>
  <si>
    <t>Recon Exploration Inc</t>
  </si>
  <si>
    <t>Saunders D.F.</t>
  </si>
  <si>
    <t>Test of National Uranium Resource Evaluation gamma-ray spectral data in petroleum reconnaissance ( Texas)</t>
  </si>
  <si>
    <t>10.1190/1.1442271</t>
  </si>
  <si>
    <t>2-s2.0-0023523378</t>
  </si>
  <si>
    <t>['¬© 1987', 'tidal action', 'simulation results', 'simulation model', 'scanning antennas', 'radar altimetry', 'pulse response', 'possible improvements', 'perfect geoid', 'main limitations', 'land areas', 'including forests', 'ground resolution', 'clearly shown']</t>
  </si>
  <si>
    <t>Radar altimetry from SKYLAB, GEOS-3 and SEASAT has clearly shown the capability of the technique for measurements of wave-height, tidal action and the deviation from the perfect geoid. In order to further evaluate the performance over ice and land areas, a simulation model was developed, which estimates the pulse response from an arbitrary ground surface. Simulation results for different surface conditions e.g. sea, sea-ice, and land areas (including forests and lakes) display both possibilities and main limitations of the technique. For a lot of land surface applications, the ground resolution of existing altimetry systems seems too poor. Possible improvements in future by using more narrow-beam and scanning antennas are analyzed. ¬© 1987.</t>
  </si>
  <si>
    <t>Photogrammetria</t>
  </si>
  <si>
    <t>Axelsson, Sune R.J.</t>
  </si>
  <si>
    <t>Linkoping</t>
  </si>
  <si>
    <t>Linkoping University</t>
  </si>
  <si>
    <t>Axelsson S.R.J.</t>
  </si>
  <si>
    <t>Radar altimetry response from rough surfaces</t>
  </si>
  <si>
    <t>10.1016/0031-8663(87)90002-0</t>
  </si>
  <si>
    <t>2-s2.0-0023523486</t>
  </si>
  <si>
    <t>['subaqueous components', 'standing body', 'rock record', 'rich deltas', 'distinctive sub', 'depositional systems', 'deposited directly', 'braid deltas', 'alluvial fan', 'aerial components', 'adjacent highland']</t>
  </si>
  <si>
    <t>Fan-deltas are gravel-rich deltas formed where an alluvial fan is deposited directly into a standing body of water from an adjacent highland. In contrast, braid deltas (here introduced) are gravel-rich deltas that form where a braided fluvial system progrades into a standing body of water. Fan-deltas and braid deltas can be distinguished in the rock record by distinctive sub-aerial components of these depositional systems; the shoreline and subaqueous components of both are similar. -from Authors</t>
  </si>
  <si>
    <t>331-340</t>
  </si>
  <si>
    <t>Geological Society of America Bulletin</t>
  </si>
  <si>
    <t>60021814;60021814;60021814</t>
  </si>
  <si>
    <t>7102659526;7005012964;6602740674</t>
  </si>
  <si>
    <t>McPherson, J. G.;Shanmugam, G.;Moiola, R. J.</t>
  </si>
  <si>
    <t>Irving</t>
  </si>
  <si>
    <t>Exxon Mobil Corporation</t>
  </si>
  <si>
    <t>McPherson J.</t>
  </si>
  <si>
    <t>Fan-deltas and braid deltas: varieties of coarse-grained deltas</t>
  </si>
  <si>
    <t>10.1130/0016-7606(1987)99&lt;331:FABDVO&gt;2.0.CO</t>
  </si>
  <si>
    <t>2-s2.0-0023525520</t>
  </si>
  <si>
    <t>['¬© 1987', 'two orientations', 'tissue conductivities', 'test frequencies', 'spinal cord', 'simulated tissues', 'rights reserved', 'rib cage', 'resonant dipoles', 'near field', 'muscle tissue', 'man exposed', 'major bones', 'homogeneous model', 'heterogeneous model', 'energy deposition', 'energy absorption', 'electrical properties', '915 mhz']</t>
  </si>
  <si>
    <t>The electric field strength was measured in a full-scale heterogeneous model of man exposed in the near field of resonant dipoles. The model was comprised of skull, spinal cord, rib cage, all other major bones, brain, lung, and muscle tissue. Electrical properties of these simulated tissues were the same as respective live tissue properties at test frequencies of 160, 350, and 915 MHz. The rates of energy absorption were calculated on the basis of the measured field strengths and tissue conductivities. Patterns of the energy deposition are compared for two orientations of the antennas with respect to the body. Also the results for the heterogeneous model are compared to data for homogeneous model having average tissue electrical properties. ¬© 1987, IEEE. All rights reserved.</t>
  </si>
  <si>
    <t>944-950</t>
  </si>
  <si>
    <t>112732003;60028897;60028897;60028897;60021439</t>
  </si>
  <si>
    <t>7102344649;7006372477;56803516700;6602227823;7101947729</t>
  </si>
  <si>
    <t>Stuchly, Maria A.;Kraszewski, Andrzej;Stuchly, Stanislaw S.;Hartsgrove, George W.;Spiegel, Ronald J.</t>
  </si>
  <si>
    <t>Canada;United States;Canada</t>
  </si>
  <si>
    <t>Ottawa;Washington, D.C.;Ottawa</t>
  </si>
  <si>
    <t>University of Ottawa;United States Environmental Protection Agency;Bureau of Radiation and Medical Devices</t>
  </si>
  <si>
    <t>60028897;60021439;112732003</t>
  </si>
  <si>
    <t>Stuchly M.</t>
  </si>
  <si>
    <t>RF Energy Deposition in a Heterogeneous Model of Man: Near-Field Exposures</t>
  </si>
  <si>
    <t>10.1109/TBME.1987.325933</t>
  </si>
  <si>
    <t>2-s2.0-0023526004</t>
  </si>
  <si>
    <t>['¬© 1987', 'various methods', 'unknown sources', 'surface potential', 'rights reserved', 'like source', 'known dipole', 'function g', 'brain may']</t>
  </si>
  <si>
    <t>A method is suggested to estimate the local skull resistance function G(Œ∏, √∏) from surface potential measurements due to a known dipole-like source in the brain. That is, the classical boundary value problem is overspecified by knowledge of both the source and surface potential so that properties of the volume conductor may be estimated. The function G (Œ∏, √∏) may then be incorporated into various methods to improve spatial resolution so that unknown sources in the brain may be studied in detail. ¬© 1987, IEEE. All rights reserved.</t>
  </si>
  <si>
    <t>902-904</t>
  </si>
  <si>
    <t>Nunez, Paul L.</t>
  </si>
  <si>
    <t>New Orleans</t>
  </si>
  <si>
    <t>Tulane University</t>
  </si>
  <si>
    <t>Nunez P.L.</t>
  </si>
  <si>
    <t>A Method to Estimate Local Skull Resistance in Living Subjects</t>
  </si>
  <si>
    <t>10.1109/TBME.1987.326104</t>
  </si>
  <si>
    <t>2-s2.0-0023526307</t>
  </si>
  <si>
    <t>['¬© 1987', 'rights reserved', 'paper describes', 'narrow bandwidth', 'linear relationship', 'input powers', 'control voltage', 'amplitude variation', '915 mhz', '1 w']</t>
  </si>
  <si>
    <t>This paper describes a design for an analog phase shifter operating at 915 MHz and suitable for use in a phased array microwave hyperthermia system. Here, the major operating constraint was minimization of amplitude variation over a 180¬∞ phase shift, whereas previous phase shifters were designed to obtain a linear relationship between phase and control voltage. The result is a simple, inexpensive hybrid coupler phase shifter that operates over a narrow bandwidth and provides 180¬∞ of continuous phase shift with input powers up to 1 W. ¬© 1987, IEEE. All rights reserved.</t>
  </si>
  <si>
    <t>904-907</t>
  </si>
  <si>
    <t>60000745;60000745;60000745</t>
  </si>
  <si>
    <t>6602796617;7005342618;56132857500</t>
  </si>
  <si>
    <t>Boesch, Ronald D.;Magin, Richard L.;Franke, Steven J.</t>
  </si>
  <si>
    <t>Urbana</t>
  </si>
  <si>
    <t>University of Illinois Urbana-Champaign</t>
  </si>
  <si>
    <t>Boesch R.</t>
  </si>
  <si>
    <t>Phase Shifter for a 915 MHz Phased Array Hyperthermia System</t>
  </si>
  <si>
    <t>10.1109/TBME.1987.326105</t>
  </si>
  <si>
    <t>2-s2.0-0023526309</t>
  </si>
  <si>
    <t>['transmission coefficient', 'tests show', 'single measurement', 'receiver operates', 'radiation patterns', 'port receiver', 'operational errors', 'horn antennas', 'dynamic range', 'device smaller', 'design rules', 'approximations inherent', 'approximate manner']</t>
  </si>
  <si>
    <t>The configuration, analysis and calibration of a six-port based receiver for near-field antenna measurements is described. The receiver operates in an approximate manner in which the transmission coefficient is obtained from a single measurement. Design rules are given which keep the operational errors of the device smaller than those introduced by the approximations inherent in the near-field measurement theory. Tests show that the receiver is accurate and stable when operated in a dynamic range of approximately 50 db. The suitability of the six-port receiver in near-field measurement systems is demonstrated through the measurement of radiation patterns of horn antennas.</t>
  </si>
  <si>
    <t>515-520</t>
  </si>
  <si>
    <t>Dec</t>
  </si>
  <si>
    <t>60019870;60019870</t>
  </si>
  <si>
    <t>35570164700;7201412486</t>
  </si>
  <si>
    <t>Bialkowski, M. E.;Woods, G. S.</t>
  </si>
  <si>
    <t>Townsville</t>
  </si>
  <si>
    <t>James Cook University</t>
  </si>
  <si>
    <t>Bialkowski M.</t>
  </si>
  <si>
    <t>DESIGN AND ANALYSIS OF A SIX-PORT RECEIVER FOR USE IN NEAR-FIELD ANTENNA MEASUREMENTS.</t>
  </si>
  <si>
    <t>10.1049/ip-h-2.1987.0104</t>
  </si>
  <si>
    <t>2-s2.0-0023530721</t>
  </si>
  <si>
    <t>['three types', 'shaped dual', 'reflector antenna', 'radiation patterns']</t>
  </si>
  <si>
    <t>For a small earth station, a study of three types of dual offset reflector antenna is presented. These are the shaped dual-reflector antenna, the sector-shaped paraboloidal reflector antenna and the spherical offset reflector antenna. The efficiency, the radiation patterns and the complexity of fabrication are considered.</t>
  </si>
  <si>
    <t>538-544</t>
  </si>
  <si>
    <t>7006192058;57197192970;7006375883</t>
  </si>
  <si>
    <t>Clarricoats, P. J.B.;Brown, R. C.;Ramanujam, P.</t>
  </si>
  <si>
    <t>Clarricoats P.</t>
  </si>
  <si>
    <t>COMPARATIVE STUDY OF REFLECTOR ANTENNAS FOR SMALL EARTH STATIONS.</t>
  </si>
  <si>
    <t>10.1049/ip-h-2.1987.0107</t>
  </si>
  <si>
    <t>2-s2.0-0023533155</t>
  </si>
  <si>
    <t>['two cases', 'synthesis procedure', 'spectral formulation', 'spectral approach', 'skew three', 'significant examples', 'second one', 'longitudinal direction', 'lattice planes', 'francis group', 'fourier transformation', 'first case', 'dispersion curves', 'dimensional lattice', 'bloch waves']</t>
  </si>
  <si>
    <t>A spectral formulation for the analysis of arrays of thin conductors arranged in a skew three-dimensional lattice and lying in one of the lattice planes is presented. Two cases are considered, i.e. homogeneous and plane stratified dielectric medium. In the first case, the Fourier transformation is three-dimensional; in the second one, the spectral approach is Limited to the plane of stratification and the transmission line technique is used for the analysis in the longitudinal direction. The eigenmodes of the structure (Bloch waves) are studied in detail and some significant examples of dispersion curves are presented. The concepts of passband and stopband of Bloch waves arc exploited to define a synthesis procedure for high performance multiple grid frequency selective surfaces, which are considered as three-dimensional periodic structures truncated in the direction of a lattice basis vector. ¬© 1987 Taylor &amp; Francis Group, LLC.</t>
  </si>
  <si>
    <t>185-203</t>
  </si>
  <si>
    <t>1532527X</t>
  </si>
  <si>
    <t>Electromagnetics</t>
  </si>
  <si>
    <t>60012162;60012162;60012162</t>
  </si>
  <si>
    <t>7003971368;7004085807;7003795630</t>
  </si>
  <si>
    <t>Orta, R.;Tascone, R.;Zich, R.</t>
  </si>
  <si>
    <t>Turin</t>
  </si>
  <si>
    <t>Politecnico di Torino</t>
  </si>
  <si>
    <t>Orta R.</t>
  </si>
  <si>
    <t>Three-dimensional periodic arrays of thin conductors</t>
  </si>
  <si>
    <t>10.1080/02726348708908178</t>
  </si>
  <si>
    <t>2-s2.0-0023535034</t>
  </si>
  <si>
    <t>['wiley company', 'theoretically predicted', 'theoretically determined', 'spherical wave', 'spatially fed', 'sidelobe properties', 'readily realized', 'optimal values', 'multibeam horn', 'longer required', 'inc .,', 'good quality', 'experimentally verified', 'band operation', 'array position', 'array emits', 'array construction', 'active elements']</t>
  </si>
  <si>
    <t>A multibeam antenna allows a large communication capacity and is suitable for satellite‚Äêborne instrument. The present paper proposes a new array antenna with a reflector. The array is composed of active elements with equal phase shifts and is spatially fed by a multibeam horn. The array emits a spherical wave to a reflector. Its compact size fits satellite‚Äêborne instrument and at the same time a good quality is expected for the gain and the sidelobe properties. Optimal values of the parameters are theoretically determined for S band operation with array construction, array position, number of elements, and apertures, and the properties of this antenna are derived. It is theoretically predicted that the space feed gives rise to a uniform power distribution over the elements. This prediction has been experimentally verified with a 19‚Äêelement array antenna. High power repeaters are no longer required and an arbitrary power distribution over the elements is readily realized. Copyright ¬© 1987 Wiley Periodicals, Inc., A Wiley Company</t>
  </si>
  <si>
    <t>53-60</t>
  </si>
  <si>
    <t>An array fed multibeam antenna using equal phase‚Äìshift active elements</t>
  </si>
  <si>
    <t>10.1002/ecja.4410701206</t>
  </si>
  <si>
    <t>2-s2.0-0023535510</t>
  </si>
  <si>
    <t>['suitable low', 'satellite signals', 'reflector antennas', 'plate designs', 'plate antennas', 'performance parameters', 'pattern quality', 'particular reference', 'paper describes', 'mounted flat', 'metal sandwich', 'manufacturing tolerances', 'low cost', 'key issue', 'fundamental nature', 'dissipative loss', 'dbs specification', 'cost wall', 'cost substrates', 'antenna consists']</t>
  </si>
  <si>
    <t>There is interest in the replacement of reflector antennas by low-cost wall-mounted flat-plate antennas for the reception of satellite signals. The paper describes the extent to which combline microstrip technology can be used to obtain a squinted, circularly polarized beam at low cost. The antenna consists of a simple travelling wave printed structure comprising a foam/metal sandwich with metal strip polarizer. Performance parameters such as bandwidth, dissipative loss and pattern quality are examined and the effect of manufacturing tolerances are discussed. Comparisons are made with reflector antennas and other flat-plate designs, with particular reference to the DBS specification; the possibility of introducing beam control capabilities into the array is considered. It is concluded that the development of suitable low-cost substrates is a key issue and electronic beam control raises problems of a more fundamental nature.</t>
  </si>
  <si>
    <t>509-514</t>
  </si>
  <si>
    <t>7403098104;7403018268</t>
  </si>
  <si>
    <t>Henderson, A.;James, J. R.</t>
  </si>
  <si>
    <t>Henderson A.</t>
  </si>
  <si>
    <t>LOW-COST FLAT-PLATE ARRAY WITH SQUINTED BEAM FOR DBS RECEPTION.</t>
  </si>
  <si>
    <t>10.1049/ip-h-2.1987.0103</t>
  </si>
  <si>
    <t>2-s2.0-0023535575</t>
  </si>
  <si>
    <t>['wave illumination', 'te incidence', 'scattered fields', 'resonance frequency', 'periodic lattices', 'linear dipoles', 'integral equation', 'edge region', 'currents induced', 'basis functions', '5 multiplied', '5 array', '20 multiplied']</t>
  </si>
  <si>
    <t>Pocklington's equation is applied to arrays of linear dipoles. An integral equation for the currents induced in each dipole is derived for plane-wave illumination. The equation is solved by the method of moments. The current mode amplitudes for a 5 multiplied by 5 array and a 20 multiplied by 5 array are compared with those given by the standard modal analysis of an infinite periodic array using the same set of basis functions. In the latter case predicted transmission responses in the frequency range 18-40 GHz link the calculations to experiment. The effect of the edge region on the induced current phasors and on the scattered fields is discussed. Near the resonance frequency for TE incidence there is a pronounced amplitude variation across the 20 multiplied by 5 array. The analysis is not restricted to periodic lattices.</t>
  </si>
  <si>
    <t>521-526</t>
  </si>
  <si>
    <t>55582327600;7201840709</t>
  </si>
  <si>
    <t>Allam, A. M.M.A.;Parker, E. A.</t>
  </si>
  <si>
    <t>Allam A.</t>
  </si>
  <si>
    <t>APPLICATION OF POCKLINGTON'S EQUATION TO ANALYSIS OF DIPOLE FREQUENCY-SELECTIVE SURFACES OF FINITE SIZE.</t>
  </si>
  <si>
    <t>10.1049/ip-h-2.1987.0105</t>
  </si>
  <si>
    <t>2-s2.0-0023535576</t>
  </si>
  <si>
    <t>['‡• ë', 'wide range', 'u performance', 'r p', 'magnetic beach', 'higher density', 'good agreement', 'absorption efficiency', '40 %)']</t>
  </si>
  <si>
    <t>Ion cyclotron heating (ICH) is applied to TMX-U to improve the thermal barrier performance by reducing the passing ion collisionality. During its development, measurements of the antenna loading resistance, R p, and the absorption efficiency, ‡•ë, were compared with calculations with the antenna design code ANTENA over a wide range of densities and frequencies. Good agreement in R p was obtained in the short wavelength slow wave regime but not for long wavelength fast waves because the experimental magnetic field gradients are not modelled in ANTENA. Similarly, ‡•ë is much larger experimentally (40%) than in ANTENA (10%) due to the magnetic beach in TMX-U. In its application, ICH successfully decreased the passing ion collisionality tenfold but did not extend thermal barrier plugging to higher density, indicating that collisional barrier filling is not currently limiting TMX-U performance. ¬© IOP Publishing Ltd.</t>
  </si>
  <si>
    <t>1959-1974</t>
  </si>
  <si>
    <t>60026175-60025209;60026175;60026175-60025209;60026175;60026175;60026175;60026175</t>
  </si>
  <si>
    <t>7003877589;7004032243;57206173914;6701648388;6603370484;7102175755;57082722500</t>
  </si>
  <si>
    <t>Dimonte, G.;Molvik, A. W.;Barter, J.;Cummins, W. F.;Falabella, S.;Poulsen, P.;Romesser, P.</t>
  </si>
  <si>
    <t>Livermore;Los Angeles</t>
  </si>
  <si>
    <t>Lawrence Livermore National Laboratory;Northrop Grumman corporation</t>
  </si>
  <si>
    <t>60026175;60025209</t>
  </si>
  <si>
    <t>Dimonte G.</t>
  </si>
  <si>
    <t>Ion cyclotron heating in tmx-u</t>
  </si>
  <si>
    <t>10.1088/0029-5515/27/12/001</t>
  </si>
  <si>
    <t>2-s2.0-0023537126</t>
  </si>
  <si>
    <t>['ring charge', 'radiated power', 'observations include', 'francis group', 'field intensity', 'driving source', 'charge values', 'cap junction']</t>
  </si>
  <si>
    <t>The arm-cap Junction of a biconical antenna supports a ring charge, the value of which is calculable in an electromagnetically exact way. The field intensity Just off its surface Is singular but integrable. Charge values are calculated Using conservation of charge and Causa‚Äô law. Observations Include that, in differential dipole radiators, most of the dipolar current oscillates between the driving source and the ring charge. Radiated power is roportional to the square of the small cap current. ¬© 1987 Taylor &amp; Francis Group, LLC.</t>
  </si>
  <si>
    <t>129-135</t>
  </si>
  <si>
    <t>Grimes, Dale M.</t>
  </si>
  <si>
    <t>Grimes D.</t>
  </si>
  <si>
    <t>Ring charges on biconical transmitting antennas</t>
  </si>
  <si>
    <t>10.1080/02726348708908174</t>
  </si>
  <si>
    <t>2-s2.0-0023537611</t>
  </si>
  <si>
    <t>['theoretical results', 'submillimeter waves', 'slightly modifying', 'radiation losses', 'possibly eliminate', 'paper discusses', 'line mm', 'francis group', 'effectively used', 'analysis presented']</t>
  </si>
  <si>
    <t>This paper discusses the effect of radiation losses in the responses of parallel-line mm-wave open microstrip filters. The analysis presented is based on a method that accounts for the presence of the substrate and the associated surface wave propagation. This analysis is very accurate for a wide frequency range, starting from a few GHz up to millimeter and submillimeter waves, where existing techniques fail to apply. The computer codes generated by this work can be effectively used in conjunction with available design packages to evaluate unwanted radiation losses and possibly eliminate them by slightly modifying the geometry of the filters. Comparison of theoretical results from the presented analytical method with experimental data shows excellent agreement. ¬© 1987 Taylor &amp; Francis Group, LLC.</t>
  </si>
  <si>
    <t>137-152</t>
  </si>
  <si>
    <t>Katehi, P. B.</t>
  </si>
  <si>
    <t>Katehi P.</t>
  </si>
  <si>
    <t>Radiation losses in mm-wave open microstrip filters</t>
  </si>
  <si>
    <t>10.1080/02726348708908175</t>
  </si>
  <si>
    <t>2-s2.0-0023537612</t>
  </si>
  <si>
    <t>['simple way', 'sidelobe level', 'reflector antenna', 'particular direction', 'many applications', 'externally outside', 'electronics engineers', 'design curves', 'auxiliary reflector', '10 percent']</t>
  </si>
  <si>
    <t>Reducing the sidelobe level of a reflector antenna in a particular direction is desirable in many applications. A simple way of achieving this reduction is to add auxiliary reflectors either internally over the main reflector surface or externally outside the main reflector surface. Design curves are presented on the size of these auxiliary reflectors versus feed taper and F/D to achieve a prescribed sidelobe reduction. Typically, for a 10 dB sidelobe reduction, the diameter of the auxiliary reflector is about a third of the main reflector diameter (10 percent in surface area). Copyright ¬© 1988 by The Institute of Electrical and Electronics Engineers, Inc.</t>
  </si>
  <si>
    <t>1367-1374</t>
  </si>
  <si>
    <t>60022774-60005304;60000745-60005304</t>
  </si>
  <si>
    <t>7202365940;7601396617</t>
  </si>
  <si>
    <t>Lam, Peter T.;Lee, Shung Wu</t>
  </si>
  <si>
    <t>Boulevard;Waltham;Urbana</t>
  </si>
  <si>
    <t>Lockheed Martin Space Systems Company;Raytheon;University of Illinois Urbana-Champaign</t>
  </si>
  <si>
    <t>60022774;60005304;60000745</t>
  </si>
  <si>
    <t>Lam P.T.</t>
  </si>
  <si>
    <t>Sidelobe reduction of a parabolic reflector with auxiliary reflectors</t>
  </si>
  <si>
    <t>10.1109/TAP.1987.1144056</t>
  </si>
  <si>
    <t>2-s2.0-0023539949</t>
  </si>
  <si>
    <t>['potential bandwidth', 'electronics engineers', 'conformal arrays', '10 percent']</t>
  </si>
  <si>
    <t>The feasibility of reducing the element pattern ripple, prevalent in conformal arrays, by means of reactively terminated parasitic elements is addressed. Numerical results indicate significant improvement with a potential bandwidth of 10 percent. Copyright ¬© 1988 by The Institute of Electrical and Electronics Engineers, Inc.</t>
  </si>
  <si>
    <t>1467-1469</t>
  </si>
  <si>
    <t>60010547;60108318-60006168</t>
  </si>
  <si>
    <t>7004116403;7005831705</t>
  </si>
  <si>
    <t>Fathy, Aly E.;Hessel, Alexander</t>
  </si>
  <si>
    <t>New York;Princeton;Blue Bell</t>
  </si>
  <si>
    <t>NYU Tandon School of Engineering;Sarnoff Corporation;Unisys Corporation</t>
  </si>
  <si>
    <t>60108318;60010547;60006168</t>
  </si>
  <si>
    <t>Fathy A.E.</t>
  </si>
  <si>
    <t>Element pattern ripple reduction in conformal arrays</t>
  </si>
  <si>
    <t>10.1109/TAP.1987.1144050</t>
  </si>
  <si>
    <t>2-s2.0-0023540604</t>
  </si>
  <si>
    <t>['¬© 1987', 'various sensors', 'theoretical discussions', 'sonar array', 'rights reserved', 'phase correction', 'electrical engineers']</t>
  </si>
  <si>
    <t>Antennas (arrays) | Radar and radionavigation | Signal processing | Sonar</t>
  </si>
  <si>
    <t>A digital beamforming technique utilising a long linear FM pulse in a sonar array is described. The difficulties of the beat frequency deviation at various sensors are overcome by sampling and phase correction. Theoretical discussions and computer simulations show that this technique may give improved detection with high angular resolution as well as high range resolution. ¬© 1987, The Institution of Electrical Engineers. All rights reserved.</t>
  </si>
  <si>
    <t>709-714</t>
  </si>
  <si>
    <t>Yang, Binan</t>
  </si>
  <si>
    <t>Xiamen</t>
  </si>
  <si>
    <t>Xiamen Fisheries College</t>
  </si>
  <si>
    <t>Yang B.</t>
  </si>
  <si>
    <t>Digital beamforming of a linear FM pulse array</t>
  </si>
  <si>
    <t>10.1049/ip-f-1.1987.0120</t>
  </si>
  <si>
    <t>2-s2.0-0023542297</t>
  </si>
  <si>
    <t>['width 27', 'using muse', 'uhf channel', 'stable system', 'satellite channel', 'near future', 'japanese bs', 'hdtv picture', 'good enough', 'experiments show', 'experimental vsb', 'emission experiments', 'electronics engineers', 'coded four', 'channel sound', 'actual broadcast', '2b satellite', '24 mhz', '100 kb']</t>
  </si>
  <si>
    <t>An HDTV broadcasting service on one satellite broadcast channel became available after the development of a transmission system called MUSE involving bandwidth compression. Using MUSE, a satellite channel of width 27 or 24 MHz in the 12 GHz band can carry an HDTV picture, digitally-coded four-channel sound and independent digital signal at about 100 Kb/s. MUSE is a sub-Nyquist sampling transmission system. The received sampled signal is spatially and temporally interpolated pixelwise, according to the motion of the picture, in a decoder. The field and frame memory required in the decoder will be very cheap in the near future. A complete MUSE system has been developed, and emission experiments has been carried out using the Japanese BS-2b satellite. The HDTV picture-quality, using an antenna 75 cm in diameter, is good enough for an actual broadcast. An experimental VSB-AM transmission in a UHF channel was carried out in Washington, DC. in the USA. Experimental CATV transmissions have also been done. The results of these experiments show that MUSE is a very flexible and stable system, which can be used in many transmission forms. Copyright ¬© 1988 by The Institute of Electrical and Electronics Engineers, Inc.</t>
  </si>
  <si>
    <t>130-160</t>
  </si>
  <si>
    <t>60103907;60103907;60103907;60103907;60103907</t>
  </si>
  <si>
    <t>7201658656;7202124352;7202179068;6602394359;18535569800</t>
  </si>
  <si>
    <t>Ninomiya, Yuichi;Ohtsuka, Yoshimichi;Izumi, Yoshinori;Gohshi, Seiichi;Iwadate, Yuichi</t>
  </si>
  <si>
    <t>Nippon Hoso Kyokai</t>
  </si>
  <si>
    <t>Ninomiya Y.</t>
  </si>
  <si>
    <t>An HDTV Broadcasting System Utilizing a Bandwidth Compression Technique-MUSE</t>
  </si>
  <si>
    <t>10.1109/TBC.1987.266648</t>
  </si>
  <si>
    <t>2-s2.0-0023543767</t>
  </si>
  <si>
    <t>['wave source', 'two antennas', 'transmission formulas', 'symmetric matrix', 'sufficient detail', 'scattering matrix', 'electronics engineers']</t>
  </si>
  <si>
    <t>Expressions are given for the coupling between two antennas in terms of each antenna‚Äôs spherical-wave source-scattering matrix. A comparison with the ‚Äúclassical‚Äù scattering matrix representation is given in sufficient detail to permit conversion back and forth between the source-scattering matrix and the classical scattering matrix. Expressions for the transmission formulas, showing two different expressions corresponding to reversing the direction of propagation are given. However, if both antennas are reciprocal with equal characteristic waveguide impe-dances then the two-port scattering matrix is a symmetric matrix. Copyright ¬© 1988 by The Institute of Electrical and Electronics Engineers, Inc.</t>
  </si>
  <si>
    <t>1375-1380</t>
  </si>
  <si>
    <t>Lewis, Richard L.</t>
  </si>
  <si>
    <t>Lewis R.L.</t>
  </si>
  <si>
    <t>Spherical-Wave source-scattering matrix analysis of coupled antennas; A general system two-port solution</t>
  </si>
  <si>
    <t>10.1109/TAP.1987.1144040</t>
  </si>
  <si>
    <t>2-s2.0-0023544045</t>
  </si>
  <si>
    <t>['simulation illustrates', 'simple way', 'required formation', 'phased array', 'pattern nulls', 'necessarily accompanies', 'electronics engineers']</t>
  </si>
  <si>
    <t>The degradation in the overall main beam gain performance capability of a phased array, which necessarily accompanies the required formation of pattern nulls, is quantified in a simple way. A simulation illustrates the formulation. Copyright ¬© 1988 by The Institute of Electrical and Electronics Engineers, Inc.</t>
  </si>
  <si>
    <t>1469-1473</t>
  </si>
  <si>
    <t>Kahn, Walter K.</t>
  </si>
  <si>
    <t>The George Washington University</t>
  </si>
  <si>
    <t>Kahn W.K.</t>
  </si>
  <si>
    <t>Degradation in performance of adaptive null-steering antennas</t>
  </si>
  <si>
    <t>10.1109/TAP.1987.1144051</t>
  </si>
  <si>
    <t>2-s2.0-0023544070</t>
  </si>
  <si>
    <t>['particularly appropriate', 'paper describes', 'operational environments', 'nonlubricated direct', 'mechanical configuration', 'mbscs ).', 'low mass', 'high stiffness', 'high reliability', 'experimental performance', 'drive actuators', 'documented along', 'component performance', 'antenna reflector']</t>
  </si>
  <si>
    <t>A highly accurate mechanical control for the antenna reflector is necessary for the Multi-Beam Satellite Communication System (MBSCS). This paper describes the design, development and experimental performance of the antenna pointing mechanism (APM) for the MBSCS. The mechanical configuration and component performance of the mechanism is documented along with the launch and operational environments of the three-axis communications satellite. This model which is based on nonlubricated direct-drive actuators is particularly appropriate for the APM's requirements. These include compact size, low mass, high stiffness, low power consumption and high reliability.</t>
  </si>
  <si>
    <t>2011-2017</t>
  </si>
  <si>
    <t>0913185X</t>
  </si>
  <si>
    <t>JSME International Journal</t>
  </si>
  <si>
    <t>60025555;60025555;60025555;60025555</t>
  </si>
  <si>
    <t>ON-BOARD ANTENNA POINTING MECHANISM FOR MULTI-BEAM SATELLITE COMMUNICATIONS SYSTEMS.</t>
  </si>
  <si>
    <t>10.1299/jsme1987.30.2011</t>
  </si>
  <si>
    <t>2-s2.0-0023545880</t>
  </si>
  <si>
    <t>['w compared', 'simply related', 'scattering system', 'scattered fields', 'scattered field', 'negligible values', 'modest increases', 'maximum dimension', 'large scatterers', 'important consequences', 'general results', 'finally stressed', 'error drops', 'electronics engineers', 'effective bandwidth']</t>
  </si>
  <si>
    <t>It is shown that the scattered fields are almost space bandlimited functions. The effective bandwidth W is introduced and evaluated for a very general scattering system, as well as the error made using functions bandlimited to w &gt; W for representing the scattered field. The effective bandwidth is very simply related to the maximum dimension of the scattering system; the error drops to negligible values for modest increases of w compared to W, in the case of large scatterers. Important consequences of the above general results are finally stressed. Copyright ¬© 1988 by The Institute of Electrical and Electronics Engineers, Inc.</t>
  </si>
  <si>
    <t>1445-1455</t>
  </si>
  <si>
    <t>60017293;60017293</t>
  </si>
  <si>
    <t>7006499276;7006413404</t>
  </si>
  <si>
    <t>Bucci, Ovidio M.;Franceschetti, Giorgio</t>
  </si>
  <si>
    <t>Bucci O.M.</t>
  </si>
  <si>
    <t>On the spatial bandwidth of scattered fields</t>
  </si>
  <si>
    <t>10.1109/TAP.1987.1144024</t>
  </si>
  <si>
    <t>2-s2.0-0023548113</t>
  </si>
  <si>
    <t>National Cancer Institute</t>
  </si>
  <si>
    <t>P30CA023108</t>
  </si>
  <si>
    <t>NCI</t>
  </si>
  <si>
    <t>['tumor margin', 'thermal heterogeneities', 'permanent worsening', 'malignant glioma', 'general ability', 'common morbidity', 'catheter confirms', 'antenna array', '7 patients', '60 min', '60 gy', '450 mhz', '192ir brachytherapy']</t>
  </si>
  <si>
    <t>A phase I clinical trial assessing the feasibility and safety of hyperthermia in combination with 192Ir brachytherapy (60 Gy) for the treatment of malignant glioma now includes 14 patients. Hyperthermia (42-43¬∞C at tumor margin for 60 min) has been induced using stereotactically implanted afterloading catheters and a microwave (915 or 2,450 MHz) antenna array. Thermometry recorded along each catheter confirms the general ability of the technique to heat such volumes, but thermal heterogeneities are documented. Transient or permanent worsening of previous neurologic deficit, seen in 7 patients, has been the most common morbidity.</t>
  </si>
  <si>
    <t>287-291</t>
  </si>
  <si>
    <t>Applied Neurophysiology</t>
  </si>
  <si>
    <t>60001844;60001844;60001844;60001844;60001844;60001844</t>
  </si>
  <si>
    <t>14023621200;7005534211;7007000893;57197374123;7102777830;7003894176</t>
  </si>
  <si>
    <t>Roberts, D. W.;Strohbehn, J. W.;Coughlin, C. T.;Ryan, T. P.;Lyons, B. E.;Douple, E. B.</t>
  </si>
  <si>
    <t>Dartmouth-Hitchcock Medical Center</t>
  </si>
  <si>
    <t>Roberts D.W.</t>
  </si>
  <si>
    <t>Iridium-192 brachytherapy in combination with interstitial microwave-induced hyperthermia for malignant glioma</t>
  </si>
  <si>
    <t>10.1159/000100728</t>
  </si>
  <si>
    <t>2-s2.0-0023549708</t>
  </si>
  <si>
    <t>['¬© 1987', 'tarsal segments', 'rights reserved', 'leg type', 'hypermorphic expression', 'genetics society', 'cuticular morphology', 'clones transform', 'clones covering', 'bx mutations', 'basal cylinder', 'antp locus', 'antennal tissue']</t>
  </si>
  <si>
    <t>Somatic clones doubly homozygous fop Antpw10 and Rg-bx mutations were induced with X-ray and examined for the cuticular morphology of these clones covering the antenna. The Antp- Rg-bx- clones on the antenna show nearly normal arista together with bristles of the leg type on the basal cylinder and the third antennal segment whereas the Rg-bx- clones transform the distal antennal tissue to the tarsal segments of the leg. The absence of the Rg-bx+ function is suggested to cause the hypermorphic expression of the Antp locus in the antennal tissue. ¬© 1987, The Genetics Society of Japan. All rights reserved.</t>
  </si>
  <si>
    <t>493-499</t>
  </si>
  <si>
    <t>0021504X</t>
  </si>
  <si>
    <t>The Japanese Journal of Genetics</t>
  </si>
  <si>
    <t>Sato, Takashi</t>
  </si>
  <si>
    <t>Minato</t>
  </si>
  <si>
    <t>Yakult Honsha Co., Ltd.</t>
  </si>
  <si>
    <t>Sato T.</t>
  </si>
  <si>
    <t>Regulation of homoeotic Antennapedia gene by the Regulator of bithorax (or trithorax) gene in imaginal antennal tissue of Drosophila melanogaster</t>
  </si>
  <si>
    <t>10.1266/jjg.62.493</t>
  </si>
  <si>
    <t>2-s2.0-0023553566</t>
  </si>
  <si>
    <t>['test site', 'herb layers', 'forest stands', 'basswood subdominant', 'antenna generating']</t>
  </si>
  <si>
    <t>The test site will be subjected to Extremely Low Frequency electromagnetic fields, necessitating a control site located some distance from the antenna generating these fields. Forest stands were maple-dominated, with basswood subdominant, and harbored similar shrub and herb layers. -from Authors</t>
  </si>
  <si>
    <t>241-250</t>
  </si>
  <si>
    <t>Pedobiologia</t>
  </si>
  <si>
    <t>60031707;60031707</t>
  </si>
  <si>
    <t>7103374987;7103374957</t>
  </si>
  <si>
    <t>Snider, R. J.;Snider, R. M.</t>
  </si>
  <si>
    <t>East Lansing</t>
  </si>
  <si>
    <t>Michigan State University</t>
  </si>
  <si>
    <t>Snider R.</t>
  </si>
  <si>
    <t>ELF ecological monitoring in Michigan. I. Description of sites for soil biological studies</t>
  </si>
  <si>
    <t>2-s2.0-0023554851</t>
  </si>
  <si>
    <t>['transient time', 'transient build', 'short pulse', 'reflector antenna', 'pulse response', 'inversely proportional', 'better short']</t>
  </si>
  <si>
    <t>The transient build-up and decay of the radiated field produced by a short pulse in a reflector antenna are examined. The transient time is proportional to diameter, and inversely proportional to f/D, thus Cassegrain reflectors have better short-pulse response.</t>
  </si>
  <si>
    <t>557-559</t>
  </si>
  <si>
    <t>Hansen, R. C.</t>
  </si>
  <si>
    <t>SHORT-PULSE EXCITATION OF REFLECTOR ANTENNAS.</t>
  </si>
  <si>
    <t>10.1049/ip-h-2.1987.0110</t>
  </si>
  <si>
    <t>2-s2.0-0023558319</t>
  </si>
  <si>
    <t>['tracing equation', 'surface may', 'step process', 'radiation pattern', 'radiated field', 'probing radars', 'practical ice', 'ice sheet', 'great depths', 'geometric optics', 'gain increases', 'form solutions', 'depth within', 'antenna mounted']</t>
  </si>
  <si>
    <t>The radiation pattern of an arbitrarily shaped antenna system placed directly on the surface of a polar ice sheet (a configuration often used for ice-probing radars) may be determined at any depth within the ice sheet using a two-step process. The distribution of the radiated field just beneath the surface may be determined first using the method of moments, and geometric optics can then be used to calculate the effects of the exponential density gradient of the ice. Closed-form solutions of the ray-tracing equation, valid at any depth within the ice sheet, allow rapid calculation of the effective look angles and gain increases of any antenna mounted on the surface. These solutions asymptotically approach previously determined relations which are valid only at great depths. A numerical example demonstrates the use of this procedure in the design of a practical ice-probing radar antenna system.</t>
  </si>
  <si>
    <t>1689-1696</t>
  </si>
  <si>
    <t>60015457;60015457</t>
  </si>
  <si>
    <t>7402746863;7005740358</t>
  </si>
  <si>
    <t>West, James C.;Demarest, Kenneth R.</t>
  </si>
  <si>
    <t>Lawrence</t>
  </si>
  <si>
    <t>University of Kansas</t>
  </si>
  <si>
    <t>West J.</t>
  </si>
  <si>
    <t>RADIATION CHARACTERISTICS OF AN ARBITRARY ANTENNA POSITIONED ON A POLAR ICE SHEET.</t>
  </si>
  <si>
    <t>10.1190/1.1442285</t>
  </si>
  <si>
    <t>2-s2.0-0023561422</t>
  </si>
  <si>
    <t>['wiley company', 'visible radius', 'test antenna', 'shown numerically', 'reflector system', 'quite small', 'primary radiator', 'multibeam antenna', 'measured results', 'international satellite', 'inc .,', 'confirmed experimentally', 'computed results', 'agrees well', '8 db', '120 wavelengths', '10 ¬∞']</t>
  </si>
  <si>
    <t>This paper shows theoretically and experimentally that the front‚Äêfed offset Cassegrain (FFOC) antenna is suited as a multi‚Äêbeam antenna to be borne on an international satellite. First, the problems are identified for conventional reflector configurations. Then the beam deflection characteristics are shown numerically in the case where an FFOC reflector surface is used as a multibeam antenna. The performance of the test antenna is confirmed experimentally. From the measured results of a test antenna of 120 wavelengths, it is found that the reduction of the gain in the beam deflection within a circle of the visible radius of 10¬∞ is less than 1.8 dB which agrees well with the computed results. The cross‚Äêpolarization level is less than‚Äê34 dB. Because the cross‚Äêpolarization component generated by the primary radiator is ‚àí40 dB, the cross polarization generated by the reflector system is quite small. Copyright ¬© 1987 Wiley Periodicals, Inc., A Wiley Company</t>
  </si>
  <si>
    <t>60101699;60101699;60101699;60101699</t>
  </si>
  <si>
    <t>7403067757;37092384300;7003628822;7004304668</t>
  </si>
  <si>
    <t>Makino, Shigeru;Kobayashi, Yuji;Urasaki, Shuji;Katagi, Takashi</t>
  </si>
  <si>
    <t>Mitsubishi Electric Corporation</t>
  </si>
  <si>
    <t>Makino S.</t>
  </si>
  <si>
    <t>Beam scanning characteristics of front fed offset cassegrain‚Äìtype multibeam antenna</t>
  </si>
  <si>
    <t>10.1002/ecja.4410701210</t>
  </si>
  <si>
    <t>2-s2.0-0023561695</t>
  </si>
  <si>
    <t>['standing array', 'screen component', 'scattering parameters', 'reflection coefficients', 'point within', 'periodic surface', 'overall transmission', 'metallic surface', 'element characterized', 'electronics engineers', 'dielectric layer', 'cascade connection', 'apertures within', 'analysis treats', 'analysis allows']</t>
  </si>
  <si>
    <t>An analysis of a periodic screen consisting of one or more periodic surfaces sandwiched between homogeneous dielectric layers is presented. A periodic surface is defined to be a free-standing array of patches, or an array of apertures within a metallic surface. The dielectric layers may be lossy. The analysis treats a screen component (periodic surface or dielectric layer) as an element characterized by its scattering parameters. The cascade connection of the scattering parameters of all elements that comprise the screen then gives the overall transmission and reflection coefficients of the structure. This analysis allows for the calculation of the fields and, hence, power dissipation within lossy layers at any point within the screen. Copyright ¬© 1988 by The Institute of Electrical and Electronics Engineers, Inc.</t>
  </si>
  <si>
    <t>1397-1405</t>
  </si>
  <si>
    <t>7004364211;55197051100</t>
  </si>
  <si>
    <t>Cwik, Tom;Mittra, Raj</t>
  </si>
  <si>
    <t>Cwik T.</t>
  </si>
  <si>
    <t>The cascade connection of planar periodic surfaces and lossy dielectric layers to form an arbitrary periodic screen</t>
  </si>
  <si>
    <t>10.1109/TAP.1987.1144054</t>
  </si>
  <si>
    <t>2-s2.0-0023562980</t>
  </si>
  <si>
    <t>['theoretical data', 'results obtained', 'present study', 'paper reports', 'electronics engineers', 'available experimental', 'accurately represented']</t>
  </si>
  <si>
    <t>A coaxial line excited monopole probe has attracted many researchers for in situ permittivity measurement of materials. In most of these cases, a delta gap excitation is assumed for the probe in relating the measured input impedance to the permittivity of the material. Since an open-ended coaxial line is more accurately represented by a magnetic frill generator, we employed this model of excitation for the present study. This paper reports the results obtained by solving the Pocklington's integral equation numerically using a magnetic frill excitation and piecewise sinusoidal Galerkin method. A comparison of these results with the available experimental and theoretical data is presented and some limitations of this approach are discussed. Copyright ¬© 1987 by The Institute of Electrical and Electronics Engineers, Inc.</t>
  </si>
  <si>
    <t>1015-1019</t>
  </si>
  <si>
    <t>Misra, Devendra K.</t>
  </si>
  <si>
    <t>Milwaukee</t>
  </si>
  <si>
    <t>University of Wisconsin-Milwaukee</t>
  </si>
  <si>
    <t>Misra D.K.</t>
  </si>
  <si>
    <t>A Study on Coaxial Line Excited Monopole Probes for In Situ Permittivity Measurements</t>
  </si>
  <si>
    <t>10.1109/TIM.1987.6312601</t>
  </si>
  <si>
    <t>2-s2.0-0023563667</t>
  </si>
  <si>
    <t>['¬© 1987', 'vacuum conditions', 'thermal behaviour', 'spacecraft system', 'spacecraft hardware', 'scientific satellites', 'satellite systems', 'functional performance', 'antenna subsystems']</t>
  </si>
  <si>
    <t>For development, qualification and acceptance of spacecraft hardware an extensive testing programme is required. To study the thermal behaviour of satellite systems, measurements under simulated thermal space environment conditions are performed. The objective of these tests is the verification of the results of the thermal model calculation and qualification and acceptance of the functional performance of the thermal control subsystem and of the spacecraft system. The essential space environment conditions which are simulated in large thermal testing facilities are vacuum conditions, radiative heat sink and solar radiative input. The capabilities of IABG's space simulation facility and the main performance data of other European thermal testing facilities are presented. Recent test results for communication and scientific satellites and antenna subsystems are described. ¬© 1987.</t>
  </si>
  <si>
    <t>0042207X</t>
  </si>
  <si>
    <t>Vacuum</t>
  </si>
  <si>
    <t>Nuss, HE</t>
  </si>
  <si>
    <t>Ottobrunn</t>
  </si>
  <si>
    <t>Industrieanlagen-Betriebsgesellschaft mbH</t>
  </si>
  <si>
    <t>Nuss H.</t>
  </si>
  <si>
    <t>Space simulation facilities and recent experience in satellite thermal testing</t>
  </si>
  <si>
    <t>0042207X87900133</t>
  </si>
  <si>
    <t>10.1016/0042-207X(87)90013-3</t>
  </si>
  <si>
    <t>2-s2.0-0023565072</t>
  </si>
  <si>
    <t>['two scalars', 'magnetic polarizabilities', 'four tensors', 'elliptic aperture', 'depolarization tensor', 'demagnetization tensor', 'copyright 1987', 'completely described', 'applied directly', 'antenna integrated']</t>
  </si>
  <si>
    <t>The magnetic polarizability tensor, the demagnetization tensor, and the depolarization tensor of an ellipsoid are all related to its electric polarizability tensor. The four tensors are completely described by two scalars. The relationship between the electric and magnetic polarizabilities of an ellipsoid can be applied directly to an elliptic aperture. The total cross section of an antenna integrated over wavelength is given by the antenna's polarizabilities. Copyright 1987 by the American Geophysical Union.</t>
  </si>
  <si>
    <t>1235-1238</t>
  </si>
  <si>
    <t>Lee, K. S.H.</t>
  </si>
  <si>
    <t>Lee K.</t>
  </si>
  <si>
    <t>Relations between electric and magnetic polarizabilities and other related quantities</t>
  </si>
  <si>
    <t>10.1029/RS022i007p01235</t>
  </si>
  <si>
    <t>2-s2.0-0023567618</t>
  </si>
  <si>
    <t>['neuron project', 'neuron maintains', 'contralateral protocerebrum', 'contralateral al', 'basic profile', 'arborizations within', 'antennal lobe', 'adult stages', 'adult brain', 'adult al']</t>
  </si>
  <si>
    <t>A single serotonin‚Äêimmunoreactive neuron in the antennal lobe (AL) of the brain of the sphinx moth Manduca sexta is present in larval, pupal, and adult stages. This neuron has a neurite that extends to the contralateral AL, where it forms sparse arborizations in each glomerulus. Other neurites from this neuron project into the ipsilateral and contralateral protocerebrum. This cell is morphologically very different from other neurons previously characterized in the adult AL. The neuron maintains the same basic profile in the adult as in the larva, although fine processes such as the arborizations within the AL neuropil appear to be restructured to conform to the larger, more anatomically diffentiated regions of the adult brain. Copyright ¬© 1987 John Wiley &amp; Sons, Inc.</t>
  </si>
  <si>
    <t>451-465</t>
  </si>
  <si>
    <t>Journal of Neurobiology</t>
  </si>
  <si>
    <t>60030162-60023324;60030162;60030162-60023324</t>
  </si>
  <si>
    <t>7202068631;6603879869;7102653635</t>
  </si>
  <si>
    <t>Kent, Karla S.;Hoskins, Sally G.;Hildebrand, John G.</t>
  </si>
  <si>
    <t>New York;Tucson</t>
  </si>
  <si>
    <t>Columbia University;Arizona Research Laboratories</t>
  </si>
  <si>
    <t>60030162;60023324</t>
  </si>
  <si>
    <t>Kent K.</t>
  </si>
  <si>
    <t>A novel serotonin‚Äêimmunoreactive neuron in the antennal lobe of the sphinx moth Manduca sexta persists throughout postembryonic life</t>
  </si>
  <si>
    <t>10.1002/neu.480180506</t>
  </si>
  <si>
    <t>2-s2.0-0023568375</t>
  </si>
  <si>
    <t>ECS 8352325</t>
  </si>
  <si>
    <t>['suitable set', 'spectral domain', 'rigorous solution', 'radiating edge', 'patch fed', 'nonradiating edge', 'good results', 'feed line', 'electronics engineers']</t>
  </si>
  <si>
    <t>A rigorous solution to the problem of a rectangular microstrip antenna fed by a microstripline is presented. The currents on the feed line and the patch are expanded in a suitable set of modes, and a moment method solution is formulated in the spectral domain. Three special feed cases are treated: A patch fed at a radiating edge; a patch fed at a nonradiating edge; and a proximity coupled patch. Good results are obtained for the radiating edge fed case and the proximity coupled case. The nonradiating edge fed case results were not as good; reasons for this discrepancy are discussed. Calculations are compared with measurements for high and low dielectric constant substrates. Copyright ¬© 1988 by The Institute of Electrical and Electronics Engineers, Inc.</t>
  </si>
  <si>
    <t>1343-1350</t>
  </si>
  <si>
    <t>60014313;60013894</t>
  </si>
  <si>
    <t>7006061921;6507667012</t>
  </si>
  <si>
    <t>Pozar, David M.;Voda, Susanne M.</t>
  </si>
  <si>
    <t>Amherst MA;Boston</t>
  </si>
  <si>
    <t>University of Massachusetts Amherst;University of Massachusetts System</t>
  </si>
  <si>
    <t>A rigorous analysis of a microstripline fed patch antenna</t>
  </si>
  <si>
    <t>10.1109/TAP.1987.1144041</t>
  </si>
  <si>
    <t>2-s2.0-0023569795</t>
  </si>
  <si>
    <t>['microstrip feedline', 'ground plane', 'free space', 'experimental results', 'design procedure', 'back side']</t>
  </si>
  <si>
    <t>A frequency-multiplying power combining array has been made of slots in the ground plane on a substrate with a microstrip feedline on the back side. The second harmonic generated by a diode in each slot is combined in free space. A design procedure and experimental results are presented. ¬© 1987 IEEE</t>
  </si>
  <si>
    <t>1271-1276</t>
  </si>
  <si>
    <t>60013372;60013372</t>
  </si>
  <si>
    <t>57199695423;57208460042</t>
  </si>
  <si>
    <t>Nam, S.;Itoh, Tasuo</t>
  </si>
  <si>
    <t>Nam S.</t>
  </si>
  <si>
    <t>Microstrip-fed planar frequency-multiplying space combiner</t>
  </si>
  <si>
    <t>10.1109/TMTT.1987.1133847</t>
  </si>
  <si>
    <t>2-s2.0-0023575279</t>
  </si>
  <si>
    <t>['system components', 'software renders', 'scattering properties', 'multipurpose electromagnetic', 'modular design', 'modern computer', 'large number', 'field due', 'facility useful', 'electronics engineers', 'electronic equipment', 'dimensional distribution', 'data acquisition', 'based instrumentation', 'associated environment', 'absorbing material']</t>
  </si>
  <si>
    <t>Details of a multipurpose electromagnetic (EM) field measurement facility are described. A three-dimensional robotic probe positioner, modern computer-based instrumentation and specially developed hardware and software for data acquisition, and analysis and graphical presentation permit a large number of measurements in a relatively short time. Flexible and modular design of system components, subsystems, instrumentation, and software renders the facility useful in many diverse applications. Some of the measurement programs undertaken include: Measurement of antenna input impedance as a function of frequency and height. Three-dimensional distribution of E-field due to a variety of antennas in the presence of associated environment such as the walls of an imperfect absorber lined chamber and a reflecting ground plane. Calibration of antennas to be used as probes for EM field measurements. Measurement of scattering properties of absorbing material. Measurement of EM emission characteristics of electronic equipment. Copyright ¬© 1987 by The Institute of Electrical and Electronics Engineers, Inc.</t>
  </si>
  <si>
    <t>1010-1014</t>
  </si>
  <si>
    <t>60009839;60009839</t>
  </si>
  <si>
    <t>55463287400;7102150764</t>
  </si>
  <si>
    <t>Mishra, Shantnu R.;Kashyap, Satish</t>
  </si>
  <si>
    <t>Ottawa ON,</t>
  </si>
  <si>
    <t>National Research Council Canada</t>
  </si>
  <si>
    <t>Mishra S.R.</t>
  </si>
  <si>
    <t>A Multipurpose EM Field Measurement and Antenna Calibration Facility</t>
  </si>
  <si>
    <t>10.1109/TIM.1987.6312600</t>
  </si>
  <si>
    <t>2-s2.0-0023576512</t>
  </si>
  <si>
    <t>['system using', 'simultaneous equations', 'sectional shape', 'scattering problem', 'published procedure', 'obliqueincidence scattering', 'matching technique', 'integral equation', 'incident field', 'general cross', 'function expansion', 'electronics engineers']</t>
  </si>
  <si>
    <t>The scattering problem of an axially uniform dielectric cylinder is formulated in terms of the electric field integral equation, where the cylinder is of general cross-sectional shape, inhomogeneity, and anisotropy, and the incident field is arbitrary. Using the pulse-function expansion and the point-matching technique, the integral equation is reduced to a system of simultaneous equations. Then, a published procedure for solving the system using the conjugate gradient method and the fast Fourier transform (FFT) is generalized to the case of obliqueincidence scattering. Copyright ¬© 1988 by The Institute of Electrical and Electronics Engineers, Inc.</t>
  </si>
  <si>
    <t>1418-1425</t>
  </si>
  <si>
    <t>Su, Ching Chuan</t>
  </si>
  <si>
    <t>Hsinchu</t>
  </si>
  <si>
    <t>National Tsing Hua University</t>
  </si>
  <si>
    <t>Su C.C.</t>
  </si>
  <si>
    <t>Calculation of electromagnetic scattering from a dielectric cylinder using the conjugate gradient method and FFT</t>
  </si>
  <si>
    <t>10.1109/TAP.1987.1144036</t>
  </si>
  <si>
    <t>2-s2.0-0023581009</t>
  </si>
  <si>
    <t>['resonant length', 'rectangular waveguide', 'particular attention', 'outer regions', 'moment method', 'measured results', 'electronics engineers', 'electric field', 'critical parameter', 'admittance characteristics', 'accurate computation']</t>
  </si>
  <si>
    <t>An accurate computation of the admittance characteristics of longitudinal shunt slots in a rectangular waveguide is presented. A moment method with entire basis functions is used for solving the electric field in the slot. The waveguide wall thickness is accounted for by introducing higher order waveguide modes in the short waveguide connecting the inner and outer regions. Particular attention is given to the resonant length of the slot, which is a critical parameter in the design of waveguide slot array antennas. Computed resonant lengths compare very well with measured results. Copyright ¬© 1988 by The Institute of Electrical and Electronics Engineers, Inc.</t>
  </si>
  <si>
    <t>1351-1357</t>
  </si>
  <si>
    <t>Josefsson, Lars G.</t>
  </si>
  <si>
    <t>Stockholm</t>
  </si>
  <si>
    <t>Ericsson Radio Systems AB</t>
  </si>
  <si>
    <t>Josefsson L.G.</t>
  </si>
  <si>
    <t>Analysis of longitudinal slots in rectangular waveguides</t>
  </si>
  <si>
    <t>10.1109/TAP.1987.1144042</t>
  </si>
  <si>
    <t>2-s2.0-0023581384</t>
  </si>
  <si>
    <t>['usable range', 'resonant frequency', 'particular mode', 'obtained using', 'numerical results', 'mode resonances', 'inner radius', 'extended ear', 'experimental data', 'annular ring', 'annular bandwidth', 'analysis shows', 'also moves']</t>
  </si>
  <si>
    <t>The annular-ring patch antenna with an extended ear at its other periphery is analyzed. A mode matching technique (MMT) is utilized and is improved by incorporating the mutual coupling effect between the two radiating edges. The formulations for the wall admittances including the extended ear are developed. The analysis shows that for an annular bandwidth of TM//1//2 mode is increased by increasing its inner radius. It also moves the resonant frequency of the TM//0//2 mode towards that of the TM//1//2 mode, overlapping their bandwidths and causing mode degeneracy. The addition of an extended ear separates the mode resonances and removes their degeneracy and the usable range of frequency for a particular mode is increased. An annular ring with the extended ear is fabricated and tested. The numerical results of the improved MMT agree more closely with experimental data than those obtained using the conventional MMT used in the literature.</t>
  </si>
  <si>
    <t>550-556</t>
  </si>
  <si>
    <t>7402673635;8092251400</t>
  </si>
  <si>
    <t>Bhattacharyya, A. K.;Shafai, L.</t>
  </si>
  <si>
    <t>Bhattacharyya A.</t>
  </si>
  <si>
    <t>METHOD OF REDUCING MODE-DEGENERACY PROBLEM IN ANNULAR-RING PATCH ANTENNAS.</t>
  </si>
  <si>
    <t>10.1049/ip-h-2.1987.0109</t>
  </si>
  <si>
    <t>2-s2.0-0023591581</t>
  </si>
  <si>
    <t>['would make', 'way uniform', 'theoretical predictions', 'possible application', 'new technique', 'new dual', 'function multi', 'function coupler', 'feed network', 'experimental coupler', '5 ghz']</t>
  </si>
  <si>
    <t>A new technique of obtaining two distinct power splitting functions from a multi-way uniform combline directional coupler is introduced. The new directional coupler is called a 'dual-function multi-way combline coupler'. An experimental coupler has been fabricated using comblines in an open microstrip configuration for the frequency range 1. 2 to 1. 5 GHz. The measured results agree with the theoretical predictions. A proposal is made for a possible application of the new dual-function coupler, which, in conjunction with a number of multi-way uniform and warped-mode combline directional couplers, would make a feed network for a multi-element monopulse antenna array.</t>
  </si>
  <si>
    <t>60021158;60021158</t>
  </si>
  <si>
    <t>57208093239;7402035409</t>
  </si>
  <si>
    <t>Islam, S.;Carroll, J. E.</t>
  </si>
  <si>
    <t>Bangladesh</t>
  </si>
  <si>
    <t>Dhaka</t>
  </si>
  <si>
    <t>Bangladesh University of Engineering and Technology</t>
  </si>
  <si>
    <t>Islam S.</t>
  </si>
  <si>
    <t>DUAL-FUNCTION MULTI-WAY UNIFORM COMBLINE DIRECTIONAL COUPLERS FOR APPLICATION TO MONOPULSE FEED SYSTEM.</t>
  </si>
  <si>
    <t>10.1049/ip-h-2.1987.0097</t>
  </si>
  <si>
    <t>2-s2.0-0023592148</t>
  </si>
  <si>
    <t>['toeplitz matrix', 'therefore may', 'optimum weight', 'incoherent ones', 'incoherent interference', 'highly capable', 'guiding principle', 'function even', 'electronics engineers', 'desired signal', 'correlation terms', 'coherent interferences', 'coherent interference', 'averaged matrix', 'array element', 'adaptively averaged', 'adaptive array']</t>
  </si>
  <si>
    <t>When the interference is coherent with the desired signal, the conventional adaptive arrays working under the guiding principle of output power minimization tend to cancel the desired signal by using the coherent interference. A technique is described which enables the adaptive array to function even under such an environment. The array is divided into subarrays, whose input correlation matrices are adaptively averaged so as to produce a Toeplitz matrix which would be obtained when the interference did not correlate with the desired signal. The averaged matrix is now free from correlation terms between the desired signal and interference, and therefore may be used to derive the optimum weight for the array element just as in the ordinary radio environment of incoherent interference. Numerical examples show that the new adaptive array is highly capable to suppress the coherent interferences as well as incoherent ones. Copyright ¬© 1988 by The Institute of Electrical and Electronics Engineers, Inc.</t>
  </si>
  <si>
    <t>1389-1396</t>
  </si>
  <si>
    <t>60011001;60011001</t>
  </si>
  <si>
    <t>7102188996;7003894513</t>
  </si>
  <si>
    <t>Takao, Kazuaki;Kikuma, Nobuyoshi</t>
  </si>
  <si>
    <t>Kyoto</t>
  </si>
  <si>
    <t>Kyoto University</t>
  </si>
  <si>
    <t>Takao K.</t>
  </si>
  <si>
    <t>An adaptive array utilizing an adaptive spatial averaging technique for multipath environments</t>
  </si>
  <si>
    <t>10.1109/TAP.1987.1144039</t>
  </si>
  <si>
    <t>2-s2.0-0023593171</t>
  </si>
  <si>
    <t>['profile cavity', 'idea incorporates', 'electronics engineers', 'common wall', 'certain cavity', 'backed slot', 'approximate two', 'antenna dimensions']</t>
  </si>
  <si>
    <t>A method of increasing the bandwidth of low-profile cavity-backed slot and microstrip patch antennas without appreciably adding to the antenna dimensions is presented. This idea incorporates the stacking of structures which have close resonant frequencies. Energy is coupled between cavities via carefully placed slots in the common wall. An approximate two-and-a-half fold increase in input impedance bandwidth has been observed for a certain cavity-backed slot antenna. Copyright ¬© 1988 by The Institute of Electrical and Electronics Engineers, Inc.</t>
  </si>
  <si>
    <t>1473-1476</t>
  </si>
  <si>
    <t>60000745;60000745</t>
  </si>
  <si>
    <t>7406228773;7006767012</t>
  </si>
  <si>
    <t>Smith, H. K.;Mayes, Paul E.</t>
  </si>
  <si>
    <t>Smith H.K.</t>
  </si>
  <si>
    <t>Stacking resonators to increase the bandwidth of low-profile antennas</t>
  </si>
  <si>
    <t>10.1109/TAP.1987.1144046</t>
  </si>
  <si>
    <t>2-s2.0-0023593173</t>
  </si>
  <si>
    <t>ECE-8519060</t>
  </si>
  <si>
    <t>['‚ äúone', 'simple closed', 'scattered field', 'normal incidence', 'mode approximation', 'low frequencies', 'known function', 'induced currents', 'g .,', 'fss ).', 'form solution', 'electronics engineers', 'dielectric slabs', 'constant coefficient', 'complimentary apertures', 'circular aperture', 'boundary conditions']</t>
  </si>
  <si>
    <t>A simple closed-form approximate solution is given to the problem of transmission of a low-frequency electromagnetic wave through a frequency selective surface (FSS). FSS are periodic metal plates (or their complimentary apertures) sandwiched between dielectric slabs. At low frequencies, the induced currents on the metal plates may be approximated by a known function with a constant coefficient to be determined by the boundary conditions. Based on such a ‚Äúone-mode‚Äù approximation, we derive a closed-form solution for the scattered field for FSS with multiple narrow rectangular slots, with a single wide rectangular aperture, and a circular aperture. When compared with the available exact solutions, we find that the one-mode approximation is valid when the period a of the FSS is such that a/Œªis small enough that no grating lobe appears, e.g., a &lt; X for normal incidence. Copyright ¬© 1988 by The Institute of Electrical and Electronics Engineers, Inc.</t>
  </si>
  <si>
    <t>1406-1417</t>
  </si>
  <si>
    <t>60009060;60009060</t>
  </si>
  <si>
    <t>6507897216;6507803374</t>
  </si>
  <si>
    <t>Zarrillo, Gino;Aguiar, Kevin</t>
  </si>
  <si>
    <t>Dartmouth</t>
  </si>
  <si>
    <t>University of Massachusetts Dartmouth</t>
  </si>
  <si>
    <t>Zarrillo G.</t>
  </si>
  <si>
    <t>Closed-Form Low Frequency Solutions for Electromagnetic Waves Through a Frequency Selective Surface</t>
  </si>
  <si>
    <t>10.1109/TAP.1987.1144035</t>
  </si>
  <si>
    <t>2-s2.0-0023595529</t>
  </si>
  <si>
    <t>PSU</t>
  </si>
  <si>
    <t>['¬© 1987', 'transducer deployment', 'problems within', 'problem type', 'large degree', 'find application', 'expert systems', 'even larger', 'either acoustic', 'complex problems', 'approach verified', 'actual hardware']</t>
  </si>
  <si>
    <t>Expert systems, a topic of considerable recent interest, find application to those problems within a relatively narrow domain and involving a large degree of judgement, experience and intuition. In this paper, we address such a problem type, the selection and deployment of transducers to either acoustic or electromagnetic array slot positions. While an inherently combinatorically explosive problem, experienced design engineers have been able to develop heuristic rules so as to derive reasonably adequate development schemes-at least for problems of a relatively small scale. In this paper, we describe the development of a hybrid expert system approach to this problem that extends to even larger and more complex problems of transducer deployment-an approach verified on actual hardware. ¬© 1987.</t>
  </si>
  <si>
    <t>185-202</t>
  </si>
  <si>
    <t>0003682X</t>
  </si>
  <si>
    <t>Applied Acoustics</t>
  </si>
  <si>
    <t>60005837;60001439;60001439</t>
  </si>
  <si>
    <t>7003742697;6603568632;7202094678</t>
  </si>
  <si>
    <t>Ignizio, J. P.;Wiemann, K. W.;Hughes, W. J.</t>
  </si>
  <si>
    <t>Houston;University Park</t>
  </si>
  <si>
    <t>University of Houston;Pennsylvania State University</t>
  </si>
  <si>
    <t>60005837;60001439</t>
  </si>
  <si>
    <t>Ignizio J.</t>
  </si>
  <si>
    <t>An expert systems approach to transducer selection and deployment</t>
  </si>
  <si>
    <t>0003-682X(87)90036-3</t>
  </si>
  <si>
    <t>10.1016/0003-682X(87)90036-3</t>
  </si>
  <si>
    <t>2-s2.0-0023595774</t>
  </si>
  <si>
    <t>['zone fields', 'several examples', 'radiated fields', 'practical interest', 'plane conductor', 'pattern symmetry', 'optimum frequency', 'mutual coupling', 'mutual admittance', 'infinite extent', 'general case', 'experimental results', 'excellent agreement', 'electronics engineers', 'describe results', 'coaxial waveguides', 'center conductor', 'case 2', 'asymptotic solution', 'asymmetric modes', 'also derived']</t>
  </si>
  <si>
    <t>Properties of circular coaxial waveguide antennas terminated in a plane conductor are analyzed where in the most general case the center conductor is of infinite extent. Solutions for mutual admittance and radiated fields are detailed for all asymmetric modes. An asymptotic solution is also derived for the far-zone fields. We describe results for TE11 mode excitation of coaxial waveguides where 1) outside the aperture the conductor is absent, and 2) the center conductor extends to infinity. These antennas are of practical interest as feeds for reflectors. Experimental results are described for several examples and excellent agreement with theory is shown. Comparison of the two cases shows that in 1) there is always an optimum frequency for good pattern symmetry and low cross polarization. The mismatch in case 2) is less than in 1) but pattern symmetry is poor if the ratio of inner to outer conductor radius is greater than about 0.2. Further, in 2) mutual coupling to adjacent annular rings is stronger and the principal plane radiation patterns has widely spaced phase centers. Copyright ¬© 1988 by The Institute of Electrical and Electronics Engineers, Inc.</t>
  </si>
  <si>
    <t>1358-1366</t>
  </si>
  <si>
    <t>Bird, Trevor S.</t>
  </si>
  <si>
    <t>TE11Mode excitation of flanged circular coaxial waveguides with an extended center conductor</t>
  </si>
  <si>
    <t>10.1109/TAP.1987.1144026</t>
  </si>
  <si>
    <t>2-s2.0-0023599773</t>
  </si>
  <si>
    <t>['transverse electromagnetic', 'magnetic fields', 'exact expression', 'electronics engineers', 'direct integration', 'conical coordinates', 'characteristic impedance']</t>
  </si>
  <si>
    <t>An exact expression for the characteristic impedance of two infinite cones of elliptic cross section is found through direct integration of the transverse electromagnetic (TEM) electric and magnetic fields in conical coordinates. Two special cases, the infinite circular biconical antenna and the infinite ‚Äúbowtie,‚Äù agree with previously known results. Copyright ¬© 1988 by The Institute of Electrical and Electronics Engineers, Inc.</t>
  </si>
  <si>
    <t>1481-1483</t>
  </si>
  <si>
    <t>6603050168;55740874900</t>
  </si>
  <si>
    <t>Foltz, H. D.;Davis, John H.</t>
  </si>
  <si>
    <t>Foltz H.D.</t>
  </si>
  <si>
    <t>Characteristic Impedance of Infinite Cones of Elliptic Cross Section</t>
  </si>
  <si>
    <t>10.1109/TAP.1987.1144052</t>
  </si>
  <si>
    <t>2-s2.0-0023603048</t>
  </si>
  <si>
    <t>['terms retained', 'fresnel region', 'far field', 'electronics engineers', 'earlier paper', 'cosine distribution', 'approximations structured', 'approximation corresponds']</t>
  </si>
  <si>
    <t>Gaussian field expansions for circular aperture antennas are reviewed, and a method for finding optimal scales in these expansions is given, paralleling the method for rectangular antennas presented in an earlier paper. This procedure is shown to lead to approximations structured in the sense that the number of lobes in the approximation corresponds to the number of terms retained in the expansion. An example is given of the development of a cosine distribution from the aperture, through the Fresnel region, to the far field. Copyright ¬© 1988 by The Institute of Electrical and Electronics Engineers, Inc.</t>
  </si>
  <si>
    <t>1476-1481</t>
  </si>
  <si>
    <t>115568048;115568048-100449810</t>
  </si>
  <si>
    <t>7103190636;7004702746</t>
  </si>
  <si>
    <t>Elkins, R. E.;Bogush, Alfred J.</t>
  </si>
  <si>
    <t>Huntsville;Huntsville</t>
  </si>
  <si>
    <t>Rexham Aerospace and Defense Group. Inc. 4811 Bradford Blvd;CAS Inc.</t>
  </si>
  <si>
    <t>115568048;100449810</t>
  </si>
  <si>
    <t>Elkins R.E.</t>
  </si>
  <si>
    <t>Optimal scale factors for gaussian field expansions for a circular aperture</t>
  </si>
  <si>
    <t>10.1109/TAP.1987.1144044</t>
  </si>
  <si>
    <t>2-s2.0-0023603855</t>
  </si>
  <si>
    <t>['three times', 'sphere scanning', 'significantly increasing', 'scanning algorithm', 'rear hemisphere', 'prior full', 'electronics engineers', 'efficient computationally', 'corrected hemispherical']</t>
  </si>
  <si>
    <t>A probe-corrected hemispherical-scanning algorithm has been developed which is applicable when the antenna under test radiates negligibly into its rear hemisphere. For a hundred-wavelengths diameter antenna, hemispherical scanning would be about three times more efficient computationally than prior full-sphere scanning algorithms. Improvements have also been made to full-sphere scanning, significantly increasing that algorithm‚Äôs computational efficiency. Copyright ¬© 1988 by The Institute of Electrical and Electronics Engineers, Inc.</t>
  </si>
  <si>
    <t>1381-1388</t>
  </si>
  <si>
    <t>55457217400;7005497310</t>
  </si>
  <si>
    <t>Lewis, Richard L.;Wittmann, Ronald C.</t>
  </si>
  <si>
    <t>Improved spherical and hemispherical scanning algorithms</t>
  </si>
  <si>
    <t>10.1109/TAP.1987.1144038</t>
  </si>
  <si>
    <t>2-s2.0-0023604044</t>
  </si>
  <si>
    <t>['stimulation unit', 'stimulation interface', 'portable patient', 'paralyzed hand', 'opposite shoulder', 'functional capability', 'control scheme']</t>
  </si>
  <si>
    <t>The purpose of this project is to enhance the functional capability of the paralyzed hand in the quadriplegic, through the use of functional neuromuscular stimulation (FNS) and surgery. Subjects are provided with a neural prosthetic hand system which consists of a command control device, portable patient-based stimulation unit, stimulation interface (percutaneous intramuscular electrodes or antennae for implantable stimulation unit), and cabling to connect the stimulation unit to the interface. The control scheme is typically a proportional control source (usually the transduction of the motion of the opposite shoulder from the stimulated hand).</t>
  </si>
  <si>
    <t>221-222</t>
  </si>
  <si>
    <t>0007506X</t>
  </si>
  <si>
    <t>Journal of Rehabilitation Research and Development</t>
  </si>
  <si>
    <t>60000305;60000305;60000305;60000305</t>
  </si>
  <si>
    <t>7007171553;7005276331;6701727581;6602168543</t>
  </si>
  <si>
    <t>Peckham, P. H.;Keith, M. W.;Thrope, G. B.;Stroh, K. C.</t>
  </si>
  <si>
    <t>Cleveland</t>
  </si>
  <si>
    <t>Case Western Reserve University</t>
  </si>
  <si>
    <t>Peckham P.</t>
  </si>
  <si>
    <t>Quantitative assessment of a functional neuromuscular stimulation motor prosthesis for restoration of grasp in the quadriplegic hand</t>
  </si>
  <si>
    <t>2-s2.0-0023625439</t>
  </si>
  <si>
    <t>['¬© 1987', 'theoretical results', 'semianalytic formula', 'rights reserved', 'reaction theorem', 'mutual coupling', 'microstrip antennas', 'good agreement', 'electrical engineers', 'disc antennas', 'cavity model']</t>
  </si>
  <si>
    <t>Antennas | Microstrip antennas</t>
  </si>
  <si>
    <t>The mutual coupling between microstrip antennas is studied by applying the reaction theorem and the cavity model. A semianalytic formula is derived for disc antennas which takes into account the dependence on the relative angular position of the antennas, as well as on the angular feeding point position. Theoretical results are in good agreement with measurements. ¬© 1987, The Institution of Electrical Engineers. All rights reserved.</t>
  </si>
  <si>
    <t>27-28</t>
  </si>
  <si>
    <t>60030553;60030553;60030553;60104081</t>
  </si>
  <si>
    <t>6603795399;57207430223;7006272544;57207430298</t>
  </si>
  <si>
    <t>Mahdjoubi, K.;Daniel, J. P.;Terret, C.;Penard, E.</t>
  </si>
  <si>
    <t>Issy-les-Moulineaux;Rennes</t>
  </si>
  <si>
    <t>Orange Labs;Universite de Rennes 1</t>
  </si>
  <si>
    <t>60104081;60030553</t>
  </si>
  <si>
    <t>Mahdjoubi K.</t>
  </si>
  <si>
    <t>Mutual coupling between circular disc microstrip antennas</t>
  </si>
  <si>
    <t>10.1049/el:19870020</t>
  </si>
  <si>
    <t>2-s2.0-0023641824</t>
  </si>
  <si>
    <t>['wiley blackwell', 'triton relative', 'thylakoids followed', 'structurally associated', 'significant amount', 'rights reserved', 'reaction centre', 'psi requires', 'psi preparation', 'photosystem ii', 'p700 ratio', 'normal complement', 'functionally connected', 'cp1a *)', 'complex consisting', 'chlorophyll concentration', 'chlorophyll b', 'b ratio', 'approximately threequarters', 'approximately half', 'absorption spectra', '77 k', '731 nm', '720 nm', '690 nm']</t>
  </si>
  <si>
    <t>Photosystem I (PSI) preparations with a chlorophyll a/b ratio of 6.0 were isolated from barley thylakoids using two different methods. The high‚Äêmolecular‚Äêmass complex (CP1a*) which is resolved by non‚Äêdenaturing gel electrophoresis had the same properties as a PSI preparation (PSI‚Äê200) isolated by Triton X‚Äê100 solubilisation of thylakoids followed by sucrose gradient ultracentrifugation. This material had a chlorophyll:P700 ratio of 208:1 and was composed of three different chlorophyll‚Äêprotein complexes which could be separated from each other by solubilising the PSI preparation in dodecyl maltoside followed by sucrose gradient ultracentrifugation. Approximately half of the chlorophyll, including all the chlorophyll b, was located in two antenna complexes designated LHCI‚Äê680 and LHCI‚Äê730, which were identified by their characteristic low‚Äêtemperature fluorescence emission spectra. The rest of the chlorophyll a was associated with the PSI reaction centre, P700 Chla‚ÄêP1, which fluoresced at 720 nm. Each chlorophyll‚Äêprotein complex had a unique polypeptide composition and characteristic circular dichroic and absorption spectra. The use of dodecyl maltoside instead of dodecyl sulphate resulted in a less denatured form of LHCI‚Äê680, which fluoresced at 690 nm at 77 K. One of the sucrose gradient fractions contained a complex consisting of only LHCI‚Äê730 and P700 Chla‚ÄêP1 which fluoresced at 731 nm, indicating that LHCI‚Äê730 is structurally associated with P700 Chla‚ÄêP1 and quenches its fluorescence. Approximately threequarters of the light‚Äêharvesting antenna chlorophyll was in LHCI‚Äê730, but only about one‚Äêquarter of the normal complement of LHCI‚Äê730 was required to quench the reaction centre. By reducing the amount of Triton relative to the chlorophyll concentration, a PSI preparation (chlorophyll a/b ratio of 3.5) with a chlorophyll:P700 ratio of 300:1 was isolated. It contained no photosystem II, but a significant amount of LHCII which was functionally connected to the PSI reaction centre. Reconstitution studies demonstrated that excitation energy transfer from LHCII to PSI requires the presence of LHCI‚Äê680, and we propose that, in PSI, the following linear excitation energy transfer sequence occurs: LHCII ‚Üí LHCI‚Äê680 ‚Üí LHCI‚Äê730 ‚Üí P700 Chla‚ÄêP1. Copyright ¬© 1987, Wiley Blackwell. All rights reserved</t>
  </si>
  <si>
    <t>221-230</t>
  </si>
  <si>
    <t>60000481-60019782;60019782</t>
  </si>
  <si>
    <t>35553979700;7402414929</t>
  </si>
  <si>
    <t>BASSI, Roberto;SIMPSON, David</t>
  </si>
  <si>
    <t>Denmark;Italy</t>
  </si>
  <si>
    <t>Copenhagen;Padua</t>
  </si>
  <si>
    <t>Carlsberg Research Center;Universit√† degli Studi di Padova</t>
  </si>
  <si>
    <t>60019782;60000481</t>
  </si>
  <si>
    <t>BASSI R.</t>
  </si>
  <si>
    <t>Chlorophyll‚Äêprotein complexes of barley photosystem I</t>
  </si>
  <si>
    <t>10.1111/j.1432-1033.1987.tb10791.x</t>
  </si>
  <si>
    <t>2-s2.0-0023642109</t>
  </si>
  <si>
    <t>['¬© 1987', 'snow accretion', 'rights reserved', 'electrical engineers']</t>
  </si>
  <si>
    <t>Antennas | Attenuation</t>
  </si>
  <si>
    <t>The received signal level and antenna pattern variation due to snow accretion on a radome have been measured. Large signal level attenuation was observed when the snow accreted asymmetrically on the radome. ¬© 1987, The Institution of Electrical Engineers. All rights reserved.</t>
  </si>
  <si>
    <t>739-741</t>
  </si>
  <si>
    <t>60022313;60022313;60022313;60022313</t>
  </si>
  <si>
    <t>57211784393;57207762039;7202758788;55495528400</t>
  </si>
  <si>
    <t>Shimba, M.;Sato, T.;Koike, H.;Sato, K.</t>
  </si>
  <si>
    <t>Niigata</t>
  </si>
  <si>
    <t>Niigata University</t>
  </si>
  <si>
    <t>Shimba M.</t>
  </si>
  <si>
    <t>Signal Level Degradation Due to Snow Accretion on A Radome</t>
  </si>
  <si>
    <t>10.1049/el:19870524</t>
  </si>
  <si>
    <t>2-s2.0-0023642344</t>
  </si>
  <si>
    <t>['¬© 1987', 'tm01 mode', 'studied theoretically', 'rights reserved', 'resonant frequency', 'pattern broadens', 'good agreement', 'electrical engineers', 'curvature increases']</t>
  </si>
  <si>
    <t>The effect of curvature on the characteristics of a rectangular patch antenna is studied theoretically and experimentally. For the TM01 mode it is found that the resonant frequency is not affected by curvature. However, as curvature increases the pattern broadens, the resonant resistance decreases, the Q-factor is smaller and the bandwidth is larger. Good agreement between theory and experiment is obtained. ¬© 1987, The Institution of Electrical Engineers. All rights reserved.</t>
  </si>
  <si>
    <t>748-749</t>
  </si>
  <si>
    <t>60009658;60009658;60013983;60032143</t>
  </si>
  <si>
    <t>7003504220;57193914557;55510527400;7501501369</t>
  </si>
  <si>
    <t>Dahele, J. S.;Mitchell, R. J.;Luk, K. M.;Lee, K. F.</t>
  </si>
  <si>
    <t>United States;Hong Kong;United Kingdom</t>
  </si>
  <si>
    <t>Akron;Kowloon;Swindon</t>
  </si>
  <si>
    <t>University of Akron;City University of Hong Kong;Defence College of Management and Technology</t>
  </si>
  <si>
    <t>60032143;60013983;60009658</t>
  </si>
  <si>
    <t>Effect of Curvature on Characteristics of Rectangular Patch Antenna</t>
  </si>
  <si>
    <t>10.1049/el:19870530</t>
  </si>
  <si>
    <t>2-s2.0-0023642371</t>
  </si>
  <si>
    <t>['¬© 1987', 'rights reserved', 'multipath fading', 'frequency selectivity', 'electrical engineers', 'derived theoretically', 'aperture antennas']</t>
  </si>
  <si>
    <t>Antennas | Digital radio communication | Multipath propagation | Radiowave propagation</t>
  </si>
  <si>
    <t>The received power frequency correlation coefficient taking account of amplitudes, phase path delays and angles of arrival of rays is derived theoretically to evaluate the frequency selectivity of multipath fading. An estimation of frequency selectivity reduction due to aperture antennas is presented by using ray tracing data. ¬© 1987, The Institution of Electrical Engineers. All rights reserved.</t>
  </si>
  <si>
    <t>1353-1354</t>
  </si>
  <si>
    <t>60002366;60002366</t>
  </si>
  <si>
    <t>7005796576;7103196782</t>
  </si>
  <si>
    <t>Serizawa, Y.;Takeshita, S.</t>
  </si>
  <si>
    <t>Central Research Institute of Electric Power Industry</t>
  </si>
  <si>
    <t>Serizawa Y.</t>
  </si>
  <si>
    <t>Influence of Raypath Parameters on Digital Radio Outage</t>
  </si>
  <si>
    <t>10.1049/el:19870934</t>
  </si>
  <si>
    <t>2-s2.0-0023643515</t>
  </si>
  <si>
    <t>['¬© 1987', 'tmn mode', 'rights reserved', 'radiation patterns', 'good agreement', 'electrical engineers', 'computed numerically', 'backlobe level']</t>
  </si>
  <si>
    <t>Antenna radiation patterns | Antennas</t>
  </si>
  <si>
    <t>The radiation patterns of cylindrical dielectric resonator antennas excited with a TMn mode is computed numerically. The numerical data obtained is found in good agreement with available experimental results. The symmetry of the radiation patterns is improved by reducing the ground plane dimensions, while the backlobe level is reduced by placing the antenna in a topless cylindrical cavity. ¬© 1987, The Institution of Electrical Engineers. All rights reserved.</t>
  </si>
  <si>
    <t>1374-1375</t>
  </si>
  <si>
    <t>60010491;60010491;60010491</t>
  </si>
  <si>
    <t>7004922524;6701487674;7202790771</t>
  </si>
  <si>
    <t>Kishk, A. A.;Auda, H. A.;Ahn, B. C.</t>
  </si>
  <si>
    <t>Accurate prediction of radiation patterns of dielectric resonator antennas</t>
  </si>
  <si>
    <t>10.1049/el:19870948</t>
  </si>
  <si>
    <t>2-s2.0-0023643520</t>
  </si>
  <si>
    <t>['¬© 1987', 'total current', 'rights reserved', 'relative importance', 'radiation requires', 'line models', 'leaky cavity', 'electrical engineers', 'bottom surface']</t>
  </si>
  <si>
    <t>Antenna theory | Antennas | Microstrip antennas</t>
  </si>
  <si>
    <t>The validity of the leaky cavity and transmission-line models to predict the far zone fields from a microstrip patch antenna is investigated. The prediction of this radiation requires a knowledge of the total current on the antenna. Since the approximate techniques utilise only the current on the bottom surface of the antenna, the relative importance of top and bottom surface currents are examined. ¬© 1987, The Institution of Electrical Engineers. All rights reserved.</t>
  </si>
  <si>
    <t>1376-1378</t>
  </si>
  <si>
    <t>60025778;60006963</t>
  </si>
  <si>
    <t>7005643564;56721541500</t>
  </si>
  <si>
    <t>Willis, T. M.;Sengupta, D. L.</t>
  </si>
  <si>
    <t>Ann Arbor;Detroit</t>
  </si>
  <si>
    <t>University of Michigan, Ann Arbor;University of Detroit Mercy</t>
  </si>
  <si>
    <t>Willis T.</t>
  </si>
  <si>
    <t>Accuracy of standard patch antenna models</t>
  </si>
  <si>
    <t>10.1049/el:19870950</t>
  </si>
  <si>
    <t>2-s2.0-0023643566</t>
  </si>
  <si>
    <t>['¬© 1987', 'rights reserved', 'predicted patterns', 'pillbox antenna', 'parabolic reflector', 'field patterns', 'fast prediction', 'electrical engineers', 'antenna far']</t>
  </si>
  <si>
    <t>A technique for the fast prediction of antenna far-field patterns is described in which a pillbox antenna is used as the probe. The processing involves transformation of 1-D arrays, and the validation is provided by comparing the measured and predicted patterns of a parabolic reflector. ¬© 1987, The Institution of Electrical Engineers. All rights reserved.</t>
  </si>
  <si>
    <t>609-610</t>
  </si>
  <si>
    <t>Farhat, K. S.</t>
  </si>
  <si>
    <t>Farhat K.</t>
  </si>
  <si>
    <t>Technique for Fast And Accurate Prediction of Antenna Far-Field Patterns</t>
  </si>
  <si>
    <t>10.1049/el:19870436</t>
  </si>
  <si>
    <t>2-s2.0-0023643894</t>
  </si>
  <si>
    <t>['¬© 1987', 'rights reserved', 'mutual coupling', 'linear array', 'estimation using', 'electrical engineers', 'antenna elements']</t>
  </si>
  <si>
    <t>Antennas | Phased arrays</t>
  </si>
  <si>
    <t>The accuracy of the direction-of-arrival (DOA) estimation using a receiving phased array is degraded by the mutual coupling between the antenna elements. It is shown that by putting guard elements on each end of a linear array the DOA estimate error is reduced. ¬© 1987, The Institution of Electrical Engineers. All rights reserved.</t>
  </si>
  <si>
    <t>611-612</t>
  </si>
  <si>
    <t>Lo K.</t>
  </si>
  <si>
    <t>Minimisation of Mutual Coupling Effect on Doa Estimation by Using Guard Elements</t>
  </si>
  <si>
    <t>10.1049/el:19870438</t>
  </si>
  <si>
    <t>2-s2.0-0023643905</t>
  </si>
  <si>
    <t>['¬© 1987', 'wave antenna', 'scanning characteristics', 'rights reserved', 'new approach', 'good agreement', 'electrical engineers', 'dielectric segments', 'analysing conductor']</t>
  </si>
  <si>
    <t>Antennas | Dielectrics | EM field theory | EM waves | Periodic structures</t>
  </si>
  <si>
    <t>A new approach to analysing conductor-dielectric periodic structures is presented. The formulations can take the transverse resonance conditions in both conductor and dielectric segments and the effects of their thickness into account. The measurements of the frequency-scanning characteristics of a leaky-wave antenna are in good agreement with the theory. ¬© 1987, The Institution of Electrical Engineers. All rights reserved.</t>
  </si>
  <si>
    <t>1231-1232</t>
  </si>
  <si>
    <t>Dong, Tian Lin</t>
  </si>
  <si>
    <t>Wuhan</t>
  </si>
  <si>
    <t>Huazhong University of Science and Technology</t>
  </si>
  <si>
    <t>Dong T.</t>
  </si>
  <si>
    <t>New Approach to Analysing Conductor-Dielectric Periodic Structures</t>
  </si>
  <si>
    <t>10.1049/el:19870857</t>
  </si>
  <si>
    <t>2-s2.0-0023645904</t>
  </si>
  <si>
    <t>['¬© 1987', 'system results', 'rights reserved', 'rectangular apertures', 'radiating dual', 'quadrature excitation', 'one substrate', 'new method', 'electrical engineers', 'circular polarisation']</t>
  </si>
  <si>
    <t>Antennas | Microstrip | Polarisation</t>
  </si>
  <si>
    <t>A new method for radiating dual or circular polarisation with a printed circuit antenna element is described. A square microstrip patch on one substrate is coupled to a pair of microstriplines on another substrate via two orthogonal, rectangular apertures in a common ground plane. Quadrature excitation of the system results in circularly polarised radiation. ¬© 1987, The Institution of Electrical Engineers. All rights reserved.</t>
  </si>
  <si>
    <t>1226-1228</t>
  </si>
  <si>
    <t>60015272;60014313</t>
  </si>
  <si>
    <t>6701837486;7006791463</t>
  </si>
  <si>
    <t>Adrian, A.;Schaubert, D. H.</t>
  </si>
  <si>
    <t>Dallas;Amherst MA</t>
  </si>
  <si>
    <t>Texas Instruments;University of Massachusetts Amherst</t>
  </si>
  <si>
    <t>Adrian A.</t>
  </si>
  <si>
    <t>Dual Aperture-Coupled Microstrip Antenna for Dual or Circular Polarisation</t>
  </si>
  <si>
    <t>10.1049/el:19870854</t>
  </si>
  <si>
    <t>2-s2.0-0023645915</t>
  </si>
  <si>
    <t>['¬© 1987', 'xylose residue', 'trimannosyl core', 'specific long', 'rights reserved', 'range interactions', 'proton resonances', 'previous results', 'manœ ≤', 'linked oligo', 'glcnac residue', 'g .,', 'energetic constraints', 'conformational transition', 'conformational invariance', 'biochemistry 25', 'allow us', '4 linkage', '2 linkage', '., richards', '., boyd']</t>
  </si>
  <si>
    <t>Distance constraints derived from two-dimensional nuclear Overhauser effect measurements have been used to define the orientation of the ManŒ±l-3ManŒ≤ linkage in seven different N-linked oligo-saccharides, all containing the common pentasaccharide core ManŒ±l-6(ManŒ±l-3)ManŒ≤1-4GlcNAcŒ≤1-4GlcNAc. Conformational invariance of the ManŒ±l-3ManŒ≤ linkage was found for those structures bearing substitutions on the ManŒ±l-3ManŒ≤ antenna. However, the presence of either a GlcNAc residue in the Œ≤1-4 linkage to ManŒ≤ (‚Äúbisecting GlcNAc‚Äù) or a xylose residue in the Œ≤1-2 linkage to ManŒ≤ of the trimannosyl core was found to generate conformational transitions that were similar. These transitions were accompanied by characteristic chemical shift perturbations of proton resonances in the vicinity of the ManŒ±l-3ManŒ≤ linkage. Molecular orbital energy calculations suggest that the conformational transition between the unsubstituted and substituted cores arises from energetic constraints in the vicinity of the ManŒ±l-3ManŒ≤ linkage, rather than specific long-range interactions. These data taken together with our previous results on the ManŒ±l-6ManŒ≤ linkage [Homans, S. W., Dwek R. A., Boyd, J., Mahmoudian, M., Richards, W. G., &amp; Rademacher, T. W. (1986) Biochemistry 25, 6342] allow us to discuss the consequences of the modulation of oligosaccharide solution conformations. ¬© 1987, American Chemical Society. All rights reserved.</t>
  </si>
  <si>
    <t>6553-6560</t>
  </si>
  <si>
    <t>Biochemistry</t>
  </si>
  <si>
    <t>60002634;60002634;60002634</t>
  </si>
  <si>
    <t>56683197900;35399298000;7006480573</t>
  </si>
  <si>
    <t>Homans, S. W.;Dwek, R. A.;Rademacher, T. W.</t>
  </si>
  <si>
    <t>Oxford</t>
  </si>
  <si>
    <t>University of Oxford Medical Sciences Division</t>
  </si>
  <si>
    <t>Homans S.W.</t>
  </si>
  <si>
    <t>Tertiary Structure in N-Linked Oligosaccharides</t>
  </si>
  <si>
    <t>10.1021/bi00394a040</t>
  </si>
  <si>
    <t>2-s2.0-0023646675</t>
  </si>
  <si>
    <t>['¬© 1987', 'rights reserved', 'electrical engineers', 'discrete distributions', 'derived earlier', 'continuous line']</t>
  </si>
  <si>
    <t>Antenna arrays | Antennas | Difference patterns | Maximum normalised difference slope</t>
  </si>
  <si>
    <t>The discrete distributions which provide maximum normalised boresight slope, analogous to that derived earlier for continuous line-sources, are considered and some general conclusions reached. ¬© 1987, The Institution of Electrical Engineers. All rights reserved.</t>
  </si>
  <si>
    <t>1158-1159</t>
  </si>
  <si>
    <t>Maximisation of normalised boresight slope of a difference array of discrete elements</t>
  </si>
  <si>
    <t>10.1049/el:19870807</t>
  </si>
  <si>
    <t>2-s2.0-0023648439</t>
  </si>
  <si>
    <t>['¬© 1987', 'rights reserved', 'resonant frequency', 'quarter wavelength', 'previous theories', 'predicted values', 'electrical engineers', 'algebraic formulation']</t>
  </si>
  <si>
    <t>An algebraic formulation for the resonant frequency of a rectangular microstrip antenna has been derived which is valid for electrically thick substrates. Predicted values of resonance are compared with previous theories, as well as actual experimental measurements, for radiators approaching one-quarter wavelength in thickness. ¬© 1987, The Institution of Electrical Engineers. All rights reserved.</t>
  </si>
  <si>
    <t>1149-1151</t>
  </si>
  <si>
    <t>60005837;60005837</t>
  </si>
  <si>
    <t>56224976000;7402507033</t>
  </si>
  <si>
    <t>Garg, R.;Long, S. A.</t>
  </si>
  <si>
    <t>Garg R.</t>
  </si>
  <si>
    <t>Resonant frequency of electrically thick rectangular microstrip antennas</t>
  </si>
  <si>
    <t>10.1049/el:19870801</t>
  </si>
  <si>
    <t>2-s2.0-0023648463</t>
  </si>
  <si>
    <t>['¬© 1987', 'various modes', 'te coupling', 'rights reserved', 'rectangular apertures', 'expressions could', 'example case', 'evaluated numerically', 'electrical engineers', 'coincident apertures', 'aperture fields']</t>
  </si>
  <si>
    <t>Antenna arrays | Antennas | Coupling</t>
  </si>
  <si>
    <t>A technique for calculating the mutual coupling within a finite planar array of rectangular apertures is developed, using waveguide modes to describe the aperture fields. Expressions for the coupling between the various modes can be derived, and, as an example case, the TE-to-TE coupling in coincident apertures is chosen to both illustrate the derivation and show how the expressions could be evaluated numerically. ¬© 1987, The Institution of Electrical Engineers. All rights reserved.</t>
  </si>
  <si>
    <t>1169-1170</t>
  </si>
  <si>
    <t>7003600201;57197164875;7005244140</t>
  </si>
  <si>
    <t>Kitchener, D.;Raghavan, K.;Parini, C. G.</t>
  </si>
  <si>
    <t>Kitchener D.</t>
  </si>
  <si>
    <t>Mutual coupling in a finite planar array of rectangular apertures</t>
  </si>
  <si>
    <t>10.1049/el:19870814</t>
  </si>
  <si>
    <t>2-s2.0-0023648469</t>
  </si>
  <si>
    <t>['¬© 1987', 'special case', 'rights reserved', 'numerical studies', 'functional dependence', 'electrical engineers', 'aperture support']</t>
  </si>
  <si>
    <t>The possibility of retrieving the antenna aperture phase from the oversampled Fourier transform modulus and the aperture support only has been investigated as a special case of the spectral diffraction algorithm previously suggested by the authors. However, numerical studies have established that the functional dependence of the convergence of the algorithm casts doubt on this procedure. ¬© 1987, The Institution of Electrical Engineers. All rights reserved.</t>
  </si>
  <si>
    <t>426-428</t>
  </si>
  <si>
    <t>55391220900;7403369332</t>
  </si>
  <si>
    <t>Sali, S.;Anderson, A. P.</t>
  </si>
  <si>
    <t>Sali S.</t>
  </si>
  <si>
    <t>Uncertainty in Deriving Phase Information from Far-Field Modulus Only</t>
  </si>
  <si>
    <t>10.1049/el:19870309</t>
  </si>
  <si>
    <t>2-s2.0-0023648837</t>
  </si>
  <si>
    <t>['¬© 1987', 'rights reserved', 'radiowave propagation', 'optimum pitch', 'numerically investigated', 'indexing terms', 'hemispherical region', 'helix antenna', 'electrical engineers', 'cone angles', 'cone angle', 'antenna height', 'also found']</t>
  </si>
  <si>
    <t>The optimum pitch and cone angles of a conical-helix antenna are numerically investigated from the viewpoint of widening a circularly polarised beam. It is found that the helices of a cone angle of 5&amp;#x00B0; with pitch angles ranging from 40&amp;#x00B0; to 45&amp;#x00B0; realise a circularly polarised beam over a hemispherical region. It is also found that an antenna height of at least one wavelength is required to maintain a circularly polarised beam of more than 160&amp;#x00B0;. Indexing terms: Antennas, Radiowave propagation. ¬© 1987, The Institution of Electrical Engineers. All rights reserved.</t>
  </si>
  <si>
    <t>387-388</t>
  </si>
  <si>
    <t>60030526;60030526;60082079</t>
  </si>
  <si>
    <t>55633340100;15731532600;57220533028</t>
  </si>
  <si>
    <t>Nakano, H.;Sato, M.;Yamauchi, J.</t>
  </si>
  <si>
    <t>Nakano H.</t>
  </si>
  <si>
    <t>Generation of a wide circularly polarised wave from a conical-helix antenna</t>
  </si>
  <si>
    <t>10.1049/el:19870283</t>
  </si>
  <si>
    <t>2-s2.0-0023648845</t>
  </si>
  <si>
    <t>['¬© 1987', 'substrate proximity', 'small open', 'rights reserved', 'quite simple', 'microstrip feedline', 'indexing terms', 'impedance match', 'feed line', 'electrical engineers', 'crosspolarised radiation', 'covering superstrate', 'confirm operation']</t>
  </si>
  <si>
    <t>The letter presents experimental results for a proximitycoupled microstrip patch antenna capable of 13% bandwidth. The impedance match (VSWR &amp;#x2264; 2), copolarised radiation patterns and crosspolarised radiation were measured over this bandwidth to confirm operation. The construction is quite simple, consisting of a microstrip feedline on a substrate proximity-coupled to a rectangular microstrip patch on a covering superstrate; a small open-circuit tuning stub is connected in shunt with the feed line. Indexing terms: Antennas, Microstrip. ¬© 1987, The Institution of Electrical Engineers. All rights reserved.</t>
  </si>
  <si>
    <t>368-369</t>
  </si>
  <si>
    <t>7006061921;7102639866</t>
  </si>
  <si>
    <t>Pozar, D. M.;Kaufman, B.</t>
  </si>
  <si>
    <t>Pozar D.</t>
  </si>
  <si>
    <t>Increasing the bandwidth of a microstrip antenna by proximity coupling</t>
  </si>
  <si>
    <t>10.1049/el:19870270</t>
  </si>
  <si>
    <t>2-s2.0-0023648846</t>
  </si>
  <si>
    <t>['¬© 1987', 'wall horn', 'smooth metallic', 'rights reserved', 'indexing terms', 'front fields', 'explicit evaluation', 'em interference', 'electrical engineers', 'concise formula', 'back field']</t>
  </si>
  <si>
    <t>By expressing the front fields of the subject conical horn in terms of its gain, and by explicit evaluation of the known GTD expressions for its back field, a concise formula for its front-to-back (F/B) ratio is obtained. The much lower level of back field produced by a corrugated-wall horn as compared to a smooth metallic-wall horn of the same gain is then pointed out. Indexing terms: Antennas, EM interference. ¬© 1987, The Institution of Electrical Engineers. All rights reserved.</t>
  </si>
  <si>
    <t>388-390</t>
  </si>
  <si>
    <t>Knop, C. M.</t>
  </si>
  <si>
    <t>Joliet</t>
  </si>
  <si>
    <t>Andrew Corporation</t>
  </si>
  <si>
    <t>Knop C.</t>
  </si>
  <si>
    <t>Front-to-back ratio of a smooth metallic-wall conical horn</t>
  </si>
  <si>
    <t>10.1049/el:19870284</t>
  </si>
  <si>
    <t>2-s2.0-0023648854</t>
  </si>
  <si>
    <t>['¬© 1987', 'wa measured', 'two elements', 'rights reserved', 'rf efficiency', 'matching network', 'locking signal', 'locked successfully', 'investi gated', 'injec tion', 'impatt diode', 'electrical engineers', 'coherent radiation', 'centre element', 'broadside beam', '2 ghz']</t>
  </si>
  <si>
    <t>An array of three microstrip patch antennas, each connectec by a matching network to an impatt diode, has been investi gated. Coherent radiation from the array was obtained at 10-2 GHz by feeding only the centre element with an injec tion-locking signal, which then appeared at the input to the other two elements by free-space mutual coupling. The three impatts injection-locked successfully, producing a broadside beam with a width of 38. An RF efficiency of 86% wa measured. ¬© 1987, The Institution of Electrical Engineers. All rights reserved.</t>
  </si>
  <si>
    <t>397-398</t>
  </si>
  <si>
    <t>60021080;60021080;60021080</t>
  </si>
  <si>
    <t>7004504343;56838419100;7004480877</t>
  </si>
  <si>
    <t>Dinger, R. J.;White, D. J.;Bowling, D. R.</t>
  </si>
  <si>
    <t>Dinger R.</t>
  </si>
  <si>
    <t>10GHz Space Power Combiner with Parasitic Injection Locking</t>
  </si>
  <si>
    <t>10.1049/el:19870290</t>
  </si>
  <si>
    <t>2-s2.0-0023648862</t>
  </si>
  <si>
    <t>['wiley blackwell', 'various chlorophyll', 'significant amounts', 'rights reserved', 'reaction center', 'mutant thylakoids', 'lhci polypeptides', 'greatly diminished', 'differing effects', 'data suggest', 'cp ia', 'cp 29', 'complex containing', 'completely absent', 'chlorina f2', 'chl b', 'b complexes', 'b antenna', 'also show']</t>
  </si>
  <si>
    <t>Polypeptides of the three major chlorophyll a+b protein complexes were detected in a chlorophyll‚Äêb‚Äêless barley mutant (chlorina f2) using immunological techniques. Antibodies to CP Ia, a photosystem I complex containing both the reaction center (CP I) and the chlorophyll a+b antenna (LHCI), detected substantial amounts of LHCI polypeptides in mutant thylakoids. Some polypeptides of the two photosystem‚ÄêII‚Äêassociated chlorophyll a+b complexes, CP 29 and LHCII, were also detected using antibodies raised against these complexes. The CP 29 apoprotein and the minor 25‚ÄêkDa polypeptide of LHCII were present in amounts that could be seen by Coomassie blue staining. In contrast, the two major polypeptides of LHCII were greatly diminished in amount, and one of them may be completely absent. These data suggest that the absence of chlorophyll b may have differing effects on the synthesis, processing or turnover of the various chlorophyll a+b binding polypeptides. They also show that these polypeptides can be inserted into thylakoids in the absence of Chl b, and that significant amounts of some of them are accumulated in the mutant thylakoids. Copyright ¬© 1987, Wiley Blackwell. All rights reserved</t>
  </si>
  <si>
    <t>531-535</t>
  </si>
  <si>
    <t>57199946900;7401825069</t>
  </si>
  <si>
    <t>WHITE, Michael J.;GREEN, Beverley R.</t>
  </si>
  <si>
    <t>WHITE M.</t>
  </si>
  <si>
    <t>Polypeptides belonging to each of the three major chlorophyll a+b protein complexes are present in a chlorophyll‚Äêb‚Äêless barley mutant</t>
  </si>
  <si>
    <t>10.1111/j.1432-1033.1987.tb11471.x</t>
  </si>
  <si>
    <t>2-s2.0-0023655151</t>
  </si>
  <si>
    <t>['rhodobacter sphaeroides', 'relative levels', 'puf operon', 'puc operon', 'pigment induction', 'photosynthetic components', 'photosynthetic apparatus', 'maximum level', 'major antenna', 'least 100', 'encoding reaction', 'centre l', 'beta polypeptides', 'b875 subunits', 'b875 reaction', '850 complex', '6 h', '55 kb', '2 h']</t>
  </si>
  <si>
    <t>The relative levels of mRNA for the reaction-centre L and M subunits, B875 (LH1) alpha and beta polypeptides and B800-850 (LH2) alpha and beta polypeptides, have been measured during pigment induction of Rhodobacter sphaeroides. Over the 6 h of the experiment, bacteriochlorophyll levels increased by at least 100-fold. No transcripts for photosynthetic components were detectable at the start of induction; after 2 h the levels of transcripts from the puf operon (encoding reaction-centre and B875 subunits) had reached the maximum; these transcripts were 2.7 and 0.5 kb respectively. The transcript for the puc operon (B800-850 complex) was estimated to be 0.55 kb and reached a maximum level after 6 h. These results are consistent with the proposal that, during the assembly of the photosynthetic apparatus, the synthesis of B875 reaction-centre aggregates precedes that of the major antenna, B800-850.</t>
  </si>
  <si>
    <t>489-492</t>
  </si>
  <si>
    <t>The Biochemical journal</t>
  </si>
  <si>
    <t>60015150;60015150;60015150</t>
  </si>
  <si>
    <t>13105070700;57208814206;6603857386</t>
  </si>
  <si>
    <t>Hunter, C. N.;Ashby, M. K.;Coomber, S. A.</t>
  </si>
  <si>
    <t>Hunter C.</t>
  </si>
  <si>
    <t>Effect of oxygen on levels of mRNA coding for reaction-centre and light-harvesting polypeptides of Rhodobacter sphaeroides.</t>
  </si>
  <si>
    <t>10.1042/bj2470489</t>
  </si>
  <si>
    <t>2-s2.0-0023656380</t>
  </si>
  <si>
    <t>['wiley blackwell', 'whole spectrum', 'western blot', 'well separated', 'thylakoid proteins', 'therefore conclude', 'similar observations', 'rights reserved', 'relative strength', 'cp29 apoproteins', 'common among', 'bound antibody', 'b ratio', 'apparent mr', 'antigenic determinants', 'antigen appeared', 'antibody population', 'antibodies directed']</t>
  </si>
  <si>
    <t>A chlorophyll (a+b)‚Äìprotein complex associated with photosystem I (PSI) was isolated from a larger PSI complex (CPIa) produced by electrophoresis of barley thylakoids solubilized with 300 mM octyl glucoside. It had an apparent Mr of 35 000‚Äì43 000 on 7.5% and 10% acrylamide gels respectively, and a chlorophyll a/b ratio of 2.5¬±1.5. Denaturation released four polypeptides migrating between 21‚Äì24 kDa. They were well separated from the polypeptides of the two photosystem II chlorophyll a+b antenna complexes: LHCII (25‚Äì27 kDa) and CP29 (28‚Äì29 kDa). In order to study the PSI antenna complex, antibodies were raised against highly purified CPIa. The antigen appeared to be pure when electrophoresed, blotted and reacted with its antiserum, i.e. anti‚ÄêCPIa detected only the 64‚Äì66‚ÄêkDa CPI apoprotein and the four 21‚Äì24 kDa antenna polypeptides. However, when blotted against the whole spectrum of thylakoid proteins, it cross‚Äêreacted with both LHCII and CP29 apoproteins. Removal of anti‚ÄêCPI activity from the anti‚ÄêCPIa did not affect these cross‚Äêreactions, showing that they were not due to antibodies directed against CPI. To show that the same antibody population was reacting with both the photosystem I and photosystem II antenna polypeptides, anti‚ÄêCPIa was adsorbed onto highly purified CPIa on nitrocellulose. The bound antibody was eluted and used again in a Western blot against whole thylakoid proteins. This selected antibody population showed the same relative strength of reaction with photosystem I and photosystem II antenna polypeptides as the original antibody population had. Similar observations have been made with antibodies to the two photosystem II antenna complexes. We therefore conclude that there are antigenic determinants in common among the chlorophyll a+b binding polypeptides, and predict that there could be amino acid sequence similarities. Copyright ¬© 1987, Wiley Blackwell. All rights reserved</t>
  </si>
  <si>
    <t>545-551</t>
  </si>
  <si>
    <t>Antibodies to the photosystem I chlorophyll a+b antenna cross‚Äêreact with polypeptides of CP29 and LHCII</t>
  </si>
  <si>
    <t>10.1111/j.1432-1033.1987.tb10902.x</t>
  </si>
  <si>
    <t>2-s2.0-0023657526</t>
  </si>
  <si>
    <t>['three chlorophyll', 'protein complexes', 'protein complex', 'p2 complex', 'oligomeric form', 'octyl glucoside', 'normally obscured', 'monomeric lhcii', 'major light', 'major chlorophyll', 'lacked cp43', 'kda region', 'harvesting system', 'harvesting antennae', 'essential component', 'electron transport', 'connecting antenna', 'barley thylakoids', '680 ).']</t>
  </si>
  <si>
    <t>The chlorophyll-protein complexes of purified maize photosystem II membranes were separated by a new mild gel electrophoresis system under conditions which maintained all of the major chlorophyll a/b-protein complex (LHCII) in the oligomeric form. This enabled the resolution of three chlorophyll a/b-proteins in the 26-31-kDa region which are normally obscured by monomeric LHCII. All chlorophyll a/b-proteins had unique polypeptide compositions and characteristic spectral properties. One of them (CP26) has not previously been described, and another (CP24) appeared to be identical to the connecting antenna of photosystem I (LHCI-680). Both CP24 and CP29 from maize had at least one epitope in common with the light-harvesting antennae of photosystem I, as shown by cross-reactivity with a monoclonal antibody raised against LHCI from barley thylakoids. A complex designated Chla.P2, which was capable of electron transport from diphenylcarbazide to 2,6-dichlorophenolindophenol, was isolated by nondenaturing gel electrophoresis. It lacked CP43, which therefore can be excluded as an essential component of the photosystem II reaction center core. Fractionation of octyl glucoside-solubilized photosystem II membranes in the presence and absence of Mg2+ enabled the isolation of the Chla . P2 complex and revealed the existence of a light-harvesting complex consisting of CP29, CP26, and CP24. This complex and the major light-harvesting system (LHCII) are postulated to transfer excitation energy independently to the photosystem II reaction center via CP43.</t>
  </si>
  <si>
    <t>13333-13341</t>
  </si>
  <si>
    <t>The Journal of biological chemistry</t>
  </si>
  <si>
    <t>60000481;60000481;60000481;60000481;60000481</t>
  </si>
  <si>
    <t>35553979700;57198339583;7003283287;16207173300;7402414929</t>
  </si>
  <si>
    <t>Bassi, R.;H√∏yer-Hansen, G.;Barbato, R.;Giacometti, G. M.;Simpson, D. J.</t>
  </si>
  <si>
    <t>Padua</t>
  </si>
  <si>
    <t>Universit√† degli Studi di Padova</t>
  </si>
  <si>
    <t>Bassi R.</t>
  </si>
  <si>
    <t>Chlorophyll-proteins of the photosystem II antenna system.</t>
  </si>
  <si>
    <t>2-s2.0-0023664955</t>
  </si>
  <si>
    <t>['using methods', 'unidentified regions', 'suboesophageal ganglion', 'stemmatal neurons', 'sensory appendages', 'receiving input', 'receives input', 'mechanosensory neurons', 'labial palps', 'epipharyngeal sensilla', 'chemosensory neurons', 'central projections', 'buccal cavity', 'anterograde cobalt']</t>
  </si>
  <si>
    <t>Central projections of neurons innervating sensory structures on the head of larval Manduca sexta were traced by using methods of anterograde cobalt-diffusion. Regions of the deutocerebrum and tritocerebrum in the brain receive input from the antenna, labrum, maxilla, labial palps, hypopharynx and other unidentified regions of the buccal cavity. Antennal, maxillary and labial inputs project to the larval antennal centre (LAC) of the deutocerebrum. Stemmatal neurons and a few antennal neurons project into the protocerebrum. The suboesophageal ganglion (SEG) receives input from mechanosensory neurons in all parts of the head and its sensory appendages. Some mechanosensory neurons project further to the first thoracic ganglion. In addition to receiving input from chemosensory neurons of the maxilla, the SEG may also receive chemosensory input from epipharyngeal sensilla of the labrum.</t>
  </si>
  <si>
    <t>Philosophical transactions of the Royal Society of London. Series B, Biological sciences</t>
  </si>
  <si>
    <t>7202068631;7102653635</t>
  </si>
  <si>
    <t>Kent, K. S.;Hildebrand, J. G.</t>
  </si>
  <si>
    <t>Cephalic sensory pathways in the central nervous system of larval Manduca sexta (Lepidoptera : Sphingidae).</t>
  </si>
  <si>
    <t>10.1098/rstb.1987.0001</t>
  </si>
  <si>
    <t>2-s2.0-0023666050</t>
  </si>
  <si>
    <t>National Center for Research Resources</t>
  </si>
  <si>
    <t>P41RR000886</t>
  </si>
  <si>
    <t>NCRR</t>
  </si>
  <si>
    <t>['¬© 1987', 'whole cells', 'vivo ).', 'temporal resolution', 'subscripts refer', 'room temperature', 'rights reserved', 'quenching fluorescence', 'photosynthetic antenna', 'partial destruction', 'obligatory intermediate', 'isolated chlorosomes', 'instrumental limit', 'increased lifetime', 'fluorescence excitation', 'excitation transfer', 'energy transfer', 'discernible effects', 'different samples', 'bound chlorosomes', 'bchl c740', 'bchl a808', 'bchl a792', 'attached chlorosomes', 'absorption spectra', '90 %)', '866 determined', '77 k', '671 nm']</t>
  </si>
  <si>
    <t>The photosynthetic antenna of Chloroflexus aurantiacus includes bacteriochlorophyll (BChl) c740 and BChl a792, both of which occur in chlorosomes, and B808-866 (containing BChl a808 and BChl a866), which is membrane-located (subscripts refer to near-infrared absorption maxima in vivo). BChl a792 is thought to mediate excitation transfer from BChl c740 to BChl a808. Lifetimes of fluorescence from BChl c740 and BChl a792were measured in isolated and membrane-bound chlorosomes in order to study energy transfer from these pigments. In both preparations, the lifetime of BChl c740 fluorescence was at or below the instrumental limit of temporal resolution (about 30‚Äì50 ps), implying extremely fast excitation transfer from this pigment. Attempts to disrupt excitation transfer from BChl c740, either by conversion of part of this pigment to a monomeric form absorbing at 671 nm or by partial destruction of BChl a792 by oxidation with K3Fe(CN)6, had no discernible effects on the lifetime of BChl c740 fluorescence. Most (usually &gt;90%) of the fluorescence from BChl a792 decayed with a lifetime of 93 ¬± 21 ps in membrane-attached chlorosomes and 155 ¬± 22 ps in isolated chlorosomes at room temperature. Assuming that the only difference between these preparations is the occurrence of excitation transfer from BChl a792 to B808-866, a 41% efficiency was calculated for this process. This value is lower than the 60% efficiency of excitation transfer from BChl c740 to B808-866 determined by comparison of fluorescence excitation and absorption spectra of membranes with attached chlorosomes and compares even less favorably with the 100% efficiency of excitation transfer found in whole cells by the same method. Furthermore, measurements at 77 K (on different samples) did not show an increased lifetime of BChl a792 fluorescence when isolated chlorosomes were compared with membrane-bound chlorosomes. These results imply either that BChl a792 is not an obligatory intermediate in energy transfer from BChl c740 to B808-866 or (more probably) that chlorosome isolation introduces new processes for quenching fluorescence from BChl a792. ¬© 1987, American Chemical Society. All rights reserved.</t>
  </si>
  <si>
    <t>8652-8658</t>
  </si>
  <si>
    <t>60003892;60018491;60018491;60018491;60018491;60018491</t>
  </si>
  <si>
    <t>7005522646;7103109862;23073832800;57194671837;57203046340;7006609975</t>
  </si>
  <si>
    <t>Brune, Daniel C.;Steiner, Thomas;King, George H.;Infosino, Andrew;Blankenship, Robert E.;Thewalt, Michael L.</t>
  </si>
  <si>
    <t>Canada;United States</t>
  </si>
  <si>
    <t>Burnaby;Tempe</t>
  </si>
  <si>
    <t>Simon Fraser University;Arizona State University</t>
  </si>
  <si>
    <t>60018491;60003892</t>
  </si>
  <si>
    <t>Brune D.C.</t>
  </si>
  <si>
    <t>Antenna Organization in Green Photosynthetic Bacteria. 2. Excitation Transfer in Detached and Membrane-Bound Chlorosomes from Chloroflexus aurantiacus</t>
  </si>
  <si>
    <t>10.1021/bi00400a024</t>
  </si>
  <si>
    <t>2-s2.0-0023667706</t>
  </si>
  <si>
    <t>['¬© 1987', 'unusually fast', 'rights reserved', 'result suggests', 'racemic mixture', 'pigment consists', 'phase high', 'monomeric form', 'model comes', 'minor impurities', 'major component', 'low concentrations', 'large size', 'hexane produces', 'energy transfer', 'different configurations', 'complex mixture', 'chlorosomes must', 'chloroflexus aurantiacus', 'bchl c', 'absorption spectrum', 'absorption maxima', '80 ps', '750 nm']</t>
  </si>
  <si>
    <t>Bacteriochlorophyll (BChl) c was extracted from Chloroflexus aurantiacus and purified by reverse-phase high-pressure liquid chromatography. This pigment consists of a complex mixture of homologues, the major component of which is 4-ethyl-5-methylbacteriochlorophyll c stearyl ester. Unlike previously characterized BChls c, the pigment from C. aurantiacus is a racemic mixture of diastereoisomers with different configurations at the 2a chiral center. Diluting a concentrated methylene chloride solution of BChl c with hexane produces an oligomer with absorption maxima at 740‚Äì742 and at 460‚Äì462 nm. Both the absorption spectrum and the fluorescence emission spectrum (maximum at 750 nm) of this oligomer closely match those of BChl c in chlorosomes. Further support for this model comes from the ability of alcohols, which disrupt BChl c oligomers by ligating the central Mg atom, to convert BChl c in chlorosomes to a monomeric form when added in low concentrations. The lifetime of fluorescence from the 740 nm absorbing BChl c oligomer is about 80 ps. Although exciton quenching might be unusually fast in the in vitro BChl c oligomer because of its large size and/or the presence of minor impurities, this result suggests that energy transfer from the BChl c antenna in chlorosomes must be very fast if it is to be efficient. ¬© 1987, American Chemical Society. All rights reserved.</t>
  </si>
  <si>
    <t>8644-8652</t>
  </si>
  <si>
    <t>60003892;60008435;60008435</t>
  </si>
  <si>
    <t>7005522646;7103347251;57203046340</t>
  </si>
  <si>
    <t>Brune, Daniel C.;Nozawa, Tsunenori;Blankenship, Robert E.</t>
  </si>
  <si>
    <t>Sendai;Tempe</t>
  </si>
  <si>
    <t>Tohoku University;Arizona State University</t>
  </si>
  <si>
    <t>60008435;60003892</t>
  </si>
  <si>
    <t>Antenna Organization in Green Photosynthetic Bacteria. 1. Oligomeric Bacteriochlorophyll c as a Model for the 740 nm Absorbing Bacteriochlorophyll c in Chloroflexus aurantiacus Chlorosomes</t>
  </si>
  <si>
    <t>10.1021/bi00400a023</t>
  </si>
  <si>
    <t>2-s2.0-0023667721</t>
  </si>
  <si>
    <t>['‚ äúequivalence', 'wave resistance', 'wave mode', 'vertical feeds', 'vertical current', 'short circuits', 'radiation resistance', 'radiation pattern', 'radiation characteristics', 'microstrip antennas', 'general solution', 'electronics engineers', 'calculations described']</t>
  </si>
  <si>
    <t>An analysis of the radiation characteristics of a vertical current inside a dielectric-layer over ground is carried out. The general solution for the fields is given for the case of a vertical current which is independent of the vertical (z) coordinate. An ‚Äúequivalence-principle‚Äù for the replacement of the vertical current by an appropriate surface current is presented. Expressions for the complex input power and for the power which goes into the lowest order transverse magnetic (TM)-type surface-wave mode are derived. In addition, graphs for the case of a short vertical dipole inside a dielectric-layer over ground for the radiation pattern, radiation resistance, and surface-wave resistance are presented. The calculations described above can be applied to the analysis of vertical feeds and short circuits in microstrip antennas. Copyright ¬© 1987 by The Institute of Electrical and Electronics Engineers, Inc.</t>
  </si>
  <si>
    <t>1285-1289</t>
  </si>
  <si>
    <t>60017563;60017563</t>
  </si>
  <si>
    <t>6602720975;23032510000</t>
  </si>
  <si>
    <t>Pinhas, S.;Shtrikman, S.</t>
  </si>
  <si>
    <t>Pinhas S.</t>
  </si>
  <si>
    <t>Vertical Currents in Microstrip Antennas</t>
  </si>
  <si>
    <t>10.1109/TAP.1987.1144015</t>
  </si>
  <si>
    <t>2-s2.0-0023669748</t>
  </si>
  <si>
    <t>['zero responses', 'variance estimator', 'undesirable signals', 'two examples', 'still valid', 'specific choices', 'special applications', 'smallest cross', 'single output', 'signals coming', 'pisarenko solution', 'normalizing constraints', 'namely one', 'mentioned methods', 'k sensors', 'general class', 'fundamental property', 'estimation problem', 'estimated intensities', 'estimated directions', 'electronics engineers', 'convergence toward', 'continuous analysis', 'based upon', 'asymptotic behaviors', 'appropriate techniques', '1 directions']</t>
  </si>
  <si>
    <t>The various known methods intended for continuous analysis of uncorrelated source fields (MEM-AR, Capon, Borgiotti-Lagunas, Bienvenu-Schmidt) are shown to be based upon a unique conventional diagram, namely one of a spatial linear multiport filter followed by a variance estimator. This filter has K inputs corresponding to K sensors and a single output, and acts as a scalar product system. A fundamental property is then the possibility of having zero responses for the signals coming from K - 1 directions. Using the classical matched filter principle for minimization of undesirable signals (when looking in a given direction), a general class of data-adaptive spatial filters, from which all the above-mentioned methods can be derived with specific choices of parameters, is defined. These filters can be further submitted to normalizing constraints; two examples of this are discussed. This new interpretation leads to the consideration of the above-mentioned methods as special applications of the well-known adaptive array techniques to the estimation problem. Moreover, the asymptotic behaviors are examined when a noise subtraction technique based upon the reduction of the smallest cross-spectral matrix eigenvalue is applied. The convergence toward the Pisarenko solution is ascertained for the estimated directions of the sources, whereas it is not for their estimated intensities (except in the case of the Capon method). In the case of partially correlated sources, the above-mentioned methods are still valid for the localization of sources, but not for their intensities. Other appropriate techniques, such as those of Schmidt, Wax, Shan, and Kailath, must then be considered. Copyright ¬© 1987 by The Institute of Electrical and Electronics Engineers, Inc.</t>
  </si>
  <si>
    <t>1458-1471</t>
  </si>
  <si>
    <t>60027384;60032619</t>
  </si>
  <si>
    <t>6602193880;7006002142</t>
  </si>
  <si>
    <t>Munier, Jacques;Delisle, Gilles Y.</t>
  </si>
  <si>
    <t>Canada;France</t>
  </si>
  <si>
    <t>Quebec;Saint Martin d'Heres</t>
  </si>
  <si>
    <t>Universit√© Laval;INP Grenoble - ENSIEG</t>
  </si>
  <si>
    <t>60032619;60027384</t>
  </si>
  <si>
    <t>Munier J.</t>
  </si>
  <si>
    <t>Spatial Analysis in Passive Listening using Adaptive Techniques</t>
  </si>
  <si>
    <t>10.1109/PROC.1987.13908</t>
  </si>
  <si>
    <t>2-s2.0-0023669761</t>
  </si>
  <si>
    <t>['various geometries', 'standing patches', 'rectangular fft', 'infinite array', 'handling patches', 'formulation allows', 'fields scattered', 'existing results', 'electronics engineers', 'arbitrary shape', 'analyzing configurations', 'analyzed previously']</t>
  </si>
  <si>
    <t>A fast Fourier transform (FFT)-based iterative approach for computing the fields scattered by an infinite array of free-standing patches is presented. The method is capable of handling patches that are lossy and have arbitrary shape; it is useful for analyzing configurations that may not have been analyzed previously. Though a rectangular FFT is used, the formulation allows the study of the common triangular array periodicities. Results for various geometries are presented and are compared with existing results. Copyright ¬© 1987 by The Institute of Electrical and Electronics Engineers, Inc.</t>
  </si>
  <si>
    <t>1226-1234</t>
  </si>
  <si>
    <t>60013141;60000745</t>
  </si>
  <si>
    <t>Cwik, Thomas A.;Mittra, Raj</t>
  </si>
  <si>
    <t>Norway;United States</t>
  </si>
  <si>
    <t>Trondheim;Urbana</t>
  </si>
  <si>
    <t>Norges Teknisk-Naturvitenskapelige Universitet;University of Illinois Urbana-Champaign</t>
  </si>
  <si>
    <t>Cwik T.A.</t>
  </si>
  <si>
    <t>Scattering from a Periodic Array of Free-Standing Arbitrarily Shaped Perfectly Conducting or Resistive Patches</t>
  </si>
  <si>
    <t>10.1109/TAP.1987.1143999</t>
  </si>
  <si>
    <t>2-s2.0-0023669786</t>
  </si>
  <si>
    <t>['time required', 'slots embedded', 'numerical integration', 'mutual coupling', 'fourier representation', 'explicit evaluation', 'electronics engineers', 'analytical expressions']</t>
  </si>
  <si>
    <t>Analytical expressions for mutual coupling between slots embedded in a large ground plane are presented and discussed, both for piecewise-sinusoidal and for cosinusoidal field distribution. In the former an exact analytical expression has been found; in the latter various approximations based on Taylor and/or Fourier representation, have been analyzed. One of these approximations extends rigorously an empirical relation recently presented to speed up the time required for the evaluation of mutual coupling. Such expressions are found to be faster to evaluate than numerical integration with comparable error level. This allows the extension of slot array synthesis procedures based on the explicit evaluation of coupling to large arrays even on micro- and minicomputers. Copyright ¬© 1987 by The Institute of Electrical and Electronics Engineers, Inc.</t>
  </si>
  <si>
    <t>1289-1293</t>
  </si>
  <si>
    <t>7006097620;7003742703</t>
  </si>
  <si>
    <t>Mazzarella, Giuseppe;Panariello, Gaetano</t>
  </si>
  <si>
    <t>Mazzarella G.</t>
  </si>
  <si>
    <t>On the Evaluation of Mutual Coupling Between Slots</t>
  </si>
  <si>
    <t>10.1109/TAP.1987.1144018</t>
  </si>
  <si>
    <t>2-s2.0-0023669787</t>
  </si>
  <si>
    <t>Natural Sciences and Engineering Research Council of Canada</t>
  </si>
  <si>
    <t>A2176</t>
  </si>
  <si>
    <t>NSERC</t>
  </si>
  <si>
    <t>['solution approaches', 'slowly convergent', 'presented graphically', 'numerical results', 'much less', 'infinite cylinders', 'gap surface', 'gap ratios', 'electronics engineers', 'conformal mapping', 'bessel series']</t>
  </si>
  <si>
    <t>The static electric field distribution in the gap between two solid perfectly conducting semi-infinite cylinders is obtained in terms of a Fourier-Bessel eigenfunction series. For dipole antennas whose cylinder diameter 2a and gap length 2d are both much less than the operating wavelength X, this field can serve as the quasistatic excitation field in the gap of the dipole. However, the Fourier-Bessel series is slowly convergent. It is transformed into a rapidly convergent series of ultraspherical polynomials whose weighting function explicitly satisfies the Meixner edge condition. Numerical results are presented graphically for both the axial electric field on the gap surface and the associated potential distribution. Gap ratios of d/a from 0.01 to 10.0 are considered and it is shown that as d/a ‚Üí 0 the solution approaches the two-dimensional solution obtainable by conformal mapping. Copyright ¬© 1987 by The Institute of Electrical and Electronics Engineers, Inc.</t>
  </si>
  <si>
    <t>1273-1280</t>
  </si>
  <si>
    <t>60014171;60014171</t>
  </si>
  <si>
    <t>7004488643;7005164716</t>
  </si>
  <si>
    <t>Do-Nhat, Tam;Macphie, Robert H.</t>
  </si>
  <si>
    <t>Waterloo</t>
  </si>
  <si>
    <t>University of Waterloo</t>
  </si>
  <si>
    <t>Do-Nhat T.</t>
  </si>
  <si>
    <t>The Static Electric Field Distribution Between Two Semi-Infinite Circular Cylinders: A Model for the Feed Gap Field of a Dipole Antenna</t>
  </si>
  <si>
    <t>10.1109/TAP.1987.1144002</t>
  </si>
  <si>
    <t>2-s2.0-0023669832</t>
  </si>
  <si>
    <t>['parameter b', 'outer radii', 'numerical results', 'limiting case', 'length 2d', 'input admittance', 'infinite dipole', 'free space', 'evaluated using', 'equivalence principle', 'electronics engineers', 'edge conditions', 'dyadic green', 'coaxial guide', 'center conductor', '1 ).']</t>
  </si>
  <si>
    <t>The input admittance of a coaxial waveguide fed by a gap of length 2d in the center conductor is evaluated using the dyadic Green's function of the guide and a band of equivalent magnetic surface current proportional to the gap's axial electric field via the equivalence principle. The axial electric field is expressed in terms of a rapidly convergent series of ultraspherical polynomials whose weighting function satisfies the edge conditions at each end of the gap. If the inner and outer radii of the coaxial guide are a and b, respectively, then the limiting case of ‚àû ÈÜí, is an infinite dipole in free space. Numerical results for the admittance are given as a function of ka (0.01 ‚â§ ka ‚â§ 0.50) with parameter b/a = 2, 5, 10 and 50 for the coaxial guide. For the infinite dipole the admittance is presented as a function of d/a (10&lt;sup&gt;‚àí3&lt;/sup&gt; ‚â§ d/a ‚â§ 10) with ku as a parameter (0.001 ‚â§ ka ‚â§ 0.1). Copyright ¬© 1987 by The Institute of Electrical and Electronics Engineers, Inc.</t>
  </si>
  <si>
    <t>1293-1299</t>
  </si>
  <si>
    <t>Effect of Gap Length on the Input Admittance of Center Fed Coaxial Waveguides and Infinite Dipoles</t>
  </si>
  <si>
    <t>10.1109/TAP.1987.1144017</t>
  </si>
  <si>
    <t>2-s2.0-0023669862</t>
  </si>
  <si>
    <t>['useful guidelines', 'sheet metal', 'power beamwidth', 'plane sidelobes', 'operating band', 'electronics engineers', 'critical dimensions', 'aperture help', 'angles greater', '90 ¬∞,', '55 db', '25 db', '17 ¬∞', '13 ¬∞']</t>
  </si>
  <si>
    <t>A lightweight, rectangular, corrugated-horn antenna constructed from sheet metal is described. Over a 1.3-1.7 GHz operating band, its half-power beamwidth is approximately 20¬∞ in the E-plane and varies-from 17¬∞ to 13¬∞ in the H-plane. Quarter-wave choke slots at the aperture help to reduce the E-plane sidelobes below -55 dB at angles greater than 90¬∞, while the H-plane sidelobes lie in that range both with and without choke slots. Return loss throughout the operating band is - 25 dB or below. Critical dimensions are provided, together with useful guidelines for designing similar antennas. Copyright ¬© 1987 by The Institute of Electrical and Electronics Engineers, Inc.</t>
  </si>
  <si>
    <t>1310-1313</t>
  </si>
  <si>
    <t>60029392;60029392;60029392;60029392</t>
  </si>
  <si>
    <t>6602516329;24497446500;7401469655;6602098341</t>
  </si>
  <si>
    <t>Witebsky, Chris;Smoot, George F.;Levin, Steven;Bensadoun, Marc</t>
  </si>
  <si>
    <t>Space Sciences Laboratory at UC Berkeley</t>
  </si>
  <si>
    <t>Witebsky C.</t>
  </si>
  <si>
    <t>A Large L-Band Rectangular Corrugated Horn</t>
  </si>
  <si>
    <t>10.1109/TAP.1987.1144021</t>
  </si>
  <si>
    <t>2-s2.0-0023669884</t>
  </si>
  <si>
    <t>['waveguide presented', 'wave frequencies', 'wave antenna', 'theoretical analysis', 'te polarizations', 'steerable leaky', 'resistivity semiconductor', 'radiation characteristics', 'numerical calculations', 'millimeter waves', 'light source', 'equation formulation', 'electronics engineers', 'electronically beam', '94 ghz']</t>
  </si>
  <si>
    <t>A theoretical analysis is presented for the radiation characteristics of millimeter waves in a periodic dielectric waveguide having a light-induced grating layer. The waveguide is assumed to be composed of an insulator (sapphire) slab whose one surface is coated with a high-resistivity semiconductor (silicon) film. A boundary-integral-equation formulation is employed to obtain characteristic solutions of the waveguide. Numerical calculations are made at 94 GHz for both TM and TE polarizations. Estimations of the illumination power required to produce the grating are given. The waveguide presented in this paper, in conjunction with a high-power semiconductor diode laser array as a light source, may be developed to operate as an electronically beam-steerable leaky-wave antenna at millimeter-wave frequencies. Copyright ¬© 1987 by The Institute of Electrical and Electronics Engineers, Inc.</t>
  </si>
  <si>
    <t>1033-1042</t>
  </si>
  <si>
    <t>36237078500;7201754934;35567682900</t>
  </si>
  <si>
    <t>Matsumoto, Masayuki;Tsutsumi, Makoto;Kumagai, Nobuaki</t>
  </si>
  <si>
    <t>Matsumoto M.</t>
  </si>
  <si>
    <t>Radiation of Millimeter Waves from a Leaky Dielectric Waveguide with a Light-Induced Grating Layer</t>
  </si>
  <si>
    <t>10.1109/TMTT.1987.1133803</t>
  </si>
  <si>
    <t>2-s2.0-0023669924</t>
  </si>
  <si>
    <t>['whereas delta', 'tracking errors', 'results suggest', 'reference site', 'pseudorange errors', 'paper describes', 'observation errors', 'measurement errors', 'mean processes', 'highly correlated', 'delta range', 'airborne users']</t>
  </si>
  <si>
    <t>Airborne users of GPS may benefit from differential (relative) navigation to the extent that the errors in their measurements of pseudorange and/or delta range to each satellite are correlated with observation errors for the same satellite signals received at a reference site. This paper describes some results of an experiment to characterize the measurement errors of one airborne GPS user equipment. The results suggest that pseudorange errors are dominated by slowly varying systematic processes that are likely to be highly correlated from user to user, whereas delta-range errors appear to be zero-mean processes that are dominated by user generated noises, especially clock jitter and tracking errors.</t>
  </si>
  <si>
    <t>Navigation, Journal of the Institute of Navigation</t>
  </si>
  <si>
    <t>60017198;60017198</t>
  </si>
  <si>
    <t>7005354591;6506974635</t>
  </si>
  <si>
    <t>Greenspan, Richard L.;Donna, James I.</t>
  </si>
  <si>
    <t>Charles Stark Draper Lab Inc</t>
  </si>
  <si>
    <t>Greenspan R.L.</t>
  </si>
  <si>
    <t>MEASUREMENT ERRORS IN GPS OBSERVABLES.</t>
  </si>
  <si>
    <t>2-s2.0-0023669941</t>
  </si>
  <si>
    <t>F30602-85-0055</t>
  </si>
  <si>
    <t>['way timing', 'various carrier', 'time transfer', 'system includes', 'similar stability', 'several days', 'satellite simulator', 'sample times', 'remote location', 'projected accuracy', 'offer encouragement', 'nbs 6', 'national bureau', 'modems designed', 'loop delay', 'ground segments', 'geostationary satellite', 'electronics engineers', 'earth stations', 'earth station', 'different configurations', 'diameter antenna', 'common view', 'calibration offers', 'boulder laboratory', 'achieve high', '1 ns']</t>
  </si>
  <si>
    <t>The National Bureau of Standards (NBS) Boulder Laboratory is assembling a system for time transfer with a projected accuracy of 1 ns to locations that can access a Ku-band geostationary communications satellite in common view with Boulder. The system includes a 6.1-m diameter antenna and satellite earth station at Boulder, two transportable earth stations, each with a 1.8-m dish, and modems designed for two-way timing. The elements of the system are described and a method of using them to achieve high-accuracy time transfer is presented. A satellite simulator has been used in measurements of the stability of the loop delay for different configurations. The day-to-day variations exhibit peak deviations of less than 1 ns and offer encouragement that similar stability will be found for the ground segments in two-way time transfer configurations. Allan-variance stability plots are presented for sample times of 1 s to several days at various carrier-to-noise (C/N&lt;inf&gt;0&lt;/inf&gt;) density ratios. The results are compared to theoretical limits obtained from the model of phase jitter given for the spread spectrum modem. The 1.8-m earth stations have full duplex capability to permit signal turnaround at a remote location while using a geostationary satellite in common view with the NBS 6.1-m earth station. The use of one portable earth station to calibrate the critical differential delays between two other earth stations is discussed. The calibration offers a method of converting the previously demonstrated nanosecond and subnanosecond time transfer precision to nanosecond time transfer accuracy between widely separated locations on Earth. Copyright ¬© 1987 by The Institute of Electrical and Electronics Engineers, Inc.</t>
  </si>
  <si>
    <t>639-646</t>
  </si>
  <si>
    <t>Howe, David A.</t>
  </si>
  <si>
    <t>Howe D.A.</t>
  </si>
  <si>
    <t>Progress Toward One-Nanosecond Two-Way Time Transfer Accuracy Using Ku-Band Geostationary Satellites</t>
  </si>
  <si>
    <t>10.1109/T-UFFC.1987.26996</t>
  </si>
  <si>
    <t>2-s2.0-0023670089</t>
  </si>
  <si>
    <t>['technique proposed', 'prescribed far', 'point dipoles', 'numerical computations', 'identical direction', 'field patterns', 'electronics engineers', 'current flow', 'array element', 'also discussed']</t>
  </si>
  <si>
    <t>A technique of synthesis of near-field patterns of a nonuniformly spaced linear array of point dipoles with identical direction of current flow for each array element, or a uniformly spaced array of point dipoles with variation in direction of current flow for each dipole is presented. Further, it is described how one should prescribe the near-field (NF) pattern and how one should sample the same, while performing the NF pattern synthesis. Also discussed is how NF pattern synthesis should be performed so that the synthesized NF amplitude pattern closely follows a prescribed far-field amplitude pattern of the same array. Numerical computations are performed to demonstrate the validity of the physical concepts made use of in the technique proposed for performing the NF pattern synthesis successfully. Copyright ¬© 1987 by The Institute of Electrical and Electronics Engineers, Inc.</t>
  </si>
  <si>
    <t>1189-1198</t>
  </si>
  <si>
    <t>Synthesis of Near-Field Patterns of a Nonuniformly Spaced Array</t>
  </si>
  <si>
    <t>10.1109/TAP.1987.1144001</t>
  </si>
  <si>
    <t>2-s2.0-0023670092</t>
  </si>
  <si>
    <t>University of Akron</t>
  </si>
  <si>
    <t>UA</t>
  </si>
  <si>
    <t>['upper substrate', 'thickness 0', 'lower ring', 'frequency separations', 'experimental results', 'electronics engineers', 'duroid substrate', '5 cm', '36 percent', '159 cm']</t>
  </si>
  <si>
    <t>Experimental results of a dual-frequency microstrip antenna consisting of two stacked annular rings of outer radii 5 cm and inner radii 2.5 cm are presented. Fabricated on a Duroid substrate with relative permittivity 2.32 and thickness 0.159 cm, the separations of the two resonant frequencies range from 6.30-9.36 percent for the first three modes. The frequency separations can be altered by means of an adjustable air gap between the lower ring and the upper substrate. Copyright ¬© 1987 by The Institute of Electrical and Electronics Engineers, Inc.</t>
  </si>
  <si>
    <t>1281-1285</t>
  </si>
  <si>
    <t>60009658;60032143;60002798</t>
  </si>
  <si>
    <t>7003504220;7501501369;7401535968</t>
  </si>
  <si>
    <t>Dahele, Jashwant S.;Lee, Kai Fong;Wong, D. P.</t>
  </si>
  <si>
    <t>United States;United Kingdom;Hong Kong</t>
  </si>
  <si>
    <t>Akron;Swindon;Hong Kong</t>
  </si>
  <si>
    <t>University of Akron;Defence College of Management and Technology;Chinese University of Hong Kong</t>
  </si>
  <si>
    <t>60032143;60009658;60002798</t>
  </si>
  <si>
    <t>Dual-Frequency Stacked Annular-Ring Microstrip Antenna</t>
  </si>
  <si>
    <t>10.1109/TAP.1987.1143997</t>
  </si>
  <si>
    <t>2-s2.0-0023670190</t>
  </si>
  <si>
    <t>['video signals', 'transmitted directly', 'significantly larger', 'satellite antenna', 'resonance frequency', 'optical system', 'microwave signals', 'microwave frequency', 'mhz c', 'low attenuation', 'laser must', 'large band', 'intermodulation levels', 'intensity noise', 'frequency band', 'electronics engineers', 'case ).', 'acceptable level', '6 ghz', '55 db', '20 km', '10 dbm', '1 db']</t>
  </si>
  <si>
    <t>We demonstrate here the use of high-speed semiconductor lasers and detectors with low loss optical fiber for the transmission of the 500-MHz C-band microwave signal spectrum to and from a satellite antenna. The optical system has low attenuation and large band-width, so the microwave signals can be transmitted directly at the microwave frequency (4 or 6 GHz) over 20 km of fiber without regeneration or qualization. The optical system introduces ~ 1 dB or less of degradation for both low spectral density QPSK signals and high spectral density FM video signals present in typical satellite transmission systems. For the video signals, the signal to noise after AM conversion was reduced from 56 to 55 dB. The microwave drive level to the laser must he significantly larger (typically &gt; - 10 dBm) than the intensity noise of the laser, yet small enough (typically &lt; 10 dBm) to reduce the intermodulation distortion signals to an acceptable level. The laser bias current must be several times threshold so that the resonance frequency is beyond the frequency band of interest (4‚Äì6 GHz in this case). A flat modulation response is then obtained, and the intensity noise and intermodulation levels are low. Copyright ¬© 1987 by The Institute of Electrical and Electronics Engineers, Inc.</t>
  </si>
  <si>
    <t>1733-1741</t>
  </si>
  <si>
    <t>Bowers, John E.;Chipaloski, A. C.;Boodaghians, S.;Carlin, J. W.</t>
  </si>
  <si>
    <t>Bowers J.E.</t>
  </si>
  <si>
    <t>Long Distance Fiber-Optic Transmission of C-Band Microwave Signals to and from a Satellite Antenna</t>
  </si>
  <si>
    <t>10.1109/JLT.1987.1075466</t>
  </si>
  <si>
    <t>2-s2.0-0023670199</t>
  </si>
  <si>
    <t>['transmitting sequentially', 'transmitted power', 'thereby enabling', 'target locations', 'multiple transmitters', 'magnitude smaller', 'far field', 'empirical methods', 'electronics engineers', 'different locations', 'completely correlated']</t>
  </si>
  <si>
    <t>A technique for obtaining high resolution images of point-like coherent targets using aperiodic antenna arrays is developed. Whereas existing superresolution techniques can be used to image coherent targets located only in the far field of periodic receiving arrays, this technique can be used to obtain high resolution images of targets in the near field also. The key to this technique is the use of multiple transmitters. Completely correlated (coherent) targets are decorrelated by transmitting sequentially from different locations, thereby enabling the use of modern superresolution techniques to estimate the target locations. An expression for estimating the variance of the target locations is derived, and is verified by empirical methods. For the same amount of transmitted power and the same number of receivers, this variance is shown to be an order of magnitude smaller than that of existing superresolution techniques. The practicality of this technique is demonstrated with experimental microwave data. Copyright ¬© 1987 by The Institute of Electrical and Electronics Engineers, Inc.</t>
  </si>
  <si>
    <t>1206-1216</t>
  </si>
  <si>
    <t>6507289448;7102870158</t>
  </si>
  <si>
    <t>Subbaram, Harish M.;Steinberg, Bernard D.</t>
  </si>
  <si>
    <t>Subbaram H.M.</t>
  </si>
  <si>
    <t>Superresolution of Near or Far Field Coherent Targets Using Aperiodic Antenna Arrays</t>
  </si>
  <si>
    <t>10.1109/TAP.1987.1144013</t>
  </si>
  <si>
    <t>2-s2.0-0023670210</t>
  </si>
  <si>
    <t>['lens arrays', 'electronics engineers', 'among others']</t>
  </si>
  <si>
    <t>Expressions are derived for the electromagnetic field due to a known circular cylindrical monopole electric current and a coaxial transverse electromagnetic (TEM) mode aperture distribution, both in an infinite parallel plate waveguide. The results have application, among others, to analysis of lens arrays of coaxially fed monopoles in parallel plate regions. Copyright ¬© 1987 by The Institute of Electrical and Electronics Engineers, Inc.</t>
  </si>
  <si>
    <t>1307-1310</t>
  </si>
  <si>
    <t>60001247;60108318</t>
  </si>
  <si>
    <t>6604010206;7005831705</t>
  </si>
  <si>
    <t>Tomasic, Boris;Hessel, Alexander</t>
  </si>
  <si>
    <t>New York;</t>
  </si>
  <si>
    <t>NYU Tandon School of Engineering;Hanscom AFB</t>
  </si>
  <si>
    <t>60108318;60001247</t>
  </si>
  <si>
    <t>Tomasic B.</t>
  </si>
  <si>
    <t>Electric and Magnetic Current Sources in the Parallel Plate Waveguide</t>
  </si>
  <si>
    <t>10.1109/TAP.1987.1144020</t>
  </si>
  <si>
    <t>2-s2.0-0023670211</t>
  </si>
  <si>
    <t>['would otherwise', 'traffic flows', 'throughput model', 'system operating', 'swift satisfies', 'swift algorithm', 'residential settings', 'proposed technique', 'metropolitan subnetwork', 'important constraint', 'higher throughput', 'heavily remote', 'existing csma', 'electronics engineers', 'efficiently schedules', 'certain environments', 'analytic model']</t>
  </si>
  <si>
    <t>In the future, metropolitan area networks (MAN's) will provide high bandwidth interconnection between local access networks in high density office, industrial, and residential settings. In these systems, the metropolitan area gateway (MAG) is responsible for coor-dinating the flow of traffic in and out of the metropolitan subnetwork. In certain environments, it is expected that the traffic will possess distinct characteristics. In this paper, a technique called SWIFT is proposed which efficiently schedules these traffic flows when the local access network is based upon broadband CATV-type cable technology. SWIFT satisfies the important constraint that it is compatible with existing CSMA/CD packet data network adapters which means that it may be implemented in previously installed systems. In this paper, a throughput model is given for the proposed technique. Also, an analytic model is given which approximates the mean remote delay when the traffic is moderately to heavily remote-bound. The performance results presented indicate that a system operating the SWIFT algorithm can achieve much reduced delays at higher throughput than would otherwise be possible. Copyright ¬© 1987 by The Institute of Electrical and Electronics Engineers, Inc.</t>
  </si>
  <si>
    <t>1391-1402</t>
  </si>
  <si>
    <t>Todd, Terence D.</t>
  </si>
  <si>
    <t>Hamilton</t>
  </si>
  <si>
    <t>McMaster University</t>
  </si>
  <si>
    <t>Todd T.D.</t>
  </si>
  <si>
    <t>A Traffic Scheduling Technique for Metropolitan Area Gateways</t>
  </si>
  <si>
    <t>10.1109/JSAC.1987.1146672</t>
  </si>
  <si>
    <t>2-s2.0-0023670352</t>
  </si>
  <si>
    <t>14-87-K-0688</t>
  </si>
  <si>
    <t>['vertical dipole', 'scalar potential', 'observation points', 'layered media', 'harmonic dipole', 'electronics engineers', 'called mixed', 'arbitrary shape']</t>
  </si>
  <si>
    <t>It is demonstrated that one can choose the form of the magnetic vector potential to render the scalar potential of a single point charge associated with a horizontal, time-harmonic dipole in a layered medium identical to that associated with a vertical dipole, provided that the source and observation points are within the same layer. This proves the existence of the so-called mixed-potential electric field integral equation for objects of arbitrary shape in layered media. Copyright ¬© 1987 by The Institute of Electrical and Electronics Engineers, Inc.</t>
  </si>
  <si>
    <t>1299-1301</t>
  </si>
  <si>
    <t>Michalski, Krzysztof A.</t>
  </si>
  <si>
    <t>Michalski K.A.</t>
  </si>
  <si>
    <t>On the Scalar Potential of a Point Charge Associated with a Time-Harmonic Dipole in a Layered Medium</t>
  </si>
  <si>
    <t>10.1109/TAP.1987.1144022</t>
  </si>
  <si>
    <t>2-s2.0-0023670421</t>
  </si>
  <si>
    <t>NAG-I-562</t>
  </si>
  <si>
    <t>['vertical polarizations', 'utd coefficients', 'uniform theory', 'third order', 'parallel edges', 'obtained everywhere', 'observation point', 'multiply reflected', 'far field', 'electronics engineers', 'distance increases', 'diffraction revert', 'diffracted fields', 'azimuthal plane', 'angular parameters', 'angular measurements', 'analytic calculations']</t>
  </si>
  <si>
    <t>The uniform theory of diffraction (UTD) plus an imposed edge diffraction extension is used to predict the backscatter cross sections of dihedral corner reflectors which have right, obtuse, and acute included angles. UTD allows individual backscattering mechanisms of the dihedral corner reflectors to be identified and provides good agreement with experimental cross section measurements in the azimuthal plane. Multiply reflected and diffracted fields of up to third order are included in the analysis for both horizontal and vertical polarizations. The coefficients of the uniform theory of diffraction revert to Keller‚Äôs original geometrical theory of diffraction (GTD) in far-field cross section analyses, but finite cross sections can be obtained everywhere by considering mutual cancellation of diffractions from parallel edges. Analytic calculations are performed using UTD coefficients; hence accuracy required in angular measurements is more critical as the distance increases. In particular, the common ‚Äúfar-field‚Äù approximation that all rays to the observation point are parallel is too gross of an approximation for the angular parameters in the UTD coefficients in the far field. Copyright ¬© 1987 by The Institute of Electrical and Electronics Engineers, Inc.</t>
  </si>
  <si>
    <t>1235-1247</t>
  </si>
  <si>
    <t>Dihedral Corner Reflector Backscatter Using Higher Order Reflections and Diffractions</t>
  </si>
  <si>
    <t>10.1109/TAP.1987.1144010</t>
  </si>
  <si>
    <t>2-s2.0-0023670446</t>
  </si>
  <si>
    <t>['scattered fields', 'scattered field', 'resistive taper', 'induced current', 'electronics engineers', 'backscattering patterns']</t>
  </si>
  <si>
    <t>A technique for synthesizing a resistive taper that generates desired bistatic scattering and backscattering patterns from a strip is outlined. Antenna synthesis techniques relate the scattered field to the induced surface current density. Physical optics approximations then relate the induced current to the resistivity. The taper is checked by computing the surface current density and scattered fields of the tapered resistive strip using the integral equation formulation and comparing with the physical optics results. Copyright ¬© 1987 by The Institute of Electrical and Electronics Engineers, Inc.</t>
  </si>
  <si>
    <t>1217-1225</t>
  </si>
  <si>
    <t>7102186231;7003973853</t>
  </si>
  <si>
    <t>Haupt, Randy L.;Liepa, Valdis V.</t>
  </si>
  <si>
    <t>Haupt R.L.</t>
  </si>
  <si>
    <t>Synthesis of Tapered Resistive Strips</t>
  </si>
  <si>
    <t>10.1109/TAP.1987.1143998</t>
  </si>
  <si>
    <t>2-s2.0-0023670486</t>
  </si>
  <si>
    <t>['specified curve', 'numerical calculations', 'main beam', 'linear arrays', 'electronics engineers', 'current excitation', 'control function']</t>
  </si>
  <si>
    <t>A completely new synthesis method, the successive approximation method, is developed. By introducing a control function and a step-by-step approach program various directivity functions can be obtained in which the peaks of the sidelobes and specified zeros fit within a specified curve. This method is applicable to any form of array. Numerical calculations have been done to illustrate its applications: Determining optimum current distribution of linear arrays, unequally spaced arrays, steering the main beam through current excitation, etc. Copyright ¬© 1987 by The Institute of Electrical and Electronics Engineers, Inc.</t>
  </si>
  <si>
    <t>1199-1205</t>
  </si>
  <si>
    <t>Jun, Lan</t>
  </si>
  <si>
    <t>Beijing</t>
  </si>
  <si>
    <t>Chinese Academy of Sciences</t>
  </si>
  <si>
    <t>Jun L.</t>
  </si>
  <si>
    <t>A Universal Method for Directivity Synthesis</t>
  </si>
  <si>
    <t>10.1109/TAP.1987.1144014</t>
  </si>
  <si>
    <t>2-s2.0-0023670552</t>
  </si>
  <si>
    <t>['uranoscopid fish', 'uninflated legs', 'two pairs', 'second pedigers', 'second antenna', 'pygmy male', 'parasitic copepod', 'oral cavity', 'new zealand', 'new genus', 'new form', 'kathetostoma giganteum', 'et spec']</t>
  </si>
  <si>
    <t>Chondracanthidae | Copepoda | Kathetostoma giganteum | Mecaderochondria pilgrimi | New Zealand | Taxonomy</t>
  </si>
  <si>
    <t>A new form of parasitic copepod, Mecaderochondria pilgrimi gen. et spec, nov., recovered from the oral cavity of an uranoscopid fish, Kathetostoma giganteum, at Kaikoura, New Zealand, is described. The female of the new genus is characterised by a long neck consisting of the first and second pedigers, and two pairs of modified but uninflated legs with much reduced proto‚Äêpods. The pygmy male has an atrophied antennal tip on the second antenna. ¬© 1987 Crown.</t>
  </si>
  <si>
    <t>615-620</t>
  </si>
  <si>
    <t>New Zealand Journal of Marine and Freshwater Research</t>
  </si>
  <si>
    <t>60029378;60029378</t>
  </si>
  <si>
    <t>7402649874;56636723000</t>
  </si>
  <si>
    <t>Ho, Ju‚ÄêShey;Dojiri, Masahiro</t>
  </si>
  <si>
    <t>Long Beach</t>
  </si>
  <si>
    <t>California State University Long Beach</t>
  </si>
  <si>
    <t>Ho J.</t>
  </si>
  <si>
    <t>Mecaderochondria pilgrimi gen. et spec, nov., a chondracanthid copepod parasitic on a New Zealand marine fish, kathetostoma giganteum haast (Teleostei: Uranoscopidae)</t>
  </si>
  <si>
    <t>10.1080/00288330.1987.9516266</t>
  </si>
  <si>
    <t>2-s2.0-0037755762</t>
  </si>
  <si>
    <t>['¬© 1987', 'wanted signal', 'take place', 'suitable look', 'strong sources', 'stationary environment', 'rights reserved', 'paper develops', 'overall performance', 'highly suboptimal', 'full adaptation', 'frequency bands', 'far superior', 'electrical engineers', 'direction constraints', 'conventional beamforming', 'broadband environments']</t>
  </si>
  <si>
    <t>Adaptive antennas | Algorithms | Antennas | Signal processing</t>
  </si>
  <si>
    <t>The paper develops an adaptive antenna algorithm that is highly suboptimal and suitable for use in broadband environments. The algorithm is of the LMS beamforming type and is a variation on a frequency-domain adaptive beamformer. Processing is assumed to take place in frequency bands not exceeding one octave. In this band the complex weight vectors Wk are made a simple analytic function of FFT cell number k. The system minimises broadband output power subject to suitable look-direction constraints. The algorithm was tested assuming constant sensor errors, full adaptation and a time-stationary environment. Broadband bearing resolution capability was found to be far superior to that with conventional beamforming. The system proved capable of steering multiple broadband nulls-40 to‚Äî60 dB in depth. Algorithm degradation occurs when the system is steered at strong sources, but the overall performance is good, particularly when the wanted signal is weak. ¬© 1987, The Institution of Electrical Engineers. All rights reserved.</t>
  </si>
  <si>
    <t>341-351</t>
  </si>
  <si>
    <t>Suboptimal frequency-domain adaptive antenna processing algorithm for broadband environments</t>
  </si>
  <si>
    <t>2-s2.0-0038070952</t>
  </si>
  <si>
    <t>['¬© 1987', 'potential utility', 'hertzian dipoles', 'harmonic far', 'fractal concepts', 'field response', 'fancis group', 'dependent far', 'bifractal array']</t>
  </si>
  <si>
    <t>The potential utility of fractal concepts in designing antenna arrays is explored. In particular, whereas the time-harmonic far-field response of a bifractal array of hertzian dipoles is also a bifractal, its time-dependent far-field response is shown to be a unifractal. ¬© 1987, Taylor &amp; Fancis Group, LLC.</t>
  </si>
  <si>
    <t>819-824</t>
  </si>
  <si>
    <t>Lakhtakia, A.;Varadan, V. K.;Varadan, V. V.</t>
  </si>
  <si>
    <t>Time-harmonic and time-dependent radiation by bifractal dipole arrays</t>
  </si>
  <si>
    <t>10.1080/00207218708939187</t>
  </si>
  <si>
    <t>2-s2.0-0038125298</t>
  </si>
  <si>
    <t>['tobacco budworm', 'tant qu', 'sensory cues', 'non host', 'la discussion', 'heliothis virescens', 'ground cherry', 'f .),', 'especially moths', 'des femelles', 'depends primarily', 'contact chemosensilla', 'contact chemoreception', 'certain level', 'autres papillons', 'au laboratoire']</t>
  </si>
  <si>
    <t>antennae | compound eyes | contact chemoreception | cotton | ground cherry | Heliothis virescens | host finding | mechanoreception | Noctuidae | olfaction | ovipositor | soybean isolines | tarsi | Tobacco budworm | vision</t>
  </si>
  <si>
    <t>When given a choice of cotton (host) and ground cherry (non host) in a close range situation, Heliothis virescens (F.), the tobacco budworm, depends primarily on contact chemoreception and mechanoreception, and not olfaction or vision, to discriminate between these two plant species for oviposition. Further, in the presence of a certain level of hairiness (the non‚Äêhost plant, ground cherry, has short capitate hairs), the females are capable of discriminating between these two plants based on contact chemosensory cues, if at least one pair of tarsi is intact. The contact chemosensilla on the ovipositor do not seem to be important for this purpose. These results are discussed in relation to the sensory cues and receptors for oviposition in other Lepidoptera, especially moths. Signaux et r√©cepteurs sensoriels intervenant dans la ponte d'Heliothis virescens Les diff√©rentes r√©cepteurs sensoriels (chimique, m√©canique et visuel) des femelles d'H. virescens ont √©t√© rendus inactifs par traitement √† l'acide, anten‚Äênotectomie ou peinture des yeux avec un enduit noir du type vernis √† ongles, pour √©tudier le d√©terminisme sensoriel de la s√©lection des h«ítes lors de la ponte; les papillons avaient le choix entre le coton (Gossypium hirsutum), sur lequel ils pondent normalement, et Physalis angulata sur lequel on n'observe pas de pontes dans la nature. Au laboratoire, √† faible distance, le choix de H. virescens d√©pendait en premier lieu des m√©canor√©cepteurs et des r√©cepteurs chimiques dits de contact (gustatifs), et non de la vision ou de l'olfaction. En pr√©sence d'un certain niveau de pilosit√© (P. angulata poss√®de de courts poils capit√©s), les femelles choisissent les plantes en fonction de la perception chimique dite de contact (gustation) tant qu'une paire de tarses reste intacte. Les sensilles chimiques de l'ovitube ne semblent pas jouer un r«íle important √† cet √©gard. La discussion a examin√© ces r√©sultats √† la lumi√®re des processus sensoriels utilis√©s par d'autres papillons. 1987 The Netherlands Entomological Society</t>
  </si>
  <si>
    <t>159-168</t>
  </si>
  <si>
    <t>60001526;60001526;60001526</t>
  </si>
  <si>
    <t>7201359331;16459022900;7403001261</t>
  </si>
  <si>
    <t>Ramaswamy, Sonny B.;Ma, Wai Keung;Baker, Gerald T.</t>
  </si>
  <si>
    <t>Ramaswamy S.B.</t>
  </si>
  <si>
    <t>Sensory cues and receptors for oviposition by Heliothis virescens</t>
  </si>
  <si>
    <t>10.1111/j.1570-7458.1987.tb03600.x</t>
  </si>
  <si>
    <t>2-s2.0-0040173714</t>
  </si>
  <si>
    <t>['¬© 1987', 'weaker echoes', 'various pieces', 'ten arc', 'stronger echoes', 'southern terra', 'radarmetric control', 'radar cell', 'puerto rico', 'obtained via', 'new resolution', 'new observations', 'new map', 'mare serenitatis', 'mare orientale', 'made using', 'limb calibration', 'late 1960', 'fold improvement', 'eighteen observations', 'central portion', 'arecibo observatory', '5 km', '430 mhz']</t>
  </si>
  <si>
    <t>New radar observations of the Moon in 1981-1984 were made using the 430 MHz (70 cm wavelength) radar at the Arecibo observatory, Puerto Rico. The new observations have produced a high resolution lunar radar map with radar cell-sizes near 2-5 km. This new resolution is a three-fold improvement over the previous mapping done in the late 1960's. Since the Arecibo radar antenna beam is only ten arc-minutes (about one-third of the width of the lunar disk), this new map is a mosaic of some eighteen observations. A radarmetric control between the various pieces of the mosaic was obtained via a 'beam-swing,' limb-to-limb calibration. When the limb-to-limb calibration was combined with the mosaic, there were significant radar scattering differences across the maria. Eastern Mare Tranquillitatis and western Oceanus Procellarum have weaker echoes than other maria, while the central portion of Mare Serenitatis and northern Mare Imbrium have stronger echoes. There is a radar scattering difference across the southern terra as areas nearer Mare Orientale have stronger echoes than areas further from Mare Orientale. ¬© 1987 D. Reidel Publishing Company.</t>
  </si>
  <si>
    <t>59-70</t>
  </si>
  <si>
    <t>Earth, Moon and Planets</t>
  </si>
  <si>
    <t>Thompson, T. W.</t>
  </si>
  <si>
    <t>Thompson T.</t>
  </si>
  <si>
    <t>High-resolution lunar radar map at 70-cm wavelength</t>
  </si>
  <si>
    <t>10.1007/BF00054324</t>
  </si>
  <si>
    <t>2-s2.0-0042032251</t>
  </si>
  <si>
    <t>['¬© 1987', 'types ib', 'type ii', 'type 1a', 'seven sensilla', 'sensilla coeloconica', 'receptor sites', 'pseudaletia unipuncta', 'male antennae', 'longer antennae', 'larvae fed', 'haw .)', 'antennal flagellum', 'adults obtained']</t>
  </si>
  <si>
    <t>Antennal morphology | larval diet | pheromones</t>
  </si>
  <si>
    <t>Seven sensilla were observed on the antennal flagellum of both sexes of Pseudaletia unipuncta (Haw.) (Lepidoptera : Noctuidae): chaetica Type I and Type II), styloconica, coeloconica, trichodea (Type 1a, b, c and Type II a, b), auricillica, nonporous and squamiformia. The major sexual dimorphism noted was the presence of Type la trichodea on the male antennae, suggesting that this sensillum may contain the receptor sites for the female sex pheromone. Differences in the size of sensilla coeloconica, auricillica and trichodea (Types Ib, IIb) were noted between sexes, being larger in females. Adults obtained from larvae fed on artificial diet generally had longer antennae and sensilla than those fed on young oat plants. ¬© 1987.</t>
  </si>
  <si>
    <t>153-167</t>
  </si>
  <si>
    <t>International Journal of Insect Morphology and Embryology</t>
  </si>
  <si>
    <t>60032619;60032619</t>
  </si>
  <si>
    <t>16463964100;7202414312</t>
  </si>
  <si>
    <t>Lavoie-Dornik, Jany;McNeil, J. N.</t>
  </si>
  <si>
    <t>Quebec</t>
  </si>
  <si>
    <t>Universit√© Laval</t>
  </si>
  <si>
    <t>Lavoie-Dornik J.</t>
  </si>
  <si>
    <t>Sensilla of the antennal flagellum in Pseudaletia unipuncta (Haw.) (Lepidoptera: Noctuidae)</t>
  </si>
  <si>
    <t>10.1016/0020-7322(87)90015-8</t>
  </si>
  <si>
    <t>2-s2.0-0343588668</t>
  </si>
  <si>
    <t>['two populations', 'third instars', 'species show', 'rabbits omitted', 'pronotum length', 'population taken', 'observed variation', 'morphological characteristics', 'life history', 'instars passed', 'instars ii', 'instar nymph', 'heavily grazed', 'ha nymph', 'ha instar', 'grazed grass', 'geographical variation', 'francis group', 'four stadia', 'female nymphs', 'extra instar', 'extensive venation', 'ecological implications', 'east anglia', 'earlier hatching', 'chorthippus brunneus', 'breckland district', 'approximately 10', 'additional instar']</t>
  </si>
  <si>
    <t>In two populations of Chorthippus brunneus in the Breckland district of East Anglia an additional instar is interposed between instars II and III during the development of female nymphs. The Ha nymph occurs with a frequency approaching 100%, in both heavily and very lightly grazed grasslands. The Ha nymph is intermediate in morphological characteristics between the second and third instars. It is characterized by having wing buds similar to those of a second instar except with more extensive venation, while the genitalia are more like those of a third-instar nymph. The pronotum length:head length ratio is approximately 10 and there are 16 or more annuli in the antennae. Members of the population taken from the very lightly grazed grassland and raised in the laboratory on grass that had been heavily grazed by rabbits omitted the Ha instar and so passed through only four stadia during their development. In contrast, members of the population taken from the heavily grazed field site continued to include the Ha instar in their development when fed in the laboratory on grazed grass. Comparisons with other studies of this species show that there is geographical variation with respect to numbers of instars passed through during development. The additional instar has been found only in East Anglia where the warmer sunnier climate, which is semi-continental in the Breckland district, leads to earlier hatching. This allows more time for an extra instar to be included in the development. The ecological implications of the observed variation in life history are discussed. ¬© 1987 Taylor &amp; Francis Group, LLC.</t>
  </si>
  <si>
    <t>329-337</t>
  </si>
  <si>
    <t>Journal of Natural History</t>
  </si>
  <si>
    <t>60000112;60000112</t>
  </si>
  <si>
    <t>7003855173;6508300869</t>
  </si>
  <si>
    <t>Hassall, Mark;Grayson, F. W.L.</t>
  </si>
  <si>
    <t>Norwich</t>
  </si>
  <si>
    <t>University of East Anglia</t>
  </si>
  <si>
    <t>Hassall M.</t>
  </si>
  <si>
    <t>The occurrence of an additional instar in the development of chorthippus brunneus (Orthoptera: Gomphocerinae)</t>
  </si>
  <si>
    <t>10.1080/00222938700771051</t>
  </si>
  <si>
    <t>2-s2.0-0345529637</t>
  </si>
  <si>
    <t>['¬© 1987', 'velocity direction', 'velocity axis', 'topside sounder', 'system capacitances', 'supporting evidence', 'spectrometer axis', 'spacecraft body', 'rf pulse', 'particle spectrometer', 'net charge', 'energetic ions', 'discharge phases', 'attracted back']</t>
  </si>
  <si>
    <t>RF pulses generated by the topside sounder in the ISIS-II spacecraft charge the spacecraft body to a few hundred volts negative. A nonlinear equivalent circuit of the spacecraft body plus dipole antenna has been used to analyze the charge and discharge phases. The ensemble is modeled as a triple probe whose geometric asymmetries are responsible for a net charge being left on system capacitances at the end of the RF pulse. Ambient ionospheric ions discharge the spacecraft during and after the pulse. This discharge has been studied with data from the Soft-Particle Spectrometer, and with supporting evidence from the Ion Mass Spectrometer, the Cylindrical Electrostatic Probe and the Topside Sounder. The access of energetic ions to the detector of the Spectrometer as a function of the angle between the velocity direction and the spectrometer axis is consistent with a quasi-central electric field on the spacecraft upstream side. On the wakeside turbulent particles are attracted back to the spacecraft body within a conic surface centred on the velocity axis. ¬© 1987.</t>
  </si>
  <si>
    <t>105-118</t>
  </si>
  <si>
    <t>Planetary and Space Science</t>
  </si>
  <si>
    <t>James, H. G.</t>
  </si>
  <si>
    <t>James H.</t>
  </si>
  <si>
    <t>Discharge of RF-induced spacecraft dc potential by positive ions</t>
  </si>
  <si>
    <t>10.1016/0032-0633(87)90149-8</t>
  </si>
  <si>
    <t>2-s2.0-0345834343</t>
  </si>
  <si>
    <t>['work performed', 'various effects', 'power frequency', 'experimental results', 'electronic engineer', 'electromagnetic waves', 'electromagnetic disturbances', 'data obtained']</t>
  </si>
  <si>
    <t>The objective of this paper is to report measured results of electric fields investigated inside the automobile. This investigation is important to the electronic design engineer before he starts the design of the different electronic systems needed to operate the automobile. By knowing the electromagnetic environment inside the automobile, the electronic engineer is given the opportunity to estimate and predict the various effects of electromagnetic disturbances on the automotive electronic systems. In our experiments, the work performed to study the electromagnetic environmental conditions was carried out on a typical midsize automobile with a high-power frequency-modulation (FM) transmitter installed inside the vehicle. Different antenna locations were used to radiate the electromagnetic waves that were studied. Data obtained from the experimental results are presented and discussed. ¬© 1987 IEEE</t>
  </si>
  <si>
    <t>60006371;60006371</t>
  </si>
  <si>
    <t>56554079400;7006537616</t>
  </si>
  <si>
    <t>Muccioli, James P.;Awad, Selim S.</t>
  </si>
  <si>
    <t>Dearborn</t>
  </si>
  <si>
    <t>University of Michigan-Dearborn</t>
  </si>
  <si>
    <t>Muccioli J.P.</t>
  </si>
  <si>
    <t>The Electromagnetic Environment of an Automobile Electronic System</t>
  </si>
  <si>
    <t>10.1109/TEMC.1987.304376</t>
  </si>
  <si>
    <t>2-s2.0-0642332571</t>
  </si>
  <si>
    <t>['state conditions', 'saline phantom', 'new balun', 'letter presents', 'interstitial hyperthermia', 'electronics engineers']</t>
  </si>
  <si>
    <t>This letter presents a new microwave antenna design with greatly enhanced heating at the tip for interstitial hyperthermia. Temperature distribution patterns surrounding the new balun-fed folded dipole antenna are measured in a saline phantom under transient and steady-state conditions. Copyright ¬© 1987 by The Institute of Electrical and Electronics Engineers, Inc.</t>
  </si>
  <si>
    <t>1132-1133</t>
  </si>
  <si>
    <t>Lin J.C.</t>
  </si>
  <si>
    <t>An Implantable Microwave Antenna for Interstitial Hyperthermia</t>
  </si>
  <si>
    <t>10.1109/PROC.1987.13860</t>
  </si>
  <si>
    <t>2-s2.0-10144231538</t>
  </si>
  <si>
    <t>['two reflectors', 'short back', 'second type', 'radiation patterns', 'optimum dimensions', 'numerical solution', 'new one', 'modelled using', 'geometrical dimensions', 'fire antenna', 'fancis group', 'exact representation', 'directive gain', 'aperture efficiency', '39 db', '17 %.', '035 db']</t>
  </si>
  <si>
    <t>The exact representation of the short back-fire antenna (SBA) which consists of the main reflector surrounded by a rim, and the subreflector is modelled using the surface integral equations. The numerical solution of these equations is used to calculate the far field radiation patterns, from which the directive gain is calculated by an integration of the radiation patterns. The optimum dimensions of SBA are obtained for two different types of the feed in structure a half wave dipole and a coaxial circular waveguide. The feed is located between the two reflectors. The geometrical dimensions are optimized to maximize the directive gain and the aperture efficiency. For the first excitation type a directive gain of 16.39 dB is obtained with an aperture efficiency of 91.17%. The second type is a new one and yields a directive gain of 18.035 dB with an aperture efficiency of 92.45%.. ¬© 1987, Taylor &amp; Fancis Group, LLC.</t>
  </si>
  <si>
    <t>825-832</t>
  </si>
  <si>
    <t>Performance of short-backfire antenna with different excitation sources</t>
  </si>
  <si>
    <t>10.1080/00207218708939188</t>
  </si>
  <si>
    <t>2-s2.0-21544461682</t>
  </si>
  <si>
    <t>['total number', 'stars observed', 'stars detected', 'rscvn systems', 'radio stars', 'polarization measurements', 'periodic emission', '6 cm', '4 ghz', '1 cm']</t>
  </si>
  <si>
    <t>Hipparcos stars | Polarization | Radio stars</t>
  </si>
  <si>
    <t>Simultaneous flux density measurements with the 64 m antenna of the Madrid Deep Space Communication Complex (DSCC) at a wavelength of 13.1 cm and 3.6 cm, or of right and left circular polarization at 3.6 cm of a group of radio stars from the Hipparcos Input Catalogue, are reported. The total number of stars observed is 33, while the number of stars detected is 9. The polarization measurements of RSCVn systems are in agreement with a gyrosynchroton emission mechanism. The observations of LSI + 61¬∞303 confirm the periodic emission at 8.4 GHz.</t>
  </si>
  <si>
    <t>177-181</t>
  </si>
  <si>
    <t>Astronomy and Astrophysics</t>
  </si>
  <si>
    <t>60001576;60001576;60030175</t>
  </si>
  <si>
    <t>7004818506;7003396005;55232090400</t>
  </si>
  <si>
    <t>Paredes, J. M.;Estalella, R.;Rius, A.</t>
  </si>
  <si>
    <t>Spain;Spain</t>
  </si>
  <si>
    <t>Madrid;Barcelona</t>
  </si>
  <si>
    <t>CSIC-UCM - Instituto de Astronomia y Geodesia (IAG);Universitat de Barcelona</t>
  </si>
  <si>
    <t>60030175;60001576</t>
  </si>
  <si>
    <t>Paredes J.</t>
  </si>
  <si>
    <t>Flux density and polarization observations of Hipparcos radio stars</t>
  </si>
  <si>
    <t>2-s2.0-26144476928</t>
  </si>
  <si>
    <t>['student involved', 'software used', 'minimize cost', 'microwave radiation', 'microwave experiments', 'electronics engineers', 'also described', 'aided testing', 'aided rf', 'abbreviated examples']</t>
  </si>
  <si>
    <t>Computer-aided testing can increase the efficiency and accuracy of university laboratory experiments, while also increasing student interest. Examples of computer-aided RF and microwave experiments being used in the Electronics Engineering Technology Program at Brigham Young University are given. The experiments use interactive programming in a scaled down, semi-automated method designed to minimize cost and complexity, while keeping the student involved. Examples include experiments in microwave radiation and propagation, microwave antenna characteristics, and solid-state microwave oscillator characteristics. A student antenna test exercise using computer automated testing is also described. Abbreviated examples of software used in automating the experiments are given. Copyright ¬© 1987 by The Institute of Electrical and Electronics Engineers, Inc.</t>
  </si>
  <si>
    <t>E-30</t>
  </si>
  <si>
    <t>IEEE Transactions on Education</t>
  </si>
  <si>
    <t>Owen, Earl F.</t>
  </si>
  <si>
    <t>Provo</t>
  </si>
  <si>
    <t>Brigham Young University</t>
  </si>
  <si>
    <t>Owen E.F.</t>
  </si>
  <si>
    <t>Microwave Laboratory Experiments Using Computer-Aided Test</t>
  </si>
  <si>
    <t>10.1109/TE.1987.5570552</t>
  </si>
  <si>
    <t>2-s2.0-33646376874</t>
  </si>
  <si>
    <t>['waves present', 'variables techniques', 'valid subject', 'upper region', 'upper medium', 'two media', 'transmitting antenna', 'time harmonic', 'therefore used', 'second medium', 'problem cannot', 'plate makes', 'plate intersects', 'permit solution', 'one another', 'oblique angle', 'much greater', 'modal series', 'lower one', 'lower medium', 'geometry consists', 'first medium', 'expressed either', 'electronics engineers', 'easily solved', 'direction parallel', 'conducting plate', 'closed form', 'boundary conditions']</t>
  </si>
  <si>
    <t>Lateral wave propagation in a wedge shaped region is examined. The geometry consists of two media, the lower one of which is bounded from below by a conducting plate. The plate intersects the interface between the two media from below at an oblique angle. The transmitting antenna is an infinite, time harmonic, electric line source located close to the interface between the two media, and oriented to make the problem two dimensional. The wavenumber of the upper medium has a magnitude which is much greater than that of the lower medium. The lateral wave travels downward from the source into the second medium, along the interface, and back up to the point of observation in the first medium. The problem cannot be easily solved in closed form as the boundary conditions at the interface do not permit solution by separation of variables techniques. An approximate analytical method is therefore used in which the two media are separated from one another at each step of an iterative procedure using impedance boundary conditions. The simpler single medium problems which result are more amenable to analysis. The lateral wave field is expressed either as a modal series or image series depending on the angle the plate makes with the interface and on the location of the source and receiver. The decay of the wave in the direction parallel to the interface is shown to be algebraic, even in the presence of the plate. The results are valid subject to the restrictions that the source and receiver are close to the interface and are not too close to each other or the edge of the plate. There will be other waves present which are not considered in this paper if the upper region is not conducting, although the expression for the lateral wave remains valid. Copyright ¬© 1987 by The Institute of Electrical and Electronics Engineers, Inc.</t>
  </si>
  <si>
    <t>947-955</t>
  </si>
  <si>
    <t>Dunn, John M.</t>
  </si>
  <si>
    <t>Dunn J.</t>
  </si>
  <si>
    <t>Lateral Wave Propagation in a Wedge Shaped Region</t>
  </si>
  <si>
    <t>10.1109/TAP.1987.1144208</t>
  </si>
  <si>
    <t>2-s2.0-33746589485</t>
  </si>
  <si>
    <t>['traditional method', 'theoretical structure', 'spatial position', 'radar wavelength', 'principal sidelobe', 'prf ).', 'digital image', 'clearly observed', 'band radars', 'b l', 'azimuth ambiguities', 'authors consider', 'aperture radar']</t>
  </si>
  <si>
    <t>The traditional method of specifying and controlling azimuth ambiguities in synthetic-aperture radar (SAR) is through integrated energy balance measures. Howeve, the most frequently observed azimuth ambiguities arise from ensembles of strong point reflectors in the principal sidelobe of the antenna which in turn are aliased into the processed Doppler bandwidth by the radar pulse repetition frequency (PRF). The authors consider the dependence of these ambiguities on radar wavelength and PRF. It is shown that such ambiguous image elements are strengthened in proportion to lambda **- **2, and PRF**-**1. The theoretical structure is based on orbital SAR geometry, including Earth rotation. The work is applied to a SIR-B L-band radar scene in which azimuth ambiguities are clearly observed. The level and spatial position of these ambiguities are measured in the digital image. The results are extrapolated to higher frequency radars such as ERS-1 and Radarsat. It is concluded that for these C-band radars the point azimuth restraint is more relevant (and more binding) than the traditional energy balance method.</t>
  </si>
  <si>
    <t>60005603;60005603</t>
  </si>
  <si>
    <t>7102934132;6506584225</t>
  </si>
  <si>
    <t>Raney, R. Keith;Princz, G. Julius</t>
  </si>
  <si>
    <t>Canada Centre for Remote Sensing</t>
  </si>
  <si>
    <t>Raney R.</t>
  </si>
  <si>
    <t>RECONSIDERATION OF AZIMUTH AMBIGUITIES IN SAR.</t>
  </si>
  <si>
    <t>10.1109/TGRS.1987.289749</t>
  </si>
  <si>
    <t>2-s2.0-33749767311</t>
  </si>
  <si>
    <t>['¬© 1987', 'variational principle', 'studied antenna', 'small contribution', 'simple geometry', 'quasi mode', 'ponderomotive stabilization', 'numerically investigated', 'nonnegligible fraction', 'near field', 'large cancellation', 'field energy', 'feedback stabilization', 'far field', 'coupling terms']</t>
  </si>
  <si>
    <t>Ponderomotive stabilization of rigid plasma flute modes is numerically investigated by use of a variational principle, for a simple geometry, without eikonal approximation. While the near field of the studied antenna can be stabilizing, the far field has a small contribution only, because of large cancellation by quasi mode-coupling terms. The field energy for stabilization is evaluated and is a nonnegligible fraction of the plasma thermal energy. A new antenna design is proposed, and feedback stabilization is investigated. Their use drastically reduces power requirements. ¬© 1987 The American Physical Society.</t>
  </si>
  <si>
    <t>495-498</t>
  </si>
  <si>
    <t>Physical Review Letters</t>
  </si>
  <si>
    <t>60025038-60007776</t>
  </si>
  <si>
    <t>Similon, P. L.</t>
  </si>
  <si>
    <t>Berkeley;Ithaca</t>
  </si>
  <si>
    <t>University of California, Berkeley;Cornell University</t>
  </si>
  <si>
    <t>60025038;60007776</t>
  </si>
  <si>
    <t>Similon P.</t>
  </si>
  <si>
    <t>Ponderomotive stabilization of flute modes in mirrors: Feedback control and numerical results</t>
  </si>
  <si>
    <t>10.1103/PhysRevLett.58.495</t>
  </si>
  <si>
    <t>2-s2.0-33751545846</t>
  </si>
  <si>
    <t>['wildtype chloroplasts', 'total chl', 'sodium deoxycholate', 'running buffer', 'protein comprises', 'protein analogous', 'protease action', 'polypeptide composition', 'normal organization', 'mutant chl', 'major light', 'major differences', 'harvesting chl', 'fifty percent', 'b protein', 'amino acid']</t>
  </si>
  <si>
    <t>Chlorina-f2 mutant | chlorophyll a-b proteins</t>
  </si>
  <si>
    <t>Chloroplasts of a chlorophyll (Chl) b-less barley mutant were solubilized with digitonin and fractionated by polyacrylamide gel electrophoresis with sodium deoxycholate in the running buffer. By this procedure, in contrast to using sodium dodecylsulfate (SDS) for solubilization, a Chl a-protein analogous to the major light-harvesting Chl a-b protein complex from wildtype chloroplasts was recovered. This mutant Chl a-protein comprises about fifty percent of the total Chl a, and is very similar in carotenoid, amino acid, protein and polypeptide composition to the major wildtype antenna Chl a-b protein. The only major differences we have found is its instability in the presence of SDS and sensitivity to protease action. Even with deoxycholate, the mutant Chl a complex often dissociates during electrophoresis into two green bands. The lack of Chl b appears to affect the normal organization of Chl a and protein in such a way as to render the complex more unstable. ¬© 1987 Martinus Nijhoff Publishers.</t>
  </si>
  <si>
    <t>141-151</t>
  </si>
  <si>
    <t>60019615-60024613;60019615-60024613</t>
  </si>
  <si>
    <t>6603260408;7409449087</t>
  </si>
  <si>
    <t>Duranton, Jacques;Brown, Jeanette</t>
  </si>
  <si>
    <t>Washington, D.C.;Gif-sur-Yvette</t>
  </si>
  <si>
    <t>Carnegie Institution of Washington;CEA Saclay</t>
  </si>
  <si>
    <t>60024613;60019615</t>
  </si>
  <si>
    <t>Duranton J.</t>
  </si>
  <si>
    <t>Evidence for a light-harvesting chlorophyll a-protein complex in a chlorophyll b-less barley mutant</t>
  </si>
  <si>
    <t>10.1007/BF00018272</t>
  </si>
  <si>
    <t>2-s2.0-33845475192</t>
  </si>
  <si>
    <t>['¬© 1987', 'wave strongly', 'interchange instability', 'greatly reduced', 'fluctuation levels', 'excitation level', 'cyclotron radio', 'axial ion']</t>
  </si>
  <si>
    <t>It is shown that wave eigenmode fields can provide rf stabilization of the interchange instability. The excitation level of an m=+1 fast magnetosonic wave is controlled by tailoring of the k? spectrum of an axial ion-cyclotron radio-frequency antenna array in the Phaedrus-B tandem mirror system. When the k? spectrum is chosen to excite the wave strongly, density-fluctuation levels in the plasma are greatly reduced. ¬© 1987 The American Physical Society.</t>
  </si>
  <si>
    <t>206-209</t>
  </si>
  <si>
    <t>60032179;60032179;60032179;60032179;60032179;60032179</t>
  </si>
  <si>
    <t>35356029400;56760500900;6603537781;7006072211;7003953563;7005599085</t>
  </si>
  <si>
    <t>Majeski, R.;Browning, J. J.;Meassick, S.;Hershkowitz, N.;Intrator, T.;Ferron, J. R.</t>
  </si>
  <si>
    <t>Majeski R.</t>
  </si>
  <si>
    <t>Effect of variable eigenmode excitation on rf stabilization of a mirror plasma</t>
  </si>
  <si>
    <t>10.1103/PhysRevLett.59.206</t>
  </si>
  <si>
    <t>2-s2.0-33846400758</t>
  </si>
  <si>
    <t>['¬© 1987', 'waveguide analog', 'rf fields', 'microwave frequencies', 'measured fel', 'interaction region', 'electron laser', '812 ghz']</t>
  </si>
  <si>
    <t>Modification of the transverse intensity profile of a single electromagnetic waveguide mode during the free-electron laser (FEL) interaction has been measured. This effect is the waveguide analog to free-space optical guiding. The studies were carried out at microwave frequencies (812 GHz) in a FEL with use of a mildly relativistic electron beam of 200 kV energy and 1.0 A current. The probing of the rf fields was accomplished by small electric dipole antennas inserted in the interaction region. The observed intensity profiles are compared with the measured FEL-induced phase shifts (wave refractive index). ¬© 1987 The American Physical Society.</t>
  </si>
  <si>
    <t>1177-1180</t>
  </si>
  <si>
    <t>60022195;60022195;60022195;60022195;60030612</t>
  </si>
  <si>
    <t>7005980360;57198059181;7003394896;7005604882;7004481662</t>
  </si>
  <si>
    <t>Hartemann, F.;Xu, K.;Bekefi, G.;Wurtele, J. S.;Fajans, J.</t>
  </si>
  <si>
    <t>San Diego;Cambridge</t>
  </si>
  <si>
    <t>University of California, San Diego;Massachusetts Institute of Technology</t>
  </si>
  <si>
    <t>60030612;60022195</t>
  </si>
  <si>
    <t>Hartemann F.</t>
  </si>
  <si>
    <t>Wave profile modification (optical guiding) induced by free-electron laser interaction</t>
  </si>
  <si>
    <t>10.1103/PhysRevLett.59.1177</t>
  </si>
  <si>
    <t>2-s2.0-35949013997</t>
  </si>
  <si>
    <t>['system using', 'problems associated', 'noise temperature']</t>
  </si>
  <si>
    <t>A 1.5-tonne Nb gravitational radiation antenna is described. Problems associated with a noncontacting magnetically levitated parametric upconverter transducer are discussed, and a system using a bonded microwave reentrant cavity and bonded mechanical impedance transformer is described and analyzed in detail. It is shown that such an antenna can be expected to achieve a noise temperature of ‚àº1 mK. An ultralow phase noise tunable microwave source for the transducer pump signal is described, as well as precision bonding techniques which yield a mechanical positioning accuracy of 10-6 m, and a reproducibility of 10-8 m.</t>
  </si>
  <si>
    <t>1910-1916</t>
  </si>
  <si>
    <t>Review of Scientific Instruments</t>
  </si>
  <si>
    <t>60031806;60031806;60031806;60031806;60031806</t>
  </si>
  <si>
    <t>7005135152;22974326500;8682074600;57212741193;6701797746</t>
  </si>
  <si>
    <t>Veitch, P. J.;Blair, D. G.;Linthorne, N. P.;Mann, L. D.;Ramm, D. K.</t>
  </si>
  <si>
    <t>Veitch P.</t>
  </si>
  <si>
    <t>Development of a 1.5-tonne niobium gravitational radiational antenna</t>
  </si>
  <si>
    <t>10.1063/1.1139488</t>
  </si>
  <si>
    <t>2-s2.0-36549103781</t>
  </si>
  <si>
    <t>['¬© 1987', 'significant role', 'plants growing', 'monocotyledons0 growing', 'marked increase', 'lutein content', 'leaves exposed', 'data indicates', 'catotenoid content', 'carotenoids play', 'absorbing light']</t>
  </si>
  <si>
    <t>angiosperms | carotenoid | gymnosperms | light intensity | lutein | Mosses | pterodophytes | Œ≤-carotene</t>
  </si>
  <si>
    <t>The catotenoid content in the leaves of mosses, pteridophyt, gymnosperms and angiosperms (dicotyledons and monocotyledons0 growing in the sunlight and in the shade was studied. In the leaves of the plants growing in the shade the total carotenoid content and Œ≤-carotene increases as does chlorophyll. On the other hand, in the leaves of all plants a marked increase in lutein content was observed only in the leaves exposed to sunlight. The data indicates that carotenoids play a significant role, equal to that of chlorophyll, as 'antennae' absorbing light in the plants. ¬© 1987.</t>
  </si>
  <si>
    <t>523-527</t>
  </si>
  <si>
    <t>Biochemical Systematics and Ecology</t>
  </si>
  <si>
    <t>Czeczuga, B.</t>
  </si>
  <si>
    <t>Poland</t>
  </si>
  <si>
    <t>Bialystok</t>
  </si>
  <si>
    <t>Uniwersytet Medyczny w Bialymstoku</t>
  </si>
  <si>
    <t>Czeczuga B.</t>
  </si>
  <si>
    <t>Carotenoid contents in leaves grown under various light intensities</t>
  </si>
  <si>
    <t>10.1016/0305-1978(87)90098-6</t>
  </si>
  <si>
    <t>2-s2.0-38149145132</t>
  </si>
  <si>
    <t>Deutsche Forschungsgemeinschaft</t>
  </si>
  <si>
    <t>SFB 4/G4</t>
  </si>
  <si>
    <t>DFG</t>
  </si>
  <si>
    <t>['¬© 1987', 'wide er', 'various intervals', 'two rows', 'target cues', 'sensory cells', 'membrane thickenings', 'many droplet', 'luminal neurons', 'local effects', 'especially frequent', 'epithelial cells', 'envelope cells', 'electrical activity', 'early embryogenesis', 'distal neuron', 'coated vesicles', 'cns suggests', 'close proximity', 'close apposition', 'centrifugal process', 'cells stain', 'antennal epithelium']</t>
  </si>
  <si>
    <t>In early embryogenesis between 20 and 30 cells migrate out of the antennal epithelium and border the lumen of the antenna at various intervals in two rows. These cells stain with the neuron-specific antibody Œ±-HRP. From the most distal neuron of each row one centripetal neurite proceeds in close apposition to the epithelium and each of the more proximal neurons sends out a centrifugal process. The luminal neurons possess filopodia, which lie in invaginations of epidermal and sensory cells as well as other luminal neurons. In contrast to the sensory cells they lack ciliary structures and envelope cells. Their wide ER-lacunae, large golgi fields, and many droplet-like inclusions point to a very high metabolic activity. Tracer experiments reveal the formation of endocytotic-coated vesicles. These are especially frequent where filopodia of other cells are in close proximity. The filopodia often display membrane thickenings at their tips where they are close to other cells. We assume that these membrane thickenings and the coated vesicles are involved in the recognition of target cues and initiation of contacts between luminal neurons and epithelial cells. The presence of electrical activity before the neurites of the luminal neurons have reached the CNS suggests the possibility of its local effects. We discuss it therefore as one conceivable basic mechanism in pioneering the neurons into the CNS and in guiding the receptor cell axons. ¬© 1987.</t>
  </si>
  <si>
    <t>363-372</t>
  </si>
  <si>
    <t>Developmental Biology</t>
  </si>
  <si>
    <t>60030807;60030807</t>
  </si>
  <si>
    <t>7004946288;6504101359</t>
  </si>
  <si>
    <t>Selzer, Roland;Schaller-Selzer, Linde</t>
  </si>
  <si>
    <t>Regensburg</t>
  </si>
  <si>
    <t>Universit√§t Regensburg</t>
  </si>
  <si>
    <t>Selzer R.</t>
  </si>
  <si>
    <t>Structure and function of luminal neurons in the early embryonic antenna of the American cockroach, Periplaneta americana</t>
  </si>
  <si>
    <t>10.1016/0012-1606(87)90301-0</t>
  </si>
  <si>
    <t>2-s2.0-38249033352</t>
  </si>
  <si>
    <t>['¬© 1987', 'turbulence structures', 'turbulence layers', 'turbulence bursts', 'significant correlation', 'propagation velocity', 'primary kelvin', 'periods similar', 'mean wind', 'helmholtz instabilities', 'closely related', '85 km']</t>
  </si>
  <si>
    <t>In the high latitude wintertime mesosphere VHF radar measurements usually reveal several turbulence layers at heights between 65 and 85 km which are closely related to strong vertical wind shear. The turbulence layers are superposed by turbulence bursts, which often form sequences with periods similar to those of simultaneously observed velocity oscillations. The horizontal propagation velocity of the resulting turbulence structures can be obtained by cross-correlating the signal power time series measured at three antenna beam positions. A statistical study using a total of 71 events shows that there is a significant correlation between the propagation velocity of turbulence structures and the mean wind, being consistent with the assumption that turbulence is advected by large scale motions. It is suggested that the observed turbulence bursts are due to secondary static instabilities, which for their part are generated by primary Kelvin-Helmholtz instabilities in regions of strong wind shear. ¬© 1987.</t>
  </si>
  <si>
    <t>743-750</t>
  </si>
  <si>
    <t>July 1987/August 1987</t>
  </si>
  <si>
    <t>60017695;60017695</t>
  </si>
  <si>
    <t>6603934466;56614264100</t>
  </si>
  <si>
    <t>R√ºster, R.;Klostermeyer, J.</t>
  </si>
  <si>
    <t>Gottingen</t>
  </si>
  <si>
    <t>Max Planck Institute for Solar System Research</t>
  </si>
  <si>
    <t>R√ºster R.</t>
  </si>
  <si>
    <t>Propagation of turbulence structures detected by VHF radar</t>
  </si>
  <si>
    <t>002191698790016X</t>
  </si>
  <si>
    <t>10.1016/0021-9169(87)90016-X</t>
  </si>
  <si>
    <t>2-s2.0-38249034311</t>
  </si>
  <si>
    <t>['¬© 1987', 'video camera', 'three phases', 'stimulated antenna', 'retraction phases', 'recording extracellularly', 'proboscis movements', 'one relationship', 'muscle potentials', 'muscle ipsilateral', 'motor programme', 'less synchronized', 'gradually shortened', 'extension reflex', 'extension phase', 'decreased number', 'conditioned stimulus', 'classical conditioning', 'activated first']</t>
  </si>
  <si>
    <t>Honeybee | motor programme | odour conditioning | proboscis reflex</t>
  </si>
  <si>
    <t>The proboscis-extension reflex of the honeybee, which is subject to classical conditioning was examined by monitoring the proboscis movements with a video camera and recording extracellularly from the muscle which retracts the labium. 1. 1. The movements of the proboscis during feeding are divided into three phases: extension, repeated licking phases (licks) and retraction. 2. 2. Recordings from both symmetrically arranged muscles show a one to one relationship of muscle potentials during licks, but they are less synchronized during the extension phase, where the muscle ipsilateral to the stimulated antenna is activated first. 3. 3. In an odour conditioning paradigm, the latency between the onset of the conditioned stimulus and the conditioned response shortens with acquisition and lengthens with extinction. 4. 4. During extinction, the motor programme is gradually shortened by means of a decreased number of licks between the extension and retraction phases. ¬© 1987.</t>
  </si>
  <si>
    <t>Rehder, Vincent</t>
  </si>
  <si>
    <t>Freie Universit√§t Berlin</t>
  </si>
  <si>
    <t>Rehder V.</t>
  </si>
  <si>
    <t>Quantification of the honeybee's proboscis reflex by electromyographic recordings</t>
  </si>
  <si>
    <t>10.1016/0022-1910(87)90115-6</t>
  </si>
  <si>
    <t>2-s2.0-38249036000</t>
  </si>
  <si>
    <t>['¬© 1987', 'walled sensilla', 'tubule system', 'trichoid sensilla', 'sensillar types', 'sense organs', 'olfactory function', 'multiporous receptors', 'grooved sensilla', 'four types', 'cuticular wall', 'clearly visible', 'clavate sensilla', 'ceratitis capitata', 'apical region']</t>
  </si>
  <si>
    <t>antenna | dipterous | Olfactory | sensilla | ultrastructure</t>
  </si>
  <si>
    <t>The number, distribution, and morphology of the sensilla on the 3rd antennal segment of Ceratitis capitata (Diptera : Tephritidae) were studied with scanning and transmission electron microscopy. Four types of sense organs were identified: basiconic (subtypes I, II and III), clavate, trichoid, and grooved sensilla. Basiconic, clavate, and trichoid sensilla conform to the single-walled, multiporous receptors, having a pore-tubule system. The basiconic and clavate sensilla are thin-walled and their cuticle is penetrated by many small pores uniformly distributed over the surface. The trichoid sensilla are clearly visible in the apical region of the hair. An olfactory function has been proposed for these sensillar types. The grooved sensilla conform to the double-walled sensilla with spokechannels, which extend through the cuticular wall. An olfactory function has also been suggested for this sensillum. ¬© 1987.</t>
  </si>
  <si>
    <t>131-141</t>
  </si>
  <si>
    <t>60019702;60019702;60019702;60019702</t>
  </si>
  <si>
    <t>24425040100;35336218800;24427708200;36956922600</t>
  </si>
  <si>
    <t>Mayo, I.;Anderson, M.;Burguete, J.;Chillida, E. M.Robles</t>
  </si>
  <si>
    <t>Birmingham</t>
  </si>
  <si>
    <t>University of Birmingham</t>
  </si>
  <si>
    <t>Mayo I.</t>
  </si>
  <si>
    <t>Structure of superficial chemoreceptive sensilla on the third antennal segment of Ceratitis capitata (Wiedemann) (Diptera : Tephritidae)</t>
  </si>
  <si>
    <t>0020-7322(87)90013-4</t>
  </si>
  <si>
    <t>10.1016/0020-7322(87)90013-4</t>
  </si>
  <si>
    <t>2-s2.0-38249037929</t>
  </si>
  <si>
    <t>['¬© 1987', 'ventral surface', 'two types', 'telenomus reynoldsi', 'sensilla styloconica', 'sensilla basiconica', 'present dorsally', 'possible function', 'male antennae', 'less abundant', 'host recognition', 'female antennae', 'behavioral observations']</t>
  </si>
  <si>
    <t>Multiporous grooved sensilla | scanning electron microscope | sensilla basiconica | sensilla chaetica | sensilla styloconica | sensilla trichodea | sensilla trichodea curvata | sex gland</t>
  </si>
  <si>
    <t>Sensilla on the antennae of both sexes of Telenomus reynoldsi (Hymenoptera : Scelionidae) were studied with the scanning electron microscope to determine their structure and possible function in mating and host recognition. Two types of setiform sensilla occur: curved, grooved sensilla trichodea and erect, stout sensilla chaetica. Horn-like sensilla trichodea curvata are abundant on the male antennae, but are less abundant and only present dorsally on the female. Sensilla basiconica are unique to the ventral surface of the apical 4 segments of the female antennae. Sensilla styloconica are located on A4 and A10 of the female and A7 and A9 of the male. Multiporous grooved sensilla are present on A4, A6, and A11 of the female and A4 and A6-A11 of the male. A possible sex gland is located on the venter of A5 of the male. The functions of sensilla trichodea curvata and sensilla basiconica in courtship and host recognition, respectively, are hypothesized by correlation with behavioral observations. ¬© 1987.</t>
  </si>
  <si>
    <t>27-39</t>
  </si>
  <si>
    <t>60023694;60023694</t>
  </si>
  <si>
    <t>7006681446;7003785185</t>
  </si>
  <si>
    <t>Cave, Ronald D.;Gaylor, Michael J.</t>
  </si>
  <si>
    <t>Auburn</t>
  </si>
  <si>
    <t>Alabama Agricultural Experiment Station</t>
  </si>
  <si>
    <t>Cave R.</t>
  </si>
  <si>
    <t>Antennal sensilla of male and female Telenomus reynoldsi gordh and coker (Hymenoptera : Scelionidae)</t>
  </si>
  <si>
    <t>0020-7322(87)90054-7</t>
  </si>
  <si>
    <t>10.1016/0020-7322(87)90054-7</t>
  </si>
  <si>
    <t>2-s2.0-38249038439</t>
  </si>
  <si>
    <t>['¬© 1987', 'transfer theory', 'surface distances', 'rough boundary', 'previous observations', 'perturbative solutions', 'obtained previously', 'numerical results', 'maxwells equations', 'latter theory', 'large molecule', 'flat surfaces', 'flat surface', 'dynamical theory', 'decay rates']</t>
  </si>
  <si>
    <t>The problem of the decay rates for molecules at rough metallic surfaces is considered, where the classical electromagnetic energy-transfer theory of Chance, Prock, and Silbey for a flat surface is generalized to the case of a rough boundary. A dynamical theory is constructed through the combination of the Sommerfeld antenna theory and the integral equation formalism of Maxwells equations at rough boundaries established mainly by Maradudin, Mills, and Agarwal. Perturbative solutions are obtained and numerical results are given with reference to a shallow sinusoidal grating surface. The results, when compared with those obtained previously from the application of the image field theory, show that this latter theory can be very inaccurate for cases involving highly conducting substrates or large molecule-surface distances, consistent with previous observations for the case of flat surfaces. ¬© 1987 The American Physical Society.</t>
  </si>
  <si>
    <t>4664-4671</t>
  </si>
  <si>
    <t>Physical Review B</t>
  </si>
  <si>
    <t>Energy-transfer theory for the classical decay rates of molecules at rough metallic surfaces</t>
  </si>
  <si>
    <t>10.1103/PhysRevB.36.4664</t>
  </si>
  <si>
    <t>2-s2.0-4243392538</t>
  </si>
  <si>
    <t>['¬© 1987', 'wave absorption', 'optimum excitation', 'optimize heating', 'minimize scattering', '5h layer']</t>
  </si>
  <si>
    <t>Excitation, propagation, and absorption of directly launched ion Bernstein waves were studied with CO2 laser scattering in the Alcator C tokamak. Optimum excitation is obtained when an ion-cyclotron harmonic layer is located just behind the antenna. Wave absorption at the =3D=1.5H layer was observed. 3 It may be necessary to control the edge density fluctuation level in order to minimize scattering of the ion Bernstein waves and optimize heating. ¬© 1987 The American Physical Society.</t>
  </si>
  <si>
    <t>1201-1204</t>
  </si>
  <si>
    <t>60022195;60022195;60022195;60022195;60022195;60022195</t>
  </si>
  <si>
    <t>7102555668;57220674309;7101727595;22968084800;7006050699;7102094477</t>
  </si>
  <si>
    <t>Takase, Y.;Moody, J. D.;Fiore, C. L.;McDermott, F. S.;Porkolab, M.;Squire, J.</t>
  </si>
  <si>
    <t>Takase Y.</t>
  </si>
  <si>
    <t>Study of directly launched ion Bernstein waves in a tokamak</t>
  </si>
  <si>
    <t>10.1103/PhysRevLett.59.1201</t>
  </si>
  <si>
    <t>2-s2.0-4243984739</t>
  </si>
  <si>
    <t>Ecological Society of America</t>
  </si>
  <si>
    <t>6001/841N1iB1</t>
  </si>
  <si>
    <t>['¬© 1987', 'wide range', 'universal adoption', 'topographic surfaces', 'space instruments', 'sometimes impossible', 'scientific capabilities', 'scanning beam', 'previous limitations', 'operation limits', 'limited mode', 'inland water', 'considerable potential', '1 /.']</t>
  </si>
  <si>
    <t>Satellite radar altimeters have demonstrated a wide range of scientific capabilities over oceans and ice, and have considerable potential over land and inland water /1/. However, the universal adoption of the single-beam, pulse-limited mode of operation limits the spatial and temporal sampling achievable, and makes the generation of surface elevation maps critically dependent on the accuracy of the satellite orbit reconstruction. Also, over topographic surfaces, the data can be difficult, sometimes impossible, to interpret. With the advent of the Columbus polar platform, previous limitations on the size and complexity of space instruments will not apply. We consider what types of swath altimeter might take advantage of this possibility and conclude that both multi-feed, large antenna instruments and an interferometric design could provide valuable advances. Ultimately, a scanning beam, phased array instrument could provide full global coverage with high spatial resolution. ¬© 1987.</t>
  </si>
  <si>
    <t>319-322</t>
  </si>
  <si>
    <t>Advances in Space Research</t>
  </si>
  <si>
    <t>60084281;60022148</t>
  </si>
  <si>
    <t>7004227090;7202821654</t>
  </si>
  <si>
    <t>Rapley, C. G.;Griffiths, H. D.</t>
  </si>
  <si>
    <t>Holmbury St. Mary;London</t>
  </si>
  <si>
    <t>UCL Mullard Space Science Laboratory;University College London</t>
  </si>
  <si>
    <t>Rapley C.G.</t>
  </si>
  <si>
    <t>Swath altimetry of oceans and terrain</t>
  </si>
  <si>
    <t>10.1016/0273-1177(87)90333-4</t>
  </si>
  <si>
    <t>2-s2.0-45949121240</t>
  </si>
  <si>
    <t>['¬© 1987', 'shuttle sensors', 'several low', 'propagation medium', 'power density', 'polarisation investigations', 'perform investigations', 'mission frequency', 'measure independently', 'known rcss', 'institutions intend', 'ground passive', 'general description', 'first sir', 'experiment allows', 'cost receivers', 'concepts lacks', 'calibration concepts', 'c mission', 'band frequencies', 'backscattered power', 'b reflight', 'b mission', 'admit comparison', 'adequate treatment']</t>
  </si>
  <si>
    <t>A general description of meaning and goals of calibration procedures concerning SAR measurements is followed by an overview on calibration concepts of some realized and planned spaceborne SAR missions. By studying these concepts lacks have been found with respect to an adequate treatment of the propagation medium and the in-flight antenna pattern measurement. Attempts to measure the in-flight antenna pattern in the L-band have been made by DFVLR and the University of Stuttgart in connection with the first SIR-B mission. Within the framework of SIR-B reflight and X-SAR/SIR-C mission, these institutions intend to perform investigations in the mentioned problem areas by calibrated on-ground receiver arrays covering the X-, C- and L-band mission frequencies placed adequately within the selected test site. For each mission frequency, the array comprises one high quality receiver and several low-cost receivers. Furthermore, there is a need of on-board sensor stability control, transmit power measurement and on-ground passive or active reference targets with known RCSs. Such an experiment allows to measure independently the power density by means of test site receivers and the backscattered power of the reference targets received by the Shuttle sensors. Both measured quantities combined result in the separation of the actual antenna gains respective patterns and the transmission medium losses and admit comparison of these losses between X-, C- and L-band frequencies. Under ground located low-cost receivers are useful to measure the penetration depth especially in snow and ice covered regions. Additionally, polarisation investigations are informative with respect to propagation medium and earth surface properties. ¬© 1987.</t>
  </si>
  <si>
    <t>259-268</t>
  </si>
  <si>
    <t>60015815;;60007798;60007798</t>
  </si>
  <si>
    <t>7004349064;6602662661;7003599554;6603735667</t>
  </si>
  <si>
    <t>Hartl, Ph;Heel, F.;Keydel, W.;Kietzmann, H.</t>
  </si>
  <si>
    <t>Germany;Germany</t>
  </si>
  <si>
    <t>Stuttgart;¬†Cologne</t>
  </si>
  <si>
    <t>Universit√§t Stuttgart;Deutsches Zentrum fur Luft- Und Raumfahrt</t>
  </si>
  <si>
    <t>60015815;60007798</t>
  </si>
  <si>
    <t>Hartl P.</t>
  </si>
  <si>
    <t>Radar calibration techniques including propagation effects</t>
  </si>
  <si>
    <t>027311778790322X</t>
  </si>
  <si>
    <t>10.1016/0273-1177(87)90322-X</t>
  </si>
  <si>
    <t>2-s2.0-45949123769</t>
  </si>
  <si>
    <t>['¬© 1987', 'wavelengths typically', 'tracked smoothly', 'sinusoidal fluctuations', 'sensed passively', 'range 30', 'radio interferometry', 'march 1973', 'local times', 'january 1971', 'ionospheric refraction', 'ionospheric irregularities', 'interpretation lead', 'apparent positions', 'apparent position', '60 km', '1295 mhz']</t>
  </si>
  <si>
    <t>From January 1971 to March 1973 the Millstone Hill L-band satellite tracking radar was employed in a study of ionospheric refraction. Satellites of the Navy Navigation Satellite System (NNSS) were tracked smoothly by radar at 1295 MHz. Simultaneously, the apparent position of the satellite was sensed passively by receiving (on the same antenna) the UHF beacon signals. After taking into account ionospheric refraction effects, quasi-sinusoidal fluctuations were observed in the apparent positions of satellites. The investigators, Evans and Wand, interpreted these fluctuations as traveling ionospheric disturbances. These waves should have wavelengths typically in the range 30-60 km. They were seen at low elevations equally frequently at all local times and seasons. However, it turns out that these traveling ionospheric disturbances were not observed by differential Doppler measurements of the same satellites and by radio interferometry. Reconsideration of these observations and their interpretation lead to the suggestion that these fluctuations do not result from ionospheric irregularities but are due to multipath propagation effects. ¬© 1987.</t>
  </si>
  <si>
    <t>99-103</t>
  </si>
  <si>
    <t>60031855;60025529;60000203</t>
  </si>
  <si>
    <t>7005133442;6602472964;7003450096</t>
  </si>
  <si>
    <t>Sukumar, S.;Spoelstra, T. A.Th;Kelder, H.</t>
  </si>
  <si>
    <t>India;Netherlands;Netherlands</t>
  </si>
  <si>
    <t>Mumbai;Dwingeloo;De Bilt</t>
  </si>
  <si>
    <t>Tata Institute of Fundamental Research, Mumbai;Netherlands Foundation for Research in Astronomy;Royal Netherlands Meteorological Institute</t>
  </si>
  <si>
    <t>Sukumar S.</t>
  </si>
  <si>
    <t>Multipath effects in UHF angle-of-arrival measurements</t>
  </si>
  <si>
    <t>10.1016/0021-9169(87)90086-9</t>
  </si>
  <si>
    <t>2-s2.0-45949125242</t>
  </si>
  <si>
    <t>ATM-8319487</t>
  </si>
  <si>
    <t>['¬© 1987', 'specifying f', 'significantly affected', 'resulting amplitude', 'numerical simulations', 'current inadequacies', 'certain discrepancies', 'arecibo observatory']</t>
  </si>
  <si>
    <t>Neutral exospheric temperatures at 53¬∞, 43¬∞ and 33¬∞ latitude from Millstone Hill steerable-antenna Thomson scatter measurements, and at 19¬∞ latitude from the Arecibo Observatory, obtained during three Thermosphere Mapping Study (TMS) coordinated campaign intervals during 1984 and 1985, are analyzed for diurnal and semidiurnal tidal components. The resulting amplitude and phase latitudinal structures are compared with numerical simulations. The observed semidiurnal tidal components are thought to be significantly affected by tidal waves propagating upwards from below the thermosphere during these solar minimum periods. We speculate that current inadequacies in specifying F-region plasma densities and mean zonal winds at lower altitudes within the simulation model may account for certain discrepancies between observations and theory. ¬© 1987.</t>
  </si>
  <si>
    <t>277-283</t>
  </si>
  <si>
    <t>60019674;60015009;60025778;106456794</t>
  </si>
  <si>
    <t>34770572800;57203071710;24346601400;6603960263</t>
  </si>
  <si>
    <t>Forbes, J. M.;Oliver, W. L.;Burnside, R. G.;Tepley, C. A.</t>
  </si>
  <si>
    <t>United States;United States;United States;United States</t>
  </si>
  <si>
    <t>Ann Arbor;Boston;Westford;Arecibo</t>
  </si>
  <si>
    <t>University of Michigan, Ann Arbor;Boston University;MIT Haystack Observatory;National Astronomy and Ionosphere Center</t>
  </si>
  <si>
    <t>60025778;60019674;60015009;106456794</t>
  </si>
  <si>
    <t>Forbes J.</t>
  </si>
  <si>
    <t>Thermospheric tides during thermosphere mapping study periods</t>
  </si>
  <si>
    <t>10.1016/0273-1177(87)90101-3</t>
  </si>
  <si>
    <t>2-s2.0-45949125822</t>
  </si>
  <si>
    <t>['¬© 1987', 'way around', 'venus winds', 'vega mission', 'principal characteristics', 'june 1985', 'based network', 'balloon traveled', '30 percent']</t>
  </si>
  <si>
    <t>In June 1985, two instrumented balloons were placed in the atmosphere of Venus as part of the VEGA mission. Each balloon traveled about 30 percent of the way around the planet at a float altitude near 54 kilometers. In situ sensors measured pressure, temperature, vertical wind velocity, cloud particle backscatter, ambient light level, and frequency of lightning. A ground-based network of 20 radio antennas tracked the balloons by very long baseline interferometry (VLBI) techniques to monitor the Venus winds. The history, organization, and principal characteristics of this international balloon experiment are described. ¬© 1987.</t>
  </si>
  <si>
    <t>295-298</t>
  </si>
  <si>
    <t>Blamont, J. E.</t>
  </si>
  <si>
    <t>Guyancourt</t>
  </si>
  <si>
    <t>Laboratoire Atmosph√®res, Milieux, Observations Spatiales</t>
  </si>
  <si>
    <t>Blamont J.E.</t>
  </si>
  <si>
    <t>The VEGA Venus balloon experiment</t>
  </si>
  <si>
    <t>027311778790233X</t>
  </si>
  <si>
    <t>10.1016/0273-1177(87)90233-X</t>
  </si>
  <si>
    <t>2-s2.0-45949127689</t>
  </si>
  <si>
    <t>IEEE Antennas and Propagation Society Newsletter</t>
  </si>
  <si>
    <t>Rahmat-Samii, Y.</t>
  </si>
  <si>
    <t>Microwave Holographic Metrology for Antenna Diagnosis</t>
  </si>
  <si>
    <t>10.1109/MAP.1987.27915</t>
  </si>
  <si>
    <t>2-s2.0-48349105367</t>
  </si>
  <si>
    <t>['wave antenna', 'various sensors', 'sidereal periodicities', 'present results', 'hourly averages', 'geophysical quantities', 'geograv experiment', 'amplitude pulses', '18 months']</t>
  </si>
  <si>
    <t>Astronomical observations (listed by technique of observation) | Experimental tests of general relativity and observations of gravitational radiation</t>
  </si>
  <si>
    <t>We report on the analysis of 18 months of data of the GEOGRAV experiment: a room temperature gravitational-wave antenna equipped with various sensors of geophysical quantities (accelerometer, gravimeter and electrical antenna). We present results on the search for sidereal periodicities in the background of the gravitational-wave antenna as regards both hourly averages and large-amplitude pulses. ¬© 1987 Societ√† Italiana di Fisica.</t>
  </si>
  <si>
    <t>Il Nuovo Cimento C</t>
  </si>
  <si>
    <t>60032350;60032350;60032350</t>
  </si>
  <si>
    <t>25649375000;23021341900;7004243218</t>
  </si>
  <si>
    <t>Frasca, S.;Gabellieri, M.;Pallottino, G. V.</t>
  </si>
  <si>
    <t>Rome</t>
  </si>
  <si>
    <t>Sapienza Universit√† di Roma</t>
  </si>
  <si>
    <t>Frasca S.</t>
  </si>
  <si>
    <t>Analysis of 18 months of data of the GEOGRAV experiment</t>
  </si>
  <si>
    <t>10.1007/BF02508693</t>
  </si>
  <si>
    <t>2-s2.0-51649150208</t>
  </si>
  <si>
    <t>['lin changlu', 'high gain', 'experimental verification', 'experimental results', 'broad bandwidth', 'backfire antenna', 'antenna design', '1982 ),']</t>
  </si>
  <si>
    <t>In this paper, the experimental results of the backfire antenna with high gain and broad bandwidth are presented. The antenna design is based on the theory of backfire antenna shown in Lin Changlu and the auther's paper (1982), and what is presented here may be considered as an experimental verification of it. ¬© 1987 Science Press.</t>
  </si>
  <si>
    <t>69-72</t>
  </si>
  <si>
    <t>Journal of Electronics (China)</t>
  </si>
  <si>
    <t>Ximing, Song</t>
  </si>
  <si>
    <t>Ximing S.</t>
  </si>
  <si>
    <t>Research on high-gain and broad-band backfire antenna</t>
  </si>
  <si>
    <t>10.1007/BF02893133</t>
  </si>
  <si>
    <t>2-s2.0-51849182530</t>
  </si>
  <si>
    <t>['theoretical analysis', 'spiral feed', 'results show', 'remote sensing', 'mode archimedes', 'measured ones']</t>
  </si>
  <si>
    <t>In this paper, an introduction of the auto-tracking parabolic sensing antenna with dual-mode archimedes-spiral feed is given. Theoretical analysis, calculation and experiment have also been made. The theoretical values tally with the measured ones. The results show that this antenna is suitable for remote sensing. ¬© 1987 Science Press.</t>
  </si>
  <si>
    <t>62-68</t>
  </si>
  <si>
    <t>106239671;106239671;106239671</t>
  </si>
  <si>
    <t>24828796400;24827825300;6505632598</t>
  </si>
  <si>
    <t>wanpu, Zhou;Guoying, Wang;Rirong, Zhang</t>
  </si>
  <si>
    <t>Shijiazhuang Communications Laboratories</t>
  </si>
  <si>
    <t>wanpu Z.</t>
  </si>
  <si>
    <t>An auto-tracking parabolic sensing antenna with dual-mode archimedes-spiral feed</t>
  </si>
  <si>
    <t>10.1007/BF02893132</t>
  </si>
  <si>
    <t>2-s2.0-51849184167</t>
  </si>
  <si>
    <t>['therefore eirp', 'soon shrink', 'satellite eirp', 'orbital spacing', 'link availability', 'interference situations', 'increased considerably', 'electronics engineers', 'c band', 'antenna size']</t>
  </si>
  <si>
    <t>At this point in time, with the advent of high powered Ku band direct broadcast satellites (DBSs) and the ever increasing requirement for TV via satellite, it is safe to say that satellite rooftop receiving antennas will soon shrink in size. This will be true for DBS systems operating in the Ku DBS band, since Ku band EIRP has been increased considerably over C band EIRP. It will not necessarily be true for Ku band satellite systems operating in the broadcast satellite service band, where maximum power flux density, and therefore EIRP, is limited. This article investigates Ku band television receive-only (TVRO) antenna size as a function of satellite EIRP, link availability, and adjacent satellite interference for Ku band operation in the limited EIRP broadcasting satellite service band and for 2¬∞ orbit spacing. The Ku band antenna size for various EIRP levels, fading, and interference situations is compared to comparable antenna size in C band under the same orbital spacing and link availability constraints. Copyright ¬© 1987 by The Institute of Electrical and Electronics Engineers, Inc.</t>
  </si>
  <si>
    <t>84-88</t>
  </si>
  <si>
    <t>7004942669;7003551977</t>
  </si>
  <si>
    <t>Johannsen, Klaus;Mathur, Uday</t>
  </si>
  <si>
    <t>Tvro Antenna Size, Ku Band Versus C Band</t>
  </si>
  <si>
    <t>10.1109/TBC.1987.266635</t>
  </si>
  <si>
    <t>2-s2.0-58149160102</t>
  </si>
  <si>
    <t>['¬© 1987', 'stochastic acceleration', 'plasma ions', 'plasma boundary', 'ion motions', 'ion accelerations', 'induced fluorescence', 'first time']</t>
  </si>
  <si>
    <t>Stochastic acceleration of plasma ions is observed in the field of an intense electrostatic wave. Both electrostatic ion cyclotron and ion Bernstein waves are launched from antennas at the plasma boundary, and ion motions are observed by laser-induced fluorescence. The threshold for stochastic ion heating is observed for the first time. As anticipated, the ion distribution function changes rapidly above threshold (on a cyclotron-period time scale). Measurements of the wave electric field and the ion distribution function indicate that the ion Bernstein wave is responsible for the ion accelerations. ¬© 1987 The American Physical Society.</t>
  </si>
  <si>
    <t>1430-1433</t>
  </si>
  <si>
    <t>60028186;60028186;60028186</t>
  </si>
  <si>
    <t>7003454886;6603610489;57203065426</t>
  </si>
  <si>
    <t>Skiff, F.;Anderegg, F.;Tran, M. Q.</t>
  </si>
  <si>
    <t>Lausanne</t>
  </si>
  <si>
    <t>Swiss Federal Institute of Technology Lausanne</t>
  </si>
  <si>
    <t>Skiff F.</t>
  </si>
  <si>
    <t>Stochastic particle acceleration in an electrostatic wave</t>
  </si>
  <si>
    <t>10.1103/PhysRevLett.58.1430</t>
  </si>
  <si>
    <t>2-s2.0-6244308263</t>
  </si>
  <si>
    <t>['work developed', 'paper carries', 'indices p', 'great extent', 'field patterns', 'elliptical aperture', 'compute far', 'computational efficiency', '1979 ),']</t>
  </si>
  <si>
    <t>Based on the work developed by R. Mittra and others (1979), this paper carries on the Jacobi-Bessel series method to compute far-field patterns of a paraboloid reflector antenna with elliptical aperture by means of recursion of the series coefficients p B m n about indices p and m respectively and enhances the computational efficiency to a great extent. ¬© 1987 Science Press.</t>
  </si>
  <si>
    <t>Li, Yi</t>
  </si>
  <si>
    <t>China Academy of Space Technology</t>
  </si>
  <si>
    <t>Li Y.</t>
  </si>
  <si>
    <t>A further research on the Jacobi-Bessel series method in analysis of reflector antenna</t>
  </si>
  <si>
    <t>10.1007/BF02893126</t>
  </si>
  <si>
    <t>2-s2.0-6544246134</t>
  </si>
  <si>
    <t>['¬© 1987', 'waveguides used', 'waveguide conditioning', 'type equation', 'tokamak discharges', 'tokamak discharge', 'specific case', 'rights reserved', 'pumping step', 'pulsed localized', 'pressure measurements', 'plasma heating', 'pipe inlet', 'particular case', 'one end', 'distributed outgassings', 'dimensional model', 'current drive']</t>
  </si>
  <si>
    <t>Some aspects of the vacuum problems raised by present plasma physics experiments, i.e., lower hybrid heating and current drive in tokamak discharges, are considered. Short time scale transient phenomena, such as a few milliseconds long outgassing pulses in waveguides used as antennas for plasma heating, may be observed. In these conditions the pressure distribution effects in long pipes cannot be neglected. Then the use of a one-dimensional model for the pressure is required. In the molecular flow regime the pressure is found to be the solution of a heatconduction-type equation. Most usual vacuum problems may be solved by including appropriate boundary conditions. A few examples am developed by using the Laplace transform technique. The particular case of a pumping step at one end of a tube is presented as it applies to a tokamak discharge. While pumping at a pipe inlet, the pulsed localized and distributed outgassings in the pipe are examined. An application to the specific case of waveguide conditioning by short radio frequency power pulses is presented. The gas flow rate being released and its location are deduced from pressure measurements. ¬© 1987, American Vacuum Society. All rights reserved.</t>
  </si>
  <si>
    <t>2945-2953</t>
  </si>
  <si>
    <t>Journal of Vacuum Science and Technology A: Vacuum, Surfaces and Films</t>
  </si>
  <si>
    <t>Melin, G.</t>
  </si>
  <si>
    <t>Grenoble</t>
  </si>
  <si>
    <t>CEA Grenoble</t>
  </si>
  <si>
    <t>Melin G.</t>
  </si>
  <si>
    <t>Dynamic pumping and pulsed outgassing in waveguides and vacuum systems for plasma physics experiments</t>
  </si>
  <si>
    <t>10.1116/1.574270</t>
  </si>
  <si>
    <t>2-s2.0-70350747097</t>
  </si>
  <si>
    <t>['¬© 1987', 'transmitted power', 'rights reserved', 'physics teachers', 'fresnel theory', 'antenna areas', 'american association']</t>
  </si>
  <si>
    <t>ANTENNAS | FRAUNHOFER DIFFRACTION | POWER</t>
  </si>
  <si>
    <t>The famous Friis antenna formula relating received power to transmitted power, distance between antennas, wavelength, and antenna areas is derived in the Fraunhofer approximation utilizing the results of single-slit diffraction theory. Since the original exact formula was derived from Fresnel theory this Fraunhofer treatment improves its accessibility for undergraduates. ¬© 1987, American Association of Physics Teachers. All rights reserved.</t>
  </si>
  <si>
    <t>350-351</t>
  </si>
  <si>
    <t>American Journal of Physics</t>
  </si>
  <si>
    <t>Bush, R. T.</t>
  </si>
  <si>
    <t>Pomona</t>
  </si>
  <si>
    <t>Cal Poly Pomona</t>
  </si>
  <si>
    <t>Bush R.</t>
  </si>
  <si>
    <t>The antenna formula: An application of single-slit diffraction theory</t>
  </si>
  <si>
    <t>10.1119/1.15168</t>
  </si>
  <si>
    <t>2-s2.0-72449132916</t>
  </si>
  <si>
    <t>['various types', 'switching operations', 'farfield conditions', 'dipole antenna', 'analysis purposes']</t>
  </si>
  <si>
    <t>Transient electromagnetic fields are produced when breakers, disconnectors, and switches of various types are operated under varying load conditions. For analysis purposes, a discharge current pulse is assumed during switching operations, which can act as a dipole antenna. The transient electromagnetic fields of this antenna can be calculated for near- and FarField conditions. ¬© 1987 IEEE</t>
  </si>
  <si>
    <t>233-237</t>
  </si>
  <si>
    <t>60004881;60025858</t>
  </si>
  <si>
    <t>7004468429;7004245842</t>
  </si>
  <si>
    <t>Ari, N.;Blumer, W.</t>
  </si>
  <si>
    <t>Switzerland;Switzerland</t>
  </si>
  <si>
    <t>Zurich ZH,;Zurich</t>
  </si>
  <si>
    <t>ETH Zurich;ABB Group</t>
  </si>
  <si>
    <t>60025858;60004881</t>
  </si>
  <si>
    <t>Ari N.</t>
  </si>
  <si>
    <t>Transient Electromagnetic Fields Due to Switching Operations in Electric Power Systems</t>
  </si>
  <si>
    <t>10.1109/TEMC.1987.304373</t>
  </si>
  <si>
    <t>2-s2.0-77950187266</t>
  </si>
  <si>
    <t>['¬© 1987', 'vacuum vessel', 'rights reserved', 'regarding emissivity', 'radiation loss', 'plasma energy', 'physical society', 'ohmic plasma', 'making carbonization', 'main contribution', 'low level', 'ion temperature', 'impurity abundance', 'icrf antennae', 'fe impurity', 'faraday shield', 'core plasma', 'clearly supported', 'carbon limiters', 'bolometric measurements', '2 ).', '03 %)']</t>
  </si>
  <si>
    <t>Spectroscopic and bolometric measurements with spatial and temporal resolution show that large radiation loss brings about the decrease in electron and ion temperature and plasma energy. Regarding emissivity in a core plasma, the result by bolometric measurements well agrees with that estimated from impurity abundance and radiative cooling rates. Carbon limiters have an effect to suppress the radiation loss for Ohmic plasma, but is insufficient for ICRF heated plasma. The main contribution to radiation loss may be attributed to Fe impurity released from the ICRF antennae, the Faraday shield and vacuum vessel. By making carbonization, the Fe impurity is suppressed to a low level (nFe/ne~0.03%) and the radiation loss is reduced to Prad/ (POH+Prf)~20%. This clearly supported by the observation of Zeff (3.9‚ÜíM.2). ¬© 1987, THE PHYSICAL SOCIETY OF JAPAN. All rights reserved.</t>
  </si>
  <si>
    <t>535-543</t>
  </si>
  <si>
    <t>Journal of the Physical Society of Japan</t>
  </si>
  <si>
    <t>60000264;60000264;60000264;60000264;60000264;60000264;60000264;60000264;60000264;60000264;60011001</t>
  </si>
  <si>
    <t>55664722000;7004968569;7404051215;7102200764;7202781865;7003978354;56353825200;7004717562;7005809565;57082247600;57200786545</t>
  </si>
  <si>
    <t>Ogawa, Isamu;Kawahata, Kazuo;Ogawa, Yuichi;Watari, Tetsuo;Noda, Nobuaki;Masai, Kuniaki;Kako, Eiji;Tanahashi, Shyugo;Toi, Kazuo;Fujita, Junji;Noda, Nobuaki</t>
  </si>
  <si>
    <t>Kyoto;Nagoya</t>
  </si>
  <si>
    <t>Kyoto University;Nagoya University</t>
  </si>
  <si>
    <t>60011001;60000264</t>
  </si>
  <si>
    <t>Ogawa I.</t>
  </si>
  <si>
    <t>Radiation Loss and Impurity Abundance during ICRF Heating in the JIPP T-IIU Tokamak</t>
  </si>
  <si>
    <t>10.1143/JPSJ.56.535</t>
  </si>
  <si>
    <t>2-s2.0-77952983013</t>
  </si>
  <si>
    <t>DRXRO-CB-14447-L</t>
  </si>
  <si>
    <t>['¬© 1987', 'variable expression', 'tarsal segments', 'tarsal combs', 'proximal segments', 'primarily modifies', 'male resulting', 'longer lasting', 'inconstant fashion', 'good viability', 'genes affecting', 'effect proceeds', 'dch gene', 'dch ),', 'basipetal direction', 'autosomal dominant', 'antennae causing', 'antenna provide']</t>
  </si>
  <si>
    <t>Dachs (Dch), an autosomal dominant with variable expression, good viability and no recessive lethal effects, primarily modifies the antennae causing the fusion of segments of the club and/or the funicle. The effect of the Dch gene is longer lasting during the development of the male resulting in fusions of more proximal segments of the funicle than in the female. Secondarlly, Dch also causes a fusion of the tarsal segments and a reduction of the tibia, or a fusion of the tibia with the fused tarsal segments. Dch also may cause a duplication of the sex-spot on the femur. The effect of Dch on the sex-spot in Tribolium is analogous and not homologous to the effect of engralled on the tarsal combs of Drosophila. The distribution of fusions of the antenna provide further support to the hypothesis that genes affecting the antennae begin distally and the effect proceeds in a constant or inconstant fashion in a basipetal direction. ¬© 1987, American Genetic Association.</t>
  </si>
  <si>
    <t>January/February 1987</t>
  </si>
  <si>
    <t>60000248;106567934</t>
  </si>
  <si>
    <t>7003791600;16476129400</t>
  </si>
  <si>
    <t>Sokoloff, Alexander;Faustini, Daryl</t>
  </si>
  <si>
    <t>San Bernardino;Richmond</t>
  </si>
  <si>
    <t>California State University, San Bernardino;Philip Morris</t>
  </si>
  <si>
    <t>Sokoloff A.</t>
  </si>
  <si>
    <t>Dachs, a mutant in Tribolium with effects analogous to engrailed in Drosophila</t>
  </si>
  <si>
    <t>10.1093/oxfordjournals.jhered.a110299</t>
  </si>
  <si>
    <t>2-s2.0-77957207888</t>
  </si>
  <si>
    <t>['tm sensor', 'september 27', 'progressive infilling', 'pixel size', 'photographically enlarging', 'month period', 'island chain', 'inlet dynamics', 'infrequent intervals', 'inaccessible areas', 'frequency processes', 'aerial photography', '20 000']</t>
  </si>
  <si>
    <t>During the early morning hours of September 27, 1985, Hurricane Gloria crossed the North Carolina coast near Cape Hatteras, opening several new inlets on the Outer Banks barrier-island chain. Landsat thematic mapper (TM) imagery was used to watch the closure of one of the breaches, Old Drum Inlet, and to test the applicability of the TM sensor to small-scale, high-frequency processes such as inlet dynamics. By photographically enlarging the 1:1000 000 film negatives to a scale of 1:20 000, we were able to map the progressive infilling of Old Drum Inlet over a four-month period. Good spatial resolution (30-m pixel size) and a 16-day repetition rate are features that make the TM sensor particularly useful in inaccessible areas where aerial photography is acquired at irregular and infrequent intervals. ¬© 1987 Geological Society of America.</t>
  </si>
  <si>
    <t>849-852</t>
  </si>
  <si>
    <t>Geology</t>
  </si>
  <si>
    <t>60025111;60025111</t>
  </si>
  <si>
    <t>7403357176;56047058000</t>
  </si>
  <si>
    <t>Wells, J. T.;Camp, J. E.</t>
  </si>
  <si>
    <t>Chapel Hill</t>
  </si>
  <si>
    <t>The University of North Carolina at Chapel Hill</t>
  </si>
  <si>
    <t>Wells J.T.</t>
  </si>
  <si>
    <t>Application of Landsat thematic mapper to inlet dynamics, Old Drum Inlet, North Carolina</t>
  </si>
  <si>
    <t>10.1130/0091-7613(1987)15&lt;849:AOLTMT&gt;2.0.CO;2</t>
  </si>
  <si>
    <t>2-s2.0-84872957696</t>
  </si>
  <si>
    <t>['¬© 1987', 'various forms', 'specified curve', 'sidelobes fits', 'rights reserved', 'phase shading', 'permit study', 'numerical calculations', 'low enough', 'linear arrays', 'directivity functions', 'directivity function', 'control function', 'calculations show', 'amplitude shading', 'acoustical society']</t>
  </si>
  <si>
    <t>A completely new synthesis method, called the successive approximation method, is developed in this article. By introducing a control function and using a step-by-step approach program, various directivity functions can be obtained in which the envelope of the peaks of the sidelobes fits with a specified curve, with equisidelobe directivity functions, and with the directivity functions corresponding to the maximum directivity factor for specified sidelobe levels. This method is applicable for various forms of arrays and can be used with amplitude shading, phase shading, and unequally spaced arrays. Numerical calculations have been made for linear arrays to permit study of the directivity functions with the maximum directivity factor for specified sidelobe levels. Then, these directivity functions are compared with equisidelobe directivity functions. Calculations show that, when specified sidelobe level is low enough, the directivity function with the maximum directivity factor is just the equisidelobe directivity function. ¬© 1987, Acoustical Society of America. All rights reserved.</t>
  </si>
  <si>
    <t>1692-1695</t>
  </si>
  <si>
    <t>NA</t>
  </si>
  <si>
    <t>Journal of the Acoustical Society of America</t>
  </si>
  <si>
    <t>Lan, Jun</t>
  </si>
  <si>
    <t>Institute of Acoustics Chinese Academy of Sciences</t>
  </si>
  <si>
    <t>Lan J.</t>
  </si>
  <si>
    <t>A new method of directivity synthesis</t>
  </si>
  <si>
    <t>10.1121/1.395160</t>
  </si>
  <si>
    <t>2-s2.0-84886258272</t>
  </si>
  <si>
    <t>Rautio, James C.</t>
  </si>
  <si>
    <t>Rautio J.</t>
  </si>
  <si>
    <t>Reflection Coefficient Analysis of the Effect of Ground on Antenna Patterns</t>
  </si>
  <si>
    <t>10.1109/MAP.1987.27894</t>
  </si>
  <si>
    <t>2-s2.0-84886619831</t>
  </si>
  <si>
    <t>['sclerocypris multiformis', 'new name', 'like organ', 'latter species', 'francis group', 'dorsal side', 'crustacea ostracoda', '1910 ).']</t>
  </si>
  <si>
    <t>Sclerocypris pardii n. sp. (Crustacea Ostracoda) is described from Somalia. Eucypris rothschildi Daday, 1910 is transferred to Sclerocypris, while Eucypris serratomarginata Kiss, 1960 is considered a juvenile of Sclerocypris multiformis (Kiss, 1960) and is placed in synonymy with the latter species. Sclerocypris sarsi nom. nov. is a new name for S. tuberculata (Sars, 1924) nee (Methuen, 1910). The known African species of Sclerocypris are listed and S. pardii is compared to all of them. A bladder-like organ on the dorsal side of the head, between the antennula and the antenna, is named the Muller-organ. ¬© 1987 Taylor &amp; Francis Group, LLC.</t>
  </si>
  <si>
    <t>59-72</t>
  </si>
  <si>
    <t>Monitore Zoologico Italiano, Supplemento</t>
  </si>
  <si>
    <t>Martens, Koen</t>
  </si>
  <si>
    <t>Ghent</t>
  </si>
  <si>
    <t>Universiteit Gent</t>
  </si>
  <si>
    <t>Martens K.</t>
  </si>
  <si>
    <t>Sclerocypris Pardii N. SP. (crustacea ostracoda) from Somalia</t>
  </si>
  <si>
    <t>10.1080/03749444.1987.10736721</t>
  </si>
  <si>
    <t>2-s2.0-84928119319</t>
  </si>
  <si>
    <t>['special functions', 'results calculated', 'recently introduced', 'problems involving', 'present form', 'plane interface', 'microstrip geometry', 'leffler expansion', 'image theory', 'given elsewhere', 'complete coincidence', 'asymptotic tests']</t>
  </si>
  <si>
    <t>Exact image theory, recently introduced for problems involving a plane interface between two homogeneous media, is extended for problems with microstrip geometry. The basic field problem for the horizontal surface current is solved in terms of an image current function, for which an explicit exact expansion in terms of special functions is developed. Asymptotic tests for the image theory are made and complete coincidence with results calculated with another theory applying Mittag-Leffler expansion, given elsewhere, is observed. In its present form, the theory is applicable to microstrip antenna analysis and design. ¬© 1987 VNU science press.</t>
  </si>
  <si>
    <t>95-108</t>
  </si>
  <si>
    <t>Journal of Electromagnetic Waves and Applications</t>
  </si>
  <si>
    <t>60103653;60103653;60103653</t>
  </si>
  <si>
    <t>7102492958;7004143659;6603076451</t>
  </si>
  <si>
    <t>Lindell, I. V.;Alanen, E.;Hujanen, A. T.</t>
  </si>
  <si>
    <t>Exact image theory for the analysis of microstrip structures</t>
  </si>
  <si>
    <t>10.1163/156939387X00117</t>
  </si>
  <si>
    <t>2-s2.0-84935053594</t>
  </si>
  <si>
    <t>['test apparatus', 'systematic studies', 'quantum theory', 'new w', 'mixer measurements', 'low noise', 'developments related', 'computer modeling', 'band mixers', 'array mixers', 'accurate measurements']</t>
  </si>
  <si>
    <t>A summary is presented of recent SIS quasipartiole heterodyne mixer work done at Berkeley. Developments related to millimeter wavelength waveguide mixers include techniques for accurate measurements of noise and gain, integrated RF matching elements for large instantaneous bandwidths, large scaled modeling experiments, new W-band mixers with wide tuning bandwidth and only one mechanical adjustment, observation of very large coupled gain, systematic studies of the properties of array mixers, analysis of the effect of saturation on mixer measurements, very low noise in mixers with high quality junctions, and computer modeling to test the quantum theory of mixing. Developments related to planar lithographed mixers with quasi-optical antennas include construction of test apparatus, large scale modeling, and the design and evaluation of mixers which use RF matching structures integrated with bow tie antennas. ¬© 1987 IEEE.</t>
  </si>
  <si>
    <t>1247-1253</t>
  </si>
  <si>
    <t>Richards P.L.</t>
  </si>
  <si>
    <t>Progress in the development of sis quasipartiole mixers</t>
  </si>
  <si>
    <t>10.1109/TMAG.1987.1065033</t>
  </si>
  <si>
    <t>2-s2.0-84939057069</t>
  </si>
  <si>
    <t>26-28</t>
  </si>
  <si>
    <t>Schrank, Hal</t>
  </si>
  <si>
    <t>Schrank H.</t>
  </si>
  <si>
    <t>Antenna Designer's Notebook</t>
  </si>
  <si>
    <t>10.1109/MAP.1987.27952</t>
  </si>
  <si>
    <t>2-s2.0-84941528375</t>
  </si>
  <si>
    <t>29-32</t>
  </si>
  <si>
    <t>Pittsburgh</t>
  </si>
  <si>
    <t>Westinghouse Electric Company</t>
  </si>
  <si>
    <t>10.1109/MAP.1987.27918</t>
  </si>
  <si>
    <t>2-s2.0-84942210884</t>
  </si>
  <si>
    <t>18-19</t>
  </si>
  <si>
    <t>10.1109/MAP.1987.27896</t>
  </si>
  <si>
    <t>2-s2.0-84942211417</t>
  </si>
  <si>
    <t>['traditional method', 'theoretical structure', 'spatial position', 'radar wavelength', 'radar prf', 'principal sidelobes', 'paper considers', 'orbital sargeometry', 'electronics engineers', 'digital image', 'clearly observed', 'band radars', 'b l', 'azimuth ambiguities']</t>
  </si>
  <si>
    <t>The traditional method of specifying and controlling azimuth ambiguities in SAR is through integrated energy balance measures. However, the most frequently observed azimuth ambiguities arise from ensembles of strong point reflectors in the principal sidelobes of the antenna, which in turn are aliased into the processed Doppler bandwidth by the radar PRF. This paper considers the dependence of these ambiguities on radar wavelength and PRF. It is shown that such ambiguous image elements are strengthened in proportion to Œª-2, and PRF-1. The theoretical structure is based on orbital SARgeometry, including Earth rotation. The work is applied to a SIR-B L-band radar scene in which azimuth ambiguities are clearly observed. The level and spatial position of these ambiguities are measured in the digital image. The results are extrapolated to higher frequency radars such as ERS-1 and Radarsat. It is concluded that for these C-band radars the point azimuth ambiguity restraint is more relevant (and more binding) than the traditional energy balance method. Copyright ¬© 1987 by The Institute of Electrical and Electronics Engineers, Inc.</t>
  </si>
  <si>
    <t>783-787</t>
  </si>
  <si>
    <t>Raney R.K.</t>
  </si>
  <si>
    <t>Reconsideration of Azimuth Ambiguities in SAR</t>
  </si>
  <si>
    <t>2-s2.0-84942211449</t>
  </si>
  <si>
    <t>10.1109/MAP.1987.27940</t>
  </si>
  <si>
    <t>2-s2.0-84942485105</t>
  </si>
  <si>
    <t>30-32</t>
  </si>
  <si>
    <t>10.1109/MAP.1987.27908</t>
  </si>
  <si>
    <t>2-s2.0-84942486565</t>
  </si>
  <si>
    <t>46-47</t>
  </si>
  <si>
    <t>Chatterjee, Rajeswari</t>
  </si>
  <si>
    <t>Letchworth</t>
  </si>
  <si>
    <t>Research Studies Press Ltd.</t>
  </si>
  <si>
    <t>Chatterjee R.</t>
  </si>
  <si>
    <t>Dielectric and Dielectric-Loaded Antennas</t>
  </si>
  <si>
    <t>10.1109/MAP.1987.27930</t>
  </si>
  <si>
    <t>2-s2.0-84942486632</t>
  </si>
  <si>
    <t>39-41</t>
  </si>
  <si>
    <t>10.1109/MAP.1987.27928</t>
  </si>
  <si>
    <t>2-s2.0-84942487209</t>
  </si>
  <si>
    <t>565-579</t>
  </si>
  <si>
    <t>Large D.J.</t>
  </si>
  <si>
    <t>Estimation of the impact of widespread installation of antenna selector switches on signal leakage from cable television systems</t>
  </si>
  <si>
    <t>2-s2.0-84948610071</t>
  </si>
  <si>
    <t>['¬© 1987', 'telemetric device', 'rights reserved', 'remote measurement', 'paper discusses', 'mechanical support', 'link antenna', 'freshwater lake', 'francis group', 'circuit details']</t>
  </si>
  <si>
    <t>This paper discusses the evolution of a telemetric device that enables the remote measurement of surface wave height on a freshwater lake. The basic instrumentation package uses an anchored, insulated metal probe as a capacitive sensor element to determine peak wave amplitudes up to 1 m; the probe also serves as the mechanical support for a lightweight UHF radio-link antenna. The principal system design considerations and circuit details of the baseband signal processing stages are included; representative test results are documented. ¬© 1987, Taylor &amp; Francis Group, LLC. All rights reserved.</t>
  </si>
  <si>
    <t>407-421</t>
  </si>
  <si>
    <t>Instrumentation Science &amp; Technology</t>
  </si>
  <si>
    <t>Evans, Noel E.</t>
  </si>
  <si>
    <t>Coleraine</t>
  </si>
  <si>
    <t>Ulster University</t>
  </si>
  <si>
    <t>Evans N.</t>
  </si>
  <si>
    <t>A water surface wave-height radio telemeter</t>
  </si>
  <si>
    <t>10.1080/10739148708543656</t>
  </si>
  <si>
    <t>2-s2.0-84948880138</t>
  </si>
  <si>
    <t>['problem formulated', 'natural frequencies', 'metallic post', 'francis group', 'differential equation']</t>
  </si>
  <si>
    <t>The natural frequencies are calculated for a metallic post with a lightning channel attached. Two different lightning channel models are discussed and the asymptotic antenna technique is employed to solve the problem formulated in terms of an integro-differential equation. The results are presented by way of figures and approximate analytic formulas. ¬© 1987 Taylor &amp; Francis Group, LLC.</t>
  </si>
  <si>
    <t>241-252</t>
  </si>
  <si>
    <t>100603480;100603480</t>
  </si>
  <si>
    <t>7403449886;7501506951</t>
  </si>
  <si>
    <t>Yang, F. C.;Lee, K. S.H.</t>
  </si>
  <si>
    <t>Santa Monica</t>
  </si>
  <si>
    <t>Kaman Science Corp</t>
  </si>
  <si>
    <t>Yang F.C.</t>
  </si>
  <si>
    <t>Natural frequencies of a post with a lightning return stroke</t>
  </si>
  <si>
    <t>10.1080/02726348708908184</t>
  </si>
  <si>
    <t>2-s2.0-84950440115</t>
  </si>
  <si>
    <t>['waves horizontally', 'wave propagation', 'wave polarization', 'torsatron devices', 'theoretical advantages', 'systematic picture', 'statistically treats', 'simple model', 'second harmonic', 'saddle point', 'resonant near', 'quite sensitive', 'quantitative calculations', 'qualitative results', 'qualitative agreement', 'power reflected', 'polarization control', 'performed using', 'pass absorption', 'oriented beam', 'optimally placed', 'magnetic field', 'high field', 'fundamental resonance', 'experimental constraints', 'equatorial plane', 'e torsatron', 'conventional stellarators', 'central plasma', 'b contours', 'antenna position', 'antenna placement', 'antenna orientation']</t>
  </si>
  <si>
    <t>The heating of torsatron devices by electron cyclotron waves has been investigated using ray tracing techniques. The geometry of the magnetic field and mod-B contours in torsatrons is very different from that found in tokamaks or in most conventional stellarators. The sensitivities of electron cyclotron heating to antenna position, antenna orientation, wave polarization and magnetic field strength are therefore correspondingly different. These sensitivities are identified and quantitative calculations of wave propagation, absorption and radial heating profiles are carried out to develop a systematic picture of heating in these devices. A simple model is introduced which statistically treats the effect of power reflected from the walls. Specific ray tracing calculations were performed using the RAYS geometrical optics code for the Advanced Toroidal Facility torsatron now under construction at Oak Ridge National Laboratory. Significant power absorption (up to 100% of incident wave power) can be obtained with an optimally placed and oriented beam. This is the case when the resonance is at the saddle point in the magnetic field. These results can be achieved through either ordinary mode waves at the fundamental resonance (high or low field launch) or extraordinary mode waves at the second harmonic resonance (low field launch). These results are quite sensitive to antenna placement, antenna orientation and the magnetic field level. Depending on experimental constraints (such as high field or inside accessibility), other considerations can come into play; for example, there are theoretical advantages to launching the waves horizontally in the equatorial plane. The qualitative results from the wall reflection model indicate that polarization control and maximization of the first-pass absorption are more important when the central plasma is resonant near the fundamental resonance thanwhen it is resonant at the second harmonic. Finally, a comparison of the calculations with data from the Heliotron-E torsatron is made and found to be in qualitative agreement. ¬© IOP Publishing Ltd.</t>
  </si>
  <si>
    <t>101-107</t>
  </si>
  <si>
    <t>Theory of electron cyclotron heating in the aft torsatron</t>
  </si>
  <si>
    <t>10.1088/0029-5515/27/1/004</t>
  </si>
  <si>
    <t>2-s2.0-84956085215</t>
  </si>
  <si>
    <t>['¬© 1987', 'variable capacitor', 'square antenna', 'resonant circuit', 'highly improved', 'gravitational radiation', 'capacitive transducer', 'advantageous feature']</t>
  </si>
  <si>
    <t>We have designed and made an rf-capacitive transducer for the square antenna of our laboratory. A variable capacitor (similar 2000 PF), which is modulated by gravitational radiation, works in a 5 MHz resonant circuit. The most advantageous feature of this transducer is that the sensitivity is highly improved by introducing a ‡§®-network transformation in the resonant circuit. The sensitivity of 9.4MHz/M is obtained. ¬© 1987, IOP Publishing Ltd.</t>
  </si>
  <si>
    <t>553-556</t>
  </si>
  <si>
    <t>0256307X</t>
  </si>
  <si>
    <t>Chinese Physics Letters</t>
  </si>
  <si>
    <t>60021182;60021182;60021182</t>
  </si>
  <si>
    <t>57082178900;7006929524;24565237600</t>
  </si>
  <si>
    <t>Zhu, Ning;Guan, Tongren;Hu, Enke</t>
  </si>
  <si>
    <t>Guangzhou</t>
  </si>
  <si>
    <t>Sun Yat-Sen University</t>
  </si>
  <si>
    <t>Zhu N.</t>
  </si>
  <si>
    <t>Rf-capacitive transducer applied to gravitational wave detector</t>
  </si>
  <si>
    <t>10.1088/0256-307X/4/12/007</t>
  </si>
  <si>
    <t>2-s2.0-84956108313</t>
  </si>
  <si>
    <t>['woodyard helix', 'length leads', 'helix diameter', 'directional patterns']</t>
  </si>
  <si>
    <t>In this paper, two acoustic helical antenna properties are investigated both theoretically and experimentally. First, a comparison of the directional patterns between an ordinary endfire helix and a Hansen-Woodyard helix is presented, and the superiority of the former is discussed. Second, the effects of two helix parameters on the directional patterns of the ordinary end fire helix are examined. It is shown that increase in helix diameter and length leads to a decrease in the main lobe width without raising the side lobe level. ¬© 1987 IOP Publishing Ltd.</t>
  </si>
  <si>
    <t>97-99</t>
  </si>
  <si>
    <t>S1</t>
  </si>
  <si>
    <t>60004176;60004176;60004176;60004176</t>
  </si>
  <si>
    <t>7402842148;55724218000;55439531200;57082013700</t>
  </si>
  <si>
    <t>Hasegawa, Akio;Takahashi, Sumio;Kikuchi, Toshiaki;Fujita, Teruaki</t>
  </si>
  <si>
    <t>Hasegawa A.</t>
  </si>
  <si>
    <t>Endfire radiation of acoustic helical antennas</t>
  </si>
  <si>
    <t>10.7567/JJAPS.26S1.97</t>
  </si>
  <si>
    <t>2-s2.0-84956116751</t>
  </si>
  <si>
    <t>['traditionally acknowledged', 'recent rulings', 'public health', 'legitimate role', 'francis group', 'fcc preemptions', 'fcc interference', 'expansive power', 'current status', 'communications field', 'communications facilities', 'communications act', 'aesthetic values', 'adopting zoning']</t>
  </si>
  <si>
    <t>Local zoning often regulates dish antenna and other types of communications facilities. But under the Communications Act of 1934 (‚Äú1934 Act‚Äù), the Federal Communications Commission is charged by Congress with developing and administering ‚Äúa unified and comprehensive regulatory system‚Äù applicable to the communications field. Despite its expansive power over communications, the FCC has traditionally acknowledged that local land use planners have a legitimate role in regulating the construction of interstate communications facilities. When it was appropriate to protect the public health, safety, or aesthetic values, local governments historically have been free from FCC interference in adopting zoning and other land use restrictions that limit the construction of such facilities. However, in a series of recent rulings the FCC has begun to erode this freedom by preempting some of these myriad local land use regulations. This article's purpose is to present the current status of these FCC preemptions. ¬© 1987 Taylor &amp; Francis Group, LLC.</t>
  </si>
  <si>
    <t>Land Use Law &amp; Zoning Digest</t>
  </si>
  <si>
    <t>Sinderbrand, Paul J.</t>
  </si>
  <si>
    <t>Sinderbrand P.</t>
  </si>
  <si>
    <t>Zoning communication facilities: Fcc preemption</t>
  </si>
  <si>
    <t>10.1080/00947598.1987.10395081</t>
  </si>
  <si>
    <t>2-s2.0-84960685211</t>
  </si>
  <si>
    <t>['¬© 1987', 'rights reserved', 'peak network', 'null modes', 'nominal 50', 'bridge presents', 'balanced 50', 'animal tracking', '11 impedance']</t>
  </si>
  <si>
    <t>A remotely switched null-peak network for combining RF signals from dual antenna arrays used for radio direction finding and animal tracking is described. The design is based on a balanced 50-Q coaxial bridge, which provides a difference (null) and summed (peak) output from two parallel antennas to the receiver. Reed relays activated through the receiver cable permit the network to be switched between peak or null modes of operation from the receiver, without the need for long dual cable runs from the antenna. The bridge presents a nominal 50-11 impedance at all terminals. ¬© 1987, CSIRO. All rights reserved.</t>
  </si>
  <si>
    <t>311-317</t>
  </si>
  <si>
    <t>Wildlife Research</t>
  </si>
  <si>
    <t>60011664;60090755;60017681</t>
  </si>
  <si>
    <t>7201921866;15071855300;57189446589</t>
  </si>
  <si>
    <t>Spencer, H. J.;Lucas, G.;O‚ÄôConnor, P.</t>
  </si>
  <si>
    <t>Australia;Australia;Australia</t>
  </si>
  <si>
    <t>Sydney;Sydney;Wollongong</t>
  </si>
  <si>
    <t>Faculty of Engineering;Australian Museum;University of Wollongong</t>
  </si>
  <si>
    <t>60090755;60017681;60011664</t>
  </si>
  <si>
    <t>Spencer H.J.</t>
  </si>
  <si>
    <t>A remotely switched passive null-peak network for animal tracking and radio direction finding</t>
  </si>
  <si>
    <t>10.1071/WR9870311</t>
  </si>
  <si>
    <t>2-s2.0-84971092506</t>
  </si>
  <si>
    <t>['¬© 1987', 'rights reserved', 'diuraphis noxia']</t>
  </si>
  <si>
    <t>The morphology of the antennae, caudae and wingbuds of Diuraphis noxia (Mordvilko) was used in conjunction with ratios between antennal segment lengths to draw up a key for diagnosis of the instars. ¬© 1987, Cambridge University Press. All rights reserved.</t>
  </si>
  <si>
    <t>637-640</t>
  </si>
  <si>
    <t>Bulletin of Entomological Research</t>
  </si>
  <si>
    <t>116002241;60015706;60015706</t>
  </si>
  <si>
    <t>57189528953;6701760678;7102903100</t>
  </si>
  <si>
    <t>Aalbersberg, Y. K.;Van Der Westhuizen, M. C.;Hewitt, P. H.</t>
  </si>
  <si>
    <t>South Africa;South Africa</t>
  </si>
  <si>
    <t>Bloemfontein;Bethlehem</t>
  </si>
  <si>
    <t>University of the Free State;Grain Crops Research Institute</t>
  </si>
  <si>
    <t>60015706;116002241</t>
  </si>
  <si>
    <t>Aalbersberg Y.</t>
  </si>
  <si>
    <t>A simple key for the diagnosis of the instars of the Russian wheat aphid, Diuraphis noxia (Mordvilko) (Hemiptera: Aphididae)</t>
  </si>
  <si>
    <t>10.1017/S0007485300012141</t>
  </si>
  <si>
    <t>2-s2.0-84973932568</t>
  </si>
  <si>
    <t>['¬© 1987', 'transceiver sensors', 'presented illustrating', 'optical society', 'explicit results', 'detector element', 'array photodetector']</t>
  </si>
  <si>
    <t>Monostatic radar equations are reported for laser-transceiver sensors that employ coherent optical detection over a linear-array photodetector. Explicit results are presented illustrating the impact of transmitter and receiver antenna patterns on the heterodyne mixing efficiency achieved by each detector element. ¬© 1987, Optical Society of America.</t>
  </si>
  <si>
    <t>3600-3606</t>
  </si>
  <si>
    <t>1559128X</t>
  </si>
  <si>
    <t>Applied Optics</t>
  </si>
  <si>
    <t>Shapiro, Jeffrey H.</t>
  </si>
  <si>
    <t>Shapiro J.</t>
  </si>
  <si>
    <t>Heterodyne mixing efficiency for detector arrays</t>
  </si>
  <si>
    <t>10.1364/AO.26.003600</t>
  </si>
  <si>
    <t>2-s2.0-84975555436</t>
  </si>
  <si>
    <t>['¬© 1987', 'zardecki approach', 'scattering medium', 'optical society', 'nonuniformly distributed', 'inhomogeneous case', 'ieee trans', 'general solution', 'experimental data', 'beam width', 'antennas propag', 'angular spread', '1973 )].', '1949 )]']</t>
  </si>
  <si>
    <t>A general solution to the radiative transfer equation applicable to beam propagation inscattering media in which scattering takes placeprincipally in extreme forward direction was obtained by H. S. Snider and W. T.Scott [Phys. Rev.76, 220 (1949)] and discussed by R. L. Fante [IEEE Trans. Antennas Propag. AP-21, 750 (1973)]. This solution is applicable to media in which theaerosol number densities are nonuniformly distributed in space. Subsequently, W. G. Tam and A. Zardecki [Appl. Opt. 21, 2405 (1982)] obtained a specific solution applicable to those cases in which the beam width and angular spread as well as the aerosol phase function can be approximatedby a Gaussian. Their solution is restricted to uniform or step function shaped media in which the detector is in the scattering medium. The present work shows that the Tam and Zardecki approach can be applied to the inhomogeneous case. Specifically, a solution is obtainedfor a slab shaped scattering medium. The results are compared with those obtained by use of a Monte Carlo simulation and to experimental data. ¬© 1987, Optical Society of America.</t>
  </si>
  <si>
    <t>524-528</t>
  </si>
  <si>
    <t>Walker, Philip L.</t>
  </si>
  <si>
    <t>Crane</t>
  </si>
  <si>
    <t>Naval Surface Warfare Center Crane Division</t>
  </si>
  <si>
    <t>Walker P.L.</t>
  </si>
  <si>
    <t>Beam propagation through slab scattering media in the small angle approximation</t>
  </si>
  <si>
    <t>10.1364/AO.26.000524</t>
  </si>
  <si>
    <t>2-s2.0-84975564653</t>
  </si>
  <si>
    <t>['¬© 1987', 'wind tunnel', 'subsequently examined', 'sublethal infections', 'significantly related', 'rights reserved', 'results suggest', 'randomly selected', 'pheromone source', 'occidentalis males', 'nosema sp', 'nosema infection', 'nosema affects', 'microsporidian parasite', 'males wing', 'individual moths', 'flying upwind', 'field populations', 'entomological society', 'directly reducing', 'antennal response', 'adult males']</t>
  </si>
  <si>
    <t>Western spruce budworm, Choristoneura occidentalis Freeman, adult males were observed in a wind tunnel for their response to synthetic sex pheromone and subsequently examined to determine their degree of infection with a microsporidian parasite, Nosema sp. A subsample of C. occidentalis was randomly selected and electroantennograms (EAG) of individual moths were measured for response to pheromone. The Nosema infection level ranged from 0 to 21.8 x 106spores per milligram and was significantly negatively correlated with the proportion of males wing-fanning, taking off, and flying upwind to contact the pheromone source. The level of Nosema infection and the amplitude of the antennal response (EAG) to pheromone were not significantly related. These results suggest that Nosema affects the response of C. occidentalis males to pheromone in some way other than directly reducing the sensitivity of the antennae. We hypothesize that sublethal infections of Nosema sp. may reduce mating success of the western spruce budworm in field populations. ¬© 1987, Entomological Society of Canada. All rights reserved.</t>
  </si>
  <si>
    <t>587-594</t>
  </si>
  <si>
    <t>0008347X</t>
  </si>
  <si>
    <t>The Canadian Entomologist</t>
  </si>
  <si>
    <t>7201426253;16496485900</t>
  </si>
  <si>
    <t>Sweeney, J. D.;McLean, J. A.</t>
  </si>
  <si>
    <t>Sweeney J.</t>
  </si>
  <si>
    <t>Effect of sublethal infection levels of nosema sp. on the pheromone-mediated behavior of the western spruce budworm, choristoneura occidentalis freeman (lepidoptera: Tortricidae)</t>
  </si>
  <si>
    <t>10.4039/Ent119587-6</t>
  </si>
  <si>
    <t>2-s2.0-84976137495</t>
  </si>
  <si>
    <t>['wiley blackwell', 'substantially enhanced', 'stable photoreduction', 'spinach chloroplasts', 'rights reserved', 'reaction centre', 'photosystem ii', 'photoinhibitory damage', 'photoinhibition prevented', 'photoinhibition depends', 'p680 +,', 'oxidized form', 'observations suggest', 'lower sensitivity', 'light exposure', 'light absorbed', 'extracts manganese', 'excitation energy', 'electron donation', 'd2 heterodimer', 'barley displayed', '320 nm', '2 mutant']</t>
  </si>
  <si>
    <t>electron donation | Hordeum vulgare L. | light‚Äêharvesting antennae | photosystem II | Spinacea oleracea L. | thylakoids</t>
  </si>
  <si>
    <t>Abstract. The effect of photoinhibition on the activity of photosystem II (PSII) in spinach chloroplasts was investigated. Direct light‚Äêinduced absorbance change measurements at 320 nm (ŒîA320) provided a measure of the PSII charge separation reaction and revealed that photoinhibition prevented the stable photoreduction of the primary quinone acceptor QA. Sensitivity to photoinhibition was substantially enhanced by treatment of thylakoids with NH2OH which extracts manganese from the H2O‚Äêsplitting enzyme and prevents electron donation to the reaction centre. Incubation with 3‚Äê(3,4,‚Äêdichlorophenyl)‚Äê1,1‚Äêdimethylurea (DCMU) during light exposure did not affect the extent of photoinhibitory damage. The chlorophyll (Chl) b‚Äêless chlorina (2 mutant of barley displayed a significantly smaller light‚Äêharvesting antenna size of PSII (about 20% of that in wild type chloroplasts) and, simultaneously, a lower sensitivity to photoinhibition. These observations suggest that photoinhibition depends on the amount of light absorbed by PSII and that the process of photoinhibition is accelerated when electron donation to the reaction centre is prevented. It is postulated that the probability of photoinhibition is greater when excitation energy is trapped by P680+, the oxidized form of the PSII reaction centre. The results are discussed in terms of the D1/D2 heterodimer which contains the functional PSII components P680, pheophytin, QA and QB. Copyright ¬© 1987, Wiley Blackwell. All rights reserved</t>
  </si>
  <si>
    <t>747-752</t>
  </si>
  <si>
    <t>Plant, Cell &amp; Environment</t>
  </si>
  <si>
    <t>60025038;60025038</t>
  </si>
  <si>
    <t>7005880900;57203081985</t>
  </si>
  <si>
    <t>CLELAND, R. E.;MELIS, A.</t>
  </si>
  <si>
    <t>CLELAND R.</t>
  </si>
  <si>
    <t>Probing the events of photoinhibition by altering electron‚Äêtransport activity and light‚Äêharvesting capacity in chloroplast thylakoids</t>
  </si>
  <si>
    <t>10.1111/1365-3040.ep11604761</t>
  </si>
  <si>
    <t>2-s2.0-84981567943</t>
  </si>
  <si>
    <t>['wiley blackwell', 'rights reserved', 'probably respond', 'probably active', 'possesses forty', 'oviposition site', 'last steps', 'earlier stages', 'distal part', 'cuticular bristle', 'cuticle inside', 'compound eyes']</t>
  </si>
  <si>
    <t>fine structure | mechanoreception | oviposition | ovipositor | scanning electron microscopy | Sensilla | taste | transmission electron microscopy</t>
  </si>
  <si>
    <t>ABSTRACT. The distal part of the ovipositor of Dasineura brassicae Winn. (Diptera; Cecidomyiidae) possesses forty to forty‚Äêfive sensilla of three morphological types. Most are provided with a cuticular bristle, which projects from the surface of the ovipositor; fifteen have a taste/tactile function based on fine structural characteristics; about twenty‚Äêfive are innervated by a single sensory cell, specialized for mechanoreception. Scolopidial sensory receptors are anchored to the cuticle inside the distal part of the ovipositor, they probably respond to changes in length of the ovipositor. Different sensory systems are involved in the choice of oviposition site; compound eyes and antennae are probably active in the earlier stages, whereas the receptors of the ovipositor appear well suited to govern the last steps in this behaviour. Copyright ¬© 1987, Wiley Blackwell. All rights reserved</t>
  </si>
  <si>
    <t>51-58</t>
  </si>
  <si>
    <t>Physiological Entomology</t>
  </si>
  <si>
    <t>60029170-60027152;60027152</t>
  </si>
  <si>
    <t>7006062747;6602454604</t>
  </si>
  <si>
    <t>HALLBERG, ERIC;AHMAN, INGER</t>
  </si>
  <si>
    <t>Sweden;Sweden</t>
  </si>
  <si>
    <t>Lund;Uppsala</t>
  </si>
  <si>
    <t>Lunds Universitet;Sveriges lantbruksuniversitet</t>
  </si>
  <si>
    <t>60029170;60027152</t>
  </si>
  <si>
    <t>HALLBERG E.</t>
  </si>
  <si>
    <t>Sensillar types of the ovipositor of Dasineura brassicae: structure and relation to oviposition behaviour</t>
  </si>
  <si>
    <t>10.1111/j.1365-3032.1987.tb00723.x</t>
  </si>
  <si>
    <t>2-s2.0-84981620262</t>
  </si>
  <si>
    <t>['vsats may', 'vsat antenna', 'traffic model', 'terrestrially connected', 'scenarios typical', 'results show', 'primary attention', 'performance objectives', 'often limited', 'host computer', 'critical items', 'component elements', 'availability ).', 'analytical model']</t>
  </si>
  <si>
    <t>Data networks | Satellite system design | Very small aperture terminals (VSATs)</t>
  </si>
  <si>
    <t>In this part of the paper on Ku‚Äêband VSAT networks, the issue of overall system design is considered. After discussing possible system architectures, primary attention is given to the star network configuration in which customer‚Äêpremise VSATs communicate with a central hub station, co‚Äêlocated with, or terrestrially connected to a host computer. The component elements of a Ku‚Äêband star network for interactive data applications are discussed and the critical items from the point‚Äêof‚Äêview of performance, capacity and cost are identified. An analytical model for the network, which combines delay‚Äêthroughput characterization of the multi‚Äêaccess inbound and TDM outbound channels with satellite link analysis is described. The analytical model is exercised over a range of typical system component, traffic model and performance objective scenarios to provide a set of general design guidelines. These guidelines are useful for evaluating the trade‚Äêoffs between key system elements (channel access unit, modem, VSAT antenna and satellite), VSAT traffic message length parameters and the performance objectives (average and peak network response time and availability). The results are used to address the issue of multi‚Äêaccess protocol selection over a range of scenarios typical of 1.2 or 1.8m VSAT‚Äêbased interactive networks using current commercial Ku‚Äêband satellites. The results show that interactive star networks are often limited by satellite power rather than bandwidth, so that the use of simple contention access for VSATs may not imply a significant system capacity penalty. Copyright ¬© 1987 John Wiley &amp; Sons, Ltd.</t>
  </si>
  <si>
    <t>265-278</t>
  </si>
  <si>
    <t>International Journal of Satellite Communications</t>
  </si>
  <si>
    <t>October/December 1987</t>
  </si>
  <si>
    <t>Raychaudhuri, D.</t>
  </si>
  <si>
    <t>Princeton</t>
  </si>
  <si>
    <t>Sarnoff Corporation</t>
  </si>
  <si>
    <t>Raychaudhuri D.</t>
  </si>
  <si>
    <t>Ku‚ÄêBand satellite data networks using very small aperture terminals‚Äîpart II: System design</t>
  </si>
  <si>
    <t>10.1002/sat.4600050403</t>
  </si>
  <si>
    <t>2-s2.0-84981627484</t>
  </si>
  <si>
    <t>['wiley blackwell', 'wax glands', 'setal socket', 'scirpus holoschoenus', 'rights reserved', 'primitive species', 'known species', 'kaltenbachiella pallida', 'host plants', 'greater number', 'gharesia polunini', 'genus colopha', 'first record', 'cyperaceae );', 'colopha species', 'apterae differ']</t>
  </si>
  <si>
    <t>Abstract. A new aphid species of the genus Colopha (Pemphigidae: Eriosomatinae), Colopha hispanica is described from Spain. The apterae differ from those of other species of Colopha in the shortness of their antennae and legs, in the greater number of their wax glands and in the underdevelopment of the setal socket on the forelegs. These aphids live inside the stems of Scirpus holoschoenus (Cyperaceae); this is the first record of a truly endophytic aphid. The adults are immobile. C. hispanica is compared with the other known species of Colopha, with Kaltenbachiella pallida, a similar species also found in Spain and with Gharesia polunini, a primitive species of Eriosomatinae. The distribution and host plants of Colopha species are reviewed and discussed. Copyright ¬© 1987, Wiley Blackwell. All rights reserved</t>
  </si>
  <si>
    <t>Systematic Entomology</t>
  </si>
  <si>
    <t>60020657;60020657</t>
  </si>
  <si>
    <t>7801484725;7004828944</t>
  </si>
  <si>
    <t>NAFRIA, J. M.NIETO;DURANTE, M. P.MIER</t>
  </si>
  <si>
    <t>Leon</t>
  </si>
  <si>
    <t>Universidad de Le√≥n</t>
  </si>
  <si>
    <t>NAFRIA J.</t>
  </si>
  <si>
    <t>Colopha hispanica sp.n. (Homoptera: Aphidoidea: Pemphigidae): an unusual endophytic aphid living inside the stems of Scirpus holoschoenus (Cyperaceae)</t>
  </si>
  <si>
    <t>10.1111/j.1365-3113.1987.tb00197.x</t>
  </si>
  <si>
    <t>2-s2.0-84981636722</t>
  </si>
  <si>
    <t>['system concept', 'services considered', 'services accompanied', 'repeater concept', 'rearrangement functions', 'pronounced due', 'mission profile', 'large amount', 'candidate solution', 'baseband switch']</t>
  </si>
  <si>
    <t>Digital repeater | Ka‚Äêband | Multibeam mission | On‚Äêboard operations</t>
  </si>
  <si>
    <t>The derivation of a system concept for the digital multi‚Äêservice repeater starts from evaluating the mission profile and the antenna concept elaborated so far. Furthermore, the repeater concept is shaped by Ka‚Äêband propagation conditions, the kind of integration of a down‚Äêlink TV‚Äêdistribution service into the prevailing multi‚Äêbeam communications mode and readily available digital technologies. It is intended to embark on a completely regenerative approach using a unified switching concept for all services accompanied by a large amount of rearrangement functions in the foreground. An attempt is made to define those network control functions and procedures to be located on‚Äêboard exploiting the fact that the repeater already acts as a central switching node. The discussion of on‚Äêboard digital technologies concentrates upon a multicarrier demodulator concept and a candidate solution for the baseband switch. One general boundary condition is pronounced due to uncertainties about the actual traffic scenario in the future: all repeater resources must be accessible for the most important of the services considered, i.e. the provision of satellite business services. Copyright ¬© 1987 John Wiley &amp; Sons, Ltd.</t>
  </si>
  <si>
    <t>123-132</t>
  </si>
  <si>
    <t>April/June 1987</t>
  </si>
  <si>
    <t>Heine, H. W.</t>
  </si>
  <si>
    <t>Backnang</t>
  </si>
  <si>
    <t>Tesat-Spacecom GmbH &amp; Co. KG</t>
  </si>
  <si>
    <t>Heine H.</t>
  </si>
  <si>
    <t>System concept for a digital repeater intended for a future generation of german telecommunication satellites</t>
  </si>
  <si>
    <t>10.1002/sat.4600050209</t>
  </si>
  <si>
    <t>2-s2.0-84981641559</t>
  </si>
  <si>
    <t>['two methods', 'steady progress', 'small users', 'rf components', 'particularly suited', 'leads us', 'digital technology', 'control criteria', 'continuous tdm', 'continuing improvement']</t>
  </si>
  <si>
    <t>Multicarrier demodulator | Multifrequency TDMA | On‚Äêboard processing | Performance evaluation | Traffic management | User‚Äêoriented system</t>
  </si>
  <si>
    <t>The continuing improvement of RF components, particularly in the field of spot‚Äêbeam antennas, combined with the steady progress in digital technology, leads us to consider the advantages of a satellite system able to provide full connectivity to ground stations operating at different data rates. For low data rates, two different access methods: continuous TDM and Multi‚Äêcarrier TDMA, are compared for earth‚Äêstations operating at 2Mb/s. The two methods are compared from the point of view of efficiency and adaptability in a non‚Äêuniform load environment. Some control criteria are proposed for the Multi‚Äêcarrier system. Both methods are particularly suited for small users. Copyright ¬© 1987 John Wiley &amp; Sons, Ltd.</t>
  </si>
  <si>
    <t>77-84</t>
  </si>
  <si>
    <t>60009628;60031159</t>
  </si>
  <si>
    <t>7203087711;6603172883</t>
  </si>
  <si>
    <t>Colombo, G.;Pennoni, G.</t>
  </si>
  <si>
    <t>Netherlands;Italy</t>
  </si>
  <si>
    <t>Noordwijk aan Zee;Turin</t>
  </si>
  <si>
    <t>ESTEC - European Space Research and Technology Centre;Centro Studi e Laboratori Telecomunicazioni, Turin</t>
  </si>
  <si>
    <t>60031159;60009628</t>
  </si>
  <si>
    <t>Colombo G.</t>
  </si>
  <si>
    <t>Advanced on‚Äêboard processing for user oriented communication systems</t>
  </si>
  <si>
    <t>10.1002/sat.4600050206</t>
  </si>
  <si>
    <t>2-s2.0-84981641682</t>
  </si>
  <si>
    <t>['tracking beamwidth', 'signal attenuation', 'metal counterparts', 'investigated using', 'dsf radomes', 'connectivity information', 'boresight shift']</t>
  </si>
  <si>
    <t>Antennas | Cross‚Äêpolarisation | Earth‚Äêstations | Radomes</t>
  </si>
  <si>
    <t>The cross‚Äêpolarization, signal attenuation and boresight shift for a number of dielectric space frame (DSF) radomes have been investigated using the induced field ratio method. It is shown that DSF radomes produce substantially less cross‚Äêpolarization than their metal counterparts. It is concluded that in view of INTELSAT's specification of 30.7 dB cross‚Äêpolar discrimination within an antenna's tracking beamwidth for frequency re‚Äêuse communication system antennas, DSF radomes, in particular those considered, would not yield appreciable system degradation. The general method presented is extendable to other radomes structures provided that connectivity information is available. Copyright ¬© 1987 John Wiley &amp; Sons, Ltd.</t>
  </si>
  <si>
    <t>227-232</t>
  </si>
  <si>
    <t>July/September 1987</t>
  </si>
  <si>
    <t>60016910;60021097</t>
  </si>
  <si>
    <t>6506567818;55806265000</t>
  </si>
  <si>
    <t>Rwabona‚ÄêKatashaya, S.;Evans, B. G.</t>
  </si>
  <si>
    <t>United Kingdom;Lesotho</t>
  </si>
  <si>
    <t>Guildford;Roma</t>
  </si>
  <si>
    <t>University of Surrey;National University of Lesotho</t>
  </si>
  <si>
    <t>60021097;60016910</t>
  </si>
  <si>
    <t>Rwabona‚ÄêKatashaya S.</t>
  </si>
  <si>
    <t>Dielectric space frame radomes for satellite communications</t>
  </si>
  <si>
    <t>10.1002/sat.4600050306</t>
  </si>
  <si>
    <t>2-s2.0-84981676746</t>
  </si>
  <si>
    <t>['‚ äêexamined', 'wiley blackwell', 'usual occurrence', 'troglobites deep', 'temperature tolerances', 'systematic point', 'rights reserved', 'prominent development', 'postantennal organ', 'original author', 'new family', 'moulting cycles', 'intermoulting period', 'exceptional characteristics', 'drastic divergence', 'cave entrances', 'apparently limited', 'animal enigmatic', 'almost twice', '110 days']</t>
  </si>
  <si>
    <t>ABSTRACT. The cave collembolan Gulgastrura reticulosa was re‚Äêexamined from a systematic point of view, using data obtained from scanning electron microscopy and investigation of temperature tolerances and moulting cycles. Absences of the third antennal organ, postantennal organ, pseudocellus, eyes and furca were confirmed, along with the prominent development, by contrast, of an ‚Äúapical organ‚Äù at the apex of the antenna. The intermoulting period was shown to be 110 days on average at 9.5¬∞C which is almost twice as long as the longest known intermoulting period for a collembolan. These exceptional characteristics are suggestive of drastic divergence from existing family groups of Collembola. It is suggested that the erection of a new family, separate from the Hypogastruridae to which Gulgastrura was assigned by the original author, may become appropriate some time in the future when evidence other than of morphology becomes available supporting this divergence. Gulgastrura is apparently limited to cave entrances, rendering the animal enigmatic in view of the usual occurrence of troglobites deep in caves. Copyright ¬© 1987, Wiley Blackwell. All rights reserved</t>
  </si>
  <si>
    <t>73-79</t>
  </si>
  <si>
    <t>60001187;100812106</t>
  </si>
  <si>
    <t>57206567164;7004607346</t>
  </si>
  <si>
    <t>LEE, BYUNG‚ÄêHOON ‚ÄêH;THIBAUD, JEAN‚ÄêMARC ‚ÄêM</t>
  </si>
  <si>
    <t>South Korea;France</t>
  </si>
  <si>
    <t>Jeonju;Brunoy</t>
  </si>
  <si>
    <t>Jeonbuk National University;Museum Natural d'Histoire Naturelle - 4</t>
  </si>
  <si>
    <t>LEE B.</t>
  </si>
  <si>
    <t>A critical review of the taxonomy of Gulgastrura reticulosa (Collembola: Hypogastruridae), a cave springtail from Korea</t>
  </si>
  <si>
    <t>10.1111/j.1365-3113.1987.tb00549.x</t>
  </si>
  <si>
    <t>2-s2.0-84981689113</t>
  </si>
  <si>
    <t>['¬© 1987', 'without detergent', 'vivo decreased', 'triton x', 'spectra showed', 'shocked chloroplasts', 'rights reserved', 'molecular arrangement', 'isolated chl', 'faster rate', 'curve analysis', 'chlide ).', 'chlase reacted', 'chl b', 'apparent absorption', 'action showed', '77 k']</t>
  </si>
  <si>
    <t>antenna pigment of PSI | Chi+Chlide | Chl | Chl(ide) | Chlase | Chlide | chlorophyll | Chlorophyllase | chlorophyllase | chlorophyllide | Chlorophyllprotein | Chlorophylls | deoxycholate | DOC | lauryl diamine oxide | LDAO | LHCl | LHCP | light-harvesting Chl-protein | Phaeodactylum tricornutum | Photosystem | PS | Spectral Analyses</t>
  </si>
  <si>
    <t>We studied the action of chlorophyllase (Chlase), prepared from the alga Phaeodactylum tricornutum, on chloroplasts and chlorophyll-protein complexes isolated from spinach. In the presence of 0.05 % Triton X-100, essentially all of the chlorophyll (Chl) was hydrolyzed. Without detergent, only about 40 % of the Chl in osmotically-shocked chloroplasts was converted to chlorophyllide (Chlide). With isolated Chl-proteins, Chlase reacted only after treatment with detergent, and Chl a was hydrolyzed at a faster rate than Chl b. A comparison of absorption and fluorescence excitation spectra (77 K) of the Chl-proteins before and after detergent-action showed that both Chls a and b were still closely bound to protein and remained so after hydrolysis. Curve analysis or deconvolution of the spectra showed that neither the absorption nor the molecular arrangement of Chl a was changed after the loss of phytol. On the other hand, the apparent absorption of Chl b in vivo decreased by over 50% after hydrolysis even though the Chlide b could still transfer absorbed excitation energy to Chlide a. ¬© 1987, Gustav Fischer Verlag, Stuttgart. All rights reserved.</t>
  </si>
  <si>
    <t>483-494</t>
  </si>
  <si>
    <t>Journal of Plant Physiology</t>
  </si>
  <si>
    <t>60028717;60024613</t>
  </si>
  <si>
    <t>7003886025;7409449087</t>
  </si>
  <si>
    <t>Schoch, Siegrid;Brown, Jeanette</t>
  </si>
  <si>
    <t>Germany;United States</t>
  </si>
  <si>
    <t>Munich;Washington, D.C.</t>
  </si>
  <si>
    <t>Ludwig-Maximilians-Universit√§t M√ºnchen;Carnegie Institution of Washington</t>
  </si>
  <si>
    <t>Schoch S.</t>
  </si>
  <si>
    <t>The Action of Chlorophyllase on Chlorophyll-Protein Complexes</t>
  </si>
  <si>
    <t>S0176161787800330</t>
  </si>
  <si>
    <t>10.1016/S0176-1617(87)80033-0</t>
  </si>
  <si>
    <t>2-s2.0-84986979578</t>
  </si>
  <si>
    <t>['‚ äúd', 'zooplankton communities', 'white nile', 'water body', 'type material', 'type localities', 'trophic chain', 'swimming antennae', 'subtropical zones', 'situated mainly', 'sensory function', 'mongolianum ueno', 'main component', 'localities known', 'lacustris korinek', 'important link', 'fluviatile fauna', 'ethiopian lakes', 'different types', 'diaphanosoma species', 'described earlier', 'azonal distribution', 'author concludes', 'also perform', 'also found', '49 localities']</t>
  </si>
  <si>
    <t>biology | Cladocera | Diaphanosoma | geographical distribution | morphology</t>
  </si>
  <si>
    <t>Material from 49 localities in Europe, Asia and Africa is used to study two similar Diaphanosoma species, viz. D. mongolianum UENO, 1938, and D. lacustris KORINEK, 1981, both of which were described earlier under other names, the most common of which were ‚ÄúD. brachyurum‚Äù, ‚ÄúD. leuchtenbergianum‚Äù and ‚ÄúD. birgei lacustris‚Äù. These species are redescribed in detail, consideration being given to interpopulational and individual morphological variability, the type material, and material from type localities. The morphology of the setae of the swimming antennae is studied in detail, and the author concludes that some of them are not only used for swimming but also perform a sensory function. Some aspects of the biology of the species are described. They inhabit water bodies of different types, are often so abundant that they constitute the main component of zooplankton communities, and are an important link in the trophic chain. Little known cases of the co‚Äêoccurrence of Diaphanosoma species in a water body are described. Localities known for D. mongolianum and D. lacustris are situated mainly in the temperate and subtropical zones, the former species penetrating farther north than the latter. However, they are also found in the White Nile (Sudan) and Ethiopian lakes. This southward penetration may be connected with the azonal distribution of fluviatile fauna and with the altitude of Ethiopian lakes. Copyright ¬© 1987 WILEY‚ÄêVCH Verlag GmbH &amp; Co. KGaA, Weinheim</t>
  </si>
  <si>
    <t>727-758</t>
  </si>
  <si>
    <t>Internationale Revue der gesamten Hydrobiologie und Hydrographie</t>
  </si>
  <si>
    <t>Korovchinsky, N. M.</t>
  </si>
  <si>
    <t>Russian Federation</t>
  </si>
  <si>
    <t>Moscow</t>
  </si>
  <si>
    <t>Russian Academy of Sciences</t>
  </si>
  <si>
    <t>Korovchinsky N.</t>
  </si>
  <si>
    <t>A Study of Diaphanosoma Species (Crustacea: Cladocera) of the ‚ÄúMongolianum‚Äù Group</t>
  </si>
  <si>
    <t>10.1002/iroh.19870720609</t>
  </si>
  <si>
    <t>2-s2.0-84987285887</t>
  </si>
  <si>
    <t>['wiley blackwell', 'virgin females', 'synthetic pheromone', 'sex pheromone', 'setae corresponding', 'rights reserved', 'masking experiments', 'intact males', 'diminish responses', 'decoys consisting', 'dead females', 'cuticular hydrocarbons', 'copulatory behaviour', 'antennectomized males', 'antennae may']</t>
  </si>
  <si>
    <t>antennal receptors | contact chemoreceptors | Glossina | legs | sex pheromone | Tsetse flies</t>
  </si>
  <si>
    <t>ABSTRACT. Inanimate decoys elicit copulatory responses from intact males of Glossina morsitans morsitans when dosed with the sex pheromone of that species. In a series of ablation or masking experiments it was shown that chemoreceptors on the tarsi and tibiae of the legs are stimulated by the pheromone on contact or at ultra‚Äêshort range. Removal of the antennae from males does not diminish responses to decoys consisting of dead females, nor does it affect the dose‚Äêrelated responses to decoys consisting of dead males previously washed clean of their cuticular hydrocarbons and dosed with synthetic pheromone. Antennectomized males are as capable of copulatory behaviour and insemination of virgin females as are intact control males. More setae corresponding to the description of chemoreceptors are found on the legs of males than of females. It is concluded that whatever the role of the antennae may be in the identification of a female by a male it is the chemoreceptors on the legs of the male which are necessary to elicit copulatory behaviour. Copyright ¬© 1987, Wiley Blackwell. All rights reserved</t>
  </si>
  <si>
    <t>425-433</t>
  </si>
  <si>
    <t>60020650;60020650;60103678</t>
  </si>
  <si>
    <t>16526024900;23080272700;7403297714</t>
  </si>
  <si>
    <t>LANGLEY, P. A.;HUYTON, P. M.;CARLSON, D. A.</t>
  </si>
  <si>
    <t>Gainesville;Bristol</t>
  </si>
  <si>
    <t>USDA Agricultural Research Service, Gainesville;University of Bristol</t>
  </si>
  <si>
    <t>60103678;60020650</t>
  </si>
  <si>
    <t>LANGLEY P.</t>
  </si>
  <si>
    <t>Sex pheromone perception by males of the tsetse fly, Glossina morsitans morsitans</t>
  </si>
  <si>
    <t>10.1111/j.1365-3032.1987.tb00769.x</t>
  </si>
  <si>
    <t>2-s2.0-84989074012</t>
  </si>
  <si>
    <t>['whistler range', 'tether connector', 'space structure', 'several tens', 'radiation impedances', 'radiation impedance', 'geomagnetic field', 'end connectors', 'electrodynamic tethers', 'electrical contact', 'copyright 1987', 'ac current']</t>
  </si>
  <si>
    <t>Electrodynamic tethers are wires deployed across the earth's geomagnetic field through which a current is flowing. The radiation impedance of a tether with end connectors carrying an AC current is computed from classical antenna theory. This simulates the use of a tether on a space structure. It is shown that the current flow pattern at the tether connector is critical to determining the overall radiation impedance. If the tether makes direct electrical contact with the ionosphere then radiation impedances of the order of several thousand Ohms can be expected. If the only electrical contact is through the end connectors then the impedance is only a few Ohms for a DC current rising to several tens of Ohms for an AC current with frequencies in the whistler range. Copyright 1987 by the American Geophysical Union.</t>
  </si>
  <si>
    <t>519-522</t>
  </si>
  <si>
    <t>Geophysical Research Letters</t>
  </si>
  <si>
    <t>60022195;60022195</t>
  </si>
  <si>
    <t>7102499605;57192276314</t>
  </si>
  <si>
    <t>Hastings, Daniel E.;Wang, J.</t>
  </si>
  <si>
    <t>Hastings D.</t>
  </si>
  <si>
    <t>The radiation impedance of an electrodynamic tether with end connectors</t>
  </si>
  <si>
    <t>10.1029/GL014i005p00519</t>
  </si>
  <si>
    <t>2-s2.0-84989571837</t>
  </si>
  <si>
    <t>['wiley blackwell', 'values indicate', 'two kinds', 'rights reserved', 'relative efficiency', 'photosystem ii', 'partial dissociation', 'higher efficiency', 'fluorescence spectroscopy', 'cylindrica cells', 'anabaena cylindrica']</t>
  </si>
  <si>
    <t>Excitation energy transfer from phycobilisomes to photosystem II in high‚Äêlight adapted cells of Anabaena cylindrica was studied by fluorescence spectroscopy and compared to that of low‚Äêlight adapted cells. Measurements were made on membrane fragments containing phycobilisomes, photosystem I and II, isolated in 0.75 M K‚Äêphosphate. Relative efficiency of 430 to 590 nm light in the excitation of F680 chlorophyll fluorescence was compared in low and high light adapted cells, respectively. The values indicate that light energy absorbed by phycobilisomes is transferred to photosystem II antenna chlorophylls with higher efficiency in high‚Äêlight adapted cells than in low‚Äêlight adapted cells. Partial dissociation and uncoupling of energy transfer caused by low ion concentration were different in the membrane fragments isolated from the two kinds of cells and indicated a higher aggregation state of pigment‚Äêprotein complexes of phycobilisomes in high‚Äêlight adapted A. cylindrica cells. Copyright ¬© 1987, Wiley Blackwell. All rights reserved</t>
  </si>
  <si>
    <t>421-425</t>
  </si>
  <si>
    <t>Photochemistry and Photobiology</t>
  </si>
  <si>
    <t>60027811;60024147</t>
  </si>
  <si>
    <t>57191513252;16453430100</t>
  </si>
  <si>
    <t>Laczk√≥, Ilona;Kaiseva, Elizabeth</t>
  </si>
  <si>
    <t>Hungary;Bulgaria</t>
  </si>
  <si>
    <t>Budapest;Sofia</t>
  </si>
  <si>
    <t>Magyar Tudomanyos Akademia;Bulgarian Academy of Sciences</t>
  </si>
  <si>
    <t>Laczk√≥ I.</t>
  </si>
  <si>
    <t>INCREASED ENERGY TRANSFER FROM PHYCOBILISOMES TO PHOTOSYSTEM II IN HIGH LIGHT ADAPTED Anabaena cylindrica</t>
  </si>
  <si>
    <t>10.1111/j.1751-1097.1987.tb04789.x</t>
  </si>
  <si>
    <t>2-s2.0-84989674560</t>
  </si>
  <si>
    <t>['‚ äúflattening', 'wiley blackwell', 'two photosystems', 'substantial distortion', 'stoichiometric excess', 'spinach chloroplasts', 'selectively attenuated', 'selective filtering', 'rights reserved', 'psiiœ ±', 'psii help', 'psii ).', 'psi due', 'ps ),', 'photosystem stoichiometry', 'multilevel attenuation', 'molecules associated', 'lower rate', 'light absorption', 'leaf levels', 'latter benefits', 'exclusive localization', 'elevated psii', 'concomitant attenuation', 'chl b', 'balanced psii', 'approximately 80', 'absorbed light']</t>
  </si>
  <si>
    <t>Abstract‚Äî The distribution of absorbed light and the turnover of electrons by the two photosystems in spinach chloroplasts was investigated. This was implemented upon quantitation of photochemical reaction centers, chlorophyll antenna size and composition of each photosystem (PS), and rate of light absorption in situ. In spinach chloroplasts, the photosystem stoichiometry was PSIIJPSIIŒ±/PSIIŒ≤/PSI= 1.3/0.4/1.0. The number (N) of chlorophyll (a+b) molecules associated with each PS was N(PSIIŒ±)/N(PSIIŒ≤)/N(PSI)=230/100/200, i.e. about 65% of all Chl is associated with PSII and about 35% with PSI. Light absorption by PSII in vivo is selectively attenuated at the molecular, membrane and leaf levels, (a) The rate of light absorption by PSII was only 0.85 that of PSI because of the lower rate of light absorption by Chl b as compared to Chl a (approximately 80% of all Chl b in the chloroplast is associated with PSII). (b) The exclusive localization of PSIIŒ± in the membrane of the grana partition regions and of PSI in intergrana lamellae resulted in a differential ‚Äúsieve effect‚Äù or ‚Äúflattening of absorbance‚Äù by the photosystems in the two membrane regions. Due to this phenomenon, the rate of light absorption by PSII was lower than that of PSI by 15‚Äê20%. (c) Selective filtering of sunlight through the spinach leaf results in a substantial distortion of the effective absorbance spectra and concomitant attenuation of light absorption by the two photosystems. Such attenuation was greater for PSII than for PSI because the latter benefits from light absorption in the 700‚Äê730 nm region. It is concluded that, in spite of its stoichiometric excess in spinach chloroplasts, light absorption by PSII is not greater than that by PSI due to the different molecular composition of the two light‚Äêharvesting antenna systems, due to the localization of PSII in the grana, and also because of the light transmission properties through the leaf. The elevated PSII/PSI reaction center ratio of 1.7 and the association of 65% of all Chl with PSII help to counter the multilevel attenuation of light absorption by PSII and ensure a balanced PSII/PSI electron turnover ratio of about 1:1. Copyright ¬© 1987, Wiley Blackwell. All rights reserved</t>
  </si>
  <si>
    <t>129-136</t>
  </si>
  <si>
    <t>60029170;60029170;60029170</t>
  </si>
  <si>
    <t>57203081985;57225249921;7401941729</t>
  </si>
  <si>
    <t>MELIS, Anastasios;Spangfort, Michael;Andersson, Bertil</t>
  </si>
  <si>
    <t>Lund</t>
  </si>
  <si>
    <t>Lunds Universitet</t>
  </si>
  <si>
    <t>MELIS A.</t>
  </si>
  <si>
    <t>LIGHT‚ÄêABSORPTION AND ELECTRON‚ÄêTRANSPORT BALANCE BETWEEN PHOTOSYSTEM II AND PHOTOSYSTEM I IN SPINACH CHLOROPLASTS</t>
  </si>
  <si>
    <t>10.1111/j.1751-1097.1987.tb08413.x</t>
  </si>
  <si>
    <t>2-s2.0-84989675168</t>
  </si>
  <si>
    <t>['treated buds', 'total number', 'tea exposure', 'significantly reduced', 'reduced number', 'overall reduction', 'normal peak', 'mean size', 'malformed antennae', 'internal ph', 'increased ph', 'increased di', 'exposure accompanied', 'eclosing adults', 'decreased mi', 'cellular level', 'cell death', '96 h', '5 hours', '5 h']</t>
  </si>
  <si>
    <t>Braconid | teratogenic ethylamine development</t>
  </si>
  <si>
    <t>Exposing third instar larvae of the wasp Bracon hebetor to triethylamine (TEA) results in malformed antennae in eclosing adults. The purpose of this research was to examine the effects of TEA at the cellular level. Rate of growth of treated antennal buds (56‚Äì76 h) and mean size (76‚Äì96 h) were significantly reduced. Internal pH was elevated for 5 h after TEA exposure. Cell size remained constant except in treated buds from 76 to 96 h, when diameter was reduced. The mean mitotic index (MI) was reduced and a normal peak at 72‚Äì76 h was eliminated. Cell death (DI) increased. Increased DI and decreased MI from 0 to 5 hours after exposure are attributed to increased pH. TEA can form reactive alkylating intermediates, and loss of the MI peak 12 h after exposure accompanied by increased DI may be due to alkylation. It is concluded that the reduced number of segments is due to an overall reduction in total number of cells. Abnormal segmentation may involve alkylation induced somatic mutations. Copyright ¬© 1987 Wiley‚ÄêLiss, Inc.</t>
  </si>
  <si>
    <t>129-138</t>
  </si>
  <si>
    <t>Archives of Insect Biochemistry and Physiology</t>
  </si>
  <si>
    <t>Abbott, Barbara D.</t>
  </si>
  <si>
    <t>Raleigh</t>
  </si>
  <si>
    <t>NC State University</t>
  </si>
  <si>
    <t>Abbott B.</t>
  </si>
  <si>
    <t>Disruption of antennal morphogenesis in Bracon hebetor by exposure to triethylamine</t>
  </si>
  <si>
    <t>10.1002/arch.940040206</t>
  </si>
  <si>
    <t>2-s2.0-84990419572</t>
  </si>
  <si>
    <t>['strongly inhibited', 'sex pheromone', 'secondary alcohol', 'required nadph', 'relative rates', 'psmo inhibitors', 'piperonyl butoxide', 'pheromone binds', 'organ examined', 'microsomal fraction', 'markedly inhibited', 'males showing', 'males exhibited', 'major product', 'highest activity', 'higher rate', 'heme moiety', 'enzyme activity', 'direct evidence', 'corresponding epoxide', 'carbon monoxide', 'allowed quantification', '450 nm']</t>
  </si>
  <si>
    <t>(Z)‚Äê9‚Äêtricosene | epoxidation | hydroxylation | Musca domestica | polysubstrate mono‚Äêoxygenase</t>
  </si>
  <si>
    <t>Direct evidence is presented for the role of a cytochrome P‚Äê450 monooxygenase (called mixed‚Äêfunction oxidase, or polysubstrate mono‚Äêoxygenase, PSMO) in the metabolism of the sex pheromone (Z)‚Äê9‚Äêtricosene to its corresponding epoxide and ketone in the housefly. A secondary alcohol, most likely an intermediate in the conversion of the alkene to the ketone, was also tentatively identified. The results of in vivo and in vitro experiments showed that the PSMO inhibitors, piperonyl butoxide (PB) and carbon monoxide, markedly inhibited the formation of epoxide and ketone from (9,10‚Äê3H) (Z)‚Äê9‚Äêtricosene. An examination of the relative rates of (Z)‚Äê9‚Äêtricosene metabolism showed that males exhibited a higher rate of metabolism than females with the antennae of males showing the highest activity of any tissue/organ examined. The major product from all tissues/organs was the epoxide. Data from experiments with subcellular fractions showed that the microsomal fraction had the majority of enzyme activity, which was strongly inhibited by PB and CO and required NADPH and O2 for activity. A carbon monoxide difference spectrum with reduced cytochrome showed maximal absorbance at 450 nm and allowed quantification of the cytochrome P‚Äê450 in the microsomal fraction of 0.410‚Äênmol cytochrome P‚Äê450 mg‚àí1 protein. Interaction of (Z)‚Äê9‚Äêtricosene with the cytochrome P‚Äê450 resulted in a type I spectrum, indicating that the pheromone binds to a hydrophobic site adjacent to the heme moiety of the oxidized cytochrome P‚Äê450. Copyright ¬© 1987 Wiley‚ÄêLiss, Inc.</t>
  </si>
  <si>
    <t>121-140</t>
  </si>
  <si>
    <t>60001769;60001769;60001769</t>
  </si>
  <si>
    <t>7401991474;57191455133;7005806254</t>
  </si>
  <si>
    <t>Ahmad, Sami;Kirkland, Kenneth E.;Blomquist, Gary J.</t>
  </si>
  <si>
    <t>Reno</t>
  </si>
  <si>
    <t>University of Nevada, Reno</t>
  </si>
  <si>
    <t>Ahmad S.</t>
  </si>
  <si>
    <t>Evidence for a sex pheromone metabolizing cytochrome P‚Äê450 mono‚Äêoxygenase in the housefly</t>
  </si>
  <si>
    <t>10.1002/arch.940060206</t>
  </si>
  <si>
    <t>2-s2.0-84990449362</t>
  </si>
  <si>
    <t>NAGW-235</t>
  </si>
  <si>
    <t>['wave receivers', 'usually less', 'three times', 'tethered mother', 'space shuttle', 'rocket program', 'rights reserved', 'results provide', 'repeatedly measured', 'preliminary test', 'plasma probe', 'plasma discharge', 'new type', 'frequency pulsing', 'frequency bands', 'floating probes', 'first time', 'electron beam', 'early 1990s', 'clear evidence', 'altitude range', 'active experiment', '200 km', '100 v', '10 v']</t>
  </si>
  <si>
    <t>Tethered rocket experiments have been carried out three times during a U.S.-Japan joint space program in progress since 1980. The results provide a preliminary test for the U.S.-Italy Tethered Satellite System-1 experiments scheduled for flight with the Space Shuttle in the early 1990s. The goal of the rocket program has been to perform a new type of active experiment by ejecting an electron beam from the tethered mother-daughter payload system. Several important results have been obtained in the series of experiments. In the third rocket flight, the conductive tether wire was deployed to 418 m, which was the first time the wire length exceeded 100 m in the sounding rocket experiments. The vehicle charging due to dc beam emission up to 80 mA in the altitude range from 150 to 200 km was repeatedly measured by both Langmuir and floating probes, and was found to be usually less than 10 V. In addition, during the 80-mA emission, clear evidence for the ignition of a beam-plasma discharge was obtained by the plasma probe, photometers, and wave receivers. In the tether deployment experiment, it was found that the tether wire acted as an antenna and its antenna impedance decreased with the extension of the wire both in high-frequency and very low-frequency bands. Finally, substantial rocket charging (to greater than 100 V) was observed during periods of electron beam very low-frequency pulsing. ¬© American Institute of Aeronautics and Astronautics, Inc., 1987, All rights reserved.</t>
  </si>
  <si>
    <t>444-453</t>
  </si>
  <si>
    <t>Journal of Spacecraft and Rockets</t>
  </si>
  <si>
    <t>60000809;60000809;60000809;60000809;60000809;60031706;60031706;60091252;60091252;60025778;60002090;60009885</t>
  </si>
  <si>
    <t>36108761200;35389408800;57218129459;57192148895;7006584314;7003413828;7404186478;23053784400;57197397335;36888896800;7402558152;16453321700</t>
  </si>
  <si>
    <t>Sasaki, S.;Oyama, K. I.;Kawashima, N.;Watanabe, Y.;Obayashi, T.;Raitt, W. J.;White, A. B.;Banks, P. M.;Williamson, P. R.;Sharp, W. F.;Yokota, T.;Hirao, K.</t>
  </si>
  <si>
    <t>United States;United States;United States;Japan;Japan;Japan</t>
  </si>
  <si>
    <t>Stanford;Logan;Ann Arbor;Tokyo;Matsuyama;Sagamihara</t>
  </si>
  <si>
    <t>STAR Lab;Utah State University;University of Michigan, Ann Arbor;Tokai University;Ehime University;JAXA Institute of Space and Astronautical Science</t>
  </si>
  <si>
    <t>60091252;60031706;60025778;60009885;60002090;60000809</t>
  </si>
  <si>
    <t>Sasaki S.</t>
  </si>
  <si>
    <t>Results from a series of tethered rocket experiments</t>
  </si>
  <si>
    <t>10.2514/3.25937</t>
  </si>
  <si>
    <t>2-s2.0-85003253279</t>
  </si>
  <si>
    <t>['verification approaches', 'verification approach', 'using results', 'two parts', 'tested substructure', 'second part', 'scaling law', 'rip antenna', 'rights reserved', 'results indicate', 'prototype structure', 'proposed approach', 'paper describes', 'large beam', 'ground test', 'gravity effect', 'dynamic characteristics', 'critical length', 'buckling problem', 'also established']</t>
  </si>
  <si>
    <t>This paper describes the verification approach of large beam-type space structures. The proposed verification approach consists of two parts. The first is to remove the gravity effect on the tested substructure and to identify the on-orbit dynamic characteristics of the substructure by using the measurements of the ground test. A scaling law is also established to define the critical length of the structure that can be tested in 1 g field without incurring a buckling problem. The second part is to develop an adequate scaling law to extrapolate the dynamic characteristics of the prototype structure by using results from the substructure. The verification approaches are demonstrated on two typical structural configurations: the feed support structure of a wrap-rip antenna and a candidate Shuttle flight experiment. The results indicate that it is practical to verify the on-orbit dynamic characteristics of these structures by using the proposed approach. ¬© American Institute of Aeronautics and Astronautics, Inc., 1987, All rights reserved.</t>
  </si>
  <si>
    <t>Shih, Choon Foo</t>
  </si>
  <si>
    <t>Shih C.</t>
  </si>
  <si>
    <t>Verification of large beam-type space structures</t>
  </si>
  <si>
    <t>10.2514/3.25940</t>
  </si>
  <si>
    <t>2-s2.0-85003415165</t>
  </si>
  <si>
    <t>['√§ nnchen', 'àú75 mm', 'àú708 urn', 'wogegen 4s', 'within 99', 'von 0', 'unmated males', 'und langen', 'und 4s', 'tactile stimuli', 'subsequently avoided', 'steric change', 'sowie lange', 'similar magnitude', 'sex pheromone', 'serrated flagellum', 'sensilla basiconica', 'scattered among', 'presumably due', 'parabolic curve', 'mating consists', 'males performed', 'males depends', 'male mounting', 'male l', 'liefen die', 'letzteres erscheint', 'latent period', 'h √∂', 'gland producing', 'g 4s', 'fourth week', 'ein 1', 'die sie', 'die paarung', 'die kurzen', 'daraus folgt', 'copulation attempts', 'behaviour due', 'b ).', 'apodeme within', 'antagonistic interaction', 'angeboten wurde', 'adult life', '90 mv', '9 sec', '9 ).', '8 ).', '4 œºm', '4 urn', '4 ).', '3 œºm', '3 ).', '20 ml', '2 sec', '12 ).', '10a ).', '0 sec', '), increases']</t>
  </si>
  <si>
    <t>Attraction and copulation of male tobacco beetles (Lasioderma serricorne F.) are mediated by pheromonal as well as tactile stimuli, and mating consists of a relatively short courtship (male mounting the female) and long pairing stage (in end to end position). The gland producing the sex pheromone is attached to the apex of an apodeme within the second abdominal segment of the female. The antenna of male L. serricorne has a serrated flagellum (Àú708 urn) being equipped with short (14‚Äì17 urn) and long (20‚Äì23 urn) bristles as well as short (3.9‚Äì4.4 urn) and long (5.3‚Äì6.3 Œºm) sensilla basiconica, scattered among the former. The responsiveness to the main pheromone component, 4S,6S,7S‚Äêserricornin (S,S,S), increases with the age of unmated males from the first to the fourth week of adult life. Unmated males reached 10Àú3 u,g‚Äêamounts of S,S,S after 14.9 sec and the minor sex pheromone component 2S, 3S‚Äêanhydroserricornin (S,S) after 51.2 sec. They approached the pheromone antagonist 4S,6S,7R‚Äêserricornin (S,S,R) within 99.0 sec and subsequently avoided it. 40‚Äì45 % Males displayed klinotactic orientation in response to 10‚àí3 Œºg S,S,S or S,S and 25‚Äì30% of males performed this behaviour due to S,S,R. The latent period of males depends on the dosage of S,S,S; the correlation between both represents a parabolic curve. Mixtures of 1:10 or 1:1 of S,S,S: S,S,R abolished male aggregation and copulation attempts, a 1:0.1‚Äêmixture suppressed 60‚Äì66% of the aggregation and copulation attempts induced by S,S,S, while a 1:0.01‚Äêmixture did not influence those parameters. Both S,S,S and S,S,R elicited receptor potentials of similar magnitude (0.6‚Äì2.1 mV due to 10‚àí5‚Äê10¬∞ Œºg) being 2.5‚Äì2.8 times higher than those induced by S,S in the long sensilla basiconica of male tobacco beetles. The antagonistic interaction between S,S,R and S,S,S is presumably due to the steric change at the chiral centre C7. Pheromonbiologie des Tabakk√§fers Lasioderma serricorne F. (Anob√ºdae) sowie ein Beitrag zur Kenntnis des Pheromonantagonismus zwischen 4S,6S,7S‚Äê und 4S,6S,7R‚ÄêSerricornin Die Paarung des Tabakk√§fers (Lasioderma serricorne F.) erfolgt erst einige Zeit nach dem Schlupf der Imagines aus dem Larvenkokon (=Puppenwiege) und der Prozentsatz der‚Äîsich paarenden‚ÄîInsekten steigt von Àú25 am dritten Tag auf Àú96 am siebten Tag nach der Puppen‚ÄêImaginalh√§utung. Die Paarung (Abb. 1a, b) besteht aus einer verh√§ltnism√§√üig kurzfristigen Balz (Dauer 22‚Äì86 sec), wobei das polygame M√§nnchen das Weibchen dorsal besteigt, umklammert und seinen Aedeagus in dessen Vagina einf√ºhrt, sowie anschlie√üend einer langdauernden Begattung einschlie√ülich Besamung (Dauer 53‚Äì67 min), wobei beide Geschlechter mit ihren Abdominalenden verbunden bleiben. Anlockung und Paarung der m√§nnlichen Tabakk√§fer kommen vorrangig mittels Pheromon‚Äê und Tastreizen, die von bestimmten Sensillen der Antennen und Lippentaster wahrgenommen werden, zustande. Eine gelappte exokrine Dr√ºse, die der Spitze des‚Äîim zweiten Abdominalsegment des weiblichen Tabakk√§fers befindlichen‚ÄîApodems angelagert ist, besorgt die Produktion und Abgabe des Sexualpheromons (Abb. 2a, b). Hexanextrakte, die 10‚àí4 bis 10¬∞ √Ñquivalente der unversehrten Pheromondr√ºse enthalten, riefen allm√§hlich steigende Rezeptorpotentiale an den langen Sensilla basiconica der M√§nnchenantennen hervor (Abb. 3). Die Empf√§nglichkeit f√ºr die Hauptkomponente des Sexualpheromons, 4S,6S,7S‚ÄêSerricornin (Abb. 4), steigt mit zunehmendem Alter der unbegatteten M√§nnchen: die‚Äîvon 10‚àí3 Œº.g 4S,6S,7S‚ÄêSerricornin verursachte‚ÄîLatenzzeit wurde innerhalb der ersten zwei Wochen Àú12.4fach k√ºrzer (Abb. 5), w√§hrend Aggregationszeit und Anzahl der Paarungsversuche von der ersten bis zur vierten Woche nach der Puppen‚ÄêImaginalh√§utung Àú5fach anstiegen (Abb. 6a, b). Andererseits wurde die Reaktionsgeschwindigkeit m√§nnlicher L. serricorne auf die genannte Pheromonkomponente auch nach mehreren Paarungen nicht beeintr√§chtigt. Unbegattete M√§nnchen des Tabakk√§fers liefen auf einer horizontalen Papierarena (Durchm. Àú75 mm, Abb. 7) von deren Rand zur Mitte, die mit 10‚àí3 Œºg 4S,6S,7S‚ÄêSerricornin punktf√∂rmig impr√§gniert war, und die sie durchschnittlich in 14.9 sec erreichten und w√§hrend 12.6 sec umkreisten. Wenn unter gleichen Versuchsbedingungen 10‚àí3 Œºg 2S,3S‚ÄêAnhydroserricornin (Nebenkomponente des Pheromons) angeboten wurde, liefen die M√§nnchen mehr spiralf√∂rmig auf den Reiz zu, womit die Latenzzeit Àú3.4fach verl√§ngert wurde und die Zeit, die sie in der N√§he des Reizes verbrachten, Àú0.5fach k√ºrzer als die‚Äîvon 10‚àí3 Œºg 4S,6S,7S‚ÄêSerricornin verursachten‚ÄîWerte wurde. Andererseits erreichten die M√§nnchen 10‚àí3 Œºg 4S,6S,7R‚ÄêSerricornin (Pheromonantagonist) erst nach durchschnittl. 99.0 sec (ben√∂tigten also 6.6fach mehr Zeit als zum Auffinden von 10‚àí3 Œºg 4S,6S,7S‚ÄêSerricornin), worauf sie schroff umkehrten und so die Reizquelle vermieden (Abb. 8). In unbewegter Luft und einem relativ steilen Gef√§lle von 4S,6S,7S‚ÄêSerricornin bzw. 2S,3S‚ÄêAnhydroserricornin orientierten sich 40‚Äì45 % der M√§nnchen klinotaktisch, w√§hrend nur 25‚Äì30 % der M√§nnchen dieses Verhalten in Gegenwart von 4S,6S,7R‚ÄêSerricornin zeigten. Die Dauer der ‚Äî von 4S,6S,7S‚ÄêSerricornin hervorgerufenen‚ÄîLatenzzeiten ist dosisabh√§ngig und stellt eine parabel‚Äê√§hnliche Kurve dar, wobei die k√ºrzesten Latenzzeiten von 10‚àí3 bzw. 10‚àí2 Œºg und die l√§ngsten Latenzzeiten von 10‚àí5 sowie 100 Œºg verursacht wurden. 2S,3S‚ÄêAnhydroserricornin bewirkte 1.3‚Äì3.4fach l√§ngere Latenzzeiten als 4S,6S,7S‚ÄêSerricornin bei gleicher Dosierung, wogegen 4S,6S,7R‚ÄêSerricornin keine Dosisabh√§ngigkeit der Latenzzeit aufwies (Abb. 9). Gemische zwischen 4S,6S,7S‚ÄêSerricornin und 4S,6S,7R‚ÄêSerricornin im Verh√§ltnis von 1:10 oder 1:1 hoben Aggregation und Paarungsversuche m√§nnlicher L. serricorne vollst√§ndig auf, ein 1:0.1‚ÄêGemisch beider Stereoisomere unterdr√ºckte 60‚Äì66 % der‚Äîvon 4S,6S,7S‚ÄêSerricornin verursachten‚ÄîAggregationen und Paarungsversuche, w√§hrend ein 1:0.01‚ÄêGemisch zwischen beiden Stereoisomeren die genannten Verhaltensparameter nicht mehr beeinflu√üte (Abb. 6a, b). Die antagonistische Wechselwirkung zwischen 4S,6S,7R‚Äê und 4S,6S,7S‚ÄêSerricornin beruht h√∂chstwahrscheinlich auf der sterischen √Ñnderung an dem chiralen Zentrum C7, die eine spiegelbildverkehrte Stellung von Wasserstoff und Hydroxyl des 4S,6S,7R‚ÄêStereoisomers im Vergleich zu 4S,6S,7S‚ÄêSerricornin darstellt (Abb. 4). Die Antenne des m√§nnlichen Tabakk√§fers setzt sich aus einem bohnenf√∂rmigen Scapus, einem kleinen Pedicellus sowie einem schmalen, aus neun Segmenten bestehenden, Flagellum (L√§nge Àú708 (im) zusammen. Letzteres erscheint, aufgrund der nahezu dreieckigen Segmente 5‚Äì10, ges√§gt, wogegen das letzte Segment des Flagellums (Nr. 11) oval geformt ist (Abb. 10a). Kurze (14‚Äì17 (Œºm) sowie lange (20‚Äì23Œºm) Borsten (Abb. 10b) sind die vorherrschenden Sensillen an s√§mtlichen flagellaren Segmenten (Nr. 3‚Äì11). Die kurzen (3.9‚Äì4.4 Œºm) und langen (5.3‚Äì6.3 Œºm) Sensilla basiconica (Abb. 10c, d) kommen zahlreich unter den Borsten verteilt vor und sind der h√§ufigste Typus olfaktorischer Sinneshaare am Flagellum m√§nnlicher L. serricorne. Die langen Sensilla basiconica sind vorwiegend an den distalen Segmenten (Nr. 11, 10 und 9) der Antennengei√üel vorhanden, w√§hrend die Anzahl der kurzen Sensilla basiconica von Segment 10 nach Segment 3 hin allm√§hlich zunimmt. Nach Reizung der langen Sensilla basiconica mit kurzen Luftst√∂√üen (20 ml/0.5 sec), die √ºber abgestufte Mengen von 10‚àí5 bis 10¬∞ Œºg 4S,6S,7S‚ÄêSerricornin oder 4S,6S,7R‚ÄêSerricornin geleitet wurden, konnten Rezeptorpotentiale im Bereich von 0.6 bis 2.1 mV registriert werden. Andererseits ergab die Reizung der Riechhaare mit 2S,3S‚ÄêAnhydroserricornin, in den oben angef√ºhrten Mengen, Rezeptorpotentiale in H√∂he von 0.35‚Äì0.90 mV (Abb. 12). Daraus folgt, da√ü 4S,6S,7S‚ÄêSerricornin (Hauptkomponente des Pheromons) und 4S,6S,7R‚ÄêSerricornin (Pheromonantagonist) in den langen Sensilla basiconica m√§nnlicher L. serricorne √§hnlich hohe Rezeptorpotentiale hervorrufen und da√ü die letzteren 2.5‚Äì2.8fach h√∂her als die von 2S,3S‚ÄêAnhydroserricornin (Nebenkomponente des Pheromons) verursachten Rezeptorpotentiale sind. 1987 Blackwell Verlag GmbH</t>
  </si>
  <si>
    <t>217-240</t>
  </si>
  <si>
    <t>7102170884;16212286200</t>
  </si>
  <si>
    <t>Levinson, H. Z.;Levinson, A. R.</t>
  </si>
  <si>
    <t>Pheromone biology of the tobacco beetle (Lasioderma serricorne F., Anobiidae) with notes on the pheromone antagonism between 4S,6S,7S‚Äê and 4S,6S,7R‚Äêserricornin</t>
  </si>
  <si>
    <t>10.1111/j.1439-0418.1987.tb00981.x</t>
  </si>
  <si>
    <t>2-s2.0-85004221216</t>
  </si>
  <si>
    <t>['various habitats', 'subfamilies gomphocerinae', 'still unclear', 'sound production', 'songs occur', 'simple song', 'short copulations', 'sexes recognize', 'romaleinae produce', 'respective subfamilies', 'receptive females', 'mating behaviour', 'little influence', 'intrinsic factors', 'high diversification', 'form part', 'females could', 'ecological constraints', 'different species', 'courtship patterns', 'copiocerinae ),', 'conspicuous movements', 'chemical means', 'acoustic signals', 'acoustic activity']</t>
  </si>
  <si>
    <t>Aspects of premating and mating behaviour in several South American grasshopppers (Acridoidea) are described and compared. Examples of communication by acoustical, visual and chemical means are given. Acoustic signals are emitted only by species of the subfamilies Gomphocerinae, Acridinae, Romaleinae and Copiocerinae. Each subfamily has distinct sound‚Äêproducing mechanisms, and the songs occur in different behavioural contexts. In Gomphocerinae and Acridinae the sexes recognize and attract each other by species‚Äêspecific songs produced by a femuro‚Äêtegminal stridulatory mechanism. In contrast, Romaleinae produce a simple song by rubbing the hindwings against the forewings. These songs are similar in different species and no attraction of females could be demonstrated, but the behaviour may function in male‚Äêmale interaction and during copulation. Sexual pheromones also play a role in this subfamily. Acoustic activity during copulation has been observed in Aleuasini (Copiocerinae), but its function is still unclear. No sound production at all exists in the Leptysminae, Rhytidochrotinae, Ommatolampinae, Melanoplinae, Proctolabinae and Bactrophorinae, but conspicuous movements of hindlegs (kneewaving) and antennae were observed. In some species these form part of a soundless courtship display. Ecological constraints have little influence on the basic mating strategies: romaleine, gomphocerine and melanopline grasshoppers often coexist in various habitats, but show the divergent behaviour patterns characteristic of their respective subfamilies. Intrinsic factors of female reproductive physiology seem to be more important: a hormonally controlled reproductive cycle in gomphocerine females provides for only few short copulations, while romaleine females copulate frequently and longer. In Gomphocerinae and Acridinae, receptive females are rare (male‚Äêbiased operational sex ratio) which leads to intense competition among males. It is hypothesized that this could be responsible for the high diversification of song and courtship patterns in these subfamilies. 1987 Blackwell Verlag GmbH</t>
  </si>
  <si>
    <t>265-296</t>
  </si>
  <si>
    <t>Ethology</t>
  </si>
  <si>
    <t>January‚ÄêDecember 1987</t>
  </si>
  <si>
    <t>Riede, Klaus</t>
  </si>
  <si>
    <t>Riede K.</t>
  </si>
  <si>
    <t>A Comparative Study of Mating Behaviour in Some Neotropical Grasshoppers (Acridoidea)</t>
  </si>
  <si>
    <t>10.1111/j.1439-0310.1987.tb00689.x</t>
  </si>
  <si>
    <t>2-s2.0-85005470433</t>
  </si>
  <si>
    <t>['¬© 1987', 'stopped walking', 'staying motionless', 'sexes copulated', 'several mates', 'rights reserved', 'reproductive success', 'pine trees', 'ovipositing female', 'monochamus alternatus', 'mating behavior', 'mate searching', 'mate recognition', 'male licked', 'long pair', 'japanese society', 'initially passive', 'glass containers', 'fitness theory', 'field cage', 'disturbing males', 'calm female', 'body odor', 'began walking', 'applied entomology', 'antennae widespread', 'also supposed', 'actively moving']</t>
  </si>
  <si>
    <t>The mating behavior of Monochamus alternatus was observed in glass containers and on pine trees in a field cage. The male was initially passive, staying motionless with his antennae widespread while the female was actively moving in his vicinity. Courtship was initiated by the female approach toward the male. The male then dashed and mounted her and she began walking with him on top. The male licked to calm female and succeeded in copulating when she stopped walking. A long pair-bond was formed in which repeated copulations occurred with the ovipositing female. Adults of both sexes copulated with several mates. Taking over of a mate from a pair was done by both male and female. The antennae were used to ward off disturbing males or females. The presence of a male sex pheromone was supposed to be the attractant for mate searching. Antennae and body odor were also supposed to play a role in mate recognition and initiation of courtship. The mating behavior was explained in terms of the fitness theory and reproductive success. ¬© 1987, JAPANESE SOCIETY OF APPLIED ENTOMOLOGY AND ZOOLOGY. All rights reserved.</t>
  </si>
  <si>
    <t>272-285</t>
  </si>
  <si>
    <t>1347605X</t>
  </si>
  <si>
    <t>Applied Entomology and Zoology</t>
  </si>
  <si>
    <t>60011001;60011001;117826538</t>
  </si>
  <si>
    <t>57192732739;16453106800;8919219500</t>
  </si>
  <si>
    <t>Fauziah, Binte Abdullah;Hidaka, Toshitaka;Tabata, Katsuhiro</t>
  </si>
  <si>
    <t>Kyoto;Kyoto</t>
  </si>
  <si>
    <t>Kyoto University;Research Institutes for Production Development</t>
  </si>
  <si>
    <t>60011001;117826538</t>
  </si>
  <si>
    <t>Fauziah B.</t>
  </si>
  <si>
    <t>The Reproductive Behavior of Monochamus alternatus Hope(Coleoptera: 1 Cervambycidae)&lt;inf&gt;1&lt;/inf&gt;</t>
  </si>
  <si>
    <t>10.1303/aez.22.272</t>
  </si>
  <si>
    <t>2-s2.0-85011141439</t>
  </si>
  <si>
    <t>['¬© 1987', 'satellite traffic', 'satellite parameters', 'routinely monitored', 'rights reserved', 'results show', 'results presented', 'procedures used', 'noise ratio', 'following installation', 'fm signals', 'electrical engineers', 'csm capability', 'baseband parameters', 'aussat ).', 'also included', 'accurate system']</t>
  </si>
  <si>
    <t>Monitoring | Satellite links and space communications</t>
  </si>
  <si>
    <t>The paper gives details of the performance and accuracy of the communications system monitor (CSM) which is used in conjunction with the Australian National Satellite System (AUSSAT). The equivalent isotropic radiated power (EIRP), frequency and carrier/noise ratio of all carriers are routinely monitored by the CSM as well as a range of baseband parameters for FM/TV and FDM/FM signals. The CSM capability to measure a number of satellite parameters and obtain remote antenna patterns is described. Details are provided of the accuracy of the CSM as determined during extensive factory testing. The results show that the CSM is a very accurate system for the monitoring of both satellite traffic and satellite transponder parameters. Procedures used for setting up carriers for the testing of the CSM are also included. The results presented are those obtained during extensive factory testing of the system. Following installation of the CSM additional carrier types and measurements have been incorporated in the system. ¬© 1987, The Institution of Electrical Engineers. All rights reserved.</t>
  </si>
  <si>
    <t>492-498</t>
  </si>
  <si>
    <t>60083258;60083258</t>
  </si>
  <si>
    <t>6506144609;6505875164</t>
  </si>
  <si>
    <t>Trethewie, J. V.;Yuceozsoy, M.</t>
  </si>
  <si>
    <t>Amalgamated Wireless Australasia Limited</t>
  </si>
  <si>
    <t>Trethewie J.</t>
  </si>
  <si>
    <t>Performance of a communications system monitor</t>
  </si>
  <si>
    <t>10.1049/ip-f-1.1987.0085</t>
  </si>
  <si>
    <t>2-s2.0-85024345209</t>
  </si>
  <si>
    <t>['two types', 'triangular lattice', 'third part', 'thesis deals', 'slot radiator', 'slot element', 'second part', 'radiation patterns', 'poynting vector', 'mutual coupling', 'mutual admittance', 'microstrip patches', 'microstrip patch', 'first part', 'derived via', 'cylindrical surface', 'beam steering', 'array consists', 'antenna elements', '63 degree']</t>
  </si>
  <si>
    <t>The subject of this thesis is the analysis of antenna elements on a cylindrical surface. Two types of elements are considered, namely, the slot radiator and the microstrip patch. In the first part of the thesis the slot element is analyzed in terms of the stored and radiated power contained in the near-field. A comparison is made with the corresponding planar slot. The mutual admittance between two axial slots is derived via an integration of the Poynting vector over the aperture of the slot. The second part of the thesis deals with the radiation patterns from microstrip patches on the cylinder. Two theroretical models are used to calculate the far-field radiation patterns and the results of these computations are compared to measurements. In the third part of the thesis a phase steered microstrip patch array on a cylinder is presented. The array consists of 32 elements arranged in a triangular lattice. Beam steering to 63 degree in azimuth is demonstrated. The mutual coupling between the elements is studied.</t>
  </si>
  <si>
    <t>Chalmers Tekniska Hogskola, Doktorsavhandlingar</t>
  </si>
  <si>
    <t>Sohtell, E. Viola</t>
  </si>
  <si>
    <t>Sohtell E.</t>
  </si>
  <si>
    <t>MICROWAVE ANTENNAS ON CYLINDRICAL STRUCTURES.</t>
  </si>
  <si>
    <t>2-s2.0-85040871971</t>
  </si>
  <si>
    <t>['third part', 'scattering problem', 'primary function', 'periodic gratings', 'periodic arrays', 'frequency filtering', 'first part', 'first higher', 'electromagnetic waves', 'dichroic surfaces', 'convergence problem']</t>
  </si>
  <si>
    <t>The subject of this thesis is the analysis and design of periodic gratings consisting of thin conducting elements, for which the primary function is frequency filtering or scanning of electromagnetic waves. The first part of the thesis is concerned with the frequency filtering properties of double layer dichroic surfaces including various dielectric sheets. In particular the use of dichroic surfaces as frequency sensitive subreflectors in a Cassegrain antenna system is investigated. The second part deals with the convergence problem that arises when the scattering problem of periodic gratings is solved by means of the method of moments and Floquet's theorem. In the third part, frequency scanned gratings consisting of periodic arrays of thin conducting elements are investigated. The principle is used to let the first higher-order diffracted wave propagate and serve as the frequency scanned beam.</t>
  </si>
  <si>
    <t>Johansson, F. Stefan</t>
  </si>
  <si>
    <t>PERIODIC ARRAYS OF THIN CONDUCTING ELEMENTS FOR FREQUENCY FILTERING AND SCANNING.</t>
  </si>
  <si>
    <t>2-s2.0-85040874053</t>
  </si>
  <si>
    <t>['¬© 1987', 'two species', 'tibia iii', 'scaphytopius nitridus', 'rights reserved', 'results showed', 'morphometric analysis', 'host eggs', 'hind tibia', 'harris ),', 'giraulti emerging', 'following hosts', 'entomological society', 'empoasca fabae', 'delong ).']</t>
  </si>
  <si>
    <t>Morphometric analysis was studied on the measurements of the forewings, ovipositor, hind tibia, and antenna of female Anagrus giraulti Crawford reared from the following hosts: Circulifer tenellus Baker, Empoasca fabae (Harris), and Scaphytopius nitridus (DeLong). Results showed that A. giraulti emerging from E. fabae had significantly shorter antennal segments, ovipositor, and tibia III than those reared from the other two host species. Host eggs of C. tenellus produced female A. giraulti with significantly longer wing lengths than did the other two species and wider wing widths than did E. fabae. ¬© 1987, Entomological Society of Canada. All rights reserved.</t>
  </si>
  <si>
    <t>909-912</t>
  </si>
  <si>
    <t>60001989;60029526</t>
  </si>
  <si>
    <t>6506090289;57189982053</t>
  </si>
  <si>
    <t>Meyerdirk, Dale E.;Moratorio, Mario S.</t>
  </si>
  <si>
    <t>Riverside;Washington, D.C.</t>
  </si>
  <si>
    <t>University of California, Riverside;USDA Agricultural Research Service</t>
  </si>
  <si>
    <t>60029526;60001989</t>
  </si>
  <si>
    <t>Meyerdirk D.</t>
  </si>
  <si>
    <t>Morphometric study of anagrus giraulti crawford (hymenoptera: Mymaridae) reared from eggs of three different cicadellid hosts</t>
  </si>
  <si>
    <t>10.4039/Ent119909-10</t>
  </si>
  <si>
    <t>2-s2.0-9444227348</t>
  </si>
  <si>
    <t>3.207-0.85</t>
  </si>
  <si>
    <t>['œ ≤', '¬© 1987', 'whatman de', 'two typical', 'sequence homologous', 'sephadex lh', 'purple bacteria', 'polypeptide together', 'antenna polypeptide', 'ammonium acetate', '42 within', '40 %)', '3 kda']</t>
  </si>
  <si>
    <t>(Chloroflexus aurantiacus) | Amino acid sequence | B806-866 antenna complex | Green photosynthetic bacterium | Light-harvesting polypeptide</t>
  </si>
  <si>
    <t>The bacteriochlorophyll a-binding polypeptide B806-866-Œ≤ was extracted from membranes of the green thermophilic bacterium Chloroflexus aurantiacus with chloroform/methanol/ammonium acetate. Purification of the antenna polypeptide (6.3 kDa) was achieved by chromatography on Sephadex LH-60, Whatman DE-32 and by FPLC. The complete amino acid sequence (53 amino acid residues) was determined. The B806-866-Œ≤ polypeptide is sequence homologous to the antenna Œ≤-polypeptides of purple bacteria (27-40%) and exhibits the characteristic three domain structure of the B870, B800-850 and B800-820 antenna complexes. The two typical His residues, conserved in all antenna Œ≤-polypeptides of purple bacteria, were found: His-24 lies within the N-terminal hydrophilic domain and His-42 within the central hydrophobic domain. This polypeptide together with the previously described Œ±-polypeptide form the basic structural unit of the B806-866 antenna complex from C. aurantiacus. ¬© 1987.</t>
  </si>
  <si>
    <t>189-194</t>
  </si>
  <si>
    <t>FEBS Letters</t>
  </si>
  <si>
    <t>60025858;60025858;60025858;60025858;60025858</t>
  </si>
  <si>
    <t>6602549111;6603669964;7401890961;7006674721;7006345218</t>
  </si>
  <si>
    <t>Wechsler, T. D.;Brunisholz, R. A.;Frank, G.;Suter, F.;Zuber, H.</t>
  </si>
  <si>
    <t>Zurich ZH,</t>
  </si>
  <si>
    <t>ETH Zurich</t>
  </si>
  <si>
    <t>Wechsler T.</t>
  </si>
  <si>
    <t>The complete amino acid sequence of the antenna polypeptide B806-866-Œ≤ from the cytoplasmic membrane of the green bacterium Chloroflexus auranliacus</t>
  </si>
  <si>
    <t>10.1016/0014-5793(87)81335-2</t>
  </si>
  <si>
    <t>2-s2.0-0023097917</t>
  </si>
  <si>
    <t>['¬© 1987', 'six passbands', 'similar apparatus', 'radiometer consisted', 'optical society', 'liquid 4he', 'lid covering', 'horn antenna', 'diffuse brightness', 'astrophysical data', 'another flight', '2 k', '1 mm']</t>
  </si>
  <si>
    <t>We report the performance of a rocket-borne absolute radiometer which was designed to measure the diffuse brightness of the sky in six passbands between 100 /tm and 1 mm. The radiometer consisted of a horn antenna and a photometer, both of which were cooled to 1.2 K by liquid 4He. The performance of the instrument was satisfactory, but no astrophysical data were obtained during the flight because a lid covering the horn antenna failed to pen. Another flight of a similar apparatus is planned for 1986. ¬© 1987, Optical Society of America.</t>
  </si>
  <si>
    <t>401-409</t>
  </si>
  <si>
    <t>60025038;60000264;60000264;60000264;60000264;60025038;60000264</t>
  </si>
  <si>
    <t>7202217031;16467982100;57080236800;55550304500;57209692325;7201484168;56982420100</t>
  </si>
  <si>
    <t>Lange, A. E.;Hayakawa, S.;Matsumoto, T.;Matsuo, H.;Murakami, H.;Richards, P. L.;Sato, S.</t>
  </si>
  <si>
    <t>United States;Japan</t>
  </si>
  <si>
    <t>Berkeley;Nagoya</t>
  </si>
  <si>
    <t>University of California, Berkeley;Nagoya University</t>
  </si>
  <si>
    <t>60025038;60000264</t>
  </si>
  <si>
    <t>Lange A.</t>
  </si>
  <si>
    <t>Rocket-borne submillimeter radiometer</t>
  </si>
  <si>
    <t>10.1364/AO.26.000401</t>
  </si>
  <si>
    <t>2-s2.0-72749087158</t>
  </si>
  <si>
    <t>['¬© 1987', 'winston concentrator', 'submillimeter wavelengths', 'sidelobe response', 'optical society', 'optical axis', 'minimizes diffraction', 'horn antenna', 'flared baffle', 'diffuse brightness', 'borne observation', 'antenna consists', '70 ¬∞', '337 pm']</t>
  </si>
  <si>
    <t>A horn antenna with low sidelobe response has been fabricated for a rocket-borne observation of the diffuse brightness of the sky at submillimeter wavelengths. The antenna consists of a Winston concentrator which defines the field of view and a flared baffle which minimizes diffraction. The sidelobe response for Œª = 337 pm was measured to be &lt;10-9 at an angle of 70¬∞ from the optical axis. Calculations are reported which illustrate the contributions of diffraction and scattering to the sidelobe response. ¬© 1987, Optical Society of America.</t>
  </si>
  <si>
    <t>410-415</t>
  </si>
  <si>
    <t>60000264;60000264;60025038;60000264;60000264;60000264;60025038</t>
  </si>
  <si>
    <t>56982420100;16467982100;7202217031;57080236800;55550304500;57209692325;7201484168</t>
  </si>
  <si>
    <t>Sato, S.;Hayakawa, S.;Lange, A. E.;Matsumoto, T.;Matsuo, H.;Murakami, H.;Richards, P. L.</t>
  </si>
  <si>
    <t>Sato S.</t>
  </si>
  <si>
    <t>Horn antenna with low sidelobe response for observations of diffuse celestial radiation</t>
  </si>
  <si>
    <t>10.1364/AO.26.000410</t>
  </si>
  <si>
    <t>2-s2.0-84883788959</t>
  </si>
  <si>
    <t>['¬© 1987', 'resonant transducer', 'qnd schemes', 'qnd nature', 'next generation', 'gravitational waves', 'general proof', 'complex amplitudes']</t>
  </si>
  <si>
    <t>We present a general proof of the QND nature of the complex amplitudes for two coupled harmonic oscillators. The possibilities of the QND schemes for the detection of gravitational waves with a Weber-type antenna coupled to a resonant transducer are discussed, as well as their importance for the design of the next generation of gravitational wave antennas. ¬© 1987.</t>
  </si>
  <si>
    <t>Physics Letters A</t>
  </si>
  <si>
    <t>Onofrio, R.</t>
  </si>
  <si>
    <t>Onofrio R.</t>
  </si>
  <si>
    <t>Quantum non-demolition observables for a weber-type gravitational wave antenna coupled to a resonant transducer</t>
  </si>
  <si>
    <t>0375-9601(87)90253-2</t>
  </si>
  <si>
    <t>10.1016/0375-9601(87)90253-2</t>
  </si>
  <si>
    <t>2-s2.0-0040543450</t>
  </si>
  <si>
    <t>['treated surface', 'treated beads', 'responses indicated', 'parasites exposed', 'males exposed', 'leptinotarsa decemlineata', 'increased amount', 'host fluids', 'hexane wash', 'flat surface', 'elicited host', 'eggs contained', 'beads treated', 'acceptance behaviors']</t>
  </si>
  <si>
    <t>behavior | Chrysomelidae | Coleoptera | Colorado potato beetle | Edovum puttleri | Eulophidae | host acceptance | host finding | Hymenoptera | Kairomone | Leptinotarsa decemlineata | parasite</t>
  </si>
  <si>
    <t>When females of the eulophid parasite Edovum puttleri were exposed to an n-hexane wash of eggs of the Colorado potato beetle, Leptinotarsa decemlineata, their responses indicated that the eggs contained a kairomone which elicited host-finding and host-acceptance behaviors. The hostfinding responses included an increased amount of time searching glass beads treated with kairomone, and drumming on the beads with the flagellum of the antennae. Host-acceptance responses included grasping of the beads with the legs, raising of the abdomen, and probing the kairomone-treated surface with the ovipositor. None of these responses were noted in females on beads treated only with hexane, or in males exposed to kairomone-treated beads. When kairomone was applied to a flat surface, filter paper disks, few episodes of drumming and no episodes of probing with the ovipositor were noted. Responses of E. puttleri to eggs of Colorado potato beetle were similar to those on kairomone-treated beads, but females normally drilled into eggs and fed on host fluids after retracting the ovipositor. The kairomone is volatile, and responsiveness was reduced in parasites exposed to beads treated several hours previously. ¬© 1987 Plenum Publishing Corporation.</t>
  </si>
  <si>
    <t>335-344</t>
  </si>
  <si>
    <t>60014313;60014313-60029608;60014313</t>
  </si>
  <si>
    <t>7201953898;15119557500;7005821818</t>
  </si>
  <si>
    <t>Leonard, David E.;Wu, Zhi Xin;Ferro, David N.</t>
  </si>
  <si>
    <t>China;United States</t>
  </si>
  <si>
    <t>Haidian;Amherst MA</t>
  </si>
  <si>
    <t>Institute of Zoology Chinese Academy of Sciences;University of Massachusetts Amherst</t>
  </si>
  <si>
    <t>60029608;60014313</t>
  </si>
  <si>
    <t>Leonard D.</t>
  </si>
  <si>
    <t>Responses of parasite Edovum puttleri to kairomone from eggs of colorado potato beetle, Leptinotarsa decemlineata</t>
  </si>
  <si>
    <t>10.1007/BF01025893</t>
  </si>
  <si>
    <t>2-s2.0-0008107642</t>
  </si>
  <si>
    <t>['sensitive allele', 'region 60d11', 'permissive temperature', 'leg discs', 'homoeotic phenotype', 'gene contributes', 'gene brista', 'distal elements', 'distal domain', 'depend upon', 'chromosome 2r']</t>
  </si>
  <si>
    <t>Distal disc structures | Drosophila | Homoetic | Mutational analysis | Transformation</t>
  </si>
  <si>
    <t>A gene Brista has been identified in chromosome 2R, in the region 60D11-E4, in which mutations cause homoeotic transformation of distal antennal structures to distal leg derivatives, and in which certain alleles also lead to upsets in the formation of distal elements of the legs. This gene is haploinsufficient for the homoeotic phenotype. Several putative null and two hypomorphic alleles have been recovered. The effects of exposure to the non-permissive temperature of a temperature-sensitive allele are cummulative and depend upon the length of the exposure during the period of antennal cell proliferation. It is suggested that this gene contributes to the stability of the state of determination in distal domain of the antennal and leg discs, and its relationship to other genes with similar mutant phenotype is discussed. ¬© 1987 Springer-Verlag.</t>
  </si>
  <si>
    <t>124-132</t>
  </si>
  <si>
    <t>1432041X</t>
  </si>
  <si>
    <t>0930035X</t>
  </si>
  <si>
    <t>Roux's Archives of Developmental Biology</t>
  </si>
  <si>
    <t>60017317;60017317</t>
  </si>
  <si>
    <t>7006677854;7101711799</t>
  </si>
  <si>
    <t>Sunkel, Claudio Enrique;Whittle, James Robert Stuart</t>
  </si>
  <si>
    <t>Brighton</t>
  </si>
  <si>
    <t>University of Sussex</t>
  </si>
  <si>
    <t>Sunkel C.</t>
  </si>
  <si>
    <t>Brista: a gene involved in the specification and differentiation of distal cephalic and thoracic structures in Drosophila melanogaster</t>
  </si>
  <si>
    <t>10.1007/BF00402034</t>
  </si>
  <si>
    <t>2-s2.0-0023111194</t>
  </si>
  <si>
    <t>['return loss', 'manufacturing antennas', 'copper antennas', 'conductive inks', 'article looks']</t>
  </si>
  <si>
    <t>Conductive inks have undergone considerable evolution following their introduction. The article looks at the application of the conductive inks in manufacturing antennas and compares radiation patterns and return loss for the conductive ink antennas and copper antennas.</t>
  </si>
  <si>
    <t>87-88, 90</t>
  </si>
  <si>
    <t>Bancroft, Randy</t>
  </si>
  <si>
    <t>Bethesda</t>
  </si>
  <si>
    <t>Lockheed Martin Corporation</t>
  </si>
  <si>
    <t>Bancroft R.</t>
  </si>
  <si>
    <t>CONDUCTIVE INK A MATCH FOR COPPER ANTENNA.</t>
  </si>
  <si>
    <t>2-s2.0-0023287328</t>
  </si>
  <si>
    <t>['several wavelengths', 'scattering width', 'scattered waves', 'normalized radius', 'hankel functions', 'boundary conditions', 'antenna aperture']</t>
  </si>
  <si>
    <t>Near-field evanescent waves can contribute to the scattering width of a very long cylinder placed within several wavelengths of the aperture of an antenna, particularly if the antenna aperture is not more than several wavelengths in width. The scattered waves are expressed as a series of Hankel functions, where the coefficients in the expansion are determined from the boundary conditions at the surface of the perfectly conducting cylinder. The scattering width is investigated as a function of the angle of incidence, the angle of scattering, and the normalized radius of the cylinder.</t>
  </si>
  <si>
    <t>232-234</t>
  </si>
  <si>
    <t>60006168;60006168;60006168</t>
  </si>
  <si>
    <t>7102250961;57214551466;7006009447</t>
  </si>
  <si>
    <t>Coffey, James W.;Papa, Robert J.;Fante, Ronald L.</t>
  </si>
  <si>
    <t>Blue Bell</t>
  </si>
  <si>
    <t>Unisys Corporation</t>
  </si>
  <si>
    <t>Coffey J.</t>
  </si>
  <si>
    <t>CONTRIBUTION OF EVANESCENT WAVES TO THE SCATTERING WIDTH OF A CYLINDER.</t>
  </si>
  <si>
    <t>2-s2.0-0023289648</t>
  </si>
  <si>
    <t>['statistical problem', 'scattered signals', 'reciprocity theorem', 'receiving filter', 'receiving antennas', 'radiated signal', 'quasiperiodic nature', 'much simpler', 'derivation takes', 'correlation function']</t>
  </si>
  <si>
    <t>The reciprocity theorem is used to derive an expression for the correlation function of back-scattered signals in a randomly irregular ionospheric waveguide. The derivation takes into account the directivity of the transmitting and receiving antennas, the parameters of the radiated signal and receiving filter, nonstationarity of the ionosphere, and radio wave absorption. It is shown that the solution of the statistical problem is much simpler when one takes advantage of the quasiperiodic nature of the waveguide ray paths. Calculations are carried out for a model of a randomly irregular waveguide.</t>
  </si>
  <si>
    <t>42-49</t>
  </si>
  <si>
    <t>Lagutkin, V. N.</t>
  </si>
  <si>
    <t>Lagutkin V.</t>
  </si>
  <si>
    <t>CALCULATION OF THE STATISTICAL CHARACTERISTICS OF BACK-SCATTERED SIGNALS IN A RANDOMLY IRREGULAR IONOSPHERIC WAVEGUIDE.</t>
  </si>
  <si>
    <t>2-s2.0-0023290358</t>
  </si>
  <si>
    <t>['naturally consistent', 'likelihood equation', 'finding characteristics', 'exact solutions', 'detection channel', 'derive algorithms', 'broad class', 'adaptation procedures']</t>
  </si>
  <si>
    <t>The exact solutions of the likelihood equation are used to derive algorithms for estimating angular coordinates with correction and stabilization of direction-finding characteristics. These algorithms are shown to be naturally consistent with a broad class of adaptation procedures for a detection channel.</t>
  </si>
  <si>
    <t>16-23</t>
  </si>
  <si>
    <t>Zhuravlev, A. K.</t>
  </si>
  <si>
    <t>Zhuravlev A.</t>
  </si>
  <si>
    <t>ANGULAR COORDINATE ESTIMTION IN THE PRESENCE OF SPATIALLY CORRELATED INTERFERENCE IN ADAPTIVE RADAR SYSTEMS.</t>
  </si>
  <si>
    <t>2-s2.0-0023290387</t>
  </si>
  <si>
    <t>['remarkably lower', 'quick response', 'power density', 'modulated light', 'loop antenna', 'laser diode', 'instantaneous amplitude', 'highly sensitive', 'frequency response', 'field measurements', 'experimentally confirmed', 'excellent property', 'directly intensity', '38 nw', '10 mu']</t>
  </si>
  <si>
    <t>A novel measuring system on the amplitude and phase of the RF magnetic field is proposed. It is composed of a laser diode (LD) linked with a small loop antenna, an optical fiber transmission line, and phase-sensitive detection instruments. The LD output light is directly intensity-modulated by the rf current induced in the loop antenna by the rf magnetic field under test. The instantaneous amplitude and phase of the rf magnetic field are preserved in the modulated light because of the quick response of LD and are detected by the remote detection system. The characteristics of the calibration, the sensitivity, the minimum detectable field, and the frequency response are analyzed. The system is highly sensitive, nonperturbing, and noninteractive. In addition, the excellent property for measuring the phase of the rf magnetic field is experimentally confirmed by field measurements. The minimum detectable rf magnetic field is obtained as 10 mu A/cm (38 nW/cm**2 in power density) remarkably lower than others.</t>
  </si>
  <si>
    <t>135-140</t>
  </si>
  <si>
    <t>E70</t>
  </si>
  <si>
    <t>Transactions of the Institute of Electronics, Information and Communication Engineers, Section E (</t>
  </si>
  <si>
    <t>Hayashi, Ken ichi;Arai, Kazuo;Ida, Yoshio</t>
  </si>
  <si>
    <t>Hayashi K.</t>
  </si>
  <si>
    <t>MEASURING SYSTEM SENSITIVE TO AMPLITUDE AND PHASE OF RF MAGNETIC FIELD USING LD AND OPTICAL FIBER.</t>
  </si>
  <si>
    <t>2-s2.0-0023292416</t>
  </si>
  <si>
    <t>['transverse magnetic', 'transverse electric', 'transmitted fields', 'thin conductors', 'standard galerkin', 'scattering problem', 'plane wave', 'integral equation', 'induced currents', 'good agreement', 'dielectric substrate', 'basis functions']</t>
  </si>
  <si>
    <t>A fast convergent integral equation solution to the scattering problem of a transverse electric/transverse magnetic (TE/TM) plane wave by a one-dimensional periodic array of thin metal strips on a dielectric substrate is described. The formulation of the integral equation is similar to that derived by J. P. Montgomery (1975) for a two-dimensional periodic array of thin conductors on a dielectric substrate. However, the basis functions which satisfy the appropriate edge conditions are incorporated for the unknown current expansion on the strips. Following the standard Galerkin's procedure, one may readily determine the induced currents on the strips and thus the reflected and transmitted fields. Sample numerical results are given and good agreement with previously published data is obtained.</t>
  </si>
  <si>
    <t>205-207</t>
  </si>
  <si>
    <t>Wu, Te Kao</t>
  </si>
  <si>
    <t>Wu T.</t>
  </si>
  <si>
    <t>FAST CONVERGENT INTEGRAL EQUATION SOLUTION OF STRIP GRATINGS ON DIELECTRIC SUBSTRATE.</t>
  </si>
  <si>
    <t>2-s2.0-0023294942</t>
  </si>
  <si>
    <t>['substrate limitations', 'mutual coupling', 'millimeter range', 'microwave frequencies', 'microstriplines printed', 'microstrip dipoles', 'microstrip arrays', 'method presented', 'evaluated accurately', 'electromagnetically coupled', 'conductor thickness', 'analytical method']</t>
  </si>
  <si>
    <t>An analytical method for the evaluation of mutual coupling in microstrip arrays is discussed. The elements of the array are excited by microstriplines printed on or embedded in the substrate. As an example, the mutual coupling between microstrip dipoles, electromagnetically coupled to embedded strip transmission lines, is evaluated accurately. The method presented is valid in the millimeter range as well as at microwave frequencies and does not have any substrate limitations. Also, it accounts for conductor thickness and surface wave excitation. Comparison with experimental results shows excellent agreement.</t>
  </si>
  <si>
    <t>125-133</t>
  </si>
  <si>
    <t>Katehi, Pisti B.</t>
  </si>
  <si>
    <t>GENERALIZED METHOD FOR THE EVALUATION OF MUTUAL COUPLING IN MICROSTRIP ARRAYS.</t>
  </si>
  <si>
    <t>2-s2.0-0023295104</t>
  </si>
  <si>
    <t>['spherical hologram', 'spherical aberration', 'laser beam', 'holographic antenna', 'hoe free', 'design principle']</t>
  </si>
  <si>
    <t>The possibility of expansion of a laser beam by means of a holographic optical element (HOE) has been examined. A spherical hologram, based on the design principle of the holographic antenna, has been proposed as an expanding beam lens. It has been shown that a HOE free from spherical aberration can be obtained, since the radius of the spherical hologram surface depends on the reconstruction source wavelength.</t>
  </si>
  <si>
    <t>109-111</t>
  </si>
  <si>
    <t>Optik (Jena)</t>
  </si>
  <si>
    <t>60019987;60019987</t>
  </si>
  <si>
    <t>7004369412;7003742671</t>
  </si>
  <si>
    <t>Jagoszewski, E.;Podbielska, H.</t>
  </si>
  <si>
    <t>Wroclaw</t>
  </si>
  <si>
    <t>Wroc≈Çaw University of Science and Technology</t>
  </si>
  <si>
    <t>Jagoszewski E.</t>
  </si>
  <si>
    <t>EXPANDING LASER BEAM HOLOGRAPHIC LENS.</t>
  </si>
  <si>
    <t>2-s2.0-0023295980</t>
  </si>
  <si>
    <t>['several classes', 'ecm antennas']</t>
  </si>
  <si>
    <t>Characteristics of ECM transmitter components are described and related to ECM technique requirements. Both current and projected future component characteristics are discussed for high power tube amplifiers, solid-state power amplifiers and several classes of ECM antennas.</t>
  </si>
  <si>
    <t>60019647;60019647</t>
  </si>
  <si>
    <t>7006191460;7403275788</t>
  </si>
  <si>
    <t>Flowers, David C.;Ryan, Charles E.</t>
  </si>
  <si>
    <t>Atlanta</t>
  </si>
  <si>
    <t>Georgia Institute of Technology</t>
  </si>
  <si>
    <t>Flowers D.</t>
  </si>
  <si>
    <t>ECM TRANSMITTERS.</t>
  </si>
  <si>
    <t>2-s2.0-17344375319</t>
  </si>
  <si>
    <t>['yellow cells', 'uniform diameter', 'ultrastructural changes', 'thylakoids grown', 'thylakoid polypeptides', 'structurefunction relations', 'specifically lost', 'rearrangement due', 'reaction centers', 'protein complexes', 'present knowledge', 'present also', 'polypeptide pattern', 'particles increase', 'particle enlargement', 'membrane stacking', 'membrane appression', 'greening process', 'fracture plane', 'first hours', 'different stages', 'density increases', 'cytochrome f', 'coupling factor', 'chlorella fusca', 'cells grown', 'b6 complex', 'average diameter', 'antennae complexes']</t>
  </si>
  <si>
    <t>Chlorella fusca g-2 | Freeze-fracture electron microscopy | Thylakoid biogenesis</t>
  </si>
  <si>
    <t>The development of thylakoid protein complexes during light induced greening of a mutant of Chlorella fusca was studied. Separation of chlorophyll-protein complexes and thylakoid polypeptides by LDS-polyacrylamide gel electrophoresis show that cells grown in the dark contain proteins belonging to coupling factor and cytochrome f/b6 complex. Parts of both reaction centers are present also. The antennae complexes are specifically lost in yellow cells. The changes in polypeptide pattern at different stages of development in the light are related to ultrastructural changes. The beginning of membrane appression can be correlated with the appearance of the light-harvesting complex II. While the average diameter of EF-particles increases throughout the greening process, their densitiesapart from the rearrangement due to membrane stacking-remain fairly constant. The kinetics of EFu-particle enlargement are different from those of EFs-particles. PF-faces in thylakoids grown in the dark contain particles of uniform diameter but some of them protrude more from the fracture plane than do their neighbors. During the first hours of greening, their density increases and two classes develop. From the beginning of membrane stacking, the composition of PFu-faces remains constant and PFs-particles increase in number for some time. Results are discussed on the basis of present knowledge of structurefunction relations in thylakoids. ¬© 1987 Springer-Verlag.</t>
  </si>
  <si>
    <t>41-50</t>
  </si>
  <si>
    <t>0033183X</t>
  </si>
  <si>
    <t>Protoplasma</t>
  </si>
  <si>
    <t>60007902;60007902</t>
  </si>
  <si>
    <t>6506060865;6602896152</t>
  </si>
  <si>
    <t>Przibilla, Elisabeth;Galling, G.</t>
  </si>
  <si>
    <t>Przibilla E.</t>
  </si>
  <si>
    <t>Development of chloroplast membranes during light induced greening of Chlorella fusca g-2</t>
  </si>
  <si>
    <t>10.1007/BF01417534</t>
  </si>
  <si>
    <t>2-s2.0-34250100204</t>
  </si>
  <si>
    <t>['wave propagation', 'slow waves', 'propagation modes', 'insignificantly affected', 'greatly affected', 'free space', 'field expressions', 'drift velocity', 'dispersion relation']</t>
  </si>
  <si>
    <t>Antennas in plasma | Electromagnetic wave propagation in plasma | plasma-filled wave guides</t>
  </si>
  <si>
    <t>The e.m. wave propagation in a parallel-plate wave guide with one boundary corrugated and filled with uniaxial warm drifting plasma has been studied. The dispersion relation and the field expressions for the TM-modes have been derived. The effects of the temperature and the drift velocity on the propagation modes have been studied in detail. The fast and the slow waves are greatly affected by the temperature and the drift velocity, whereas the wave guide wave is insignificantly affected. The effect of the corrugation has also been discussed. The dispersion relation of the TE-modes, in this case, has been derived and found to be same as that of the wave guide filled with free space. ¬© 1987 Societ√† Italiana di Fisica.</t>
  </si>
  <si>
    <t>Il Nuovo Cimento D</t>
  </si>
  <si>
    <t>60035301;60071577</t>
  </si>
  <si>
    <t>7402378363;7402378359</t>
  </si>
  <si>
    <t>Prasad, Rajendra;Prasad, Ramjee</t>
  </si>
  <si>
    <t>Tanzania;Jordan</t>
  </si>
  <si>
    <t>Dar Es Salaam;Karak</t>
  </si>
  <si>
    <t>University of Dar Es Salaam;Mutah University</t>
  </si>
  <si>
    <t>60071577;60035301</t>
  </si>
  <si>
    <t>Prasad R.</t>
  </si>
  <si>
    <t>Electromagnetic-wave propagation in one boundary-corrugated parallel-plate wave guide filled with uniaxial warm drifting plasma</t>
  </si>
  <si>
    <t>10.1007/BF02451171</t>
  </si>
  <si>
    <t>2-s2.0-51649152169</t>
  </si>
  <si>
    <t>SFB 143</t>
  </si>
  <si>
    <t>['¬© 1987', 'using vesicles', 'understood applying', 'thus varying', 'tem perature', 'synthetic phospholipids', 'structural change', 'rights reserved', 'reaction center', 'phase transition', 'one non', 'lipid environment', 'light scattering', 'ionic milled', 'induced isothermally', 'highly efficient', 'fluorescence spectroscopy', 'em branes', 'electron microscopy', 'change occurs', 'chain length']</t>
  </si>
  <si>
    <t>Antenna | Lipid/Protein Interaction | Membrane Structure | Photosynthesis</t>
  </si>
  <si>
    <t>Interaction of the antenna protein B 800-850 with the lipid environment and with the reaction center of the photosynthetic bacterium Rhodopseudomonas sphaeroides is studied by fluorescence spectroscopy, transient absorption techniques, light scattering and electron microscopy. Using vesicles of synthetic phospholipids it is shown that solidification of the m em brane causes a structural protein change evident from a reduction in fluorescence quantum yield. The change occurs at a tem perature up to 5¬∞C below that corresponding to the gel/fluid transition tem perature and indicates local melting. The structural change is not specific for the lipid head group nor chain length (investigated for lengths of 12 to 16 CH2 groups) and can be understood applying a simple elastic model.It can also be induced isothermally by changing the ionic milled and thus varying the lipid phase state Energy transfer LHCP-¬ªRC is proven to be highly efficient in model m em branes and is not affected by the existence of a phase transition. This indicates two LHCP fractions one tightly - and one non-bound to the RC. ¬© 1987, Walter de Gruyter. All rights reserved.</t>
  </si>
  <si>
    <t>109-117</t>
  </si>
  <si>
    <t>Zeitschrift fur Naturforschung - Section C Journal of Biosciences</t>
  </si>
  <si>
    <t>60019722;60019722</t>
  </si>
  <si>
    <t>6602902630;35511455300</t>
  </si>
  <si>
    <t>Peschke, Joachim;M√∂hwald, Helmuth</t>
  </si>
  <si>
    <t>Technical University of Munich</t>
  </si>
  <si>
    <t>Peschke J.</t>
  </si>
  <si>
    <t>Lipid influence on the structure of the light harvesting B800-850 proteins</t>
  </si>
  <si>
    <t>10.1515/znc-1987-1-218</t>
  </si>
  <si>
    <t>2-s2.0-84943133174</t>
  </si>
  <si>
    <t>['¬© 1987', 'two types', 'transmitted power', 'plasma heating', 'main mechanism', 'langmuir probe', 'edge plasmas', 'edge heating', 'edge electrons', 'core electrons', 'concurrent heating', 'collisional damping', 'antenna configurations', 'analyses suggest', 'also presented', '70 ev', '180 kw']</t>
  </si>
  <si>
    <t>edge heating | ICRH | slot antenna | tandem mirror</t>
  </si>
  <si>
    <t>A Langmuir probe was used to study the effects of ICRH on edge plasmas in TMX-U. Two types of antenna configurations were used for plasma heating, the slot and the loop. During slot antenna operation, the electron temperature near the limiter cutoff radius increased from 30 to 70 eV with 180 kW of transmitted power at slot frequencies ranging from 0.65 &lt; œâ/œâci‚â§1.00. In contrast, the loop antenna showed little heating of edge electrons. The observed edge heating occured without necessarily a concurrent heating of the core electrons. The predicted result based on McVey ANTENA code was also in good qualitative agreement with the observed edge heating. These analyses suggest that Landau and collisional damping of the T-M surface plasma wave was the main mechanism for edge heating. Results on edge density behavior during ICRH are also presented. ¬© 1987.</t>
  </si>
  <si>
    <t>465-469</t>
  </si>
  <si>
    <t>145-147</t>
  </si>
  <si>
    <t>Journal of Nuclear Materials</t>
  </si>
  <si>
    <t>60015900;60026175;60015900;60026175;60015900</t>
  </si>
  <si>
    <t>26643324100;6701648388;7005828952;7004032243;7403726281</t>
  </si>
  <si>
    <t>Hsu, W. L.;Cummins, W. F.;Causey, R. A.;Molvik, A. W.;Wilson, K. L.</t>
  </si>
  <si>
    <t>Livermore;Livermore</t>
  </si>
  <si>
    <t>Lawrence Livermore National Laboratory;Sandia National Laboratories, California</t>
  </si>
  <si>
    <t>60026175;60015900</t>
  </si>
  <si>
    <t>Hsu W.</t>
  </si>
  <si>
    <t>Effects of ICRH on the edge plasma in TMX-U tandem mirror</t>
  </si>
  <si>
    <t>10.1016/0022-3115(87)90382-5</t>
  </si>
  <si>
    <t>2-s2.0-0023169050</t>
  </si>
  <si>
    <t>['¬© 1987', 'vessel walls', 'surface layers', 'small gaps', 'several œºm', 'rf antennae', 'partly flaked', 'outer parts', 'octant 1', 'ocant 4', 'limiter tiles', 'limiter radially', 'erosion dominates', 'direct contact', 'deposited layers', 'carbon limiters', 'areas deposition', 'antenna limiters']</t>
  </si>
  <si>
    <t>carbon | JET | limiters | surface composition</t>
  </si>
  <si>
    <t>The surface layers of tiles from the carbon limiters in octant 1, ocant 4 and the RF-antenna limiters were analysed after the end of the first three experimental sessions of JET, 1983, 1984 and 1985. On all tiles metallic contaminants were found from the vessel walls and the RF antennae. In general on all areas deposition and erosion was observed. At the part of the tiles in direct contact with the plasma the erosion dominates, whereas deposition dominates on the outer parts of the limiter radially further away from the plasma. In the small gaps between adjacent limiter tiles, deposited layers of carbon having a thickness of several Œºm were found, which were partly flaked and contained metallic impurities. Electrical are tracks were observed on the limiter tiles and in the area between limiter tiles. ¬© 1987.</t>
  </si>
  <si>
    <t>731-735</t>
  </si>
  <si>
    <t>60026838;60026838;60033679;60025104;60025104;60033679;60026838;60026838;60033679;60033317</t>
  </si>
  <si>
    <t>7006460139;7006772003;6701452879;7005140549;6701368283;7003782952;6508370648;7101637576;7201778122;7102239789</t>
  </si>
  <si>
    <t>Behrisch, R.;Ehrenberg, J.;Bergs√•ker, H.;Coad, J. P.;de Kock, L.;Emmoth, B.;Kukral, H.;Martinelli, A. P.;McCracken, G. M.;Partridge, J. W.</t>
  </si>
  <si>
    <t>Sweden;United Kingdom;Germany;United Kingdom</t>
  </si>
  <si>
    <t>Stockholm;Abingdon;Garching bei Munchen;</t>
  </si>
  <si>
    <t>The Institute For Solar Physics;Culham Centre for Fusion Energy;Max Planck Institute for Plasma Physics;EFDA-JET</t>
  </si>
  <si>
    <t>60033679;60033317;60026838;60025104</t>
  </si>
  <si>
    <t>Behrisch R.</t>
  </si>
  <si>
    <t>Contamination of the JET limiters with metals during the different operational phases</t>
  </si>
  <si>
    <t>10.1016/0022-3115(87)90435-1</t>
  </si>
  <si>
    <t>2-s2.0-0023206636</t>
  </si>
  <si>
    <t>Schweizerischer Nationalfonds zur F√∂rderung der Wissenschaftlichen Forschung</t>
  </si>
  <si>
    <t>SNF</t>
  </si>
  <si>
    <t>['¬© 1987', 'tca tokamak', 'strongly affected', 'reverse direction', 'correlation techniques']</t>
  </si>
  <si>
    <t>Alfv√©n wave heating | scrape-off layer | tokamak</t>
  </si>
  <si>
    <t>Extensive wave studies in the scrape-off layer of the TCA tokamak have been performed during Alfv√©n wave heating. Using Langmuir probes and correlation techniques, it was found that the rf antennae excite waves at the driving rf frequency and that various coherent nonlinear interactions are present. Low frequency turbulence is strongly affected by the presence of rf to the extent that the drift wave velocity can reverse direction during Alfv√©n wave heating. ¬© 1987.</t>
  </si>
  <si>
    <t>260-263</t>
  </si>
  <si>
    <t>57204260704;7102907016;6602846941</t>
  </si>
  <si>
    <t>Hollenstein, Ch;Martin, Y.;Simm, W.</t>
  </si>
  <si>
    <t>Hollenstein C.</t>
  </si>
  <si>
    <t>Wave phenomena in the scrape-off layer of TCA during Alfv√©n wave heating</t>
  </si>
  <si>
    <t>10.1016/0022-3115(87)90339-4</t>
  </si>
  <si>
    <t>2-s2.0-0023211345</t>
  </si>
  <si>
    <t>['¬© 1987', 'tca tokamak', 'study plasma', 'sample position', 'radial direction', 'main contaminations', 'ion drift', 'impurity transport', 'impurity deposition', 'electron drift', 'deposited impurities', 'antenna structure', 'antenna interaction']</t>
  </si>
  <si>
    <t>Alfv√©n wave heating | impurity transport | integral collection probes | TCA</t>
  </si>
  <si>
    <t>Integral collection probes fixed at the antenna structure have been used to study plasma-antenna interaction and impurity transport in the TCA Tokamak. The nature and amount of deposited impurities have been analysed by X-ray photo electron spectrometry. The probes allowed simultaneous measurements of the impurity deposition in the electron drift, ion drift and radial direction. The behavior of the main contaminations at different probe positions and for different antenna groups is discussed. It is shown that, depending on the sample position, either limiter material or the neighborhood antenna bars are the main impurity sources. ¬© 1987.</t>
  </si>
  <si>
    <t>717-719</t>
  </si>
  <si>
    <t>60028186;60012614;60012614</t>
  </si>
  <si>
    <t>57204260704;7007084870;55298563900</t>
  </si>
  <si>
    <t>Hollenstein, Ch;Vep≈ôek, S.;Rambert, S.</t>
  </si>
  <si>
    <t>Lausanne;Zurich</t>
  </si>
  <si>
    <t>Swiss Federal Institute of Technology Lausanne;University of Zurich</t>
  </si>
  <si>
    <t>60028186;60012614</t>
  </si>
  <si>
    <t>Impurity transport in TCA-tokamak studied by integral collection probes</t>
  </si>
  <si>
    <t>10.1016/0022-3115(87)90431-4</t>
  </si>
  <si>
    <t>2-s2.0-0023214184</t>
  </si>
  <si>
    <t>['¬© 1987', 'time constant', 'rf discharge', 'rf antenna', 'normally observed', 'nearly 90', 'ions hitting', 'hd molecules', 'exponential function', 'desorption rate', 'desorbed isotopes', 'desorbed gas', 'component function', '90 ev', '300 k']</t>
  </si>
  <si>
    <t>304 stainless steel | hydrogen isotope exchange | recycling | RF discharge plasma</t>
  </si>
  <si>
    <t>The saturation and replacement of hydrogen isotopes implanted into a 304 stainless steel vacuum wall at 300 K under RF discharge with and without DC bias potential on an RF antenna have been studied using partial pressure measurements of desorbed isotopes. The energy of ions hitting the wall was estimated to be 30-90 eV from electrostatic probe measurement for RF discharge plasmas. Nearly 90% of the desorbed gas in the isotopic exchange process was HD molecules. The amount of desorbed gas showed a tendency to saturate at a fluence of 2.3 √ó 1016 cm-2. The desorption rate can be expressed by an inverse-exponential function with time; a two-component function is normally observed. The time constant of each component is evaluated by introducing an effective trapping coefficient. ¬© 1987.</t>
  </si>
  <si>
    <t>60000264;60000264;60000264;60000264</t>
  </si>
  <si>
    <t>7006378398;7402413439;7004152758;56208339700</t>
  </si>
  <si>
    <t>Akaishi, K.;Kubota, Y.;Uritani, A.;Hori, Y.</t>
  </si>
  <si>
    <t>Akaishi K.</t>
  </si>
  <si>
    <t>Implantation and replacement of hydrogen isotopes in 304 stainless steel vacuum wall under RF discharge and RF-DC glow discharge</t>
  </si>
  <si>
    <t>10.1016/0022-3115(87)90342-4</t>
  </si>
  <si>
    <t>2-s2.0-0023271369</t>
  </si>
  <si>
    <t>['¬© 1987', 'used instead', 'tfr limiter', 'spectroscopic results', 'results show', 'quantitative picture', 'metal coverage', 'metal contamination', 'm2 ).', 'little ti', 'limiter surface', 'icrh antenna', 'hydrogen content', 'diameter ).', 'chemical sputtering', 'carbon tiles', 'carbon surfaces', 'carbon limiters', 'antenna protection', '1000 œºm']</t>
  </si>
  <si>
    <t>carbon | limiters | surface composition | TFR</t>
  </si>
  <si>
    <t>A number of carbon tiles of the TFR limiter and antenna protection were analyzed by PIXE, RBS, and SEM to obtain a comprehensive and quantitative picture of the metal coverage in these areas. The results show a metal coverage corresponding to more than a few hundred monolayers fairly homogeneously distributed and/or in the form of droplets (1 to 1000 Œºm in diameter). Analysis of the chemical composition showed that the layer mainly consisted of Fe, Ni, Cr, and very little Ti. This indicated that the Ti Faraday shield for the ICRH antenna was not responsible for the metal contamination, in agreement with spectroscopic results. The reduction of the metal impurity content of the discharge by a factor of 3 to 10 when carbon limiters are used instead of metal ones seems to be related to the actual chemical composition of the limiter surface. Chemical sputtering of such carbon surfaces is lower than for pure carbon surfaces, whereas their hydrogen content is very high (up to 1022 D/m2). ¬© 1987.</t>
  </si>
  <si>
    <t>100803058-60102528;100803058-60102528;100803058-60102528</t>
  </si>
  <si>
    <t>7101637576;7006460139;6603277532</t>
  </si>
  <si>
    <t>Martinelli, A. P.;Behrisch, R.;Englert, W.</t>
  </si>
  <si>
    <t>Germany;France</t>
  </si>
  <si>
    <t>Garching bei Munchen;</t>
  </si>
  <si>
    <t>EURATOM Association, Germany;Association Euratom-CEA</t>
  </si>
  <si>
    <t>60102528;100803058</t>
  </si>
  <si>
    <t>Martinelli A.</t>
  </si>
  <si>
    <t>Metal coverage of TFR graphite tiles and its effects on the impurity content of the plasma</t>
  </si>
  <si>
    <t>10.1016/0022-3115(87)90423-5</t>
  </si>
  <si>
    <t>2-s2.0-17144461105</t>
  </si>
  <si>
    <t>DAAL03-86-K-0029</t>
  </si>
  <si>
    <t>['¬© 1987', 'rf antennas', 'preliminary evidence', 'mvs depends', 'heat fluxes', 'first wall', 'etc .,', 'components subjected', 'component melting']</t>
  </si>
  <si>
    <t>disruption-heat flux | melt layer | vapor shield</t>
  </si>
  <si>
    <t>Components subjected to high-heat fluxes in tokamaks include limiters, RF antennas, and portions of the first wall. The simple vapor shield resulting from ablated surface material under high-heat load may be enhanced by the large magnetic fields present in compact, high-field tokamak designs. The resulting Magnetic Vapor Shield (MVS) may reduce total melting and ablation of these components, but the effectiveness of MVS depends on several key criteria. We formulate these criteria and provide, preliminary evidence for a reduction in component melting, etc., under high-field tokamak conditions. ¬© 1987.</t>
  </si>
  <si>
    <t>391-395</t>
  </si>
  <si>
    <t>60004923;60004923</t>
  </si>
  <si>
    <t>7006375018;7201995225</t>
  </si>
  <si>
    <t>Gilligan, J. G.;Hahn, D.</t>
  </si>
  <si>
    <t>Gilligan J.G.</t>
  </si>
  <si>
    <t>The magnetic vapor shield (MVS) mechanism for protection of high-heat flux components in high-field tokamaks</t>
  </si>
  <si>
    <t>10.1016/0022-3115(87)90367-9</t>
  </si>
  <si>
    <t>2-s2.0-18544396771</t>
  </si>
  <si>
    <t>['¬© 1987', 'similar amounts', 'rf antennae', 'results show', 'limiters ).', 'limiter graphite', 'lima ).', 'inner wall', 'hydrogen isotopes', 'hydrogen distributions', 'high amounts', 'heat load', 'exposed surfaces', 'depth distributions', 'considerable depth', 'carbon tiles', 'boundary layer', 'based operations', '1022 atoms']</t>
  </si>
  <si>
    <t>hydrogen retention | JET | limiters</t>
  </si>
  <si>
    <t>In order to evaluate the deuterium and hydrogen distributions in JET after long term operation in deuterium in 1985, as well as after a few weeks with deuterium at the end of the hydrogen-based operations in 1984, limiters have been analysed using nuclear reaction techniques and laser induced mass analysis (LIMA). The results show the presence of very high amounts of deuterium and 1H (up to more than 1022 atoms/m2 on the sides and edges of the limiters). If this amount were the result of the implantation of deuterium into the limiter graphite, it would require ion energies far higher than those expected in the boundary layer. The deuterium concentration shows a broad minimum near the centre of the limiter, where the heat load from the plasma is a maximum. The depth distributions, which are obtained by the 3He(d, p)4He nuclear reaction, indicate that deuterium is present to a considerable depth on the sides of the limiters. Similar amounts have been seen at the inner wall of the vessel - either on small samples mounted on the wall, or on the carbon tiles which covered the wall in 1985 - and on the RF antennae. It appears that co-deposition of carbon and deuterium enables significant trapping of hydrogen isotopes on all exposed surfaces. ¬© 1987.</t>
  </si>
  <si>
    <t>727-730</t>
  </si>
  <si>
    <t>60033679;60026838;60025104;60026838;60033679;60033317;60033317;60026838;60033317</t>
  </si>
  <si>
    <t>6701452879;7006460139;7005140549;7006772003;7003782952;7003491523;7201778122;7101637576;7102239789</t>
  </si>
  <si>
    <t>Bergs√•ker, H.;Behrisch, R.;Coad, J. P.;Ehrenberg, J.;Emmoth, B.;Erents, S. K.;McCracken, G. M.;Martinelli, A. P.;Partridge, J. W.</t>
  </si>
  <si>
    <t>Bergs√•ker H.</t>
  </si>
  <si>
    <t>Hydrogen isotope retention in the JET limiters</t>
  </si>
  <si>
    <t>002231158790434X</t>
  </si>
  <si>
    <t>10.1016/0022-3115(87)90434-X</t>
  </si>
  <si>
    <t>2-s2.0-18544403748</t>
  </si>
  <si>
    <t>['single sensilla', 'sexual dimorphism', 'loci mentioned', 'largest group', 'halteres except', "fields '.", 'campaniform sensilla', '52 groups', '12 fields', '10 fields']</t>
  </si>
  <si>
    <t>Light and scanning electron microscopic investigations were carried out to map the topography, number, size and configuration of all campaniform sensilla in the exoskeleton of the blowfly Calliphora vicina. We counted a total of about 1,200 campaniform sensilla; sexual dimorphism was not found. The shape, i.e. cap and collar, of most campaniform sensilla is elliptical; only 24 circular sensilla were found. The occurrence of campaniform sensilla is limited to the antennae (pedicels), legs, wings and halteres. Due to their configuration we defined: (a) 'single sensillum', (b) 'sensilla in groups' and (c) 'sensilla in fields'. Single sensilla (n=86) occur on all loci mentioned. Sensilla in groups (about 350, in 52 groups) occur on the legs and forewings. The largest group had 32, the smallest 3 sensilla. All sensilla in fields (about 730, in 12 fields) occur on the halteres except for one on the tegula of the wing. A total of about 670 campaniform sensilla, which are more than 55% of all sensilla, are localized in 10 fields on the halteres. ¬© 1987 Springer-Verlag.</t>
  </si>
  <si>
    <t>312-319</t>
  </si>
  <si>
    <t>1432234X</t>
  </si>
  <si>
    <t>0720213X</t>
  </si>
  <si>
    <t>Zoomorphology</t>
  </si>
  <si>
    <t>60007762;60007762;60007762</t>
  </si>
  <si>
    <t>6604054552;7004613233;16466961800</t>
  </si>
  <si>
    <t>Gnatzy, Werner;Gr√ºnert, Ulrike;Bender, Manfred</t>
  </si>
  <si>
    <t>Frankfurt am Main</t>
  </si>
  <si>
    <t>Goethe-Universit√§t Frankfurt am Main</t>
  </si>
  <si>
    <t>Gnatzy W.</t>
  </si>
  <si>
    <t>Campaniform sensilla of Calliphora vicina (Insecta, Diptera) - I. Topography</t>
  </si>
  <si>
    <t>10.1007/BF00312005</t>
  </si>
  <si>
    <t>2-s2.0-0001536048</t>
  </si>
  <si>
    <t>['weddell sea', 'upper 500', 'therefore considered', 'tail fan', 'postembryonal stages', 'junior synonym', 'immature male', 'habitus show', 'gnathia leach', 'formerly often', 'first time', 'first praniza', 'change much', 'adult animals']</t>
  </si>
  <si>
    <t>The postembryonal stages of Gnathia calva Vanh√∂ffen 1914 (Crustacea: Isopoda: Gnathiidea) are described. The setation of antennae, pereopods and tail fan does not change much during development from the first praniza to the adult animals, while mouthparts, pleopods and habitus show the typical gnathiid sexual dimorphism. For the first time an immature male is described. It is identical with the stage on which the genus Heterognathia Amar and Roman was erected; the latter is therefore considered to be a junior synonym of Gnathia Leach. G. calva is very frequent in the benthos of the upper 500 m of the Weddell Sea. It had formerly often been overlooked because it lives in sponges. ¬© 1987 Springer-Verlag.</t>
  </si>
  <si>
    <t>77-92</t>
  </si>
  <si>
    <t>Polar Biology</t>
  </si>
  <si>
    <t>W√§gele, Johann Wolfgang</t>
  </si>
  <si>
    <t>Oldenburg</t>
  </si>
  <si>
    <t>Universit√§t Oldenburg</t>
  </si>
  <si>
    <t>W√§gele J.</t>
  </si>
  <si>
    <t>Description of the postembryonal stages of the Antarctic fish parasite Gnathia calva Vanh√∂ffen (Crustacea: Isopoda) and synonymy with Heterognathia Amar &amp; Roman</t>
  </si>
  <si>
    <t>10.1007/BF00570445</t>
  </si>
  <si>
    <t>2-s2.0-0002356663</t>
  </si>
  <si>
    <t>['vitro decreases', 'thylakoid membranes', 'synchronized cells', 'stable membranes', 'solely responsible', 'scenedesmus obliquus', 'restore partially', 'regulatory mechanism', 'protein phosphorylation', 'protein complexes', 'protein complex', 'photosynthetic activity', 'one hand', 'observed differences', 'membrane stabilization', 'maximum oligomerization', 'longer time', 'life cycle', 'largest proportion', 'kda phosphoprotein', 'inhibitory effect', 'heavy subfraction', 'harvesting chlorophyll', 'h thylakoids', 'h cells', 'fluorescence induction', 'exogenously modulated', 'distinct rates', 'dimethylurea indicated', 'conditions prevalent', 'chlorophyll b', 'benzoquinone demonstrated', 'altogether creating']</t>
  </si>
  <si>
    <t>Cell culture (synchronous) | Photosynthetic apparatus (molecular organization) | Scenedesmus (thylakoid) | Thylakoid (isolation, protein phosphorylation)</t>
  </si>
  <si>
    <t>In-vitro thylakoid protein phosphorylation has been studied in synchronized cells of Scenedesmus obliquus at the 8- and 16-h of the life cycle, stages which are characterized by the maximum and minimum photosynthetic activities, respectively. The stage of maximum photosynthetic activity (8-h) is characterized by the highest protein phosphorylation in vitro and in vivo, by the largest proportion of the heavy subfraction of thylakoids, and by maximum oligomerization of the light-harvesting chlorophyll a/b-protein complex, altogether creating the highest energy charge of the thylakoid membranes. Protein phosphorylation in vitro decreases the amount of the heavy subfraction and increases the amount of oligomerization of the antenna of photosystem I (PSI) (increase of chlorophyll b in the light fraction). Concomittantly, PSII units become smaller (longer time for the rise in fluorescence induction) and photosynthetic efficiency increases (decrease of fluorescence yield). In-vivo protein phosphorylation is controlled mainly endogenously during the 8-h of the life cycle but is exogenously modulated by light to optimize the photosynthetic activity by redistribution of pigment-protein complexes. In-vitro protein phosphorylation seems to restore partially the conditions prevalent in vivo and lost during the preparation of membranes. The effect is greater in 16-h cells which have less-stable membranes. The regulatory mechanism between membrane stabilization and oligomerization on the one hand and redistribution of the light-harvesting chlorophyll a/b-protein complex from PSII to PSI on the other hand remains unexplained. We have confirmed that the mechanism of protein phosphorylation is regulated via plastohydroquinone, but experiments with the plastohydroquinone analogue 2,3,5,6-tetramethyl-p-benzoquinone demonstrated that plastohydroquinone is not solely responsible for the differences in protein phosphorylation of 8- and 16-h thylakoids. The inhibitory effect of ADP and the distinct rates of kinase reaction indicate that the adenylate energy charge and changes in the organization of the photosynthetic apparatus also contribute to the observed differences in protein phosphorylation. Phosphorylation in the presence of 3-(3‚Ä≤,4‚Ä≤-dichlorophenyl)-1,1-dimethylurea indicated that the 32-kDa phosphoprotein and the herbicide-binding QB protein may be the same. These experiments also indicated that 3-(3‚Ä≤,4‚Ä≤-dichlorophenyl)-1,1-dimethylurea-binding reduces kinase activity directly and not only by inhibiting electron transport. ¬© 1987 Springer-Verlag.</t>
  </si>
  <si>
    <t>362-369</t>
  </si>
  <si>
    <t>Planta</t>
  </si>
  <si>
    <t>60023686;60012556</t>
  </si>
  <si>
    <t>7005839028;7005126308</t>
  </si>
  <si>
    <t>Heil, Wolfgang G.;Senger, Horst</t>
  </si>
  <si>
    <t>Homburg;Marburg</t>
  </si>
  <si>
    <t>Universit√§tsklinikum des Saarlandes Medizinische Fakult√§t der Universit√§t des Saarlandes;Philipps-Universit√§t Marburg</t>
  </si>
  <si>
    <t>Heil W.</t>
  </si>
  <si>
    <t>Correlation between thylakoid protein phosphorylation and molecular organization of the photosynthetic apparatus in a dynamic system</t>
  </si>
  <si>
    <t>10.1007/BF00395028</t>
  </si>
  <si>
    <t>2-s2.0-0006840012</t>
  </si>
  <si>
    <t>['walled wall', 'two types', 'two trichogen', 'two projections', 'trichogen process', 'trichogen cells', 'sensory cells', 'pore sensilla', 'one thecogen', 'multicellular organization', 'locusta migratoria', 'gives rise', 'embryonic development', 'cuticular socket', 'concentrically arranged', 'chemically fixed', 'bifurcate type', 'basiconic sensilla', 'advanced rather', '30 sensory']</t>
  </si>
  <si>
    <t>Chemoreceptors | Cryofixation | Development, ontogenetic | Insect antennae | Locusta migratoria (Insecta, Orthoptera) | Sensilla</t>
  </si>
  <si>
    <t>The structure and embryonic development of the two types (A, B) of basiconic sensilla on the antennae of Locusta migratoria were studied in material that had been cryofixed and freeze-substituted, or chemically fixed and dehydrated. Both types are single-walled wall-pore sensilla. Type-A sensilla comprise 20-30 sensory and 7 enveloping cells. One enveloping cell (thecogen cell secretes the dendrite sheath); four are trichogen cells, projections of which form the trichogen process during the 2nd embryonic molt. The trichogen cells form two concentric pairs proximally. Two tormogen cells secrete the cuticular socket of the sensillum. The dendritic outer segments of the sensory cells are branched. Bifurcate type-A sensilla have also been observed. Type-B sensilla comprise three sensory and four enveloping cells (one thecogen, two trichogen and one tormogen). The trichogen process is formed by the two trichogen cells, each of which gives rise to two projections. The trichogen cells are concentrically arranged. The dendritic outer segments of the sensory cells are unbranched. In the fully developed sensillum, all trichogen and tormogen cells border on the outer receptor lymph cavity. It is suggested that the multicellular organization of the type-A sensilla can be regarded as being advanced rather than primitive. ¬© 1987 Springer-Verlag.</t>
  </si>
  <si>
    <t>605-612</t>
  </si>
  <si>
    <t>Ameismeier, Franz</t>
  </si>
  <si>
    <t>Ameismeier F.</t>
  </si>
  <si>
    <t>Ultrastructure of the chemosensitive basiconic single-walled wall-pore sensilla on the antennae in adults and embryonic stages of Locusta migratoria L. (Insecta, Orthoptera)</t>
  </si>
  <si>
    <t>10.1007/BF00215755</t>
  </si>
  <si>
    <t>2-s2.0-0008510103</t>
  </si>
  <si>
    <t>['received voltages', 'mutual coupling', 'geometrical theory', 'direction finding', 'conformal array']</t>
  </si>
  <si>
    <t>In this paper the geometrical theory of diffraction is used to determine the mutual coupling and the received voltages from rectangular slots performing a conformal array in a perfectly conducting elliptic cylinder. Results for arrays with two and three slots show the practicality of such array in the direction finding. Especially it is shown that cylinders with large axial ratio give smoother results. ¬© 1987 Springer-Verlag.</t>
  </si>
  <si>
    <t>121-128</t>
  </si>
  <si>
    <t>Analysis of a conformal array of slots on a perfectly - conducting elliptic cylinder</t>
  </si>
  <si>
    <t>10.1007/BF01573576</t>
  </si>
  <si>
    <t>2-s2.0-0023108348</t>
  </si>
  <si>
    <t>['white gratings', 'visual units', 'visual interneurons', 'structural relationship', 'small fraction', 'single direction', 'sensitive units', 'selective responding', 'response characteristics', 'preferred direction', 'neck muscles', 'moving black', 'mechanical stimulation', 'lucifer yellow', 'lobula plate', 'intracellular recording', 'generally reflected', 'descending neurons']</t>
  </si>
  <si>
    <t>1. The electrophysiology of the four paired nerves innervating the fly's neck muscles were examined by extra- and intracellular recording and staining with Lucifer Yellow. 2. Units that responded to moving black and white gratings and that were, therefore, termed 'visual' were recorded in all four neck muscle nerves. These visual motor neurons were direction-selective responding most vigorously to a single direction by excitation. 3. The preferred direction and the field of view of visual motor neurons was specific for each of the four neck muscle nerves and generally reflected an organization into horizontal- and vertical-motion-sensitive units. 4. The response characteristics of visual motor neurons corresponded to the structural relationship between their dendrites and visual interneurons in the lobula plate or terminals of descending neurons that were themselves associated with specific lobula plate neurons. 5. Visual units were only a small fraction of all neck motor neurons. A non-visual motor neuron responding to mechanical stimulation of wing and antenna and four mechanosensory fibre tracts associated with the prothoracic neck motor neuropil are described in detail. ¬© 1987 Springer-Verlag.</t>
  </si>
  <si>
    <t>225-238</t>
  </si>
  <si>
    <t>60007257;60007257;60007257</t>
  </si>
  <si>
    <t>16454160400;6507811751;7006202510</t>
  </si>
  <si>
    <t>Milde, J. J.;Seyan, H. S.;Strausfeld, N. J.</t>
  </si>
  <si>
    <t>European Molecular Biology Laboratory Heidelberg</t>
  </si>
  <si>
    <t>Milde J.</t>
  </si>
  <si>
    <t>The neck motor system of the fly Calliphora erythrocephala - II. Sensory organization</t>
  </si>
  <si>
    <t>10.1007/BF00609728</t>
  </si>
  <si>
    <t>2-s2.0-0023158406</t>
  </si>
  <si>
    <t>['phi determining', 'obtained based', 'integral equations', 'formulas valid', 'asymptotic solution', 'angles theta']</t>
  </si>
  <si>
    <t>Expressions for the field in the far-zone, created by an elementary electric dipole near a perfectly conducting strip perpendicular to its edges are obtained based on the asymptotic solution of the integral equations. Formulas valid for any values of the angles THETA and PHI determining the point of observation, are obtained.</t>
  </si>
  <si>
    <t>174-179</t>
  </si>
  <si>
    <t>7007013967;6504381957</t>
  </si>
  <si>
    <t>Pimenov, Yu V.;Prostakov, Ye I.</t>
  </si>
  <si>
    <t>Pimenov Y.</t>
  </si>
  <si>
    <t>RADIATION FROM AN ELEMENTARY ELECTRIC DIPOLE ON A PERFECTLY CONDUCTING STRIP PERPENDICULAR TO ITS EDGE.</t>
  </si>
  <si>
    <t>2-s2.0-0023308182</t>
  </si>
  <si>
    <t>255-260</t>
  </si>
  <si>
    <t>Radiophysics and Quantum Electronics</t>
  </si>
  <si>
    <t>;;;;;;;;;;;;;;</t>
  </si>
  <si>
    <t>6604073550;6507091143;6602441748;57197993665;57196526882;7801347557;7402290021;6504748295;6701756066;16459968700;6603283232;6507218900;7004470090;7202005701;36845180500</t>
  </si>
  <si>
    <t>Aslanyan, A. M.;Grishmanovskii, V. A.;Gulyan, A. G.;Ignatov, S. P.;Kostenko, V. I.;Kanevskii, B. Z.;Kozlov, A. N.;Kopelyanskii, G. D.;Matveenko, L. T.;Papatsenko, A. Kh;Martirosyan, R. M.;Molotov, E. P.;Strukov, I. A.;Tarasov, V. B.;Timofeev, V. V.</t>
  </si>
  <si>
    <t>Aslanyan A.</t>
  </si>
  <si>
    <t>RT-70 - An interferometer element</t>
  </si>
  <si>
    <t>10.1007/BF01033952</t>
  </si>
  <si>
    <t>2-s2.0-0023308625</t>
  </si>
  <si>
    <t>['system inputs', 'real part', 'radiation impedance', 'radiating system', 'partial distributions', 'mutual coupling', 'loss resistance', 'joule losses', 'impedance matrix']</t>
  </si>
  <si>
    <t>The nature of mutual coupling in a multi-input radiating system with Joule losses is investigated. It is shown that the real part of the self-and mutual-impedance matrix at the system inputs is the sum of two complex Hermitian matrices, one of which describes the radiation impedance, with the other describing the loss resistance. Mutual loss resistances are a measure of the nonorthogonality of the partial distributions of currents in the radiating system, while mutual radiation impedances are a measure of the nonorthogonality of the partial directivity functions engendered by these currents.</t>
  </si>
  <si>
    <t>Tokarskiy, P. L.</t>
  </si>
  <si>
    <t>Tokarskiy P.L.</t>
  </si>
  <si>
    <t>MUTUAL COUPLING IN A SYSTEM OF RADIATORS WITH JOULE LOSSES.</t>
  </si>
  <si>
    <t>2-s2.0-0023309142</t>
  </si>
  <si>
    <t>['system actuator', 'radio antennas', 'practical utility', 'phase fluctuations', 'new mean', 'control vector', 'beam optical', 'adaptive systems']</t>
  </si>
  <si>
    <t>Based on an analysis of figures of merit in adaptive systems for cancellation of phase fluctuations in narrow-beam optical or radio antennas, new mean-squared gradient optimization principles for the system actuator are introduced. Expressions are derived for determining the control vector and the adaptive system error for both deterministic and statistical phase perturbations. These principles are shown to be of practical utility in systems with gradient wavefront sensors.</t>
  </si>
  <si>
    <t>7006165561;7006957900</t>
  </si>
  <si>
    <t>Kislov, V. I.;Taranenko, V. G.</t>
  </si>
  <si>
    <t>Kislov V.</t>
  </si>
  <si>
    <t>FIGURES OF MERIT AND THE PRINCIPLES OF OPTIMAL ACTUATOR CONTROL IN PHASE-CONJUGATE ADAPTIVE SYSTEMS.</t>
  </si>
  <si>
    <t>2-s2.0-0023309561</t>
  </si>
  <si>
    <t>['water depths', 'test results', 'north sea', 'found suitable', 'design requirements', 'design aspects']</t>
  </si>
  <si>
    <t>An articulated tubular mast is an economical instrument carrier in the North Sea at water depths of 30 m which we evaluated and found suitable for ultrasonic measurement equipment. Design aspects of this mast as well as test results under real sea conditions are reported. The measured motion characteristics of the tabular mast correspond very well to the design requirements.</t>
  </si>
  <si>
    <t>Marine technology Dusseldorf</t>
  </si>
  <si>
    <t>6505809166;7005712100</t>
  </si>
  <si>
    <t>Roessig, Norbert;Witte, Gehard</t>
  </si>
  <si>
    <t>Roessig N.</t>
  </si>
  <si>
    <t>DESIGN AND TESTING OF AN ARTICULATED TUBULAR MAST FOR UNDERWATER MEASUREMENTS.</t>
  </si>
  <si>
    <t>2-s2.0-0023309812</t>
  </si>
  <si>
    <t>['two subarrays', 'radiation pattern', 'processing leads', 'problems relating', 'multiinterference situation', 'computer simulation', 'antenna array']</t>
  </si>
  <si>
    <t>Problems relating to independent adaptive control of the positions of the zeros in a radiation pattern (RP) in linear equidistant antenna arrays are discussed. It is shown that the realization of this type of processing leads to combining the elements of an antenna array into partially overlapping subarrays. Results of a computer simulation, in the case of two subarrays in a multiinterference situation, are presented.</t>
  </si>
  <si>
    <t>84-91</t>
  </si>
  <si>
    <t>Dapilevskiy, L. N.</t>
  </si>
  <si>
    <t>Dapilevskiy L.</t>
  </si>
  <si>
    <t>INVESTIGATION OF AN ADAPTIVE ANTENNA ARRAY WITH SIGNAL PROCESSING AT THE OUTPUTS OF PARTIALLY OVERLAPPING SUBARRAYS.</t>
  </si>
  <si>
    <t>2-s2.0-0023309998</t>
  </si>
  <si>
    <t>['unlike components', 'tracking requirements', 'r modules', 'process monitoring', 'phased arrays', 'insertion phase', 'important issue', 'efficiency requirements', 'adaptive processing']</t>
  </si>
  <si>
    <t>Phased array systems impose severe performance requirements on T/R modules and, unlike components for other uses, T/R modules in phased arrays must replicate each other's performance in terms of insertion phase and gain. Instead of simply meeting minimum acceptable performance specifications, T/R modules must operate within certain performance ranges or windows. These tracking requirements for phased arrays, in addition to usually severe receiver noise figure and transmitter output power and efficiency requirements, make the fabrication and assembly of elemental T/R modules at sufficiently low cost an important issue. Circuit simulation techniques exist for accurately predicting MMIC performance, yield and cost. Together with in-process monitoring and adaptive processing, low cost MMICs are achievable without sacrificing performance.</t>
  </si>
  <si>
    <t>141-142, 144</t>
  </si>
  <si>
    <t>6602229700;6603063964;7202007231</t>
  </si>
  <si>
    <t>Naster, Ronald J.;Jacomb-Hood, Anthony W.;Lang, Mark R.</t>
  </si>
  <si>
    <t>Naster R.J.</t>
  </si>
  <si>
    <t>AFFORDABLE MMIC DESIGNS FOR PHASED ARRAYS.</t>
  </si>
  <si>
    <t>2-s2.0-0023310623</t>
  </si>
  <si>
    <t>['system configuration', 'results obtained', 'paper describes', 'major components', 'loop tests', 'ground closed', 'control system', 'also described', '04 degree']</t>
  </si>
  <si>
    <t>This paper describes the system configuration and interface of the on-board antenna pointing control system for a multi-beam satellite communications system. This control system was designed to satisfy a pointing accuracy requirement of 0. 04 degree . Also described are the characteristics of the major components, the testing methods employed and the results obtained from ground closed-loop tests of the control system.</t>
  </si>
  <si>
    <t>7402364536;6602715313;57217955977</t>
  </si>
  <si>
    <t>Kawakami, Yoichi;Kaitsuka, Toshiyuki;Tsukada, Eiichi</t>
  </si>
  <si>
    <t>Kawakami Y.</t>
  </si>
  <si>
    <t>ON-BOARD ANTENNA POINTING CONTROL SYSTEM FOR MULTI-BEAM COMMUNICATIONS SATELLITE.</t>
  </si>
  <si>
    <t>2-s2.0-0023311176</t>
  </si>
  <si>
    <t>['two types', 'small size', 'paper describes', 'offset cassegrain', 'design method']</t>
  </si>
  <si>
    <t>This paper describes the design method, configurations and performance of two recently developed components for satellite digital communications application. The 30-GHz band high-power transmitters featuring a 300-w output power are of two types: a small-size klystron tube unit and wide-bandwidth traveling wave tube unit. The 30/20-GHz band earth station antennas are a small size, lightweight axisymmetrical Gregorian and an offset Cassegrain having wide angle directivity.</t>
  </si>
  <si>
    <t>139-144</t>
  </si>
  <si>
    <t>7501389649;8355553700;6701551048</t>
  </si>
  <si>
    <t>Inoue, Takeo;Yamada, Yoshihide;Kawashima, Fujio</t>
  </si>
  <si>
    <t>Inoue T.</t>
  </si>
  <si>
    <t>30/20-GHz EARTH STATION COMPONENTS FOR SATELLITE DIGITAL COMMUNICATION SERVICE.</t>
  </si>
  <si>
    <t>2-s2.0-0023311328</t>
  </si>
  <si>
    <t>['wave frequency', 'stabilized lo', 'r modules', 'provide phase', 'phase shift', 'mmic active', 'locking range', 'ka band', 'experimental results', 'expansion properties', 'distribution networks', 'dc voltage', 'data link', 'control signals', 'communication link', 'also discussed', 'achieved using', '500 mhz', '38 ghz', '20 degree', '16 db', '10 ghz']</t>
  </si>
  <si>
    <t>Large-aperture phased array antennas are designed with fiber-optic (FO) distribution networks to provide phase and frequency reference signals, control signals for beamsteering and beamshaping, and data/frequency hopping signals to MMIC active T/R modules. The experimental results of an FO communication network at the mm-wave frequency of 38 GHz (Ka band) are presented. The results of 500 MHz to 1 GHz FO link characteristics such as frequency response flatness, harmonics and third-order intermodulation distortion are presented. Results of stabilization of a 38 GHz IMPATT oscillator using indirect optical injection locking is also discussed. A locking range of 132 MHz using 45 dB amplification gain is demonstrated. The overall system FM noise degradation is measured to be 16 dB. The communication link is established by upconversion of the data link with the stabilized LO. Results of a true time delay phase shifter using a novel fiberstretching technique is presented. A phase shift as high as 20 degree at 10 GHz is achieved using the expansion properties of a piezoelectric ring excited by a DC voltage.</t>
  </si>
  <si>
    <t>97-98, 100, 102</t>
  </si>
  <si>
    <t>60014662;60014662;60014662;60014662;60014662;60014662</t>
  </si>
  <si>
    <t>7006552817;24463325600;7003734120;7402941842;6603118378;7102095466</t>
  </si>
  <si>
    <t>Daryoush, A.;Herczfeld, P.;Contarino, V.;Rosen, A.;Turski, Z.;Wahi, P.</t>
  </si>
  <si>
    <t>Drexel University</t>
  </si>
  <si>
    <t>Daryoush A.</t>
  </si>
  <si>
    <t>OPTICAL BEAM CONTROL OF MM-WAVE PHASED ARRAY ANTENNAS FOR COMMUNICATIONS.</t>
  </si>
  <si>
    <t>2-s2.0-0023311503</t>
  </si>
  <si>
    <t>['wide range', 'satellite multiservice', 'make use', 'earth stations', 'diam provide', 'deutsch bundespost']</t>
  </si>
  <si>
    <t>Small satellite earth stations housed in transportable equipment cabins and equipped with antennas of 4 to 6 m diam provide a wide range of facilities for business communications within the satellite multiservice of the European Communication Satellite system and the intercontinental Intelsat Business Service. To make use of these facilities, the Deutsch Bundespost has ordered a number of these earth stations.</t>
  </si>
  <si>
    <t>64-72</t>
  </si>
  <si>
    <t>Telcom Report (English Edition)</t>
  </si>
  <si>
    <t>60028673;60028673;60028673</t>
  </si>
  <si>
    <t>6602861203;6601969610;6506686294</t>
  </si>
  <si>
    <t>Krefft, Michael;Laufer, Karl;Zumbusch, Ludger</t>
  </si>
  <si>
    <t>Krefft M.</t>
  </si>
  <si>
    <t>SMALL EARTH STATIONS MAKE BUSINESS COMMUNICATION MOBILE AND FLEXIBLE.</t>
  </si>
  <si>
    <t>2-s2.0-0023312061</t>
  </si>
  <si>
    <t>['source device', 'parasitic element', 'optimum location', 'locked arrays', 'improved gain', 'efficient self']</t>
  </si>
  <si>
    <t>A very efficient self-contained microstrip transmitter assembly is described. The oscillator resonator also serves as the antenna. A parasitic element can be added for improved gain. The two-terminal microwave energy source in this experiment is a GaAs IMPATT diode. The optimum location for the source device is predicted. The technique can be expanded to injection-locked arrays.</t>
  </si>
  <si>
    <t>109-110, 114, 116</t>
  </si>
  <si>
    <t>Perkins, Thomas O.</t>
  </si>
  <si>
    <t>Perkins T.</t>
  </si>
  <si>
    <t>ACTIVE MICROSTRIP CIRCULAR PATCH ANTENNA.</t>
  </si>
  <si>
    <t>2-s2.0-0023312808</t>
  </si>
  <si>
    <t>['paper describes', 'inner diam', 'foldable 1', 'design values', 'board equipment']</t>
  </si>
  <si>
    <t>This paper describes the configurations and performances of foldable 1. 3 m K- and 3. 5 m S-band offset Cassegrain multi-beam antenna module on a 3 axes stabilized bus. This module is accommodated to a limited launch vehicle payload area 2. 2 m in inner diam and 2. 8 m in height. Electrical and structural test results confirm that manufactured antenna characteristics agree with the design values and that these antennas are suited to on-board equipment.</t>
  </si>
  <si>
    <t>159-167</t>
  </si>
  <si>
    <t>6603786095;6603207362;7403134314</t>
  </si>
  <si>
    <t>Itanami, Takao;Minomo, Masahiro;Ueno, Kenji</t>
  </si>
  <si>
    <t>Itanami T.</t>
  </si>
  <si>
    <t>ON-BOARD K- AND S-BAND MULTI-BEAM ANTENNAS.</t>
  </si>
  <si>
    <t>2-s2.0-0023312848</t>
  </si>
  <si>
    <t>['vehicular antennas', 'experimental studies', 'diversity performance', 'diversity branches', 'correlation coefficient', 'close look', 'cabin antennas', 'base stations', 'antenna spacing', 'also taken']</t>
  </si>
  <si>
    <t>This paper clarifies design techniques for uncorrelated diversity branches employed in base stations and for vehicular antennas as part of NTT's MCL-L2. Theoretical and experimental studies were conducted to clarify the relation between antenna spacing and the correlation coefficient of diversity branches for space diversity base station antennas. A close look was also taken at the correlation coefficient for polarization diversity branches. Two radiators separated horizontally or vertically were confirmed to act as an uncorrelated diversity branch for antennas used outside a vehicle. A description of structures and diversity performance for cabin antennas is provided.</t>
  </si>
  <si>
    <t>115-121</t>
  </si>
  <si>
    <t>8355553700;7004434439;55245356600</t>
  </si>
  <si>
    <t>Yamada, Yoshihide;Ebine, Yoshio;Nakajima, Nobuo</t>
  </si>
  <si>
    <t>Yamada Y.</t>
  </si>
  <si>
    <t>BASE STATION/VEHICULAR ANTENNA DESIGN TECHNIQUES EMPLOYED IN HIGH-CAPACITY LAND MOBILE COMMUNICATIONS SYSTEM.</t>
  </si>
  <si>
    <t>2-s2.0-0023313194</t>
  </si>
  <si>
    <t>['technique promises', 'practical tool', 'paper explains', 'dynamics analysis', 'analysis using']</t>
  </si>
  <si>
    <t>Dynamics analysis may be the only practical tool for predicting the performance of mechanical systems undergoing large displacement effects. With new elastic enhancements greatly widening its range of applications, the technique promises to grow in importance as a product engineering tool. The paper explains the method of analysis using a global coordinate scheme called ADAMS (Automatic Dynamic Analysis of Mechanical Systems). An application of ADAMS to the Dynamics Analysis of a flexible dipole antenna is given.</t>
  </si>
  <si>
    <t>50-53</t>
  </si>
  <si>
    <t>CIME. Computers in mechanical engineering</t>
  </si>
  <si>
    <t>McConville, Jim</t>
  </si>
  <si>
    <t>Mechanical Dynamics Inc</t>
  </si>
  <si>
    <t>McConville J.</t>
  </si>
  <si>
    <t>ELASTIC APPROACH FOR LARGE DISPLACEMENT DYNAMICS.</t>
  </si>
  <si>
    <t>2-s2.0-0023313284</t>
  </si>
  <si>
    <t>['type pheromone', 'traps baited', 'tetradecyl acetate', 'tetradecenyl acetate', 'male c', 'latter chemical', 'described c', 'ctenopseustis males', 'christchurch gave', 'chemical analyses', '20 mixture']</t>
  </si>
  <si>
    <t>(Z)-5-tetradecenyl acetate | brownheaded leafroller | Ctenopseustis obliquana | Lepidoptera | Sex pheromone | sibling species | Tortricidae</t>
  </si>
  <si>
    <t>Ctenopseustis obliquana females collected from Christchurch were found to produce a mixture of (Z)-5-tetradecenyl acetate and tetradecyl acetate in their sex pheromone gland, in contrast to C. obliquana from Auckland which produce an 80:20 mixture of (Z)-8-tetradecenyl acetate and (Z)-5-tetradecenyl acetate. This identification has been made on the basis of instrumental and chemical analyses. Antennae of male C. obliquana from Christchurch gave a maximal electroantennogram response to (Z)-5-tetradecenyl acetate. A field trapping program in Christchurch using combinations of synthetic (Z)-5-tetradecenyl acetate and tetradecyl acetate caught Ctenopseustis males equally well if the latter chemical was present or absent. No males were caught in traps baited with the Auckland-type pheromone. In Alexandra, Ctenopseustis males were caught in traps baited with Auckland-type pheromone and not in traps baited with Christchurch-type pheromone. This phenomenon is ascribed to the existence of sibling species within the described C. obliquana. ¬© 1987 Plenum Publishing Corporation.</t>
  </si>
  <si>
    <t>623-629</t>
  </si>
  <si>
    <t>60016302;60016302-60007526</t>
  </si>
  <si>
    <t>7202176247;7004856107</t>
  </si>
  <si>
    <t>Foster, Stephen P.;Roelofs, Wendell L.</t>
  </si>
  <si>
    <t>New Zealand;United States</t>
  </si>
  <si>
    <t>;Geneva</t>
  </si>
  <si>
    <t>New Zealand Department of Scientific and Industrial Research;Cornell AgriTech</t>
  </si>
  <si>
    <t>60016302;60007526</t>
  </si>
  <si>
    <t>Foster S.P.</t>
  </si>
  <si>
    <t>Sex pheromone differences in populations of the brownheaded leafroller, Ctenopseustis obliquana</t>
  </si>
  <si>
    <t>10.1007/BF01880104</t>
  </si>
  <si>
    <t>2-s2.0-0344994218</t>
  </si>
  <si>
    <t>['√ üsubunit', '√ ü82', '√ ü153', '¬© 1987', 'unambiguous assignment', 'three spectrally', 'rights reserved', 'pcms ).', 'mastigocladus laminosus', 'chlorom ercuribenzenesulfonate']</t>
  </si>
  <si>
    <t>Antenna Pigments | Cyanobacteria | Cystein Modification | Energy Transfer | Photosynthesis</t>
  </si>
  <si>
    <t>C-phycocyanin from the cyanobacterium, Mastigocladus laminosus, and its subunits have been treated with p-chlorom ercuribenzenesulfonate (PCMS). A single reactive site was found on the √üsubunit, and assigned to the single free cystein-√ü109. The concomitant spectral changes (absorption, fluorescence, circular dichroism), together with the known close proximity of cys-√ü109 to chrom ophore √ü82, allowed an unambiguous assignment of the three spectrally, biochemically and functionally different chromophores to specific binding siteson the two peptide chains (a84:616 -618, √ü82: 622 -624, √ü153: 598 -600 nm). ¬© 1987, Walter de Gruyter. All rights reserved.</t>
  </si>
  <si>
    <t>258-262</t>
  </si>
  <si>
    <t>60028717;60028717;60028717</t>
  </si>
  <si>
    <t>56895151700;55458487300;57216047370</t>
  </si>
  <si>
    <t>Siebzehnr√ºbl, S.;Fischer, R.;Scheer, H.</t>
  </si>
  <si>
    <t>Ludwig-Maximilians-Universit√§t M√ºnchen</t>
  </si>
  <si>
    <t>Siebzehnr√ºbl S.</t>
  </si>
  <si>
    <t>Chromophore assignment in c-phycocyanm from mastigocladus laminosus</t>
  </si>
  <si>
    <t>10.1515/znc-1987-0315</t>
  </si>
  <si>
    <t>2-s2.0-0345165087</t>
  </si>
  <si>
    <t>['wrapped around', 'theoretical predictions', 'structure allows', 'small surface', 'reasonable agreement', 'printed arrays', 'planar case', 'metallic cylinder', 'measured results', 'large bandwidth', 'flexible substrate', 'efficiencies close', 'circumferential direction', 'axial direction']</t>
  </si>
  <si>
    <t>Design and measured results of two printed dipole arrays conformed to a small radius cylinder (r equals 1. 5 lambda //0) are described. The two arrays differ by the orientation of the elements: one has an axial direction of elements and the other has a circumferential direction. The elements are printed on both sides of a thin and flexible substrate and then wrapped around a metallic cylinder with a thick honeycomb spacer ( epsilon //r equals 1. 1 and h equals 0. 15 lambda //0) in between. This structure allows for large bandwidth and small surface-wave and network radiation losses. The results obtained show that printed arrays can be mounted on cylinders with efficiencies close to the planar case and in reasonable agreement with theoretical predictions.</t>
  </si>
  <si>
    <t>60017563;60017563;60017563</t>
  </si>
  <si>
    <t>7202294701;57225229400;7004481850</t>
  </si>
  <si>
    <t>Levine, E.;Ashkenazy, J.;Treves, D.</t>
  </si>
  <si>
    <t>Levine E.</t>
  </si>
  <si>
    <t>PRINTED DIPOLE ARRAYS ON A CYLINDER.</t>
  </si>
  <si>
    <t>2-s2.0-17344382022</t>
  </si>
  <si>
    <t>['wide variety', 'rotting wood', 'previously known', 'leaf litter', 'lakes region', 'junk publishers', 'heterais exul', 'emergent vegetation']</t>
  </si>
  <si>
    <t>Chile | Fritzianira | Heterias | isopod</t>
  </si>
  <si>
    <t>Heterais exul, previously known from Brazil and Argentina, was collected from a number of lakes and streams in the Lakes Region of Chile (between Valdivia and Puerto Montt). It was found in a wide variety of habitats: on leaf litter, detritus, algae, rotting wood, emergent vegetation, and clean sandy bottoms. Heterias, Pseudasellus, and Fritzianira are placed in synonymy, but Fritzianira is maintained as a subgenus of Heterias because of its lack of an antenna) scale. The 3 Australian species of Heterias and H. exul are believed to have evolved from a common freshwater Gondwanaland ancestor. ¬© 1987 Dr W. Junk Publishers.</t>
  </si>
  <si>
    <t>275-281</t>
  </si>
  <si>
    <t>Hydrobiologia</t>
  </si>
  <si>
    <t>60015033;60014611;119992619</t>
  </si>
  <si>
    <t>14043324200;16460078100;57208040324</t>
  </si>
  <si>
    <t>Bowman, Thomas E.;Prins, Rudolph;Arenas, Jose</t>
  </si>
  <si>
    <t>United States;United States;Chile</t>
  </si>
  <si>
    <t>Washington, D.C.;Bowling Green;Valdivia</t>
  </si>
  <si>
    <t>Smithsonian Institution;Western Kentucky University;University of Austral of Chile</t>
  </si>
  <si>
    <t>Bowman T.</t>
  </si>
  <si>
    <t>The occurrence of the freshwater isopod Heterias (Fritzianira) exul in the Lakes Region of Chile, with notes on the genus Heterias (Asellota: Janiridae)</t>
  </si>
  <si>
    <t>10.1007/BF00016349</t>
  </si>
  <si>
    <t>2-s2.0-33750014994</t>
  </si>
  <si>
    <t>['similar ways', 'schizaphis graminum', 'pea aphids', 'myzus persicae', 'molting difficulties', 'male larvae', 'head capsule', 'cuticular darkening', 'curtailment ofembryogenesis', 'acyrthosiphon pisum', '), responded']</t>
  </si>
  <si>
    <t>Acyrthosiphon pisum | Aphids | contamination | green peach aphids | greenbug | mercury vapor | Myzus persicae | pea aphid | pigmentation | reproduction | Schizaphis graminum</t>
  </si>
  <si>
    <t>Exposure of green peach aphids, Myzus persicae (Sulz.), to an atmosphere containing mercury vapor resulted in a curtailment ofembryogenesis and larviposition by adults, and in the development by larvae and adults of a cuticular darkening of their legs, head capsule, antennae, cornicles and cauda. Mortality of affected larvae resulted from molting difficulties, particularly by last-instar alatiform female and male larvae. Greenbugs, Schizaphis graminum (Rond.), and pea aphids, Acyrthosiphon pisum (Harr.), responded to mercury vapor exposure in similar ways. ¬© 1987 Birkh√§user Verlag.</t>
  </si>
  <si>
    <t>334-336</t>
  </si>
  <si>
    <t>Experientia</t>
  </si>
  <si>
    <t>57218979810;24519567200</t>
  </si>
  <si>
    <t>Wilson, J. R.;Mittler, T. E.</t>
  </si>
  <si>
    <t>Wilson J.R.</t>
  </si>
  <si>
    <t>Chronic mercury vapor poisoning of aphids</t>
  </si>
  <si>
    <t>10.1007/BF01945575</t>
  </si>
  <si>
    <t>2-s2.0-34250109261</t>
  </si>
  <si>
    <t>['tasman bay', 'second antenna', 'new zealand', 'five years', 'first maxilla', 'canterbury bight', '21 fish']</t>
  </si>
  <si>
    <t>Alella tarakihi | Cheilodactylus macropterus | Copepod | Fish | Gills | New species | Parasite | Tarakihi | Taxonomy</t>
  </si>
  <si>
    <t>A new lemaeopodid copepod gill parasite of the tarakihi Cheilodactylus macropterus is described from two locations around New Zealand. It is distinguished from the other species of Alella on the basis of the armament of the first maxilla and the second antenna. Of 300 tarakihi collected from the Canterbury Bight, New Zealand, 21 fish, all less than 27 cm fork length and less than five years of age, carried Alella tarakihi n. sp. and a further three copepod specimens were obtained from 427 host fish from Tasman Bay. ¬© Crown 1987.</t>
  </si>
  <si>
    <t>141-147</t>
  </si>
  <si>
    <t>60002316;60002316</t>
  </si>
  <si>
    <t>56930081000;56975090100</t>
  </si>
  <si>
    <t>Hewitt, Gordon C.;Blackwell, Ron G.</t>
  </si>
  <si>
    <t>Wellington</t>
  </si>
  <si>
    <t>Victoria University of Wellington</t>
  </si>
  <si>
    <t>Hewitt G.</t>
  </si>
  <si>
    <t>A new species of alella (copepoda, lernaeopodidae) parasitic in the tarakihi, cheilodactylus macropterus, in new zealand</t>
  </si>
  <si>
    <t>10.1080/00288330.1987.9516208</t>
  </si>
  <si>
    <t>2-s2.0-84948045563</t>
  </si>
  <si>
    <t>['¬© 1987', 'using site', 'studied preparations', 'rhodopseudomonas viridis', 'rhodobacter sphaeroides', 'rhodobacter capsulatus', 'protein structure', 'precise correlation', 'many forms', 'lh ii', 'excellent organism', 'directed mutagenesis', 'appear ideal']</t>
  </si>
  <si>
    <t>(Rb. capsulatus) | ESR | Light-harvesting antenna | Protein structure | Reaction center</t>
  </si>
  <si>
    <t>Rhodobacter capsulatus is an excellent organism for using site-directed mutagenesis to address the goal of a precise correlation between amino acid sequence and protein structure and function. In this paper we show that photochemical reaction centers may be purified by a single DEAE chromatography step from a strain of the organism that lacks the light-harvesting complex known as B800-850 or LH II. These reaction centers show many similarities to the well-studied preparations from Rhodobacter sphaeroides and Rhodopseudomonas viridis, and appear ideal for many forms of spectroscopy. ¬© 1987.</t>
  </si>
  <si>
    <t>286-291</t>
  </si>
  <si>
    <t>BBA - Bioenergetics</t>
  </si>
  <si>
    <t>60021814;60029652</t>
  </si>
  <si>
    <t>7201351184;7004557866</t>
  </si>
  <si>
    <t>Prince, Roger C.;Youvan, Douglas C.</t>
  </si>
  <si>
    <t>Cold Spring Harbor;Irving</t>
  </si>
  <si>
    <t>Cold Spring Harbor Laboratory;Exxon Mobil Corporation</t>
  </si>
  <si>
    <t>60029652;60021814</t>
  </si>
  <si>
    <t>Prince R.</t>
  </si>
  <si>
    <t>Isolation and spectroscopic properties of photochemical reaction centers from Rhodobacter capsulatus</t>
  </si>
  <si>
    <t>0005-2728(87)90155-1</t>
  </si>
  <si>
    <t>10.1016/0005-2728(87)90155-1</t>
  </si>
  <si>
    <t>2-s2.0-0023147801</t>
  </si>
  <si>
    <t>['whose absorption', 'system uses', 'system generates', 'protected development', 'new anti', 'large antennas', 'infrared spectrum', 'infrared method', 'exclusively limited', 'detects moisture', 'ambient light']</t>
  </si>
  <si>
    <t>A new anti-ice and absolute moisture control system protects gas turbines and large antennas from condensation and ice. This system uses an infrared method of dew point measurement that is very accurate and insensitive to the effects of contamination, ambient light, and environmental temperature excursions. Its method of operation is based on the fact that certain bands within the infrared spectrum are absorbed by water. There is in fact one band, the 935 nanometer band, whose absorption is exclusively limited to water. The system generates and detects moisture by generating and monitoring infrared energy of this band's wavelength. The system is a patent-protected development of the Environmental &amp; Process Controls Company.</t>
  </si>
  <si>
    <t>110-112</t>
  </si>
  <si>
    <t>Design News (Boston)</t>
  </si>
  <si>
    <t>Stefanides, E. J.</t>
  </si>
  <si>
    <t>Newtown</t>
  </si>
  <si>
    <t>Design News</t>
  </si>
  <si>
    <t>Stefanides E.</t>
  </si>
  <si>
    <t>INFRARED SYSTEM DETECTS CONDENSATION, ICING CONDITIONS.</t>
  </si>
  <si>
    <t>2-s2.0-0023648764</t>
  </si>
  <si>
    <t>['use semisubmersibles', 'support antennas', 'san diego', 'salient features', 'okinawa range', 'naval architect', 'engineering firm', 'electronic subsystems', 'cubic corporation', 'briefly described']</t>
  </si>
  <si>
    <t>Five small semisubmersible data buoys moored in the deep Pacific offshore Okinawa have proved their worth in a year and a half on station. Designed to support antennas and some electronic subsystems, the bouys are part of Cubic Corporation's (San Diego, California) Air Combat Maneuvering Instrumentation (ACMI) system. The Okinawa range is Cubic's second deep water installation for ACMI but the first to use semisubmersibles. The naval architect/engineering firm in Houston, Texas, designed the buoys, which were then built by Sumitomo Heavy Industries in Japan. Salient features of these deep water data buoys are briefly described.</t>
  </si>
  <si>
    <t>33-34</t>
  </si>
  <si>
    <t>Sea Technology</t>
  </si>
  <si>
    <t>McClure, Alan C.</t>
  </si>
  <si>
    <t>Alan C. McClure Associates Inc</t>
  </si>
  <si>
    <t>McClure A.</t>
  </si>
  <si>
    <t>SEMISUBMERSIBLE BUOYS PROVE TO BE STEADY, LOW-COST PLATFORMS.</t>
  </si>
  <si>
    <t>2-s2.0-0023112224</t>
  </si>
  <si>
    <t>['wide variety', 'wide range', 'two loci', 'two defects', 'transheterozygotes express', 'third leg', 'third chromosome', 'specific discs', 'similar spectrum', 'second leg', 'right arm', 'proximal region', 'posterior wing', 'original mutations', 'mutations within', 'metamorphosing larvae', 'loci interact', 'left arm', 'incomplete penetrance', 'homeotic transformations', 'homeotic transformation', 'homeotic phenotype', 'greater degree', 'four pairs', 'either locus', 'drosophila melanogaster', 'double mutants', 'dorsal prothorax', 'distal region', 'discless phenotype', 'cell autonomous', 'cause either', 'anterior wing', 'although lethal', 'additional alleles', 'activity leads', '2 locus', '2 loci', '1 locus']</t>
  </si>
  <si>
    <t>Drosophila melanogaster | Homeosis | Imaginal discs | Lethal mutants</t>
  </si>
  <si>
    <t>The ash-1 locus is in the proximal region of the left arm of the third chromosome of Drosophila melanogaster and the ash-2 locus is in the distal region of the right arm of the third chromosome. Mutations at either locus can cause homeotic transformations of the antenna to leg, proboscis to leg and/or antenna, dorsal prothorax to wing, first and third leg to second leg, haltere to wing, and genitalia to leg and/or antenna. Mutations at the ash-1 locus cause, in addition, transformations of the posterior wing and second leg to anterior wing and second leg, respectively. A similar spectrum of transformations is caused by mutations at yet another third chromosome locus, trithorax. One extraordinary aspect of mutations at all three of these loci is that they cause such a wide variety of transformations. For mutations at both of the loci that we have studied the expression of the homeotic phenotype is both disc-autonomous (as shown by injecting mutant discs into metamorphosing larvae) and cell autonomous (as shown by somatic recombination analysis). The original mutations which identified these two loci, although lethal, manifest variable expressivity and incomplete penetrance of the homeotic phenotype suggesting that they are hypomorphic. The phenotype of double mutants which were synthesized by combining different pairs of those original mutations manifest for two of the four pairs a greater degree of expressivity and slightly more penetrance of the homeotic transformations. This mutual enhancement suggests that the products of both loci interact in the same process. A third double mutant expresses a discless phenotype. Additional alleles have been recovered at both the ash-1 and the ash-2 loci. Some of these alleles as homozygotes or transheterozygotes express the wide range of transformations revealed first by double mutants. One of the alleles at the ash-1 locus when homozygous and several transheterozygous pairs can cause either the homeotic transformation of discs or the absence of those discs. The fact that these two defects, absence of specific discs and homeotic transformations of those same discs can be caused by mutations within a single gene suggests that the activity of the product of this gene is essential for normal imaginal disc cell proliferation. Loss of that activity leads to the absence of discs, whereas, reduction of that activity leads to homeotic transformations. ¬© 1987 Springer-Verlag.</t>
  </si>
  <si>
    <t>231-242</t>
  </si>
  <si>
    <t>60005248;60005248;60005248</t>
  </si>
  <si>
    <t>7004253986;6601967106;6506893296</t>
  </si>
  <si>
    <t>Shearn, Allen;Hersperger, Evelyn;Hersperger, Grafton</t>
  </si>
  <si>
    <t>Baltimore</t>
  </si>
  <si>
    <t>Johns Hopkins University</t>
  </si>
  <si>
    <t>Shearn A.</t>
  </si>
  <si>
    <t>Genetic studies of mutations at two loci of Drosophila melanogaster which cause a wide variety of homeotic transformations</t>
  </si>
  <si>
    <t>10.1007/BF00376347</t>
  </si>
  <si>
    <t>2-s2.0-0023141586</t>
  </si>
  <si>
    <t>['turbulent medium', 'statistical characteristics', 'somewhat improves', 'rayleigh criterion', 'propagation medium', 'aperture range', 'analytic investigation']</t>
  </si>
  <si>
    <t>The effect of the propagation medium on the resolution of large-aperture range-finding measuring systems is investigated by analyzing the statistical characteristics of the response of the antenna receiving signals from two sources separated in space which have passed through a randomly inhomogeneous medium. It is shown that for small angular distances between the sources the presence of a turbulent medium does not degrade but somewhat improves the resolution as defined by the Rayleigh criterion. The results of the analytic investigation are confirmed by the data of a numerical experiment using a computer.</t>
  </si>
  <si>
    <t>120-128</t>
  </si>
  <si>
    <t>57196684799;6505758698</t>
  </si>
  <si>
    <t>Vinogradov, A. G.;Feyzulin, Z. I.</t>
  </si>
  <si>
    <t>Vinogradov A.</t>
  </si>
  <si>
    <t>DIRECTIONAL PROPERTIES OF ANTENNAS IN A TURBULENT MEDIUM RESOLVING POWER.</t>
  </si>
  <si>
    <t>2-s2.0-0023325168</t>
  </si>
  <si>
    <t>['station antennas', 'sidelobe levels', 'satellite earth', 'required bandwidth', 'reflector diameters', 'radio telescopes', 'horn size', 'electromagnetic design', 'approximate diameter', 'also discussed']</t>
  </si>
  <si>
    <t>The electromagnetic design of axisymmetric Cassegrain antennas for both satellite earth stations and radio telescopes is discussed. The effects of frequency and required bandwidth on subreflector and horn size and the effect of reflector diameters on the near-in sidelobe levels are considered. These sidelobes are compared with the specifications to be applied to all satellite earth-station antennas. The approximate diameter at which it is necessary to consider the use of an asymmetric antenna design is also discussed.</t>
  </si>
  <si>
    <t>21-27</t>
  </si>
  <si>
    <t>GE11</t>
  </si>
  <si>
    <t>Trans Inst Eng Aust Multi Discip Eng</t>
  </si>
  <si>
    <t>Thomas, B. Mac A.</t>
  </si>
  <si>
    <t>Thomas B.M.A.</t>
  </si>
  <si>
    <t>ELECTROMAGNETIC DESIGN OF ANTENNAS FOR EARTH STATIONS AND RADIO TELESCOPES.</t>
  </si>
  <si>
    <t>2-s2.0-0023325516</t>
  </si>
  <si>
    <t>['star networks', 'small antennas', 'service flexibility', 'economic trade', 'earth stations', 'channel capacities']</t>
  </si>
  <si>
    <t>Small digital earth stations use small antennas of 2. 4 m or less in diameter, enabling quick deployment. The performances of devices which enable these small antennas to be used, namely low bit-rate voice codes and forward error correction codecs are reported. The use of intelligent multiplexers also greatly enhance the service flexibility of these earth stations. The channel capacities of a low power AUSSAT transponder working with STAR networks of small digital earth stations are estimated, and economic trade-offs in STAR networks design are discussed.</t>
  </si>
  <si>
    <t>52-58</t>
  </si>
  <si>
    <t>GEll</t>
  </si>
  <si>
    <t>Trans Inst ENG Aust Multi Discip ENG</t>
  </si>
  <si>
    <t>6507734649;7401712236</t>
  </si>
  <si>
    <t>Manh, Q. D.;Armstrong, R.</t>
  </si>
  <si>
    <t>Manh Q.</t>
  </si>
  <si>
    <t>TECHNICAL AND ECONOMIC ASPECTS OF SMALL DIGITAL EARTH STATIONS.</t>
  </si>
  <si>
    <t>2-s2.0-0023325689</t>
  </si>
  <si>
    <t>['two equal', 'source power', 'relative error', 'received signal', 'rayleigh criterion', 'power sources', 'power estimate', 'matched processing', 'limiting resolution', 'inversely proportional', 'free measurements', 'fourth root', 'estimation error', 'estimation accuracy', 'correlation matrix', 'certain characteristics']</t>
  </si>
  <si>
    <t>Under the assumption that error-free measurements can be made on the correlation matrix of a received signal, certain characteristics of Capon's algorithm are investigated the coordinate- and power-estimation accuracy for independent fluctuating sources observed in weak additive white noise and the limiting resolution for two equal-power sources, using the Rayleigh criterion. It is concluded that the position-estimation error and the relative error in the power estimate for each source are inversely proportional to the source power; the improvement in resolution for two equally strong sources, as compared with matched processing, is proportional to the fourth root of the power, and according to the Rayleigh limit remains an acceptable resolution criterion.</t>
  </si>
  <si>
    <t>111-114</t>
  </si>
  <si>
    <t>6603303712;57225729589</t>
  </si>
  <si>
    <t>Karavayev, V. V.;Molodtsov, V. S.</t>
  </si>
  <si>
    <t>Karavayev V.V.</t>
  </si>
  <si>
    <t>ACCURACY CHARACTERISTICS OF SUPER-RESOLUTION ANTENNAS.</t>
  </si>
  <si>
    <t>2-s2.0-0023325806</t>
  </si>
  <si>
    <t>['several types', 'sampled readings', 'restoration error', 'relative error', 'radiation pattern', 'linear antenna', 'least squares', 'field distribution', 'empirical formulas']</t>
  </si>
  <si>
    <t>The relative error in restoring a radiation pattern from sampled readings of the field distributed along a linear antenna is investigated. It is shown by numerical calculations using a computer that the restoration error is concentrated around certain values which are characteristic for several types of field distribution. Using the method of least squares, empirical formulas for the error of radiation pattern restoration and the necessary sampling interval are obtained.</t>
  </si>
  <si>
    <t>115-119</t>
  </si>
  <si>
    <t>6602446855;6504605788</t>
  </si>
  <si>
    <t>Asatryan, D. G.;Khachaturyan, Dzh Sh</t>
  </si>
  <si>
    <t>Asatryan D.</t>
  </si>
  <si>
    <t>ERROR IN RESTORING AN ANTENNA RADIATION PATTERN FROM SAMPLED READINGS OF THE AMPLITUDE-PHASE DISTRIBUTION.</t>
  </si>
  <si>
    <t>2-s2.0-0023326327</t>
  </si>
  <si>
    <t>['strip dipoles', 'pass ).', 'linear array', 'design method', 'chebyshev pattern']</t>
  </si>
  <si>
    <t>This paper presents circularly polarized printed arrays composed of strip dipoles and slots (CP-PASS). A design method for CP-PASS is described on the basis of its equivalent circuit model. A linear array with a Chebyshev pattern and a middle-gain planar array are designed and measured at S band.</t>
  </si>
  <si>
    <t>143-146, 148</t>
  </si>
  <si>
    <t>Ito, Koichi</t>
  </si>
  <si>
    <t>Chiba</t>
  </si>
  <si>
    <t>Chiba University</t>
  </si>
  <si>
    <t>Ito K.</t>
  </si>
  <si>
    <t>CIRCULARLY POLARIZED PRINTED ARRAYS COMPOSED OF STRIP DIPOLES AND SLOTS.</t>
  </si>
  <si>
    <t>2-s2.0-0023326996</t>
  </si>
  <si>
    <t>['unwanted one', 'tamed system', 'specified response', 'setting contains', 'priori knowledge', 'output power', 'mutual coupling', 'modified system', 'imperfect constraint', 'hence become', 'desired signal', 'constraint depends']</t>
  </si>
  <si>
    <t>The adaptive array using the principle of directionally constrained minimization of power (DCMP) operates to minimize the output power under the constraint to maintain the specified response to the direction of the desired signal. This constraint depends on the a priori knowledge of the relation of the output at each element of the array with respect to the desired signal. If this setting contains some error, the desired signal will be taken for the unwanted one and hence become a target of suppression. To prevent this malfunction, we introduced a modified system of DCMP, which is named the tamed adaptive array, and demonstrate its effectiveness against such imperfect constraint. We consider two examples that cause such effects, i. e. , the mutual coupling and random input errors. Numerical results show that the tamed system is robust against those influences.</t>
  </si>
  <si>
    <t>430-434</t>
  </si>
  <si>
    <t>7003894513;7102188996</t>
  </si>
  <si>
    <t>Kikuma, Nobuyoshi;Takao, Kazuaki</t>
  </si>
  <si>
    <t>Kikuma N.</t>
  </si>
  <si>
    <t>TAMED ADAPTIVE ARRAY FOR IMPERFECT CONSTRAINT DUE TO MUTUAL COUPLING OR RANDOM INPUT ERRORS.</t>
  </si>
  <si>
    <t>2-s2.0-0023329630</t>
  </si>
  <si>
    <t>['satellite newsgathering', 'lighter equipment', 'future requirements', 'detailed description', 'current ku', 'c band', 'article considers']</t>
  </si>
  <si>
    <t>The article considers the growth in satellite newsgathering from the first systems operating at C band in the USA to the current Ku-Band equipment available from Marconi. A detailed description is given of the Newshawk SNG system, together with consideration of its use in a network. Future requirements and possibilities are reviewed, pointing towards even smaller and lighter equipment.</t>
  </si>
  <si>
    <t>21-25</t>
  </si>
  <si>
    <t>Communication &amp; broadcasting</t>
  </si>
  <si>
    <t>Ackroyd, B. R.</t>
  </si>
  <si>
    <t>Ackroyd B.</t>
  </si>
  <si>
    <t>NEWSGATHERING BY SATELLITE.</t>
  </si>
  <si>
    <t>2-s2.0-0023329755</t>
  </si>
  <si>
    <t>['return signal', 'raw measurements', 'orbit performance', 'one flown', 'ocean surface', 'listed along', 'improved version', 'altimetry process']</t>
  </si>
  <si>
    <t>The GEOSAT radar altimeter is an improved version of the one flown on Seasat. The characteristics of the return signal from the ocean surface are discussed as a basis for understanding the altimetry process. The primary measurements provided by the altimeter are listed along with a description of altimeter hardware implementation. The processing and corrections to the raw measurements to yield the end-user data products are presented, followed by a summary of the altimeter's in-orbit performance.</t>
  </si>
  <si>
    <t>176-181</t>
  </si>
  <si>
    <t>Johns Hopkins APL Technical Digest (Applied Physics Laboratory)</t>
  </si>
  <si>
    <t>57124550000;6602156251;57212806792</t>
  </si>
  <si>
    <t>MacArthur, John L.;Marth, Paul C.;Wall, Joseph G.</t>
  </si>
  <si>
    <t>MacArthur J.</t>
  </si>
  <si>
    <t>GEOSAT RADAR ALTIMETER.</t>
  </si>
  <si>
    <t>2-s2.0-0023329823</t>
  </si>
  <si>
    <t>['voice communications', 'unwanted distortion', 'traditionally proceeded', 'system engineers', 'simple table', 'required frequencies', 'npr ),', 'designer chooses', 'antenna configuration']</t>
  </si>
  <si>
    <t>Designing terrestrial microwave radio links has traditionally proceeded by trial and error. The designer chooses a noise power ratio (NPR), the number of channels and required frequencies for the system, and the antenna configuration. Then, only after the system has been built does he discover the unwanted distortion that prevents clear voice-to-voice communications. Using a simple table, system engineers can ensure a successful final design before the system is built.</t>
  </si>
  <si>
    <t>103-105</t>
  </si>
  <si>
    <t>James, Michael C.</t>
  </si>
  <si>
    <t>Dep of Communications</t>
  </si>
  <si>
    <t>James M.C.</t>
  </si>
  <si>
    <t>CALCULATE INTERFERENCE, SPEED RADIO LINK DESIGN.</t>
  </si>
  <si>
    <t>2-s2.0-0023330162</t>
  </si>
  <si>
    <t>['wave analysis', 'two types', 'straight strip', 'radiation patterns', 'polarization grids', 'grid position', 'grid parameters', 'curved strip']</t>
  </si>
  <si>
    <t>A full-wave analysis of antennas with polarization grids is performed. Radiation patterns of antennas for two types of grids (straight strip and curved strip) are presented, where effects of the grid position and the grid parameters are discussed.</t>
  </si>
  <si>
    <t>250-252</t>
  </si>
  <si>
    <t>60031126;60031126;60031126</t>
  </si>
  <si>
    <t>56055651200;35495699200;7201747933</t>
  </si>
  <si>
    <t>Nakamura, Kentaro;Ando, Makato;Goto, Naohisa</t>
  </si>
  <si>
    <t>Nakamura K.</t>
  </si>
  <si>
    <t>FULL-WAVE ANALYSIS OF POLARIZATION GRIDS IN OFFSET REFLECTOR ANTENNAS.</t>
  </si>
  <si>
    <t>2-s2.0-0023331309</t>
  </si>
  <si>
    <t>['polarized antennas', 'future trends', 'fed antennas', 'discuss corporate', 'beam mm', 'authors describe']</t>
  </si>
  <si>
    <t>The authors describe the design and development of a number of fixed-beam mm-wave microstrip array antennas. They discuss corporate-fed antennas, series-fed antennas, hybrid and center-fed antennas, dual-polarized antennas, and future trends.</t>
  </si>
  <si>
    <t>60022476;60022476</t>
  </si>
  <si>
    <t>6506874216;7004637865</t>
  </si>
  <si>
    <t>Lalezari, Farzin;Massey, Clifton David</t>
  </si>
  <si>
    <t>Boulder</t>
  </si>
  <si>
    <t>Ball Aerospace</t>
  </si>
  <si>
    <t>Lalezari F.</t>
  </si>
  <si>
    <t>mm-WAVE MICROSTRIP ANTENNAS.</t>
  </si>
  <si>
    <t>2-s2.0-0023331951</t>
  </si>
  <si>
    <t>['two fets', 'tr switch', 'receive switch', 'letter describes', 'fets operate', 'band frequencies']</t>
  </si>
  <si>
    <t>This letter describes a high power monolithic GaAs FET transmit-receive switch (TR switch) with two FETs. Both FETs operate in the same states, low impedance state in transmitting and high in receiving, so that an rf voltage imposed on FET is low both in transmitting and receiving. The developed TR switch can handle more than 12w peak power at X-band frequencies.</t>
  </si>
  <si>
    <t>259-260</t>
  </si>
  <si>
    <t>7102500699;6604028479;7202641737;7103100968</t>
  </si>
  <si>
    <t>Matsunaga, Makoto;Iyama, Yoshitada;Nakahara, Kazuhiko;Takeda, Fumio</t>
  </si>
  <si>
    <t>Matsunaga M.</t>
  </si>
  <si>
    <t>X-BAND 12W GaAs MONOLITHIC TRANSMIT-RECEIVE SWITCH.</t>
  </si>
  <si>
    <t>2-s2.0-0023332228</t>
  </si>
  <si>
    <t>['wave region', 'transmission line', 'thereby forming', 'test results', 'side wall', 'radiating elements', 'radiating aperture', 'phase scanning', 'low loss', 'feasibility prototype', 'discrete components', 'cost structure', 'aperture integration']</t>
  </si>
  <si>
    <t>A description is given of the design and development of a ferrite-type dielectric waveguide antenna for phase scanning in the mm-wave region. The result of this effort is a new antenna concept that provides a ruggedized, realizable design using low-cost fabrication processes, which have resulted in the successful laboratory demonstration of a feasibility prototype. This antenna is fabricated by cutting periodic grooves into the side wall of an optimized (low loss, broadband) ferrite-type dielectric waveguide, thereby forming a series of radiating elements. This is a simple, low-cost structure where the transmission line, phase shift section and radiating aperture are contained completely within one homogeneous ferrite rod with no discrete components to be assembled for aperture integration. Design and test results are given for an antenna that operates in the 35 GHz frequency region.</t>
  </si>
  <si>
    <t>60033252;60033252;60033252</t>
  </si>
  <si>
    <t>56726032400;7003490140;7801469331</t>
  </si>
  <si>
    <t>Stern, Richard A.;Babbitt, Richard W.;Borowick, John</t>
  </si>
  <si>
    <t>Adelphi</t>
  </si>
  <si>
    <t>U.S. Army Research Laboratory</t>
  </si>
  <si>
    <t>Stern R.</t>
  </si>
  <si>
    <t>mm-WAVE HOMOGENEOUS FERRITE PHASE SCAN ANTENNA.</t>
  </si>
  <si>
    <t>2-s2.0-18744430053</t>
  </si>
  <si>
    <t>401-406</t>
  </si>
  <si>
    <t>Bazelyan, L. L.</t>
  </si>
  <si>
    <t>Bazelyan L.</t>
  </si>
  <si>
    <t>Steerable circular-polarization antenna. I. Analytical relations</t>
  </si>
  <si>
    <t>10.1007/BF01034965</t>
  </si>
  <si>
    <t>2-s2.0-34250104649</t>
  </si>
  <si>
    <t>['transient problem', 'radiation field', 'precise fresnel', 'kirchhoff formula', 'examples shows']</t>
  </si>
  <si>
    <t>The limitation of far region Fresnel-Kirchhoff formula in transient problem is discussed. The calculation of some examples shows that the radiation field has to be evaluated in terms of precise Fresnel-Kirchhoff formula; otherwise, some important transient features would be lost. ¬© 1987 Science Press.</t>
  </si>
  <si>
    <t>141-149</t>
  </si>
  <si>
    <t>Haoming, Shen</t>
  </si>
  <si>
    <t>Haoming S.</t>
  </si>
  <si>
    <t>Some points on transient response of aperture antennas</t>
  </si>
  <si>
    <t>10.1007/BF02778800</t>
  </si>
  <si>
    <t>2-s2.0-51649153846</t>
  </si>
  <si>
    <t>['relative position', 'reflecting cylinder', 'reflected field', 'optimum omni', 'optimum design', 'gtd ).', 'geometrical theory', 'field point', 'directional characteristics', 'direct field', 'diffracted field', 'antenna system']</t>
  </si>
  <si>
    <t>The horizontal radiation patterns of dipoles and double-loop antennas near a rectangular cylinder reflector are calculated and analyzed by the geometrical theory of diffraction (GTD). The magnitudes of the direct field, the reflected field and the diffracted field at a field point are studied. The effects on the resultant field pattern of the size of the reflecting cylinder, of the relative position between the antennas and the reflecting cylinder, and of the methods of feeding of antennas are analyzed. The results obtained show that in order to obtain the optimum omni-directional characteristics of rediation, the optimum design for the parameters of antenna system is needed. The method and results in this paper provide means and bases for the optimum design of this kind of antenna system. ¬© 1987 Science Press.</t>
  </si>
  <si>
    <t>81-87</t>
  </si>
  <si>
    <t>60021200;60021200</t>
  </si>
  <si>
    <t>6503880005;24787249800</t>
  </si>
  <si>
    <t>Naihua, Sun;Hankuei, Chen</t>
  </si>
  <si>
    <t>Shanghai</t>
  </si>
  <si>
    <t>East China Normal University</t>
  </si>
  <si>
    <t>Naihua S.</t>
  </si>
  <si>
    <t>The calculation of radiation characteristics of antennas near a rectangular cylinder reflector by GTD</t>
  </si>
  <si>
    <t>10.1007/BF02778792</t>
  </si>
  <si>
    <t>2-s2.0-51649154362</t>
  </si>
  <si>
    <t>['vestigial exopod', 'species demarcations', 'remarkable species', 'new localities', 'n .,', 'junk publishers', 'hyporheic habitats', 'graeter ).', 'diacyclops zschokkei', 'diacyclops clandestinus']</t>
  </si>
  <si>
    <t>Copepoda | Diacyclops | groundwater crustaceans | Italy | Palaeartic Region | taxonomy</t>
  </si>
  <si>
    <t>Diacyclops paralanguidoides sp.n., Diacyclops paolae sp.n., Diacyclops maggii sp.n. and Diacyclops sardous sp.n., all belonging to the 'languidoides-group' of species, are described from groundwaters (wells, hyporheic habitats) in Italy. New localities are reported, from the same country, for other remarkable species of the genus, viz. Diacyclops clandestinus (Kiefer) and Diacyclops zschokkei (Graeter). The absence of a vestigial exopod and the armature of the basipodite of the antenna are considered as useful diagnostic characters for species demarcations. ¬© 1987 Dr W. Junk Publishers.</t>
  </si>
  <si>
    <t>103-114</t>
  </si>
  <si>
    <t>60018783;60018783</t>
  </si>
  <si>
    <t>36923195100;6603430877</t>
  </si>
  <si>
    <t>Pesce, Giuseppe L.;Galassi, Diana P.</t>
  </si>
  <si>
    <t>L'Aquila</t>
  </si>
  <si>
    <t>Universit√† degli Studi dell'Aquila</t>
  </si>
  <si>
    <t>Pesce G.</t>
  </si>
  <si>
    <t>New or rare species of Diacyclops Kiefer, 1927 (Copepoda, Cyclopoida) from different groundwater habitats in Italy</t>
  </si>
  <si>
    <t>10.1007/BF00008395</t>
  </si>
  <si>
    <t>2-s2.0-0001476548</t>
  </si>
  <si>
    <t>['suction produced', 'six species', 'restrain copepods', 'plastic syringe', 'junk publishers', 'impedance pneumograph', 'flowing seawater', 'experimental animal', 'escape response', 'direct records', 'device utilizing', 'chart recorder', 'appendage movements']</t>
  </si>
  <si>
    <t>2nd antennal beat patterns | Copepoda | escape response | methodology</t>
  </si>
  <si>
    <t>A device utilizing the suction produced by a plastic syringe, has been developed to restrain copepods in flowing seawater, allowing close observation of the experimental animal. Direct records of appendage movements can be achieved by using an electrode technique based on the impedance pneumograph, and the temporal activity patterns of such limbs can be displayed on a chart recorder. These methods have been applied to six species of marine calanoid copepods to record antennal beat patterns, and appendage movements during the escape response. ¬© 1987 Dr W. Junk Publishers.</t>
  </si>
  <si>
    <t>73-78</t>
  </si>
  <si>
    <t>Gill, Catherine W.</t>
  </si>
  <si>
    <t>Roscoff</t>
  </si>
  <si>
    <t>Station Biologique de Roscoff</t>
  </si>
  <si>
    <t>Gill C.W.</t>
  </si>
  <si>
    <t>Recording the beat patterns of the second antennae of calanoid copepods, with a micro-impedance technique</t>
  </si>
  <si>
    <t>10.1007/BF00018167</t>
  </si>
  <si>
    <t>2-s2.0-0002861052</t>
  </si>
  <si>
    <t>PCM-82267</t>
  </si>
  <si>
    <t>['¬© 1987', 'vivo synthesis', 'vitro translations', 'type cells', 'translatable mrna', 'transcriptionally regulated', 'subcellular site', 'results indicate', 'polypeptides 14', 'polypeptide recovered', 'polypeptide accumulates', 'polyadenylated rna', 'nuclear encoded', 'membrane topology', 'membrane surface', 'membrane bilayer', 'mature polypeptide', 'light period', 'lhci polypeptide', 'lhci appears', 'kda subunit', 'kda polypeptide', 'harvesting complex', 'dramatically reduced', 'dark period', 'cycle regulation', 'completely protected', 'chlamydomonas reinhardtii', 'cell cycle', '24 kda', '20 kda']</t>
  </si>
  <si>
    <t>The light-harvesting complex of photosystem I (LHCI) was isolated from wild-type cells of Chlamydomonas reinhardtii; the Chl a/b-protein complex contains four major polypeptides of ~27, 26, 24, and 20 kDa (polypeptides 14, 15, 17.2, and 22, respectively, in the nomenclature for Chlamydomonas thylakoid proteins). Antiserum against the 20-kDa subunit of LHCI was prepared and used to determine the membrane topology, subcellular site of synthesis, and cell-cycle regulation of this polypeptide. The results indicate that the 20-kDa subunit as well as the other major LHCI polypeptides are integral membrane proteins. Moreover, protease digestion experiments reveal that the 20-kDa polypeptide is completely protected by the membrane bilayer but the 27- and 26-kDa LHCI polypeptides are exposed at the membrane surface. In vivo synthesis of the 20-kDa polypeptide is sensitive to cycloheximide but not to chloramphenicol; the form of the polypeptide recovered from in vitro translations of polyadenylated RNA is ~24 kDa, 4 kDa larger than the mature polypeptide. It is concluded that this LHCI polypeptide is nuclear encoded and synthesized in the cytoplasm as a higher molecular weight precursor. Synthesis of the 20-kDa polypeptide is restricted to the light period in light-dark synchronized cells. Translatable mRNA for this polypeptide accumulates during the light but levels are dramatically reduced during the dark period. Thus, synthesis of the 20-kDa subunit of LHCI appears to be transcriptionally regulated during the cell cycle. ¬© 1987.</t>
  </si>
  <si>
    <t>397-408</t>
  </si>
  <si>
    <t>Archives of Biochemistry and Biophysics</t>
  </si>
  <si>
    <t>60029747;60029747;;60007740;</t>
  </si>
  <si>
    <t>7006311798;6603530923;16740039200;7005104584;16182020700</t>
  </si>
  <si>
    <t>Herrin, David L.;Plumley, F. Gerald;Ikeuchi, Masahiko;Michaels, Allan S.;Schmidt, Gregory W.</t>
  </si>
  <si>
    <t>Athens;Tampa</t>
  </si>
  <si>
    <t>University of Georgia;University of South Florida, Tampa</t>
  </si>
  <si>
    <t>60029747;60007740</t>
  </si>
  <si>
    <t>Herrin D.L.</t>
  </si>
  <si>
    <t>Chlorophyll antenna proteins of photosystem I: Topology, synthesis, and regulation of the 20-kDa subunit of Chlamydomonas light-harvesting complex of photosystem I</t>
  </si>
  <si>
    <t>0003-9861(87)90117-2</t>
  </si>
  <si>
    <t>10.1016/0003-9861(87)90117-2</t>
  </si>
  <si>
    <t>2-s2.0-0023334838</t>
  </si>
  <si>
    <t>473-476</t>
  </si>
  <si>
    <t>6602712774;6506613157;6602726514</t>
  </si>
  <si>
    <t>Abranin, E. P.;Bazelyan, L. L.;Brazhenko, A. I.</t>
  </si>
  <si>
    <t>Abranin E.</t>
  </si>
  <si>
    <t>Steerable antenna with circular-polarization. 2. Selection of optimal scheme</t>
  </si>
  <si>
    <t>10.1007/BF01035298</t>
  </si>
  <si>
    <t>2-s2.0-0023342105</t>
  </si>
  <si>
    <t>['phase detection', 'multiple channels', 'microwave sources', 'increasing emphasis', 'cat ),', 'aided testing']</t>
  </si>
  <si>
    <t>Applications such as phased-array antenna characterization, phase detection and control, and complex signal simulation require accurate and stable phase control between two or more rf or microwave sources. With the increasing emphasis on automated test equipment (ATE) and computer-aided testing (CAT), it is advantageous to implement these requirements with commercially available equipment and convenient remote control. This article discusses methods to achieve phase control between multiple channels.</t>
  </si>
  <si>
    <t>331-332, 334, 336</t>
  </si>
  <si>
    <t>Schwartz, Dave</t>
  </si>
  <si>
    <t>Hewlett-Packard Inc.</t>
  </si>
  <si>
    <t>Schwartz D.</t>
  </si>
  <si>
    <t>AUTOMATED PHASE SYNCHRONIZATION AND CONTROL OF MULTIPLE SIGNAL GENERATORS.</t>
  </si>
  <si>
    <t>2-s2.0-0023342265</t>
  </si>
  <si>
    <t>['wishart distribution', 'typical cases', 'tuning criterion', 'spatial filter', 'random matrix', 'r ),', 'problems associated', 'noise ratio', 'mismatching norms', 'little influence', 'inverse replacement', 'correlation matrix']</t>
  </si>
  <si>
    <t>In problems associated, for example, with the passage of signals through an anisotropic randomly inhomogeneous atmosphere, the correlation matrix of the signals in the aperture of the receiver antenna array can be considered as a slowly varying random matrix with some mean value R. It has been shown that replacement of the arbitrary correlation matrix R by the random matrix having a Wishart distribution CW(M, N; R), just like the inverse replacement of the random matrix having a Wishart distribution by its mean value R, has very little influence in typical cases (M greater than 2N) on the losses in the tuning criterion of a spatial filter, - the signal-to-noise ratio (or the mean-square error). However, in this case other mismatching norms for the correlation matrices may remain appreciable.</t>
  </si>
  <si>
    <t>176-177</t>
  </si>
  <si>
    <t>7006472158;6602798999</t>
  </si>
  <si>
    <t>Abramovich, Yu I.;Kachur, V. G.</t>
  </si>
  <si>
    <t>Abramovich Y.</t>
  </si>
  <si>
    <t>EFFECTIVENESS OF SPATIAL FILTERING SYSTEMS WHEN THERE IS A MISMATCH OF CORRELATION MATRIX MODELS.</t>
  </si>
  <si>
    <t>2-s2.0-0023342316</t>
  </si>
  <si>
    <t>['technical issues', 'different configurations', 'development efforts', 'detrimental effects', 'compact ranges', 'article focuses']</t>
  </si>
  <si>
    <t>Compact ranges (room-sized radar range simulators) have recently attracted great interest and development efforts. This article focuses on technical issues such as the different configurations of the compact ranges, and techniques for reducing the detrimental effects of diffraction from the edges of a compact range reflector.</t>
  </si>
  <si>
    <t>135-138</t>
  </si>
  <si>
    <t>60015099;60015099</t>
  </si>
  <si>
    <t>56717808400;7403275788</t>
  </si>
  <si>
    <t>Johnson, R. C.;Ryan, C. E.</t>
  </si>
  <si>
    <t>Georgia Tech Research Institute</t>
  </si>
  <si>
    <t>Johnson R.</t>
  </si>
  <si>
    <t>COMPACT RANGE TECHNOLOGY AND THE MARKETPLACE.</t>
  </si>
  <si>
    <t>2-s2.0-0023342483</t>
  </si>
  <si>
    <t>['peculiar limitations', 'outdoor ranges', 'make indoor', 'direct measurements', 'collimating devices', 'catrs exist', 'article examines']</t>
  </si>
  <si>
    <t>Techniques for measuring radar cross-section (RCS) indoors have stirred much excitement in the last ten years. The controlled and protected indoor environment is more conductive to high-performance RCS measurements than outdoor ranges. Compact Antenna Test Ranges (CATRs), furthermore, have made it possible to make indoor, direct measurements that simulate outdoor farfield conditions. These CATRs exist in a variety of configurations, each of which has its own peculiar limitations. This article examines in detail some fundamental limitations inherent in all types of collimating devices.</t>
  </si>
  <si>
    <t>100675122;100675122</t>
  </si>
  <si>
    <t>6506569522;7003380995</t>
  </si>
  <si>
    <t>Schluper, Bert;Vokurka, Joseph</t>
  </si>
  <si>
    <t>Nuenen</t>
  </si>
  <si>
    <t>March Microwave Systems BV</t>
  </si>
  <si>
    <t>Schluper B.</t>
  </si>
  <si>
    <t>TROUBLESHOOTING LIMITATIONS IN INDOOR RCS MEASUREMENTS.</t>
  </si>
  <si>
    <t>2-s2.0-0023342932</t>
  </si>
  <si>
    <t>['reactive components', 'radiation self', 'radiation impedance', 'elliptic cylinder', 'analytical expressions']</t>
  </si>
  <si>
    <t>Analytical expressions are obtained for determining the radiation self-impedance of a longitudinal electric dipole located to an elliptic cylinder. Results of a calculation of the resistive and reactive components of the radiation impedance of a longitudinal electric dipole taking the effect of the elliptic cylinder into account, are given.</t>
  </si>
  <si>
    <t>138-142</t>
  </si>
  <si>
    <t>Kravtsov, V. A.</t>
  </si>
  <si>
    <t>Kravtsov V.</t>
  </si>
  <si>
    <t>SELF-IMPEDANCE OF A LONGITUDINAL ELECTRIC DIPOLE LOCATED CLOSE TO AN ELLIPTIC CYLINDER.</t>
  </si>
  <si>
    <t>2-s2.0-0023343376</t>
  </si>
  <si>
    <t>['wide wall', 'waveguide walls', 'transverse dimensions', 'rectangular waveguide', 'perfectly conducting', 'paper presents', 'infinitely thin']</t>
  </si>
  <si>
    <t>This paper presents the results of an investigation of the characteristics of a narrow longitudinal slot of arbitrary length l and width d, cut into the wide wall of a rectangular waveguide, the transverse dimensions of which are such that several oscillation modes can propagate. It is assumed that the waveguide walls are perfectly conducting and infinitely thin.</t>
  </si>
  <si>
    <t>169-171</t>
  </si>
  <si>
    <t>Lyashchenko, V. A.</t>
  </si>
  <si>
    <t>Lyashchenko V.</t>
  </si>
  <si>
    <t>RADIATION FROM A LONGITUDINAL SLOT IN THE WALL OF A MULTIMODE WAVEGUIDE.</t>
  </si>
  <si>
    <t>2-s2.0-0023343377</t>
  </si>
  <si>
    <t>['much different', 'measurement techniques', 'computer programs', 'compact ranges', 'anechoic absorbers']</t>
  </si>
  <si>
    <t>The first complete evaluation of anechoic absorbers will help compact range users get improved RCS measurements. The new measurement technique described eliminates the problems of the NRL arch method and is much different than other previously used methods. Instead of using the conventional NRL arch technique to evaluate anechoic absorbers, three different types of measurement techniques were used. The measured absorber results are useful in developing much needed chamber performance models. Knowledge of absorber material behavior can be used as input for computer programs for designing anechoic chambers and compact ranges.</t>
  </si>
  <si>
    <t>Brumley, Steve</t>
  </si>
  <si>
    <t>Brumley S.</t>
  </si>
  <si>
    <t>BETTER RCS DATA WITH ANECHOIC ABSORBER CHARACTERIZATION.</t>
  </si>
  <si>
    <t>2-s2.0-0023343891</t>
  </si>
  <si>
    <t>476-485</t>
  </si>
  <si>
    <t>6603546004;6504566716;7005559067</t>
  </si>
  <si>
    <t>Komar', G. I.;Kupriyan, A. A.;Shestopalov, V. P.</t>
  </si>
  <si>
    <t>Komar' G.I.</t>
  </si>
  <si>
    <t>Characteristics of the radiation field of a slot leaky wave</t>
  </si>
  <si>
    <t>10.1007/BF01035299</t>
  </si>
  <si>
    <t>2-s2.0-0023344020</t>
  </si>
  <si>
    <t>['presented along', 'integrated dipole', 'experimental verification', 'dipole impedance', 'balun structures', '40 percent']</t>
  </si>
  <si>
    <t>A printed dipole radiating element with an integrated microstrip balun featuring a broad operating bandwidth is described. The balun structure provides double-tuning of the dipole impedance, yielding a combination with an SWR of 2 or lower and a bandwidth in excess of 40 percent. Guidelines for the design of these integrated dipole/balun structures are presented along with the results of our experimental verification.</t>
  </si>
  <si>
    <t>339-340, 342, 344</t>
  </si>
  <si>
    <t>60015623;60015623</t>
  </si>
  <si>
    <t>6602145813;36727256800</t>
  </si>
  <si>
    <t>Edward, Brian;Rees, Daniel</t>
  </si>
  <si>
    <t>Edward B.</t>
  </si>
  <si>
    <t>BROADBAND PRINTED DIPOLE WITH INTEGRATED BALUN.</t>
  </si>
  <si>
    <t>2-s2.0-0023344039</t>
  </si>
  <si>
    <t>['transmitter sends', 'sensitive receiver', 'rf stimulus', 'precessing nuclei', 'patient result', 'mri components', 'magnetic field', 'head coil']</t>
  </si>
  <si>
    <t>Reduced to its fundamentals, an MRI instrument consists of a transmitter and a receiver. The transmitter sends out radiofrequency (rf) signals through an antenna (the body or head coil) to the patient, who is located in a magnetic field. Interactions between this rf stimulus and the precessing nuclei of the patient result in the nuclei's emitting new rf signals, which are picked up by the same antenna and routed to a sensitive receiver. The receiver, in turn, amplifies and transforms these signals, which eventually are sent to a computer where they are stored for further processing. Operations of MRI components are explained.</t>
  </si>
  <si>
    <t>86-88, 90</t>
  </si>
  <si>
    <t>Biomedical Technology Today</t>
  </si>
  <si>
    <t>Schempp, Ellory</t>
  </si>
  <si>
    <t>Schempp E.</t>
  </si>
  <si>
    <t>MRI INSTRUMENT: HOW IT WORKS.</t>
  </si>
  <si>
    <t>2-s2.0-0023345101</t>
  </si>
  <si>
    <t>['voltage communications', 'speed requirements', 'signal wiring', 'severe requirements', 'riser cables', 'riser cable', 'residential wiring', 'residential wire', 'plenum cable', 'new flame', 'limited circuits', 'five articles', 'communication circuits', 'article 820', 'article 800', 'article 770', 'article 760', 'article 725', '1984 edition']</t>
  </si>
  <si>
    <t>Five articles in the code are pertinent to low-voltage communications and signal wiring, as follows: Article 725 - Signaling and Power-limited Circuits; Article 760 - Fire Protection Signaling Systems; Article 770 - Optical Fiber Cables; Article 800 - Communication Circuits, and Article 820 - Community Antenna TV and Radio Distribution Systems. The 1987 code retains all the plenum cable requirements of the 1984 edition. It adds three levels of flame-speed requirements for applications less critical then plenum cable service. New cable identification markings are required. The new flame-spread requirements apply to riser cables, general building wiring and residential wiring. The least critical requirement is for residential wire, with the requirements increasing stepwise for general building cable, riser cable, and finally the most severe requirements for plenum cable.</t>
  </si>
  <si>
    <t>22-23</t>
  </si>
  <si>
    <t>Building Standards</t>
  </si>
  <si>
    <t>Todd, Norman W.</t>
  </si>
  <si>
    <t>Todd N.W.</t>
  </si>
  <si>
    <t>MODIFICATIONS IN THE 1987 NATIONAL ELECTRICAL CODE FOR LOW-VOLTAGE COMMUNICATIONS AND SIGNAL WIRING.</t>
  </si>
  <si>
    <t>2-s2.0-0023346662</t>
  </si>
  <si>
    <t>['user applications', 'shop repairmen', 'reporting procedures', 'ounce device', 'motorola kdt', 'microprocessor dedicated', 'internal antenna', 'internal 300', 'full keyboard', 'communications functions', 'car inspection', 'aar inspection']</t>
  </si>
  <si>
    <t>With the help of a radio-controlled, portable computer terminal, CARS prompts car repair billing inspectors through AAR inspection and reporting procedures. Initially, CARS is being applied to car inspection and car repair billing functions and to generate work orders. At the heart of CARS is a portable data terminal, a Motorola KDT that connects trackside inspectors and shop repairmen with NS' computer network via a two-way FM radio link. Among the features of the rugged, 28-ounce device: a full keyboard with a 2-line, 27-character LCD display; a 4-watt data transceiver with an internal antenna; an internal 300-baud telco modem; a microprocessor which is dedicated to user applications and which contains 80K RAM and 160K ROM plus a microprocessor dedicated to communications functions.</t>
  </si>
  <si>
    <t>33-35</t>
  </si>
  <si>
    <t>Modern railroads</t>
  </si>
  <si>
    <t>Borzo, Greg</t>
  </si>
  <si>
    <t>Borzo G.</t>
  </si>
  <si>
    <t>COMPUTERS COME DOWN TO TRACK SIDE.</t>
  </si>
  <si>
    <t>2-s2.0-0023348678</t>
  </si>
  <si>
    <t>['ray tracing', 'radiation patterns', 'paper presents', 'landing aircraft', 'analytical methods']</t>
  </si>
  <si>
    <t>Lateral steering signals are provided by the localizer to the landing aircraft. The glide slope provides the vertical steering signals. This paper presents the analytical methods, based on ray tracing, for determination of radiation patterns of the localizer and glide slope antenna constellations that are deployed at the Madras International Airport. The effect of the truncated 60 degree corner reflector on the localizer antenna radiation patterns is quantified.</t>
  </si>
  <si>
    <t>71-76</t>
  </si>
  <si>
    <t>Journal of the Institution of Engineers. India. Electronics and telecommunication engineering division</t>
  </si>
  <si>
    <t>60072226;60072226;60072226;60072226</t>
  </si>
  <si>
    <t>6603823434;7201422301;6504006414;57198104502</t>
  </si>
  <si>
    <t>Mouly, M. C.Chandra;Murthy, K. Rani;Supriya, G.;Reddy, M. S.K.</t>
  </si>
  <si>
    <t>Vijayawada</t>
  </si>
  <si>
    <t>Velagapudi Ramakrishna Siddhartha Engineering College</t>
  </si>
  <si>
    <t>Mouly M.</t>
  </si>
  <si>
    <t>ANALYTICAL EVALUATION OF RADIATION PATTERNS OF LOCALIZER AND GLIDE SLOPE ANTENNA SYSTEMS.</t>
  </si>
  <si>
    <t>2-s2.0-0023349132</t>
  </si>
  <si>
    <t>['type structures', 'thermal expansion', 'thermal behavior', 'select thermal', 'sandwich structures', 'presented graphically', 'parametric studies', 'moisture content', 'mechanical properties', 'ican predictions', 'face sheets', 'detail since', 'computer code', 'composite faces', 'comb core']</t>
  </si>
  <si>
    <t>The thermal behavior of composite spacecraft antenna reflectors has been investigated with the Integrated Composites Analyzer (ICAN) computer code. Parametric studies have been conducted on the face sheets and honey-comb core which constitute the sandwich-type structures. Select thermal and mechanical properties of the composite faces and sandwich structures are presented graphically as functions of varying fiber volume ratio, attendant thermal cycle, and moisture content. The coefficients of thermal expansion are discussed in detail since these are the critical design parameters. In addition, existing experimental data is presented and compared to the ICAN predictions.</t>
  </si>
  <si>
    <t>59-66</t>
  </si>
  <si>
    <t>SAMPE Journal</t>
  </si>
  <si>
    <t>60026717;60026717</t>
  </si>
  <si>
    <t>6602165349;6602223750</t>
  </si>
  <si>
    <t>Ginty, C. A.;Endres, N. M.</t>
  </si>
  <si>
    <t>NASA Glenn Research Center</t>
  </si>
  <si>
    <t>Ginty C.</t>
  </si>
  <si>
    <t>COMPOSITE SPACE ANTENNA STRUCTURES: PROPERTIES AND ENVIRONMENTAL EFFECTS.</t>
  </si>
  <si>
    <t>2-s2.0-0023349460</t>
  </si>
  <si>
    <t>['¬© 1987', 'two strongest2œä1', 'significant concentration', 'sgrb2 source', 'proton transfer', 'po would', 'po molecule', 'oscillator strengths', 'microwave regions', 'line would', 'interstellar clouds', 'dunham potential', 'beta bands', '998 ghz', '500 ghz', '206 ghz', '125 mk', '110 mk', '0 sequence']</t>
  </si>
  <si>
    <t>Proton transfer and condensation reactions followed by dissociative electron recombination and charge transfer processes may yield a significant concentration of PO in interstellar clouds. Relevant terrestrial PO lines in the ultraviolet, infrared and microwave regions are listed in order to aid the detection of PO in interstellar clouds. Within the framework of Klein-Dunham potential, spontaneous emission rates and oscillator strengths of strong (Œîv=0 sequence) beta bands of the PO molecule are estimated. For SgrB2 source, under optically thin case, each of the two strongest2œÄ1/2, J=2.5-1.5 rotational transitions (108.998 GHz and 109.206 GHz) of PO would have antenna temperature less than 125 mk for beam efficiency‚àº0.6 and Œº=0.7D (electric dipole moment of PO in the v‚Ä≥=0 level of the X2 œÄ state). For Orion molecular cloud, PO (4, 4.5, 5-3, 3.5, 4) (e, f) lines are excitable at 196.305 and 196.500 GHz and each line would have antenna temperature less than 110 mK. ¬© 1987 D. Reidel Publishing Company.</t>
  </si>
  <si>
    <t>267-273</t>
  </si>
  <si>
    <t>1572946X</t>
  </si>
  <si>
    <t>0004640X</t>
  </si>
  <si>
    <t>Astrophysics and Space Science</t>
  </si>
  <si>
    <t>60008088;60008088</t>
  </si>
  <si>
    <t>16451534200;8938272800</t>
  </si>
  <si>
    <t>Atalla, Rose Marie;Singh, P. D.</t>
  </si>
  <si>
    <t>Sao Paulo</t>
  </si>
  <si>
    <t>Universidade de S√£o Paulo</t>
  </si>
  <si>
    <t>Atalla R.</t>
  </si>
  <si>
    <t>PO - Prospects in interstellar medium</t>
  </si>
  <si>
    <t>10.1007/BF00642486</t>
  </si>
  <si>
    <t>2-s2.0-1542411036</t>
  </si>
  <si>
    <t>R01GM022912</t>
  </si>
  <si>
    <t>['¬© 1987', 'thylakoid membranes', 'state 1', 'reversible phosphorylation', 'regulatory role', 'ps ii', 'proteins resolvable', 'probably components', 'previous studies', 'lhc ii', 'green gels', 'donate energy', 'currently unclear', 'complex represents', 'become phosphorylated', 'associated chlorophyll', 'antenna complexes']</t>
  </si>
  <si>
    <t>(Spinach) | Chlorophyll a/b-light harvesting complex | CP29 | LHC II | Protein phosphorylation | State 1-state 2 transition | Thylakoid</t>
  </si>
  <si>
    <t>Previous studies have indicated that the reversible phosphorylation of a population of antenna complexes that can donate energy to PS II ('mobile LHC II') plays a regulatory role in the state 1-state 2 transition in thylakoid membranes. The relationship of phosphorylated LHC II to the multiple PS II-associated chlorophyll a/b-proteins resolvable on green gels is currently unclear. We have used a high resolution gel system to analyze thylakoids phosphorylated in vitro. The only PS II-associated antenna complex to become phosphorylated is CPII*, indicating that this complex represents the mobile LHC II. The other putative PS II antenna complexes, CP29, CP24, and the new complex designated CP27 which comigrates with CPII, are not phosphorylated and are probably components of the bound 'LHC II' antenna. ¬© 1987.</t>
  </si>
  <si>
    <t>25-30</t>
  </si>
  <si>
    <t>60000221;60007903;60000221</t>
  </si>
  <si>
    <t>6508304620;7201953416;7006830237</t>
  </si>
  <si>
    <t>Dunahay, Terri G.;Schuster, Gadi;Staehelin, L. Andrew</t>
  </si>
  <si>
    <t>Jerusalem;Boulder</t>
  </si>
  <si>
    <t>Hebrew University of Jerusalem;University of Colorado Boulder</t>
  </si>
  <si>
    <t>60007903;60000221</t>
  </si>
  <si>
    <t>Dunahay T.</t>
  </si>
  <si>
    <t>Phosphorylation of spinach chlorophyll-protein complexes CPII*, but not CP29, CP27, or CP24, is phosphorylated in vitro</t>
  </si>
  <si>
    <t>0014-5793(87)80107-2</t>
  </si>
  <si>
    <t>10.1016/0014-5793(87)80107-2</t>
  </si>
  <si>
    <t>2-s2.0-0023643819</t>
  </si>
  <si>
    <t>['¬© 1987', 'photosystem ii', 'photoinhibitory illumination', 'photoinhibition compared', 'oppressed region', 'less sensitive', 'appressed region', 'anaerobic conditions']</t>
  </si>
  <si>
    <t>Antenna size | Electron transport | Photoinhibition | Photosystem II | Regulation | Thylakoid membrane organization</t>
  </si>
  <si>
    <t>Thylakoid vesicles containing photosystem II from either the appressed or non-appressed thylakoid region were subjected to photoinhibitory illumination. Photosystem II from the non-appressed region was found to be less sensitive to photoinhibition compared to photosystem II from the oppressed region under both aerobic and anaerobic conditions. ¬© 1987.</t>
  </si>
  <si>
    <t>31-36</t>
  </si>
  <si>
    <t>60029170;60001950;60029170</t>
  </si>
  <si>
    <t>7006474660;7401941729;6602751507</t>
  </si>
  <si>
    <t>M√§enp√§√§, Pirkko;Andersson, Bertil;Sundby, Cecilia</t>
  </si>
  <si>
    <t>Lund;Stockholm</t>
  </si>
  <si>
    <t>Lunds Universitet;Arrhenius Laboratory</t>
  </si>
  <si>
    <t>60029170;60001950</t>
  </si>
  <si>
    <t>M√§enp√§√§ P.</t>
  </si>
  <si>
    <t>Difference in sensitivity to photoinhibition between photosystem II in the appressed and non-appressed thylakoid regions</t>
  </si>
  <si>
    <t>0014-5793(87)80108-4</t>
  </si>
  <si>
    <t>10.1016/0014-5793(87)80108-4</t>
  </si>
  <si>
    <t>2-s2.0-0040464629</t>
  </si>
  <si>
    <t>Wentworth Institute of Technology</t>
  </si>
  <si>
    <t>WIT</t>
  </si>
  <si>
    <t>['¬© 1987', 'upon excitation', 'upon cooling', 'time constant', 'small amounts', 'results shows', 'much smaller', 'main pigment', 'limicola excitations', 'high energy', 'faster components', 'exciting flash', 'excited states', 'excited bchl', 'entire chlorosome', 'energy transfer', 'energy density', 'common antenna', 'chloroflexus aurantiacus', 'bchl c', 'absorbance changes', '4 k', '35 ps', '1 ns']</t>
  </si>
  <si>
    <t>(C. limicola, Cfl. aurantiacus) | Bacteriochlorophyll | Chlorosome | Energy transfer | Excitation annihilation</t>
  </si>
  <si>
    <t>The formation of excited states and energy transfer in chlorosomes of the green photosynthetic bacteria Chlorobium limicola and Chloroflexus aurantiacus were studied by measurements of flash-induced absorbance changes and fluorescence. Upon excitation with 35 ps, 532 nm flashes, large absorbance decreases around 750 nm were observed that were due to the disappearance of ground state absorption of the main pigment, bacteriochlorophyll (BChl) c. The absorbance changes decayed after the flash with a time constant of approx. 1 ns, together with faster components. Absorbance changes that could be ascribed to formation of excited BChl a were much smaller than those of BChl c. The yields of BChl c and BChl a fluorescence were measured as a function of the energy density of the exciting flash. At high energy a strong quenching occurred caused by annihilation of singlet excited states. An analysis of the results shows that energy transfer between BChl c molecules is very efficient and that in C. limicola excitations can probably move freely through the entire chlorosome (which contains about 10 000 BChls c). The chlorosome thus serves as a common antenna for several reaction centres. The small amounts of BChl a present in the chlorosomes of both species form clusters of only a few molecules. Upon cooling to 4 K the sizes of the domains of BChl c for energy transfer decreased considerably. The results are discussed in relation to recently suggested models for the pigment organization within chlorosomes. ¬© 1987.</t>
  </si>
  <si>
    <t>275-285</t>
  </si>
  <si>
    <t>60019816;60019816;60008734;60019816;60019160;60019816</t>
  </si>
  <si>
    <t>24395538800;23373601600;35599806700;7801620289;6602782004;7004456032</t>
  </si>
  <si>
    <t>Vos, Marcel;Nuijs, Antonius M.;van Grondelle, Rienk;van Dorssen, Rob J.;Gerola, Paolo D.;Amesz, Jan</t>
  </si>
  <si>
    <t>Netherlands;Denmark;Netherlands</t>
  </si>
  <si>
    <t>Leiden;Odense;Amsterdam</t>
  </si>
  <si>
    <t>Leiden University;Syddansk Universitet;Vrije Universiteit Amsterdam</t>
  </si>
  <si>
    <t>60019816;60019160;60008734</t>
  </si>
  <si>
    <t>Vos M.</t>
  </si>
  <si>
    <t>Excitation transfer in chlorosomes of green photosynthetic bacteria</t>
  </si>
  <si>
    <t>10.1016/0005-2728(87)90222-2</t>
  </si>
  <si>
    <t>2-s2.0-0023181919</t>
  </si>
  <si>
    <t>['reaction center', 'quantitatively compared', 'protein content', 'phospholipid l', 'monomeric form', 'lipid environment', 'landaude gennes', 'hydrophobic regions', 'experimental results', 'experiment demonstrates', 'antenna protein']</t>
  </si>
  <si>
    <t>elastic membrane forces | photosynthesis | Protein/lipid interaction</t>
  </si>
  <si>
    <t>The phase transitional behaviour of bilayers of the phospholipid l-Œ±-ditridecanoylphos-phatidylcholine is studied as a function of protein content for the reaction center (RC) and an antenna protein (LHCP) of the bacterial photosynthetic apparatus. As membrane and protein are structurally well characterized the experimental results can be quantitatively compared with those of calculations based upon elastic models within the Landaude Gennes-theory. Agreement between theory and experiment demonstrates that dominant elastic forces result from a mismatch of hydrophobic regions of membrane and protein. The data also indicate that RC are present in a monomeric form and LHCP in a highly aggregated form. In addition, the latter protein responds to changes in the lipid environment. ¬© 1987 Springer-Verlag.</t>
  </si>
  <si>
    <t>European Biophysics Journal</t>
  </si>
  <si>
    <t>60019722;60019722;60019722</t>
  </si>
  <si>
    <t>6602902630;22969111000;35511455300</t>
  </si>
  <si>
    <t>Peschke, J.;Riegler, J.;M√∂hwald, H.</t>
  </si>
  <si>
    <t>Quantitative analysis of membrane distortions induced by mismatch of protein and lipid hydrophobic thickness</t>
  </si>
  <si>
    <t>10.1007/BF00254861</t>
  </si>
  <si>
    <t>2-s2.0-0000901331</t>
  </si>
  <si>
    <t>['rectangular waveguide', 'proposed antenna', 'phased arrays', 'performance analysis', 'imaging systems', 'broad wall']</t>
  </si>
  <si>
    <t>The article provides design considerations and performance analysis of an antenna with nearly circular polarization, which incorporates a longitudinal and transverse resonant slot cut in the broad wall of a rectangular waveguide. The proposed antenna can be used as an element of phased arrays, imaging systems, or as a stand-alone circular polarized antenna.</t>
  </si>
  <si>
    <t>60005681;60005681</t>
  </si>
  <si>
    <t>6602727515;7004654512</t>
  </si>
  <si>
    <t>Kisliuk, M.;Axelrod, A.</t>
  </si>
  <si>
    <t>Tel Aviv-Yafo</t>
  </si>
  <si>
    <t>Tel Aviv University</t>
  </si>
  <si>
    <t>Kisliuk M.</t>
  </si>
  <si>
    <t>BUILD A CIRCULARLY POLARIZED WAVEGUIDE SLOT ANTENNA.</t>
  </si>
  <si>
    <t>2-s2.0-0023360558</t>
  </si>
  <si>
    <t>['systematic approach', 'power capacity', 'overall gain', 'many authors', 'horn antenna', 'dielectric material']</t>
  </si>
  <si>
    <t>Dielectric loaded rectangular horns have received considerable interest in the past, and the structure has been analyzed by many authors. The development of low-loss dielectric materials gives better bandwidth, gain and power capacity over conventional waveguide horns. A systematic approach on dielectric losses due to dielectric material in the horn is now available. The calculated loss factor enables assessment of the overall gain of the horn antenna.</t>
  </si>
  <si>
    <t>119-120, 122</t>
  </si>
  <si>
    <t>FIGURING GAIN LOSS IN DIELECTRIC LOADED RECTANGULAR HORNS.</t>
  </si>
  <si>
    <t>2-s2.0-0023360755</t>
  </si>
  <si>
    <t>['transcendental equation', 'ordinary first', 'one possibility', 'general three', 'electrodynamic analog', 'dimensional case', 'antenna surface', 'antenna design']</t>
  </si>
  <si>
    <t>Antenna design is extended to the case of H-polarization. Rather than being derived from a transcendental equation, the shape of the antenna surface is obtained by solving an ordinary first-order differential equation. One possibility in the antennas under study is the electrodynamic analog of a low-frequency Helmholtz acoustic resonance. The method enables resonant acoustic antennas to be designed in the general three-dimensional case.</t>
  </si>
  <si>
    <t>23-27</t>
  </si>
  <si>
    <t>6603550149;7004714672;7006135844</t>
  </si>
  <si>
    <t>Korshunova, Ye N.;Sivov, A. N.;Shatrov, A. D.</t>
  </si>
  <si>
    <t>Korshunova Y.</t>
  </si>
  <si>
    <t>DESIGN OF A RESONANT ANTENNA (H-POLARIZATION).</t>
  </si>
  <si>
    <t>2-s2.0-0023360968</t>
  </si>
  <si>
    <t>['pipeline processing', 'group properties', 'fourier transform', 'computationally efficient', 'combined space', 'antenna arrays']</t>
  </si>
  <si>
    <t>Efficient numerical algorithms for combined space and time signal processing in antenna arrays are compiled, based on the group properties of the discrete (fast) Fourier transform. It is shown that these algorithms perform almost optimally, are amenable to parallelization and pipeline processing, and are computationally efficient.</t>
  </si>
  <si>
    <t>27-32</t>
  </si>
  <si>
    <t>Chaykovskiy, V. I.</t>
  </si>
  <si>
    <t>Chaykovskiy V.</t>
  </si>
  <si>
    <t>SPECTRAL ALGORITHMS FOR COMBINED SPACE AND TIME PROCESSING OF LOCALIZED SIGNALS.</t>
  </si>
  <si>
    <t>2-s2.0-0023361337</t>
  </si>
  <si>
    <t>['tuning model', 'tuning instability', 'tight coupling', 'separate transmitter', 'power coupled', 'periodic antennas', 'performance might', 'passive elements', 'lower frequencies', 'low end', "frequency ',", 'experimental values', 'even though', 'element array', 'another frequency', 'alternate elements', 'active elements']</t>
  </si>
  <si>
    <t>If each element of a wide band HF phased array is excited by a separate transmitter then tuning instability and output power variations during scanning can occur if there is tight coupling. Even though the elements may individually be capable of operation at lower frequencies the usable frequency band for an array can be limited at the low end by coupling. In order to extend the low frequency limit of the usable frequency band of a 16-element array of log-periodic antennas the effectiveness of exciting only alternate elements is investigated. By doubling the separation of the active elements to reduce element interaction some improvement in performance might be expected. The passive elements are still tightly coupled into the array, however, and in this paper their influence is investigated. By tuning the transmitters of the passive elements to another frequency, a 'co-frequency', the power coupled into these elements can be reduced. By using a tuning model and measured scattered matrices optimum co-frequencies, which minimize the power coupled into the passive elements, are determined and compared to experimental values.</t>
  </si>
  <si>
    <t>104-109</t>
  </si>
  <si>
    <t>Journal of Electrical and Electronics Engineering, Australia</t>
  </si>
  <si>
    <t>60003480;60003480</t>
  </si>
  <si>
    <t>57189168302;7103389860</t>
  </si>
  <si>
    <t>Netherway, D. J.;Carson, C. T.</t>
  </si>
  <si>
    <t>Defence Science and Technology Group</t>
  </si>
  <si>
    <t>Netherway D.</t>
  </si>
  <si>
    <t>USE OF AN ALTERNATE APERTURE TO REDUCE THE EFFECTS OF COUPLING IN AN HF PHASED ARRAY.</t>
  </si>
  <si>
    <t>2-s2.0-0023361524</t>
  </si>
  <si>
    <t>['zero dips', 'x axis', 'support legs', 'spacing along', 'scanning sector', 'operating band', 'mutual influence', 'minimum wavelength', 'lambda //', 'equals 0', 'element within', 'directivity pattern', 'antenna array', '// n']</t>
  </si>
  <si>
    <t>Because of the mutual influence of dipoles a 'blinding' of an antenna array (AR) occurs, which is associated with the appearance of zero dips in the directivity pattern (DP) of an element within the AR and restricts the scanning sector. Calculations were carried out for an antenna array with a triangular grid arrangement of dipoles, characterized by the spacing along the x axis and along the y axis d//x equals d//y equals 0. 771 lambda //m//i//n ( lambda //m//i//n is the minimum wavelength of the operating band, corresponding to the maximum frequency f//m//a//x). The dipole had the following geometrical parameters: arm length l equals 0. 248 lambda //m//i//n, height h equals 0. 26 lambda //m//i//n, distance between support legs 2 DELTA equals 0. 07 lambda //m//i//n, radius of arm and support legs a equals 0. 015 lambda //m//i//n.</t>
  </si>
  <si>
    <t>174-176</t>
  </si>
  <si>
    <t>7005006600;7004901004;6602156706</t>
  </si>
  <si>
    <t>Kolosova, T. A.;Surkov, V. I.;Chistyakova, I. A.</t>
  </si>
  <si>
    <t>Kolosova T.</t>
  </si>
  <si>
    <t>PROVISION OF WIDE-ANGLE SCANNING BY A WIDE-BAND DIPOLE ANTENNA ARRAY.</t>
  </si>
  <si>
    <t>2-s2.0-0023362209</t>
  </si>
  <si>
    <t>['zenithal direction', 'wide beamwidth', 'volute antenna', 'synchronous orbits', 'small dimensions', 'satellite signals', 'polar sun', 'moderate gain', 'meteorological satellites', 'length less', 'front hemisphere', 'elements lambda', 'diameter less', '850 km', '5 turn', '2 long', '160 degree', '1 lambda']</t>
  </si>
  <si>
    <t>Characteristics, design and construction details concerning a circular polarized omnidirectional VHF antenna, built at IROE-CNR for the reception of satellite signals are presented. The wide beamwidth of this ground antenna allows signal reception without tracking of the MRPT/APT (Medium Resolution Automatic Picture Transmission) real time image data, emitted in the 136-138 MHz frequency band by meteorological satellites of the TIROS-N/NOAA series placed on polar sun-synchronous orbits at about 850 km of altitude. The resonant quadrifilar helix antenna (Volute antenna) built with elements lambda /2 long and 0. 5 turn, has a cardioid-shaped radiation pattern about 160 degree ( minus 3 dB) broad, good circular polarization over the front hemisphere, a moderate gain (approximately 3 dBi) in the zenithal direction and small dimensions: length less than lambda /2, diameter less than 0. 1 lambda .</t>
  </si>
  <si>
    <t>241-244</t>
  </si>
  <si>
    <t>Alta frequenza</t>
  </si>
  <si>
    <t>60021199;60021199</t>
  </si>
  <si>
    <t>6603246762;6507650726</t>
  </si>
  <si>
    <t>Beni, Piero;Cappadona, Roberto</t>
  </si>
  <si>
    <t>Consiglio Nazionale delle Ricerche</t>
  </si>
  <si>
    <t>Beni P.</t>
  </si>
  <si>
    <t>OMNIDIRECTIONAL HELIX ANTENNA FOR TIROS-N/NOAA SATELLITE APT SIGNAL RECEPTION.</t>
  </si>
  <si>
    <t>2-s2.0-0023363357</t>
  </si>
  <si>
    <t>['successfully employed', 'receiver shows', 'receiver exhibits', 'mauna kea', 'excellent response', 'e plane', 'band response', 'backshort tuner', 'approximately 2', 'ambient temperature', '500 mhz']</t>
  </si>
  <si>
    <t>double tuner mixer | hybrid liquid helium cryostat | IF matching circuit | superconductor insulator superconductor tunnel junction</t>
  </si>
  <si>
    <t>We report the construction of a 230GHz superconductor insulator superconductor (SIS) tunnel junction receiver utilizing a full height rectangular waveguide mixer with two tuning elements i.e. an E plane and backshort tuner. Preliminary results indicate that the receiver exhibits a best double side-band response of 114K¬±15K (averaged over a 500 MHz IF bandwidth) at a frequency of 228GHz and at an ambient temperature of approximately 2.4K. With the exception of a region in the vicinity of 250GHz, the receiver shows an excellent response over an RF input range of 200 to 290GHz. Finally, the receiver has been successfully employed on the new Caltech Submillimeter Observatory 10m antenna on Mauna Kea, Hawaii. ¬© 1987 Plenum Publishing Corporation.</t>
  </si>
  <si>
    <t>609-625</t>
  </si>
  <si>
    <t>60031581;60021378</t>
  </si>
  <si>
    <t>7004091309;7501584507</t>
  </si>
  <si>
    <t>Ellison, B. N.;Miller, R. E.</t>
  </si>
  <si>
    <t>Pasadena;Murray</t>
  </si>
  <si>
    <t>California Institute of Technology;Nokia Bell Labs</t>
  </si>
  <si>
    <t>Ellison B.</t>
  </si>
  <si>
    <t>A low noise 230 GHz sis receiver</t>
  </si>
  <si>
    <t>10.1007/BF01010633</t>
  </si>
  <si>
    <t>2-s2.0-0023364185</t>
  </si>
  <si>
    <t>['rf launcher', 'including antennas', 'heating system', 'eight tetrodes', 'automatic gain', '750 kw', '120 mhz', '10 seconds']</t>
  </si>
  <si>
    <t>A high power radio frequency (RF) heating system has been installed in the JT-60 magnetic fusion devices. A maximum output power of 750 kw for 10 seconds, at 120 MHz was obtained from each of eight tetrodes. Automatic gain and phase feedback controls for the amplifiers were established. The rf launcher, including antennas, demonstrated its durability against high intensity electric fields and high heat flux. The system is now being brought into use for a JT-60 plasma heating experiment.</t>
  </si>
  <si>
    <t>l60</t>
  </si>
  <si>
    <t>0303416X</t>
  </si>
  <si>
    <t>Toshiba review International ed.</t>
  </si>
  <si>
    <t>60015658;60015658;60015658;60015658</t>
  </si>
  <si>
    <t>7404269925;7402588244;37022149800;57220445405</t>
  </si>
  <si>
    <t>Kimura, Haruyuki;Yamauchi, Hiroyuki;Harada, Kazuhiko;Ebisawa, Katsuyuki</t>
  </si>
  <si>
    <t>Kashiwa</t>
  </si>
  <si>
    <t>Japan Atomic Energy Agency</t>
  </si>
  <si>
    <t>Kimura H.</t>
  </si>
  <si>
    <t>ION CYCLOTRON RANGE OF FREQUENCIES HEATING SYSTEM FOR THE JT-60.</t>
  </si>
  <si>
    <t>2-s2.0-0023364970</t>
  </si>
  <si>
    <t>['two transformers', 'threshold levels', 'system proposed', 'space experiment', 'small loop', 'potential merit', 'paper gives', 'optimized parameters', 'network consisting', 'minimum detection', 'mf stations', 'magnetic field', 'lower frequencies', 'laboratory experiments', 'japanese satellite', 'higher frequencies', 'frequency band', 'field observations', '5 multiplied', '1000 khz', '** 2']</t>
  </si>
  <si>
    <t>A new loop antenna system is proposed to detect the magnetic field of the natural electromagnetic wave in space in a frequency band from 0. 1 to 1000 kHz. A single small loop antenna is followed by a network consisting of two transformers in series, one of which is optimized to pick up the signals at lower frequencies and the other, the signals at higher frequencies. Analyses of the network are performed and the optimized parameters both on the loop and network are deduced for a small loop with an area of 0. 5 multiplied by 0. 5 m**2. The theoretically obtained pick-up factor and the threshold levels for minimum detection in each frequency band are confirmed through laboratory experiments and the field observations of the natural VLF waves such as the whistler as well as the transmitted carrier signals from the VLF and MF stations. The system proposed has a potential merit when applied to the space experiment where the payload is limited. This paper gives the design of the loop antenna system onboard the Japanese satellite (EXOS-D) to be launched in 1989.</t>
  </si>
  <si>
    <t>550-561</t>
  </si>
  <si>
    <t>7403893404;7006203498;55477173900;7402952086;8425422900;7005549550</t>
  </si>
  <si>
    <t>Okada, Toshimi;Nagano, Isamu;Hashimoto, Kozo;Kimura, Iwane;Oya, Hiroshi;Morioka, Akira</t>
  </si>
  <si>
    <t>Okada T.</t>
  </si>
  <si>
    <t>DESIGN OF A SMALL LOOP ANTENNA SYSTEM FOR RECEIVING WAVES IN VLF AND MF BANDS USING A SERIES-TRANSFORMER NETWORK.</t>
  </si>
  <si>
    <t>2-s2.0-0023364977</t>
  </si>
  <si>
    <t>['weighted analog', 'three configurations', 'significantly improve', 'quantization losses', 'detection performance', 'antenna pattern', 'accurate assessment']</t>
  </si>
  <si>
    <t>The detection performance of the moving window integrator, in the three configurations: a) binary, b) analog, c) weighted analog, has been evaluated in various operating conditions. This has allowed an accurate assessment of the beamshape and quantization losses. One of the results is that a weighting of the moving window integrator matched to the antenna pattern does not significantly improve the detection.</t>
  </si>
  <si>
    <t>215-225</t>
  </si>
  <si>
    <t>60084299;60084299</t>
  </si>
  <si>
    <t>7003460883;55237168100</t>
  </si>
  <si>
    <t>Fedele, Gennaro;Galati, Gaspare</t>
  </si>
  <si>
    <t>Selenia S.p.A.</t>
  </si>
  <si>
    <t>Fedele G.</t>
  </si>
  <si>
    <t>ON THE DETECTION PERFORMANCE OF THE MOVING WINDOW RADAR INTEGRATORS.</t>
  </si>
  <si>
    <t>2-s2.0-0023365589</t>
  </si>
  <si>
    <t>['short history', 'procedures used', 'prelaunch testing', 'group station', 'ground stations', 'esa missions', 'detailed mention', 'changing requirements', 'brief description', 'article describes']</t>
  </si>
  <si>
    <t>This article describes the network of ground stations which supports the ESA missions. A short history of the network is given, and the relationship between the network and the changing requirements and commitments of ESA is shown. A brief description of a 'typical' group station is given, and detailed mention is made of the procedures used in actual spacecraft operations, and in prelaunch testing.</t>
  </si>
  <si>
    <t>259-266</t>
  </si>
  <si>
    <t>0007084X</t>
  </si>
  <si>
    <t>JBIS. Journal of the British Interplanetary Society</t>
  </si>
  <si>
    <t>Barrett, M. J.</t>
  </si>
  <si>
    <t>Barrett M.</t>
  </si>
  <si>
    <t>ESTRACK NETWORK.</t>
  </si>
  <si>
    <t>2-s2.0-0023366533</t>
  </si>
  <si>
    <t>['wave broadcasts', 'strong co', 'relative insensitivity', 'outdoor space', 'may take', 'loop aerial', 'local transmitter', 'local co', 'listeners live', 'help listeners', 'erecting aerials', 'electrical interference', 'directional properties', 'deliberate jamming', 'channel interference', 'borne noise', 'aerial described']</t>
  </si>
  <si>
    <t>The aerial described here was designed to help listeners to the BBC External Services short-wave broadcasts. Many such listeners live in flats or houses with no outdoor space for erecting aerials. Mains-borne electrical interference can be a problem, and in some places there is strong co-channel interference, which may take the form of deliberate jamming by a local transmitter. These circumstances lead naturally to the use of a loop aerial. The relative insensitivity to electrical interference and the directional properties of a loop can give useful protection against mains-borne noise and local co-channel interference.</t>
  </si>
  <si>
    <t>637-638</t>
  </si>
  <si>
    <t>Electronics &amp; wireless world</t>
  </si>
  <si>
    <t>7006517622;7401798565</t>
  </si>
  <si>
    <t>Short, G. W.;Smith, V.</t>
  </si>
  <si>
    <t>Short G.</t>
  </si>
  <si>
    <t>BOX LOOP.</t>
  </si>
  <si>
    <t>2-s2.0-0023367126</t>
  </si>
  <si>
    <t>['¬© 1987', 'optimal solutions', 'nonlinear program', '579 constraints', '391 variables']</t>
  </si>
  <si>
    <t>Acoustic arrays | computer implementation | Lagrangian relaxation | nonlinear programming | optimal design</t>
  </si>
  <si>
    <t>Minimax optimal design of sonar transducer arrays can be formulated as a nonlinear program with many convex quadratic constraints and a nonconvex quadratic efficiency constraint. The variables of this problem are a scaling and phase shift applied to the output of each sensor. This problem is solved by applying Lagrangian relaxation to the convex quadratic constraints. Extensive computational experience shows that this approach can efficiently find near-optimal solutions of problems with up to 391 variables and 579 constraints. ¬© 1987 The Mathematical Programming Society, Inc.</t>
  </si>
  <si>
    <t>131-155</t>
  </si>
  <si>
    <t>Mathematical Programming</t>
  </si>
  <si>
    <t>60013372;60013372;60019947;60004154</t>
  </si>
  <si>
    <t>35280131500;7203004557;25022920000;6701925521</t>
  </si>
  <si>
    <t>Lasdon, L. S.;Plummer, John;Buehler, B.;Waren, A. D.</t>
  </si>
  <si>
    <t>New London;Austin;Cleveland</t>
  </si>
  <si>
    <t>US Naval Underwater Systems Center;The University of Texas at Austin;Cleveland State University</t>
  </si>
  <si>
    <t>60019947;60013372;60004154</t>
  </si>
  <si>
    <t>Lasdon L.</t>
  </si>
  <si>
    <t>Optimal design of efficient acoustic antenna arrays</t>
  </si>
  <si>
    <t>10.1007/BF02592949</t>
  </si>
  <si>
    <t>2-s2.0-0023453438</t>
  </si>
  <si>
    <t>['wave saturation', 'spectral analysis', 'scatterers within', 'involving cross', 'interferometer techniques', 'doppler velocities', 'detailed comparisons', 'broad beam', 'azimuthal asymmetry', 'arrival methods', 'apparent locations', 'antenna method']</t>
  </si>
  <si>
    <t>Interferometer techniques, involving cross-spectral analysis and angles of arrival methods, have been used to measure the Doppler velocities and apparent locations of scatterers within the broad beam of the MF radar antenna. Attempts are made to follow the scatterers as they progress through the beam, advected by the wind. In the few cases in which this is possible, detailed comparisons between Doppler and spaced-antenna derived velocities are made. For the majority of cases the scatter is consistent with short lived scatterers and/or multiple wave motions, to which the spaced-antenna method is physically and practically more appropriate. The azimuthal asymmetry of Doppler velocity fluctuations is used to infer gravity wave phase velocity directions, and to determine the momentum deposition due to wave saturation for short time intervals. ¬© IOP Publishing Ltd.</t>
  </si>
  <si>
    <t>Physica Scripta</t>
  </si>
  <si>
    <t>60191856;60191856</t>
  </si>
  <si>
    <t>24290221300;7006112190</t>
  </si>
  <si>
    <t>Meek, C. E.;Manson, A. H.</t>
  </si>
  <si>
    <t>Saskatoon</t>
  </si>
  <si>
    <t>Institute of Space and Atmospheric Studies</t>
  </si>
  <si>
    <t>Meek C.E.</t>
  </si>
  <si>
    <t>Medium frequency interferometry at saskatoon, canada</t>
  </si>
  <si>
    <t>10.1088/0031-8949/35/6/028</t>
  </si>
  <si>
    <t>2-s2.0-0141887733</t>
  </si>
  <si>
    <t>['winter moth', 'vancouver island', 'traps baited', 'tests carried', 'single response', 'similar species', 'retention time', 'reciprocal males', 'pheromone ¬±', 'operophtera bruceata', 'natural pheromone', 'mass spectrometry', 'lures containing', 'hulst ).', 'hexane extracts', 'gc coupled', 'found useful', 'field tested', 'electroantennographic detector', 'effect upon', 'ead ).', 'bruce spanworm', 'british columbia']</t>
  </si>
  <si>
    <t>(E,Z,Z)-1,3,6,9-nonadecatetraene | (Z,Z,Z)-1,3,6,9-nonadecatetraene | Bruce spanworm | Geometridae | inhibitor | Lepidoptera | Operophetra brumata L. | Operophtera bruceata (Hulst) | sex pheromone | winter moth</t>
  </si>
  <si>
    <t>A single sex pherormone component was isolated from abdominal tip extracts of female Bruce spanworm. Operophtera bruceata (Hulst). This was identified as (Z,Z,Z)-1,3,6,9-nonadecatetraene by capillary gas chromatography (GC), electroantennography, and mass spectrometry. In addition, hexane extracts of female abdominal tips from Bruce spanworm and the winter moth. O. brumata L., were analyzed by GC coupled to an electroantennographic detector (GC-EAD). The extracts of O. bruceata and O. brumata females elicited only a single response, at the same retention time, from antennae of their conspecific and reciprocal males. In field tests conducted in Saskatchewan, traps baited with the synthetic tetraene captured Bruce spanworm males. In tests carried out on Vancouver Island, British Columbia, where the two species coexist, both Bruce spanworm and winter moth males were captured. The attractancy of lures containing the synthetic pheromone alone and in combination with several structurally related analogs was field tested at both locations. One of these, an isomer of the natural pheromone, (E,Z,Z)-1,3,6,9-nonadecatetraene, inhibited the capture of Bruce spanworm males but had no effect upon the number of winter moth males which were taken. Thus, populations of these two very similar species can be distinguished by employing traps baited with pheromone ¬± the inhibitor. Coneorifice Hara traps were found useful for field trapping males of both species. ¬© 1987 Plenum Publishing Corporation.</t>
  </si>
  <si>
    <t>1319-1330</t>
  </si>
  <si>
    <t>60009839;60009839;60003122;60009839;60009839;60009839</t>
  </si>
  <si>
    <t>6701597535;7203077089;7006366024;36771978300;7402680103;36884508800</t>
  </si>
  <si>
    <t>Underhill, E. W.;Millar, J. G.;Ring, R. A.;Wong, J. W.;Barton, D.;Giblin, M.</t>
  </si>
  <si>
    <t>Ottawa ON,;Victoria</t>
  </si>
  <si>
    <t>National Research Council Canada;University of Victoria</t>
  </si>
  <si>
    <t>60009839;60003122</t>
  </si>
  <si>
    <t>Underhill E.W.</t>
  </si>
  <si>
    <t>Use of a sex attractant and an inhibitor for monitoring winter moth and bruce spanworm populations</t>
  </si>
  <si>
    <t>10.1007/BF01012279</t>
  </si>
  <si>
    <t>2-s2.0-0842344959</t>
  </si>
  <si>
    <t>['ventral position', 'sympterigia brevicaudata', 'similarity indicates', 'pseudocharopinus kabata', 'posterior processes', 'junk publishers', 'although similar']</t>
  </si>
  <si>
    <t>Pseudocharopinoides myliobatidos n. g., n. sp. (Lernaepodidae) is described. Although similar to Pseudocharopinus Kabata, 1964, it differs from this genus in the ventral position of its posterior processes and by its non prehensile second antenna. The similarity indicates that it belongs to the Charopinus-branch of the Lernaeopodidae. In addition, Brianella corniger Wilson, 1915 is recorded on Sympterigia brevicaudata and is redescribed. ac]19861103 ¬© 1987 Dr W. Junk Publishers.</t>
  </si>
  <si>
    <t>Systematic Parasitology</t>
  </si>
  <si>
    <t>60011527;60011527</t>
  </si>
  <si>
    <t>16465648100;7101677482</t>
  </si>
  <si>
    <t>Romero, Raul Castro;Kuroki, Hern√°n Baeza</t>
  </si>
  <si>
    <t>Chile</t>
  </si>
  <si>
    <t>Antofagasta</t>
  </si>
  <si>
    <t>Universidad de Antofagasta</t>
  </si>
  <si>
    <t>Romero R.</t>
  </si>
  <si>
    <t>On two members of the family Lernaeopodidae (Crustacea: Copepoda) parasitic on elasmobranchs in Chilean waters, with a description of Pseudocharopinoides myliobatidos n. g., n. sp. from Myliobatis chilensis Philippi</t>
  </si>
  <si>
    <t>10.1007/BF00010859</t>
  </si>
  <si>
    <t>2-s2.0-51249179246</t>
  </si>
  <si>
    <t>['œ ±', '¬© 1987', 'susceptible one', 'susceptible biotypes', 'sensitive one', 'rights reserved', 'resistant biotype', 'photosystem ii', 'much difference', 'chenopodium album', 'antenna sizes', 'antenna size']</t>
  </si>
  <si>
    <t>Chlorophylla Fluorescence | Chloroplasts | Herbicides | Triazine Resistance | Œ± and Œ≤ Centers</t>
  </si>
  <si>
    <t>The heterogeneity of photosystem II with respect to Œ± and √ü centers was investigated in triazineresistant and susceptible biotypes of Chenopodium album. In both biotypes the light harvesting antenna sizes of photosystem II Œ± centers was larger than those of √ü centers. In the resistant biotype the antenna size of the Œ± centers was smaller than those in the susceptible one. There was not much difference in the antenna sizes of the √ü centers. The proportion of √ü centers was larger in the resistant biotype compared with the sensitive one. ¬© 1987, Walter de Gruyter. All rights reserved.</t>
  </si>
  <si>
    <t>794-797</t>
  </si>
  <si>
    <t>60004156;60004156</t>
  </si>
  <si>
    <t>6603764561;57081518400</t>
  </si>
  <si>
    <t>Van Rensen, Jack J.S.;Sp√§tjens, Leon E.E.M.</t>
  </si>
  <si>
    <t>Wageningen</t>
  </si>
  <si>
    <t>Wageningen University &amp; Research</t>
  </si>
  <si>
    <t>Van Rensen J.</t>
  </si>
  <si>
    <t>Photosystem ii heterogeneity in triazine-resistant and susceptible biotypes of chenopodium album</t>
  </si>
  <si>
    <t>10.1515/znc-1987-0625</t>
  </si>
  <si>
    <t>2-s2.0-84961472907</t>
  </si>
  <si>
    <t>['¬© 1987', 'third chlorophyll', 'spectral data', 'rhodobacter capsulata', 'reverse phase', 'results show', 'polyethylene chromatography', 'mantoniella comigrates', 'like pigment', 'harvesting antenna', 'free derivates', 'fluorescence spectra', 'first organism', 'contain chlorophyll', 'chlorophyll c2', 'chlorophyll c1', 'chemical structure', 'bacterial pigment']</t>
  </si>
  <si>
    <t>Chlorophyll c purification | Pheoporphyrin derivate | Prasinophyceae | Spectroscopy</t>
  </si>
  <si>
    <t>The prasinophycean alga Mantoniella squamata contains besides chlorophyll a and b a third chlorophyll c-like pigment in its light-harvesting antenna. This third chlorophyll was purified by reverse phase and polyethylene chromatography in order to identify its chemical structure. The absorption and fluorescence spectra were measured not only from the doubly purified pigment, but also from its Mg-free derivates. The spectra were compared with those of authentic chlorophyll c and of Mg-2,4-desethyl-2,4-divinylpheoporphyrin a5 monomethyl ester which was isolated from Rhodobacter capsulata. The results show that the pigment from Mantoniella agrees best with chlorophyll c1. In order to clarify the spectral data, chlorophyll c1 and c2, the pigment from Mantoniella and Mg-2,4-desethyl-2,4-divinylpheoporphyrin a5 monomethyl ester were resolved by polyethylene chromatography. The chromatographic analysis clearly shows that the pigment from Mantoniella comigrates with chlorophyll c1 and not with the bacterial pigment or chlorophyll c2. Mantoniella is the first organism which has been demonstrated to contain chlorophyll a, b and c. ¬© 1987.</t>
  </si>
  <si>
    <t>Wilhelm, Christian</t>
  </si>
  <si>
    <t>Purification and identification of chlorophyll c&lt;inf&gt;1&lt;/inf&gt; from the green alga Mantoniella squamata</t>
  </si>
  <si>
    <t>0005-2728(87)90243-X</t>
  </si>
  <si>
    <t>10.1016/0005-2728(87)90243-X</t>
  </si>
  <si>
    <t>2-s2.0-0023194045</t>
  </si>
  <si>
    <t>Verband der Chemischen Industrie</t>
  </si>
  <si>
    <t>VCI</t>
  </si>
  <si>
    <t>['¬© 1987', 'three pigment', 'protein complexes', 'phototrophic cells', 'oxygen tension', 'messenger rnas', 'larger amounts', 'grown anaerobically', 'dark cultures', '850 proteins', '850 polypeptides', '850 complex']</t>
  </si>
  <si>
    <t>(Rb. capsulatus) | Carotenoid synthesis | Phototrophic bacteria, facultative | Pigment-protein complex | Reaction center</t>
  </si>
  <si>
    <t>Lowering of oxygen tension in dark cultures of Rhodobacter capsulatus wild type induces formation of three pigment-protein complexes. The mutant strain GK2 formed the B800-850 antenna complex only when grown anaerobically in the light but not in the dark. Under phototrophic culture conditions bacteriochlorophyll, bacteriopheophorbid, and B800-850 polypeptides were synthesized in larger amounts than in chemotrophically grown cultures. The B800-850 complex of the mutant strain GK2 was formed in the absence of carotenoids. Messenger RNAs for reaction center B870 and B800-850 proteins were synthesized in chemotrophic and phototrophic cells. The formation of mRNA in GK2 differed quantitatively from the expression in the wild type strain. ¬© 1987.</t>
  </si>
  <si>
    <t>68-74</t>
  </si>
  <si>
    <t>60025641;60025641;60025641</t>
  </si>
  <si>
    <t>6507324688;16137779500;7102742634</t>
  </si>
  <si>
    <t>D√∂rge, Bernhard;Klug, Gabriele;Drews, Gerhart</t>
  </si>
  <si>
    <t>Freiburg im Breisgau</t>
  </si>
  <si>
    <t>Universit√§t Freiburg im Breisgau</t>
  </si>
  <si>
    <t>D√∂rge B.</t>
  </si>
  <si>
    <t>Formation of the B800-850 antenna pigment-protein complex in the strain GK2 of Rhodobacter capsulatus defective in carotenoid synthesis</t>
  </si>
  <si>
    <t>10.1016/0005-2728(87)90248-9</t>
  </si>
  <si>
    <t>2-s2.0-0023199187</t>
  </si>
  <si>
    <t>85-CRCR-1-1570</t>
  </si>
  <si>
    <t>['¬© 1987', 'zea mays', 'three chl', 'reduced synthesis', 'range 100', 'protochlorophyllide reductase', 'protein complexes', 'primary leaves', 'preferential accumulation', 'photosystem ii', 'major chlorophyll', 'lower irradiances', 'low irradiance', 'light drives', 'lhc ii', 'less abundant', 'harvesting chlorophyll', 'due primarily', 'decreasing irradiance', 'binding proteins', 'b antenna', 'acclimate successfully', '2 ¬∑']</t>
  </si>
  <si>
    <t>(Z. mays) | Acclimation | Chlorophyll | Chloroplast biogenesis | Grana formation | Light level | Protochlorophyllide reductase | Thylakoid membrane</t>
  </si>
  <si>
    <t>Primary leaves of corn (Zea mays) fail to acclimate successfully to growth irradiances less than or equal to 10 Œºmol photons per m2/s. In the range 100-500 Œºmol ¬∑ m-2 ¬∑ s-1, acclimation to low irradiance involves enhanced grana formation and the preferential accumulation of LHC II (the light-harvesting chlorophyll (Chl) a b antenna of Photosystem II) relative to the four other major chlorophyll-binding proteins (CPI and LHC I of Photosystem I and CPa-1 and CPa-2 of Photosystem II core). However, at lower irradiances, all chlorophyll-protein complexes are less abundant, especially the Chl a b complexes LHC I and LHC II. At 1 Œºmol ¬∑ m-2 ¬∑ s-1, LHC I and LHC II apoproteins are below the limit of detection, grana are absent and the apoproteins of the three Chl a complexes (CP1, CPa-1 and CPa-2) and Chl a itself are only 10-25% as abundant as at 500 Œºmol ¬∑ m-2 ¬∑ s-1. In contrast, protochlorophyllide reductase and prolamellar bodies increase markedly in abundance with decreasing irradiance. The reduced synthesis of Chl at low irradiance is due primarily to a decline in the rate at which light drives each protochlorophyllide reductase molecule. ¬© 1987.</t>
  </si>
  <si>
    <t>118-129</t>
  </si>
  <si>
    <t>60006221;60006221;60006221;60006221;60006221;60022020</t>
  </si>
  <si>
    <t>7404252335;24406273700;57197693408;6506289952;7006477844;57201784349</t>
  </si>
  <si>
    <t>Bennett, John;Schwender, James R.;Shaw, Elizabeth K.;Tempel, Neal;Ledbetter, Myron;Williams, Richard S.</t>
  </si>
  <si>
    <t>United Kingdom;United States</t>
  </si>
  <si>
    <t>Coventry;Upton</t>
  </si>
  <si>
    <t>University of Warwick;Brookhaven National Laboratory</t>
  </si>
  <si>
    <t>60022020;60006221</t>
  </si>
  <si>
    <t>Failure of corn leaves to acclimate to low irradiance. Role of protochlorophyllide reductase in regulating levels of five chlorophyll-binding proteins</t>
  </si>
  <si>
    <t>10.1016/0005-2728(87)90254-4</t>
  </si>
  <si>
    <t>2-s2.0-9844262793</t>
  </si>
  <si>
    <t>['wave antenna', 'standard views', 'observed œît', 'neutrino mass', 'frequency bandwidth', 'energy innovation', 'energy emitted', 'data recorded', 'antenna signal', 'abnormal according', '3 ev', '2400 mœî']</t>
  </si>
  <si>
    <t>The data recorded by the Rome room temperature gravitational-wave antenna during the Supernova SN 1987a have been analysed in connection with the Mont Blanc neutrino event. An energy innovation is observed which precedes by (1.40.5) s the first observed neutrino arrival time with the probability of being accidental of 3 per cent. An estimation of the energy emitted as g.w. distributed over 4 and a frequency bandwidth of 1 kHz gives the figure of 2400 MŒî, which is abnormal according to standard views on g.w. Under the hypothesis that the time delay Œît between the antenna signal and the first neutrino detected in the Mont Blanc tunnel is due only to the neutrino mass, the following mass value is derived from the observed Œît(1.40.5) s: 1.3 eV. ¬© 1987 IOP Publishing Ltd.</t>
  </si>
  <si>
    <t>1325-1330</t>
  </si>
  <si>
    <t>EPL</t>
  </si>
  <si>
    <t>60027509-60021660;60021660-116290042;60021660-116290042;60027509-60021660;60027509-60021660;60027509-60021660;60027509;60027509-60021660;60027509-60021660;60027509-60021660;60027509-60021660;60027509-60021660;60021660-116290042</t>
  </si>
  <si>
    <t>24785703100;7004641893;7103181547;7005568912;6504553628;55154676300;57083164400;7003738313;57083177200;57083014400;7003636273;57206328910;55880048200</t>
  </si>
  <si>
    <t>Amaldi, E.;Bonifazi, P.;Castellano, M. G.;Coccia, E.;Cosmell, C.;Frasca, S.;Gabellier, M.;Modena, I.;Pallottin, G. V.;Pizzell, G.;Rapagnani, P.;Ricci, F.;Vannaroni, G.</t>
  </si>
  <si>
    <t>Rome;Rome;</t>
  </si>
  <si>
    <t>Universit√† degli Studi di Roma "Tor Vergata";Istituto Nazionale di Fisica Nucleare - INFN;Istituto di Fisica dello Spazio Interplanetario del CNR</t>
  </si>
  <si>
    <t>60027509;60021660;116290042</t>
  </si>
  <si>
    <t>Amaldi E.</t>
  </si>
  <si>
    <t>Data recordered by the rome room temperature gravitational wave antenna, during the supernova sn 1987a in the large magellanic cloud</t>
  </si>
  <si>
    <t>10.1209/0295-5075/3/12/013</t>
  </si>
  <si>
    <t>2-s2.0-84956101824</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</si>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</sst>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89"/>
      <sheetName val="1988"/>
      <sheetName val="1990"/>
      <sheetName val="1991"/>
      <sheetName val="1992"/>
      <sheetName val="1993"/>
      <sheetName val="1994"/>
      <sheetName val="1995"/>
      <sheetName val="198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253E9-1ABC-3141-9317-16C7F3E3CD6F}">
  <dimension ref="A1:AW760"/>
  <sheetViews>
    <sheetView tabSelected="1" topLeftCell="G1" workbookViewId="0">
      <selection activeCell="AO17" sqref="AO17"/>
    </sheetView>
  </sheetViews>
  <sheetFormatPr baseColWidth="10" defaultRowHeight="16" x14ac:dyDescent="0.2"/>
  <sheetData>
    <row r="1" spans="1:49" s="12" customFormat="1" x14ac:dyDescent="0.2">
      <c r="A1" s="15"/>
      <c r="B1" s="15" t="s">
        <v>8278</v>
      </c>
      <c r="C1" s="15" t="s">
        <v>8277</v>
      </c>
      <c r="D1" s="15" t="s">
        <v>8276</v>
      </c>
      <c r="E1" s="15" t="s">
        <v>8275</v>
      </c>
      <c r="F1" s="15" t="s">
        <v>8274</v>
      </c>
      <c r="G1" s="15" t="s">
        <v>8273</v>
      </c>
      <c r="H1" s="15" t="s">
        <v>8272</v>
      </c>
      <c r="I1" s="15" t="s">
        <v>8271</v>
      </c>
      <c r="J1" s="15" t="s">
        <v>8270</v>
      </c>
      <c r="K1" s="15" t="s">
        <v>8269</v>
      </c>
      <c r="L1" s="15" t="s">
        <v>8268</v>
      </c>
      <c r="M1" s="15" t="s">
        <v>8267</v>
      </c>
      <c r="N1" s="15" t="s">
        <v>8266</v>
      </c>
      <c r="O1" s="15" t="s">
        <v>8265</v>
      </c>
      <c r="P1" s="15" t="s">
        <v>8264</v>
      </c>
      <c r="Q1" s="15" t="s">
        <v>8263</v>
      </c>
      <c r="R1" s="20" t="s">
        <v>8262</v>
      </c>
      <c r="S1" s="15" t="s">
        <v>8261</v>
      </c>
      <c r="T1" s="15" t="s">
        <v>8261</v>
      </c>
      <c r="U1" s="15" t="s">
        <v>8260</v>
      </c>
      <c r="V1" s="20" t="s">
        <v>8259</v>
      </c>
      <c r="W1" s="15" t="s">
        <v>8258</v>
      </c>
      <c r="X1" s="14" t="s">
        <v>8257</v>
      </c>
      <c r="Y1" s="19" t="s">
        <v>8256</v>
      </c>
      <c r="Z1" s="18" t="s">
        <v>8241</v>
      </c>
      <c r="AA1" s="15" t="s">
        <v>8255</v>
      </c>
      <c r="AB1" s="15" t="s">
        <v>8254</v>
      </c>
      <c r="AC1" s="15" t="s">
        <v>8253</v>
      </c>
      <c r="AD1" s="15" t="s">
        <v>8252</v>
      </c>
      <c r="AE1" s="15" t="s">
        <v>8251</v>
      </c>
      <c r="AF1" s="15" t="s">
        <v>8250</v>
      </c>
      <c r="AG1" s="15" t="s">
        <v>8249</v>
      </c>
      <c r="AH1" s="15" t="s">
        <v>8248</v>
      </c>
      <c r="AI1" s="15" t="s">
        <v>8247</v>
      </c>
      <c r="AJ1" s="15" t="s">
        <v>8246</v>
      </c>
      <c r="AK1" s="14" t="s">
        <v>8245</v>
      </c>
      <c r="AL1" s="15" t="s">
        <v>8244</v>
      </c>
      <c r="AM1" s="17" t="s">
        <v>8243</v>
      </c>
      <c r="AN1" s="16" t="s">
        <v>8242</v>
      </c>
      <c r="AO1" s="16" t="s">
        <v>8241</v>
      </c>
      <c r="AP1" s="15" t="s">
        <v>8240</v>
      </c>
      <c r="AQ1" s="15" t="s">
        <v>8239</v>
      </c>
      <c r="AR1" s="15" t="s">
        <v>8238</v>
      </c>
      <c r="AS1" s="15" t="s">
        <v>8237</v>
      </c>
      <c r="AT1" s="14" t="s">
        <v>8236</v>
      </c>
      <c r="AU1" s="13" t="s">
        <v>8235</v>
      </c>
      <c r="AV1" s="13" t="s">
        <v>8234</v>
      </c>
      <c r="AW1" s="13" t="s">
        <v>8233</v>
      </c>
    </row>
    <row r="2" spans="1:49" x14ac:dyDescent="0.2">
      <c r="A2">
        <v>0</v>
      </c>
      <c r="B2" t="s">
        <v>8232</v>
      </c>
      <c r="C2" t="s">
        <v>8231</v>
      </c>
      <c r="F2" t="s">
        <v>8230</v>
      </c>
      <c r="G2" t="s">
        <v>14</v>
      </c>
      <c r="H2" t="s">
        <v>13</v>
      </c>
      <c r="I2" t="s">
        <v>8229</v>
      </c>
      <c r="J2" t="s">
        <v>8228</v>
      </c>
      <c r="K2" t="s">
        <v>8227</v>
      </c>
      <c r="L2" t="s">
        <v>8226</v>
      </c>
      <c r="M2" t="s">
        <v>4590</v>
      </c>
      <c r="N2">
        <v>13</v>
      </c>
      <c r="O2" t="s">
        <v>8225</v>
      </c>
      <c r="P2" t="s">
        <v>8224</v>
      </c>
      <c r="Q2" t="s">
        <v>8223</v>
      </c>
      <c r="R2" s="7">
        <v>31943</v>
      </c>
      <c r="S2" s="8">
        <f t="shared" ref="S2:S38" si="0">YEAR(R2)</f>
        <v>1987</v>
      </c>
      <c r="T2" s="8">
        <v>1987</v>
      </c>
      <c r="U2" s="8">
        <f t="shared" ref="U2:U38" si="1">2022-T2</f>
        <v>35</v>
      </c>
      <c r="V2" s="7">
        <v>31943</v>
      </c>
      <c r="W2" t="s">
        <v>8222</v>
      </c>
      <c r="X2" s="2" t="s">
        <v>32</v>
      </c>
      <c r="Y2" s="6" t="e">
        <f t="shared" ref="Y2:Y65" si="2">(X2-$Z$4)/($Z$3-$Z$4)</f>
        <v>#VALUE!</v>
      </c>
      <c r="AA2">
        <v>2955075</v>
      </c>
      <c r="AB2">
        <v>27551</v>
      </c>
      <c r="AC2">
        <v>12864854</v>
      </c>
      <c r="AD2" t="s">
        <v>4</v>
      </c>
      <c r="AE2">
        <v>3</v>
      </c>
      <c r="AF2">
        <v>12</v>
      </c>
      <c r="AH2" t="s">
        <v>8221</v>
      </c>
      <c r="AI2" t="s">
        <v>8220</v>
      </c>
      <c r="AK2" t="s">
        <v>8219</v>
      </c>
      <c r="AL2">
        <v>40</v>
      </c>
      <c r="AM2" s="5">
        <f t="shared" ref="AM2:AM38" si="3">AL2/U2</f>
        <v>1.1428571428571428</v>
      </c>
      <c r="AN2" s="4">
        <f t="shared" ref="AN2:AN65" si="4">(AM2-$AO$4)/($AO$3-$AO$4)</f>
        <v>1.7309460702114999E-3</v>
      </c>
      <c r="AO2" s="3"/>
      <c r="AP2">
        <v>0</v>
      </c>
      <c r="AR2" t="s">
        <v>0</v>
      </c>
      <c r="AT2" s="2">
        <v>1.9470000000000001</v>
      </c>
      <c r="AU2" s="1" t="e">
        <f t="shared" ref="AU2:AU38" si="5">(Y2*0.7+AN2*0.3)*100</f>
        <v>#VALUE!</v>
      </c>
      <c r="AV2" s="1" t="e">
        <f t="shared" ref="AV2:AV38" si="6">(Y2*0.5+AN2*0.5)*100</f>
        <v>#VALUE!</v>
      </c>
      <c r="AW2" s="1" t="e">
        <f t="shared" ref="AW2:AW38" si="7">(Y2*0.3+AN2*0.7)*100</f>
        <v>#VALUE!</v>
      </c>
    </row>
    <row r="3" spans="1:49" x14ac:dyDescent="0.2">
      <c r="A3">
        <v>1</v>
      </c>
      <c r="B3" t="s">
        <v>8218</v>
      </c>
      <c r="C3" t="s">
        <v>8217</v>
      </c>
      <c r="D3">
        <v>5272887902544</v>
      </c>
      <c r="F3" t="s">
        <v>8216</v>
      </c>
      <c r="G3" t="s">
        <v>14</v>
      </c>
      <c r="H3" t="s">
        <v>13</v>
      </c>
      <c r="I3" t="s">
        <v>1455</v>
      </c>
      <c r="J3" t="s">
        <v>8215</v>
      </c>
      <c r="K3" t="s">
        <v>8214</v>
      </c>
      <c r="L3" t="s">
        <v>8213</v>
      </c>
      <c r="M3" t="s">
        <v>8212</v>
      </c>
      <c r="N3">
        <v>6</v>
      </c>
      <c r="O3" t="s">
        <v>8211</v>
      </c>
      <c r="P3" t="s">
        <v>8210</v>
      </c>
      <c r="Q3" t="s">
        <v>8209</v>
      </c>
      <c r="R3" s="7">
        <v>31937</v>
      </c>
      <c r="S3" s="8">
        <f t="shared" si="0"/>
        <v>1987</v>
      </c>
      <c r="T3" s="8">
        <v>1987</v>
      </c>
      <c r="U3" s="8">
        <f t="shared" si="1"/>
        <v>35</v>
      </c>
      <c r="V3" s="7">
        <v>31937</v>
      </c>
      <c r="W3" t="s">
        <v>7561</v>
      </c>
      <c r="X3" s="2">
        <v>1.59</v>
      </c>
      <c r="Y3" s="6">
        <f t="shared" si="2"/>
        <v>4.2444141907583888E-2</v>
      </c>
      <c r="Z3">
        <v>37.460999999999999</v>
      </c>
      <c r="AA3">
        <v>52728</v>
      </c>
      <c r="AB3">
        <v>16791</v>
      </c>
      <c r="AD3" t="s">
        <v>4</v>
      </c>
      <c r="AE3">
        <v>892</v>
      </c>
      <c r="AF3">
        <v>1</v>
      </c>
      <c r="AH3" t="s">
        <v>8208</v>
      </c>
      <c r="AI3" t="s">
        <v>8207</v>
      </c>
      <c r="AJ3" t="s">
        <v>8206</v>
      </c>
      <c r="AK3" t="s">
        <v>8205</v>
      </c>
      <c r="AL3">
        <v>14</v>
      </c>
      <c r="AM3" s="5">
        <f t="shared" si="3"/>
        <v>0.4</v>
      </c>
      <c r="AN3" s="4">
        <f t="shared" si="4"/>
        <v>6.0583112457402507E-4</v>
      </c>
      <c r="AO3" s="3">
        <v>660.25</v>
      </c>
      <c r="AP3">
        <v>0</v>
      </c>
      <c r="AQ3" t="s">
        <v>2592</v>
      </c>
      <c r="AR3" t="s">
        <v>8204</v>
      </c>
      <c r="AS3" t="s">
        <v>2591</v>
      </c>
      <c r="AT3" s="2" t="s">
        <v>32</v>
      </c>
      <c r="AU3" s="1">
        <f t="shared" si="5"/>
        <v>2.9892648672680928</v>
      </c>
      <c r="AV3" s="1">
        <f t="shared" si="6"/>
        <v>2.1524986516078957</v>
      </c>
      <c r="AW3" s="1">
        <f t="shared" si="7"/>
        <v>1.3157324359476983</v>
      </c>
    </row>
    <row r="4" spans="1:49" x14ac:dyDescent="0.2">
      <c r="A4">
        <v>2</v>
      </c>
      <c r="B4" t="s">
        <v>8203</v>
      </c>
      <c r="C4" t="s">
        <v>8202</v>
      </c>
      <c r="D4">
        <v>5272887902489</v>
      </c>
      <c r="F4" t="s">
        <v>8201</v>
      </c>
      <c r="G4" t="s">
        <v>14</v>
      </c>
      <c r="H4" t="s">
        <v>13</v>
      </c>
      <c r="I4" t="s">
        <v>8200</v>
      </c>
      <c r="J4">
        <v>60025641</v>
      </c>
      <c r="K4" t="s">
        <v>8199</v>
      </c>
      <c r="L4" t="s">
        <v>8198</v>
      </c>
      <c r="M4" t="s">
        <v>112</v>
      </c>
      <c r="N4">
        <v>3</v>
      </c>
      <c r="O4" t="s">
        <v>8197</v>
      </c>
      <c r="P4" t="s">
        <v>8196</v>
      </c>
      <c r="Q4" t="s">
        <v>8195</v>
      </c>
      <c r="R4" s="7">
        <v>31937</v>
      </c>
      <c r="S4" s="8">
        <f t="shared" si="0"/>
        <v>1987</v>
      </c>
      <c r="T4" s="8">
        <v>1987</v>
      </c>
      <c r="U4" s="8">
        <f t="shared" si="1"/>
        <v>35</v>
      </c>
      <c r="V4" s="7">
        <v>31937</v>
      </c>
      <c r="W4" t="s">
        <v>7561</v>
      </c>
      <c r="X4" s="2">
        <v>1.59</v>
      </c>
      <c r="Y4" s="6">
        <f t="shared" si="2"/>
        <v>4.2444141907583888E-2</v>
      </c>
      <c r="Z4">
        <v>0</v>
      </c>
      <c r="AA4">
        <v>52728</v>
      </c>
      <c r="AB4">
        <v>16791</v>
      </c>
      <c r="AD4" t="s">
        <v>4</v>
      </c>
      <c r="AE4">
        <v>892</v>
      </c>
      <c r="AF4">
        <v>1</v>
      </c>
      <c r="AH4" t="s">
        <v>8194</v>
      </c>
      <c r="AI4" t="s">
        <v>8193</v>
      </c>
      <c r="AJ4" t="s">
        <v>8192</v>
      </c>
      <c r="AK4" t="s">
        <v>8191</v>
      </c>
      <c r="AL4">
        <v>5</v>
      </c>
      <c r="AM4" s="5">
        <f t="shared" si="3"/>
        <v>0.14285714285714285</v>
      </c>
      <c r="AN4" s="4">
        <f t="shared" si="4"/>
        <v>2.1636825877643749E-4</v>
      </c>
      <c r="AO4" s="3">
        <v>0</v>
      </c>
      <c r="AP4">
        <v>0</v>
      </c>
      <c r="AQ4" t="s">
        <v>8190</v>
      </c>
      <c r="AR4" t="s">
        <v>0</v>
      </c>
      <c r="AS4" t="s">
        <v>8189</v>
      </c>
      <c r="AT4" s="2" t="s">
        <v>32</v>
      </c>
      <c r="AU4" s="1">
        <f t="shared" si="5"/>
        <v>2.9775809812941652</v>
      </c>
      <c r="AV4" s="1">
        <f t="shared" si="6"/>
        <v>2.1330255083180165</v>
      </c>
      <c r="AW4" s="1">
        <f t="shared" si="7"/>
        <v>1.2884700353418672</v>
      </c>
    </row>
    <row r="5" spans="1:49" x14ac:dyDescent="0.2">
      <c r="A5">
        <v>3</v>
      </c>
      <c r="B5" t="s">
        <v>8188</v>
      </c>
      <c r="C5" t="s">
        <v>8187</v>
      </c>
      <c r="D5" t="s">
        <v>8186</v>
      </c>
      <c r="F5" t="s">
        <v>8185</v>
      </c>
      <c r="G5" t="s">
        <v>14</v>
      </c>
      <c r="H5" t="s">
        <v>13</v>
      </c>
      <c r="I5" t="s">
        <v>115</v>
      </c>
      <c r="J5">
        <v>60031216</v>
      </c>
      <c r="K5" t="s">
        <v>114</v>
      </c>
      <c r="L5" t="s">
        <v>113</v>
      </c>
      <c r="M5" t="s">
        <v>112</v>
      </c>
      <c r="N5">
        <v>1</v>
      </c>
      <c r="O5" t="s">
        <v>8184</v>
      </c>
      <c r="P5">
        <v>7409933123</v>
      </c>
      <c r="Q5">
        <v>60031216</v>
      </c>
      <c r="R5" s="7">
        <v>31937</v>
      </c>
      <c r="S5" s="8">
        <f t="shared" si="0"/>
        <v>1987</v>
      </c>
      <c r="T5" s="8">
        <v>1987</v>
      </c>
      <c r="U5" s="8">
        <f t="shared" si="1"/>
        <v>35</v>
      </c>
      <c r="V5" s="7">
        <v>31937</v>
      </c>
      <c r="W5" t="s">
        <v>7561</v>
      </c>
      <c r="X5" s="2">
        <v>1.59</v>
      </c>
      <c r="Y5" s="6">
        <f t="shared" si="2"/>
        <v>4.2444141907583888E-2</v>
      </c>
      <c r="AA5">
        <v>52728</v>
      </c>
      <c r="AB5">
        <v>16791</v>
      </c>
      <c r="AD5" t="s">
        <v>4</v>
      </c>
      <c r="AE5">
        <v>892</v>
      </c>
      <c r="AF5">
        <v>1</v>
      </c>
      <c r="AH5" t="s">
        <v>787</v>
      </c>
      <c r="AI5" t="s">
        <v>8183</v>
      </c>
      <c r="AJ5" t="s">
        <v>8182</v>
      </c>
      <c r="AK5" t="s">
        <v>8181</v>
      </c>
      <c r="AL5">
        <v>19</v>
      </c>
      <c r="AM5" s="5">
        <f t="shared" si="3"/>
        <v>0.54285714285714282</v>
      </c>
      <c r="AN5" s="4">
        <f t="shared" si="4"/>
        <v>8.221993833504624E-4</v>
      </c>
      <c r="AO5" s="3"/>
      <c r="AP5">
        <v>0</v>
      </c>
      <c r="AR5" t="s">
        <v>0</v>
      </c>
      <c r="AT5" s="2" t="s">
        <v>32</v>
      </c>
      <c r="AU5" s="1">
        <f t="shared" si="5"/>
        <v>2.9957559150313862</v>
      </c>
      <c r="AV5" s="1">
        <f t="shared" si="6"/>
        <v>2.1633170645467175</v>
      </c>
      <c r="AW5" s="1">
        <f t="shared" si="7"/>
        <v>1.330878214062049</v>
      </c>
    </row>
    <row r="6" spans="1:49" x14ac:dyDescent="0.2">
      <c r="A6">
        <v>4</v>
      </c>
      <c r="B6" t="s">
        <v>8180</v>
      </c>
      <c r="C6" t="s">
        <v>8179</v>
      </c>
      <c r="F6" t="s">
        <v>8178</v>
      </c>
      <c r="G6" t="s">
        <v>14</v>
      </c>
      <c r="H6" t="s">
        <v>13</v>
      </c>
      <c r="I6" t="s">
        <v>8177</v>
      </c>
      <c r="J6">
        <v>60004156</v>
      </c>
      <c r="K6" t="s">
        <v>8176</v>
      </c>
      <c r="L6" t="s">
        <v>8175</v>
      </c>
      <c r="M6" t="s">
        <v>271</v>
      </c>
      <c r="N6">
        <v>2</v>
      </c>
      <c r="O6" t="s">
        <v>8174</v>
      </c>
      <c r="P6" t="s">
        <v>8173</v>
      </c>
      <c r="Q6" t="s">
        <v>8172</v>
      </c>
      <c r="R6" s="7">
        <v>31929</v>
      </c>
      <c r="S6" s="8">
        <f t="shared" si="0"/>
        <v>1987</v>
      </c>
      <c r="T6" s="8">
        <v>1987</v>
      </c>
      <c r="U6" s="8">
        <f t="shared" si="1"/>
        <v>35</v>
      </c>
      <c r="V6" s="7">
        <v>31929</v>
      </c>
      <c r="W6" t="s">
        <v>7184</v>
      </c>
      <c r="X6" s="2">
        <v>0.30099999999999999</v>
      </c>
      <c r="Y6" s="6">
        <f t="shared" si="2"/>
        <v>8.0350230906809754E-3</v>
      </c>
      <c r="AA6">
        <v>9395075</v>
      </c>
      <c r="AB6">
        <v>14954</v>
      </c>
      <c r="AC6">
        <v>18657125</v>
      </c>
      <c r="AD6" t="s">
        <v>4</v>
      </c>
      <c r="AE6">
        <v>42</v>
      </c>
      <c r="AF6">
        <v>6</v>
      </c>
      <c r="AH6" t="s">
        <v>8171</v>
      </c>
      <c r="AI6" t="s">
        <v>8170</v>
      </c>
      <c r="AJ6" t="s">
        <v>8169</v>
      </c>
      <c r="AK6" t="s">
        <v>8168</v>
      </c>
      <c r="AL6">
        <v>0</v>
      </c>
      <c r="AM6" s="5">
        <f t="shared" si="3"/>
        <v>0</v>
      </c>
      <c r="AN6" s="4">
        <f t="shared" si="4"/>
        <v>0</v>
      </c>
      <c r="AO6" s="3"/>
      <c r="AP6">
        <v>1</v>
      </c>
      <c r="AR6" t="s">
        <v>0</v>
      </c>
      <c r="AT6" s="2" t="s">
        <v>32</v>
      </c>
      <c r="AU6" s="1">
        <f t="shared" si="5"/>
        <v>0.56245161634766827</v>
      </c>
      <c r="AV6" s="1">
        <f t="shared" si="6"/>
        <v>0.40175115453404875</v>
      </c>
      <c r="AW6" s="1">
        <f t="shared" si="7"/>
        <v>0.24105069272042928</v>
      </c>
    </row>
    <row r="7" spans="1:49" x14ac:dyDescent="0.2">
      <c r="A7">
        <v>5</v>
      </c>
      <c r="B7" t="s">
        <v>8167</v>
      </c>
      <c r="C7" t="s">
        <v>8166</v>
      </c>
      <c r="F7" t="s">
        <v>8165</v>
      </c>
      <c r="G7" t="s">
        <v>14</v>
      </c>
      <c r="H7" t="s">
        <v>13</v>
      </c>
      <c r="I7" t="s">
        <v>8164</v>
      </c>
      <c r="J7">
        <v>60011527</v>
      </c>
      <c r="K7" t="s">
        <v>8163</v>
      </c>
      <c r="L7" t="s">
        <v>8162</v>
      </c>
      <c r="M7" t="s">
        <v>8161</v>
      </c>
      <c r="N7">
        <v>2</v>
      </c>
      <c r="O7" t="s">
        <v>8160</v>
      </c>
      <c r="P7" t="s">
        <v>8159</v>
      </c>
      <c r="Q7" t="s">
        <v>8158</v>
      </c>
      <c r="R7" s="7">
        <v>31929</v>
      </c>
      <c r="S7" s="8">
        <f t="shared" si="0"/>
        <v>1987</v>
      </c>
      <c r="T7" s="8">
        <v>1987</v>
      </c>
      <c r="U7" s="8">
        <f t="shared" si="1"/>
        <v>35</v>
      </c>
      <c r="V7" s="7">
        <v>31929</v>
      </c>
      <c r="W7" t="s">
        <v>8157</v>
      </c>
      <c r="X7" s="2">
        <v>0.47099999999999997</v>
      </c>
      <c r="Y7" s="6">
        <f t="shared" si="2"/>
        <v>1.2573075999039E-2</v>
      </c>
      <c r="AA7">
        <v>1655752</v>
      </c>
      <c r="AB7">
        <v>14307</v>
      </c>
      <c r="AC7">
        <v>15735192</v>
      </c>
      <c r="AD7" t="s">
        <v>4</v>
      </c>
      <c r="AE7">
        <v>9</v>
      </c>
      <c r="AF7">
        <v>3</v>
      </c>
      <c r="AH7" t="s">
        <v>3016</v>
      </c>
      <c r="AI7" t="s">
        <v>8156</v>
      </c>
      <c r="AK7" t="s">
        <v>8155</v>
      </c>
      <c r="AL7">
        <v>5</v>
      </c>
      <c r="AM7" s="5">
        <f t="shared" si="3"/>
        <v>0.14285714285714285</v>
      </c>
      <c r="AN7" s="4">
        <f t="shared" si="4"/>
        <v>2.1636825877643749E-4</v>
      </c>
      <c r="AO7" s="3"/>
      <c r="AP7">
        <v>0</v>
      </c>
      <c r="AR7" t="s">
        <v>0</v>
      </c>
      <c r="AT7" s="2">
        <v>1.431</v>
      </c>
      <c r="AU7" s="1">
        <f t="shared" si="5"/>
        <v>0.88660636769602319</v>
      </c>
      <c r="AV7" s="1">
        <f t="shared" si="6"/>
        <v>0.63947221289077194</v>
      </c>
      <c r="AW7" s="1">
        <f t="shared" si="7"/>
        <v>0.39233805808552064</v>
      </c>
    </row>
    <row r="8" spans="1:49" x14ac:dyDescent="0.2">
      <c r="A8">
        <v>6</v>
      </c>
      <c r="B8" t="s">
        <v>8154</v>
      </c>
      <c r="C8" t="s">
        <v>8153</v>
      </c>
      <c r="F8" t="s">
        <v>8152</v>
      </c>
      <c r="G8" t="s">
        <v>14</v>
      </c>
      <c r="H8" t="s">
        <v>13</v>
      </c>
      <c r="I8" t="s">
        <v>8151</v>
      </c>
      <c r="J8" t="s">
        <v>8150</v>
      </c>
      <c r="K8" t="s">
        <v>8149</v>
      </c>
      <c r="L8" t="s">
        <v>8148</v>
      </c>
      <c r="M8" t="s">
        <v>1260</v>
      </c>
      <c r="N8">
        <v>6</v>
      </c>
      <c r="O8" t="s">
        <v>8147</v>
      </c>
      <c r="P8" t="s">
        <v>8146</v>
      </c>
      <c r="Q8" t="s">
        <v>8145</v>
      </c>
      <c r="R8" s="7">
        <v>31929</v>
      </c>
      <c r="S8" s="8">
        <f t="shared" si="0"/>
        <v>1987</v>
      </c>
      <c r="T8" s="8">
        <v>1987</v>
      </c>
      <c r="U8" s="8">
        <f t="shared" si="1"/>
        <v>35</v>
      </c>
      <c r="V8" s="7">
        <v>31929</v>
      </c>
      <c r="W8" t="s">
        <v>22</v>
      </c>
      <c r="X8" s="2">
        <v>0.85499999999999998</v>
      </c>
      <c r="Y8" s="6">
        <f t="shared" si="2"/>
        <v>2.28237366861536E-2</v>
      </c>
      <c r="AA8">
        <v>980331</v>
      </c>
      <c r="AB8">
        <v>23342</v>
      </c>
      <c r="AC8">
        <v>15731561</v>
      </c>
      <c r="AD8" t="s">
        <v>4</v>
      </c>
      <c r="AE8">
        <v>13</v>
      </c>
      <c r="AF8">
        <v>6</v>
      </c>
      <c r="AH8" t="s">
        <v>8144</v>
      </c>
      <c r="AI8" t="s">
        <v>8143</v>
      </c>
      <c r="AJ8" t="s">
        <v>8142</v>
      </c>
      <c r="AK8" t="s">
        <v>8141</v>
      </c>
      <c r="AL8">
        <v>18</v>
      </c>
      <c r="AM8" s="5">
        <f t="shared" si="3"/>
        <v>0.51428571428571423</v>
      </c>
      <c r="AN8" s="4">
        <f t="shared" si="4"/>
        <v>7.7892573159517493E-4</v>
      </c>
      <c r="AO8" s="3"/>
      <c r="AP8">
        <v>0</v>
      </c>
      <c r="AR8" t="s">
        <v>0</v>
      </c>
      <c r="AT8" s="2">
        <v>2.6259999999999999</v>
      </c>
      <c r="AU8" s="1">
        <f t="shared" si="5"/>
        <v>1.6210293399786069</v>
      </c>
      <c r="AV8" s="1">
        <f t="shared" si="6"/>
        <v>1.1801331208874388</v>
      </c>
      <c r="AW8" s="1">
        <f t="shared" si="7"/>
        <v>0.73923690179627022</v>
      </c>
    </row>
    <row r="9" spans="1:49" x14ac:dyDescent="0.2">
      <c r="A9">
        <v>7</v>
      </c>
      <c r="B9" t="s">
        <v>8140</v>
      </c>
      <c r="C9" t="s">
        <v>8139</v>
      </c>
      <c r="F9" t="s">
        <v>8138</v>
      </c>
      <c r="G9" t="s">
        <v>14</v>
      </c>
      <c r="H9" t="s">
        <v>13</v>
      </c>
      <c r="I9" t="s">
        <v>8137</v>
      </c>
      <c r="J9">
        <v>60191856</v>
      </c>
      <c r="K9" t="s">
        <v>8136</v>
      </c>
      <c r="L9" t="s">
        <v>8135</v>
      </c>
      <c r="M9" t="s">
        <v>685</v>
      </c>
      <c r="N9">
        <v>2</v>
      </c>
      <c r="O9" t="s">
        <v>8134</v>
      </c>
      <c r="P9" t="s">
        <v>8133</v>
      </c>
      <c r="Q9" t="s">
        <v>8132</v>
      </c>
      <c r="R9" s="7">
        <v>31929</v>
      </c>
      <c r="S9" s="8">
        <f t="shared" si="0"/>
        <v>1987</v>
      </c>
      <c r="T9" s="8">
        <v>1987</v>
      </c>
      <c r="U9" s="8">
        <f t="shared" si="1"/>
        <v>35</v>
      </c>
      <c r="V9" s="7">
        <v>31929</v>
      </c>
      <c r="W9" t="s">
        <v>8131</v>
      </c>
      <c r="X9" s="2">
        <v>0.41499999999999998</v>
      </c>
      <c r="Y9" s="6">
        <f t="shared" si="2"/>
        <v>1.1078187982168121E-2</v>
      </c>
      <c r="AA9">
        <v>318949</v>
      </c>
      <c r="AB9">
        <v>29122</v>
      </c>
      <c r="AC9">
        <v>14024896</v>
      </c>
      <c r="AD9" t="s">
        <v>4</v>
      </c>
      <c r="AE9">
        <v>35</v>
      </c>
      <c r="AF9">
        <v>6</v>
      </c>
      <c r="AH9" t="s">
        <v>498</v>
      </c>
      <c r="AI9" t="s">
        <v>8130</v>
      </c>
      <c r="AK9" t="s">
        <v>8129</v>
      </c>
      <c r="AL9">
        <v>10</v>
      </c>
      <c r="AM9" s="5">
        <f t="shared" si="3"/>
        <v>0.2857142857142857</v>
      </c>
      <c r="AN9" s="4">
        <f t="shared" si="4"/>
        <v>4.3273651755287499E-4</v>
      </c>
      <c r="AO9" s="3"/>
      <c r="AP9">
        <v>0</v>
      </c>
      <c r="AR9" t="s">
        <v>0</v>
      </c>
      <c r="AT9" s="2">
        <v>2.4870000000000001</v>
      </c>
      <c r="AU9" s="1">
        <f t="shared" si="5"/>
        <v>0.78845525427835472</v>
      </c>
      <c r="AV9" s="1">
        <f t="shared" si="6"/>
        <v>0.57554622498604979</v>
      </c>
      <c r="AW9" s="1">
        <f t="shared" si="7"/>
        <v>0.36263719569374486</v>
      </c>
    </row>
    <row r="10" spans="1:49" x14ac:dyDescent="0.2">
      <c r="A10">
        <v>8</v>
      </c>
      <c r="B10" t="s">
        <v>8128</v>
      </c>
      <c r="C10" t="s">
        <v>8127</v>
      </c>
      <c r="F10" t="s">
        <v>8126</v>
      </c>
      <c r="G10" t="s">
        <v>14</v>
      </c>
      <c r="H10" t="s">
        <v>13</v>
      </c>
      <c r="I10" t="s">
        <v>8125</v>
      </c>
      <c r="J10" t="s">
        <v>8124</v>
      </c>
      <c r="K10" t="s">
        <v>8123</v>
      </c>
      <c r="L10" t="s">
        <v>8122</v>
      </c>
      <c r="M10" t="s">
        <v>2207</v>
      </c>
      <c r="N10">
        <v>4</v>
      </c>
      <c r="O10" t="s">
        <v>8121</v>
      </c>
      <c r="P10" t="s">
        <v>8120</v>
      </c>
      <c r="Q10" t="s">
        <v>8119</v>
      </c>
      <c r="R10" s="7">
        <v>31929</v>
      </c>
      <c r="S10" s="8">
        <f t="shared" si="0"/>
        <v>1987</v>
      </c>
      <c r="T10" s="8">
        <v>1987</v>
      </c>
      <c r="U10" s="8">
        <f t="shared" si="1"/>
        <v>35</v>
      </c>
      <c r="V10" s="7">
        <v>31929</v>
      </c>
      <c r="W10" t="s">
        <v>8118</v>
      </c>
      <c r="X10" s="2">
        <v>2.3580000000000001</v>
      </c>
      <c r="Y10" s="6">
        <f t="shared" si="2"/>
        <v>6.2945463281813094E-2</v>
      </c>
      <c r="AA10">
        <v>255610</v>
      </c>
      <c r="AB10">
        <v>28512</v>
      </c>
      <c r="AC10">
        <v>14364646</v>
      </c>
      <c r="AD10" t="s">
        <v>4</v>
      </c>
      <c r="AE10">
        <v>39</v>
      </c>
      <c r="AF10">
        <v>2</v>
      </c>
      <c r="AH10" t="s">
        <v>8117</v>
      </c>
      <c r="AI10" t="s">
        <v>8116</v>
      </c>
      <c r="AJ10" t="s">
        <v>8115</v>
      </c>
      <c r="AK10" t="s">
        <v>8114</v>
      </c>
      <c r="AL10">
        <v>5</v>
      </c>
      <c r="AM10" s="5">
        <f t="shared" si="3"/>
        <v>0.14285714285714285</v>
      </c>
      <c r="AN10" s="4">
        <f t="shared" si="4"/>
        <v>2.1636825877643749E-4</v>
      </c>
      <c r="AO10" s="3"/>
      <c r="AP10">
        <v>0</v>
      </c>
      <c r="AR10" t="s">
        <v>0</v>
      </c>
      <c r="AT10" s="2">
        <v>3.9950000000000001</v>
      </c>
      <c r="AU10" s="1">
        <f t="shared" si="5"/>
        <v>4.4126734774902099</v>
      </c>
      <c r="AV10" s="1">
        <f t="shared" si="6"/>
        <v>3.1580915770294768</v>
      </c>
      <c r="AW10" s="1">
        <f t="shared" si="7"/>
        <v>1.9035096765687431</v>
      </c>
    </row>
    <row r="11" spans="1:49" x14ac:dyDescent="0.2">
      <c r="A11">
        <v>9</v>
      </c>
      <c r="B11" t="s">
        <v>8113</v>
      </c>
      <c r="F11" t="s">
        <v>8112</v>
      </c>
      <c r="G11" t="s">
        <v>14</v>
      </c>
      <c r="H11" t="s">
        <v>13</v>
      </c>
      <c r="I11" t="s">
        <v>8111</v>
      </c>
      <c r="N11">
        <v>2</v>
      </c>
      <c r="O11" t="s">
        <v>8110</v>
      </c>
      <c r="P11" t="s">
        <v>8109</v>
      </c>
      <c r="Q11" t="s">
        <v>349</v>
      </c>
      <c r="R11" s="7">
        <v>31929</v>
      </c>
      <c r="S11" s="8">
        <f t="shared" si="0"/>
        <v>1987</v>
      </c>
      <c r="T11" s="8">
        <v>1987</v>
      </c>
      <c r="U11" s="8">
        <f t="shared" si="1"/>
        <v>35</v>
      </c>
      <c r="V11" s="7">
        <v>31929</v>
      </c>
      <c r="W11" t="s">
        <v>8108</v>
      </c>
      <c r="X11" s="2" t="s">
        <v>32</v>
      </c>
      <c r="Y11" s="6" t="e">
        <f t="shared" si="2"/>
        <v>#VALUE!</v>
      </c>
      <c r="AA11">
        <v>2663244</v>
      </c>
      <c r="AB11">
        <v>35055</v>
      </c>
      <c r="AD11" t="s">
        <v>4</v>
      </c>
      <c r="AE11">
        <v>93</v>
      </c>
      <c r="AF11">
        <v>1616</v>
      </c>
      <c r="AH11" t="s">
        <v>8107</v>
      </c>
      <c r="AI11" t="s">
        <v>8106</v>
      </c>
      <c r="AK11" t="s">
        <v>8105</v>
      </c>
      <c r="AL11">
        <v>3</v>
      </c>
      <c r="AM11" s="5">
        <f t="shared" si="3"/>
        <v>8.5714285714285715E-2</v>
      </c>
      <c r="AN11" s="4">
        <f t="shared" si="4"/>
        <v>1.2982095526586251E-4</v>
      </c>
      <c r="AO11" s="3"/>
      <c r="AP11">
        <v>0</v>
      </c>
      <c r="AR11" t="s">
        <v>0</v>
      </c>
      <c r="AT11" s="2" t="s">
        <v>32</v>
      </c>
      <c r="AU11" s="1" t="e">
        <f t="shared" si="5"/>
        <v>#VALUE!</v>
      </c>
      <c r="AV11" s="1" t="e">
        <f t="shared" si="6"/>
        <v>#VALUE!</v>
      </c>
      <c r="AW11" s="1" t="e">
        <f t="shared" si="7"/>
        <v>#VALUE!</v>
      </c>
    </row>
    <row r="12" spans="1:49" x14ac:dyDescent="0.2">
      <c r="A12">
        <v>10</v>
      </c>
      <c r="B12" t="s">
        <v>8104</v>
      </c>
      <c r="F12" t="s">
        <v>8103</v>
      </c>
      <c r="G12" t="s">
        <v>14</v>
      </c>
      <c r="H12" t="s">
        <v>13</v>
      </c>
      <c r="I12" t="s">
        <v>8102</v>
      </c>
      <c r="N12">
        <v>1</v>
      </c>
      <c r="O12" t="s">
        <v>8101</v>
      </c>
      <c r="P12">
        <v>57196995920</v>
      </c>
      <c r="R12" s="7">
        <v>31929</v>
      </c>
      <c r="S12" s="8">
        <f t="shared" si="0"/>
        <v>1987</v>
      </c>
      <c r="T12" s="8">
        <v>1987</v>
      </c>
      <c r="U12" s="8">
        <f t="shared" si="1"/>
        <v>35</v>
      </c>
      <c r="V12" s="7">
        <v>31929</v>
      </c>
      <c r="W12" t="s">
        <v>8100</v>
      </c>
      <c r="X12" s="2" t="s">
        <v>32</v>
      </c>
      <c r="Y12" s="6" t="e">
        <f t="shared" si="2"/>
        <v>#VALUE!</v>
      </c>
      <c r="AA12" t="s">
        <v>8099</v>
      </c>
      <c r="AB12">
        <v>13750</v>
      </c>
      <c r="AD12" t="s">
        <v>4</v>
      </c>
      <c r="AE12">
        <v>40</v>
      </c>
      <c r="AF12">
        <v>6</v>
      </c>
      <c r="AH12" t="s">
        <v>8098</v>
      </c>
      <c r="AI12" t="s">
        <v>8097</v>
      </c>
      <c r="AK12" t="s">
        <v>8096</v>
      </c>
      <c r="AL12">
        <v>0</v>
      </c>
      <c r="AM12" s="5">
        <f t="shared" si="3"/>
        <v>0</v>
      </c>
      <c r="AN12" s="4">
        <f t="shared" si="4"/>
        <v>0</v>
      </c>
      <c r="AO12" s="3"/>
      <c r="AP12">
        <v>0</v>
      </c>
      <c r="AR12" t="s">
        <v>0</v>
      </c>
      <c r="AT12" s="2" t="s">
        <v>32</v>
      </c>
      <c r="AU12" s="1" t="e">
        <f t="shared" si="5"/>
        <v>#VALUE!</v>
      </c>
      <c r="AV12" s="1" t="e">
        <f t="shared" si="6"/>
        <v>#VALUE!</v>
      </c>
      <c r="AW12" s="1" t="e">
        <f t="shared" si="7"/>
        <v>#VALUE!</v>
      </c>
    </row>
    <row r="13" spans="1:49" x14ac:dyDescent="0.2">
      <c r="A13">
        <v>11</v>
      </c>
      <c r="B13" t="s">
        <v>8095</v>
      </c>
      <c r="F13" t="s">
        <v>8094</v>
      </c>
      <c r="G13" t="s">
        <v>14</v>
      </c>
      <c r="H13" t="s">
        <v>13</v>
      </c>
      <c r="I13" t="s">
        <v>8093</v>
      </c>
      <c r="J13">
        <v>60084299</v>
      </c>
      <c r="K13" t="s">
        <v>8092</v>
      </c>
      <c r="L13" t="s">
        <v>6349</v>
      </c>
      <c r="M13" t="s">
        <v>3694</v>
      </c>
      <c r="N13">
        <v>2</v>
      </c>
      <c r="O13" t="s">
        <v>8091</v>
      </c>
      <c r="P13" t="s">
        <v>8090</v>
      </c>
      <c r="Q13" t="s">
        <v>8089</v>
      </c>
      <c r="R13" s="7">
        <v>31929</v>
      </c>
      <c r="S13" s="8">
        <f t="shared" si="0"/>
        <v>1987</v>
      </c>
      <c r="T13" s="8">
        <v>1987</v>
      </c>
      <c r="U13" s="8">
        <f t="shared" si="1"/>
        <v>35</v>
      </c>
      <c r="V13" s="7">
        <v>31929</v>
      </c>
      <c r="W13" t="s">
        <v>8044</v>
      </c>
      <c r="X13" s="2">
        <v>0.125</v>
      </c>
      <c r="Y13" s="6">
        <f t="shared" si="2"/>
        <v>3.3368036090867838E-3</v>
      </c>
      <c r="AA13">
        <v>26557</v>
      </c>
      <c r="AB13">
        <v>40401</v>
      </c>
      <c r="AD13" t="s">
        <v>4</v>
      </c>
      <c r="AE13">
        <v>56</v>
      </c>
      <c r="AF13">
        <v>4</v>
      </c>
      <c r="AH13" t="s">
        <v>8088</v>
      </c>
      <c r="AI13" t="s">
        <v>8087</v>
      </c>
      <c r="AK13" t="s">
        <v>8086</v>
      </c>
      <c r="AL13">
        <v>0</v>
      </c>
      <c r="AM13" s="5">
        <f t="shared" si="3"/>
        <v>0</v>
      </c>
      <c r="AN13" s="4">
        <f t="shared" si="4"/>
        <v>0</v>
      </c>
      <c r="AO13" s="3"/>
      <c r="AP13">
        <v>0</v>
      </c>
      <c r="AR13" t="s">
        <v>0</v>
      </c>
      <c r="AT13" s="2" t="s">
        <v>32</v>
      </c>
      <c r="AU13" s="1">
        <f t="shared" si="5"/>
        <v>0.23357625263607484</v>
      </c>
      <c r="AV13" s="1">
        <f t="shared" si="6"/>
        <v>0.16684018045433918</v>
      </c>
      <c r="AW13" s="1">
        <f t="shared" si="7"/>
        <v>0.10010410827260351</v>
      </c>
    </row>
    <row r="14" spans="1:49" x14ac:dyDescent="0.2">
      <c r="A14">
        <v>12</v>
      </c>
      <c r="B14" t="s">
        <v>8085</v>
      </c>
      <c r="F14" t="s">
        <v>8084</v>
      </c>
      <c r="G14" t="s">
        <v>14</v>
      </c>
      <c r="H14" t="s">
        <v>13</v>
      </c>
      <c r="I14" t="s">
        <v>8083</v>
      </c>
      <c r="J14">
        <v>60000264</v>
      </c>
      <c r="K14" t="s">
        <v>4260</v>
      </c>
      <c r="L14" t="s">
        <v>957</v>
      </c>
      <c r="M14" t="s">
        <v>524</v>
      </c>
      <c r="N14">
        <v>6</v>
      </c>
      <c r="O14" t="s">
        <v>8082</v>
      </c>
      <c r="P14" t="s">
        <v>8081</v>
      </c>
      <c r="Q14" t="s">
        <v>4257</v>
      </c>
      <c r="R14" s="7">
        <v>31929</v>
      </c>
      <c r="S14" s="8">
        <f t="shared" si="0"/>
        <v>1987</v>
      </c>
      <c r="T14" s="8">
        <v>1987</v>
      </c>
      <c r="U14" s="8">
        <f t="shared" si="1"/>
        <v>35</v>
      </c>
      <c r="V14" s="7">
        <v>31929</v>
      </c>
      <c r="W14" t="s">
        <v>7111</v>
      </c>
      <c r="X14" s="2" t="s">
        <v>32</v>
      </c>
      <c r="Y14" s="6" t="e">
        <f t="shared" si="2"/>
        <v>#VALUE!</v>
      </c>
      <c r="AB14">
        <v>55073</v>
      </c>
      <c r="AD14" t="s">
        <v>4</v>
      </c>
      <c r="AE14" t="s">
        <v>7110</v>
      </c>
      <c r="AF14">
        <v>6</v>
      </c>
      <c r="AH14" t="s">
        <v>8080</v>
      </c>
      <c r="AI14" t="s">
        <v>8079</v>
      </c>
      <c r="AK14" t="s">
        <v>8078</v>
      </c>
      <c r="AL14">
        <v>2</v>
      </c>
      <c r="AM14" s="5">
        <f t="shared" si="3"/>
        <v>5.7142857142857141E-2</v>
      </c>
      <c r="AN14" s="4">
        <f t="shared" si="4"/>
        <v>8.6547303510575E-5</v>
      </c>
      <c r="AO14" s="3"/>
      <c r="AP14">
        <v>0</v>
      </c>
      <c r="AR14" t="s">
        <v>0</v>
      </c>
      <c r="AT14" s="2" t="s">
        <v>32</v>
      </c>
      <c r="AU14" s="1" t="e">
        <f t="shared" si="5"/>
        <v>#VALUE!</v>
      </c>
      <c r="AV14" s="1" t="e">
        <f t="shared" si="6"/>
        <v>#VALUE!</v>
      </c>
      <c r="AW14" s="1" t="e">
        <f t="shared" si="7"/>
        <v>#VALUE!</v>
      </c>
    </row>
    <row r="15" spans="1:49" x14ac:dyDescent="0.2">
      <c r="A15">
        <v>13</v>
      </c>
      <c r="B15" t="s">
        <v>8077</v>
      </c>
      <c r="F15" t="s">
        <v>8076</v>
      </c>
      <c r="G15" t="s">
        <v>14</v>
      </c>
      <c r="H15" t="s">
        <v>13</v>
      </c>
      <c r="I15" t="s">
        <v>8075</v>
      </c>
      <c r="J15">
        <v>60015658</v>
      </c>
      <c r="K15" t="s">
        <v>8074</v>
      </c>
      <c r="L15" t="s">
        <v>8073</v>
      </c>
      <c r="M15" t="s">
        <v>524</v>
      </c>
      <c r="N15">
        <v>4</v>
      </c>
      <c r="O15" t="s">
        <v>8072</v>
      </c>
      <c r="P15" t="s">
        <v>8071</v>
      </c>
      <c r="Q15" t="s">
        <v>8070</v>
      </c>
      <c r="R15" s="7">
        <v>31929</v>
      </c>
      <c r="S15" s="8">
        <f t="shared" si="0"/>
        <v>1987</v>
      </c>
      <c r="T15" s="8">
        <v>1987</v>
      </c>
      <c r="U15" s="8">
        <f t="shared" si="1"/>
        <v>35</v>
      </c>
      <c r="V15" s="7">
        <v>31929</v>
      </c>
      <c r="W15" t="s">
        <v>8069</v>
      </c>
      <c r="X15" s="2" t="s">
        <v>32</v>
      </c>
      <c r="Y15" s="6" t="e">
        <f t="shared" si="2"/>
        <v>#VALUE!</v>
      </c>
      <c r="AA15" t="s">
        <v>8068</v>
      </c>
      <c r="AB15">
        <v>90205</v>
      </c>
      <c r="AD15" t="s">
        <v>4</v>
      </c>
      <c r="AF15" t="s">
        <v>8067</v>
      </c>
      <c r="AH15" s="9">
        <v>44350</v>
      </c>
      <c r="AI15" t="s">
        <v>8066</v>
      </c>
      <c r="AK15" t="s">
        <v>8065</v>
      </c>
      <c r="AL15">
        <v>0</v>
      </c>
      <c r="AM15" s="5">
        <f t="shared" si="3"/>
        <v>0</v>
      </c>
      <c r="AN15" s="4">
        <f t="shared" si="4"/>
        <v>0</v>
      </c>
      <c r="AO15" s="3"/>
      <c r="AP15">
        <v>0</v>
      </c>
      <c r="AR15" t="s">
        <v>0</v>
      </c>
      <c r="AT15" s="2" t="s">
        <v>32</v>
      </c>
      <c r="AU15" s="1" t="e">
        <f t="shared" si="5"/>
        <v>#VALUE!</v>
      </c>
      <c r="AV15" s="1" t="e">
        <f t="shared" si="6"/>
        <v>#VALUE!</v>
      </c>
      <c r="AW15" s="1" t="e">
        <f t="shared" si="7"/>
        <v>#VALUE!</v>
      </c>
    </row>
    <row r="16" spans="1:49" x14ac:dyDescent="0.2">
      <c r="A16">
        <v>14</v>
      </c>
      <c r="B16" t="s">
        <v>8064</v>
      </c>
      <c r="C16" t="s">
        <v>8063</v>
      </c>
      <c r="F16" t="s">
        <v>8062</v>
      </c>
      <c r="G16" t="s">
        <v>14</v>
      </c>
      <c r="H16" t="s">
        <v>13</v>
      </c>
      <c r="I16" t="s">
        <v>8061</v>
      </c>
      <c r="J16" t="s">
        <v>8056</v>
      </c>
      <c r="K16" t="s">
        <v>8060</v>
      </c>
      <c r="L16" t="s">
        <v>8059</v>
      </c>
      <c r="M16" t="s">
        <v>55</v>
      </c>
      <c r="N16">
        <v>2</v>
      </c>
      <c r="O16" t="s">
        <v>8058</v>
      </c>
      <c r="P16" t="s">
        <v>8057</v>
      </c>
      <c r="Q16" t="s">
        <v>8056</v>
      </c>
      <c r="R16" s="7">
        <v>31929</v>
      </c>
      <c r="S16" s="8">
        <f t="shared" si="0"/>
        <v>1987</v>
      </c>
      <c r="T16" s="8">
        <v>1987</v>
      </c>
      <c r="U16" s="8">
        <f t="shared" si="1"/>
        <v>35</v>
      </c>
      <c r="V16" s="7">
        <v>31929</v>
      </c>
      <c r="W16" t="s">
        <v>3749</v>
      </c>
      <c r="X16" s="2">
        <v>0.61499999999999999</v>
      </c>
      <c r="Y16" s="6">
        <f t="shared" si="2"/>
        <v>1.6417073756706976E-2</v>
      </c>
      <c r="AA16">
        <v>1959271</v>
      </c>
      <c r="AB16">
        <v>12141</v>
      </c>
      <c r="AC16">
        <v>15729559</v>
      </c>
      <c r="AD16" t="s">
        <v>4</v>
      </c>
      <c r="AE16">
        <v>8</v>
      </c>
      <c r="AF16">
        <v>6</v>
      </c>
      <c r="AH16" t="s">
        <v>8055</v>
      </c>
      <c r="AI16" t="s">
        <v>8054</v>
      </c>
      <c r="AJ16" t="s">
        <v>8053</v>
      </c>
      <c r="AK16" t="s">
        <v>8052</v>
      </c>
      <c r="AL16">
        <v>32</v>
      </c>
      <c r="AM16" s="5">
        <f t="shared" si="3"/>
        <v>0.91428571428571426</v>
      </c>
      <c r="AN16" s="4">
        <f t="shared" si="4"/>
        <v>1.3847568561692E-3</v>
      </c>
      <c r="AO16" s="3"/>
      <c r="AP16">
        <v>0</v>
      </c>
      <c r="AR16" t="s">
        <v>0</v>
      </c>
      <c r="AT16" s="2" t="s">
        <v>32</v>
      </c>
      <c r="AU16" s="1">
        <f t="shared" si="5"/>
        <v>1.1907378686545642</v>
      </c>
      <c r="AV16" s="1">
        <f t="shared" si="6"/>
        <v>0.89009153064380875</v>
      </c>
      <c r="AW16" s="1">
        <f t="shared" si="7"/>
        <v>0.58944519263305328</v>
      </c>
    </row>
    <row r="17" spans="1:49" x14ac:dyDescent="0.2">
      <c r="A17">
        <v>15</v>
      </c>
      <c r="B17" t="s">
        <v>8051</v>
      </c>
      <c r="F17" t="s">
        <v>8050</v>
      </c>
      <c r="G17" t="s">
        <v>14</v>
      </c>
      <c r="H17" t="s">
        <v>13</v>
      </c>
      <c r="I17" t="s">
        <v>8049</v>
      </c>
      <c r="J17">
        <v>60021199</v>
      </c>
      <c r="K17" t="s">
        <v>8048</v>
      </c>
      <c r="L17" t="s">
        <v>6349</v>
      </c>
      <c r="M17" t="s">
        <v>3694</v>
      </c>
      <c r="N17">
        <v>2</v>
      </c>
      <c r="O17" t="s">
        <v>8047</v>
      </c>
      <c r="P17" t="s">
        <v>8046</v>
      </c>
      <c r="Q17" t="s">
        <v>8045</v>
      </c>
      <c r="R17" s="7">
        <v>31929</v>
      </c>
      <c r="S17" s="8">
        <f t="shared" si="0"/>
        <v>1987</v>
      </c>
      <c r="T17" s="8">
        <v>1987</v>
      </c>
      <c r="U17" s="8">
        <f t="shared" si="1"/>
        <v>35</v>
      </c>
      <c r="V17" s="7">
        <v>31929</v>
      </c>
      <c r="W17" t="s">
        <v>8044</v>
      </c>
      <c r="X17" s="2">
        <v>0.125</v>
      </c>
      <c r="Y17" s="6">
        <f t="shared" si="2"/>
        <v>3.3368036090867838E-3</v>
      </c>
      <c r="AA17">
        <v>26557</v>
      </c>
      <c r="AB17">
        <v>40401</v>
      </c>
      <c r="AD17" t="s">
        <v>4</v>
      </c>
      <c r="AE17">
        <v>56</v>
      </c>
      <c r="AF17">
        <v>4</v>
      </c>
      <c r="AH17" t="s">
        <v>8043</v>
      </c>
      <c r="AI17" t="s">
        <v>8042</v>
      </c>
      <c r="AK17" t="s">
        <v>8041</v>
      </c>
      <c r="AL17">
        <v>1</v>
      </c>
      <c r="AM17" s="5">
        <f t="shared" si="3"/>
        <v>2.8571428571428571E-2</v>
      </c>
      <c r="AN17" s="4">
        <f t="shared" si="4"/>
        <v>4.32736517552875E-5</v>
      </c>
      <c r="AO17" s="3"/>
      <c r="AP17">
        <v>0</v>
      </c>
      <c r="AR17" t="s">
        <v>0</v>
      </c>
      <c r="AT17" s="2" t="s">
        <v>32</v>
      </c>
      <c r="AU17" s="1">
        <f t="shared" si="5"/>
        <v>0.23487446218873345</v>
      </c>
      <c r="AV17" s="1">
        <f t="shared" si="6"/>
        <v>0.16900386304210357</v>
      </c>
      <c r="AW17" s="1">
        <f t="shared" si="7"/>
        <v>0.10313326389547364</v>
      </c>
    </row>
    <row r="18" spans="1:49" x14ac:dyDescent="0.2">
      <c r="A18">
        <v>16</v>
      </c>
      <c r="B18" t="s">
        <v>8040</v>
      </c>
      <c r="F18" t="s">
        <v>8039</v>
      </c>
      <c r="G18" t="s">
        <v>14</v>
      </c>
      <c r="H18" t="s">
        <v>13</v>
      </c>
      <c r="I18" t="s">
        <v>8038</v>
      </c>
      <c r="N18">
        <v>3</v>
      </c>
      <c r="O18" t="s">
        <v>8037</v>
      </c>
      <c r="P18" t="s">
        <v>8036</v>
      </c>
      <c r="Q18" t="s">
        <v>171</v>
      </c>
      <c r="R18" s="7">
        <v>31929</v>
      </c>
      <c r="S18" s="8">
        <f t="shared" si="0"/>
        <v>1987</v>
      </c>
      <c r="T18" s="8">
        <v>1987</v>
      </c>
      <c r="U18" s="8">
        <f t="shared" si="1"/>
        <v>35</v>
      </c>
      <c r="V18" s="7">
        <v>31929</v>
      </c>
      <c r="W18" t="s">
        <v>939</v>
      </c>
      <c r="X18" s="2" t="s">
        <v>32</v>
      </c>
      <c r="Y18" s="6" t="e">
        <f t="shared" si="2"/>
        <v>#VALUE!</v>
      </c>
      <c r="AA18">
        <v>87566648</v>
      </c>
      <c r="AB18">
        <v>74127</v>
      </c>
      <c r="AD18" t="s">
        <v>4</v>
      </c>
      <c r="AE18">
        <v>32</v>
      </c>
      <c r="AF18">
        <v>6</v>
      </c>
      <c r="AH18" t="s">
        <v>8035</v>
      </c>
      <c r="AI18" t="s">
        <v>8034</v>
      </c>
      <c r="AK18" t="s">
        <v>8033</v>
      </c>
      <c r="AL18">
        <v>0</v>
      </c>
      <c r="AM18" s="5">
        <f t="shared" si="3"/>
        <v>0</v>
      </c>
      <c r="AN18" s="4">
        <f t="shared" si="4"/>
        <v>0</v>
      </c>
      <c r="AO18" s="3"/>
      <c r="AP18">
        <v>0</v>
      </c>
      <c r="AR18" t="s">
        <v>0</v>
      </c>
      <c r="AT18" s="2" t="s">
        <v>32</v>
      </c>
      <c r="AU18" s="1" t="e">
        <f t="shared" si="5"/>
        <v>#VALUE!</v>
      </c>
      <c r="AV18" s="1" t="e">
        <f t="shared" si="6"/>
        <v>#VALUE!</v>
      </c>
      <c r="AW18" s="1" t="e">
        <f t="shared" si="7"/>
        <v>#VALUE!</v>
      </c>
    </row>
    <row r="19" spans="1:49" x14ac:dyDescent="0.2">
      <c r="A19">
        <v>17</v>
      </c>
      <c r="B19" t="s">
        <v>8032</v>
      </c>
      <c r="F19" t="s">
        <v>8031</v>
      </c>
      <c r="G19" t="s">
        <v>14</v>
      </c>
      <c r="H19" t="s">
        <v>13</v>
      </c>
      <c r="I19" t="s">
        <v>8030</v>
      </c>
      <c r="J19">
        <v>60003480</v>
      </c>
      <c r="K19" t="s">
        <v>8029</v>
      </c>
      <c r="L19" t="s">
        <v>2896</v>
      </c>
      <c r="M19" t="s">
        <v>40</v>
      </c>
      <c r="N19">
        <v>2</v>
      </c>
      <c r="O19" t="s">
        <v>8028</v>
      </c>
      <c r="P19" t="s">
        <v>8027</v>
      </c>
      <c r="Q19" t="s">
        <v>8026</v>
      </c>
      <c r="R19" s="7">
        <v>31929</v>
      </c>
      <c r="S19" s="8">
        <f t="shared" si="0"/>
        <v>1987</v>
      </c>
      <c r="T19" s="8">
        <v>1987</v>
      </c>
      <c r="U19" s="8">
        <f t="shared" si="1"/>
        <v>35</v>
      </c>
      <c r="V19" s="7">
        <v>31929</v>
      </c>
      <c r="W19" t="s">
        <v>8025</v>
      </c>
      <c r="X19" s="2">
        <v>0.14099999999999999</v>
      </c>
      <c r="Y19" s="6">
        <f t="shared" si="2"/>
        <v>3.7639144710498915E-3</v>
      </c>
      <c r="AA19">
        <v>7252986</v>
      </c>
      <c r="AB19">
        <v>18037</v>
      </c>
      <c r="AD19" t="s">
        <v>4</v>
      </c>
      <c r="AE19">
        <v>7</v>
      </c>
      <c r="AF19">
        <v>2</v>
      </c>
      <c r="AH19" t="s">
        <v>8024</v>
      </c>
      <c r="AI19" t="s">
        <v>8023</v>
      </c>
      <c r="AK19" t="s">
        <v>8022</v>
      </c>
      <c r="AL19">
        <v>0</v>
      </c>
      <c r="AM19" s="5">
        <f t="shared" si="3"/>
        <v>0</v>
      </c>
      <c r="AN19" s="4">
        <f t="shared" si="4"/>
        <v>0</v>
      </c>
      <c r="AO19" s="3"/>
      <c r="AP19">
        <v>0</v>
      </c>
      <c r="AR19" t="s">
        <v>0</v>
      </c>
      <c r="AT19" s="2" t="s">
        <v>32</v>
      </c>
      <c r="AU19" s="1">
        <f t="shared" si="5"/>
        <v>0.26347401297349238</v>
      </c>
      <c r="AV19" s="1">
        <f t="shared" si="6"/>
        <v>0.18819572355249459</v>
      </c>
      <c r="AW19" s="1">
        <f t="shared" si="7"/>
        <v>0.11291743413149673</v>
      </c>
    </row>
    <row r="20" spans="1:49" x14ac:dyDescent="0.2">
      <c r="A20">
        <v>18</v>
      </c>
      <c r="B20" t="s">
        <v>8021</v>
      </c>
      <c r="F20" t="s">
        <v>8020</v>
      </c>
      <c r="G20" t="s">
        <v>14</v>
      </c>
      <c r="H20" t="s">
        <v>13</v>
      </c>
      <c r="I20" t="s">
        <v>8019</v>
      </c>
      <c r="N20">
        <v>1</v>
      </c>
      <c r="O20" t="s">
        <v>8018</v>
      </c>
      <c r="P20">
        <v>6602887663</v>
      </c>
      <c r="R20" s="7">
        <v>31929</v>
      </c>
      <c r="S20" s="8">
        <f t="shared" si="0"/>
        <v>1987</v>
      </c>
      <c r="T20" s="8">
        <v>1987</v>
      </c>
      <c r="U20" s="8">
        <f t="shared" si="1"/>
        <v>35</v>
      </c>
      <c r="V20" s="7">
        <v>31929</v>
      </c>
      <c r="W20" t="s">
        <v>939</v>
      </c>
      <c r="X20" s="2" t="s">
        <v>32</v>
      </c>
      <c r="Y20" s="6" t="e">
        <f t="shared" si="2"/>
        <v>#VALUE!</v>
      </c>
      <c r="AA20">
        <v>87566648</v>
      </c>
      <c r="AB20">
        <v>74127</v>
      </c>
      <c r="AD20" t="s">
        <v>4</v>
      </c>
      <c r="AE20">
        <v>32</v>
      </c>
      <c r="AF20">
        <v>6</v>
      </c>
      <c r="AH20" t="s">
        <v>8017</v>
      </c>
      <c r="AI20" t="s">
        <v>8016</v>
      </c>
      <c r="AK20" t="s">
        <v>8015</v>
      </c>
      <c r="AL20">
        <v>0</v>
      </c>
      <c r="AM20" s="5">
        <f t="shared" si="3"/>
        <v>0</v>
      </c>
      <c r="AN20" s="4">
        <f t="shared" si="4"/>
        <v>0</v>
      </c>
      <c r="AO20" s="3"/>
      <c r="AP20">
        <v>0</v>
      </c>
      <c r="AR20" t="s">
        <v>0</v>
      </c>
      <c r="AT20" s="2" t="s">
        <v>32</v>
      </c>
      <c r="AU20" s="1" t="e">
        <f t="shared" si="5"/>
        <v>#VALUE!</v>
      </c>
      <c r="AV20" s="1" t="e">
        <f t="shared" si="6"/>
        <v>#VALUE!</v>
      </c>
      <c r="AW20" s="1" t="e">
        <f t="shared" si="7"/>
        <v>#VALUE!</v>
      </c>
    </row>
    <row r="21" spans="1:49" x14ac:dyDescent="0.2">
      <c r="A21">
        <v>19</v>
      </c>
      <c r="B21" t="s">
        <v>8014</v>
      </c>
      <c r="F21" t="s">
        <v>8013</v>
      </c>
      <c r="G21" t="s">
        <v>14</v>
      </c>
      <c r="H21" t="s">
        <v>13</v>
      </c>
      <c r="I21" t="s">
        <v>8012</v>
      </c>
      <c r="N21">
        <v>3</v>
      </c>
      <c r="O21" t="s">
        <v>8011</v>
      </c>
      <c r="P21" t="s">
        <v>8010</v>
      </c>
      <c r="Q21" t="s">
        <v>171</v>
      </c>
      <c r="R21" s="7">
        <v>31929</v>
      </c>
      <c r="S21" s="8">
        <f t="shared" si="0"/>
        <v>1987</v>
      </c>
      <c r="T21" s="8">
        <v>1987</v>
      </c>
      <c r="U21" s="8">
        <f t="shared" si="1"/>
        <v>35</v>
      </c>
      <c r="V21" s="7">
        <v>31929</v>
      </c>
      <c r="W21" t="s">
        <v>939</v>
      </c>
      <c r="X21" s="2" t="s">
        <v>32</v>
      </c>
      <c r="Y21" s="6" t="e">
        <f t="shared" si="2"/>
        <v>#VALUE!</v>
      </c>
      <c r="AA21">
        <v>87566648</v>
      </c>
      <c r="AB21">
        <v>74127</v>
      </c>
      <c r="AD21" t="s">
        <v>4</v>
      </c>
      <c r="AE21">
        <v>32</v>
      </c>
      <c r="AF21">
        <v>6</v>
      </c>
      <c r="AH21" t="s">
        <v>8009</v>
      </c>
      <c r="AI21" t="s">
        <v>8008</v>
      </c>
      <c r="AK21" t="s">
        <v>8007</v>
      </c>
      <c r="AL21">
        <v>0</v>
      </c>
      <c r="AM21" s="5">
        <f t="shared" si="3"/>
        <v>0</v>
      </c>
      <c r="AN21" s="4">
        <f t="shared" si="4"/>
        <v>0</v>
      </c>
      <c r="AO21" s="3"/>
      <c r="AP21">
        <v>0</v>
      </c>
      <c r="AR21" t="s">
        <v>0</v>
      </c>
      <c r="AT21" s="2" t="s">
        <v>32</v>
      </c>
      <c r="AU21" s="1" t="e">
        <f t="shared" si="5"/>
        <v>#VALUE!</v>
      </c>
      <c r="AV21" s="1" t="e">
        <f t="shared" si="6"/>
        <v>#VALUE!</v>
      </c>
      <c r="AW21" s="1" t="e">
        <f t="shared" si="7"/>
        <v>#VALUE!</v>
      </c>
    </row>
    <row r="22" spans="1:49" x14ac:dyDescent="0.2">
      <c r="A22">
        <v>20</v>
      </c>
      <c r="B22" t="s">
        <v>8006</v>
      </c>
      <c r="F22" t="s">
        <v>8005</v>
      </c>
      <c r="G22" t="s">
        <v>14</v>
      </c>
      <c r="H22" t="s">
        <v>13</v>
      </c>
      <c r="I22" t="s">
        <v>1420</v>
      </c>
      <c r="J22">
        <v>60013506</v>
      </c>
      <c r="K22" t="s">
        <v>1419</v>
      </c>
      <c r="L22" t="s">
        <v>1418</v>
      </c>
      <c r="M22" t="s">
        <v>685</v>
      </c>
      <c r="N22">
        <v>1</v>
      </c>
      <c r="O22" t="s">
        <v>1417</v>
      </c>
      <c r="P22">
        <v>7406623160</v>
      </c>
      <c r="Q22">
        <v>60013506</v>
      </c>
      <c r="R22" s="7">
        <v>31929</v>
      </c>
      <c r="S22" s="8">
        <f t="shared" si="0"/>
        <v>1987</v>
      </c>
      <c r="T22" s="8">
        <v>1987</v>
      </c>
      <c r="U22" s="8">
        <f t="shared" si="1"/>
        <v>35</v>
      </c>
      <c r="V22" s="7">
        <v>31929</v>
      </c>
      <c r="W22" t="s">
        <v>826</v>
      </c>
      <c r="X22" s="2">
        <v>0.10100000000000001</v>
      </c>
      <c r="Y22" s="6">
        <f t="shared" si="2"/>
        <v>2.6961373161421215E-3</v>
      </c>
      <c r="AA22">
        <v>7452993</v>
      </c>
      <c r="AB22">
        <v>18563</v>
      </c>
      <c r="AD22" t="s">
        <v>4</v>
      </c>
      <c r="AE22">
        <v>26</v>
      </c>
      <c r="AF22">
        <v>6</v>
      </c>
      <c r="AH22" t="s">
        <v>8004</v>
      </c>
      <c r="AI22" t="s">
        <v>8003</v>
      </c>
      <c r="AK22" t="s">
        <v>8002</v>
      </c>
      <c r="AL22">
        <v>1</v>
      </c>
      <c r="AM22" s="5">
        <f t="shared" si="3"/>
        <v>2.8571428571428571E-2</v>
      </c>
      <c r="AN22" s="4">
        <f t="shared" si="4"/>
        <v>4.32736517552875E-5</v>
      </c>
      <c r="AO22" s="3"/>
      <c r="AP22">
        <v>0</v>
      </c>
      <c r="AR22" t="s">
        <v>0</v>
      </c>
      <c r="AT22" s="2" t="s">
        <v>32</v>
      </c>
      <c r="AU22" s="1">
        <f t="shared" si="5"/>
        <v>0.19002782168260712</v>
      </c>
      <c r="AV22" s="1">
        <f t="shared" si="6"/>
        <v>0.13697054839487047</v>
      </c>
      <c r="AW22" s="1">
        <f t="shared" si="7"/>
        <v>8.391327510713377E-2</v>
      </c>
    </row>
    <row r="23" spans="1:49" x14ac:dyDescent="0.2">
      <c r="A23">
        <v>21</v>
      </c>
      <c r="B23" t="s">
        <v>8001</v>
      </c>
      <c r="F23" t="s">
        <v>8000</v>
      </c>
      <c r="G23" t="s">
        <v>14</v>
      </c>
      <c r="H23" t="s">
        <v>13</v>
      </c>
      <c r="I23" t="s">
        <v>7999</v>
      </c>
      <c r="J23">
        <v>60005681</v>
      </c>
      <c r="K23" t="s">
        <v>7998</v>
      </c>
      <c r="L23" t="s">
        <v>7997</v>
      </c>
      <c r="M23" t="s">
        <v>2940</v>
      </c>
      <c r="N23">
        <v>2</v>
      </c>
      <c r="O23" t="s">
        <v>7996</v>
      </c>
      <c r="P23" t="s">
        <v>7995</v>
      </c>
      <c r="Q23" t="s">
        <v>7994</v>
      </c>
      <c r="R23" s="7">
        <v>31929</v>
      </c>
      <c r="S23" s="8">
        <f t="shared" si="0"/>
        <v>1987</v>
      </c>
      <c r="T23" s="8">
        <v>1987</v>
      </c>
      <c r="U23" s="8">
        <f t="shared" si="1"/>
        <v>35</v>
      </c>
      <c r="V23" s="7">
        <v>31929</v>
      </c>
      <c r="W23" t="s">
        <v>826</v>
      </c>
      <c r="X23" s="2">
        <v>0.10100000000000001</v>
      </c>
      <c r="Y23" s="6">
        <f t="shared" si="2"/>
        <v>2.6961373161421215E-3</v>
      </c>
      <c r="AA23">
        <v>7452993</v>
      </c>
      <c r="AB23">
        <v>18563</v>
      </c>
      <c r="AD23" t="s">
        <v>4</v>
      </c>
      <c r="AE23">
        <v>26</v>
      </c>
      <c r="AF23">
        <v>6</v>
      </c>
      <c r="AI23" t="s">
        <v>7993</v>
      </c>
      <c r="AK23" t="s">
        <v>7992</v>
      </c>
      <c r="AL23">
        <v>0</v>
      </c>
      <c r="AM23" s="5">
        <f t="shared" si="3"/>
        <v>0</v>
      </c>
      <c r="AN23" s="4">
        <f t="shared" si="4"/>
        <v>0</v>
      </c>
      <c r="AO23" s="3"/>
      <c r="AP23">
        <v>0</v>
      </c>
      <c r="AR23" t="s">
        <v>0</v>
      </c>
      <c r="AT23" s="2" t="s">
        <v>32</v>
      </c>
      <c r="AU23" s="1">
        <f t="shared" si="5"/>
        <v>0.18872961212994849</v>
      </c>
      <c r="AV23" s="1">
        <f t="shared" si="6"/>
        <v>0.13480686580710607</v>
      </c>
      <c r="AW23" s="1">
        <f t="shared" si="7"/>
        <v>8.0884119484263647E-2</v>
      </c>
    </row>
    <row r="24" spans="1:49" x14ac:dyDescent="0.2">
      <c r="A24">
        <v>22</v>
      </c>
      <c r="B24" t="s">
        <v>7991</v>
      </c>
      <c r="C24" t="s">
        <v>7990</v>
      </c>
      <c r="F24" t="s">
        <v>7989</v>
      </c>
      <c r="G24" t="s">
        <v>14</v>
      </c>
      <c r="H24" t="s">
        <v>13</v>
      </c>
      <c r="I24" t="s">
        <v>7189</v>
      </c>
      <c r="J24">
        <v>60019722</v>
      </c>
      <c r="K24" t="s">
        <v>7188</v>
      </c>
      <c r="L24" t="s">
        <v>1137</v>
      </c>
      <c r="M24" t="s">
        <v>112</v>
      </c>
      <c r="N24">
        <v>3</v>
      </c>
      <c r="O24" t="s">
        <v>7988</v>
      </c>
      <c r="P24" t="s">
        <v>7987</v>
      </c>
      <c r="Q24" t="s">
        <v>7986</v>
      </c>
      <c r="R24" s="7">
        <v>31929</v>
      </c>
      <c r="S24" s="8">
        <f t="shared" si="0"/>
        <v>1987</v>
      </c>
      <c r="T24" s="8">
        <v>1987</v>
      </c>
      <c r="U24" s="8">
        <f t="shared" si="1"/>
        <v>35</v>
      </c>
      <c r="V24" s="7">
        <v>31929</v>
      </c>
      <c r="W24" t="s">
        <v>7985</v>
      </c>
      <c r="X24" s="2">
        <v>0.66400000000000003</v>
      </c>
      <c r="Y24" s="6">
        <f t="shared" si="2"/>
        <v>1.7725100771468997E-2</v>
      </c>
      <c r="AA24">
        <v>1757571</v>
      </c>
      <c r="AB24">
        <v>14877</v>
      </c>
      <c r="AC24">
        <v>14321017</v>
      </c>
      <c r="AD24" t="s">
        <v>4</v>
      </c>
      <c r="AE24">
        <v>14</v>
      </c>
      <c r="AF24">
        <v>7</v>
      </c>
      <c r="AH24" t="s">
        <v>2937</v>
      </c>
      <c r="AI24" t="s">
        <v>7984</v>
      </c>
      <c r="AJ24" t="s">
        <v>7983</v>
      </c>
      <c r="AK24" t="s">
        <v>7982</v>
      </c>
      <c r="AL24">
        <v>41</v>
      </c>
      <c r="AM24" s="5">
        <f t="shared" si="3"/>
        <v>1.1714285714285715</v>
      </c>
      <c r="AN24" s="4">
        <f t="shared" si="4"/>
        <v>1.7742197219667876E-3</v>
      </c>
      <c r="AO24" s="3"/>
      <c r="AP24">
        <v>0</v>
      </c>
      <c r="AR24" t="s">
        <v>0</v>
      </c>
      <c r="AT24" s="2" t="s">
        <v>32</v>
      </c>
      <c r="AU24" s="1">
        <f t="shared" si="5"/>
        <v>1.2939836456618334</v>
      </c>
      <c r="AV24" s="1">
        <f t="shared" si="6"/>
        <v>0.97496602467178928</v>
      </c>
      <c r="AW24" s="1">
        <f t="shared" si="7"/>
        <v>0.65594840368174501</v>
      </c>
    </row>
    <row r="25" spans="1:49" x14ac:dyDescent="0.2">
      <c r="A25">
        <v>23</v>
      </c>
      <c r="B25" t="s">
        <v>7981</v>
      </c>
      <c r="C25" t="s">
        <v>7980</v>
      </c>
      <c r="D25">
        <v>5272887902222</v>
      </c>
      <c r="F25" t="s">
        <v>7979</v>
      </c>
      <c r="G25" t="s">
        <v>14</v>
      </c>
      <c r="H25" t="s">
        <v>13</v>
      </c>
      <c r="I25" t="s">
        <v>7978</v>
      </c>
      <c r="J25" t="s">
        <v>7977</v>
      </c>
      <c r="K25" t="s">
        <v>7976</v>
      </c>
      <c r="L25" t="s">
        <v>7975</v>
      </c>
      <c r="M25" t="s">
        <v>7974</v>
      </c>
      <c r="N25">
        <v>6</v>
      </c>
      <c r="O25" t="s">
        <v>7973</v>
      </c>
      <c r="P25" t="s">
        <v>7972</v>
      </c>
      <c r="Q25" t="s">
        <v>7971</v>
      </c>
      <c r="R25" s="7">
        <v>31903</v>
      </c>
      <c r="S25" s="8">
        <f t="shared" si="0"/>
        <v>1987</v>
      </c>
      <c r="T25" s="8">
        <v>1987</v>
      </c>
      <c r="U25" s="8">
        <f t="shared" si="1"/>
        <v>35</v>
      </c>
      <c r="V25" s="7">
        <v>31903</v>
      </c>
      <c r="W25" t="s">
        <v>7561</v>
      </c>
      <c r="X25" s="2">
        <v>1.59</v>
      </c>
      <c r="Y25" s="6">
        <f t="shared" si="2"/>
        <v>4.2444141907583888E-2</v>
      </c>
      <c r="AA25">
        <v>52728</v>
      </c>
      <c r="AB25">
        <v>16791</v>
      </c>
      <c r="AD25" t="s">
        <v>4</v>
      </c>
      <c r="AE25">
        <v>891</v>
      </c>
      <c r="AF25">
        <v>3</v>
      </c>
      <c r="AH25" t="s">
        <v>7970</v>
      </c>
      <c r="AI25" t="s">
        <v>7969</v>
      </c>
      <c r="AJ25" t="s">
        <v>7968</v>
      </c>
      <c r="AK25" t="s">
        <v>7967</v>
      </c>
      <c r="AL25">
        <v>26</v>
      </c>
      <c r="AM25" s="5">
        <f t="shared" si="3"/>
        <v>0.74285714285714288</v>
      </c>
      <c r="AN25" s="4">
        <f t="shared" si="4"/>
        <v>1.125114945637475E-3</v>
      </c>
      <c r="AO25" s="3"/>
      <c r="AP25">
        <v>0</v>
      </c>
      <c r="AQ25" t="s">
        <v>7966</v>
      </c>
      <c r="AR25" t="s">
        <v>0</v>
      </c>
      <c r="AS25" t="s">
        <v>7965</v>
      </c>
      <c r="AT25" s="2" t="s">
        <v>32</v>
      </c>
      <c r="AU25" s="1">
        <f t="shared" si="5"/>
        <v>3.0048433818999962</v>
      </c>
      <c r="AV25" s="1">
        <f t="shared" si="6"/>
        <v>2.1784628426610682</v>
      </c>
      <c r="AW25" s="1">
        <f t="shared" si="7"/>
        <v>1.3520823034221399</v>
      </c>
    </row>
    <row r="26" spans="1:49" x14ac:dyDescent="0.2">
      <c r="A26">
        <v>24</v>
      </c>
      <c r="B26" t="s">
        <v>7964</v>
      </c>
      <c r="C26" t="s">
        <v>7963</v>
      </c>
      <c r="D26" t="s">
        <v>7962</v>
      </c>
      <c r="F26" t="s">
        <v>7961</v>
      </c>
      <c r="G26" t="s">
        <v>14</v>
      </c>
      <c r="H26" t="s">
        <v>13</v>
      </c>
      <c r="I26" t="s">
        <v>7960</v>
      </c>
      <c r="J26" t="s">
        <v>7959</v>
      </c>
      <c r="K26" t="s">
        <v>7958</v>
      </c>
      <c r="L26" t="s">
        <v>7957</v>
      </c>
      <c r="M26" t="s">
        <v>6707</v>
      </c>
      <c r="N26">
        <v>3</v>
      </c>
      <c r="O26" t="s">
        <v>7956</v>
      </c>
      <c r="P26" t="s">
        <v>7955</v>
      </c>
      <c r="Q26" t="s">
        <v>7954</v>
      </c>
      <c r="R26" s="7">
        <v>31901</v>
      </c>
      <c r="S26" s="8">
        <f t="shared" si="0"/>
        <v>1987</v>
      </c>
      <c r="T26" s="8">
        <v>1987</v>
      </c>
      <c r="U26" s="8">
        <f t="shared" si="1"/>
        <v>35</v>
      </c>
      <c r="V26" s="7">
        <v>31901</v>
      </c>
      <c r="W26" t="s">
        <v>6999</v>
      </c>
      <c r="X26" s="2">
        <v>1.593</v>
      </c>
      <c r="Y26" s="6">
        <f t="shared" si="2"/>
        <v>4.2524225194201973E-2</v>
      </c>
      <c r="AA26">
        <v>145793</v>
      </c>
      <c r="AB26">
        <v>17481</v>
      </c>
      <c r="AD26" t="s">
        <v>4</v>
      </c>
      <c r="AE26">
        <v>215</v>
      </c>
      <c r="AF26">
        <v>1</v>
      </c>
      <c r="AH26" t="s">
        <v>7953</v>
      </c>
      <c r="AI26" t="s">
        <v>7952</v>
      </c>
      <c r="AJ26" t="s">
        <v>7951</v>
      </c>
      <c r="AK26" t="s">
        <v>7950</v>
      </c>
      <c r="AL26">
        <v>47</v>
      </c>
      <c r="AM26" s="5">
        <f t="shared" si="3"/>
        <v>1.3428571428571427</v>
      </c>
      <c r="AN26" s="4">
        <f t="shared" si="4"/>
        <v>2.0338616324985124E-3</v>
      </c>
      <c r="AO26" s="3"/>
      <c r="AP26">
        <v>1</v>
      </c>
      <c r="AR26" t="s">
        <v>0</v>
      </c>
      <c r="AT26" s="2">
        <v>4.1239999999999997</v>
      </c>
      <c r="AU26" s="1">
        <f t="shared" si="5"/>
        <v>3.0377116125690931</v>
      </c>
      <c r="AV26" s="1">
        <f t="shared" si="6"/>
        <v>2.2279043413350239</v>
      </c>
      <c r="AW26" s="1">
        <f t="shared" si="7"/>
        <v>1.418097070100955</v>
      </c>
    </row>
    <row r="27" spans="1:49" x14ac:dyDescent="0.2">
      <c r="A27">
        <v>25</v>
      </c>
      <c r="B27" t="s">
        <v>7949</v>
      </c>
      <c r="C27" t="s">
        <v>7948</v>
      </c>
      <c r="D27" t="s">
        <v>7947</v>
      </c>
      <c r="E27">
        <v>3552734</v>
      </c>
      <c r="F27" t="s">
        <v>7946</v>
      </c>
      <c r="G27" t="s">
        <v>14</v>
      </c>
      <c r="H27" t="s">
        <v>13</v>
      </c>
      <c r="I27" t="s">
        <v>7945</v>
      </c>
      <c r="J27" t="s">
        <v>7944</v>
      </c>
      <c r="K27" t="s">
        <v>7943</v>
      </c>
      <c r="L27" t="s">
        <v>7942</v>
      </c>
      <c r="M27" t="s">
        <v>3459</v>
      </c>
      <c r="N27">
        <v>3</v>
      </c>
      <c r="O27" t="s">
        <v>7941</v>
      </c>
      <c r="P27" t="s">
        <v>7940</v>
      </c>
      <c r="Q27" t="s">
        <v>7939</v>
      </c>
      <c r="R27" s="7">
        <v>31901</v>
      </c>
      <c r="S27" s="8">
        <f t="shared" si="0"/>
        <v>1987</v>
      </c>
      <c r="T27" s="8">
        <v>1987</v>
      </c>
      <c r="U27" s="8">
        <f t="shared" si="1"/>
        <v>35</v>
      </c>
      <c r="V27" s="7">
        <v>31901</v>
      </c>
      <c r="W27" t="s">
        <v>6999</v>
      </c>
      <c r="X27" s="2">
        <v>1.593</v>
      </c>
      <c r="Y27" s="6">
        <f t="shared" si="2"/>
        <v>4.2524225194201973E-2</v>
      </c>
      <c r="AA27">
        <v>145793</v>
      </c>
      <c r="AB27">
        <v>17481</v>
      </c>
      <c r="AD27" t="s">
        <v>4</v>
      </c>
      <c r="AE27">
        <v>215</v>
      </c>
      <c r="AF27">
        <v>1</v>
      </c>
      <c r="AH27" t="s">
        <v>7938</v>
      </c>
      <c r="AI27" t="s">
        <v>7937</v>
      </c>
      <c r="AJ27" t="s">
        <v>7936</v>
      </c>
      <c r="AK27" t="s">
        <v>7935</v>
      </c>
      <c r="AL27">
        <v>22</v>
      </c>
      <c r="AM27" s="5">
        <f t="shared" si="3"/>
        <v>0.62857142857142856</v>
      </c>
      <c r="AN27" s="4">
        <f t="shared" si="4"/>
        <v>9.5202033861632501E-4</v>
      </c>
      <c r="AO27" s="3"/>
      <c r="AP27">
        <v>1</v>
      </c>
      <c r="AQ27" t="s">
        <v>2284</v>
      </c>
      <c r="AR27" t="s">
        <v>7934</v>
      </c>
      <c r="AS27" t="s">
        <v>2282</v>
      </c>
      <c r="AT27" s="2">
        <v>4.1239999999999997</v>
      </c>
      <c r="AU27" s="1">
        <f t="shared" si="5"/>
        <v>3.0052563737526277</v>
      </c>
      <c r="AV27" s="1">
        <f t="shared" si="6"/>
        <v>2.1738122766409149</v>
      </c>
      <c r="AW27" s="1">
        <f t="shared" si="7"/>
        <v>1.342368179529202</v>
      </c>
    </row>
    <row r="28" spans="1:49" x14ac:dyDescent="0.2">
      <c r="A28">
        <v>26</v>
      </c>
      <c r="B28" t="s">
        <v>7933</v>
      </c>
      <c r="C28" t="s">
        <v>7932</v>
      </c>
      <c r="F28" t="s">
        <v>7931</v>
      </c>
      <c r="G28" t="s">
        <v>14</v>
      </c>
      <c r="H28" t="s">
        <v>13</v>
      </c>
      <c r="I28" t="s">
        <v>7930</v>
      </c>
      <c r="J28">
        <v>60008088</v>
      </c>
      <c r="K28" t="s">
        <v>7929</v>
      </c>
      <c r="L28" t="s">
        <v>7928</v>
      </c>
      <c r="M28" t="s">
        <v>406</v>
      </c>
      <c r="N28">
        <v>2</v>
      </c>
      <c r="O28" t="s">
        <v>7927</v>
      </c>
      <c r="P28" t="s">
        <v>7926</v>
      </c>
      <c r="Q28" t="s">
        <v>7925</v>
      </c>
      <c r="R28" s="7">
        <v>31898</v>
      </c>
      <c r="S28" s="8">
        <f t="shared" si="0"/>
        <v>1987</v>
      </c>
      <c r="T28" s="8">
        <v>1987</v>
      </c>
      <c r="U28" s="8">
        <f t="shared" si="1"/>
        <v>35</v>
      </c>
      <c r="V28" s="7">
        <v>31898</v>
      </c>
      <c r="W28" t="s">
        <v>7924</v>
      </c>
      <c r="X28" s="2">
        <v>0.39800000000000002</v>
      </c>
      <c r="Y28" s="6">
        <f t="shared" si="2"/>
        <v>1.0624382691332319E-2</v>
      </c>
      <c r="AA28" t="s">
        <v>7923</v>
      </c>
      <c r="AB28">
        <v>26771</v>
      </c>
      <c r="AC28" t="s">
        <v>7922</v>
      </c>
      <c r="AD28" t="s">
        <v>4</v>
      </c>
      <c r="AE28">
        <v>133</v>
      </c>
      <c r="AF28">
        <v>2</v>
      </c>
      <c r="AH28" t="s">
        <v>7921</v>
      </c>
      <c r="AI28" t="s">
        <v>7920</v>
      </c>
      <c r="AK28" t="s">
        <v>7919</v>
      </c>
      <c r="AL28">
        <v>3</v>
      </c>
      <c r="AM28" s="5">
        <f t="shared" si="3"/>
        <v>8.5714285714285715E-2</v>
      </c>
      <c r="AN28" s="4">
        <f t="shared" si="4"/>
        <v>1.2982095526586251E-4</v>
      </c>
      <c r="AO28" s="3"/>
      <c r="AP28">
        <v>0</v>
      </c>
      <c r="AR28" t="s">
        <v>0</v>
      </c>
      <c r="AT28" s="2">
        <v>1.83</v>
      </c>
      <c r="AU28" s="1">
        <f t="shared" si="5"/>
        <v>0.74760141705123817</v>
      </c>
      <c r="AV28" s="1">
        <f t="shared" si="6"/>
        <v>0.53771018232990908</v>
      </c>
      <c r="AW28" s="1">
        <f t="shared" si="7"/>
        <v>0.32781894760857994</v>
      </c>
    </row>
    <row r="29" spans="1:49" x14ac:dyDescent="0.2">
      <c r="A29">
        <v>27</v>
      </c>
      <c r="B29" t="s">
        <v>7918</v>
      </c>
      <c r="F29" t="s">
        <v>7917</v>
      </c>
      <c r="G29" t="s">
        <v>14</v>
      </c>
      <c r="H29" t="s">
        <v>13</v>
      </c>
      <c r="I29" t="s">
        <v>7916</v>
      </c>
      <c r="J29">
        <v>60026717</v>
      </c>
      <c r="K29" t="s">
        <v>7915</v>
      </c>
      <c r="L29" t="s">
        <v>5461</v>
      </c>
      <c r="M29" t="s">
        <v>9</v>
      </c>
      <c r="N29">
        <v>2</v>
      </c>
      <c r="O29" t="s">
        <v>7914</v>
      </c>
      <c r="P29" t="s">
        <v>7913</v>
      </c>
      <c r="Q29" t="s">
        <v>7912</v>
      </c>
      <c r="R29" s="7">
        <v>31898</v>
      </c>
      <c r="S29" s="8">
        <f t="shared" si="0"/>
        <v>1987</v>
      </c>
      <c r="T29" s="8">
        <v>1987</v>
      </c>
      <c r="U29" s="8">
        <f t="shared" si="1"/>
        <v>35</v>
      </c>
      <c r="V29" s="7">
        <v>31898</v>
      </c>
      <c r="W29" t="s">
        <v>7911</v>
      </c>
      <c r="X29" s="2" t="s">
        <v>32</v>
      </c>
      <c r="Y29" s="6" t="e">
        <f t="shared" si="2"/>
        <v>#VALUE!</v>
      </c>
      <c r="AA29">
        <v>911062</v>
      </c>
      <c r="AB29">
        <v>17916</v>
      </c>
      <c r="AD29" t="s">
        <v>4</v>
      </c>
      <c r="AE29">
        <v>23</v>
      </c>
      <c r="AF29">
        <v>3</v>
      </c>
      <c r="AH29" t="s">
        <v>7910</v>
      </c>
      <c r="AI29" t="s">
        <v>7909</v>
      </c>
      <c r="AK29" t="s">
        <v>7908</v>
      </c>
      <c r="AL29">
        <v>1</v>
      </c>
      <c r="AM29" s="5">
        <f t="shared" si="3"/>
        <v>2.8571428571428571E-2</v>
      </c>
      <c r="AN29" s="4">
        <f t="shared" si="4"/>
        <v>4.32736517552875E-5</v>
      </c>
      <c r="AO29" s="3"/>
      <c r="AP29">
        <v>0</v>
      </c>
      <c r="AR29" t="s">
        <v>0</v>
      </c>
      <c r="AT29" s="2">
        <v>0.182</v>
      </c>
      <c r="AU29" s="1" t="e">
        <f t="shared" si="5"/>
        <v>#VALUE!</v>
      </c>
      <c r="AV29" s="1" t="e">
        <f t="shared" si="6"/>
        <v>#VALUE!</v>
      </c>
      <c r="AW29" s="1" t="e">
        <f t="shared" si="7"/>
        <v>#VALUE!</v>
      </c>
    </row>
    <row r="30" spans="1:49" x14ac:dyDescent="0.2">
      <c r="A30">
        <v>28</v>
      </c>
      <c r="B30" t="s">
        <v>7907</v>
      </c>
      <c r="F30" t="s">
        <v>7906</v>
      </c>
      <c r="G30" t="s">
        <v>14</v>
      </c>
      <c r="H30" t="s">
        <v>13</v>
      </c>
      <c r="I30" t="s">
        <v>7905</v>
      </c>
      <c r="J30">
        <v>60072226</v>
      </c>
      <c r="K30" t="s">
        <v>7904</v>
      </c>
      <c r="L30" t="s">
        <v>7903</v>
      </c>
      <c r="M30" t="s">
        <v>1068</v>
      </c>
      <c r="N30">
        <v>4</v>
      </c>
      <c r="O30" t="s">
        <v>7902</v>
      </c>
      <c r="P30" t="s">
        <v>7901</v>
      </c>
      <c r="Q30" t="s">
        <v>7900</v>
      </c>
      <c r="R30" s="7">
        <v>31898</v>
      </c>
      <c r="S30" s="8">
        <f t="shared" si="0"/>
        <v>1987</v>
      </c>
      <c r="T30" s="8">
        <v>1987</v>
      </c>
      <c r="U30" s="8">
        <f t="shared" si="1"/>
        <v>35</v>
      </c>
      <c r="V30" s="7">
        <v>31898</v>
      </c>
      <c r="W30" t="s">
        <v>7899</v>
      </c>
      <c r="X30" s="2" t="s">
        <v>32</v>
      </c>
      <c r="Y30" s="6" t="e">
        <f t="shared" si="2"/>
        <v>#VALUE!</v>
      </c>
      <c r="AA30">
        <v>2511096</v>
      </c>
      <c r="AB30">
        <v>26110</v>
      </c>
      <c r="AD30" t="s">
        <v>4</v>
      </c>
      <c r="AE30">
        <v>67</v>
      </c>
      <c r="AH30" t="s">
        <v>7898</v>
      </c>
      <c r="AI30" t="s">
        <v>7897</v>
      </c>
      <c r="AK30" t="s">
        <v>7896</v>
      </c>
      <c r="AL30">
        <v>0</v>
      </c>
      <c r="AM30" s="5">
        <f t="shared" si="3"/>
        <v>0</v>
      </c>
      <c r="AN30" s="4">
        <f t="shared" si="4"/>
        <v>0</v>
      </c>
      <c r="AO30" s="3"/>
      <c r="AP30">
        <v>0</v>
      </c>
      <c r="AR30" t="s">
        <v>0</v>
      </c>
      <c r="AT30" s="2" t="s">
        <v>32</v>
      </c>
      <c r="AU30" s="1" t="e">
        <f t="shared" si="5"/>
        <v>#VALUE!</v>
      </c>
      <c r="AV30" s="1" t="e">
        <f t="shared" si="6"/>
        <v>#VALUE!</v>
      </c>
      <c r="AW30" s="1" t="e">
        <f t="shared" si="7"/>
        <v>#VALUE!</v>
      </c>
    </row>
    <row r="31" spans="1:49" x14ac:dyDescent="0.2">
      <c r="A31">
        <v>29</v>
      </c>
      <c r="B31" t="s">
        <v>7895</v>
      </c>
      <c r="F31" t="s">
        <v>7894</v>
      </c>
      <c r="G31" t="s">
        <v>14</v>
      </c>
      <c r="H31" t="s">
        <v>13</v>
      </c>
      <c r="I31" t="s">
        <v>7893</v>
      </c>
      <c r="N31">
        <v>1</v>
      </c>
      <c r="O31" t="s">
        <v>7892</v>
      </c>
      <c r="P31">
        <v>6701657469</v>
      </c>
      <c r="R31" s="7">
        <v>31898</v>
      </c>
      <c r="S31" s="8">
        <f t="shared" si="0"/>
        <v>1987</v>
      </c>
      <c r="T31" s="8">
        <v>1987</v>
      </c>
      <c r="U31" s="8">
        <f t="shared" si="1"/>
        <v>35</v>
      </c>
      <c r="V31" s="7">
        <v>31898</v>
      </c>
      <c r="W31" t="s">
        <v>7891</v>
      </c>
      <c r="X31" s="2" t="s">
        <v>32</v>
      </c>
      <c r="Y31" s="6" t="e">
        <f t="shared" si="2"/>
        <v>#VALUE!</v>
      </c>
      <c r="AA31">
        <v>7362064</v>
      </c>
      <c r="AB31">
        <v>36597</v>
      </c>
      <c r="AD31" t="s">
        <v>4</v>
      </c>
      <c r="AE31">
        <v>42</v>
      </c>
      <c r="AF31">
        <v>5</v>
      </c>
      <c r="AH31" t="s">
        <v>7890</v>
      </c>
      <c r="AI31" t="s">
        <v>7889</v>
      </c>
      <c r="AK31" t="s">
        <v>7888</v>
      </c>
      <c r="AL31">
        <v>0</v>
      </c>
      <c r="AM31" s="5">
        <f t="shared" si="3"/>
        <v>0</v>
      </c>
      <c r="AN31" s="4">
        <f t="shared" si="4"/>
        <v>0</v>
      </c>
      <c r="AO31" s="3"/>
      <c r="AP31">
        <v>0</v>
      </c>
      <c r="AR31" t="s">
        <v>0</v>
      </c>
      <c r="AT31" s="2" t="s">
        <v>32</v>
      </c>
      <c r="AU31" s="1" t="e">
        <f t="shared" si="5"/>
        <v>#VALUE!</v>
      </c>
      <c r="AV31" s="1" t="e">
        <f t="shared" si="6"/>
        <v>#VALUE!</v>
      </c>
      <c r="AW31" s="1" t="e">
        <f t="shared" si="7"/>
        <v>#VALUE!</v>
      </c>
    </row>
    <row r="32" spans="1:49" x14ac:dyDescent="0.2">
      <c r="A32">
        <v>30</v>
      </c>
      <c r="B32" t="s">
        <v>7887</v>
      </c>
      <c r="F32" t="s">
        <v>7886</v>
      </c>
      <c r="G32" t="s">
        <v>14</v>
      </c>
      <c r="H32" t="s">
        <v>13</v>
      </c>
      <c r="I32" t="s">
        <v>7885</v>
      </c>
      <c r="N32">
        <v>1</v>
      </c>
      <c r="O32" t="s">
        <v>7884</v>
      </c>
      <c r="P32">
        <v>36818430700</v>
      </c>
      <c r="R32" s="7">
        <v>31898</v>
      </c>
      <c r="S32" s="8">
        <f t="shared" si="0"/>
        <v>1987</v>
      </c>
      <c r="T32" s="8">
        <v>1987</v>
      </c>
      <c r="U32" s="8">
        <f t="shared" si="1"/>
        <v>35</v>
      </c>
      <c r="V32" s="7">
        <v>31898</v>
      </c>
      <c r="W32" t="s">
        <v>7883</v>
      </c>
      <c r="X32" s="2" t="s">
        <v>32</v>
      </c>
      <c r="Y32" s="6" t="e">
        <f t="shared" si="2"/>
        <v>#VALUE!</v>
      </c>
      <c r="AA32">
        <v>2701197</v>
      </c>
      <c r="AB32">
        <v>100485</v>
      </c>
      <c r="AD32" t="s">
        <v>4</v>
      </c>
      <c r="AE32">
        <v>56</v>
      </c>
      <c r="AF32">
        <v>3</v>
      </c>
      <c r="AH32" t="s">
        <v>7882</v>
      </c>
      <c r="AI32" t="s">
        <v>7881</v>
      </c>
      <c r="AK32" t="s">
        <v>7880</v>
      </c>
      <c r="AL32">
        <v>0</v>
      </c>
      <c r="AM32" s="5">
        <f t="shared" si="3"/>
        <v>0</v>
      </c>
      <c r="AN32" s="4">
        <f t="shared" si="4"/>
        <v>0</v>
      </c>
      <c r="AO32" s="3"/>
      <c r="AP32">
        <v>0</v>
      </c>
      <c r="AR32" t="s">
        <v>0</v>
      </c>
      <c r="AT32" s="2" t="s">
        <v>32</v>
      </c>
      <c r="AU32" s="1" t="e">
        <f t="shared" si="5"/>
        <v>#VALUE!</v>
      </c>
      <c r="AV32" s="1" t="e">
        <f t="shared" si="6"/>
        <v>#VALUE!</v>
      </c>
      <c r="AW32" s="1" t="e">
        <f t="shared" si="7"/>
        <v>#VALUE!</v>
      </c>
    </row>
    <row r="33" spans="1:49" x14ac:dyDescent="0.2">
      <c r="A33">
        <v>31</v>
      </c>
      <c r="B33" t="s">
        <v>7879</v>
      </c>
      <c r="F33" t="s">
        <v>7878</v>
      </c>
      <c r="G33" t="s">
        <v>14</v>
      </c>
      <c r="H33" t="s">
        <v>13</v>
      </c>
      <c r="I33" t="s">
        <v>7877</v>
      </c>
      <c r="N33">
        <v>1</v>
      </c>
      <c r="O33" t="s">
        <v>7876</v>
      </c>
      <c r="P33">
        <v>56867043600</v>
      </c>
      <c r="R33" s="7">
        <v>31898</v>
      </c>
      <c r="S33" s="8">
        <f t="shared" si="0"/>
        <v>1987</v>
      </c>
      <c r="T33" s="8">
        <v>1987</v>
      </c>
      <c r="U33" s="8">
        <f t="shared" si="1"/>
        <v>35</v>
      </c>
      <c r="V33" s="7">
        <v>31898</v>
      </c>
      <c r="W33" t="s">
        <v>7875</v>
      </c>
      <c r="X33" s="2" t="s">
        <v>32</v>
      </c>
      <c r="Y33" s="6" t="e">
        <f t="shared" si="2"/>
        <v>#VALUE!</v>
      </c>
      <c r="AA33">
        <v>8839093</v>
      </c>
      <c r="AB33">
        <v>36421</v>
      </c>
      <c r="AD33" t="s">
        <v>4</v>
      </c>
      <c r="AE33">
        <v>2</v>
      </c>
      <c r="AF33">
        <v>3</v>
      </c>
      <c r="AH33" t="s">
        <v>7874</v>
      </c>
      <c r="AI33" t="s">
        <v>7873</v>
      </c>
      <c r="AK33" t="s">
        <v>7872</v>
      </c>
      <c r="AL33">
        <v>0</v>
      </c>
      <c r="AM33" s="5">
        <f t="shared" si="3"/>
        <v>0</v>
      </c>
      <c r="AN33" s="4">
        <f t="shared" si="4"/>
        <v>0</v>
      </c>
      <c r="AO33" s="3"/>
      <c r="AP33">
        <v>0</v>
      </c>
      <c r="AR33" t="s">
        <v>0</v>
      </c>
      <c r="AT33" s="2" t="s">
        <v>32</v>
      </c>
      <c r="AU33" s="1" t="e">
        <f t="shared" si="5"/>
        <v>#VALUE!</v>
      </c>
      <c r="AV33" s="1" t="e">
        <f t="shared" si="6"/>
        <v>#VALUE!</v>
      </c>
      <c r="AW33" s="1" t="e">
        <f t="shared" si="7"/>
        <v>#VALUE!</v>
      </c>
    </row>
    <row r="34" spans="1:49" x14ac:dyDescent="0.2">
      <c r="A34">
        <v>32</v>
      </c>
      <c r="B34" t="s">
        <v>7871</v>
      </c>
      <c r="F34" t="s">
        <v>7870</v>
      </c>
      <c r="G34" t="s">
        <v>14</v>
      </c>
      <c r="H34" t="s">
        <v>13</v>
      </c>
      <c r="I34" t="s">
        <v>7869</v>
      </c>
      <c r="J34">
        <v>60015623</v>
      </c>
      <c r="K34" t="s">
        <v>819</v>
      </c>
      <c r="L34" t="s">
        <v>818</v>
      </c>
      <c r="M34" t="s">
        <v>9</v>
      </c>
      <c r="N34">
        <v>2</v>
      </c>
      <c r="O34" t="s">
        <v>7868</v>
      </c>
      <c r="P34" t="s">
        <v>7867</v>
      </c>
      <c r="Q34" t="s">
        <v>7866</v>
      </c>
      <c r="R34" s="7">
        <v>31898</v>
      </c>
      <c r="S34" s="8">
        <f t="shared" si="0"/>
        <v>1987</v>
      </c>
      <c r="T34" s="8">
        <v>1987</v>
      </c>
      <c r="U34" s="8">
        <f t="shared" si="1"/>
        <v>35</v>
      </c>
      <c r="V34" s="7">
        <v>31898</v>
      </c>
      <c r="W34" t="s">
        <v>629</v>
      </c>
      <c r="X34" s="2" t="s">
        <v>32</v>
      </c>
      <c r="Y34" s="6" t="e">
        <f t="shared" si="2"/>
        <v>#VALUE!</v>
      </c>
      <c r="AA34">
        <v>262897</v>
      </c>
      <c r="AB34">
        <v>18580</v>
      </c>
      <c r="AD34" t="s">
        <v>4</v>
      </c>
      <c r="AE34">
        <v>30</v>
      </c>
      <c r="AF34">
        <v>5</v>
      </c>
      <c r="AH34" t="s">
        <v>7865</v>
      </c>
      <c r="AI34" t="s">
        <v>7864</v>
      </c>
      <c r="AK34" t="s">
        <v>7863</v>
      </c>
      <c r="AL34">
        <v>167</v>
      </c>
      <c r="AM34" s="5">
        <f t="shared" si="3"/>
        <v>4.7714285714285714</v>
      </c>
      <c r="AN34" s="4">
        <f t="shared" si="4"/>
        <v>7.2266998431330127E-3</v>
      </c>
      <c r="AO34" s="3"/>
      <c r="AP34">
        <v>0</v>
      </c>
      <c r="AR34" t="s">
        <v>0</v>
      </c>
      <c r="AT34" s="2">
        <v>0.30599999999999999</v>
      </c>
      <c r="AU34" s="1" t="e">
        <f t="shared" si="5"/>
        <v>#VALUE!</v>
      </c>
      <c r="AV34" s="1" t="e">
        <f t="shared" si="6"/>
        <v>#VALUE!</v>
      </c>
      <c r="AW34" s="1" t="e">
        <f t="shared" si="7"/>
        <v>#VALUE!</v>
      </c>
    </row>
    <row r="35" spans="1:49" x14ac:dyDescent="0.2">
      <c r="A35">
        <v>33</v>
      </c>
      <c r="B35" t="s">
        <v>7862</v>
      </c>
      <c r="C35" t="s">
        <v>7861</v>
      </c>
      <c r="F35" t="s">
        <v>7860</v>
      </c>
      <c r="G35" t="s">
        <v>14</v>
      </c>
      <c r="H35" t="s">
        <v>13</v>
      </c>
      <c r="I35" t="s">
        <v>7859</v>
      </c>
      <c r="N35">
        <v>3</v>
      </c>
      <c r="O35" t="s">
        <v>7858</v>
      </c>
      <c r="P35" t="s">
        <v>7857</v>
      </c>
      <c r="Q35" t="s">
        <v>171</v>
      </c>
      <c r="R35" s="7">
        <v>31898</v>
      </c>
      <c r="S35" s="8">
        <f t="shared" si="0"/>
        <v>1987</v>
      </c>
      <c r="T35" s="8">
        <v>1987</v>
      </c>
      <c r="U35" s="8">
        <f t="shared" si="1"/>
        <v>35</v>
      </c>
      <c r="V35" s="7">
        <v>31898</v>
      </c>
      <c r="W35" t="s">
        <v>7372</v>
      </c>
      <c r="X35" s="2">
        <v>0.318</v>
      </c>
      <c r="Y35" s="6">
        <f t="shared" si="2"/>
        <v>8.4888283815167786E-3</v>
      </c>
      <c r="AA35">
        <v>338443</v>
      </c>
      <c r="AB35">
        <v>27160</v>
      </c>
      <c r="AC35">
        <v>15739120</v>
      </c>
      <c r="AD35" t="s">
        <v>4</v>
      </c>
      <c r="AE35">
        <v>30</v>
      </c>
      <c r="AF35">
        <v>5</v>
      </c>
      <c r="AH35" t="s">
        <v>7856</v>
      </c>
      <c r="AL35">
        <v>0</v>
      </c>
      <c r="AM35" s="5">
        <f t="shared" si="3"/>
        <v>0</v>
      </c>
      <c r="AN35" s="4">
        <f t="shared" si="4"/>
        <v>0</v>
      </c>
      <c r="AO35" s="3"/>
      <c r="AP35">
        <v>0</v>
      </c>
      <c r="AR35" t="s">
        <v>0</v>
      </c>
      <c r="AT35" s="2">
        <v>0.77</v>
      </c>
      <c r="AU35" s="1">
        <f t="shared" si="5"/>
        <v>0.59421798670617454</v>
      </c>
      <c r="AV35" s="1">
        <f t="shared" si="6"/>
        <v>0.42444141907583893</v>
      </c>
      <c r="AW35" s="1">
        <f t="shared" si="7"/>
        <v>0.25466485144550338</v>
      </c>
    </row>
    <row r="36" spans="1:49" x14ac:dyDescent="0.2">
      <c r="A36">
        <v>34</v>
      </c>
      <c r="B36" t="s">
        <v>7855</v>
      </c>
      <c r="F36" t="s">
        <v>7854</v>
      </c>
      <c r="G36" t="s">
        <v>14</v>
      </c>
      <c r="H36" t="s">
        <v>13</v>
      </c>
      <c r="I36" t="s">
        <v>7853</v>
      </c>
      <c r="J36">
        <v>60024590</v>
      </c>
      <c r="K36" t="s">
        <v>4679</v>
      </c>
      <c r="L36" t="s">
        <v>4678</v>
      </c>
      <c r="M36" t="s">
        <v>9</v>
      </c>
      <c r="N36">
        <v>1</v>
      </c>
      <c r="O36" t="s">
        <v>7852</v>
      </c>
      <c r="P36">
        <v>6507815891</v>
      </c>
      <c r="Q36">
        <v>60024590</v>
      </c>
      <c r="R36" s="7">
        <v>31898</v>
      </c>
      <c r="S36" s="8">
        <f t="shared" si="0"/>
        <v>1987</v>
      </c>
      <c r="T36" s="8">
        <v>1987</v>
      </c>
      <c r="U36" s="8">
        <f t="shared" si="1"/>
        <v>35</v>
      </c>
      <c r="V36" s="7">
        <v>31898</v>
      </c>
      <c r="W36" t="s">
        <v>826</v>
      </c>
      <c r="X36" s="2">
        <v>0.10100000000000001</v>
      </c>
      <c r="Y36" s="6">
        <f t="shared" si="2"/>
        <v>2.6961373161421215E-3</v>
      </c>
      <c r="AA36">
        <v>7452993</v>
      </c>
      <c r="AB36">
        <v>18563</v>
      </c>
      <c r="AD36" t="s">
        <v>4</v>
      </c>
      <c r="AE36">
        <v>26</v>
      </c>
      <c r="AF36">
        <v>5</v>
      </c>
      <c r="AI36" t="s">
        <v>7851</v>
      </c>
      <c r="AK36" t="s">
        <v>7850</v>
      </c>
      <c r="AL36">
        <v>3</v>
      </c>
      <c r="AM36" s="5">
        <f t="shared" si="3"/>
        <v>8.5714285714285715E-2</v>
      </c>
      <c r="AN36" s="4">
        <f t="shared" si="4"/>
        <v>1.2982095526586251E-4</v>
      </c>
      <c r="AO36" s="3"/>
      <c r="AP36">
        <v>0</v>
      </c>
      <c r="AR36" t="s">
        <v>0</v>
      </c>
      <c r="AT36" s="2" t="s">
        <v>32</v>
      </c>
      <c r="AU36" s="1">
        <f t="shared" si="5"/>
        <v>0.19262424078792437</v>
      </c>
      <c r="AV36" s="1">
        <f t="shared" si="6"/>
        <v>0.1412979135703992</v>
      </c>
      <c r="AW36" s="1">
        <f t="shared" si="7"/>
        <v>8.9971586352874014E-2</v>
      </c>
    </row>
    <row r="37" spans="1:49" x14ac:dyDescent="0.2">
      <c r="A37">
        <v>35</v>
      </c>
      <c r="B37" t="s">
        <v>7849</v>
      </c>
      <c r="F37" t="s">
        <v>7848</v>
      </c>
      <c r="G37" t="s">
        <v>14</v>
      </c>
      <c r="H37" t="s">
        <v>13</v>
      </c>
      <c r="I37" t="s">
        <v>7847</v>
      </c>
      <c r="N37">
        <v>1</v>
      </c>
      <c r="O37" t="s">
        <v>7846</v>
      </c>
      <c r="P37">
        <v>9432565100</v>
      </c>
      <c r="R37" s="7">
        <v>31898</v>
      </c>
      <c r="S37" s="8">
        <f t="shared" si="0"/>
        <v>1987</v>
      </c>
      <c r="T37" s="8">
        <v>1987</v>
      </c>
      <c r="U37" s="8">
        <f t="shared" si="1"/>
        <v>35</v>
      </c>
      <c r="V37" s="7">
        <v>31898</v>
      </c>
      <c r="W37" t="s">
        <v>939</v>
      </c>
      <c r="X37" s="2" t="s">
        <v>32</v>
      </c>
      <c r="Y37" s="6" t="e">
        <f t="shared" si="2"/>
        <v>#VALUE!</v>
      </c>
      <c r="AA37">
        <v>87566648</v>
      </c>
      <c r="AB37">
        <v>74127</v>
      </c>
      <c r="AD37" t="s">
        <v>4</v>
      </c>
      <c r="AE37">
        <v>32</v>
      </c>
      <c r="AF37">
        <v>5</v>
      </c>
      <c r="AH37" t="s">
        <v>7845</v>
      </c>
      <c r="AI37" t="s">
        <v>7844</v>
      </c>
      <c r="AK37" t="s">
        <v>7843</v>
      </c>
      <c r="AL37">
        <v>0</v>
      </c>
      <c r="AM37" s="5">
        <f t="shared" si="3"/>
        <v>0</v>
      </c>
      <c r="AN37" s="4">
        <f t="shared" si="4"/>
        <v>0</v>
      </c>
      <c r="AO37" s="3"/>
      <c r="AP37">
        <v>0</v>
      </c>
      <c r="AR37" t="s">
        <v>0</v>
      </c>
      <c r="AT37" s="2" t="s">
        <v>32</v>
      </c>
      <c r="AU37" s="1" t="e">
        <f t="shared" si="5"/>
        <v>#VALUE!</v>
      </c>
      <c r="AV37" s="1" t="e">
        <f t="shared" si="6"/>
        <v>#VALUE!</v>
      </c>
      <c r="AW37" s="1" t="e">
        <f t="shared" si="7"/>
        <v>#VALUE!</v>
      </c>
    </row>
    <row r="38" spans="1:49" x14ac:dyDescent="0.2">
      <c r="A38">
        <v>36</v>
      </c>
      <c r="B38" t="s">
        <v>7842</v>
      </c>
      <c r="F38" t="s">
        <v>7841</v>
      </c>
      <c r="G38" t="s">
        <v>14</v>
      </c>
      <c r="H38" t="s">
        <v>13</v>
      </c>
      <c r="I38" t="s">
        <v>7840</v>
      </c>
      <c r="N38">
        <v>1</v>
      </c>
      <c r="O38" t="s">
        <v>7839</v>
      </c>
      <c r="P38">
        <v>7102485268</v>
      </c>
      <c r="R38" s="7">
        <v>31898</v>
      </c>
      <c r="S38" s="8">
        <f t="shared" si="0"/>
        <v>1987</v>
      </c>
      <c r="T38" s="8">
        <v>1987</v>
      </c>
      <c r="U38" s="8">
        <f t="shared" si="1"/>
        <v>35</v>
      </c>
      <c r="V38" s="7">
        <v>31898</v>
      </c>
      <c r="W38" t="s">
        <v>939</v>
      </c>
      <c r="X38" s="2" t="s">
        <v>32</v>
      </c>
      <c r="Y38" s="6" t="e">
        <f t="shared" si="2"/>
        <v>#VALUE!</v>
      </c>
      <c r="AA38">
        <v>87566648</v>
      </c>
      <c r="AB38">
        <v>74127</v>
      </c>
      <c r="AD38" t="s">
        <v>4</v>
      </c>
      <c r="AE38">
        <v>32</v>
      </c>
      <c r="AF38">
        <v>5</v>
      </c>
      <c r="AH38" t="s">
        <v>7838</v>
      </c>
      <c r="AI38" t="s">
        <v>7837</v>
      </c>
      <c r="AK38" t="s">
        <v>7836</v>
      </c>
      <c r="AL38">
        <v>0</v>
      </c>
      <c r="AM38" s="5">
        <f t="shared" si="3"/>
        <v>0</v>
      </c>
      <c r="AN38" s="4">
        <f t="shared" si="4"/>
        <v>0</v>
      </c>
      <c r="AO38" s="3"/>
      <c r="AP38">
        <v>0</v>
      </c>
      <c r="AR38" t="s">
        <v>0</v>
      </c>
      <c r="AT38" s="2" t="s">
        <v>32</v>
      </c>
      <c r="AU38" s="1" t="e">
        <f t="shared" si="5"/>
        <v>#VALUE!</v>
      </c>
      <c r="AV38" s="1" t="e">
        <f t="shared" si="6"/>
        <v>#VALUE!</v>
      </c>
      <c r="AW38" s="1" t="e">
        <f t="shared" si="7"/>
        <v>#VALUE!</v>
      </c>
    </row>
    <row r="39" spans="1:49" x14ac:dyDescent="0.2">
      <c r="A39">
        <v>37</v>
      </c>
      <c r="B39" t="s">
        <v>7835</v>
      </c>
      <c r="F39" t="s">
        <v>7834</v>
      </c>
      <c r="G39" t="s">
        <v>14</v>
      </c>
      <c r="H39" t="s">
        <v>13</v>
      </c>
      <c r="I39" t="s">
        <v>7833</v>
      </c>
      <c r="J39">
        <v>100675122</v>
      </c>
      <c r="K39" t="s">
        <v>7832</v>
      </c>
      <c r="L39" t="s">
        <v>7831</v>
      </c>
      <c r="M39" t="s">
        <v>271</v>
      </c>
      <c r="N39">
        <v>2</v>
      </c>
      <c r="O39" t="s">
        <v>7830</v>
      </c>
      <c r="P39" t="s">
        <v>7829</v>
      </c>
      <c r="Q39" t="s">
        <v>7828</v>
      </c>
      <c r="R39" s="7">
        <v>31898</v>
      </c>
      <c r="S39" s="8">
        <f t="shared" ref="S39:S102" si="8">YEAR(R39)</f>
        <v>1987</v>
      </c>
      <c r="T39" s="8">
        <v>1987</v>
      </c>
      <c r="U39" s="8">
        <f t="shared" ref="U39:U102" si="9">2022-T39</f>
        <v>35</v>
      </c>
      <c r="V39" s="7">
        <v>31898</v>
      </c>
      <c r="W39" t="s">
        <v>826</v>
      </c>
      <c r="X39" s="2">
        <v>0.10100000000000001</v>
      </c>
      <c r="Y39" s="6">
        <f t="shared" si="2"/>
        <v>2.6961373161421215E-3</v>
      </c>
      <c r="AA39">
        <v>7452993</v>
      </c>
      <c r="AB39">
        <v>18563</v>
      </c>
      <c r="AD39" t="s">
        <v>4</v>
      </c>
      <c r="AE39">
        <v>26</v>
      </c>
      <c r="AF39">
        <v>5</v>
      </c>
      <c r="AI39" t="s">
        <v>7827</v>
      </c>
      <c r="AK39" t="s">
        <v>7826</v>
      </c>
      <c r="AL39">
        <v>0</v>
      </c>
      <c r="AM39" s="5">
        <f t="shared" ref="AM39:AM102" si="10">AL39/U39</f>
        <v>0</v>
      </c>
      <c r="AN39" s="4">
        <f t="shared" si="4"/>
        <v>0</v>
      </c>
      <c r="AO39" s="3"/>
      <c r="AP39">
        <v>0</v>
      </c>
      <c r="AR39" t="s">
        <v>0</v>
      </c>
      <c r="AT39" s="2" t="s">
        <v>32</v>
      </c>
      <c r="AU39" s="1">
        <f t="shared" ref="AU39:AU102" si="11">(Y39*0.7+AN39*0.3)*100</f>
        <v>0.18872961212994849</v>
      </c>
      <c r="AV39" s="1">
        <f t="shared" ref="AV39:AV102" si="12">(Y39*0.5+AN39*0.5)*100</f>
        <v>0.13480686580710607</v>
      </c>
      <c r="AW39" s="1">
        <f t="shared" ref="AW39:AW102" si="13">(Y39*0.3+AN39*0.7)*100</f>
        <v>8.0884119484263647E-2</v>
      </c>
    </row>
    <row r="40" spans="1:49" x14ac:dyDescent="0.2">
      <c r="A40">
        <v>38</v>
      </c>
      <c r="B40" t="s">
        <v>7825</v>
      </c>
      <c r="F40" t="s">
        <v>7824</v>
      </c>
      <c r="G40" t="s">
        <v>14</v>
      </c>
      <c r="H40" t="s">
        <v>13</v>
      </c>
      <c r="I40" t="s">
        <v>7823</v>
      </c>
      <c r="J40">
        <v>60015099</v>
      </c>
      <c r="K40" t="s">
        <v>7822</v>
      </c>
      <c r="L40" t="s">
        <v>7146</v>
      </c>
      <c r="M40" t="s">
        <v>9</v>
      </c>
      <c r="N40">
        <v>2</v>
      </c>
      <c r="O40" t="s">
        <v>7821</v>
      </c>
      <c r="P40" t="s">
        <v>7820</v>
      </c>
      <c r="Q40" t="s">
        <v>7819</v>
      </c>
      <c r="R40" s="7">
        <v>31898</v>
      </c>
      <c r="S40" s="8">
        <f t="shared" si="8"/>
        <v>1987</v>
      </c>
      <c r="T40" s="8">
        <v>1987</v>
      </c>
      <c r="U40" s="8">
        <f t="shared" si="9"/>
        <v>35</v>
      </c>
      <c r="V40" s="7">
        <v>31898</v>
      </c>
      <c r="W40" t="s">
        <v>826</v>
      </c>
      <c r="X40" s="2">
        <v>0.10100000000000001</v>
      </c>
      <c r="Y40" s="6">
        <f t="shared" si="2"/>
        <v>2.6961373161421215E-3</v>
      </c>
      <c r="AA40">
        <v>7452993</v>
      </c>
      <c r="AB40">
        <v>18563</v>
      </c>
      <c r="AD40" t="s">
        <v>4</v>
      </c>
      <c r="AE40">
        <v>26</v>
      </c>
      <c r="AF40">
        <v>5</v>
      </c>
      <c r="AH40" t="s">
        <v>7818</v>
      </c>
      <c r="AI40" t="s">
        <v>7817</v>
      </c>
      <c r="AK40" t="s">
        <v>7816</v>
      </c>
      <c r="AL40">
        <v>4</v>
      </c>
      <c r="AM40" s="5">
        <f t="shared" si="10"/>
        <v>0.11428571428571428</v>
      </c>
      <c r="AN40" s="4">
        <f t="shared" si="4"/>
        <v>1.7309460702115E-4</v>
      </c>
      <c r="AO40" s="3"/>
      <c r="AP40">
        <v>0</v>
      </c>
      <c r="AR40" t="s">
        <v>0</v>
      </c>
      <c r="AT40" s="2" t="s">
        <v>32</v>
      </c>
      <c r="AU40" s="1">
        <f t="shared" si="11"/>
        <v>0.19392245034058297</v>
      </c>
      <c r="AV40" s="1">
        <f t="shared" si="12"/>
        <v>0.14346159615816356</v>
      </c>
      <c r="AW40" s="1">
        <f t="shared" si="13"/>
        <v>9.3000741975744136E-2</v>
      </c>
    </row>
    <row r="41" spans="1:49" x14ac:dyDescent="0.2">
      <c r="A41">
        <v>39</v>
      </c>
      <c r="B41" t="s">
        <v>7815</v>
      </c>
      <c r="F41" t="s">
        <v>7814</v>
      </c>
      <c r="G41" t="s">
        <v>14</v>
      </c>
      <c r="H41" t="s">
        <v>13</v>
      </c>
      <c r="I41" t="s">
        <v>7813</v>
      </c>
      <c r="N41">
        <v>2</v>
      </c>
      <c r="O41" t="s">
        <v>7812</v>
      </c>
      <c r="P41" t="s">
        <v>7811</v>
      </c>
      <c r="Q41" t="s">
        <v>349</v>
      </c>
      <c r="R41" s="7">
        <v>31898</v>
      </c>
      <c r="S41" s="8">
        <f t="shared" si="8"/>
        <v>1987</v>
      </c>
      <c r="T41" s="8">
        <v>1987</v>
      </c>
      <c r="U41" s="8">
        <f t="shared" si="9"/>
        <v>35</v>
      </c>
      <c r="V41" s="7">
        <v>31898</v>
      </c>
      <c r="W41" t="s">
        <v>939</v>
      </c>
      <c r="X41" s="2" t="s">
        <v>32</v>
      </c>
      <c r="Y41" s="6" t="e">
        <f t="shared" si="2"/>
        <v>#VALUE!</v>
      </c>
      <c r="AA41">
        <v>87566648</v>
      </c>
      <c r="AB41">
        <v>74127</v>
      </c>
      <c r="AD41" t="s">
        <v>4</v>
      </c>
      <c r="AE41">
        <v>32</v>
      </c>
      <c r="AF41">
        <v>5</v>
      </c>
      <c r="AH41" t="s">
        <v>7810</v>
      </c>
      <c r="AI41" t="s">
        <v>7809</v>
      </c>
      <c r="AK41" t="s">
        <v>7808</v>
      </c>
      <c r="AL41">
        <v>0</v>
      </c>
      <c r="AM41" s="5">
        <f t="shared" si="10"/>
        <v>0</v>
      </c>
      <c r="AN41" s="4">
        <f t="shared" si="4"/>
        <v>0</v>
      </c>
      <c r="AO41" s="3"/>
      <c r="AP41">
        <v>0</v>
      </c>
      <c r="AR41" t="s">
        <v>0</v>
      </c>
      <c r="AT41" s="2" t="s">
        <v>32</v>
      </c>
      <c r="AU41" s="1" t="e">
        <f t="shared" si="11"/>
        <v>#VALUE!</v>
      </c>
      <c r="AV41" s="1" t="e">
        <f t="shared" si="12"/>
        <v>#VALUE!</v>
      </c>
      <c r="AW41" s="1" t="e">
        <f t="shared" si="13"/>
        <v>#VALUE!</v>
      </c>
    </row>
    <row r="42" spans="1:49" x14ac:dyDescent="0.2">
      <c r="A42">
        <v>40</v>
      </c>
      <c r="B42" t="s">
        <v>7807</v>
      </c>
      <c r="F42" t="s">
        <v>7806</v>
      </c>
      <c r="G42" t="s">
        <v>14</v>
      </c>
      <c r="H42" t="s">
        <v>13</v>
      </c>
      <c r="I42" t="s">
        <v>7805</v>
      </c>
      <c r="J42">
        <v>60020536</v>
      </c>
      <c r="K42" t="s">
        <v>7804</v>
      </c>
      <c r="L42" t="s">
        <v>99</v>
      </c>
      <c r="M42" t="s">
        <v>9</v>
      </c>
      <c r="N42">
        <v>1</v>
      </c>
      <c r="O42" t="s">
        <v>7803</v>
      </c>
      <c r="P42">
        <v>57199036641</v>
      </c>
      <c r="Q42">
        <v>60020536</v>
      </c>
      <c r="R42" s="7">
        <v>31898</v>
      </c>
      <c r="S42" s="8">
        <f t="shared" si="8"/>
        <v>1987</v>
      </c>
      <c r="T42" s="8">
        <v>1987</v>
      </c>
      <c r="U42" s="8">
        <f t="shared" si="9"/>
        <v>35</v>
      </c>
      <c r="V42" s="7">
        <v>31898</v>
      </c>
      <c r="W42" t="s">
        <v>629</v>
      </c>
      <c r="X42" s="2" t="s">
        <v>32</v>
      </c>
      <c r="Y42" s="6" t="e">
        <f t="shared" si="2"/>
        <v>#VALUE!</v>
      </c>
      <c r="AA42">
        <v>262897</v>
      </c>
      <c r="AB42">
        <v>18580</v>
      </c>
      <c r="AD42" t="s">
        <v>4</v>
      </c>
      <c r="AE42">
        <v>30</v>
      </c>
      <c r="AF42">
        <v>5</v>
      </c>
      <c r="AH42" t="s">
        <v>7802</v>
      </c>
      <c r="AI42" t="s">
        <v>7801</v>
      </c>
      <c r="AK42" t="s">
        <v>7800</v>
      </c>
      <c r="AL42">
        <v>0</v>
      </c>
      <c r="AM42" s="5">
        <f t="shared" si="10"/>
        <v>0</v>
      </c>
      <c r="AN42" s="4">
        <f t="shared" si="4"/>
        <v>0</v>
      </c>
      <c r="AO42" s="3"/>
      <c r="AP42">
        <v>0</v>
      </c>
      <c r="AR42" t="s">
        <v>0</v>
      </c>
      <c r="AT42" s="2">
        <v>0.30599999999999999</v>
      </c>
      <c r="AU42" s="1" t="e">
        <f t="shared" si="11"/>
        <v>#VALUE!</v>
      </c>
      <c r="AV42" s="1" t="e">
        <f t="shared" si="12"/>
        <v>#VALUE!</v>
      </c>
      <c r="AW42" s="1" t="e">
        <f t="shared" si="13"/>
        <v>#VALUE!</v>
      </c>
    </row>
    <row r="43" spans="1:49" x14ac:dyDescent="0.2">
      <c r="A43">
        <v>41</v>
      </c>
      <c r="B43" t="s">
        <v>7799</v>
      </c>
      <c r="C43" t="s">
        <v>7798</v>
      </c>
      <c r="F43" t="s">
        <v>7797</v>
      </c>
      <c r="G43" t="s">
        <v>14</v>
      </c>
      <c r="H43" t="s">
        <v>13</v>
      </c>
      <c r="I43" t="s">
        <v>7796</v>
      </c>
      <c r="N43">
        <v>3</v>
      </c>
      <c r="O43" t="s">
        <v>7795</v>
      </c>
      <c r="P43" t="s">
        <v>7794</v>
      </c>
      <c r="Q43" t="s">
        <v>171</v>
      </c>
      <c r="R43" s="7">
        <v>31898</v>
      </c>
      <c r="S43" s="8">
        <f t="shared" si="8"/>
        <v>1987</v>
      </c>
      <c r="T43" s="8">
        <v>1987</v>
      </c>
      <c r="U43" s="8">
        <f t="shared" si="9"/>
        <v>35</v>
      </c>
      <c r="V43" s="7">
        <v>31898</v>
      </c>
      <c r="W43" t="s">
        <v>7372</v>
      </c>
      <c r="X43" s="2">
        <v>0.318</v>
      </c>
      <c r="Y43" s="6">
        <f t="shared" si="2"/>
        <v>8.4888283815167786E-3</v>
      </c>
      <c r="AA43">
        <v>338443</v>
      </c>
      <c r="AB43">
        <v>27160</v>
      </c>
      <c r="AC43">
        <v>15739120</v>
      </c>
      <c r="AD43" t="s">
        <v>4</v>
      </c>
      <c r="AE43">
        <v>30</v>
      </c>
      <c r="AF43">
        <v>5</v>
      </c>
      <c r="AH43" t="s">
        <v>7793</v>
      </c>
      <c r="AL43">
        <v>0</v>
      </c>
      <c r="AM43" s="5">
        <f t="shared" si="10"/>
        <v>0</v>
      </c>
      <c r="AN43" s="4">
        <f t="shared" si="4"/>
        <v>0</v>
      </c>
      <c r="AO43" s="3"/>
      <c r="AP43">
        <v>0</v>
      </c>
      <c r="AR43" t="s">
        <v>0</v>
      </c>
      <c r="AT43" s="2">
        <v>0.77</v>
      </c>
      <c r="AU43" s="1">
        <f t="shared" si="11"/>
        <v>0.59421798670617454</v>
      </c>
      <c r="AV43" s="1">
        <f t="shared" si="12"/>
        <v>0.42444141907583893</v>
      </c>
      <c r="AW43" s="1">
        <f t="shared" si="13"/>
        <v>0.25466485144550338</v>
      </c>
    </row>
    <row r="44" spans="1:49" x14ac:dyDescent="0.2">
      <c r="A44">
        <v>42</v>
      </c>
      <c r="B44" t="s">
        <v>7792</v>
      </c>
      <c r="C44" t="s">
        <v>7791</v>
      </c>
      <c r="D44" t="s">
        <v>7790</v>
      </c>
      <c r="E44">
        <v>3555343</v>
      </c>
      <c r="F44" t="s">
        <v>7789</v>
      </c>
      <c r="G44" t="s">
        <v>14</v>
      </c>
      <c r="H44" t="s">
        <v>13</v>
      </c>
      <c r="I44" t="s">
        <v>7788</v>
      </c>
      <c r="J44" t="s">
        <v>7787</v>
      </c>
      <c r="K44" t="s">
        <v>7786</v>
      </c>
      <c r="L44" t="s">
        <v>7785</v>
      </c>
      <c r="M44" t="s">
        <v>55</v>
      </c>
      <c r="N44">
        <v>5</v>
      </c>
      <c r="O44" t="s">
        <v>7784</v>
      </c>
      <c r="P44" t="s">
        <v>7783</v>
      </c>
      <c r="Q44" t="s">
        <v>7782</v>
      </c>
      <c r="R44" s="7">
        <v>31898</v>
      </c>
      <c r="S44" s="8">
        <f t="shared" si="8"/>
        <v>1987</v>
      </c>
      <c r="T44" s="8">
        <v>1987</v>
      </c>
      <c r="U44" s="8">
        <f t="shared" si="9"/>
        <v>35</v>
      </c>
      <c r="V44" s="7">
        <v>31898</v>
      </c>
      <c r="W44" t="s">
        <v>7781</v>
      </c>
      <c r="X44" s="2">
        <v>1.097</v>
      </c>
      <c r="Y44" s="6">
        <f t="shared" si="2"/>
        <v>2.9283788473345614E-2</v>
      </c>
      <c r="AA44">
        <v>39861</v>
      </c>
      <c r="AB44">
        <v>16811</v>
      </c>
      <c r="AC44">
        <v>10960384</v>
      </c>
      <c r="AD44" t="s">
        <v>4</v>
      </c>
      <c r="AE44">
        <v>254</v>
      </c>
      <c r="AF44">
        <v>2</v>
      </c>
      <c r="AH44" t="s">
        <v>7780</v>
      </c>
      <c r="AI44" t="s">
        <v>7779</v>
      </c>
      <c r="AK44" t="s">
        <v>7778</v>
      </c>
      <c r="AL44">
        <v>17</v>
      </c>
      <c r="AM44" s="5">
        <f t="shared" si="10"/>
        <v>0.48571428571428571</v>
      </c>
      <c r="AN44" s="4">
        <f t="shared" si="4"/>
        <v>7.3565207983988746E-4</v>
      </c>
      <c r="AO44" s="3"/>
      <c r="AP44">
        <v>0</v>
      </c>
      <c r="AQ44" t="s">
        <v>746</v>
      </c>
      <c r="AR44" t="s">
        <v>7777</v>
      </c>
      <c r="AS44" t="s">
        <v>745</v>
      </c>
      <c r="AT44" s="2" t="s">
        <v>32</v>
      </c>
      <c r="AU44" s="1">
        <f t="shared" si="11"/>
        <v>2.0719347555293899</v>
      </c>
      <c r="AV44" s="1">
        <f t="shared" si="12"/>
        <v>1.5009720276592751</v>
      </c>
      <c r="AW44" s="1">
        <f t="shared" si="13"/>
        <v>0.93000929978916058</v>
      </c>
    </row>
    <row r="45" spans="1:49" x14ac:dyDescent="0.2">
      <c r="A45">
        <v>43</v>
      </c>
      <c r="B45" t="s">
        <v>7776</v>
      </c>
      <c r="C45" t="s">
        <v>7775</v>
      </c>
      <c r="F45" t="s">
        <v>7774</v>
      </c>
      <c r="G45" t="s">
        <v>14</v>
      </c>
      <c r="H45" t="s">
        <v>13</v>
      </c>
      <c r="I45" t="s">
        <v>7773</v>
      </c>
      <c r="J45">
        <v>60026803</v>
      </c>
      <c r="K45" t="s">
        <v>7772</v>
      </c>
      <c r="L45" t="s">
        <v>7771</v>
      </c>
      <c r="M45" t="s">
        <v>299</v>
      </c>
      <c r="N45">
        <v>1</v>
      </c>
      <c r="O45" t="s">
        <v>7770</v>
      </c>
      <c r="P45">
        <v>16428076000</v>
      </c>
      <c r="Q45">
        <v>60026803</v>
      </c>
      <c r="R45" s="7">
        <v>31898</v>
      </c>
      <c r="S45" s="8">
        <f t="shared" si="8"/>
        <v>1987</v>
      </c>
      <c r="T45" s="8">
        <v>1987</v>
      </c>
      <c r="U45" s="8">
        <f t="shared" si="9"/>
        <v>35</v>
      </c>
      <c r="V45" s="7">
        <v>31898</v>
      </c>
      <c r="W45" t="s">
        <v>7522</v>
      </c>
      <c r="X45" s="2">
        <v>0.84299999999999997</v>
      </c>
      <c r="Y45" s="6">
        <f t="shared" si="2"/>
        <v>2.250340353968127E-2</v>
      </c>
      <c r="AA45">
        <v>188158</v>
      </c>
      <c r="AB45">
        <v>15168</v>
      </c>
      <c r="AC45">
        <v>15735117</v>
      </c>
      <c r="AD45" t="s">
        <v>4</v>
      </c>
      <c r="AE45">
        <v>148</v>
      </c>
      <c r="AF45">
        <v>1</v>
      </c>
      <c r="AH45" t="s">
        <v>7769</v>
      </c>
      <c r="AI45" t="s">
        <v>7768</v>
      </c>
      <c r="AJ45" t="s">
        <v>7767</v>
      </c>
      <c r="AK45" t="s">
        <v>7766</v>
      </c>
      <c r="AL45">
        <v>15</v>
      </c>
      <c r="AM45" s="5">
        <f t="shared" si="10"/>
        <v>0.42857142857142855</v>
      </c>
      <c r="AN45" s="4">
        <f t="shared" si="4"/>
        <v>6.4910477632931242E-4</v>
      </c>
      <c r="AO45" s="3"/>
      <c r="AP45">
        <v>0</v>
      </c>
      <c r="AR45" t="s">
        <v>0</v>
      </c>
      <c r="AT45" s="2">
        <v>2.694</v>
      </c>
      <c r="AU45" s="1">
        <f t="shared" si="11"/>
        <v>1.5947113910675683</v>
      </c>
      <c r="AV45" s="1">
        <f t="shared" si="12"/>
        <v>1.157625415800529</v>
      </c>
      <c r="AW45" s="1">
        <f t="shared" si="13"/>
        <v>0.72053944053348995</v>
      </c>
    </row>
    <row r="46" spans="1:49" x14ac:dyDescent="0.2">
      <c r="A46">
        <v>44</v>
      </c>
      <c r="B46" t="s">
        <v>7765</v>
      </c>
      <c r="C46" t="s">
        <v>7764</v>
      </c>
      <c r="F46" t="s">
        <v>7763</v>
      </c>
      <c r="G46" t="s">
        <v>14</v>
      </c>
      <c r="H46" t="s">
        <v>13</v>
      </c>
      <c r="I46" t="s">
        <v>7762</v>
      </c>
      <c r="J46">
        <v>60018783</v>
      </c>
      <c r="K46" t="s">
        <v>7761</v>
      </c>
      <c r="L46" t="s">
        <v>7760</v>
      </c>
      <c r="M46" t="s">
        <v>3694</v>
      </c>
      <c r="N46">
        <v>2</v>
      </c>
      <c r="O46" t="s">
        <v>7759</v>
      </c>
      <c r="P46" t="s">
        <v>7758</v>
      </c>
      <c r="Q46" t="s">
        <v>7757</v>
      </c>
      <c r="R46" s="7">
        <v>31898</v>
      </c>
      <c r="S46" s="8">
        <f t="shared" si="8"/>
        <v>1987</v>
      </c>
      <c r="T46" s="8">
        <v>1987</v>
      </c>
      <c r="U46" s="8">
        <f t="shared" si="9"/>
        <v>35</v>
      </c>
      <c r="V46" s="7">
        <v>31898</v>
      </c>
      <c r="W46" t="s">
        <v>7522</v>
      </c>
      <c r="X46" s="2">
        <v>0.84299999999999997</v>
      </c>
      <c r="Y46" s="6">
        <f t="shared" si="2"/>
        <v>2.250340353968127E-2</v>
      </c>
      <c r="AA46">
        <v>188158</v>
      </c>
      <c r="AB46">
        <v>15168</v>
      </c>
      <c r="AC46">
        <v>15735117</v>
      </c>
      <c r="AD46" t="s">
        <v>4</v>
      </c>
      <c r="AE46">
        <v>148</v>
      </c>
      <c r="AF46">
        <v>2</v>
      </c>
      <c r="AH46" t="s">
        <v>7756</v>
      </c>
      <c r="AI46" t="s">
        <v>7755</v>
      </c>
      <c r="AJ46" t="s">
        <v>7754</v>
      </c>
      <c r="AK46" t="s">
        <v>7753</v>
      </c>
      <c r="AL46">
        <v>15</v>
      </c>
      <c r="AM46" s="5">
        <f t="shared" si="10"/>
        <v>0.42857142857142855</v>
      </c>
      <c r="AN46" s="4">
        <f t="shared" si="4"/>
        <v>6.4910477632931242E-4</v>
      </c>
      <c r="AO46" s="3"/>
      <c r="AP46">
        <v>0</v>
      </c>
      <c r="AR46" t="s">
        <v>0</v>
      </c>
      <c r="AT46" s="2">
        <v>2.694</v>
      </c>
      <c r="AU46" s="1">
        <f t="shared" si="11"/>
        <v>1.5947113910675683</v>
      </c>
      <c r="AV46" s="1">
        <f t="shared" si="12"/>
        <v>1.157625415800529</v>
      </c>
      <c r="AW46" s="1">
        <f t="shared" si="13"/>
        <v>0.72053944053348995</v>
      </c>
    </row>
    <row r="47" spans="1:49" x14ac:dyDescent="0.2">
      <c r="A47">
        <v>45</v>
      </c>
      <c r="B47" t="s">
        <v>7752</v>
      </c>
      <c r="C47" t="s">
        <v>7751</v>
      </c>
      <c r="F47" t="s">
        <v>7750</v>
      </c>
      <c r="G47" t="s">
        <v>14</v>
      </c>
      <c r="H47" t="s">
        <v>13</v>
      </c>
      <c r="I47" t="s">
        <v>7749</v>
      </c>
      <c r="J47">
        <v>60021200</v>
      </c>
      <c r="K47" t="s">
        <v>7748</v>
      </c>
      <c r="L47" t="s">
        <v>7747</v>
      </c>
      <c r="M47" t="s">
        <v>1384</v>
      </c>
      <c r="N47">
        <v>2</v>
      </c>
      <c r="O47" t="s">
        <v>7746</v>
      </c>
      <c r="P47" t="s">
        <v>7745</v>
      </c>
      <c r="Q47" t="s">
        <v>7744</v>
      </c>
      <c r="R47" s="7">
        <v>31868</v>
      </c>
      <c r="S47" s="8">
        <f t="shared" si="8"/>
        <v>1987</v>
      </c>
      <c r="T47" s="8">
        <v>1987</v>
      </c>
      <c r="U47" s="8">
        <f t="shared" si="9"/>
        <v>35</v>
      </c>
      <c r="V47" s="7">
        <v>31868</v>
      </c>
      <c r="W47" t="s">
        <v>6358</v>
      </c>
      <c r="X47" s="2">
        <v>0.11700000000000001</v>
      </c>
      <c r="Y47" s="6">
        <f t="shared" si="2"/>
        <v>3.1232481781052297E-3</v>
      </c>
      <c r="AA47">
        <v>2179822</v>
      </c>
      <c r="AB47">
        <v>5300152612</v>
      </c>
      <c r="AC47">
        <v>19930615</v>
      </c>
      <c r="AD47" t="s">
        <v>4</v>
      </c>
      <c r="AE47">
        <v>4</v>
      </c>
      <c r="AF47">
        <v>2</v>
      </c>
      <c r="AH47" t="s">
        <v>7743</v>
      </c>
      <c r="AI47" t="s">
        <v>7742</v>
      </c>
      <c r="AK47" t="s">
        <v>7741</v>
      </c>
      <c r="AL47">
        <v>0</v>
      </c>
      <c r="AM47" s="5">
        <f t="shared" si="10"/>
        <v>0</v>
      </c>
      <c r="AN47" s="4">
        <f t="shared" si="4"/>
        <v>0</v>
      </c>
      <c r="AO47" s="3"/>
      <c r="AP47">
        <v>0</v>
      </c>
      <c r="AR47" t="s">
        <v>0</v>
      </c>
      <c r="AT47" s="2" t="s">
        <v>32</v>
      </c>
      <c r="AU47" s="1">
        <f t="shared" si="11"/>
        <v>0.21862737246736608</v>
      </c>
      <c r="AV47" s="1">
        <f t="shared" si="12"/>
        <v>0.15616240890526148</v>
      </c>
      <c r="AW47" s="1">
        <f t="shared" si="13"/>
        <v>9.3697445343156896E-2</v>
      </c>
    </row>
    <row r="48" spans="1:49" x14ac:dyDescent="0.2">
      <c r="A48">
        <v>46</v>
      </c>
      <c r="B48" t="s">
        <v>7740</v>
      </c>
      <c r="C48" t="s">
        <v>7739</v>
      </c>
      <c r="F48" t="s">
        <v>7738</v>
      </c>
      <c r="G48" t="s">
        <v>14</v>
      </c>
      <c r="H48" t="s">
        <v>13</v>
      </c>
      <c r="I48" t="s">
        <v>7737</v>
      </c>
      <c r="J48">
        <v>60019499</v>
      </c>
      <c r="K48" t="s">
        <v>5954</v>
      </c>
      <c r="L48" t="s">
        <v>5953</v>
      </c>
      <c r="M48" t="s">
        <v>1384</v>
      </c>
      <c r="N48">
        <v>1</v>
      </c>
      <c r="O48" t="s">
        <v>7736</v>
      </c>
      <c r="P48">
        <v>6507874782</v>
      </c>
      <c r="Q48">
        <v>60019499</v>
      </c>
      <c r="R48" s="7">
        <v>31868</v>
      </c>
      <c r="S48" s="8">
        <f t="shared" si="8"/>
        <v>1987</v>
      </c>
      <c r="T48" s="8">
        <v>1987</v>
      </c>
      <c r="U48" s="8">
        <f t="shared" si="9"/>
        <v>35</v>
      </c>
      <c r="V48" s="7">
        <v>31868</v>
      </c>
      <c r="W48" t="s">
        <v>6358</v>
      </c>
      <c r="X48" s="2">
        <v>0.11700000000000001</v>
      </c>
      <c r="Y48" s="6">
        <f t="shared" si="2"/>
        <v>3.1232481781052297E-3</v>
      </c>
      <c r="AA48">
        <v>2179822</v>
      </c>
      <c r="AB48">
        <v>5300152612</v>
      </c>
      <c r="AC48">
        <v>19930615</v>
      </c>
      <c r="AD48" t="s">
        <v>4</v>
      </c>
      <c r="AE48">
        <v>4</v>
      </c>
      <c r="AF48">
        <v>2</v>
      </c>
      <c r="AH48" t="s">
        <v>7735</v>
      </c>
      <c r="AI48" t="s">
        <v>7734</v>
      </c>
      <c r="AK48" t="s">
        <v>7733</v>
      </c>
      <c r="AL48">
        <v>0</v>
      </c>
      <c r="AM48" s="5">
        <f t="shared" si="10"/>
        <v>0</v>
      </c>
      <c r="AN48" s="4">
        <f t="shared" si="4"/>
        <v>0</v>
      </c>
      <c r="AO48" s="3"/>
      <c r="AP48">
        <v>0</v>
      </c>
      <c r="AR48" t="s">
        <v>0</v>
      </c>
      <c r="AT48" s="2" t="s">
        <v>32</v>
      </c>
      <c r="AU48" s="1">
        <f t="shared" si="11"/>
        <v>0.21862737246736608</v>
      </c>
      <c r="AV48" s="1">
        <f t="shared" si="12"/>
        <v>0.15616240890526148</v>
      </c>
      <c r="AW48" s="1">
        <f t="shared" si="13"/>
        <v>9.3697445343156896E-2</v>
      </c>
    </row>
    <row r="49" spans="1:49" x14ac:dyDescent="0.2">
      <c r="A49">
        <v>47</v>
      </c>
      <c r="B49" t="s">
        <v>7732</v>
      </c>
      <c r="C49" t="s">
        <v>7731</v>
      </c>
      <c r="F49" t="s">
        <v>7730</v>
      </c>
      <c r="G49" t="s">
        <v>14</v>
      </c>
      <c r="H49" t="s">
        <v>13</v>
      </c>
      <c r="I49" t="s">
        <v>7729</v>
      </c>
      <c r="N49">
        <v>1</v>
      </c>
      <c r="O49" t="s">
        <v>7728</v>
      </c>
      <c r="P49">
        <v>6506613157</v>
      </c>
      <c r="R49" s="7">
        <v>31868</v>
      </c>
      <c r="S49" s="8">
        <f t="shared" si="8"/>
        <v>1987</v>
      </c>
      <c r="T49" s="8">
        <v>1987</v>
      </c>
      <c r="U49" s="8">
        <f t="shared" si="9"/>
        <v>35</v>
      </c>
      <c r="V49" s="7">
        <v>31868</v>
      </c>
      <c r="W49" t="s">
        <v>7372</v>
      </c>
      <c r="X49" s="2">
        <v>0.318</v>
      </c>
      <c r="Y49" s="6">
        <f t="shared" si="2"/>
        <v>8.4888283815167786E-3</v>
      </c>
      <c r="AA49">
        <v>338443</v>
      </c>
      <c r="AB49">
        <v>27160</v>
      </c>
      <c r="AC49">
        <v>15739120</v>
      </c>
      <c r="AD49" t="s">
        <v>4</v>
      </c>
      <c r="AE49">
        <v>30</v>
      </c>
      <c r="AF49">
        <v>4</v>
      </c>
      <c r="AH49" t="s">
        <v>7727</v>
      </c>
      <c r="AL49">
        <v>0</v>
      </c>
      <c r="AM49" s="5">
        <f t="shared" si="10"/>
        <v>0</v>
      </c>
      <c r="AN49" s="4">
        <f t="shared" si="4"/>
        <v>0</v>
      </c>
      <c r="AO49" s="3"/>
      <c r="AP49">
        <v>0</v>
      </c>
      <c r="AR49" t="s">
        <v>0</v>
      </c>
      <c r="AT49" s="2">
        <v>0.77</v>
      </c>
      <c r="AU49" s="1">
        <f t="shared" si="11"/>
        <v>0.59421798670617454</v>
      </c>
      <c r="AV49" s="1">
        <f t="shared" si="12"/>
        <v>0.42444141907583893</v>
      </c>
      <c r="AW49" s="1">
        <f t="shared" si="13"/>
        <v>0.25466485144550338</v>
      </c>
    </row>
    <row r="50" spans="1:49" x14ac:dyDescent="0.2">
      <c r="A50">
        <v>48</v>
      </c>
      <c r="B50" t="s">
        <v>7726</v>
      </c>
      <c r="F50" t="s">
        <v>7725</v>
      </c>
      <c r="G50" t="s">
        <v>14</v>
      </c>
      <c r="H50" t="s">
        <v>13</v>
      </c>
      <c r="I50" t="s">
        <v>7724</v>
      </c>
      <c r="J50">
        <v>60033252</v>
      </c>
      <c r="K50" t="s">
        <v>7723</v>
      </c>
      <c r="L50" t="s">
        <v>7722</v>
      </c>
      <c r="M50" t="s">
        <v>9</v>
      </c>
      <c r="N50">
        <v>3</v>
      </c>
      <c r="O50" t="s">
        <v>7721</v>
      </c>
      <c r="P50" t="s">
        <v>7720</v>
      </c>
      <c r="Q50" t="s">
        <v>7719</v>
      </c>
      <c r="R50" s="7">
        <v>31868</v>
      </c>
      <c r="S50" s="8">
        <f t="shared" si="8"/>
        <v>1987</v>
      </c>
      <c r="T50" s="8">
        <v>1987</v>
      </c>
      <c r="U50" s="8">
        <f t="shared" si="9"/>
        <v>35</v>
      </c>
      <c r="V50" s="7">
        <v>31868</v>
      </c>
      <c r="W50" t="s">
        <v>629</v>
      </c>
      <c r="X50" s="2" t="s">
        <v>32</v>
      </c>
      <c r="Y50" s="6" t="e">
        <f t="shared" si="2"/>
        <v>#VALUE!</v>
      </c>
      <c r="AA50">
        <v>262897</v>
      </c>
      <c r="AB50">
        <v>18580</v>
      </c>
      <c r="AD50" t="s">
        <v>4</v>
      </c>
      <c r="AE50">
        <v>30</v>
      </c>
      <c r="AF50">
        <v>4</v>
      </c>
      <c r="AI50" t="s">
        <v>7718</v>
      </c>
      <c r="AK50" t="s">
        <v>7717</v>
      </c>
      <c r="AL50">
        <v>3</v>
      </c>
      <c r="AM50" s="5">
        <f t="shared" si="10"/>
        <v>8.5714285714285715E-2</v>
      </c>
      <c r="AN50" s="4">
        <f t="shared" si="4"/>
        <v>1.2982095526586251E-4</v>
      </c>
      <c r="AO50" s="3"/>
      <c r="AP50">
        <v>0</v>
      </c>
      <c r="AR50" t="s">
        <v>0</v>
      </c>
      <c r="AT50" s="2">
        <v>0.30599999999999999</v>
      </c>
      <c r="AU50" s="1" t="e">
        <f t="shared" si="11"/>
        <v>#VALUE!</v>
      </c>
      <c r="AV50" s="1" t="e">
        <f t="shared" si="12"/>
        <v>#VALUE!</v>
      </c>
      <c r="AW50" s="1" t="e">
        <f t="shared" si="13"/>
        <v>#VALUE!</v>
      </c>
    </row>
    <row r="51" spans="1:49" x14ac:dyDescent="0.2">
      <c r="A51">
        <v>49</v>
      </c>
      <c r="B51" t="s">
        <v>7716</v>
      </c>
      <c r="F51" t="s">
        <v>7715</v>
      </c>
      <c r="G51" t="s">
        <v>14</v>
      </c>
      <c r="H51" t="s">
        <v>13</v>
      </c>
      <c r="I51" t="s">
        <v>7714</v>
      </c>
      <c r="J51">
        <v>60101699</v>
      </c>
      <c r="K51" t="s">
        <v>5231</v>
      </c>
      <c r="L51" t="s">
        <v>549</v>
      </c>
      <c r="M51" t="s">
        <v>524</v>
      </c>
      <c r="N51">
        <v>4</v>
      </c>
      <c r="O51" t="s">
        <v>7713</v>
      </c>
      <c r="P51" t="s">
        <v>7712</v>
      </c>
      <c r="Q51" t="s">
        <v>5228</v>
      </c>
      <c r="R51" s="7">
        <v>31868</v>
      </c>
      <c r="S51" s="8">
        <f t="shared" si="8"/>
        <v>1987</v>
      </c>
      <c r="T51" s="8">
        <v>1987</v>
      </c>
      <c r="U51" s="8">
        <f t="shared" si="9"/>
        <v>35</v>
      </c>
      <c r="V51" s="7">
        <v>31868</v>
      </c>
      <c r="W51" t="s">
        <v>7111</v>
      </c>
      <c r="X51" s="2" t="s">
        <v>32</v>
      </c>
      <c r="Y51" s="6" t="e">
        <f t="shared" si="2"/>
        <v>#VALUE!</v>
      </c>
      <c r="AB51">
        <v>55073</v>
      </c>
      <c r="AD51" t="s">
        <v>4</v>
      </c>
      <c r="AE51" t="s">
        <v>7110</v>
      </c>
      <c r="AF51">
        <v>4</v>
      </c>
      <c r="AH51" t="s">
        <v>7711</v>
      </c>
      <c r="AI51" t="s">
        <v>7710</v>
      </c>
      <c r="AK51" t="s">
        <v>7709</v>
      </c>
      <c r="AL51">
        <v>0</v>
      </c>
      <c r="AM51" s="5">
        <f t="shared" si="10"/>
        <v>0</v>
      </c>
      <c r="AN51" s="4">
        <f t="shared" si="4"/>
        <v>0</v>
      </c>
      <c r="AO51" s="3"/>
      <c r="AP51">
        <v>0</v>
      </c>
      <c r="AR51" t="s">
        <v>0</v>
      </c>
      <c r="AT51" s="2" t="s">
        <v>32</v>
      </c>
      <c r="AU51" s="1" t="e">
        <f t="shared" si="11"/>
        <v>#VALUE!</v>
      </c>
      <c r="AV51" s="1" t="e">
        <f t="shared" si="12"/>
        <v>#VALUE!</v>
      </c>
      <c r="AW51" s="1" t="e">
        <f t="shared" si="13"/>
        <v>#VALUE!</v>
      </c>
    </row>
    <row r="52" spans="1:49" x14ac:dyDescent="0.2">
      <c r="A52">
        <v>50</v>
      </c>
      <c r="B52" t="s">
        <v>7708</v>
      </c>
      <c r="F52" t="s">
        <v>7707</v>
      </c>
      <c r="G52" t="s">
        <v>14</v>
      </c>
      <c r="H52" t="s">
        <v>13</v>
      </c>
      <c r="I52" t="s">
        <v>7706</v>
      </c>
      <c r="J52">
        <v>60022476</v>
      </c>
      <c r="K52" t="s">
        <v>7705</v>
      </c>
      <c r="L52" t="s">
        <v>7704</v>
      </c>
      <c r="M52" t="s">
        <v>9</v>
      </c>
      <c r="N52">
        <v>2</v>
      </c>
      <c r="O52" t="s">
        <v>7703</v>
      </c>
      <c r="P52" t="s">
        <v>7702</v>
      </c>
      <c r="Q52" t="s">
        <v>7701</v>
      </c>
      <c r="R52" s="7">
        <v>31868</v>
      </c>
      <c r="S52" s="8">
        <f t="shared" si="8"/>
        <v>1987</v>
      </c>
      <c r="T52" s="8">
        <v>1987</v>
      </c>
      <c r="U52" s="8">
        <f t="shared" si="9"/>
        <v>35</v>
      </c>
      <c r="V52" s="7">
        <v>31868</v>
      </c>
      <c r="W52" t="s">
        <v>629</v>
      </c>
      <c r="X52" s="2" t="s">
        <v>32</v>
      </c>
      <c r="Y52" s="6" t="e">
        <f t="shared" si="2"/>
        <v>#VALUE!</v>
      </c>
      <c r="AA52">
        <v>262897</v>
      </c>
      <c r="AB52">
        <v>18580</v>
      </c>
      <c r="AD52" t="s">
        <v>4</v>
      </c>
      <c r="AE52">
        <v>30</v>
      </c>
      <c r="AF52">
        <v>4</v>
      </c>
      <c r="AI52" t="s">
        <v>7700</v>
      </c>
      <c r="AK52" t="s">
        <v>7699</v>
      </c>
      <c r="AL52">
        <v>10</v>
      </c>
      <c r="AM52" s="5">
        <f t="shared" si="10"/>
        <v>0.2857142857142857</v>
      </c>
      <c r="AN52" s="4">
        <f t="shared" si="4"/>
        <v>4.3273651755287499E-4</v>
      </c>
      <c r="AO52" s="3"/>
      <c r="AP52">
        <v>0</v>
      </c>
      <c r="AR52" t="s">
        <v>0</v>
      </c>
      <c r="AT52" s="2">
        <v>0.30599999999999999</v>
      </c>
      <c r="AU52" s="1" t="e">
        <f t="shared" si="11"/>
        <v>#VALUE!</v>
      </c>
      <c r="AV52" s="1" t="e">
        <f t="shared" si="12"/>
        <v>#VALUE!</v>
      </c>
      <c r="AW52" s="1" t="e">
        <f t="shared" si="13"/>
        <v>#VALUE!</v>
      </c>
    </row>
    <row r="53" spans="1:49" x14ac:dyDescent="0.2">
      <c r="A53">
        <v>51</v>
      </c>
      <c r="B53" t="s">
        <v>7698</v>
      </c>
      <c r="F53" t="s">
        <v>7697</v>
      </c>
      <c r="G53" t="s">
        <v>14</v>
      </c>
      <c r="H53" t="s">
        <v>13</v>
      </c>
      <c r="I53" t="s">
        <v>7696</v>
      </c>
      <c r="J53">
        <v>60031126</v>
      </c>
      <c r="K53" t="s">
        <v>2357</v>
      </c>
      <c r="L53" t="s">
        <v>549</v>
      </c>
      <c r="M53" t="s">
        <v>524</v>
      </c>
      <c r="N53">
        <v>3</v>
      </c>
      <c r="O53" t="s">
        <v>7695</v>
      </c>
      <c r="P53" t="s">
        <v>7694</v>
      </c>
      <c r="Q53" t="s">
        <v>7693</v>
      </c>
      <c r="R53" s="7">
        <v>31868</v>
      </c>
      <c r="S53" s="8">
        <f t="shared" si="8"/>
        <v>1987</v>
      </c>
      <c r="T53" s="8">
        <v>1987</v>
      </c>
      <c r="U53" s="8">
        <f t="shared" si="9"/>
        <v>35</v>
      </c>
      <c r="V53" s="7">
        <v>31868</v>
      </c>
      <c r="W53" t="s">
        <v>7111</v>
      </c>
      <c r="X53" s="2" t="s">
        <v>32</v>
      </c>
      <c r="Y53" s="6" t="e">
        <f t="shared" si="2"/>
        <v>#VALUE!</v>
      </c>
      <c r="AB53">
        <v>55073</v>
      </c>
      <c r="AD53" t="s">
        <v>4</v>
      </c>
      <c r="AE53" t="s">
        <v>7110</v>
      </c>
      <c r="AF53">
        <v>4</v>
      </c>
      <c r="AH53" t="s">
        <v>7692</v>
      </c>
      <c r="AI53" t="s">
        <v>7691</v>
      </c>
      <c r="AK53" t="s">
        <v>7690</v>
      </c>
      <c r="AL53">
        <v>0</v>
      </c>
      <c r="AM53" s="5">
        <f t="shared" si="10"/>
        <v>0</v>
      </c>
      <c r="AN53" s="4">
        <f t="shared" si="4"/>
        <v>0</v>
      </c>
      <c r="AO53" s="3"/>
      <c r="AP53">
        <v>0</v>
      </c>
      <c r="AR53" t="s">
        <v>0</v>
      </c>
      <c r="AT53" s="2" t="s">
        <v>32</v>
      </c>
      <c r="AU53" s="1" t="e">
        <f t="shared" si="11"/>
        <v>#VALUE!</v>
      </c>
      <c r="AV53" s="1" t="e">
        <f t="shared" si="12"/>
        <v>#VALUE!</v>
      </c>
      <c r="AW53" s="1" t="e">
        <f t="shared" si="13"/>
        <v>#VALUE!</v>
      </c>
    </row>
    <row r="54" spans="1:49" x14ac:dyDescent="0.2">
      <c r="A54">
        <v>52</v>
      </c>
      <c r="B54" t="s">
        <v>7689</v>
      </c>
      <c r="F54" t="s">
        <v>7688</v>
      </c>
      <c r="G54" t="s">
        <v>14</v>
      </c>
      <c r="H54" t="s">
        <v>13</v>
      </c>
      <c r="I54" t="s">
        <v>7687</v>
      </c>
      <c r="J54">
        <v>100926873</v>
      </c>
      <c r="K54" t="s">
        <v>7686</v>
      </c>
      <c r="L54" t="s">
        <v>1499</v>
      </c>
      <c r="M54" t="s">
        <v>685</v>
      </c>
      <c r="N54">
        <v>1</v>
      </c>
      <c r="O54" t="s">
        <v>7685</v>
      </c>
      <c r="P54">
        <v>57198718464</v>
      </c>
      <c r="Q54">
        <v>100926873</v>
      </c>
      <c r="R54" s="7">
        <v>31868</v>
      </c>
      <c r="S54" s="8">
        <f t="shared" si="8"/>
        <v>1987</v>
      </c>
      <c r="T54" s="8">
        <v>1987</v>
      </c>
      <c r="U54" s="8">
        <f t="shared" si="9"/>
        <v>35</v>
      </c>
      <c r="V54" s="7">
        <v>31868</v>
      </c>
      <c r="W54" t="s">
        <v>826</v>
      </c>
      <c r="X54" s="2">
        <v>0.10100000000000001</v>
      </c>
      <c r="Y54" s="6">
        <f t="shared" si="2"/>
        <v>2.6961373161421215E-3</v>
      </c>
      <c r="AA54">
        <v>7452993</v>
      </c>
      <c r="AB54">
        <v>18563</v>
      </c>
      <c r="AD54" t="s">
        <v>4</v>
      </c>
      <c r="AE54">
        <v>26</v>
      </c>
      <c r="AF54">
        <v>4</v>
      </c>
      <c r="AH54" t="s">
        <v>7684</v>
      </c>
      <c r="AI54" t="s">
        <v>7683</v>
      </c>
      <c r="AK54" t="s">
        <v>7682</v>
      </c>
      <c r="AL54">
        <v>0</v>
      </c>
      <c r="AM54" s="5">
        <f t="shared" si="10"/>
        <v>0</v>
      </c>
      <c r="AN54" s="4">
        <f t="shared" si="4"/>
        <v>0</v>
      </c>
      <c r="AO54" s="3"/>
      <c r="AP54">
        <v>0</v>
      </c>
      <c r="AR54" t="s">
        <v>0</v>
      </c>
      <c r="AT54" s="2" t="s">
        <v>32</v>
      </c>
      <c r="AU54" s="1">
        <f t="shared" si="11"/>
        <v>0.18872961212994849</v>
      </c>
      <c r="AV54" s="1">
        <f t="shared" si="12"/>
        <v>0.13480686580710607</v>
      </c>
      <c r="AW54" s="1">
        <f t="shared" si="13"/>
        <v>8.0884119484263647E-2</v>
      </c>
    </row>
    <row r="55" spans="1:49" x14ac:dyDescent="0.2">
      <c r="A55">
        <v>53</v>
      </c>
      <c r="B55" t="s">
        <v>7681</v>
      </c>
      <c r="F55" t="s">
        <v>7680</v>
      </c>
      <c r="G55" t="s">
        <v>14</v>
      </c>
      <c r="H55" t="s">
        <v>13</v>
      </c>
      <c r="I55" t="s">
        <v>7679</v>
      </c>
      <c r="J55">
        <v>60005248</v>
      </c>
      <c r="K55" t="s">
        <v>7600</v>
      </c>
      <c r="L55" t="s">
        <v>7599</v>
      </c>
      <c r="M55" t="s">
        <v>9</v>
      </c>
      <c r="N55">
        <v>3</v>
      </c>
      <c r="O55" t="s">
        <v>7678</v>
      </c>
      <c r="P55" t="s">
        <v>7677</v>
      </c>
      <c r="Q55" t="s">
        <v>7596</v>
      </c>
      <c r="R55" s="7">
        <v>31868</v>
      </c>
      <c r="S55" s="8">
        <f t="shared" si="8"/>
        <v>1987</v>
      </c>
      <c r="T55" s="8">
        <v>1987</v>
      </c>
      <c r="U55" s="8">
        <f t="shared" si="9"/>
        <v>35</v>
      </c>
      <c r="V55" s="7">
        <v>31868</v>
      </c>
      <c r="W55" t="s">
        <v>7676</v>
      </c>
      <c r="X55" s="2">
        <v>0.22</v>
      </c>
      <c r="Y55" s="6">
        <f t="shared" si="2"/>
        <v>5.8727743519927395E-3</v>
      </c>
      <c r="AA55">
        <v>2705214</v>
      </c>
      <c r="AB55">
        <v>28119</v>
      </c>
      <c r="AD55" t="s">
        <v>4</v>
      </c>
      <c r="AE55">
        <v>8</v>
      </c>
      <c r="AF55">
        <v>2</v>
      </c>
      <c r="AH55" t="s">
        <v>7675</v>
      </c>
      <c r="AI55" t="s">
        <v>7674</v>
      </c>
      <c r="AK55" t="s">
        <v>7673</v>
      </c>
      <c r="AL55">
        <v>37</v>
      </c>
      <c r="AM55" s="5">
        <f t="shared" si="10"/>
        <v>1.0571428571428572</v>
      </c>
      <c r="AN55" s="4">
        <f t="shared" si="4"/>
        <v>1.6011251149456375E-3</v>
      </c>
      <c r="AO55" s="3"/>
      <c r="AP55">
        <v>0</v>
      </c>
      <c r="AR55" t="s">
        <v>0</v>
      </c>
      <c r="AT55" s="2" t="s">
        <v>32</v>
      </c>
      <c r="AU55" s="1">
        <f t="shared" si="11"/>
        <v>0.45912795808786094</v>
      </c>
      <c r="AV55" s="1">
        <f t="shared" si="12"/>
        <v>0.37369497334691887</v>
      </c>
      <c r="AW55" s="1">
        <f t="shared" si="13"/>
        <v>0.28826198860597679</v>
      </c>
    </row>
    <row r="56" spans="1:49" x14ac:dyDescent="0.2">
      <c r="A56">
        <v>54</v>
      </c>
      <c r="B56" t="s">
        <v>7672</v>
      </c>
      <c r="F56" t="s">
        <v>7671</v>
      </c>
      <c r="G56" t="s">
        <v>14</v>
      </c>
      <c r="H56" t="s">
        <v>13</v>
      </c>
      <c r="I56" t="s">
        <v>7670</v>
      </c>
      <c r="N56">
        <v>1</v>
      </c>
      <c r="O56" t="s">
        <v>7669</v>
      </c>
      <c r="P56">
        <v>6602860970</v>
      </c>
      <c r="R56" s="7">
        <v>31868</v>
      </c>
      <c r="S56" s="8">
        <f t="shared" si="8"/>
        <v>1987</v>
      </c>
      <c r="T56" s="8">
        <v>1987</v>
      </c>
      <c r="U56" s="8">
        <f t="shared" si="9"/>
        <v>35</v>
      </c>
      <c r="V56" s="7">
        <v>31868</v>
      </c>
      <c r="W56" t="s">
        <v>7668</v>
      </c>
      <c r="X56" s="2" t="s">
        <v>32</v>
      </c>
      <c r="Y56" s="6" t="e">
        <f t="shared" si="2"/>
        <v>#VALUE!</v>
      </c>
      <c r="AA56">
        <v>3053601</v>
      </c>
      <c r="AB56">
        <v>34646</v>
      </c>
      <c r="AD56" t="s">
        <v>4</v>
      </c>
      <c r="AF56">
        <v>28</v>
      </c>
      <c r="AH56" t="s">
        <v>7667</v>
      </c>
      <c r="AI56" t="s">
        <v>7666</v>
      </c>
      <c r="AK56" t="s">
        <v>7665</v>
      </c>
      <c r="AL56">
        <v>0</v>
      </c>
      <c r="AM56" s="5">
        <f t="shared" si="10"/>
        <v>0</v>
      </c>
      <c r="AN56" s="4">
        <f t="shared" si="4"/>
        <v>0</v>
      </c>
      <c r="AO56" s="3"/>
      <c r="AP56">
        <v>0</v>
      </c>
      <c r="AR56" t="s">
        <v>0</v>
      </c>
      <c r="AT56" s="2" t="s">
        <v>32</v>
      </c>
      <c r="AU56" s="1" t="e">
        <f t="shared" si="11"/>
        <v>#VALUE!</v>
      </c>
      <c r="AV56" s="1" t="e">
        <f t="shared" si="12"/>
        <v>#VALUE!</v>
      </c>
      <c r="AW56" s="1" t="e">
        <f t="shared" si="13"/>
        <v>#VALUE!</v>
      </c>
    </row>
    <row r="57" spans="1:49" x14ac:dyDescent="0.2">
      <c r="A57">
        <v>55</v>
      </c>
      <c r="B57" t="s">
        <v>7664</v>
      </c>
      <c r="F57" t="s">
        <v>7663</v>
      </c>
      <c r="G57" t="s">
        <v>14</v>
      </c>
      <c r="H57" t="s">
        <v>13</v>
      </c>
      <c r="I57" t="s">
        <v>7662</v>
      </c>
      <c r="J57">
        <v>60011001</v>
      </c>
      <c r="K57" t="s">
        <v>5371</v>
      </c>
      <c r="L57" t="s">
        <v>5370</v>
      </c>
      <c r="M57" t="s">
        <v>524</v>
      </c>
      <c r="N57">
        <v>2</v>
      </c>
      <c r="O57" t="s">
        <v>7661</v>
      </c>
      <c r="P57" t="s">
        <v>7660</v>
      </c>
      <c r="Q57" t="s">
        <v>5367</v>
      </c>
      <c r="R57" s="7">
        <v>31868</v>
      </c>
      <c r="S57" s="8">
        <f t="shared" si="8"/>
        <v>1987</v>
      </c>
      <c r="T57" s="8">
        <v>1987</v>
      </c>
      <c r="U57" s="8">
        <f t="shared" si="9"/>
        <v>35</v>
      </c>
      <c r="V57" s="7">
        <v>31868</v>
      </c>
      <c r="W57" t="s">
        <v>7111</v>
      </c>
      <c r="X57" s="2" t="s">
        <v>32</v>
      </c>
      <c r="Y57" s="6" t="e">
        <f t="shared" si="2"/>
        <v>#VALUE!</v>
      </c>
      <c r="AB57">
        <v>55073</v>
      </c>
      <c r="AD57" t="s">
        <v>4</v>
      </c>
      <c r="AE57" t="s">
        <v>7110</v>
      </c>
      <c r="AF57">
        <v>4</v>
      </c>
      <c r="AH57" t="s">
        <v>7659</v>
      </c>
      <c r="AI57" t="s">
        <v>7658</v>
      </c>
      <c r="AK57" t="s">
        <v>7657</v>
      </c>
      <c r="AL57">
        <v>0</v>
      </c>
      <c r="AM57" s="5">
        <f t="shared" si="10"/>
        <v>0</v>
      </c>
      <c r="AN57" s="4">
        <f t="shared" si="4"/>
        <v>0</v>
      </c>
      <c r="AO57" s="3"/>
      <c r="AP57">
        <v>0</v>
      </c>
      <c r="AR57" t="s">
        <v>0</v>
      </c>
      <c r="AT57" s="2" t="s">
        <v>32</v>
      </c>
      <c r="AU57" s="1" t="e">
        <f t="shared" si="11"/>
        <v>#VALUE!</v>
      </c>
      <c r="AV57" s="1" t="e">
        <f t="shared" si="12"/>
        <v>#VALUE!</v>
      </c>
      <c r="AW57" s="1" t="e">
        <f t="shared" si="13"/>
        <v>#VALUE!</v>
      </c>
    </row>
    <row r="58" spans="1:49" x14ac:dyDescent="0.2">
      <c r="A58">
        <v>56</v>
      </c>
      <c r="B58" t="s">
        <v>7656</v>
      </c>
      <c r="F58" t="s">
        <v>7655</v>
      </c>
      <c r="G58" t="s">
        <v>14</v>
      </c>
      <c r="H58" t="s">
        <v>13</v>
      </c>
      <c r="I58" t="s">
        <v>7654</v>
      </c>
      <c r="J58">
        <v>60002787</v>
      </c>
      <c r="K58" t="s">
        <v>7653</v>
      </c>
      <c r="L58" t="s">
        <v>7652</v>
      </c>
      <c r="M58" t="s">
        <v>524</v>
      </c>
      <c r="N58">
        <v>1</v>
      </c>
      <c r="O58" t="s">
        <v>7651</v>
      </c>
      <c r="P58">
        <v>55445582500</v>
      </c>
      <c r="Q58">
        <v>60002787</v>
      </c>
      <c r="R58" s="7">
        <v>31868</v>
      </c>
      <c r="S58" s="8">
        <f t="shared" si="8"/>
        <v>1987</v>
      </c>
      <c r="T58" s="8">
        <v>1987</v>
      </c>
      <c r="U58" s="8">
        <f t="shared" si="9"/>
        <v>35</v>
      </c>
      <c r="V58" s="7">
        <v>31868</v>
      </c>
      <c r="W58" t="s">
        <v>629</v>
      </c>
      <c r="X58" s="2" t="s">
        <v>32</v>
      </c>
      <c r="Y58" s="6" t="e">
        <f t="shared" si="2"/>
        <v>#VALUE!</v>
      </c>
      <c r="AA58">
        <v>262897</v>
      </c>
      <c r="AB58">
        <v>18580</v>
      </c>
      <c r="AD58" t="s">
        <v>4</v>
      </c>
      <c r="AE58">
        <v>30</v>
      </c>
      <c r="AF58">
        <v>4</v>
      </c>
      <c r="AH58" t="s">
        <v>7650</v>
      </c>
      <c r="AI58" t="s">
        <v>7649</v>
      </c>
      <c r="AK58" t="s">
        <v>7648</v>
      </c>
      <c r="AL58">
        <v>4</v>
      </c>
      <c r="AM58" s="5">
        <f t="shared" si="10"/>
        <v>0.11428571428571428</v>
      </c>
      <c r="AN58" s="4">
        <f t="shared" si="4"/>
        <v>1.7309460702115E-4</v>
      </c>
      <c r="AO58" s="3"/>
      <c r="AP58">
        <v>0</v>
      </c>
      <c r="AR58" t="s">
        <v>0</v>
      </c>
      <c r="AT58" s="2">
        <v>0.30599999999999999</v>
      </c>
      <c r="AU58" s="1" t="e">
        <f t="shared" si="11"/>
        <v>#VALUE!</v>
      </c>
      <c r="AV58" s="1" t="e">
        <f t="shared" si="12"/>
        <v>#VALUE!</v>
      </c>
      <c r="AW58" s="1" t="e">
        <f t="shared" si="13"/>
        <v>#VALUE!</v>
      </c>
    </row>
    <row r="59" spans="1:49" x14ac:dyDescent="0.2">
      <c r="A59">
        <v>57</v>
      </c>
      <c r="B59" t="s">
        <v>7647</v>
      </c>
      <c r="F59" t="s">
        <v>7646</v>
      </c>
      <c r="G59" t="s">
        <v>14</v>
      </c>
      <c r="H59" t="s">
        <v>13</v>
      </c>
      <c r="I59" t="s">
        <v>7645</v>
      </c>
      <c r="N59">
        <v>2</v>
      </c>
      <c r="O59" t="s">
        <v>7644</v>
      </c>
      <c r="P59" t="s">
        <v>7643</v>
      </c>
      <c r="Q59" t="s">
        <v>349</v>
      </c>
      <c r="R59" s="7">
        <v>31868</v>
      </c>
      <c r="S59" s="8">
        <f t="shared" si="8"/>
        <v>1987</v>
      </c>
      <c r="T59" s="8">
        <v>1987</v>
      </c>
      <c r="U59" s="8">
        <f t="shared" si="9"/>
        <v>35</v>
      </c>
      <c r="V59" s="7">
        <v>31868</v>
      </c>
      <c r="W59" t="s">
        <v>939</v>
      </c>
      <c r="X59" s="2" t="s">
        <v>32</v>
      </c>
      <c r="Y59" s="6" t="e">
        <f t="shared" si="2"/>
        <v>#VALUE!</v>
      </c>
      <c r="AA59">
        <v>87566648</v>
      </c>
      <c r="AB59">
        <v>74127</v>
      </c>
      <c r="AD59" t="s">
        <v>4</v>
      </c>
      <c r="AE59">
        <v>32</v>
      </c>
      <c r="AF59">
        <v>4</v>
      </c>
      <c r="AH59" t="s">
        <v>7642</v>
      </c>
      <c r="AI59" t="s">
        <v>7641</v>
      </c>
      <c r="AK59" t="s">
        <v>7640</v>
      </c>
      <c r="AL59">
        <v>0</v>
      </c>
      <c r="AM59" s="5">
        <f t="shared" si="10"/>
        <v>0</v>
      </c>
      <c r="AN59" s="4">
        <f t="shared" si="4"/>
        <v>0</v>
      </c>
      <c r="AO59" s="3"/>
      <c r="AP59">
        <v>0</v>
      </c>
      <c r="AR59" t="s">
        <v>0</v>
      </c>
      <c r="AT59" s="2" t="s">
        <v>32</v>
      </c>
      <c r="AU59" s="1" t="e">
        <f t="shared" si="11"/>
        <v>#VALUE!</v>
      </c>
      <c r="AV59" s="1" t="e">
        <f t="shared" si="12"/>
        <v>#VALUE!</v>
      </c>
      <c r="AW59" s="1" t="e">
        <f t="shared" si="13"/>
        <v>#VALUE!</v>
      </c>
    </row>
    <row r="60" spans="1:49" x14ac:dyDescent="0.2">
      <c r="A60">
        <v>58</v>
      </c>
      <c r="B60" t="s">
        <v>7639</v>
      </c>
      <c r="F60" t="s">
        <v>7638</v>
      </c>
      <c r="G60" t="s">
        <v>14</v>
      </c>
      <c r="H60" t="s">
        <v>13</v>
      </c>
      <c r="I60" t="s">
        <v>7637</v>
      </c>
      <c r="N60">
        <v>2</v>
      </c>
      <c r="O60" t="s">
        <v>7636</v>
      </c>
      <c r="P60" t="s">
        <v>7635</v>
      </c>
      <c r="Q60" t="s">
        <v>349</v>
      </c>
      <c r="R60" s="7">
        <v>31868</v>
      </c>
      <c r="S60" s="8">
        <f t="shared" si="8"/>
        <v>1987</v>
      </c>
      <c r="T60" s="8">
        <v>1987</v>
      </c>
      <c r="U60" s="8">
        <f t="shared" si="9"/>
        <v>35</v>
      </c>
      <c r="V60" s="7">
        <v>31868</v>
      </c>
      <c r="W60" t="s">
        <v>939</v>
      </c>
      <c r="X60" s="2" t="s">
        <v>32</v>
      </c>
      <c r="Y60" s="6" t="e">
        <f t="shared" si="2"/>
        <v>#VALUE!</v>
      </c>
      <c r="AA60">
        <v>87566648</v>
      </c>
      <c r="AB60">
        <v>74127</v>
      </c>
      <c r="AD60" t="s">
        <v>4</v>
      </c>
      <c r="AE60">
        <v>32</v>
      </c>
      <c r="AF60">
        <v>4</v>
      </c>
      <c r="AH60" t="s">
        <v>7634</v>
      </c>
      <c r="AI60" t="s">
        <v>7633</v>
      </c>
      <c r="AK60" t="s">
        <v>7632</v>
      </c>
      <c r="AL60">
        <v>0</v>
      </c>
      <c r="AM60" s="5">
        <f t="shared" si="10"/>
        <v>0</v>
      </c>
      <c r="AN60" s="4">
        <f t="shared" si="4"/>
        <v>0</v>
      </c>
      <c r="AO60" s="3"/>
      <c r="AP60">
        <v>0</v>
      </c>
      <c r="AR60" t="s">
        <v>0</v>
      </c>
      <c r="AT60" s="2" t="s">
        <v>32</v>
      </c>
      <c r="AU60" s="1" t="e">
        <f t="shared" si="11"/>
        <v>#VALUE!</v>
      </c>
      <c r="AV60" s="1" t="e">
        <f t="shared" si="12"/>
        <v>#VALUE!</v>
      </c>
      <c r="AW60" s="1" t="e">
        <f t="shared" si="13"/>
        <v>#VALUE!</v>
      </c>
    </row>
    <row r="61" spans="1:49" x14ac:dyDescent="0.2">
      <c r="A61">
        <v>59</v>
      </c>
      <c r="B61" t="s">
        <v>7631</v>
      </c>
      <c r="F61" t="s">
        <v>7630</v>
      </c>
      <c r="G61" t="s">
        <v>14</v>
      </c>
      <c r="H61" t="s">
        <v>13</v>
      </c>
      <c r="I61" t="s">
        <v>7629</v>
      </c>
      <c r="N61">
        <v>2</v>
      </c>
      <c r="O61" t="s">
        <v>7628</v>
      </c>
      <c r="P61" t="s">
        <v>7627</v>
      </c>
      <c r="Q61" t="s">
        <v>349</v>
      </c>
      <c r="R61" s="7">
        <v>31868</v>
      </c>
      <c r="S61" s="8">
        <f t="shared" si="8"/>
        <v>1987</v>
      </c>
      <c r="T61" s="8">
        <v>1987</v>
      </c>
      <c r="U61" s="8">
        <f t="shared" si="9"/>
        <v>35</v>
      </c>
      <c r="V61" s="7">
        <v>31868</v>
      </c>
      <c r="W61" t="s">
        <v>7626</v>
      </c>
      <c r="X61" s="2" t="s">
        <v>32</v>
      </c>
      <c r="Y61" s="6" t="e">
        <f t="shared" si="2"/>
        <v>#VALUE!</v>
      </c>
      <c r="AA61">
        <v>8123314</v>
      </c>
      <c r="AB61">
        <v>12279</v>
      </c>
      <c r="AD61" t="s">
        <v>4</v>
      </c>
      <c r="AE61" t="s">
        <v>7625</v>
      </c>
      <c r="AF61">
        <v>1</v>
      </c>
      <c r="AH61" t="s">
        <v>7624</v>
      </c>
      <c r="AI61" t="s">
        <v>7623</v>
      </c>
      <c r="AK61" t="s">
        <v>7622</v>
      </c>
      <c r="AL61">
        <v>0</v>
      </c>
      <c r="AM61" s="5">
        <f t="shared" si="10"/>
        <v>0</v>
      </c>
      <c r="AN61" s="4">
        <f t="shared" si="4"/>
        <v>0</v>
      </c>
      <c r="AO61" s="3"/>
      <c r="AP61">
        <v>0</v>
      </c>
      <c r="AR61" t="s">
        <v>0</v>
      </c>
      <c r="AT61" s="2" t="s">
        <v>32</v>
      </c>
      <c r="AU61" s="1" t="e">
        <f t="shared" si="11"/>
        <v>#VALUE!</v>
      </c>
      <c r="AV61" s="1" t="e">
        <f t="shared" si="12"/>
        <v>#VALUE!</v>
      </c>
      <c r="AW61" s="1" t="e">
        <f t="shared" si="13"/>
        <v>#VALUE!</v>
      </c>
    </row>
    <row r="62" spans="1:49" x14ac:dyDescent="0.2">
      <c r="A62">
        <v>60</v>
      </c>
      <c r="B62" t="s">
        <v>7621</v>
      </c>
      <c r="F62" t="s">
        <v>7620</v>
      </c>
      <c r="G62" t="s">
        <v>14</v>
      </c>
      <c r="H62" t="s">
        <v>13</v>
      </c>
      <c r="I62" t="s">
        <v>7619</v>
      </c>
      <c r="N62">
        <v>1</v>
      </c>
      <c r="O62" t="s">
        <v>7618</v>
      </c>
      <c r="P62">
        <v>57217802857</v>
      </c>
      <c r="R62" s="7">
        <v>31868</v>
      </c>
      <c r="S62" s="8">
        <f t="shared" si="8"/>
        <v>1987</v>
      </c>
      <c r="T62" s="8">
        <v>1987</v>
      </c>
      <c r="U62" s="8">
        <f t="shared" si="9"/>
        <v>35</v>
      </c>
      <c r="V62" s="7">
        <v>31868</v>
      </c>
      <c r="W62" t="s">
        <v>7617</v>
      </c>
      <c r="X62" s="2" t="s">
        <v>32</v>
      </c>
      <c r="Y62" s="6" t="e">
        <f t="shared" si="2"/>
        <v>#VALUE!</v>
      </c>
      <c r="AA62">
        <v>8123314</v>
      </c>
      <c r="AB62">
        <v>12279</v>
      </c>
      <c r="AD62" t="s">
        <v>4</v>
      </c>
      <c r="AE62" t="s">
        <v>7616</v>
      </c>
      <c r="AF62">
        <v>1</v>
      </c>
      <c r="AH62" t="s">
        <v>7615</v>
      </c>
      <c r="AI62" t="s">
        <v>7614</v>
      </c>
      <c r="AK62" t="s">
        <v>7613</v>
      </c>
      <c r="AL62">
        <v>0</v>
      </c>
      <c r="AM62" s="5">
        <f t="shared" si="10"/>
        <v>0</v>
      </c>
      <c r="AN62" s="4">
        <f t="shared" si="4"/>
        <v>0</v>
      </c>
      <c r="AO62" s="3"/>
      <c r="AP62">
        <v>0</v>
      </c>
      <c r="AR62" t="s">
        <v>0</v>
      </c>
      <c r="AT62" s="2" t="s">
        <v>32</v>
      </c>
      <c r="AU62" s="1" t="e">
        <f t="shared" si="11"/>
        <v>#VALUE!</v>
      </c>
      <c r="AV62" s="1" t="e">
        <f t="shared" si="12"/>
        <v>#VALUE!</v>
      </c>
      <c r="AW62" s="1" t="e">
        <f t="shared" si="13"/>
        <v>#VALUE!</v>
      </c>
    </row>
    <row r="63" spans="1:49" x14ac:dyDescent="0.2">
      <c r="A63">
        <v>61</v>
      </c>
      <c r="B63" t="s">
        <v>7612</v>
      </c>
      <c r="F63" t="s">
        <v>7611</v>
      </c>
      <c r="G63" t="s">
        <v>14</v>
      </c>
      <c r="H63" t="s">
        <v>13</v>
      </c>
      <c r="I63" t="s">
        <v>7610</v>
      </c>
      <c r="N63">
        <v>2</v>
      </c>
      <c r="O63" t="s">
        <v>7609</v>
      </c>
      <c r="P63" t="s">
        <v>7608</v>
      </c>
      <c r="Q63" t="s">
        <v>349</v>
      </c>
      <c r="R63" s="7">
        <v>31868</v>
      </c>
      <c r="S63" s="8">
        <f t="shared" si="8"/>
        <v>1987</v>
      </c>
      <c r="T63" s="8">
        <v>1987</v>
      </c>
      <c r="U63" s="8">
        <f t="shared" si="9"/>
        <v>35</v>
      </c>
      <c r="V63" s="7">
        <v>31868</v>
      </c>
      <c r="W63" t="s">
        <v>939</v>
      </c>
      <c r="X63" s="2" t="s">
        <v>32</v>
      </c>
      <c r="Y63" s="6" t="e">
        <f t="shared" si="2"/>
        <v>#VALUE!</v>
      </c>
      <c r="AA63">
        <v>87566648</v>
      </c>
      <c r="AB63">
        <v>74127</v>
      </c>
      <c r="AD63" t="s">
        <v>4</v>
      </c>
      <c r="AE63">
        <v>32</v>
      </c>
      <c r="AF63">
        <v>4</v>
      </c>
      <c r="AH63" t="s">
        <v>7607</v>
      </c>
      <c r="AI63" t="s">
        <v>7606</v>
      </c>
      <c r="AK63" t="s">
        <v>7605</v>
      </c>
      <c r="AL63">
        <v>0</v>
      </c>
      <c r="AM63" s="5">
        <f t="shared" si="10"/>
        <v>0</v>
      </c>
      <c r="AN63" s="4">
        <f t="shared" si="4"/>
        <v>0</v>
      </c>
      <c r="AO63" s="3"/>
      <c r="AP63">
        <v>0</v>
      </c>
      <c r="AR63" t="s">
        <v>0</v>
      </c>
      <c r="AT63" s="2" t="s">
        <v>32</v>
      </c>
      <c r="AU63" s="1" t="e">
        <f t="shared" si="11"/>
        <v>#VALUE!</v>
      </c>
      <c r="AV63" s="1" t="e">
        <f t="shared" si="12"/>
        <v>#VALUE!</v>
      </c>
      <c r="AW63" s="1" t="e">
        <f t="shared" si="13"/>
        <v>#VALUE!</v>
      </c>
    </row>
    <row r="64" spans="1:49" x14ac:dyDescent="0.2">
      <c r="A64">
        <v>62</v>
      </c>
      <c r="B64" t="s">
        <v>7604</v>
      </c>
      <c r="C64" t="s">
        <v>7603</v>
      </c>
      <c r="F64" t="s">
        <v>7602</v>
      </c>
      <c r="G64" t="s">
        <v>14</v>
      </c>
      <c r="H64" t="s">
        <v>13</v>
      </c>
      <c r="I64" t="s">
        <v>7601</v>
      </c>
      <c r="J64">
        <v>60005248</v>
      </c>
      <c r="K64" t="s">
        <v>7600</v>
      </c>
      <c r="L64" t="s">
        <v>7599</v>
      </c>
      <c r="M64" t="s">
        <v>9</v>
      </c>
      <c r="N64">
        <v>3</v>
      </c>
      <c r="O64" t="s">
        <v>7598</v>
      </c>
      <c r="P64" t="s">
        <v>7597</v>
      </c>
      <c r="Q64" t="s">
        <v>7596</v>
      </c>
      <c r="R64" s="7">
        <v>31868</v>
      </c>
      <c r="S64" s="8">
        <f t="shared" si="8"/>
        <v>1987</v>
      </c>
      <c r="T64" s="8">
        <v>1987</v>
      </c>
      <c r="U64" s="8">
        <f t="shared" si="9"/>
        <v>35</v>
      </c>
      <c r="V64" s="7">
        <v>31868</v>
      </c>
      <c r="W64" t="s">
        <v>7063</v>
      </c>
      <c r="X64" s="2" t="s">
        <v>32</v>
      </c>
      <c r="Y64" s="6" t="e">
        <f t="shared" si="2"/>
        <v>#VALUE!</v>
      </c>
      <c r="AA64" t="s">
        <v>7062</v>
      </c>
      <c r="AB64">
        <v>53590</v>
      </c>
      <c r="AC64" t="s">
        <v>7061</v>
      </c>
      <c r="AD64" t="s">
        <v>4</v>
      </c>
      <c r="AE64">
        <v>196</v>
      </c>
      <c r="AF64">
        <v>4</v>
      </c>
      <c r="AH64" t="s">
        <v>7595</v>
      </c>
      <c r="AI64" t="s">
        <v>7594</v>
      </c>
      <c r="AJ64" t="s">
        <v>7593</v>
      </c>
      <c r="AK64" t="s">
        <v>7592</v>
      </c>
      <c r="AL64">
        <v>33</v>
      </c>
      <c r="AM64" s="5">
        <f t="shared" si="10"/>
        <v>0.94285714285714284</v>
      </c>
      <c r="AN64" s="4">
        <f t="shared" si="4"/>
        <v>1.4280305079244875E-3</v>
      </c>
      <c r="AO64" s="3"/>
      <c r="AP64">
        <v>0</v>
      </c>
      <c r="AR64" t="s">
        <v>0</v>
      </c>
      <c r="AT64" s="2" t="s">
        <v>32</v>
      </c>
      <c r="AU64" s="1" t="e">
        <f t="shared" si="11"/>
        <v>#VALUE!</v>
      </c>
      <c r="AV64" s="1" t="e">
        <f t="shared" si="12"/>
        <v>#VALUE!</v>
      </c>
      <c r="AW64" s="1" t="e">
        <f t="shared" si="13"/>
        <v>#VALUE!</v>
      </c>
    </row>
    <row r="65" spans="1:49" x14ac:dyDescent="0.2">
      <c r="A65">
        <v>63</v>
      </c>
      <c r="B65" t="s">
        <v>7591</v>
      </c>
      <c r="F65" t="s">
        <v>7590</v>
      </c>
      <c r="G65" t="s">
        <v>14</v>
      </c>
      <c r="H65" t="s">
        <v>13</v>
      </c>
      <c r="I65" t="s">
        <v>7589</v>
      </c>
      <c r="J65">
        <v>101395867</v>
      </c>
      <c r="K65" t="s">
        <v>7588</v>
      </c>
      <c r="N65">
        <v>1</v>
      </c>
      <c r="O65" t="s">
        <v>7587</v>
      </c>
      <c r="P65">
        <v>57202696365</v>
      </c>
      <c r="Q65">
        <v>101395867</v>
      </c>
      <c r="R65" s="7">
        <v>31868</v>
      </c>
      <c r="S65" s="8">
        <f t="shared" si="8"/>
        <v>1987</v>
      </c>
      <c r="T65" s="8">
        <v>1987</v>
      </c>
      <c r="U65" s="8">
        <f t="shared" si="9"/>
        <v>35</v>
      </c>
      <c r="V65" s="7">
        <v>31868</v>
      </c>
      <c r="W65" t="s">
        <v>7586</v>
      </c>
      <c r="X65" s="2">
        <v>0.115</v>
      </c>
      <c r="Y65" s="6">
        <f t="shared" si="2"/>
        <v>3.069859320359841E-3</v>
      </c>
      <c r="AA65">
        <v>933651</v>
      </c>
      <c r="AB65">
        <v>14396</v>
      </c>
      <c r="AD65" t="s">
        <v>4</v>
      </c>
      <c r="AE65">
        <v>28</v>
      </c>
      <c r="AF65">
        <v>4</v>
      </c>
      <c r="AH65" t="s">
        <v>7585</v>
      </c>
      <c r="AI65" t="s">
        <v>7584</v>
      </c>
      <c r="AK65" t="s">
        <v>7583</v>
      </c>
      <c r="AL65">
        <v>0</v>
      </c>
      <c r="AM65" s="5">
        <f t="shared" si="10"/>
        <v>0</v>
      </c>
      <c r="AN65" s="4">
        <f t="shared" si="4"/>
        <v>0</v>
      </c>
      <c r="AO65" s="3"/>
      <c r="AP65">
        <v>0</v>
      </c>
      <c r="AR65" t="s">
        <v>0</v>
      </c>
      <c r="AT65" s="2">
        <v>0.17499999999999999</v>
      </c>
      <c r="AU65" s="1">
        <f t="shared" si="11"/>
        <v>0.21489015242518883</v>
      </c>
      <c r="AV65" s="1">
        <f t="shared" si="12"/>
        <v>0.15349296601799206</v>
      </c>
      <c r="AW65" s="1">
        <f t="shared" si="13"/>
        <v>9.2095779610795223E-2</v>
      </c>
    </row>
    <row r="66" spans="1:49" x14ac:dyDescent="0.2">
      <c r="A66">
        <v>64</v>
      </c>
      <c r="B66" t="s">
        <v>7582</v>
      </c>
      <c r="F66" t="s">
        <v>7581</v>
      </c>
      <c r="G66" t="s">
        <v>14</v>
      </c>
      <c r="H66" t="s">
        <v>13</v>
      </c>
      <c r="I66" t="s">
        <v>7580</v>
      </c>
      <c r="J66">
        <v>60013620</v>
      </c>
      <c r="K66" t="s">
        <v>7579</v>
      </c>
      <c r="L66" t="s">
        <v>7578</v>
      </c>
      <c r="M66" t="s">
        <v>9</v>
      </c>
      <c r="N66">
        <v>1</v>
      </c>
      <c r="O66" t="s">
        <v>7577</v>
      </c>
      <c r="P66">
        <v>7005137443</v>
      </c>
      <c r="Q66">
        <v>60013620</v>
      </c>
      <c r="R66" s="7">
        <v>31845</v>
      </c>
      <c r="S66" s="8">
        <f t="shared" si="8"/>
        <v>1987</v>
      </c>
      <c r="T66" s="8">
        <v>1987</v>
      </c>
      <c r="U66" s="8">
        <f t="shared" si="9"/>
        <v>35</v>
      </c>
      <c r="V66" s="7">
        <v>31845</v>
      </c>
      <c r="W66" t="s">
        <v>7576</v>
      </c>
      <c r="X66" s="2" t="s">
        <v>32</v>
      </c>
      <c r="Y66" s="6" t="e">
        <f t="shared" ref="Y66:Y129" si="14">(X66-$Z$4)/($Z$3-$Z$4)</f>
        <v>#VALUE!</v>
      </c>
      <c r="AA66">
        <v>119407</v>
      </c>
      <c r="AB66">
        <v>16022</v>
      </c>
      <c r="AD66" t="s">
        <v>4</v>
      </c>
      <c r="AE66">
        <v>43</v>
      </c>
      <c r="AF66">
        <v>5</v>
      </c>
      <c r="AH66" t="s">
        <v>7575</v>
      </c>
      <c r="AI66" t="s">
        <v>7574</v>
      </c>
      <c r="AK66" t="s">
        <v>7573</v>
      </c>
      <c r="AL66">
        <v>0</v>
      </c>
      <c r="AM66" s="5">
        <f t="shared" si="10"/>
        <v>0</v>
      </c>
      <c r="AN66" s="4">
        <f t="shared" ref="AN66:AN129" si="15">(AM66-$AO$4)/($AO$3-$AO$4)</f>
        <v>0</v>
      </c>
      <c r="AO66" s="3"/>
      <c r="AP66">
        <v>0</v>
      </c>
      <c r="AR66" t="s">
        <v>0</v>
      </c>
      <c r="AT66" s="2" t="s">
        <v>32</v>
      </c>
      <c r="AU66" s="1" t="e">
        <f t="shared" si="11"/>
        <v>#VALUE!</v>
      </c>
      <c r="AV66" s="1" t="e">
        <f t="shared" si="12"/>
        <v>#VALUE!</v>
      </c>
      <c r="AW66" s="1" t="e">
        <f t="shared" si="13"/>
        <v>#VALUE!</v>
      </c>
    </row>
    <row r="67" spans="1:49" x14ac:dyDescent="0.2">
      <c r="A67">
        <v>65</v>
      </c>
      <c r="B67" t="s">
        <v>7572</v>
      </c>
      <c r="C67" t="s">
        <v>7571</v>
      </c>
      <c r="D67" t="s">
        <v>7570</v>
      </c>
      <c r="F67" t="s">
        <v>7569</v>
      </c>
      <c r="G67" t="s">
        <v>14</v>
      </c>
      <c r="H67" t="s">
        <v>13</v>
      </c>
      <c r="I67" t="s">
        <v>7568</v>
      </c>
      <c r="J67" t="s">
        <v>7567</v>
      </c>
      <c r="K67" t="s">
        <v>7566</v>
      </c>
      <c r="L67" t="s">
        <v>7565</v>
      </c>
      <c r="M67" t="s">
        <v>55</v>
      </c>
      <c r="N67">
        <v>2</v>
      </c>
      <c r="O67" t="s">
        <v>7564</v>
      </c>
      <c r="P67" t="s">
        <v>7563</v>
      </c>
      <c r="Q67" t="s">
        <v>7562</v>
      </c>
      <c r="R67" s="7">
        <v>31840</v>
      </c>
      <c r="S67" s="8">
        <f t="shared" si="8"/>
        <v>1987</v>
      </c>
      <c r="T67" s="8">
        <v>1987</v>
      </c>
      <c r="U67" s="8">
        <f t="shared" si="9"/>
        <v>35</v>
      </c>
      <c r="V67" s="7">
        <v>31840</v>
      </c>
      <c r="W67" t="s">
        <v>7561</v>
      </c>
      <c r="X67" s="2">
        <v>1.59</v>
      </c>
      <c r="Y67" s="6">
        <f t="shared" si="14"/>
        <v>4.2444141907583888E-2</v>
      </c>
      <c r="AA67">
        <v>52728</v>
      </c>
      <c r="AB67">
        <v>16791</v>
      </c>
      <c r="AD67" t="s">
        <v>4</v>
      </c>
      <c r="AE67">
        <v>890</v>
      </c>
      <c r="AF67">
        <v>3</v>
      </c>
      <c r="AH67" t="s">
        <v>7560</v>
      </c>
      <c r="AI67" t="s">
        <v>7559</v>
      </c>
      <c r="AJ67" t="s">
        <v>7558</v>
      </c>
      <c r="AK67" t="s">
        <v>7557</v>
      </c>
      <c r="AL67">
        <v>36</v>
      </c>
      <c r="AM67" s="5">
        <f t="shared" si="10"/>
        <v>1.0285714285714285</v>
      </c>
      <c r="AN67" s="4">
        <f t="shared" si="15"/>
        <v>1.5578514631903499E-3</v>
      </c>
      <c r="AO67" s="3"/>
      <c r="AP67">
        <v>0</v>
      </c>
      <c r="AR67" t="s">
        <v>0</v>
      </c>
      <c r="AT67" s="2" t="s">
        <v>32</v>
      </c>
      <c r="AU67" s="1">
        <f t="shared" si="11"/>
        <v>3.0178254774265825</v>
      </c>
      <c r="AV67" s="1">
        <f t="shared" si="12"/>
        <v>2.2000996685387122</v>
      </c>
      <c r="AW67" s="1">
        <f t="shared" si="13"/>
        <v>1.382373859650841</v>
      </c>
    </row>
    <row r="68" spans="1:49" x14ac:dyDescent="0.2">
      <c r="A68">
        <v>66</v>
      </c>
      <c r="B68" t="s">
        <v>7556</v>
      </c>
      <c r="C68" t="s">
        <v>7555</v>
      </c>
      <c r="F68" t="s">
        <v>7554</v>
      </c>
      <c r="G68" t="s">
        <v>14</v>
      </c>
      <c r="H68" t="s">
        <v>13</v>
      </c>
      <c r="I68" t="s">
        <v>7553</v>
      </c>
      <c r="J68">
        <v>60002316</v>
      </c>
      <c r="K68" t="s">
        <v>7552</v>
      </c>
      <c r="L68" t="s">
        <v>7551</v>
      </c>
      <c r="M68" t="s">
        <v>225</v>
      </c>
      <c r="N68">
        <v>2</v>
      </c>
      <c r="O68" t="s">
        <v>7550</v>
      </c>
      <c r="P68" t="s">
        <v>7549</v>
      </c>
      <c r="Q68" t="s">
        <v>7548</v>
      </c>
      <c r="R68" s="7">
        <v>31837</v>
      </c>
      <c r="S68" s="8">
        <f t="shared" si="8"/>
        <v>1987</v>
      </c>
      <c r="T68" s="8">
        <v>1987</v>
      </c>
      <c r="U68" s="8">
        <f t="shared" si="9"/>
        <v>35</v>
      </c>
      <c r="V68" s="7">
        <v>31837</v>
      </c>
      <c r="W68" t="s">
        <v>5963</v>
      </c>
      <c r="X68" s="2">
        <v>0.56299999999999994</v>
      </c>
      <c r="Y68" s="6">
        <f t="shared" si="14"/>
        <v>1.5028963455326873E-2</v>
      </c>
      <c r="AA68">
        <v>288330</v>
      </c>
      <c r="AB68">
        <v>27910</v>
      </c>
      <c r="AC68">
        <v>11758805</v>
      </c>
      <c r="AD68" t="s">
        <v>4</v>
      </c>
      <c r="AE68">
        <v>21</v>
      </c>
      <c r="AF68">
        <v>1</v>
      </c>
      <c r="AH68" t="s">
        <v>7547</v>
      </c>
      <c r="AI68" t="s">
        <v>7546</v>
      </c>
      <c r="AJ68" t="s">
        <v>7545</v>
      </c>
      <c r="AK68" t="s">
        <v>7544</v>
      </c>
      <c r="AL68">
        <v>1</v>
      </c>
      <c r="AM68" s="5">
        <f t="shared" si="10"/>
        <v>2.8571428571428571E-2</v>
      </c>
      <c r="AN68" s="4">
        <f t="shared" si="15"/>
        <v>4.32736517552875E-5</v>
      </c>
      <c r="AO68" s="3"/>
      <c r="AP68">
        <v>0</v>
      </c>
      <c r="AR68" t="s">
        <v>0</v>
      </c>
      <c r="AT68" s="2" t="s">
        <v>32</v>
      </c>
      <c r="AU68" s="1">
        <f t="shared" si="11"/>
        <v>1.0533256514255396</v>
      </c>
      <c r="AV68" s="1">
        <f t="shared" si="12"/>
        <v>0.75361185535410802</v>
      </c>
      <c r="AW68" s="1">
        <f t="shared" si="13"/>
        <v>0.45389805928267629</v>
      </c>
    </row>
    <row r="69" spans="1:49" x14ac:dyDescent="0.2">
      <c r="A69">
        <v>67</v>
      </c>
      <c r="B69" t="s">
        <v>7543</v>
      </c>
      <c r="C69" t="s">
        <v>7542</v>
      </c>
      <c r="F69" t="s">
        <v>7541</v>
      </c>
      <c r="G69" t="s">
        <v>14</v>
      </c>
      <c r="H69" t="s">
        <v>13</v>
      </c>
      <c r="I69" t="s">
        <v>7540</v>
      </c>
      <c r="J69">
        <v>60025038</v>
      </c>
      <c r="K69" t="s">
        <v>364</v>
      </c>
      <c r="L69" t="s">
        <v>363</v>
      </c>
      <c r="M69" t="s">
        <v>9</v>
      </c>
      <c r="N69">
        <v>2</v>
      </c>
      <c r="O69" t="s">
        <v>7539</v>
      </c>
      <c r="P69" t="s">
        <v>7538</v>
      </c>
      <c r="Q69" t="s">
        <v>6692</v>
      </c>
      <c r="R69" s="7">
        <v>31837</v>
      </c>
      <c r="S69" s="8">
        <f t="shared" si="8"/>
        <v>1987</v>
      </c>
      <c r="T69" s="8">
        <v>1987</v>
      </c>
      <c r="U69" s="8">
        <f t="shared" si="9"/>
        <v>35</v>
      </c>
      <c r="V69" s="7">
        <v>31837</v>
      </c>
      <c r="W69" t="s">
        <v>7537</v>
      </c>
      <c r="X69" s="2" t="s">
        <v>32</v>
      </c>
      <c r="Y69" s="6" t="e">
        <f t="shared" si="14"/>
        <v>#VALUE!</v>
      </c>
      <c r="AA69">
        <v>144754</v>
      </c>
      <c r="AB69">
        <v>74305</v>
      </c>
      <c r="AC69">
        <v>14209071</v>
      </c>
      <c r="AD69" t="s">
        <v>4</v>
      </c>
      <c r="AE69">
        <v>43</v>
      </c>
      <c r="AF69">
        <v>3</v>
      </c>
      <c r="AH69" t="s">
        <v>7536</v>
      </c>
      <c r="AI69" t="s">
        <v>7535</v>
      </c>
      <c r="AJ69" t="s">
        <v>7534</v>
      </c>
      <c r="AK69" t="s">
        <v>7533</v>
      </c>
      <c r="AL69">
        <v>1</v>
      </c>
      <c r="AM69" s="5">
        <f t="shared" si="10"/>
        <v>2.8571428571428571E-2</v>
      </c>
      <c r="AN69" s="4">
        <f t="shared" si="15"/>
        <v>4.32736517552875E-5</v>
      </c>
      <c r="AO69" s="3"/>
      <c r="AP69">
        <v>0</v>
      </c>
      <c r="AR69" t="s">
        <v>0</v>
      </c>
      <c r="AT69" s="2" t="s">
        <v>32</v>
      </c>
      <c r="AU69" s="1" t="e">
        <f t="shared" si="11"/>
        <v>#VALUE!</v>
      </c>
      <c r="AV69" s="1" t="e">
        <f t="shared" si="12"/>
        <v>#VALUE!</v>
      </c>
      <c r="AW69" s="1" t="e">
        <f t="shared" si="13"/>
        <v>#VALUE!</v>
      </c>
    </row>
    <row r="70" spans="1:49" x14ac:dyDescent="0.2">
      <c r="A70">
        <v>68</v>
      </c>
      <c r="B70" t="s">
        <v>7532</v>
      </c>
      <c r="C70" t="s">
        <v>7531</v>
      </c>
      <c r="F70" t="s">
        <v>7530</v>
      </c>
      <c r="G70" t="s">
        <v>14</v>
      </c>
      <c r="H70" t="s">
        <v>13</v>
      </c>
      <c r="I70" t="s">
        <v>7529</v>
      </c>
      <c r="J70" t="s">
        <v>7523</v>
      </c>
      <c r="K70" t="s">
        <v>7528</v>
      </c>
      <c r="L70" t="s">
        <v>7527</v>
      </c>
      <c r="M70" t="s">
        <v>7526</v>
      </c>
      <c r="N70">
        <v>3</v>
      </c>
      <c r="O70" t="s">
        <v>7525</v>
      </c>
      <c r="P70" t="s">
        <v>7524</v>
      </c>
      <c r="Q70" t="s">
        <v>7523</v>
      </c>
      <c r="R70" s="7">
        <v>31837</v>
      </c>
      <c r="S70" s="8">
        <f t="shared" si="8"/>
        <v>1987</v>
      </c>
      <c r="T70" s="8">
        <v>1987</v>
      </c>
      <c r="U70" s="8">
        <f t="shared" si="9"/>
        <v>35</v>
      </c>
      <c r="V70" s="7">
        <v>31837</v>
      </c>
      <c r="W70" t="s">
        <v>7522</v>
      </c>
      <c r="X70" s="2">
        <v>0.84299999999999997</v>
      </c>
      <c r="Y70" s="6">
        <f t="shared" si="14"/>
        <v>2.250340353968127E-2</v>
      </c>
      <c r="AA70">
        <v>188158</v>
      </c>
      <c r="AB70">
        <v>15168</v>
      </c>
      <c r="AC70">
        <v>15735117</v>
      </c>
      <c r="AD70" t="s">
        <v>4</v>
      </c>
      <c r="AE70">
        <v>146</v>
      </c>
      <c r="AF70">
        <v>3</v>
      </c>
      <c r="AH70" t="s">
        <v>7521</v>
      </c>
      <c r="AI70" t="s">
        <v>7520</v>
      </c>
      <c r="AJ70" t="s">
        <v>7519</v>
      </c>
      <c r="AK70" t="s">
        <v>7518</v>
      </c>
      <c r="AL70">
        <v>6</v>
      </c>
      <c r="AM70" s="5">
        <f t="shared" si="10"/>
        <v>0.17142857142857143</v>
      </c>
      <c r="AN70" s="4">
        <f t="shared" si="15"/>
        <v>2.5964191053172501E-4</v>
      </c>
      <c r="AO70" s="3"/>
      <c r="AP70">
        <v>0</v>
      </c>
      <c r="AR70" t="s">
        <v>0</v>
      </c>
      <c r="AT70" s="2">
        <v>2.694</v>
      </c>
      <c r="AU70" s="1">
        <f t="shared" si="11"/>
        <v>1.5830275050936407</v>
      </c>
      <c r="AV70" s="1">
        <f t="shared" si="12"/>
        <v>1.1381522725106497</v>
      </c>
      <c r="AW70" s="1">
        <f t="shared" si="13"/>
        <v>0.69327703992765888</v>
      </c>
    </row>
    <row r="71" spans="1:49" x14ac:dyDescent="0.2">
      <c r="A71">
        <v>69</v>
      </c>
      <c r="B71" t="s">
        <v>7517</v>
      </c>
      <c r="F71" t="s">
        <v>7516</v>
      </c>
      <c r="G71" t="s">
        <v>14</v>
      </c>
      <c r="H71" t="s">
        <v>13</v>
      </c>
      <c r="I71" t="s">
        <v>7515</v>
      </c>
      <c r="J71">
        <v>60017563</v>
      </c>
      <c r="K71" t="s">
        <v>2942</v>
      </c>
      <c r="L71" t="s">
        <v>2941</v>
      </c>
      <c r="M71" t="s">
        <v>2940</v>
      </c>
      <c r="N71">
        <v>3</v>
      </c>
      <c r="O71" t="s">
        <v>7514</v>
      </c>
      <c r="P71" t="s">
        <v>7513</v>
      </c>
      <c r="Q71" t="s">
        <v>7512</v>
      </c>
      <c r="R71" s="7">
        <v>31837</v>
      </c>
      <c r="S71" s="8">
        <f t="shared" si="8"/>
        <v>1987</v>
      </c>
      <c r="T71" s="8">
        <v>1987</v>
      </c>
      <c r="U71" s="8">
        <f t="shared" si="9"/>
        <v>35</v>
      </c>
      <c r="V71" s="7">
        <v>31837</v>
      </c>
      <c r="W71" t="s">
        <v>629</v>
      </c>
      <c r="X71" s="2" t="s">
        <v>32</v>
      </c>
      <c r="Y71" s="6" t="e">
        <f t="shared" si="14"/>
        <v>#VALUE!</v>
      </c>
      <c r="AA71">
        <v>262897</v>
      </c>
      <c r="AB71">
        <v>18580</v>
      </c>
      <c r="AD71" t="s">
        <v>4</v>
      </c>
      <c r="AE71">
        <v>30</v>
      </c>
      <c r="AF71">
        <v>3</v>
      </c>
      <c r="AI71" t="s">
        <v>7511</v>
      </c>
      <c r="AK71" t="s">
        <v>7510</v>
      </c>
      <c r="AL71">
        <v>1</v>
      </c>
      <c r="AM71" s="5">
        <f t="shared" si="10"/>
        <v>2.8571428571428571E-2</v>
      </c>
      <c r="AN71" s="4">
        <f t="shared" si="15"/>
        <v>4.32736517552875E-5</v>
      </c>
      <c r="AO71" s="3"/>
      <c r="AP71">
        <v>0</v>
      </c>
      <c r="AR71" t="s">
        <v>0</v>
      </c>
      <c r="AT71" s="2">
        <v>0.30599999999999999</v>
      </c>
      <c r="AU71" s="1" t="e">
        <f t="shared" si="11"/>
        <v>#VALUE!</v>
      </c>
      <c r="AV71" s="1" t="e">
        <f t="shared" si="12"/>
        <v>#VALUE!</v>
      </c>
      <c r="AW71" s="1" t="e">
        <f t="shared" si="13"/>
        <v>#VALUE!</v>
      </c>
    </row>
    <row r="72" spans="1:49" x14ac:dyDescent="0.2">
      <c r="A72">
        <v>70</v>
      </c>
      <c r="B72" t="s">
        <v>7509</v>
      </c>
      <c r="C72" t="s">
        <v>7508</v>
      </c>
      <c r="F72" t="s">
        <v>7507</v>
      </c>
      <c r="G72" t="s">
        <v>14</v>
      </c>
      <c r="H72" t="s">
        <v>13</v>
      </c>
      <c r="I72" t="s">
        <v>7506</v>
      </c>
      <c r="J72">
        <v>60028717</v>
      </c>
      <c r="K72" t="s">
        <v>7505</v>
      </c>
      <c r="L72" t="s">
        <v>1137</v>
      </c>
      <c r="M72" t="s">
        <v>112</v>
      </c>
      <c r="N72">
        <v>3</v>
      </c>
      <c r="O72" t="s">
        <v>7504</v>
      </c>
      <c r="P72" t="s">
        <v>7503</v>
      </c>
      <c r="Q72" t="s">
        <v>7502</v>
      </c>
      <c r="R72" s="7">
        <v>31837</v>
      </c>
      <c r="S72" s="8">
        <f t="shared" si="8"/>
        <v>1987</v>
      </c>
      <c r="T72" s="8">
        <v>1987</v>
      </c>
      <c r="U72" s="8">
        <f t="shared" si="9"/>
        <v>35</v>
      </c>
      <c r="V72" s="7">
        <v>31837</v>
      </c>
      <c r="W72" t="s">
        <v>7184</v>
      </c>
      <c r="X72" s="2">
        <v>0.30099999999999999</v>
      </c>
      <c r="Y72" s="6">
        <f t="shared" si="14"/>
        <v>8.0350230906809754E-3</v>
      </c>
      <c r="AA72">
        <v>9395075</v>
      </c>
      <c r="AB72">
        <v>14954</v>
      </c>
      <c r="AC72">
        <v>18657125</v>
      </c>
      <c r="AD72" t="s">
        <v>4</v>
      </c>
      <c r="AE72">
        <v>42</v>
      </c>
      <c r="AF72">
        <v>3</v>
      </c>
      <c r="AH72" t="s">
        <v>7501</v>
      </c>
      <c r="AI72" t="s">
        <v>7500</v>
      </c>
      <c r="AJ72" t="s">
        <v>7499</v>
      </c>
      <c r="AK72" t="s">
        <v>7498</v>
      </c>
      <c r="AL72">
        <v>28</v>
      </c>
      <c r="AM72" s="5">
        <f t="shared" si="10"/>
        <v>0.8</v>
      </c>
      <c r="AN72" s="4">
        <f t="shared" si="15"/>
        <v>1.2116622491480501E-3</v>
      </c>
      <c r="AO72" s="3"/>
      <c r="AP72">
        <v>1</v>
      </c>
      <c r="AQ72" t="s">
        <v>6186</v>
      </c>
      <c r="AR72" t="s">
        <v>0</v>
      </c>
      <c r="AS72" t="s">
        <v>6184</v>
      </c>
      <c r="AT72" s="2" t="s">
        <v>32</v>
      </c>
      <c r="AU72" s="1">
        <f t="shared" si="11"/>
        <v>0.59880148382210974</v>
      </c>
      <c r="AV72" s="1">
        <f t="shared" si="12"/>
        <v>0.46233426699145125</v>
      </c>
      <c r="AW72" s="1">
        <f t="shared" si="13"/>
        <v>0.32586705016079281</v>
      </c>
    </row>
    <row r="73" spans="1:49" x14ac:dyDescent="0.2">
      <c r="A73">
        <v>71</v>
      </c>
      <c r="B73" t="s">
        <v>7497</v>
      </c>
      <c r="C73" t="s">
        <v>7496</v>
      </c>
      <c r="F73" t="s">
        <v>7495</v>
      </c>
      <c r="G73" t="s">
        <v>14</v>
      </c>
      <c r="H73" t="s">
        <v>13</v>
      </c>
      <c r="I73" t="s">
        <v>7494</v>
      </c>
      <c r="J73" t="s">
        <v>7493</v>
      </c>
      <c r="K73" t="s">
        <v>7492</v>
      </c>
      <c r="L73" t="s">
        <v>7491</v>
      </c>
      <c r="M73" t="s">
        <v>7490</v>
      </c>
      <c r="N73">
        <v>2</v>
      </c>
      <c r="O73" t="s">
        <v>7489</v>
      </c>
      <c r="P73" t="s">
        <v>7488</v>
      </c>
      <c r="Q73" t="s">
        <v>7487</v>
      </c>
      <c r="R73" s="7">
        <v>31837</v>
      </c>
      <c r="S73" s="8">
        <f t="shared" si="8"/>
        <v>1987</v>
      </c>
      <c r="T73" s="8">
        <v>1987</v>
      </c>
      <c r="U73" s="8">
        <f t="shared" si="9"/>
        <v>35</v>
      </c>
      <c r="V73" s="7">
        <v>31837</v>
      </c>
      <c r="W73" t="s">
        <v>22</v>
      </c>
      <c r="X73" s="2">
        <v>0.85499999999999998</v>
      </c>
      <c r="Y73" s="6">
        <f t="shared" si="14"/>
        <v>2.28237366861536E-2</v>
      </c>
      <c r="AA73">
        <v>980331</v>
      </c>
      <c r="AB73">
        <v>23342</v>
      </c>
      <c r="AC73">
        <v>15731561</v>
      </c>
      <c r="AD73" t="s">
        <v>4</v>
      </c>
      <c r="AE73">
        <v>13</v>
      </c>
      <c r="AF73">
        <v>3</v>
      </c>
      <c r="AH73" t="s">
        <v>7486</v>
      </c>
      <c r="AI73" t="s">
        <v>7485</v>
      </c>
      <c r="AJ73" t="s">
        <v>7484</v>
      </c>
      <c r="AK73" t="s">
        <v>7483</v>
      </c>
      <c r="AL73">
        <v>29</v>
      </c>
      <c r="AM73" s="5">
        <f t="shared" si="10"/>
        <v>0.82857142857142863</v>
      </c>
      <c r="AN73" s="4">
        <f t="shared" si="15"/>
        <v>1.2549359009033376E-3</v>
      </c>
      <c r="AO73" s="3"/>
      <c r="AP73">
        <v>0</v>
      </c>
      <c r="AR73" t="s">
        <v>0</v>
      </c>
      <c r="AT73" s="2">
        <v>2.6259999999999999</v>
      </c>
      <c r="AU73" s="1">
        <f t="shared" si="11"/>
        <v>1.6353096450578519</v>
      </c>
      <c r="AV73" s="1">
        <f t="shared" si="12"/>
        <v>1.2039336293528469</v>
      </c>
      <c r="AW73" s="1">
        <f t="shared" si="13"/>
        <v>0.77255761364784159</v>
      </c>
    </row>
    <row r="74" spans="1:49" x14ac:dyDescent="0.2">
      <c r="A74">
        <v>72</v>
      </c>
      <c r="B74" t="s">
        <v>7482</v>
      </c>
      <c r="F74" t="s">
        <v>7481</v>
      </c>
      <c r="G74" t="s">
        <v>14</v>
      </c>
      <c r="H74" t="s">
        <v>13</v>
      </c>
      <c r="I74" t="s">
        <v>7480</v>
      </c>
      <c r="J74">
        <v>60011131</v>
      </c>
      <c r="K74" t="s">
        <v>7479</v>
      </c>
      <c r="L74" t="s">
        <v>1006</v>
      </c>
      <c r="M74" t="s">
        <v>9</v>
      </c>
      <c r="N74">
        <v>1</v>
      </c>
      <c r="O74" t="s">
        <v>7478</v>
      </c>
      <c r="P74">
        <v>7005649418</v>
      </c>
      <c r="Q74">
        <v>60011131</v>
      </c>
      <c r="R74" s="7">
        <v>31837</v>
      </c>
      <c r="S74" s="8">
        <f t="shared" si="8"/>
        <v>1987</v>
      </c>
      <c r="T74" s="8">
        <v>1987</v>
      </c>
      <c r="U74" s="8">
        <f t="shared" si="9"/>
        <v>35</v>
      </c>
      <c r="V74" s="7">
        <v>31837</v>
      </c>
      <c r="W74" t="s">
        <v>7477</v>
      </c>
      <c r="X74" s="2" t="s">
        <v>32</v>
      </c>
      <c r="Y74" s="6" t="e">
        <f t="shared" si="14"/>
        <v>#VALUE!</v>
      </c>
      <c r="AA74">
        <v>7459726</v>
      </c>
      <c r="AB74">
        <v>32899</v>
      </c>
      <c r="AD74" t="s">
        <v>4</v>
      </c>
      <c r="AE74">
        <v>5</v>
      </c>
      <c r="AF74">
        <v>5</v>
      </c>
      <c r="AH74" t="s">
        <v>7476</v>
      </c>
      <c r="AI74" t="s">
        <v>7475</v>
      </c>
      <c r="AK74" t="s">
        <v>7474</v>
      </c>
      <c r="AL74">
        <v>0</v>
      </c>
      <c r="AM74" s="5">
        <f t="shared" si="10"/>
        <v>0</v>
      </c>
      <c r="AN74" s="4">
        <f t="shared" si="15"/>
        <v>0</v>
      </c>
      <c r="AO74" s="3"/>
      <c r="AP74">
        <v>0</v>
      </c>
      <c r="AR74" t="s">
        <v>0</v>
      </c>
      <c r="AT74" s="2" t="s">
        <v>32</v>
      </c>
      <c r="AU74" s="1" t="e">
        <f t="shared" si="11"/>
        <v>#VALUE!</v>
      </c>
      <c r="AV74" s="1" t="e">
        <f t="shared" si="12"/>
        <v>#VALUE!</v>
      </c>
      <c r="AW74" s="1" t="e">
        <f t="shared" si="13"/>
        <v>#VALUE!</v>
      </c>
    </row>
    <row r="75" spans="1:49" x14ac:dyDescent="0.2">
      <c r="A75">
        <v>73</v>
      </c>
      <c r="B75" t="s">
        <v>7473</v>
      </c>
      <c r="F75" t="s">
        <v>7472</v>
      </c>
      <c r="G75" t="s">
        <v>14</v>
      </c>
      <c r="H75" t="s">
        <v>13</v>
      </c>
      <c r="I75" t="s">
        <v>7471</v>
      </c>
      <c r="N75">
        <v>3</v>
      </c>
      <c r="O75" t="s">
        <v>7470</v>
      </c>
      <c r="P75" t="s">
        <v>7469</v>
      </c>
      <c r="Q75" t="s">
        <v>171</v>
      </c>
      <c r="R75" s="7">
        <v>31837</v>
      </c>
      <c r="S75" s="8">
        <f t="shared" si="8"/>
        <v>1987</v>
      </c>
      <c r="T75" s="8">
        <v>1987</v>
      </c>
      <c r="U75" s="8">
        <f t="shared" si="9"/>
        <v>35</v>
      </c>
      <c r="V75" s="7">
        <v>31837</v>
      </c>
      <c r="W75" t="s">
        <v>1195</v>
      </c>
      <c r="X75" s="2" t="s">
        <v>32</v>
      </c>
      <c r="Y75" s="6" t="e">
        <f t="shared" si="14"/>
        <v>#VALUE!</v>
      </c>
      <c r="AA75">
        <v>4186338</v>
      </c>
      <c r="AB75">
        <v>34729</v>
      </c>
      <c r="AD75" t="s">
        <v>4</v>
      </c>
      <c r="AE75">
        <v>35</v>
      </c>
      <c r="AF75">
        <v>2</v>
      </c>
      <c r="AH75" t="s">
        <v>7468</v>
      </c>
      <c r="AI75" t="s">
        <v>7467</v>
      </c>
      <c r="AK75" t="s">
        <v>7466</v>
      </c>
      <c r="AL75">
        <v>29</v>
      </c>
      <c r="AM75" s="5">
        <f t="shared" si="10"/>
        <v>0.82857142857142863</v>
      </c>
      <c r="AN75" s="4">
        <f t="shared" si="15"/>
        <v>1.2549359009033376E-3</v>
      </c>
      <c r="AO75" s="3"/>
      <c r="AP75">
        <v>0</v>
      </c>
      <c r="AR75" t="s">
        <v>0</v>
      </c>
      <c r="AT75" s="2" t="s">
        <v>32</v>
      </c>
      <c r="AU75" s="1" t="e">
        <f t="shared" si="11"/>
        <v>#VALUE!</v>
      </c>
      <c r="AV75" s="1" t="e">
        <f t="shared" si="12"/>
        <v>#VALUE!</v>
      </c>
      <c r="AW75" s="1" t="e">
        <f t="shared" si="13"/>
        <v>#VALUE!</v>
      </c>
    </row>
    <row r="76" spans="1:49" x14ac:dyDescent="0.2">
      <c r="A76">
        <v>74</v>
      </c>
      <c r="B76" t="s">
        <v>7465</v>
      </c>
      <c r="F76" t="s">
        <v>7464</v>
      </c>
      <c r="G76" t="s">
        <v>14</v>
      </c>
      <c r="H76" t="s">
        <v>13</v>
      </c>
      <c r="I76" t="s">
        <v>7463</v>
      </c>
      <c r="N76">
        <v>3</v>
      </c>
      <c r="O76" t="s">
        <v>7462</v>
      </c>
      <c r="P76" t="s">
        <v>7461</v>
      </c>
      <c r="Q76" t="s">
        <v>171</v>
      </c>
      <c r="R76" s="7">
        <v>31837</v>
      </c>
      <c r="S76" s="8">
        <f t="shared" si="8"/>
        <v>1987</v>
      </c>
      <c r="T76" s="8">
        <v>1987</v>
      </c>
      <c r="U76" s="8">
        <f t="shared" si="9"/>
        <v>35</v>
      </c>
      <c r="V76" s="7">
        <v>31837</v>
      </c>
      <c r="W76" t="s">
        <v>1195</v>
      </c>
      <c r="X76" s="2" t="s">
        <v>32</v>
      </c>
      <c r="Y76" s="6" t="e">
        <f t="shared" si="14"/>
        <v>#VALUE!</v>
      </c>
      <c r="AA76">
        <v>4186338</v>
      </c>
      <c r="AB76">
        <v>34729</v>
      </c>
      <c r="AD76" t="s">
        <v>4</v>
      </c>
      <c r="AE76">
        <v>35</v>
      </c>
      <c r="AF76">
        <v>2</v>
      </c>
      <c r="AH76" t="s">
        <v>7460</v>
      </c>
      <c r="AI76" t="s">
        <v>7459</v>
      </c>
      <c r="AK76" t="s">
        <v>7458</v>
      </c>
      <c r="AL76">
        <v>0</v>
      </c>
      <c r="AM76" s="5">
        <f t="shared" si="10"/>
        <v>0</v>
      </c>
      <c r="AN76" s="4">
        <f t="shared" si="15"/>
        <v>0</v>
      </c>
      <c r="AO76" s="3"/>
      <c r="AP76">
        <v>0</v>
      </c>
      <c r="AR76" t="s">
        <v>0</v>
      </c>
      <c r="AT76" s="2" t="s">
        <v>32</v>
      </c>
      <c r="AU76" s="1" t="e">
        <f t="shared" si="11"/>
        <v>#VALUE!</v>
      </c>
      <c r="AV76" s="1" t="e">
        <f t="shared" si="12"/>
        <v>#VALUE!</v>
      </c>
      <c r="AW76" s="1" t="e">
        <f t="shared" si="13"/>
        <v>#VALUE!</v>
      </c>
    </row>
    <row r="77" spans="1:49" x14ac:dyDescent="0.2">
      <c r="A77">
        <v>75</v>
      </c>
      <c r="B77" t="s">
        <v>7457</v>
      </c>
      <c r="F77" t="s">
        <v>7456</v>
      </c>
      <c r="G77" t="s">
        <v>14</v>
      </c>
      <c r="H77" t="s">
        <v>13</v>
      </c>
      <c r="I77" t="s">
        <v>7455</v>
      </c>
      <c r="J77">
        <v>60017016</v>
      </c>
      <c r="K77" t="s">
        <v>632</v>
      </c>
      <c r="L77" t="s">
        <v>631</v>
      </c>
      <c r="M77" t="s">
        <v>9</v>
      </c>
      <c r="N77">
        <v>1</v>
      </c>
      <c r="O77" t="s">
        <v>7454</v>
      </c>
      <c r="P77">
        <v>7102272473</v>
      </c>
      <c r="Q77">
        <v>60017016</v>
      </c>
      <c r="R77" s="7">
        <v>31837</v>
      </c>
      <c r="S77" s="8">
        <f t="shared" si="8"/>
        <v>1987</v>
      </c>
      <c r="T77" s="8">
        <v>1987</v>
      </c>
      <c r="U77" s="8">
        <f t="shared" si="9"/>
        <v>35</v>
      </c>
      <c r="V77" s="7">
        <v>31837</v>
      </c>
      <c r="W77" t="s">
        <v>629</v>
      </c>
      <c r="X77" s="2" t="s">
        <v>32</v>
      </c>
      <c r="Y77" s="6" t="e">
        <f t="shared" si="14"/>
        <v>#VALUE!</v>
      </c>
      <c r="AA77">
        <v>262897</v>
      </c>
      <c r="AB77">
        <v>18580</v>
      </c>
      <c r="AD77" t="s">
        <v>4</v>
      </c>
      <c r="AE77">
        <v>30</v>
      </c>
      <c r="AF77">
        <v>3</v>
      </c>
      <c r="AH77" t="s">
        <v>7453</v>
      </c>
      <c r="AI77" t="s">
        <v>7452</v>
      </c>
      <c r="AK77" t="s">
        <v>7451</v>
      </c>
      <c r="AL77">
        <v>26</v>
      </c>
      <c r="AM77" s="5">
        <f t="shared" si="10"/>
        <v>0.74285714285714288</v>
      </c>
      <c r="AN77" s="4">
        <f t="shared" si="15"/>
        <v>1.125114945637475E-3</v>
      </c>
      <c r="AO77" s="3"/>
      <c r="AP77">
        <v>0</v>
      </c>
      <c r="AR77" t="s">
        <v>0</v>
      </c>
      <c r="AT77" s="2">
        <v>0.30599999999999999</v>
      </c>
      <c r="AU77" s="1" t="e">
        <f t="shared" si="11"/>
        <v>#VALUE!</v>
      </c>
      <c r="AV77" s="1" t="e">
        <f t="shared" si="12"/>
        <v>#VALUE!</v>
      </c>
      <c r="AW77" s="1" t="e">
        <f t="shared" si="13"/>
        <v>#VALUE!</v>
      </c>
    </row>
    <row r="78" spans="1:49" x14ac:dyDescent="0.2">
      <c r="A78">
        <v>76</v>
      </c>
      <c r="B78" t="s">
        <v>7450</v>
      </c>
      <c r="F78" t="s">
        <v>7449</v>
      </c>
      <c r="G78" t="s">
        <v>14</v>
      </c>
      <c r="H78" t="s">
        <v>13</v>
      </c>
      <c r="I78" t="s">
        <v>7448</v>
      </c>
      <c r="J78">
        <v>60028673</v>
      </c>
      <c r="K78" t="s">
        <v>1240</v>
      </c>
      <c r="L78" t="s">
        <v>1137</v>
      </c>
      <c r="M78" t="s">
        <v>112</v>
      </c>
      <c r="N78">
        <v>3</v>
      </c>
      <c r="O78" t="s">
        <v>7447</v>
      </c>
      <c r="P78" t="s">
        <v>7446</v>
      </c>
      <c r="Q78" t="s">
        <v>7445</v>
      </c>
      <c r="R78" s="7">
        <v>31837</v>
      </c>
      <c r="S78" s="8">
        <f t="shared" si="8"/>
        <v>1987</v>
      </c>
      <c r="T78" s="8">
        <v>1987</v>
      </c>
      <c r="U78" s="8">
        <f t="shared" si="9"/>
        <v>35</v>
      </c>
      <c r="V78" s="7">
        <v>31837</v>
      </c>
      <c r="W78" t="s">
        <v>7444</v>
      </c>
      <c r="X78" s="2" t="s">
        <v>32</v>
      </c>
      <c r="Y78" s="6" t="e">
        <f t="shared" si="14"/>
        <v>#VALUE!</v>
      </c>
      <c r="AA78">
        <v>3444880</v>
      </c>
      <c r="AB78">
        <v>38773</v>
      </c>
      <c r="AD78" t="s">
        <v>4</v>
      </c>
      <c r="AE78">
        <v>10</v>
      </c>
      <c r="AF78">
        <v>2</v>
      </c>
      <c r="AH78" t="s">
        <v>7443</v>
      </c>
      <c r="AI78" t="s">
        <v>7442</v>
      </c>
      <c r="AK78" t="s">
        <v>7441</v>
      </c>
      <c r="AL78">
        <v>0</v>
      </c>
      <c r="AM78" s="5">
        <f t="shared" si="10"/>
        <v>0</v>
      </c>
      <c r="AN78" s="4">
        <f t="shared" si="15"/>
        <v>0</v>
      </c>
      <c r="AO78" s="3"/>
      <c r="AP78">
        <v>0</v>
      </c>
      <c r="AR78" t="s">
        <v>0</v>
      </c>
      <c r="AT78" s="2" t="s">
        <v>32</v>
      </c>
      <c r="AU78" s="1" t="e">
        <f t="shared" si="11"/>
        <v>#VALUE!</v>
      </c>
      <c r="AV78" s="1" t="e">
        <f t="shared" si="12"/>
        <v>#VALUE!</v>
      </c>
      <c r="AW78" s="1" t="e">
        <f t="shared" si="13"/>
        <v>#VALUE!</v>
      </c>
    </row>
    <row r="79" spans="1:49" x14ac:dyDescent="0.2">
      <c r="A79">
        <v>77</v>
      </c>
      <c r="B79" t="s">
        <v>7440</v>
      </c>
      <c r="F79" t="s">
        <v>7439</v>
      </c>
      <c r="G79" t="s">
        <v>14</v>
      </c>
      <c r="H79" t="s">
        <v>13</v>
      </c>
      <c r="I79" t="s">
        <v>7438</v>
      </c>
      <c r="J79">
        <v>60014662</v>
      </c>
      <c r="K79" t="s">
        <v>7437</v>
      </c>
      <c r="L79" t="s">
        <v>1600</v>
      </c>
      <c r="M79" t="s">
        <v>9</v>
      </c>
      <c r="N79">
        <v>6</v>
      </c>
      <c r="O79" t="s">
        <v>7436</v>
      </c>
      <c r="P79" t="s">
        <v>7435</v>
      </c>
      <c r="Q79" t="s">
        <v>7434</v>
      </c>
      <c r="R79" s="7">
        <v>31837</v>
      </c>
      <c r="S79" s="8">
        <f t="shared" si="8"/>
        <v>1987</v>
      </c>
      <c r="T79" s="8">
        <v>1987</v>
      </c>
      <c r="U79" s="8">
        <f t="shared" si="9"/>
        <v>35</v>
      </c>
      <c r="V79" s="7">
        <v>31837</v>
      </c>
      <c r="W79" t="s">
        <v>629</v>
      </c>
      <c r="X79" s="2" t="s">
        <v>32</v>
      </c>
      <c r="Y79" s="6" t="e">
        <f t="shared" si="14"/>
        <v>#VALUE!</v>
      </c>
      <c r="AA79">
        <v>262897</v>
      </c>
      <c r="AB79">
        <v>18580</v>
      </c>
      <c r="AD79" t="s">
        <v>4</v>
      </c>
      <c r="AE79">
        <v>30</v>
      </c>
      <c r="AF79">
        <v>3</v>
      </c>
      <c r="AH79" t="s">
        <v>7433</v>
      </c>
      <c r="AI79" t="s">
        <v>7432</v>
      </c>
      <c r="AK79" t="s">
        <v>7431</v>
      </c>
      <c r="AL79">
        <v>10</v>
      </c>
      <c r="AM79" s="5">
        <f t="shared" si="10"/>
        <v>0.2857142857142857</v>
      </c>
      <c r="AN79" s="4">
        <f t="shared" si="15"/>
        <v>4.3273651755287499E-4</v>
      </c>
      <c r="AO79" s="3"/>
      <c r="AP79">
        <v>0</v>
      </c>
      <c r="AR79" t="s">
        <v>0</v>
      </c>
      <c r="AT79" s="2">
        <v>0.30599999999999999</v>
      </c>
      <c r="AU79" s="1" t="e">
        <f t="shared" si="11"/>
        <v>#VALUE!</v>
      </c>
      <c r="AV79" s="1" t="e">
        <f t="shared" si="12"/>
        <v>#VALUE!</v>
      </c>
      <c r="AW79" s="1" t="e">
        <f t="shared" si="13"/>
        <v>#VALUE!</v>
      </c>
    </row>
    <row r="80" spans="1:49" x14ac:dyDescent="0.2">
      <c r="A80">
        <v>78</v>
      </c>
      <c r="B80" t="s">
        <v>7430</v>
      </c>
      <c r="F80" t="s">
        <v>7429</v>
      </c>
      <c r="G80" t="s">
        <v>14</v>
      </c>
      <c r="H80" t="s">
        <v>13</v>
      </c>
      <c r="I80" t="s">
        <v>7428</v>
      </c>
      <c r="N80">
        <v>3</v>
      </c>
      <c r="O80" t="s">
        <v>7427</v>
      </c>
      <c r="P80" t="s">
        <v>7426</v>
      </c>
      <c r="Q80" t="s">
        <v>171</v>
      </c>
      <c r="R80" s="7">
        <v>31837</v>
      </c>
      <c r="S80" s="8">
        <f t="shared" si="8"/>
        <v>1987</v>
      </c>
      <c r="T80" s="8">
        <v>1987</v>
      </c>
      <c r="U80" s="8">
        <f t="shared" si="9"/>
        <v>35</v>
      </c>
      <c r="V80" s="7">
        <v>31837</v>
      </c>
      <c r="W80" t="s">
        <v>1195</v>
      </c>
      <c r="X80" s="2" t="s">
        <v>32</v>
      </c>
      <c r="Y80" s="6" t="e">
        <f t="shared" si="14"/>
        <v>#VALUE!</v>
      </c>
      <c r="AA80">
        <v>4186338</v>
      </c>
      <c r="AB80">
        <v>34729</v>
      </c>
      <c r="AD80" t="s">
        <v>4</v>
      </c>
      <c r="AE80">
        <v>35</v>
      </c>
      <c r="AF80">
        <v>2</v>
      </c>
      <c r="AH80" t="s">
        <v>7425</v>
      </c>
      <c r="AI80" t="s">
        <v>7424</v>
      </c>
      <c r="AK80" t="s">
        <v>7423</v>
      </c>
      <c r="AL80">
        <v>0</v>
      </c>
      <c r="AM80" s="5">
        <f t="shared" si="10"/>
        <v>0</v>
      </c>
      <c r="AN80" s="4">
        <f t="shared" si="15"/>
        <v>0</v>
      </c>
      <c r="AO80" s="3"/>
      <c r="AP80">
        <v>0</v>
      </c>
      <c r="AR80" t="s">
        <v>0</v>
      </c>
      <c r="AT80" s="2" t="s">
        <v>32</v>
      </c>
      <c r="AU80" s="1" t="e">
        <f t="shared" si="11"/>
        <v>#VALUE!</v>
      </c>
      <c r="AV80" s="1" t="e">
        <f t="shared" si="12"/>
        <v>#VALUE!</v>
      </c>
      <c r="AW80" s="1" t="e">
        <f t="shared" si="13"/>
        <v>#VALUE!</v>
      </c>
    </row>
    <row r="81" spans="1:49" x14ac:dyDescent="0.2">
      <c r="A81">
        <v>79</v>
      </c>
      <c r="B81" t="s">
        <v>7422</v>
      </c>
      <c r="F81" t="s">
        <v>7421</v>
      </c>
      <c r="G81" t="s">
        <v>14</v>
      </c>
      <c r="H81" t="s">
        <v>13</v>
      </c>
      <c r="I81" t="s">
        <v>7420</v>
      </c>
      <c r="N81">
        <v>3</v>
      </c>
      <c r="O81" t="s">
        <v>7419</v>
      </c>
      <c r="P81" t="s">
        <v>7418</v>
      </c>
      <c r="Q81" t="s">
        <v>171</v>
      </c>
      <c r="R81" s="7">
        <v>31837</v>
      </c>
      <c r="S81" s="8">
        <f t="shared" si="8"/>
        <v>1987</v>
      </c>
      <c r="T81" s="8">
        <v>1987</v>
      </c>
      <c r="U81" s="8">
        <f t="shared" si="9"/>
        <v>35</v>
      </c>
      <c r="V81" s="7">
        <v>31837</v>
      </c>
      <c r="W81" t="s">
        <v>1195</v>
      </c>
      <c r="X81" s="2" t="s">
        <v>32</v>
      </c>
      <c r="Y81" s="6" t="e">
        <f t="shared" si="14"/>
        <v>#VALUE!</v>
      </c>
      <c r="AA81">
        <v>4186338</v>
      </c>
      <c r="AB81">
        <v>34729</v>
      </c>
      <c r="AD81" t="s">
        <v>4</v>
      </c>
      <c r="AE81">
        <v>35</v>
      </c>
      <c r="AF81">
        <v>2</v>
      </c>
      <c r="AH81" t="s">
        <v>1675</v>
      </c>
      <c r="AI81" t="s">
        <v>7417</v>
      </c>
      <c r="AK81" t="s">
        <v>7416</v>
      </c>
      <c r="AL81">
        <v>0</v>
      </c>
      <c r="AM81" s="5">
        <f t="shared" si="10"/>
        <v>0</v>
      </c>
      <c r="AN81" s="4">
        <f t="shared" si="15"/>
        <v>0</v>
      </c>
      <c r="AO81" s="3"/>
      <c r="AP81">
        <v>0</v>
      </c>
      <c r="AR81" t="s">
        <v>0</v>
      </c>
      <c r="AT81" s="2" t="s">
        <v>32</v>
      </c>
      <c r="AU81" s="1" t="e">
        <f t="shared" si="11"/>
        <v>#VALUE!</v>
      </c>
      <c r="AV81" s="1" t="e">
        <f t="shared" si="12"/>
        <v>#VALUE!</v>
      </c>
      <c r="AW81" s="1" t="e">
        <f t="shared" si="13"/>
        <v>#VALUE!</v>
      </c>
    </row>
    <row r="82" spans="1:49" x14ac:dyDescent="0.2">
      <c r="A82">
        <v>80</v>
      </c>
      <c r="B82" t="s">
        <v>7415</v>
      </c>
      <c r="F82" t="s">
        <v>7414</v>
      </c>
      <c r="G82" t="s">
        <v>14</v>
      </c>
      <c r="H82" t="s">
        <v>13</v>
      </c>
      <c r="I82" t="s">
        <v>7413</v>
      </c>
      <c r="J82">
        <v>60015623</v>
      </c>
      <c r="K82" t="s">
        <v>819</v>
      </c>
      <c r="L82" t="s">
        <v>818</v>
      </c>
      <c r="M82" t="s">
        <v>9</v>
      </c>
      <c r="N82">
        <v>3</v>
      </c>
      <c r="O82" t="s">
        <v>7412</v>
      </c>
      <c r="P82" t="s">
        <v>7411</v>
      </c>
      <c r="Q82" t="s">
        <v>815</v>
      </c>
      <c r="R82" s="7">
        <v>31837</v>
      </c>
      <c r="S82" s="8">
        <f t="shared" si="8"/>
        <v>1987</v>
      </c>
      <c r="T82" s="8">
        <v>1987</v>
      </c>
      <c r="U82" s="8">
        <f t="shared" si="9"/>
        <v>35</v>
      </c>
      <c r="V82" s="7">
        <v>31837</v>
      </c>
      <c r="W82" t="s">
        <v>629</v>
      </c>
      <c r="X82" s="2" t="s">
        <v>32</v>
      </c>
      <c r="Y82" s="6" t="e">
        <f t="shared" si="14"/>
        <v>#VALUE!</v>
      </c>
      <c r="AA82">
        <v>262897</v>
      </c>
      <c r="AB82">
        <v>18580</v>
      </c>
      <c r="AD82" t="s">
        <v>4</v>
      </c>
      <c r="AE82">
        <v>30</v>
      </c>
      <c r="AF82">
        <v>3</v>
      </c>
      <c r="AH82" t="s">
        <v>7410</v>
      </c>
      <c r="AI82" t="s">
        <v>7409</v>
      </c>
      <c r="AK82" t="s">
        <v>7408</v>
      </c>
      <c r="AL82">
        <v>1</v>
      </c>
      <c r="AM82" s="5">
        <f t="shared" si="10"/>
        <v>2.8571428571428571E-2</v>
      </c>
      <c r="AN82" s="4">
        <f t="shared" si="15"/>
        <v>4.32736517552875E-5</v>
      </c>
      <c r="AO82" s="3"/>
      <c r="AP82">
        <v>0</v>
      </c>
      <c r="AR82" t="s">
        <v>0</v>
      </c>
      <c r="AT82" s="2">
        <v>0.30599999999999999</v>
      </c>
      <c r="AU82" s="1" t="e">
        <f t="shared" si="11"/>
        <v>#VALUE!</v>
      </c>
      <c r="AV82" s="1" t="e">
        <f t="shared" si="12"/>
        <v>#VALUE!</v>
      </c>
      <c r="AW82" s="1" t="e">
        <f t="shared" si="13"/>
        <v>#VALUE!</v>
      </c>
    </row>
    <row r="83" spans="1:49" x14ac:dyDescent="0.2">
      <c r="A83">
        <v>81</v>
      </c>
      <c r="B83" t="s">
        <v>7407</v>
      </c>
      <c r="F83" t="s">
        <v>7406</v>
      </c>
      <c r="G83" t="s">
        <v>14</v>
      </c>
      <c r="H83" t="s">
        <v>13</v>
      </c>
      <c r="I83" t="s">
        <v>7405</v>
      </c>
      <c r="N83">
        <v>1</v>
      </c>
      <c r="O83" t="s">
        <v>7404</v>
      </c>
      <c r="P83">
        <v>6506840542</v>
      </c>
      <c r="R83" s="7">
        <v>31837</v>
      </c>
      <c r="S83" s="8">
        <f t="shared" si="8"/>
        <v>1987</v>
      </c>
      <c r="T83" s="8">
        <v>1987</v>
      </c>
      <c r="U83" s="8">
        <f t="shared" si="9"/>
        <v>35</v>
      </c>
      <c r="V83" s="7">
        <v>31837</v>
      </c>
      <c r="W83" t="s">
        <v>939</v>
      </c>
      <c r="X83" s="2" t="s">
        <v>32</v>
      </c>
      <c r="Y83" s="6" t="e">
        <f t="shared" si="14"/>
        <v>#VALUE!</v>
      </c>
      <c r="AA83">
        <v>87566648</v>
      </c>
      <c r="AB83">
        <v>74127</v>
      </c>
      <c r="AD83" t="s">
        <v>4</v>
      </c>
      <c r="AE83">
        <v>32</v>
      </c>
      <c r="AF83">
        <v>3</v>
      </c>
      <c r="AH83" t="s">
        <v>7403</v>
      </c>
      <c r="AI83" t="s">
        <v>7402</v>
      </c>
      <c r="AK83" t="s">
        <v>7401</v>
      </c>
      <c r="AL83">
        <v>0</v>
      </c>
      <c r="AM83" s="5">
        <f t="shared" si="10"/>
        <v>0</v>
      </c>
      <c r="AN83" s="4">
        <f t="shared" si="15"/>
        <v>0</v>
      </c>
      <c r="AO83" s="3"/>
      <c r="AP83">
        <v>0</v>
      </c>
      <c r="AR83" t="s">
        <v>0</v>
      </c>
      <c r="AT83" s="2" t="s">
        <v>32</v>
      </c>
      <c r="AU83" s="1" t="e">
        <f t="shared" si="11"/>
        <v>#VALUE!</v>
      </c>
      <c r="AV83" s="1" t="e">
        <f t="shared" si="12"/>
        <v>#VALUE!</v>
      </c>
      <c r="AW83" s="1" t="e">
        <f t="shared" si="13"/>
        <v>#VALUE!</v>
      </c>
    </row>
    <row r="84" spans="1:49" x14ac:dyDescent="0.2">
      <c r="A84">
        <v>82</v>
      </c>
      <c r="B84" t="s">
        <v>7400</v>
      </c>
      <c r="F84" t="s">
        <v>7399</v>
      </c>
      <c r="G84" t="s">
        <v>14</v>
      </c>
      <c r="H84" t="s">
        <v>13</v>
      </c>
      <c r="I84" t="s">
        <v>7398</v>
      </c>
      <c r="N84">
        <v>2</v>
      </c>
      <c r="O84" t="s">
        <v>7397</v>
      </c>
      <c r="P84" t="s">
        <v>7396</v>
      </c>
      <c r="Q84" t="s">
        <v>349</v>
      </c>
      <c r="R84" s="7">
        <v>31837</v>
      </c>
      <c r="S84" s="8">
        <f t="shared" si="8"/>
        <v>1987</v>
      </c>
      <c r="T84" s="8">
        <v>1987</v>
      </c>
      <c r="U84" s="8">
        <f t="shared" si="9"/>
        <v>35</v>
      </c>
      <c r="V84" s="7">
        <v>31837</v>
      </c>
      <c r="W84" t="s">
        <v>7395</v>
      </c>
      <c r="X84" s="2" t="s">
        <v>32</v>
      </c>
      <c r="Y84" s="6" t="e">
        <f t="shared" si="14"/>
        <v>#VALUE!</v>
      </c>
      <c r="AA84">
        <v>1781928</v>
      </c>
      <c r="AB84">
        <v>32667</v>
      </c>
      <c r="AD84" t="s">
        <v>4</v>
      </c>
      <c r="AE84">
        <v>18</v>
      </c>
      <c r="AF84">
        <v>1</v>
      </c>
      <c r="AH84" s="10">
        <v>41944</v>
      </c>
      <c r="AI84" t="s">
        <v>7394</v>
      </c>
      <c r="AK84" t="s">
        <v>7393</v>
      </c>
      <c r="AL84">
        <v>0</v>
      </c>
      <c r="AM84" s="5">
        <f t="shared" si="10"/>
        <v>0</v>
      </c>
      <c r="AN84" s="4">
        <f t="shared" si="15"/>
        <v>0</v>
      </c>
      <c r="AO84" s="3"/>
      <c r="AP84">
        <v>0</v>
      </c>
      <c r="AR84" t="s">
        <v>0</v>
      </c>
      <c r="AT84" s="2" t="s">
        <v>32</v>
      </c>
      <c r="AU84" s="1" t="e">
        <f t="shared" si="11"/>
        <v>#VALUE!</v>
      </c>
      <c r="AV84" s="1" t="e">
        <f t="shared" si="12"/>
        <v>#VALUE!</v>
      </c>
      <c r="AW84" s="1" t="e">
        <f t="shared" si="13"/>
        <v>#VALUE!</v>
      </c>
    </row>
    <row r="85" spans="1:49" x14ac:dyDescent="0.2">
      <c r="A85">
        <v>83</v>
      </c>
      <c r="B85" t="s">
        <v>7392</v>
      </c>
      <c r="F85" t="s">
        <v>7391</v>
      </c>
      <c r="G85" t="s">
        <v>14</v>
      </c>
      <c r="H85" t="s">
        <v>13</v>
      </c>
      <c r="I85" t="s">
        <v>7390</v>
      </c>
      <c r="N85">
        <v>2</v>
      </c>
      <c r="O85" t="s">
        <v>7389</v>
      </c>
      <c r="P85" t="s">
        <v>7388</v>
      </c>
      <c r="Q85" t="s">
        <v>349</v>
      </c>
      <c r="R85" s="7">
        <v>31837</v>
      </c>
      <c r="S85" s="8">
        <f t="shared" si="8"/>
        <v>1987</v>
      </c>
      <c r="T85" s="8">
        <v>1987</v>
      </c>
      <c r="U85" s="8">
        <f t="shared" si="9"/>
        <v>35</v>
      </c>
      <c r="V85" s="7">
        <v>31837</v>
      </c>
      <c r="W85" t="s">
        <v>939</v>
      </c>
      <c r="X85" s="2" t="s">
        <v>32</v>
      </c>
      <c r="Y85" s="6" t="e">
        <f t="shared" si="14"/>
        <v>#VALUE!</v>
      </c>
      <c r="AA85">
        <v>87566648</v>
      </c>
      <c r="AB85">
        <v>74127</v>
      </c>
      <c r="AD85" t="s">
        <v>4</v>
      </c>
      <c r="AE85">
        <v>32</v>
      </c>
      <c r="AF85">
        <v>3</v>
      </c>
      <c r="AH85" t="s">
        <v>1094</v>
      </c>
      <c r="AI85" t="s">
        <v>7387</v>
      </c>
      <c r="AK85" t="s">
        <v>7386</v>
      </c>
      <c r="AL85">
        <v>0</v>
      </c>
      <c r="AM85" s="5">
        <f t="shared" si="10"/>
        <v>0</v>
      </c>
      <c r="AN85" s="4">
        <f t="shared" si="15"/>
        <v>0</v>
      </c>
      <c r="AO85" s="3"/>
      <c r="AP85">
        <v>0</v>
      </c>
      <c r="AR85" t="s">
        <v>0</v>
      </c>
      <c r="AT85" s="2" t="s">
        <v>32</v>
      </c>
      <c r="AU85" s="1" t="e">
        <f t="shared" si="11"/>
        <v>#VALUE!</v>
      </c>
      <c r="AV85" s="1" t="e">
        <f t="shared" si="12"/>
        <v>#VALUE!</v>
      </c>
      <c r="AW85" s="1" t="e">
        <f t="shared" si="13"/>
        <v>#VALUE!</v>
      </c>
    </row>
    <row r="86" spans="1:49" x14ac:dyDescent="0.2">
      <c r="A86">
        <v>84</v>
      </c>
      <c r="B86" t="s">
        <v>7385</v>
      </c>
      <c r="F86" t="s">
        <v>7384</v>
      </c>
      <c r="G86" t="s">
        <v>14</v>
      </c>
      <c r="H86" t="s">
        <v>13</v>
      </c>
      <c r="I86" t="s">
        <v>7383</v>
      </c>
      <c r="N86">
        <v>1</v>
      </c>
      <c r="O86" t="s">
        <v>7382</v>
      </c>
      <c r="P86">
        <v>24342258300</v>
      </c>
      <c r="R86" s="7">
        <v>31837</v>
      </c>
      <c r="S86" s="8">
        <f t="shared" si="8"/>
        <v>1987</v>
      </c>
      <c r="T86" s="8">
        <v>1987</v>
      </c>
      <c r="U86" s="8">
        <f t="shared" si="9"/>
        <v>35</v>
      </c>
      <c r="V86" s="7">
        <v>31837</v>
      </c>
      <c r="W86" t="s">
        <v>939</v>
      </c>
      <c r="X86" s="2" t="s">
        <v>32</v>
      </c>
      <c r="Y86" s="6" t="e">
        <f t="shared" si="14"/>
        <v>#VALUE!</v>
      </c>
      <c r="AA86">
        <v>87566648</v>
      </c>
      <c r="AB86">
        <v>74127</v>
      </c>
      <c r="AD86" t="s">
        <v>4</v>
      </c>
      <c r="AE86">
        <v>32</v>
      </c>
      <c r="AF86">
        <v>3</v>
      </c>
      <c r="AH86" s="10">
        <v>41883</v>
      </c>
      <c r="AI86" t="s">
        <v>7381</v>
      </c>
      <c r="AK86" t="s">
        <v>7380</v>
      </c>
      <c r="AL86">
        <v>5</v>
      </c>
      <c r="AM86" s="5">
        <f t="shared" si="10"/>
        <v>0.14285714285714285</v>
      </c>
      <c r="AN86" s="4">
        <f t="shared" si="15"/>
        <v>2.1636825877643749E-4</v>
      </c>
      <c r="AO86" s="3"/>
      <c r="AP86">
        <v>0</v>
      </c>
      <c r="AR86" t="s">
        <v>0</v>
      </c>
      <c r="AT86" s="2" t="s">
        <v>32</v>
      </c>
      <c r="AU86" s="1" t="e">
        <f t="shared" si="11"/>
        <v>#VALUE!</v>
      </c>
      <c r="AV86" s="1" t="e">
        <f t="shared" si="12"/>
        <v>#VALUE!</v>
      </c>
      <c r="AW86" s="1" t="e">
        <f t="shared" si="13"/>
        <v>#VALUE!</v>
      </c>
    </row>
    <row r="87" spans="1:49" x14ac:dyDescent="0.2">
      <c r="A87">
        <v>85</v>
      </c>
      <c r="B87" t="s">
        <v>7379</v>
      </c>
      <c r="C87" t="s">
        <v>7378</v>
      </c>
      <c r="F87" t="s">
        <v>7377</v>
      </c>
      <c r="G87" t="s">
        <v>14</v>
      </c>
      <c r="H87" t="s">
        <v>13</v>
      </c>
      <c r="I87" t="s">
        <v>7376</v>
      </c>
      <c r="N87">
        <v>15</v>
      </c>
      <c r="O87" t="s">
        <v>7375</v>
      </c>
      <c r="P87" t="s">
        <v>7374</v>
      </c>
      <c r="Q87" t="s">
        <v>7373</v>
      </c>
      <c r="R87" s="7">
        <v>31837</v>
      </c>
      <c r="S87" s="8">
        <f t="shared" si="8"/>
        <v>1987</v>
      </c>
      <c r="T87" s="8">
        <v>1987</v>
      </c>
      <c r="U87" s="8">
        <f t="shared" si="9"/>
        <v>35</v>
      </c>
      <c r="V87" s="7">
        <v>31837</v>
      </c>
      <c r="W87" t="s">
        <v>7372</v>
      </c>
      <c r="X87" s="2">
        <v>0.318</v>
      </c>
      <c r="Y87" s="6">
        <f t="shared" si="14"/>
        <v>8.4888283815167786E-3</v>
      </c>
      <c r="AA87">
        <v>338443</v>
      </c>
      <c r="AB87">
        <v>27160</v>
      </c>
      <c r="AC87">
        <v>15739120</v>
      </c>
      <c r="AD87" t="s">
        <v>4</v>
      </c>
      <c r="AE87">
        <v>30</v>
      </c>
      <c r="AF87">
        <v>3</v>
      </c>
      <c r="AH87" t="s">
        <v>7371</v>
      </c>
      <c r="AL87">
        <v>0</v>
      </c>
      <c r="AM87" s="5">
        <f t="shared" si="10"/>
        <v>0</v>
      </c>
      <c r="AN87" s="4">
        <f t="shared" si="15"/>
        <v>0</v>
      </c>
      <c r="AO87" s="3"/>
      <c r="AP87">
        <v>0</v>
      </c>
      <c r="AR87" t="s">
        <v>0</v>
      </c>
      <c r="AT87" s="2">
        <v>0.77</v>
      </c>
      <c r="AU87" s="1">
        <f t="shared" si="11"/>
        <v>0.59421798670617454</v>
      </c>
      <c r="AV87" s="1">
        <f t="shared" si="12"/>
        <v>0.42444141907583893</v>
      </c>
      <c r="AW87" s="1">
        <f t="shared" si="13"/>
        <v>0.25466485144550338</v>
      </c>
    </row>
    <row r="88" spans="1:49" x14ac:dyDescent="0.2">
      <c r="A88">
        <v>86</v>
      </c>
      <c r="B88" t="s">
        <v>7370</v>
      </c>
      <c r="F88" t="s">
        <v>7369</v>
      </c>
      <c r="G88" t="s">
        <v>14</v>
      </c>
      <c r="H88" t="s">
        <v>13</v>
      </c>
      <c r="I88" t="s">
        <v>7368</v>
      </c>
      <c r="N88">
        <v>2</v>
      </c>
      <c r="O88" t="s">
        <v>7367</v>
      </c>
      <c r="P88" t="s">
        <v>7366</v>
      </c>
      <c r="Q88" t="s">
        <v>349</v>
      </c>
      <c r="R88" s="7">
        <v>31837</v>
      </c>
      <c r="S88" s="8">
        <f t="shared" si="8"/>
        <v>1987</v>
      </c>
      <c r="T88" s="8">
        <v>1987</v>
      </c>
      <c r="U88" s="8">
        <f t="shared" si="9"/>
        <v>35</v>
      </c>
      <c r="V88" s="7">
        <v>31837</v>
      </c>
      <c r="W88" t="s">
        <v>939</v>
      </c>
      <c r="X88" s="2" t="s">
        <v>32</v>
      </c>
      <c r="Y88" s="6" t="e">
        <f t="shared" si="14"/>
        <v>#VALUE!</v>
      </c>
      <c r="AA88">
        <v>87566648</v>
      </c>
      <c r="AB88">
        <v>74127</v>
      </c>
      <c r="AD88" t="s">
        <v>4</v>
      </c>
      <c r="AE88">
        <v>32</v>
      </c>
      <c r="AF88">
        <v>3</v>
      </c>
      <c r="AH88" t="s">
        <v>7365</v>
      </c>
      <c r="AI88" t="s">
        <v>7364</v>
      </c>
      <c r="AK88" t="s">
        <v>7363</v>
      </c>
      <c r="AL88">
        <v>0</v>
      </c>
      <c r="AM88" s="5">
        <f t="shared" si="10"/>
        <v>0</v>
      </c>
      <c r="AN88" s="4">
        <f t="shared" si="15"/>
        <v>0</v>
      </c>
      <c r="AO88" s="3"/>
      <c r="AP88">
        <v>0</v>
      </c>
      <c r="AR88" t="s">
        <v>0</v>
      </c>
      <c r="AT88" s="2" t="s">
        <v>32</v>
      </c>
      <c r="AU88" s="1" t="e">
        <f t="shared" si="11"/>
        <v>#VALUE!</v>
      </c>
      <c r="AV88" s="1" t="e">
        <f t="shared" si="12"/>
        <v>#VALUE!</v>
      </c>
      <c r="AW88" s="1" t="e">
        <f t="shared" si="13"/>
        <v>#VALUE!</v>
      </c>
    </row>
    <row r="89" spans="1:49" x14ac:dyDescent="0.2">
      <c r="A89">
        <v>87</v>
      </c>
      <c r="B89" t="s">
        <v>7362</v>
      </c>
      <c r="C89" t="s">
        <v>7361</v>
      </c>
      <c r="F89" t="s">
        <v>7360</v>
      </c>
      <c r="G89" t="s">
        <v>14</v>
      </c>
      <c r="H89" t="s">
        <v>13</v>
      </c>
      <c r="I89" t="s">
        <v>7359</v>
      </c>
      <c r="J89">
        <v>60007257</v>
      </c>
      <c r="K89" t="s">
        <v>7358</v>
      </c>
      <c r="L89" t="s">
        <v>2491</v>
      </c>
      <c r="M89" t="s">
        <v>112</v>
      </c>
      <c r="N89">
        <v>3</v>
      </c>
      <c r="O89" t="s">
        <v>7357</v>
      </c>
      <c r="P89" t="s">
        <v>7356</v>
      </c>
      <c r="Q89" t="s">
        <v>7355</v>
      </c>
      <c r="R89" s="7">
        <v>31837</v>
      </c>
      <c r="S89" s="8">
        <f t="shared" si="8"/>
        <v>1987</v>
      </c>
      <c r="T89" s="8">
        <v>1987</v>
      </c>
      <c r="U89" s="8">
        <f t="shared" si="9"/>
        <v>35</v>
      </c>
      <c r="V89" s="7">
        <v>31837</v>
      </c>
      <c r="W89" t="s">
        <v>136</v>
      </c>
      <c r="X89" s="2">
        <v>0.8</v>
      </c>
      <c r="Y89" s="6">
        <f t="shared" si="14"/>
        <v>2.1355543098155415E-2</v>
      </c>
      <c r="AA89">
        <v>3407594</v>
      </c>
      <c r="AB89">
        <v>23456</v>
      </c>
      <c r="AC89">
        <v>14321351</v>
      </c>
      <c r="AD89" t="s">
        <v>4</v>
      </c>
      <c r="AE89">
        <v>160</v>
      </c>
      <c r="AF89">
        <v>2</v>
      </c>
      <c r="AH89" t="s">
        <v>7354</v>
      </c>
      <c r="AI89" t="s">
        <v>7353</v>
      </c>
      <c r="AK89" t="s">
        <v>7352</v>
      </c>
      <c r="AL89">
        <v>62</v>
      </c>
      <c r="AM89" s="5">
        <f t="shared" si="10"/>
        <v>1.7714285714285714</v>
      </c>
      <c r="AN89" s="4">
        <f t="shared" si="15"/>
        <v>2.6829664088278246E-3</v>
      </c>
      <c r="AO89" s="3"/>
      <c r="AP89">
        <v>0</v>
      </c>
      <c r="AR89" t="s">
        <v>0</v>
      </c>
      <c r="AT89" s="2" t="s">
        <v>32</v>
      </c>
      <c r="AU89" s="1">
        <f t="shared" si="11"/>
        <v>1.5753770091357138</v>
      </c>
      <c r="AV89" s="1">
        <f t="shared" si="12"/>
        <v>1.2019254753491619</v>
      </c>
      <c r="AW89" s="1">
        <f t="shared" si="13"/>
        <v>0.82847394156261023</v>
      </c>
    </row>
    <row r="90" spans="1:49" x14ac:dyDescent="0.2">
      <c r="A90">
        <v>88</v>
      </c>
      <c r="B90" t="s">
        <v>7351</v>
      </c>
      <c r="C90" t="s">
        <v>7350</v>
      </c>
      <c r="F90" t="s">
        <v>7349</v>
      </c>
      <c r="G90" t="s">
        <v>14</v>
      </c>
      <c r="H90" t="s">
        <v>13</v>
      </c>
      <c r="I90" t="s">
        <v>4146</v>
      </c>
      <c r="J90">
        <v>60015331</v>
      </c>
      <c r="K90" t="s">
        <v>794</v>
      </c>
      <c r="L90" t="s">
        <v>793</v>
      </c>
      <c r="M90" t="s">
        <v>792</v>
      </c>
      <c r="N90">
        <v>2</v>
      </c>
      <c r="O90" t="s">
        <v>4145</v>
      </c>
      <c r="P90" t="s">
        <v>4144</v>
      </c>
      <c r="Q90" t="s">
        <v>4143</v>
      </c>
      <c r="R90" s="7">
        <v>31837</v>
      </c>
      <c r="S90" s="8">
        <f t="shared" si="8"/>
        <v>1987</v>
      </c>
      <c r="T90" s="8">
        <v>1987</v>
      </c>
      <c r="U90" s="8">
        <f t="shared" si="9"/>
        <v>35</v>
      </c>
      <c r="V90" s="7">
        <v>31837</v>
      </c>
      <c r="W90" t="s">
        <v>788</v>
      </c>
      <c r="X90" s="2" t="s">
        <v>32</v>
      </c>
      <c r="Y90" s="6" t="e">
        <f t="shared" si="14"/>
        <v>#VALUE!</v>
      </c>
      <c r="AA90">
        <v>39039</v>
      </c>
      <c r="AB90">
        <v>31407</v>
      </c>
      <c r="AC90">
        <v>14320487</v>
      </c>
      <c r="AD90" t="s">
        <v>4</v>
      </c>
      <c r="AE90">
        <v>70</v>
      </c>
      <c r="AF90">
        <v>2</v>
      </c>
      <c r="AH90" t="s">
        <v>7348</v>
      </c>
      <c r="AI90" t="s">
        <v>7347</v>
      </c>
      <c r="AK90" t="s">
        <v>7346</v>
      </c>
      <c r="AL90">
        <v>0</v>
      </c>
      <c r="AM90" s="5">
        <f t="shared" si="10"/>
        <v>0</v>
      </c>
      <c r="AN90" s="4">
        <f t="shared" si="15"/>
        <v>0</v>
      </c>
      <c r="AO90" s="3"/>
      <c r="AP90">
        <v>0</v>
      </c>
      <c r="AR90" t="s">
        <v>0</v>
      </c>
      <c r="AT90" s="2" t="s">
        <v>32</v>
      </c>
      <c r="AU90" s="1" t="e">
        <f t="shared" si="11"/>
        <v>#VALUE!</v>
      </c>
      <c r="AV90" s="1" t="e">
        <f t="shared" si="12"/>
        <v>#VALUE!</v>
      </c>
      <c r="AW90" s="1" t="e">
        <f t="shared" si="13"/>
        <v>#VALUE!</v>
      </c>
    </row>
    <row r="91" spans="1:49" x14ac:dyDescent="0.2">
      <c r="A91">
        <v>89</v>
      </c>
      <c r="B91" t="s">
        <v>7345</v>
      </c>
      <c r="C91" t="s">
        <v>7344</v>
      </c>
      <c r="F91" t="s">
        <v>7343</v>
      </c>
      <c r="G91" t="s">
        <v>14</v>
      </c>
      <c r="H91" t="s">
        <v>13</v>
      </c>
      <c r="I91" t="s">
        <v>7342</v>
      </c>
      <c r="J91">
        <v>60030807</v>
      </c>
      <c r="K91" t="s">
        <v>6195</v>
      </c>
      <c r="L91" t="s">
        <v>6194</v>
      </c>
      <c r="M91" t="s">
        <v>112</v>
      </c>
      <c r="N91">
        <v>1</v>
      </c>
      <c r="O91" t="s">
        <v>7341</v>
      </c>
      <c r="P91">
        <v>16451036000</v>
      </c>
      <c r="Q91">
        <v>60030807</v>
      </c>
      <c r="R91" s="7">
        <v>31837</v>
      </c>
      <c r="S91" s="8">
        <f t="shared" si="8"/>
        <v>1987</v>
      </c>
      <c r="T91" s="8">
        <v>1987</v>
      </c>
      <c r="U91" s="8">
        <f t="shared" si="9"/>
        <v>35</v>
      </c>
      <c r="V91" s="7">
        <v>31837</v>
      </c>
      <c r="W91" t="s">
        <v>147</v>
      </c>
      <c r="X91" s="2">
        <v>1.64</v>
      </c>
      <c r="Y91" s="6">
        <f t="shared" si="14"/>
        <v>4.3778863351218597E-2</v>
      </c>
      <c r="AA91" t="s">
        <v>146</v>
      </c>
      <c r="AB91">
        <v>18446</v>
      </c>
      <c r="AC91">
        <v>14320878</v>
      </c>
      <c r="AD91" t="s">
        <v>4</v>
      </c>
      <c r="AE91">
        <v>247</v>
      </c>
      <c r="AF91">
        <v>3</v>
      </c>
      <c r="AH91" t="s">
        <v>7340</v>
      </c>
      <c r="AI91" t="s">
        <v>7339</v>
      </c>
      <c r="AJ91" t="s">
        <v>7338</v>
      </c>
      <c r="AK91" t="s">
        <v>7337</v>
      </c>
      <c r="AL91">
        <v>27</v>
      </c>
      <c r="AM91" s="5">
        <f t="shared" si="10"/>
        <v>0.77142857142857146</v>
      </c>
      <c r="AN91" s="4">
        <f t="shared" si="15"/>
        <v>1.1683885973927625E-3</v>
      </c>
      <c r="AO91" s="3"/>
      <c r="AP91">
        <v>0</v>
      </c>
      <c r="AR91" t="s">
        <v>0</v>
      </c>
      <c r="AT91" s="2">
        <v>5.2489999999999997</v>
      </c>
      <c r="AU91" s="1">
        <f t="shared" si="11"/>
        <v>3.0995720925070844</v>
      </c>
      <c r="AV91" s="1">
        <f t="shared" si="12"/>
        <v>2.247362597430568</v>
      </c>
      <c r="AW91" s="1">
        <f t="shared" si="13"/>
        <v>1.3951531023540513</v>
      </c>
    </row>
    <row r="92" spans="1:49" x14ac:dyDescent="0.2">
      <c r="A92">
        <v>90</v>
      </c>
      <c r="B92" t="s">
        <v>7336</v>
      </c>
      <c r="C92" t="s">
        <v>7335</v>
      </c>
      <c r="F92" t="s">
        <v>7334</v>
      </c>
      <c r="G92" t="s">
        <v>14</v>
      </c>
      <c r="H92" t="s">
        <v>13</v>
      </c>
      <c r="I92" t="s">
        <v>7333</v>
      </c>
      <c r="J92" t="s">
        <v>7328</v>
      </c>
      <c r="K92" t="s">
        <v>7332</v>
      </c>
      <c r="L92" t="s">
        <v>7331</v>
      </c>
      <c r="M92" t="s">
        <v>6289</v>
      </c>
      <c r="N92">
        <v>2</v>
      </c>
      <c r="O92" t="s">
        <v>7330</v>
      </c>
      <c r="P92" t="s">
        <v>7329</v>
      </c>
      <c r="Q92" t="s">
        <v>7328</v>
      </c>
      <c r="R92" s="7">
        <v>31837</v>
      </c>
      <c r="S92" s="8">
        <f t="shared" si="8"/>
        <v>1987</v>
      </c>
      <c r="T92" s="8">
        <v>1987</v>
      </c>
      <c r="U92" s="8">
        <f t="shared" si="9"/>
        <v>35</v>
      </c>
      <c r="V92" s="7">
        <v>31837</v>
      </c>
      <c r="W92" t="s">
        <v>7327</v>
      </c>
      <c r="X92" s="2">
        <v>1.2529999999999999</v>
      </c>
      <c r="Y92" s="6">
        <f t="shared" si="14"/>
        <v>3.3448119377485916E-2</v>
      </c>
      <c r="AA92">
        <v>320935</v>
      </c>
      <c r="AB92">
        <v>16646</v>
      </c>
      <c r="AC92">
        <v>14322048</v>
      </c>
      <c r="AD92" t="s">
        <v>4</v>
      </c>
      <c r="AE92">
        <v>170</v>
      </c>
      <c r="AF92">
        <v>3</v>
      </c>
      <c r="AH92" t="s">
        <v>7326</v>
      </c>
      <c r="AI92" t="s">
        <v>7325</v>
      </c>
      <c r="AJ92" t="s">
        <v>7324</v>
      </c>
      <c r="AK92" t="s">
        <v>7323</v>
      </c>
      <c r="AL92">
        <v>4</v>
      </c>
      <c r="AM92" s="5">
        <f t="shared" si="10"/>
        <v>0.11428571428571428</v>
      </c>
      <c r="AN92" s="4">
        <f t="shared" si="15"/>
        <v>1.7309460702115E-4</v>
      </c>
      <c r="AO92" s="3"/>
      <c r="AP92">
        <v>0</v>
      </c>
      <c r="AR92" t="s">
        <v>0</v>
      </c>
      <c r="AT92" s="2">
        <v>4.1159999999999997</v>
      </c>
      <c r="AU92" s="1">
        <f t="shared" si="11"/>
        <v>2.3465611946346483</v>
      </c>
      <c r="AV92" s="1">
        <f t="shared" si="12"/>
        <v>1.6810606992253532</v>
      </c>
      <c r="AW92" s="1">
        <f t="shared" si="13"/>
        <v>1.0155602038160578</v>
      </c>
    </row>
    <row r="93" spans="1:49" x14ac:dyDescent="0.2">
      <c r="A93">
        <v>91</v>
      </c>
      <c r="B93" t="s">
        <v>7322</v>
      </c>
      <c r="C93" t="s">
        <v>7321</v>
      </c>
      <c r="F93" t="s">
        <v>7320</v>
      </c>
      <c r="G93" t="s">
        <v>14</v>
      </c>
      <c r="H93" t="s">
        <v>13</v>
      </c>
      <c r="I93" t="s">
        <v>7319</v>
      </c>
      <c r="J93">
        <v>60020306</v>
      </c>
      <c r="K93" t="s">
        <v>7318</v>
      </c>
      <c r="L93" t="s">
        <v>7317</v>
      </c>
      <c r="M93" t="s">
        <v>112</v>
      </c>
      <c r="N93">
        <v>1</v>
      </c>
      <c r="O93" t="s">
        <v>7316</v>
      </c>
      <c r="P93">
        <v>7003584300</v>
      </c>
      <c r="Q93">
        <v>60020306</v>
      </c>
      <c r="R93" s="7">
        <v>31837</v>
      </c>
      <c r="S93" s="8">
        <f t="shared" si="8"/>
        <v>1987</v>
      </c>
      <c r="T93" s="8">
        <v>1987</v>
      </c>
      <c r="U93" s="8">
        <f t="shared" si="9"/>
        <v>35</v>
      </c>
      <c r="V93" s="7">
        <v>31837</v>
      </c>
      <c r="W93" t="s">
        <v>7315</v>
      </c>
      <c r="X93" s="2">
        <v>0.874</v>
      </c>
      <c r="Y93" s="6">
        <f t="shared" si="14"/>
        <v>2.3330930834734791E-2</v>
      </c>
      <c r="AA93">
        <v>7224060</v>
      </c>
      <c r="AB93">
        <v>13048</v>
      </c>
      <c r="AC93">
        <v>14322056</v>
      </c>
      <c r="AD93" t="s">
        <v>4</v>
      </c>
      <c r="AE93">
        <v>7</v>
      </c>
      <c r="AF93">
        <v>2</v>
      </c>
      <c r="AH93" t="s">
        <v>7314</v>
      </c>
      <c r="AI93" t="s">
        <v>7313</v>
      </c>
      <c r="AK93" t="s">
        <v>7312</v>
      </c>
      <c r="AL93">
        <v>31</v>
      </c>
      <c r="AM93" s="5">
        <f t="shared" si="10"/>
        <v>0.88571428571428568</v>
      </c>
      <c r="AN93" s="4">
        <f t="shared" si="15"/>
        <v>1.3414832044139123E-3</v>
      </c>
      <c r="AO93" s="3"/>
      <c r="AP93">
        <v>0</v>
      </c>
      <c r="AR93" t="s">
        <v>0</v>
      </c>
      <c r="AT93" s="2">
        <v>2.31</v>
      </c>
      <c r="AU93" s="1">
        <f t="shared" si="11"/>
        <v>1.6734096545638528</v>
      </c>
      <c r="AV93" s="1">
        <f t="shared" si="12"/>
        <v>1.2336207019574352</v>
      </c>
      <c r="AW93" s="1">
        <f t="shared" si="13"/>
        <v>0.79383174935101752</v>
      </c>
    </row>
    <row r="94" spans="1:49" x14ac:dyDescent="0.2">
      <c r="A94">
        <v>92</v>
      </c>
      <c r="B94" t="s">
        <v>7311</v>
      </c>
      <c r="C94" t="s">
        <v>7310</v>
      </c>
      <c r="F94" t="s">
        <v>7309</v>
      </c>
      <c r="G94" t="s">
        <v>14</v>
      </c>
      <c r="H94" t="s">
        <v>13</v>
      </c>
      <c r="I94" t="s">
        <v>7308</v>
      </c>
      <c r="J94">
        <v>60007762</v>
      </c>
      <c r="K94" t="s">
        <v>7307</v>
      </c>
      <c r="L94" t="s">
        <v>7306</v>
      </c>
      <c r="M94" t="s">
        <v>112</v>
      </c>
      <c r="N94">
        <v>3</v>
      </c>
      <c r="O94" t="s">
        <v>7305</v>
      </c>
      <c r="P94" t="s">
        <v>7304</v>
      </c>
      <c r="Q94" t="s">
        <v>7303</v>
      </c>
      <c r="R94" s="7">
        <v>31837</v>
      </c>
      <c r="S94" s="8">
        <f t="shared" si="8"/>
        <v>1987</v>
      </c>
      <c r="T94" s="8">
        <v>1987</v>
      </c>
      <c r="U94" s="8">
        <f t="shared" si="9"/>
        <v>35</v>
      </c>
      <c r="V94" s="7">
        <v>31837</v>
      </c>
      <c r="W94" t="s">
        <v>7302</v>
      </c>
      <c r="X94" s="2">
        <v>0.51700000000000002</v>
      </c>
      <c r="Y94" s="6">
        <f t="shared" si="14"/>
        <v>1.3801019727182938E-2</v>
      </c>
      <c r="AA94" t="s">
        <v>7301</v>
      </c>
      <c r="AB94">
        <v>14981</v>
      </c>
      <c r="AC94" t="s">
        <v>7300</v>
      </c>
      <c r="AD94" t="s">
        <v>4</v>
      </c>
      <c r="AE94">
        <v>106</v>
      </c>
      <c r="AF94">
        <v>5</v>
      </c>
      <c r="AH94" t="s">
        <v>7299</v>
      </c>
      <c r="AI94" t="s">
        <v>7298</v>
      </c>
      <c r="AK94" t="s">
        <v>7297</v>
      </c>
      <c r="AL94">
        <v>92</v>
      </c>
      <c r="AM94" s="5">
        <f t="shared" si="10"/>
        <v>2.6285714285714286</v>
      </c>
      <c r="AN94" s="4">
        <f t="shared" si="15"/>
        <v>3.9811759614864503E-3</v>
      </c>
      <c r="AO94" s="3"/>
      <c r="AP94">
        <v>0</v>
      </c>
      <c r="AR94" t="s">
        <v>0</v>
      </c>
      <c r="AT94" s="2">
        <v>1.3260000000000001</v>
      </c>
      <c r="AU94" s="1">
        <f t="shared" si="11"/>
        <v>1.085506659747399</v>
      </c>
      <c r="AV94" s="1">
        <f t="shared" si="12"/>
        <v>0.88910978443346944</v>
      </c>
      <c r="AW94" s="1">
        <f t="shared" si="13"/>
        <v>0.69271290911953964</v>
      </c>
    </row>
    <row r="95" spans="1:49" x14ac:dyDescent="0.2">
      <c r="A95">
        <v>93</v>
      </c>
      <c r="B95" t="s">
        <v>7296</v>
      </c>
      <c r="C95" t="s">
        <v>7295</v>
      </c>
      <c r="D95" t="s">
        <v>7294</v>
      </c>
      <c r="F95" t="s">
        <v>7293</v>
      </c>
      <c r="G95" t="s">
        <v>14</v>
      </c>
      <c r="H95" t="s">
        <v>13</v>
      </c>
      <c r="I95" t="s">
        <v>7292</v>
      </c>
      <c r="J95" t="s">
        <v>7219</v>
      </c>
      <c r="K95" t="s">
        <v>7218</v>
      </c>
      <c r="L95" t="s">
        <v>7217</v>
      </c>
      <c r="M95" t="s">
        <v>7216</v>
      </c>
      <c r="N95">
        <v>9</v>
      </c>
      <c r="O95" t="s">
        <v>7291</v>
      </c>
      <c r="P95" t="s">
        <v>7290</v>
      </c>
      <c r="Q95" t="s">
        <v>7289</v>
      </c>
      <c r="R95" s="7">
        <v>31810</v>
      </c>
      <c r="S95" s="8">
        <f t="shared" si="8"/>
        <v>1987</v>
      </c>
      <c r="T95" s="8">
        <v>1987</v>
      </c>
      <c r="U95" s="8">
        <f t="shared" si="9"/>
        <v>35</v>
      </c>
      <c r="V95" s="7">
        <v>31810</v>
      </c>
      <c r="W95" t="s">
        <v>7198</v>
      </c>
      <c r="X95" s="2">
        <v>1.123</v>
      </c>
      <c r="Y95" s="6">
        <f t="shared" si="14"/>
        <v>2.9977843624035664E-2</v>
      </c>
      <c r="AA95">
        <v>223115</v>
      </c>
      <c r="AB95">
        <v>29021</v>
      </c>
      <c r="AD95" t="s">
        <v>4</v>
      </c>
      <c r="AE95" t="s">
        <v>7197</v>
      </c>
      <c r="AF95" t="s">
        <v>508</v>
      </c>
      <c r="AH95" t="s">
        <v>7288</v>
      </c>
      <c r="AI95" t="s">
        <v>7287</v>
      </c>
      <c r="AJ95" t="s">
        <v>7286</v>
      </c>
      <c r="AK95" t="s">
        <v>7285</v>
      </c>
      <c r="AL95">
        <v>40</v>
      </c>
      <c r="AM95" s="5">
        <f t="shared" si="10"/>
        <v>1.1428571428571428</v>
      </c>
      <c r="AN95" s="4">
        <f t="shared" si="15"/>
        <v>1.7309460702114999E-3</v>
      </c>
      <c r="AO95" s="3"/>
      <c r="AP95">
        <v>0</v>
      </c>
      <c r="AR95" t="s">
        <v>0</v>
      </c>
      <c r="AT95" s="2">
        <v>2.9359999999999999</v>
      </c>
      <c r="AU95" s="1">
        <f t="shared" si="11"/>
        <v>2.1503774357888412</v>
      </c>
      <c r="AV95" s="1">
        <f t="shared" si="12"/>
        <v>1.5854394847123581</v>
      </c>
      <c r="AW95" s="1">
        <f t="shared" si="13"/>
        <v>1.0205015336358749</v>
      </c>
    </row>
    <row r="96" spans="1:49" x14ac:dyDescent="0.2">
      <c r="A96">
        <v>94</v>
      </c>
      <c r="B96" t="s">
        <v>7284</v>
      </c>
      <c r="C96" t="s">
        <v>7283</v>
      </c>
      <c r="D96">
        <v>22311587903679</v>
      </c>
      <c r="F96" t="s">
        <v>7282</v>
      </c>
      <c r="G96" t="s">
        <v>14</v>
      </c>
      <c r="H96" t="s">
        <v>13</v>
      </c>
      <c r="I96" t="s">
        <v>7281</v>
      </c>
      <c r="J96">
        <v>60004923</v>
      </c>
      <c r="K96" t="s">
        <v>6883</v>
      </c>
      <c r="L96" t="s">
        <v>6882</v>
      </c>
      <c r="M96" t="s">
        <v>9</v>
      </c>
      <c r="N96">
        <v>2</v>
      </c>
      <c r="O96" t="s">
        <v>7280</v>
      </c>
      <c r="P96" t="s">
        <v>7279</v>
      </c>
      <c r="Q96" t="s">
        <v>7278</v>
      </c>
      <c r="R96" s="7">
        <v>31810</v>
      </c>
      <c r="S96" s="8">
        <f t="shared" si="8"/>
        <v>1987</v>
      </c>
      <c r="T96" s="8">
        <v>1987</v>
      </c>
      <c r="U96" s="8">
        <f t="shared" si="9"/>
        <v>35</v>
      </c>
      <c r="V96" s="7">
        <v>31810</v>
      </c>
      <c r="W96" t="s">
        <v>7198</v>
      </c>
      <c r="X96" s="2">
        <v>1.123</v>
      </c>
      <c r="Y96" s="6">
        <f t="shared" si="14"/>
        <v>2.9977843624035664E-2</v>
      </c>
      <c r="AA96">
        <v>223115</v>
      </c>
      <c r="AB96">
        <v>29021</v>
      </c>
      <c r="AD96" t="s">
        <v>4</v>
      </c>
      <c r="AE96" t="s">
        <v>7197</v>
      </c>
      <c r="AF96" t="s">
        <v>508</v>
      </c>
      <c r="AH96" t="s">
        <v>7277</v>
      </c>
      <c r="AI96" t="s">
        <v>7276</v>
      </c>
      <c r="AJ96" t="s">
        <v>7275</v>
      </c>
      <c r="AK96" t="s">
        <v>7274</v>
      </c>
      <c r="AL96">
        <v>16</v>
      </c>
      <c r="AM96" s="5">
        <f t="shared" si="10"/>
        <v>0.45714285714285713</v>
      </c>
      <c r="AN96" s="4">
        <f t="shared" si="15"/>
        <v>6.923784280846E-4</v>
      </c>
      <c r="AO96" s="3"/>
      <c r="AP96">
        <v>0</v>
      </c>
      <c r="AQ96" t="s">
        <v>746</v>
      </c>
      <c r="AR96" t="s">
        <v>7273</v>
      </c>
      <c r="AS96" t="s">
        <v>745</v>
      </c>
      <c r="AT96" s="2">
        <v>2.9359999999999999</v>
      </c>
      <c r="AU96" s="1">
        <f t="shared" si="11"/>
        <v>2.1192204065250344</v>
      </c>
      <c r="AV96" s="1">
        <f t="shared" si="12"/>
        <v>1.5335111026060131</v>
      </c>
      <c r="AW96" s="1">
        <f t="shared" si="13"/>
        <v>0.94780179868699188</v>
      </c>
    </row>
    <row r="97" spans="1:49" x14ac:dyDescent="0.2">
      <c r="A97">
        <v>95</v>
      </c>
      <c r="B97" t="s">
        <v>7272</v>
      </c>
      <c r="C97" t="s">
        <v>7271</v>
      </c>
      <c r="D97">
        <v>22311587904235</v>
      </c>
      <c r="F97" t="s">
        <v>7270</v>
      </c>
      <c r="G97" t="s">
        <v>14</v>
      </c>
      <c r="H97" t="s">
        <v>13</v>
      </c>
      <c r="I97" t="s">
        <v>7269</v>
      </c>
      <c r="J97" t="s">
        <v>7268</v>
      </c>
      <c r="K97" t="s">
        <v>7267</v>
      </c>
      <c r="L97" t="s">
        <v>7266</v>
      </c>
      <c r="M97" t="s">
        <v>7265</v>
      </c>
      <c r="N97">
        <v>3</v>
      </c>
      <c r="O97" t="s">
        <v>7264</v>
      </c>
      <c r="P97" t="s">
        <v>7263</v>
      </c>
      <c r="Q97" t="s">
        <v>7262</v>
      </c>
      <c r="R97" s="7">
        <v>31810</v>
      </c>
      <c r="S97" s="8">
        <f t="shared" si="8"/>
        <v>1987</v>
      </c>
      <c r="T97" s="8">
        <v>1987</v>
      </c>
      <c r="U97" s="8">
        <f t="shared" si="9"/>
        <v>35</v>
      </c>
      <c r="V97" s="7">
        <v>31810</v>
      </c>
      <c r="W97" t="s">
        <v>7198</v>
      </c>
      <c r="X97" s="2">
        <v>1.123</v>
      </c>
      <c r="Y97" s="6">
        <f t="shared" si="14"/>
        <v>2.9977843624035664E-2</v>
      </c>
      <c r="AA97">
        <v>223115</v>
      </c>
      <c r="AB97">
        <v>29021</v>
      </c>
      <c r="AD97" t="s">
        <v>4</v>
      </c>
      <c r="AE97" t="s">
        <v>7197</v>
      </c>
      <c r="AF97" t="s">
        <v>508</v>
      </c>
      <c r="AH97" t="s">
        <v>2287</v>
      </c>
      <c r="AI97" t="s">
        <v>7261</v>
      </c>
      <c r="AJ97" t="s">
        <v>7260</v>
      </c>
      <c r="AK97" t="s">
        <v>7259</v>
      </c>
      <c r="AL97">
        <v>8</v>
      </c>
      <c r="AM97" s="5">
        <f t="shared" si="10"/>
        <v>0.22857142857142856</v>
      </c>
      <c r="AN97" s="4">
        <f t="shared" si="15"/>
        <v>3.461892140423E-4</v>
      </c>
      <c r="AO97" s="3"/>
      <c r="AP97">
        <v>0</v>
      </c>
      <c r="AR97" t="s">
        <v>0</v>
      </c>
      <c r="AT97" s="2">
        <v>2.9359999999999999</v>
      </c>
      <c r="AU97" s="1">
        <f t="shared" si="11"/>
        <v>2.1088347301037653</v>
      </c>
      <c r="AV97" s="1">
        <f t="shared" si="12"/>
        <v>1.5162016419038982</v>
      </c>
      <c r="AW97" s="1">
        <f t="shared" si="13"/>
        <v>0.92356855370403101</v>
      </c>
    </row>
    <row r="98" spans="1:49" x14ac:dyDescent="0.2">
      <c r="A98">
        <v>96</v>
      </c>
      <c r="B98" t="s">
        <v>7258</v>
      </c>
      <c r="C98" t="s">
        <v>7257</v>
      </c>
      <c r="D98">
        <v>22311587903424</v>
      </c>
      <c r="F98" t="s">
        <v>7256</v>
      </c>
      <c r="G98" t="s">
        <v>14</v>
      </c>
      <c r="H98" t="s">
        <v>13</v>
      </c>
      <c r="I98" t="s">
        <v>7255</v>
      </c>
      <c r="J98">
        <v>60000264</v>
      </c>
      <c r="K98" t="s">
        <v>4260</v>
      </c>
      <c r="L98" t="s">
        <v>957</v>
      </c>
      <c r="M98" t="s">
        <v>524</v>
      </c>
      <c r="N98">
        <v>4</v>
      </c>
      <c r="O98" t="s">
        <v>7254</v>
      </c>
      <c r="P98" t="s">
        <v>7253</v>
      </c>
      <c r="Q98" t="s">
        <v>7252</v>
      </c>
      <c r="R98" s="7">
        <v>31810</v>
      </c>
      <c r="S98" s="8">
        <f t="shared" si="8"/>
        <v>1987</v>
      </c>
      <c r="T98" s="8">
        <v>1987</v>
      </c>
      <c r="U98" s="8">
        <f t="shared" si="9"/>
        <v>35</v>
      </c>
      <c r="V98" s="7">
        <v>31810</v>
      </c>
      <c r="W98" t="s">
        <v>7198</v>
      </c>
      <c r="X98" s="2">
        <v>1.123</v>
      </c>
      <c r="Y98" s="6">
        <f t="shared" si="14"/>
        <v>2.9977843624035664E-2</v>
      </c>
      <c r="AA98">
        <v>223115</v>
      </c>
      <c r="AB98">
        <v>29021</v>
      </c>
      <c r="AD98" t="s">
        <v>4</v>
      </c>
      <c r="AE98" t="s">
        <v>7197</v>
      </c>
      <c r="AF98" t="s">
        <v>508</v>
      </c>
      <c r="AH98" t="s">
        <v>3308</v>
      </c>
      <c r="AI98" t="s">
        <v>7251</v>
      </c>
      <c r="AJ98" t="s">
        <v>7250</v>
      </c>
      <c r="AK98" t="s">
        <v>7249</v>
      </c>
      <c r="AL98">
        <v>4</v>
      </c>
      <c r="AM98" s="5">
        <f t="shared" si="10"/>
        <v>0.11428571428571428</v>
      </c>
      <c r="AN98" s="4">
        <f t="shared" si="15"/>
        <v>1.7309460702115E-4</v>
      </c>
      <c r="AO98" s="3"/>
      <c r="AP98">
        <v>0</v>
      </c>
      <c r="AR98" t="s">
        <v>0</v>
      </c>
      <c r="AT98" s="2">
        <v>2.9359999999999999</v>
      </c>
      <c r="AU98" s="1">
        <f t="shared" si="11"/>
        <v>2.103641891893131</v>
      </c>
      <c r="AV98" s="1">
        <f t="shared" si="12"/>
        <v>1.5075469115528408</v>
      </c>
      <c r="AW98" s="1">
        <f t="shared" si="13"/>
        <v>0.91145193121255041</v>
      </c>
    </row>
    <row r="99" spans="1:49" x14ac:dyDescent="0.2">
      <c r="A99">
        <v>97</v>
      </c>
      <c r="B99" t="s">
        <v>7248</v>
      </c>
      <c r="C99" t="s">
        <v>7247</v>
      </c>
      <c r="D99">
        <v>22311587904314</v>
      </c>
      <c r="F99" t="s">
        <v>7246</v>
      </c>
      <c r="G99" t="s">
        <v>14</v>
      </c>
      <c r="H99" t="s">
        <v>13</v>
      </c>
      <c r="I99" t="s">
        <v>7232</v>
      </c>
      <c r="J99" t="s">
        <v>7245</v>
      </c>
      <c r="K99" t="s">
        <v>7244</v>
      </c>
      <c r="L99" t="s">
        <v>7243</v>
      </c>
      <c r="M99" t="s">
        <v>6432</v>
      </c>
      <c r="N99">
        <v>3</v>
      </c>
      <c r="O99" t="s">
        <v>7242</v>
      </c>
      <c r="P99" t="s">
        <v>7241</v>
      </c>
      <c r="Q99" t="s">
        <v>7240</v>
      </c>
      <c r="R99" s="7">
        <v>31810</v>
      </c>
      <c r="S99" s="8">
        <f t="shared" si="8"/>
        <v>1987</v>
      </c>
      <c r="T99" s="8">
        <v>1987</v>
      </c>
      <c r="U99" s="8">
        <f t="shared" si="9"/>
        <v>35</v>
      </c>
      <c r="V99" s="7">
        <v>31810</v>
      </c>
      <c r="W99" t="s">
        <v>7198</v>
      </c>
      <c r="X99" s="2">
        <v>1.123</v>
      </c>
      <c r="Y99" s="6">
        <f t="shared" si="14"/>
        <v>2.9977843624035664E-2</v>
      </c>
      <c r="AA99">
        <v>223115</v>
      </c>
      <c r="AB99">
        <v>29021</v>
      </c>
      <c r="AD99" t="s">
        <v>4</v>
      </c>
      <c r="AE99" t="s">
        <v>7197</v>
      </c>
      <c r="AF99" t="s">
        <v>508</v>
      </c>
      <c r="AH99" t="s">
        <v>7239</v>
      </c>
      <c r="AI99" t="s">
        <v>7238</v>
      </c>
      <c r="AJ99" t="s">
        <v>7237</v>
      </c>
      <c r="AK99" t="s">
        <v>7236</v>
      </c>
      <c r="AL99">
        <v>1</v>
      </c>
      <c r="AM99" s="5">
        <f t="shared" si="10"/>
        <v>2.8571428571428571E-2</v>
      </c>
      <c r="AN99" s="4">
        <f t="shared" si="15"/>
        <v>4.32736517552875E-5</v>
      </c>
      <c r="AO99" s="3"/>
      <c r="AP99">
        <v>0</v>
      </c>
      <c r="AQ99" t="s">
        <v>7225</v>
      </c>
      <c r="AR99" t="s">
        <v>0</v>
      </c>
      <c r="AS99" t="s">
        <v>7224</v>
      </c>
      <c r="AT99" s="2">
        <v>2.9359999999999999</v>
      </c>
      <c r="AU99" s="1">
        <f t="shared" si="11"/>
        <v>2.0997472632351548</v>
      </c>
      <c r="AV99" s="1">
        <f t="shared" si="12"/>
        <v>1.5010558637895477</v>
      </c>
      <c r="AW99" s="1">
        <f t="shared" si="13"/>
        <v>0.90236446434394013</v>
      </c>
    </row>
    <row r="100" spans="1:49" x14ac:dyDescent="0.2">
      <c r="A100">
        <v>98</v>
      </c>
      <c r="B100" t="s">
        <v>7235</v>
      </c>
      <c r="C100" t="s">
        <v>7234</v>
      </c>
      <c r="D100">
        <v>22311587903394</v>
      </c>
      <c r="F100" t="s">
        <v>7233</v>
      </c>
      <c r="G100" t="s">
        <v>14</v>
      </c>
      <c r="H100" t="s">
        <v>13</v>
      </c>
      <c r="I100" t="s">
        <v>7232</v>
      </c>
      <c r="J100">
        <v>60028186</v>
      </c>
      <c r="K100" t="s">
        <v>6390</v>
      </c>
      <c r="L100" t="s">
        <v>6389</v>
      </c>
      <c r="M100" t="s">
        <v>729</v>
      </c>
      <c r="N100">
        <v>3</v>
      </c>
      <c r="O100" t="s">
        <v>7231</v>
      </c>
      <c r="P100" t="s">
        <v>7230</v>
      </c>
      <c r="Q100" t="s">
        <v>6386</v>
      </c>
      <c r="R100" s="7">
        <v>31810</v>
      </c>
      <c r="S100" s="8">
        <f t="shared" si="8"/>
        <v>1987</v>
      </c>
      <c r="T100" s="8">
        <v>1987</v>
      </c>
      <c r="U100" s="8">
        <f t="shared" si="9"/>
        <v>35</v>
      </c>
      <c r="V100" s="7">
        <v>31810</v>
      </c>
      <c r="W100" t="s">
        <v>7198</v>
      </c>
      <c r="X100" s="2">
        <v>1.123</v>
      </c>
      <c r="Y100" s="6">
        <f t="shared" si="14"/>
        <v>2.9977843624035664E-2</v>
      </c>
      <c r="AA100">
        <v>223115</v>
      </c>
      <c r="AB100">
        <v>29021</v>
      </c>
      <c r="AD100" t="s">
        <v>4</v>
      </c>
      <c r="AE100" t="s">
        <v>7197</v>
      </c>
      <c r="AF100" t="s">
        <v>508</v>
      </c>
      <c r="AH100" t="s">
        <v>7229</v>
      </c>
      <c r="AI100" t="s">
        <v>7228</v>
      </c>
      <c r="AJ100" t="s">
        <v>7227</v>
      </c>
      <c r="AK100" t="s">
        <v>7226</v>
      </c>
      <c r="AL100">
        <v>2</v>
      </c>
      <c r="AM100" s="5">
        <f t="shared" si="10"/>
        <v>5.7142857142857141E-2</v>
      </c>
      <c r="AN100" s="4">
        <f t="shared" si="15"/>
        <v>8.6547303510575E-5</v>
      </c>
      <c r="AO100" s="3"/>
      <c r="AP100">
        <v>0</v>
      </c>
      <c r="AQ100" t="s">
        <v>7225</v>
      </c>
      <c r="AR100" t="s">
        <v>0</v>
      </c>
      <c r="AS100" t="s">
        <v>7224</v>
      </c>
      <c r="AT100" s="2">
        <v>2.9359999999999999</v>
      </c>
      <c r="AU100" s="1">
        <f t="shared" si="11"/>
        <v>2.1010454727878138</v>
      </c>
      <c r="AV100" s="1">
        <f t="shared" si="12"/>
        <v>1.5032195463773119</v>
      </c>
      <c r="AW100" s="1">
        <f t="shared" si="13"/>
        <v>0.90539361996681023</v>
      </c>
    </row>
    <row r="101" spans="1:49" x14ac:dyDescent="0.2">
      <c r="A101">
        <v>99</v>
      </c>
      <c r="B101" t="s">
        <v>7223</v>
      </c>
      <c r="C101" t="s">
        <v>7222</v>
      </c>
      <c r="D101">
        <v>22311587904351</v>
      </c>
      <c r="F101" t="s">
        <v>7221</v>
      </c>
      <c r="G101" t="s">
        <v>14</v>
      </c>
      <c r="H101" t="s">
        <v>13</v>
      </c>
      <c r="I101" t="s">
        <v>7220</v>
      </c>
      <c r="J101" t="s">
        <v>7219</v>
      </c>
      <c r="K101" t="s">
        <v>7218</v>
      </c>
      <c r="L101" t="s">
        <v>7217</v>
      </c>
      <c r="M101" t="s">
        <v>7216</v>
      </c>
      <c r="N101">
        <v>10</v>
      </c>
      <c r="O101" t="s">
        <v>7215</v>
      </c>
      <c r="P101" t="s">
        <v>7214</v>
      </c>
      <c r="Q101" t="s">
        <v>7213</v>
      </c>
      <c r="R101" s="7">
        <v>31810</v>
      </c>
      <c r="S101" s="8">
        <f t="shared" si="8"/>
        <v>1987</v>
      </c>
      <c r="T101" s="8">
        <v>1987</v>
      </c>
      <c r="U101" s="8">
        <f t="shared" si="9"/>
        <v>35</v>
      </c>
      <c r="V101" s="7">
        <v>31810</v>
      </c>
      <c r="W101" t="s">
        <v>7198</v>
      </c>
      <c r="X101" s="2">
        <v>1.123</v>
      </c>
      <c r="Y101" s="6">
        <f t="shared" si="14"/>
        <v>2.9977843624035664E-2</v>
      </c>
      <c r="AA101">
        <v>223115</v>
      </c>
      <c r="AB101">
        <v>29021</v>
      </c>
      <c r="AD101" t="s">
        <v>4</v>
      </c>
      <c r="AE101" t="s">
        <v>7197</v>
      </c>
      <c r="AF101" t="s">
        <v>508</v>
      </c>
      <c r="AH101" t="s">
        <v>7212</v>
      </c>
      <c r="AI101" t="s">
        <v>7211</v>
      </c>
      <c r="AJ101" t="s">
        <v>7210</v>
      </c>
      <c r="AK101" t="s">
        <v>7209</v>
      </c>
      <c r="AL101">
        <v>25</v>
      </c>
      <c r="AM101" s="5">
        <f t="shared" si="10"/>
        <v>0.7142857142857143</v>
      </c>
      <c r="AN101" s="4">
        <f t="shared" si="15"/>
        <v>1.0818412938821875E-3</v>
      </c>
      <c r="AO101" s="3"/>
      <c r="AP101">
        <v>0</v>
      </c>
      <c r="AR101" t="s">
        <v>0</v>
      </c>
      <c r="AT101" s="2">
        <v>2.9359999999999999</v>
      </c>
      <c r="AU101" s="1">
        <f t="shared" si="11"/>
        <v>2.1309042924989621</v>
      </c>
      <c r="AV101" s="1">
        <f t="shared" si="12"/>
        <v>1.5529842458958925</v>
      </c>
      <c r="AW101" s="1">
        <f t="shared" si="13"/>
        <v>0.97506419929282306</v>
      </c>
    </row>
    <row r="102" spans="1:49" x14ac:dyDescent="0.2">
      <c r="A102">
        <v>100</v>
      </c>
      <c r="B102" t="s">
        <v>7208</v>
      </c>
      <c r="C102" t="s">
        <v>7207</v>
      </c>
      <c r="D102">
        <v>22311587903825</v>
      </c>
      <c r="F102" t="s">
        <v>7206</v>
      </c>
      <c r="G102" t="s">
        <v>14</v>
      </c>
      <c r="H102" t="s">
        <v>13</v>
      </c>
      <c r="I102" t="s">
        <v>7205</v>
      </c>
      <c r="J102" t="s">
        <v>7204</v>
      </c>
      <c r="K102" t="s">
        <v>7203</v>
      </c>
      <c r="L102" t="s">
        <v>7202</v>
      </c>
      <c r="M102" t="s">
        <v>55</v>
      </c>
      <c r="N102">
        <v>5</v>
      </c>
      <c r="O102" t="s">
        <v>7201</v>
      </c>
      <c r="P102" t="s">
        <v>7200</v>
      </c>
      <c r="Q102" t="s">
        <v>7199</v>
      </c>
      <c r="R102" s="7">
        <v>31810</v>
      </c>
      <c r="S102" s="8">
        <f t="shared" si="8"/>
        <v>1987</v>
      </c>
      <c r="T102" s="8">
        <v>1987</v>
      </c>
      <c r="U102" s="8">
        <f t="shared" si="9"/>
        <v>35</v>
      </c>
      <c r="V102" s="7">
        <v>31810</v>
      </c>
      <c r="W102" t="s">
        <v>7198</v>
      </c>
      <c r="X102" s="2">
        <v>1.123</v>
      </c>
      <c r="Y102" s="6">
        <f t="shared" si="14"/>
        <v>2.9977843624035664E-2</v>
      </c>
      <c r="AA102">
        <v>223115</v>
      </c>
      <c r="AB102">
        <v>29021</v>
      </c>
      <c r="AD102" t="s">
        <v>4</v>
      </c>
      <c r="AE102" t="s">
        <v>7197</v>
      </c>
      <c r="AF102" t="s">
        <v>508</v>
      </c>
      <c r="AH102" t="s">
        <v>7196</v>
      </c>
      <c r="AI102" t="s">
        <v>7195</v>
      </c>
      <c r="AJ102" t="s">
        <v>7194</v>
      </c>
      <c r="AK102" t="s">
        <v>7193</v>
      </c>
      <c r="AL102">
        <v>0</v>
      </c>
      <c r="AM102" s="5">
        <f t="shared" si="10"/>
        <v>0</v>
      </c>
      <c r="AN102" s="4">
        <f t="shared" si="15"/>
        <v>0</v>
      </c>
      <c r="AO102" s="3"/>
      <c r="AP102">
        <v>0</v>
      </c>
      <c r="AR102" t="s">
        <v>0</v>
      </c>
      <c r="AT102" s="2">
        <v>2.9359999999999999</v>
      </c>
      <c r="AU102" s="1">
        <f t="shared" si="11"/>
        <v>2.0984490536824962</v>
      </c>
      <c r="AV102" s="1">
        <f t="shared" si="12"/>
        <v>1.4988921812017832</v>
      </c>
      <c r="AW102" s="1">
        <f t="shared" si="13"/>
        <v>0.89933530872106993</v>
      </c>
    </row>
    <row r="103" spans="1:49" x14ac:dyDescent="0.2">
      <c r="A103">
        <v>101</v>
      </c>
      <c r="B103" t="s">
        <v>7192</v>
      </c>
      <c r="C103" t="s">
        <v>7191</v>
      </c>
      <c r="F103" t="s">
        <v>7190</v>
      </c>
      <c r="G103" t="s">
        <v>14</v>
      </c>
      <c r="H103" t="s">
        <v>13</v>
      </c>
      <c r="I103" t="s">
        <v>7189</v>
      </c>
      <c r="J103">
        <v>60019722</v>
      </c>
      <c r="K103" t="s">
        <v>7188</v>
      </c>
      <c r="L103" t="s">
        <v>1137</v>
      </c>
      <c r="M103" t="s">
        <v>112</v>
      </c>
      <c r="N103">
        <v>2</v>
      </c>
      <c r="O103" t="s">
        <v>7187</v>
      </c>
      <c r="P103" t="s">
        <v>7186</v>
      </c>
      <c r="Q103" t="s">
        <v>7185</v>
      </c>
      <c r="R103" s="7">
        <v>31809</v>
      </c>
      <c r="S103" s="8">
        <f t="shared" ref="S103:S166" si="16">YEAR(R103)</f>
        <v>1987</v>
      </c>
      <c r="T103" s="8">
        <v>1987</v>
      </c>
      <c r="U103" s="8">
        <f t="shared" ref="U103:U166" si="17">2022-T103</f>
        <v>35</v>
      </c>
      <c r="V103" s="7">
        <v>31809</v>
      </c>
      <c r="W103" t="s">
        <v>7184</v>
      </c>
      <c r="X103" s="2">
        <v>0.30099999999999999</v>
      </c>
      <c r="Y103" s="6">
        <f t="shared" si="14"/>
        <v>8.0350230906809754E-3</v>
      </c>
      <c r="AA103">
        <v>9395075</v>
      </c>
      <c r="AB103">
        <v>14954</v>
      </c>
      <c r="AC103">
        <v>18657125</v>
      </c>
      <c r="AD103" t="s">
        <v>4</v>
      </c>
      <c r="AE103">
        <v>42</v>
      </c>
      <c r="AF103" s="9">
        <v>44228</v>
      </c>
      <c r="AH103" t="s">
        <v>7183</v>
      </c>
      <c r="AI103" t="s">
        <v>7182</v>
      </c>
      <c r="AJ103" t="s">
        <v>7181</v>
      </c>
      <c r="AK103" t="s">
        <v>7180</v>
      </c>
      <c r="AL103">
        <v>0</v>
      </c>
      <c r="AM103" s="5">
        <f t="shared" ref="AM103:AM166" si="18">AL103/U103</f>
        <v>0</v>
      </c>
      <c r="AN103" s="4">
        <f t="shared" si="15"/>
        <v>0</v>
      </c>
      <c r="AO103" s="3"/>
      <c r="AP103">
        <v>1</v>
      </c>
      <c r="AQ103" t="s">
        <v>6186</v>
      </c>
      <c r="AR103" t="s">
        <v>7179</v>
      </c>
      <c r="AS103" t="s">
        <v>6184</v>
      </c>
      <c r="AT103" s="2" t="s">
        <v>32</v>
      </c>
      <c r="AU103" s="1">
        <f t="shared" ref="AU103:AU166" si="19">(Y103*0.7+AN103*0.3)*100</f>
        <v>0.56245161634766827</v>
      </c>
      <c r="AV103" s="1">
        <f t="shared" ref="AV103:AV166" si="20">(Y103*0.5+AN103*0.5)*100</f>
        <v>0.40175115453404875</v>
      </c>
      <c r="AW103" s="1">
        <f t="shared" ref="AW103:AW166" si="21">(Y103*0.3+AN103*0.7)*100</f>
        <v>0.24105069272042928</v>
      </c>
    </row>
    <row r="104" spans="1:49" x14ac:dyDescent="0.2">
      <c r="A104">
        <v>102</v>
      </c>
      <c r="B104" t="s">
        <v>7178</v>
      </c>
      <c r="C104" t="s">
        <v>7177</v>
      </c>
      <c r="F104" t="s">
        <v>7176</v>
      </c>
      <c r="G104" t="s">
        <v>14</v>
      </c>
      <c r="H104" t="s">
        <v>13</v>
      </c>
      <c r="I104" t="s">
        <v>7175</v>
      </c>
      <c r="J104" t="s">
        <v>7174</v>
      </c>
      <c r="K104" t="s">
        <v>7173</v>
      </c>
      <c r="L104" t="s">
        <v>7172</v>
      </c>
      <c r="M104" t="s">
        <v>7171</v>
      </c>
      <c r="N104">
        <v>2</v>
      </c>
      <c r="O104" t="s">
        <v>7170</v>
      </c>
      <c r="P104" t="s">
        <v>7169</v>
      </c>
      <c r="Q104" t="s">
        <v>7168</v>
      </c>
      <c r="R104" s="7">
        <v>31809</v>
      </c>
      <c r="S104" s="8">
        <f t="shared" si="16"/>
        <v>1987</v>
      </c>
      <c r="T104" s="8">
        <v>1987</v>
      </c>
      <c r="U104" s="8">
        <f t="shared" si="17"/>
        <v>35</v>
      </c>
      <c r="V104" s="7">
        <v>31809</v>
      </c>
      <c r="W104" t="s">
        <v>7167</v>
      </c>
      <c r="X104" s="2" t="s">
        <v>32</v>
      </c>
      <c r="Y104" s="6" t="e">
        <f t="shared" si="14"/>
        <v>#VALUE!</v>
      </c>
      <c r="AA104">
        <v>3926737</v>
      </c>
      <c r="AB104">
        <v>4800152305</v>
      </c>
      <c r="AD104" t="s">
        <v>4</v>
      </c>
      <c r="AE104">
        <v>9</v>
      </c>
      <c r="AF104">
        <v>2</v>
      </c>
      <c r="AH104" t="s">
        <v>2765</v>
      </c>
      <c r="AI104" t="s">
        <v>7166</v>
      </c>
      <c r="AJ104" t="s">
        <v>7165</v>
      </c>
      <c r="AK104" t="s">
        <v>7164</v>
      </c>
      <c r="AL104">
        <v>1</v>
      </c>
      <c r="AM104" s="5">
        <f t="shared" si="18"/>
        <v>2.8571428571428571E-2</v>
      </c>
      <c r="AN104" s="4">
        <f t="shared" si="15"/>
        <v>4.32736517552875E-5</v>
      </c>
      <c r="AO104" s="3"/>
      <c r="AP104">
        <v>0</v>
      </c>
      <c r="AR104" t="s">
        <v>0</v>
      </c>
      <c r="AT104" s="2" t="s">
        <v>32</v>
      </c>
      <c r="AU104" s="1" t="e">
        <f t="shared" si="19"/>
        <v>#VALUE!</v>
      </c>
      <c r="AV104" s="1" t="e">
        <f t="shared" si="20"/>
        <v>#VALUE!</v>
      </c>
      <c r="AW104" s="1" t="e">
        <f t="shared" si="21"/>
        <v>#VALUE!</v>
      </c>
    </row>
    <row r="105" spans="1:49" x14ac:dyDescent="0.2">
      <c r="A105">
        <v>103</v>
      </c>
      <c r="B105" t="s">
        <v>7163</v>
      </c>
      <c r="C105" t="s">
        <v>7162</v>
      </c>
      <c r="F105" t="s">
        <v>7161</v>
      </c>
      <c r="G105" t="s">
        <v>14</v>
      </c>
      <c r="H105" t="s">
        <v>13</v>
      </c>
      <c r="I105" t="s">
        <v>7160</v>
      </c>
      <c r="J105">
        <v>60007902</v>
      </c>
      <c r="K105" t="s">
        <v>674</v>
      </c>
      <c r="L105" t="s">
        <v>673</v>
      </c>
      <c r="M105" t="s">
        <v>112</v>
      </c>
      <c r="N105">
        <v>2</v>
      </c>
      <c r="O105" t="s">
        <v>7159</v>
      </c>
      <c r="P105" t="s">
        <v>7158</v>
      </c>
      <c r="Q105" t="s">
        <v>7157</v>
      </c>
      <c r="R105" s="7">
        <v>31809</v>
      </c>
      <c r="S105" s="8">
        <f t="shared" si="16"/>
        <v>1987</v>
      </c>
      <c r="T105" s="8">
        <v>1987</v>
      </c>
      <c r="U105" s="8">
        <f t="shared" si="17"/>
        <v>35</v>
      </c>
      <c r="V105" s="7">
        <v>31809</v>
      </c>
      <c r="W105" t="s">
        <v>7156</v>
      </c>
      <c r="X105" s="2">
        <v>0.83599999999999997</v>
      </c>
      <c r="Y105" s="6">
        <f t="shared" si="14"/>
        <v>2.2316542537572408E-2</v>
      </c>
      <c r="AA105" t="s">
        <v>7155</v>
      </c>
      <c r="AB105">
        <v>19036</v>
      </c>
      <c r="AC105">
        <v>16156102</v>
      </c>
      <c r="AD105" t="s">
        <v>4</v>
      </c>
      <c r="AE105">
        <v>139</v>
      </c>
      <c r="AF105">
        <v>1</v>
      </c>
      <c r="AH105" t="s">
        <v>7154</v>
      </c>
      <c r="AI105" t="s">
        <v>7153</v>
      </c>
      <c r="AJ105" t="s">
        <v>7152</v>
      </c>
      <c r="AK105" t="s">
        <v>7151</v>
      </c>
      <c r="AL105">
        <v>0</v>
      </c>
      <c r="AM105" s="5">
        <f t="shared" si="18"/>
        <v>0</v>
      </c>
      <c r="AN105" s="4">
        <f t="shared" si="15"/>
        <v>0</v>
      </c>
      <c r="AO105" s="3"/>
      <c r="AP105">
        <v>0</v>
      </c>
      <c r="AR105" t="s">
        <v>0</v>
      </c>
      <c r="AT105" s="2">
        <v>3.3559999999999999</v>
      </c>
      <c r="AU105" s="1">
        <f t="shared" si="19"/>
        <v>1.5621579776300685</v>
      </c>
      <c r="AV105" s="1">
        <f t="shared" si="20"/>
        <v>1.1158271268786204</v>
      </c>
      <c r="AW105" s="1">
        <f t="shared" si="21"/>
        <v>0.66949627612717222</v>
      </c>
    </row>
    <row r="106" spans="1:49" x14ac:dyDescent="0.2">
      <c r="A106">
        <v>104</v>
      </c>
      <c r="B106" t="s">
        <v>7150</v>
      </c>
      <c r="F106" t="s">
        <v>7149</v>
      </c>
      <c r="G106" t="s">
        <v>14</v>
      </c>
      <c r="H106" t="s">
        <v>13</v>
      </c>
      <c r="I106" t="s">
        <v>7148</v>
      </c>
      <c r="J106">
        <v>60019647</v>
      </c>
      <c r="K106" t="s">
        <v>7147</v>
      </c>
      <c r="L106" t="s">
        <v>7146</v>
      </c>
      <c r="M106" t="s">
        <v>9</v>
      </c>
      <c r="N106">
        <v>2</v>
      </c>
      <c r="O106" t="s">
        <v>7145</v>
      </c>
      <c r="P106" t="s">
        <v>7144</v>
      </c>
      <c r="Q106" t="s">
        <v>7143</v>
      </c>
      <c r="R106" s="7">
        <v>31809</v>
      </c>
      <c r="S106" s="8">
        <f t="shared" si="16"/>
        <v>1987</v>
      </c>
      <c r="T106" s="8">
        <v>1987</v>
      </c>
      <c r="U106" s="8">
        <f t="shared" si="17"/>
        <v>35</v>
      </c>
      <c r="V106" s="7">
        <v>31809</v>
      </c>
      <c r="W106" t="s">
        <v>629</v>
      </c>
      <c r="X106" s="2" t="s">
        <v>32</v>
      </c>
      <c r="Y106" s="6" t="e">
        <f t="shared" si="14"/>
        <v>#VALUE!</v>
      </c>
      <c r="AA106">
        <v>262897</v>
      </c>
      <c r="AB106">
        <v>18580</v>
      </c>
      <c r="AD106" t="s">
        <v>4</v>
      </c>
      <c r="AE106">
        <v>30</v>
      </c>
      <c r="AF106">
        <v>2</v>
      </c>
      <c r="AI106" t="s">
        <v>7142</v>
      </c>
      <c r="AK106" t="s">
        <v>7141</v>
      </c>
      <c r="AL106">
        <v>0</v>
      </c>
      <c r="AM106" s="5">
        <f t="shared" si="18"/>
        <v>0</v>
      </c>
      <c r="AN106" s="4">
        <f t="shared" si="15"/>
        <v>0</v>
      </c>
      <c r="AO106" s="3"/>
      <c r="AP106">
        <v>0</v>
      </c>
      <c r="AR106" t="s">
        <v>0</v>
      </c>
      <c r="AT106" s="2">
        <v>0.30599999999999999</v>
      </c>
      <c r="AU106" s="1" t="e">
        <f t="shared" si="19"/>
        <v>#VALUE!</v>
      </c>
      <c r="AV106" s="1" t="e">
        <f t="shared" si="20"/>
        <v>#VALUE!</v>
      </c>
      <c r="AW106" s="1" t="e">
        <f t="shared" si="21"/>
        <v>#VALUE!</v>
      </c>
    </row>
    <row r="107" spans="1:49" x14ac:dyDescent="0.2">
      <c r="A107">
        <v>105</v>
      </c>
      <c r="B107" t="s">
        <v>7140</v>
      </c>
      <c r="F107" t="s">
        <v>7139</v>
      </c>
      <c r="G107" t="s">
        <v>14</v>
      </c>
      <c r="H107" t="s">
        <v>13</v>
      </c>
      <c r="I107" t="s">
        <v>7138</v>
      </c>
      <c r="J107">
        <v>60019987</v>
      </c>
      <c r="K107" t="s">
        <v>7137</v>
      </c>
      <c r="L107" t="s">
        <v>7136</v>
      </c>
      <c r="M107" t="s">
        <v>6177</v>
      </c>
      <c r="N107">
        <v>2</v>
      </c>
      <c r="O107" t="s">
        <v>7135</v>
      </c>
      <c r="P107" t="s">
        <v>7134</v>
      </c>
      <c r="Q107" t="s">
        <v>7133</v>
      </c>
      <c r="R107" s="7">
        <v>31809</v>
      </c>
      <c r="S107" s="8">
        <f t="shared" si="16"/>
        <v>1987</v>
      </c>
      <c r="T107" s="8">
        <v>1987</v>
      </c>
      <c r="U107" s="8">
        <f t="shared" si="17"/>
        <v>35</v>
      </c>
      <c r="V107" s="7">
        <v>31809</v>
      </c>
      <c r="W107" t="s">
        <v>7132</v>
      </c>
      <c r="X107" s="2" t="s">
        <v>32</v>
      </c>
      <c r="Y107" s="6" t="e">
        <f t="shared" si="14"/>
        <v>#VALUE!</v>
      </c>
      <c r="AA107">
        <v>304026</v>
      </c>
      <c r="AB107">
        <v>110152</v>
      </c>
      <c r="AD107" t="s">
        <v>4</v>
      </c>
      <c r="AE107">
        <v>75</v>
      </c>
      <c r="AF107">
        <v>3</v>
      </c>
      <c r="AH107" t="s">
        <v>7131</v>
      </c>
      <c r="AI107" t="s">
        <v>7130</v>
      </c>
      <c r="AK107" t="s">
        <v>7129</v>
      </c>
      <c r="AL107">
        <v>2</v>
      </c>
      <c r="AM107" s="5">
        <f t="shared" si="18"/>
        <v>5.7142857142857141E-2</v>
      </c>
      <c r="AN107" s="4">
        <f t="shared" si="15"/>
        <v>8.6547303510575E-5</v>
      </c>
      <c r="AO107" s="3"/>
      <c r="AP107">
        <v>0</v>
      </c>
      <c r="AR107" t="s">
        <v>0</v>
      </c>
      <c r="AT107" s="2" t="s">
        <v>32</v>
      </c>
      <c r="AU107" s="1" t="e">
        <f t="shared" si="19"/>
        <v>#VALUE!</v>
      </c>
      <c r="AV107" s="1" t="e">
        <f t="shared" si="20"/>
        <v>#VALUE!</v>
      </c>
      <c r="AW107" s="1" t="e">
        <f t="shared" si="21"/>
        <v>#VALUE!</v>
      </c>
    </row>
    <row r="108" spans="1:49" x14ac:dyDescent="0.2">
      <c r="A108">
        <v>106</v>
      </c>
      <c r="B108" t="s">
        <v>7128</v>
      </c>
      <c r="F108" t="s">
        <v>7127</v>
      </c>
      <c r="G108" t="s">
        <v>14</v>
      </c>
      <c r="H108" t="s">
        <v>13</v>
      </c>
      <c r="I108" t="s">
        <v>5080</v>
      </c>
      <c r="J108">
        <v>60025778</v>
      </c>
      <c r="K108" t="s">
        <v>1007</v>
      </c>
      <c r="L108" t="s">
        <v>1006</v>
      </c>
      <c r="M108" t="s">
        <v>9</v>
      </c>
      <c r="N108">
        <v>1</v>
      </c>
      <c r="O108" t="s">
        <v>7126</v>
      </c>
      <c r="P108">
        <v>7004624580</v>
      </c>
      <c r="Q108">
        <v>60025778</v>
      </c>
      <c r="R108" s="7">
        <v>31809</v>
      </c>
      <c r="S108" s="8">
        <f t="shared" si="16"/>
        <v>1987</v>
      </c>
      <c r="T108" s="8">
        <v>1987</v>
      </c>
      <c r="U108" s="8">
        <f t="shared" si="17"/>
        <v>35</v>
      </c>
      <c r="V108" s="7">
        <v>31809</v>
      </c>
      <c r="W108" t="s">
        <v>336</v>
      </c>
      <c r="X108" s="2">
        <v>1.6519999999999999</v>
      </c>
      <c r="Y108" s="6">
        <f t="shared" si="14"/>
        <v>4.409919649769093E-2</v>
      </c>
      <c r="AA108" t="s">
        <v>335</v>
      </c>
      <c r="AB108">
        <v>17337</v>
      </c>
      <c r="AD108" t="s">
        <v>4</v>
      </c>
      <c r="AE108" t="s">
        <v>1653</v>
      </c>
      <c r="AF108">
        <v>2</v>
      </c>
      <c r="AH108" t="s">
        <v>7125</v>
      </c>
      <c r="AI108" t="s">
        <v>7124</v>
      </c>
      <c r="AK108" t="s">
        <v>7123</v>
      </c>
      <c r="AL108">
        <v>25</v>
      </c>
      <c r="AM108" s="5">
        <f t="shared" si="18"/>
        <v>0.7142857142857143</v>
      </c>
      <c r="AN108" s="4">
        <f t="shared" si="15"/>
        <v>1.0818412938821875E-3</v>
      </c>
      <c r="AO108" s="3"/>
      <c r="AP108">
        <v>0</v>
      </c>
      <c r="AR108" t="s">
        <v>0</v>
      </c>
      <c r="AT108" s="2" t="s">
        <v>32</v>
      </c>
      <c r="AU108" s="1">
        <f t="shared" si="19"/>
        <v>3.1193989936548308</v>
      </c>
      <c r="AV108" s="1">
        <f t="shared" si="20"/>
        <v>2.259051889578656</v>
      </c>
      <c r="AW108" s="1">
        <f t="shared" si="21"/>
        <v>1.3987047855024808</v>
      </c>
    </row>
    <row r="109" spans="1:49" x14ac:dyDescent="0.2">
      <c r="A109">
        <v>107</v>
      </c>
      <c r="B109" t="s">
        <v>7122</v>
      </c>
      <c r="F109" t="s">
        <v>7121</v>
      </c>
      <c r="G109" t="s">
        <v>14</v>
      </c>
      <c r="H109" t="s">
        <v>13</v>
      </c>
      <c r="I109" t="s">
        <v>7120</v>
      </c>
      <c r="J109">
        <v>60005304</v>
      </c>
      <c r="K109" t="s">
        <v>664</v>
      </c>
      <c r="L109" t="s">
        <v>663</v>
      </c>
      <c r="M109" t="s">
        <v>9</v>
      </c>
      <c r="N109">
        <v>1</v>
      </c>
      <c r="O109" t="s">
        <v>7119</v>
      </c>
      <c r="P109">
        <v>7404814748</v>
      </c>
      <c r="Q109">
        <v>60005304</v>
      </c>
      <c r="R109" s="7">
        <v>31809</v>
      </c>
      <c r="S109" s="8">
        <f t="shared" si="16"/>
        <v>1987</v>
      </c>
      <c r="T109" s="8">
        <v>1987</v>
      </c>
      <c r="U109" s="8">
        <f t="shared" si="17"/>
        <v>35</v>
      </c>
      <c r="V109" s="7">
        <v>31809</v>
      </c>
      <c r="W109" t="s">
        <v>336</v>
      </c>
      <c r="X109" s="2">
        <v>1.6519999999999999</v>
      </c>
      <c r="Y109" s="6">
        <f t="shared" si="14"/>
        <v>4.409919649769093E-2</v>
      </c>
      <c r="AA109" t="s">
        <v>335</v>
      </c>
      <c r="AB109">
        <v>17337</v>
      </c>
      <c r="AD109" t="s">
        <v>4</v>
      </c>
      <c r="AE109" t="s">
        <v>1653</v>
      </c>
      <c r="AF109">
        <v>2</v>
      </c>
      <c r="AH109" t="s">
        <v>7118</v>
      </c>
      <c r="AI109" t="s">
        <v>7117</v>
      </c>
      <c r="AK109" t="s">
        <v>7116</v>
      </c>
      <c r="AL109">
        <v>18</v>
      </c>
      <c r="AM109" s="5">
        <f t="shared" si="18"/>
        <v>0.51428571428571423</v>
      </c>
      <c r="AN109" s="4">
        <f t="shared" si="15"/>
        <v>7.7892573159517493E-4</v>
      </c>
      <c r="AO109" s="3"/>
      <c r="AP109">
        <v>0</v>
      </c>
      <c r="AR109" t="s">
        <v>0</v>
      </c>
      <c r="AT109" s="2" t="s">
        <v>32</v>
      </c>
      <c r="AU109" s="1">
        <f t="shared" si="19"/>
        <v>3.1103115267862202</v>
      </c>
      <c r="AV109" s="1">
        <f t="shared" si="20"/>
        <v>2.2439061114643053</v>
      </c>
      <c r="AW109" s="1">
        <f t="shared" si="21"/>
        <v>1.3775006961423899</v>
      </c>
    </row>
    <row r="110" spans="1:49" x14ac:dyDescent="0.2">
      <c r="A110">
        <v>108</v>
      </c>
      <c r="B110" t="s">
        <v>7115</v>
      </c>
      <c r="F110" t="s">
        <v>7114</v>
      </c>
      <c r="G110" t="s">
        <v>14</v>
      </c>
      <c r="H110" t="s">
        <v>13</v>
      </c>
      <c r="I110" t="s">
        <v>7113</v>
      </c>
      <c r="J110">
        <v>60024784</v>
      </c>
      <c r="K110" t="s">
        <v>3644</v>
      </c>
      <c r="L110" t="s">
        <v>3643</v>
      </c>
      <c r="M110" t="s">
        <v>524</v>
      </c>
      <c r="N110">
        <v>3</v>
      </c>
      <c r="O110" t="s">
        <v>7112</v>
      </c>
      <c r="P110" t="s">
        <v>3641</v>
      </c>
      <c r="Q110" t="s">
        <v>3640</v>
      </c>
      <c r="R110" s="7">
        <v>31809</v>
      </c>
      <c r="S110" s="8">
        <f t="shared" si="16"/>
        <v>1987</v>
      </c>
      <c r="T110" s="8">
        <v>1987</v>
      </c>
      <c r="U110" s="8">
        <f t="shared" si="17"/>
        <v>35</v>
      </c>
      <c r="V110" s="7">
        <v>31809</v>
      </c>
      <c r="W110" t="s">
        <v>7111</v>
      </c>
      <c r="X110" s="2" t="s">
        <v>32</v>
      </c>
      <c r="Y110" s="6" t="e">
        <f t="shared" si="14"/>
        <v>#VALUE!</v>
      </c>
      <c r="AB110">
        <v>55073</v>
      </c>
      <c r="AD110" t="s">
        <v>4</v>
      </c>
      <c r="AE110" t="s">
        <v>7110</v>
      </c>
      <c r="AF110">
        <v>2</v>
      </c>
      <c r="AH110" t="s">
        <v>7109</v>
      </c>
      <c r="AI110" t="s">
        <v>7108</v>
      </c>
      <c r="AK110" t="s">
        <v>7107</v>
      </c>
      <c r="AL110">
        <v>0</v>
      </c>
      <c r="AM110" s="5">
        <f t="shared" si="18"/>
        <v>0</v>
      </c>
      <c r="AN110" s="4">
        <f t="shared" si="15"/>
        <v>0</v>
      </c>
      <c r="AO110" s="3"/>
      <c r="AP110">
        <v>0</v>
      </c>
      <c r="AR110" t="s">
        <v>0</v>
      </c>
      <c r="AT110" s="2" t="s">
        <v>32</v>
      </c>
      <c r="AU110" s="1" t="e">
        <f t="shared" si="19"/>
        <v>#VALUE!</v>
      </c>
      <c r="AV110" s="1" t="e">
        <f t="shared" si="20"/>
        <v>#VALUE!</v>
      </c>
      <c r="AW110" s="1" t="e">
        <f t="shared" si="21"/>
        <v>#VALUE!</v>
      </c>
    </row>
    <row r="111" spans="1:49" x14ac:dyDescent="0.2">
      <c r="A111">
        <v>109</v>
      </c>
      <c r="B111" t="s">
        <v>7106</v>
      </c>
      <c r="F111" t="s">
        <v>7105</v>
      </c>
      <c r="G111" t="s">
        <v>14</v>
      </c>
      <c r="H111" t="s">
        <v>13</v>
      </c>
      <c r="I111" t="s">
        <v>7104</v>
      </c>
      <c r="N111">
        <v>1</v>
      </c>
      <c r="O111" t="s">
        <v>7103</v>
      </c>
      <c r="P111">
        <v>7101701880</v>
      </c>
      <c r="R111" s="7">
        <v>31809</v>
      </c>
      <c r="S111" s="8">
        <f t="shared" si="16"/>
        <v>1987</v>
      </c>
      <c r="T111" s="8">
        <v>1987</v>
      </c>
      <c r="U111" s="8">
        <f t="shared" si="17"/>
        <v>35</v>
      </c>
      <c r="V111" s="7">
        <v>31809</v>
      </c>
      <c r="W111" t="s">
        <v>939</v>
      </c>
      <c r="X111" s="2" t="s">
        <v>32</v>
      </c>
      <c r="Y111" s="6" t="e">
        <f t="shared" si="14"/>
        <v>#VALUE!</v>
      </c>
      <c r="AA111">
        <v>87566648</v>
      </c>
      <c r="AB111">
        <v>74127</v>
      </c>
      <c r="AD111" t="s">
        <v>4</v>
      </c>
      <c r="AE111">
        <v>32</v>
      </c>
      <c r="AF111">
        <v>2</v>
      </c>
      <c r="AH111" t="s">
        <v>7102</v>
      </c>
      <c r="AI111" t="s">
        <v>7101</v>
      </c>
      <c r="AK111" t="s">
        <v>7100</v>
      </c>
      <c r="AL111">
        <v>0</v>
      </c>
      <c r="AM111" s="5">
        <f t="shared" si="18"/>
        <v>0</v>
      </c>
      <c r="AN111" s="4">
        <f t="shared" si="15"/>
        <v>0</v>
      </c>
      <c r="AO111" s="3"/>
      <c r="AP111">
        <v>0</v>
      </c>
      <c r="AR111" t="s">
        <v>0</v>
      </c>
      <c r="AT111" s="2" t="s">
        <v>32</v>
      </c>
      <c r="AU111" s="1" t="e">
        <f t="shared" si="19"/>
        <v>#VALUE!</v>
      </c>
      <c r="AV111" s="1" t="e">
        <f t="shared" si="20"/>
        <v>#VALUE!</v>
      </c>
      <c r="AW111" s="1" t="e">
        <f t="shared" si="21"/>
        <v>#VALUE!</v>
      </c>
    </row>
    <row r="112" spans="1:49" x14ac:dyDescent="0.2">
      <c r="A112">
        <v>110</v>
      </c>
      <c r="B112" t="s">
        <v>7099</v>
      </c>
      <c r="F112" t="s">
        <v>7098</v>
      </c>
      <c r="G112" t="s">
        <v>14</v>
      </c>
      <c r="H112" t="s">
        <v>13</v>
      </c>
      <c r="I112" t="s">
        <v>7097</v>
      </c>
      <c r="N112">
        <v>1</v>
      </c>
      <c r="O112" t="s">
        <v>7096</v>
      </c>
      <c r="P112">
        <v>6506435992</v>
      </c>
      <c r="R112" s="7">
        <v>31809</v>
      </c>
      <c r="S112" s="8">
        <f t="shared" si="16"/>
        <v>1987</v>
      </c>
      <c r="T112" s="8">
        <v>1987</v>
      </c>
      <c r="U112" s="8">
        <f t="shared" si="17"/>
        <v>35</v>
      </c>
      <c r="V112" s="7">
        <v>31809</v>
      </c>
      <c r="W112" t="s">
        <v>939</v>
      </c>
      <c r="X112" s="2" t="s">
        <v>32</v>
      </c>
      <c r="Y112" s="6" t="e">
        <f t="shared" si="14"/>
        <v>#VALUE!</v>
      </c>
      <c r="AA112">
        <v>87566648</v>
      </c>
      <c r="AB112">
        <v>74127</v>
      </c>
      <c r="AD112" t="s">
        <v>4</v>
      </c>
      <c r="AE112">
        <v>32</v>
      </c>
      <c r="AF112">
        <v>2</v>
      </c>
      <c r="AH112" t="s">
        <v>7095</v>
      </c>
      <c r="AI112" t="s">
        <v>7094</v>
      </c>
      <c r="AK112" t="s">
        <v>7093</v>
      </c>
      <c r="AL112">
        <v>0</v>
      </c>
      <c r="AM112" s="5">
        <f t="shared" si="18"/>
        <v>0</v>
      </c>
      <c r="AN112" s="4">
        <f t="shared" si="15"/>
        <v>0</v>
      </c>
      <c r="AO112" s="3"/>
      <c r="AP112">
        <v>0</v>
      </c>
      <c r="AR112" t="s">
        <v>0</v>
      </c>
      <c r="AT112" s="2" t="s">
        <v>32</v>
      </c>
      <c r="AU112" s="1" t="e">
        <f t="shared" si="19"/>
        <v>#VALUE!</v>
      </c>
      <c r="AV112" s="1" t="e">
        <f t="shared" si="20"/>
        <v>#VALUE!</v>
      </c>
      <c r="AW112" s="1" t="e">
        <f t="shared" si="21"/>
        <v>#VALUE!</v>
      </c>
    </row>
    <row r="113" spans="1:49" x14ac:dyDescent="0.2">
      <c r="A113">
        <v>111</v>
      </c>
      <c r="B113" t="s">
        <v>7092</v>
      </c>
      <c r="F113" t="s">
        <v>7091</v>
      </c>
      <c r="G113" t="s">
        <v>14</v>
      </c>
      <c r="H113" t="s">
        <v>13</v>
      </c>
      <c r="I113" t="s">
        <v>7090</v>
      </c>
      <c r="J113">
        <v>60006168</v>
      </c>
      <c r="K113" t="s">
        <v>7089</v>
      </c>
      <c r="L113" t="s">
        <v>7088</v>
      </c>
      <c r="M113" t="s">
        <v>9</v>
      </c>
      <c r="N113">
        <v>3</v>
      </c>
      <c r="O113" t="s">
        <v>7087</v>
      </c>
      <c r="P113" t="s">
        <v>7086</v>
      </c>
      <c r="Q113" t="s">
        <v>7085</v>
      </c>
      <c r="R113" s="7">
        <v>31809</v>
      </c>
      <c r="S113" s="8">
        <f t="shared" si="16"/>
        <v>1987</v>
      </c>
      <c r="T113" s="8">
        <v>1987</v>
      </c>
      <c r="U113" s="8">
        <f t="shared" si="17"/>
        <v>35</v>
      </c>
      <c r="V113" s="7">
        <v>31809</v>
      </c>
      <c r="W113" t="s">
        <v>336</v>
      </c>
      <c r="X113" s="2">
        <v>1.6519999999999999</v>
      </c>
      <c r="Y113" s="6">
        <f t="shared" si="14"/>
        <v>4.409919649769093E-2</v>
      </c>
      <c r="AA113" t="s">
        <v>335</v>
      </c>
      <c r="AB113">
        <v>17337</v>
      </c>
      <c r="AD113" t="s">
        <v>4</v>
      </c>
      <c r="AE113" t="s">
        <v>1653</v>
      </c>
      <c r="AF113">
        <v>2</v>
      </c>
      <c r="AH113" t="s">
        <v>7084</v>
      </c>
      <c r="AI113" t="s">
        <v>7083</v>
      </c>
      <c r="AK113" t="s">
        <v>7082</v>
      </c>
      <c r="AL113">
        <v>0</v>
      </c>
      <c r="AM113" s="5">
        <f t="shared" si="18"/>
        <v>0</v>
      </c>
      <c r="AN113" s="4">
        <f t="shared" si="15"/>
        <v>0</v>
      </c>
      <c r="AO113" s="3"/>
      <c r="AP113">
        <v>0</v>
      </c>
      <c r="AR113" t="s">
        <v>0</v>
      </c>
      <c r="AT113" s="2" t="s">
        <v>32</v>
      </c>
      <c r="AU113" s="1">
        <f t="shared" si="19"/>
        <v>3.0869437548383649</v>
      </c>
      <c r="AV113" s="1">
        <f t="shared" si="20"/>
        <v>2.2049598248845466</v>
      </c>
      <c r="AW113" s="1">
        <f t="shared" si="21"/>
        <v>1.3229758949307278</v>
      </c>
    </row>
    <row r="114" spans="1:49" x14ac:dyDescent="0.2">
      <c r="A114">
        <v>112</v>
      </c>
      <c r="B114" t="s">
        <v>7081</v>
      </c>
      <c r="F114" t="s">
        <v>7080</v>
      </c>
      <c r="G114" t="s">
        <v>14</v>
      </c>
      <c r="H114" t="s">
        <v>13</v>
      </c>
      <c r="I114" t="s">
        <v>7079</v>
      </c>
      <c r="J114">
        <v>60002959</v>
      </c>
      <c r="K114" t="s">
        <v>7078</v>
      </c>
      <c r="L114" t="s">
        <v>7077</v>
      </c>
      <c r="M114" t="s">
        <v>9</v>
      </c>
      <c r="N114">
        <v>1</v>
      </c>
      <c r="O114" t="s">
        <v>7076</v>
      </c>
      <c r="P114">
        <v>7003752339</v>
      </c>
      <c r="Q114">
        <v>60002959</v>
      </c>
      <c r="R114" s="7">
        <v>31809</v>
      </c>
      <c r="S114" s="8">
        <f t="shared" si="16"/>
        <v>1987</v>
      </c>
      <c r="T114" s="8">
        <v>1987</v>
      </c>
      <c r="U114" s="8">
        <f t="shared" si="17"/>
        <v>35</v>
      </c>
      <c r="V114" s="7">
        <v>31809</v>
      </c>
      <c r="W114" t="s">
        <v>826</v>
      </c>
      <c r="X114" s="2">
        <v>0.10100000000000001</v>
      </c>
      <c r="Y114" s="6">
        <f t="shared" si="14"/>
        <v>2.6961373161421215E-3</v>
      </c>
      <c r="AA114">
        <v>7452993</v>
      </c>
      <c r="AB114">
        <v>18563</v>
      </c>
      <c r="AD114" t="s">
        <v>4</v>
      </c>
      <c r="AE114">
        <v>26</v>
      </c>
      <c r="AF114">
        <v>2</v>
      </c>
      <c r="AH114" t="s">
        <v>7075</v>
      </c>
      <c r="AI114" t="s">
        <v>7074</v>
      </c>
      <c r="AK114" t="s">
        <v>7073</v>
      </c>
      <c r="AL114">
        <v>1</v>
      </c>
      <c r="AM114" s="5">
        <f t="shared" si="18"/>
        <v>2.8571428571428571E-2</v>
      </c>
      <c r="AN114" s="4">
        <f t="shared" si="15"/>
        <v>4.32736517552875E-5</v>
      </c>
      <c r="AO114" s="3"/>
      <c r="AP114">
        <v>0</v>
      </c>
      <c r="AR114" t="s">
        <v>0</v>
      </c>
      <c r="AT114" s="2" t="s">
        <v>32</v>
      </c>
      <c r="AU114" s="1">
        <f t="shared" si="19"/>
        <v>0.19002782168260712</v>
      </c>
      <c r="AV114" s="1">
        <f t="shared" si="20"/>
        <v>0.13697054839487047</v>
      </c>
      <c r="AW114" s="1">
        <f t="shared" si="21"/>
        <v>8.391327510713377E-2</v>
      </c>
    </row>
    <row r="115" spans="1:49" x14ac:dyDescent="0.2">
      <c r="A115">
        <v>113</v>
      </c>
      <c r="B115" t="s">
        <v>7072</v>
      </c>
      <c r="C115" t="s">
        <v>7071</v>
      </c>
      <c r="F115" t="s">
        <v>7070</v>
      </c>
      <c r="G115" t="s">
        <v>14</v>
      </c>
      <c r="H115" t="s">
        <v>13</v>
      </c>
      <c r="I115" t="s">
        <v>7069</v>
      </c>
      <c r="J115">
        <v>60017317</v>
      </c>
      <c r="K115" t="s">
        <v>7068</v>
      </c>
      <c r="L115" t="s">
        <v>7067</v>
      </c>
      <c r="M115" t="s">
        <v>586</v>
      </c>
      <c r="N115">
        <v>2</v>
      </c>
      <c r="O115" t="s">
        <v>7066</v>
      </c>
      <c r="P115" t="s">
        <v>7065</v>
      </c>
      <c r="Q115" t="s">
        <v>7064</v>
      </c>
      <c r="R115" s="7">
        <v>31809</v>
      </c>
      <c r="S115" s="8">
        <f t="shared" si="16"/>
        <v>1987</v>
      </c>
      <c r="T115" s="8">
        <v>1987</v>
      </c>
      <c r="U115" s="8">
        <f t="shared" si="17"/>
        <v>35</v>
      </c>
      <c r="V115" s="7">
        <v>31809</v>
      </c>
      <c r="W115" t="s">
        <v>7063</v>
      </c>
      <c r="X115" s="2" t="s">
        <v>32</v>
      </c>
      <c r="Y115" s="6" t="e">
        <f t="shared" si="14"/>
        <v>#VALUE!</v>
      </c>
      <c r="AA115" t="s">
        <v>7062</v>
      </c>
      <c r="AB115">
        <v>53590</v>
      </c>
      <c r="AC115" t="s">
        <v>7061</v>
      </c>
      <c r="AD115" t="s">
        <v>4</v>
      </c>
      <c r="AE115">
        <v>196</v>
      </c>
      <c r="AF115">
        <v>2</v>
      </c>
      <c r="AH115" t="s">
        <v>7060</v>
      </c>
      <c r="AI115" t="s">
        <v>7059</v>
      </c>
      <c r="AJ115" t="s">
        <v>7058</v>
      </c>
      <c r="AK115" t="s">
        <v>7057</v>
      </c>
      <c r="AL115">
        <v>81</v>
      </c>
      <c r="AM115" s="5">
        <f t="shared" si="18"/>
        <v>2.3142857142857145</v>
      </c>
      <c r="AN115" s="4">
        <f t="shared" si="15"/>
        <v>3.5051657921782876E-3</v>
      </c>
      <c r="AO115" s="3"/>
      <c r="AP115">
        <v>0</v>
      </c>
      <c r="AR115" t="s">
        <v>0</v>
      </c>
      <c r="AT115" s="2" t="s">
        <v>32</v>
      </c>
      <c r="AU115" s="1" t="e">
        <f t="shared" si="19"/>
        <v>#VALUE!</v>
      </c>
      <c r="AV115" s="1" t="e">
        <f t="shared" si="20"/>
        <v>#VALUE!</v>
      </c>
      <c r="AW115" s="1" t="e">
        <f t="shared" si="21"/>
        <v>#VALUE!</v>
      </c>
    </row>
    <row r="116" spans="1:49" x14ac:dyDescent="0.2">
      <c r="A116">
        <v>114</v>
      </c>
      <c r="B116" t="s">
        <v>7056</v>
      </c>
      <c r="C116" t="s">
        <v>7055</v>
      </c>
      <c r="F116" t="s">
        <v>7054</v>
      </c>
      <c r="G116" t="s">
        <v>14</v>
      </c>
      <c r="H116" t="s">
        <v>13</v>
      </c>
      <c r="I116" t="s">
        <v>7053</v>
      </c>
      <c r="J116" t="s">
        <v>7052</v>
      </c>
      <c r="K116" t="s">
        <v>7051</v>
      </c>
      <c r="L116" t="s">
        <v>7050</v>
      </c>
      <c r="M116" t="s">
        <v>7049</v>
      </c>
      <c r="N116">
        <v>3</v>
      </c>
      <c r="O116" t="s">
        <v>7048</v>
      </c>
      <c r="P116" t="s">
        <v>7047</v>
      </c>
      <c r="Q116" t="s">
        <v>7046</v>
      </c>
      <c r="R116" s="7">
        <v>31809</v>
      </c>
      <c r="S116" s="8">
        <f t="shared" si="16"/>
        <v>1987</v>
      </c>
      <c r="T116" s="8">
        <v>1987</v>
      </c>
      <c r="U116" s="8">
        <f t="shared" si="17"/>
        <v>35</v>
      </c>
      <c r="V116" s="7">
        <v>31809</v>
      </c>
      <c r="W116" t="s">
        <v>22</v>
      </c>
      <c r="X116" s="2">
        <v>0.85499999999999998</v>
      </c>
      <c r="Y116" s="6">
        <f t="shared" si="14"/>
        <v>2.28237366861536E-2</v>
      </c>
      <c r="AA116">
        <v>980331</v>
      </c>
      <c r="AB116">
        <v>23342</v>
      </c>
      <c r="AC116">
        <v>15731561</v>
      </c>
      <c r="AD116" t="s">
        <v>4</v>
      </c>
      <c r="AE116">
        <v>13</v>
      </c>
      <c r="AF116">
        <v>2</v>
      </c>
      <c r="AH116" t="s">
        <v>7045</v>
      </c>
      <c r="AI116" t="s">
        <v>7044</v>
      </c>
      <c r="AJ116" t="s">
        <v>7043</v>
      </c>
      <c r="AK116" t="s">
        <v>7042</v>
      </c>
      <c r="AL116">
        <v>14</v>
      </c>
      <c r="AM116" s="5">
        <f t="shared" si="18"/>
        <v>0.4</v>
      </c>
      <c r="AN116" s="4">
        <f t="shared" si="15"/>
        <v>6.0583112457402507E-4</v>
      </c>
      <c r="AO116" s="3"/>
      <c r="AP116">
        <v>0</v>
      </c>
      <c r="AR116" t="s">
        <v>0</v>
      </c>
      <c r="AT116" s="2">
        <v>2.6259999999999999</v>
      </c>
      <c r="AU116" s="1">
        <f t="shared" si="19"/>
        <v>1.6158365017679728</v>
      </c>
      <c r="AV116" s="1">
        <f t="shared" si="20"/>
        <v>1.1714783905363813</v>
      </c>
      <c r="AW116" s="1">
        <f t="shared" si="21"/>
        <v>0.72712027930478973</v>
      </c>
    </row>
    <row r="117" spans="1:49" x14ac:dyDescent="0.2">
      <c r="A117">
        <v>115</v>
      </c>
      <c r="B117" t="s">
        <v>7041</v>
      </c>
      <c r="C117" t="s">
        <v>7040</v>
      </c>
      <c r="D117" t="s">
        <v>7039</v>
      </c>
      <c r="F117" t="s">
        <v>7038</v>
      </c>
      <c r="G117" t="s">
        <v>14</v>
      </c>
      <c r="H117" t="s">
        <v>13</v>
      </c>
      <c r="I117" t="s">
        <v>7037</v>
      </c>
      <c r="J117">
        <v>60032350</v>
      </c>
      <c r="K117" t="s">
        <v>6350</v>
      </c>
      <c r="L117" t="s">
        <v>6349</v>
      </c>
      <c r="M117" t="s">
        <v>3694</v>
      </c>
      <c r="N117">
        <v>1</v>
      </c>
      <c r="O117" t="s">
        <v>7036</v>
      </c>
      <c r="P117">
        <v>7003989227</v>
      </c>
      <c r="Q117">
        <v>60032350</v>
      </c>
      <c r="R117" s="7">
        <v>31803</v>
      </c>
      <c r="S117" s="8">
        <f t="shared" si="16"/>
        <v>1987</v>
      </c>
      <c r="T117" s="8">
        <v>1987</v>
      </c>
      <c r="U117" s="8">
        <f t="shared" si="17"/>
        <v>35</v>
      </c>
      <c r="V117" s="7">
        <v>31803</v>
      </c>
      <c r="W117" t="s">
        <v>7035</v>
      </c>
      <c r="X117" s="2">
        <v>0.499</v>
      </c>
      <c r="Y117" s="6">
        <f t="shared" si="14"/>
        <v>1.332052000747444E-2</v>
      </c>
      <c r="AA117">
        <v>3759601</v>
      </c>
      <c r="AB117">
        <v>29464</v>
      </c>
      <c r="AD117" t="s">
        <v>4</v>
      </c>
      <c r="AE117">
        <v>120</v>
      </c>
      <c r="AF117">
        <v>1</v>
      </c>
      <c r="AH117" s="9">
        <v>44317</v>
      </c>
      <c r="AI117" t="s">
        <v>7034</v>
      </c>
      <c r="AK117" t="s">
        <v>7033</v>
      </c>
      <c r="AL117">
        <v>10</v>
      </c>
      <c r="AM117" s="5">
        <f t="shared" si="18"/>
        <v>0.2857142857142857</v>
      </c>
      <c r="AN117" s="4">
        <f t="shared" si="15"/>
        <v>4.3273651755287499E-4</v>
      </c>
      <c r="AO117" s="3"/>
      <c r="AP117">
        <v>0</v>
      </c>
      <c r="AR117" t="s">
        <v>0</v>
      </c>
      <c r="AT117" s="2">
        <v>2.6539999999999999</v>
      </c>
      <c r="AU117" s="1">
        <f t="shared" si="19"/>
        <v>0.945418496049797</v>
      </c>
      <c r="AV117" s="1">
        <f t="shared" si="20"/>
        <v>0.68766282625136577</v>
      </c>
      <c r="AW117" s="1">
        <f t="shared" si="21"/>
        <v>0.42990715645293448</v>
      </c>
    </row>
    <row r="118" spans="1:49" x14ac:dyDescent="0.2">
      <c r="A118">
        <v>116</v>
      </c>
      <c r="B118" t="s">
        <v>7032</v>
      </c>
      <c r="C118" t="s">
        <v>7031</v>
      </c>
      <c r="F118" t="s">
        <v>7030</v>
      </c>
      <c r="G118" t="s">
        <v>14</v>
      </c>
      <c r="H118" t="s">
        <v>13</v>
      </c>
      <c r="I118" t="s">
        <v>7029</v>
      </c>
      <c r="J118" t="s">
        <v>7018</v>
      </c>
      <c r="K118" t="s">
        <v>7017</v>
      </c>
      <c r="L118" t="s">
        <v>7016</v>
      </c>
      <c r="M118" t="s">
        <v>7015</v>
      </c>
      <c r="N118">
        <v>7</v>
      </c>
      <c r="O118" t="s">
        <v>7028</v>
      </c>
      <c r="P118" t="s">
        <v>7027</v>
      </c>
      <c r="Q118" t="s">
        <v>7026</v>
      </c>
      <c r="R118" s="7">
        <v>31792</v>
      </c>
      <c r="S118" s="8">
        <f t="shared" si="16"/>
        <v>1987</v>
      </c>
      <c r="T118" s="8">
        <v>1987</v>
      </c>
      <c r="U118" s="8">
        <f t="shared" si="17"/>
        <v>35</v>
      </c>
      <c r="V118" s="7">
        <v>31792</v>
      </c>
      <c r="W118" t="s">
        <v>6660</v>
      </c>
      <c r="X118" s="2">
        <v>0.66800000000000004</v>
      </c>
      <c r="Y118" s="6">
        <f t="shared" si="14"/>
        <v>1.7831878486959774E-2</v>
      </c>
      <c r="AA118" t="s">
        <v>6659</v>
      </c>
      <c r="AB118">
        <v>29593</v>
      </c>
      <c r="AC118">
        <v>21553165</v>
      </c>
      <c r="AD118" t="s">
        <v>4</v>
      </c>
      <c r="AE118">
        <v>26</v>
      </c>
      <c r="AF118">
        <v>2</v>
      </c>
      <c r="AH118" t="s">
        <v>7025</v>
      </c>
      <c r="AI118" t="s">
        <v>7024</v>
      </c>
      <c r="AK118" t="s">
        <v>7023</v>
      </c>
      <c r="AL118">
        <v>4</v>
      </c>
      <c r="AM118" s="5">
        <f t="shared" si="18"/>
        <v>0.11428571428571428</v>
      </c>
      <c r="AN118" s="4">
        <f t="shared" si="15"/>
        <v>1.7309460702115E-4</v>
      </c>
      <c r="AO118" s="3"/>
      <c r="AP118">
        <v>0</v>
      </c>
      <c r="AR118" t="s">
        <v>0</v>
      </c>
      <c r="AT118" s="2">
        <v>1.98</v>
      </c>
      <c r="AU118" s="1">
        <f t="shared" si="19"/>
        <v>1.2534243322978185</v>
      </c>
      <c r="AV118" s="1">
        <f t="shared" si="20"/>
        <v>0.90024865469904625</v>
      </c>
      <c r="AW118" s="1">
        <f t="shared" si="21"/>
        <v>0.54707297710027369</v>
      </c>
    </row>
    <row r="119" spans="1:49" x14ac:dyDescent="0.2">
      <c r="A119">
        <v>117</v>
      </c>
      <c r="B119" t="s">
        <v>7022</v>
      </c>
      <c r="C119" t="s">
        <v>7021</v>
      </c>
      <c r="F119" t="s">
        <v>7020</v>
      </c>
      <c r="G119" t="s">
        <v>14</v>
      </c>
      <c r="H119" t="s">
        <v>13</v>
      </c>
      <c r="I119" t="s">
        <v>7019</v>
      </c>
      <c r="J119" t="s">
        <v>7018</v>
      </c>
      <c r="K119" t="s">
        <v>7017</v>
      </c>
      <c r="L119" t="s">
        <v>7016</v>
      </c>
      <c r="M119" t="s">
        <v>7015</v>
      </c>
      <c r="N119">
        <v>7</v>
      </c>
      <c r="O119" t="s">
        <v>7014</v>
      </c>
      <c r="P119" t="s">
        <v>7013</v>
      </c>
      <c r="Q119" t="s">
        <v>7012</v>
      </c>
      <c r="R119" s="7">
        <v>31792</v>
      </c>
      <c r="S119" s="8">
        <f t="shared" si="16"/>
        <v>1987</v>
      </c>
      <c r="T119" s="8">
        <v>1987</v>
      </c>
      <c r="U119" s="8">
        <f t="shared" si="17"/>
        <v>35</v>
      </c>
      <c r="V119" s="7">
        <v>31792</v>
      </c>
      <c r="W119" t="s">
        <v>6660</v>
      </c>
      <c r="X119" s="2">
        <v>0.66800000000000004</v>
      </c>
      <c r="Y119" s="6">
        <f t="shared" si="14"/>
        <v>1.7831878486959774E-2</v>
      </c>
      <c r="AA119" t="s">
        <v>6659</v>
      </c>
      <c r="AB119">
        <v>29593</v>
      </c>
      <c r="AC119">
        <v>21553165</v>
      </c>
      <c r="AD119" t="s">
        <v>4</v>
      </c>
      <c r="AE119">
        <v>26</v>
      </c>
      <c r="AF119">
        <v>2</v>
      </c>
      <c r="AH119" t="s">
        <v>7011</v>
      </c>
      <c r="AI119" t="s">
        <v>7010</v>
      </c>
      <c r="AK119" t="s">
        <v>7009</v>
      </c>
      <c r="AL119">
        <v>11</v>
      </c>
      <c r="AM119" s="5">
        <f t="shared" si="18"/>
        <v>0.31428571428571428</v>
      </c>
      <c r="AN119" s="4">
        <f t="shared" si="15"/>
        <v>4.7601016930816251E-4</v>
      </c>
      <c r="AO119" s="3"/>
      <c r="AP119">
        <v>0</v>
      </c>
      <c r="AR119" t="s">
        <v>0</v>
      </c>
      <c r="AT119" s="2">
        <v>1.98</v>
      </c>
      <c r="AU119" s="1">
        <f t="shared" si="19"/>
        <v>1.262511799166429</v>
      </c>
      <c r="AV119" s="1">
        <f t="shared" si="20"/>
        <v>0.91539443281339683</v>
      </c>
      <c r="AW119" s="1">
        <f t="shared" si="21"/>
        <v>0.56827706646036458</v>
      </c>
    </row>
    <row r="120" spans="1:49" x14ac:dyDescent="0.2">
      <c r="A120">
        <v>118</v>
      </c>
      <c r="B120" t="s">
        <v>7008</v>
      </c>
      <c r="C120" t="s">
        <v>7007</v>
      </c>
      <c r="D120">
        <v>14579387813352</v>
      </c>
      <c r="F120" t="s">
        <v>7006</v>
      </c>
      <c r="G120" t="s">
        <v>14</v>
      </c>
      <c r="H120" t="s">
        <v>13</v>
      </c>
      <c r="I120" t="s">
        <v>7005</v>
      </c>
      <c r="J120">
        <v>60025858</v>
      </c>
      <c r="K120" t="s">
        <v>7004</v>
      </c>
      <c r="L120" t="s">
        <v>7003</v>
      </c>
      <c r="M120" t="s">
        <v>729</v>
      </c>
      <c r="N120">
        <v>5</v>
      </c>
      <c r="O120" t="s">
        <v>7002</v>
      </c>
      <c r="P120" t="s">
        <v>7001</v>
      </c>
      <c r="Q120" t="s">
        <v>7000</v>
      </c>
      <c r="R120" s="7">
        <v>31782</v>
      </c>
      <c r="S120" s="8">
        <f t="shared" si="16"/>
        <v>1987</v>
      </c>
      <c r="T120" s="8">
        <v>1987</v>
      </c>
      <c r="U120" s="8">
        <f t="shared" si="17"/>
        <v>35</v>
      </c>
      <c r="V120" s="7">
        <v>31782</v>
      </c>
      <c r="W120" t="s">
        <v>6999</v>
      </c>
      <c r="X120" s="2">
        <v>1.593</v>
      </c>
      <c r="Y120" s="6">
        <f t="shared" si="14"/>
        <v>4.2524225194201973E-2</v>
      </c>
      <c r="AA120">
        <v>145793</v>
      </c>
      <c r="AB120">
        <v>17481</v>
      </c>
      <c r="AD120" t="s">
        <v>4</v>
      </c>
      <c r="AE120">
        <v>210</v>
      </c>
      <c r="AF120">
        <v>2</v>
      </c>
      <c r="AH120" t="s">
        <v>6998</v>
      </c>
      <c r="AI120" t="s">
        <v>6997</v>
      </c>
      <c r="AJ120" t="s">
        <v>6996</v>
      </c>
      <c r="AK120" t="s">
        <v>6995</v>
      </c>
      <c r="AL120">
        <v>29</v>
      </c>
      <c r="AM120" s="5">
        <f t="shared" si="18"/>
        <v>0.82857142857142863</v>
      </c>
      <c r="AN120" s="4">
        <f t="shared" si="15"/>
        <v>1.2549359009033376E-3</v>
      </c>
      <c r="AO120" s="3"/>
      <c r="AP120">
        <v>1</v>
      </c>
      <c r="AR120" t="s">
        <v>6994</v>
      </c>
      <c r="AT120" s="2">
        <v>4.1239999999999997</v>
      </c>
      <c r="AU120" s="1">
        <f t="shared" si="19"/>
        <v>3.0143438406212382</v>
      </c>
      <c r="AV120" s="1">
        <f t="shared" si="20"/>
        <v>2.1889580547552656</v>
      </c>
      <c r="AW120" s="1">
        <f t="shared" si="21"/>
        <v>1.3635722688892928</v>
      </c>
    </row>
    <row r="121" spans="1:49" x14ac:dyDescent="0.2">
      <c r="A121">
        <v>119</v>
      </c>
      <c r="B121" t="s">
        <v>6993</v>
      </c>
      <c r="C121" t="s">
        <v>6992</v>
      </c>
      <c r="F121" t="s">
        <v>6991</v>
      </c>
      <c r="G121" t="s">
        <v>14</v>
      </c>
      <c r="H121" t="s">
        <v>13</v>
      </c>
      <c r="I121" t="s">
        <v>6990</v>
      </c>
      <c r="J121" t="s">
        <v>6989</v>
      </c>
      <c r="K121" t="s">
        <v>6988</v>
      </c>
      <c r="L121" t="s">
        <v>6987</v>
      </c>
      <c r="M121" t="s">
        <v>55</v>
      </c>
      <c r="N121">
        <v>2</v>
      </c>
      <c r="O121" t="s">
        <v>6986</v>
      </c>
      <c r="P121" t="s">
        <v>6985</v>
      </c>
      <c r="Q121" t="s">
        <v>6984</v>
      </c>
      <c r="R121" s="7">
        <v>31778</v>
      </c>
      <c r="S121" s="8">
        <f t="shared" si="16"/>
        <v>1987</v>
      </c>
      <c r="T121" s="8">
        <v>1987</v>
      </c>
      <c r="U121" s="8">
        <f t="shared" si="17"/>
        <v>35</v>
      </c>
      <c r="V121" s="7">
        <v>32051</v>
      </c>
      <c r="W121" t="s">
        <v>6680</v>
      </c>
      <c r="X121" s="2" t="s">
        <v>32</v>
      </c>
      <c r="Y121" s="6" t="e">
        <f t="shared" si="14"/>
        <v>#VALUE!</v>
      </c>
      <c r="AA121" t="s">
        <v>6679</v>
      </c>
      <c r="AB121">
        <v>19716</v>
      </c>
      <c r="AC121">
        <v>19183240</v>
      </c>
      <c r="AD121" t="s">
        <v>4</v>
      </c>
      <c r="AE121">
        <v>119</v>
      </c>
      <c r="AF121">
        <v>10</v>
      </c>
      <c r="AH121" t="s">
        <v>6983</v>
      </c>
      <c r="AI121" t="s">
        <v>6982</v>
      </c>
      <c r="AK121" t="s">
        <v>6981</v>
      </c>
      <c r="AL121">
        <v>6</v>
      </c>
      <c r="AM121" s="5">
        <f t="shared" si="18"/>
        <v>0.17142857142857143</v>
      </c>
      <c r="AN121" s="4">
        <f t="shared" si="15"/>
        <v>2.5964191053172501E-4</v>
      </c>
      <c r="AO121" s="3"/>
      <c r="AP121">
        <v>0</v>
      </c>
      <c r="AR121" t="s">
        <v>0</v>
      </c>
      <c r="AT121" s="2" t="s">
        <v>32</v>
      </c>
      <c r="AU121" s="1" t="e">
        <f t="shared" si="19"/>
        <v>#VALUE!</v>
      </c>
      <c r="AV121" s="1" t="e">
        <f t="shared" si="20"/>
        <v>#VALUE!</v>
      </c>
      <c r="AW121" s="1" t="e">
        <f t="shared" si="21"/>
        <v>#VALUE!</v>
      </c>
    </row>
    <row r="122" spans="1:49" x14ac:dyDescent="0.2">
      <c r="A122">
        <v>120</v>
      </c>
      <c r="B122" t="s">
        <v>6980</v>
      </c>
      <c r="F122" t="s">
        <v>6979</v>
      </c>
      <c r="G122" t="s">
        <v>14</v>
      </c>
      <c r="H122" t="s">
        <v>13</v>
      </c>
      <c r="I122" t="s">
        <v>1466</v>
      </c>
      <c r="J122">
        <v>60000990</v>
      </c>
      <c r="K122" t="s">
        <v>1465</v>
      </c>
      <c r="L122" t="s">
        <v>1464</v>
      </c>
      <c r="M122" t="s">
        <v>1463</v>
      </c>
      <c r="N122">
        <v>1</v>
      </c>
      <c r="O122" t="s">
        <v>6978</v>
      </c>
      <c r="P122">
        <v>57188535248</v>
      </c>
      <c r="Q122">
        <v>60000990</v>
      </c>
      <c r="R122" s="7">
        <v>31778</v>
      </c>
      <c r="S122" s="8">
        <f t="shared" si="16"/>
        <v>1987</v>
      </c>
      <c r="T122" s="8">
        <v>1987</v>
      </c>
      <c r="U122" s="8">
        <f t="shared" si="17"/>
        <v>35</v>
      </c>
      <c r="V122" s="7">
        <v>1987</v>
      </c>
      <c r="W122" t="s">
        <v>6971</v>
      </c>
      <c r="X122" s="2" t="s">
        <v>32</v>
      </c>
      <c r="Y122" s="6" t="e">
        <f t="shared" si="14"/>
        <v>#VALUE!</v>
      </c>
      <c r="AA122">
        <v>3668746</v>
      </c>
      <c r="AB122">
        <v>64260</v>
      </c>
      <c r="AD122" t="s">
        <v>4</v>
      </c>
      <c r="AF122">
        <v>638</v>
      </c>
      <c r="AI122" t="s">
        <v>6977</v>
      </c>
      <c r="AK122" t="s">
        <v>6976</v>
      </c>
      <c r="AL122">
        <v>0</v>
      </c>
      <c r="AM122" s="5">
        <f t="shared" si="18"/>
        <v>0</v>
      </c>
      <c r="AN122" s="4">
        <f t="shared" si="15"/>
        <v>0</v>
      </c>
      <c r="AO122" s="3"/>
      <c r="AP122">
        <v>0</v>
      </c>
      <c r="AR122" t="s">
        <v>0</v>
      </c>
      <c r="AT122" s="2" t="s">
        <v>32</v>
      </c>
      <c r="AU122" s="1" t="e">
        <f t="shared" si="19"/>
        <v>#VALUE!</v>
      </c>
      <c r="AV122" s="1" t="e">
        <f t="shared" si="20"/>
        <v>#VALUE!</v>
      </c>
      <c r="AW122" s="1" t="e">
        <f t="shared" si="21"/>
        <v>#VALUE!</v>
      </c>
    </row>
    <row r="123" spans="1:49" x14ac:dyDescent="0.2">
      <c r="A123">
        <v>121</v>
      </c>
      <c r="B123" t="s">
        <v>6975</v>
      </c>
      <c r="F123" t="s">
        <v>6974</v>
      </c>
      <c r="G123" t="s">
        <v>14</v>
      </c>
      <c r="H123" t="s">
        <v>13</v>
      </c>
      <c r="I123" t="s">
        <v>6973</v>
      </c>
      <c r="N123">
        <v>1</v>
      </c>
      <c r="O123" t="s">
        <v>6972</v>
      </c>
      <c r="P123">
        <v>6506761034</v>
      </c>
      <c r="R123" s="7">
        <v>31778</v>
      </c>
      <c r="S123" s="8">
        <f t="shared" si="16"/>
        <v>1987</v>
      </c>
      <c r="T123" s="8">
        <v>1987</v>
      </c>
      <c r="U123" s="8">
        <f t="shared" si="17"/>
        <v>35</v>
      </c>
      <c r="V123" s="7">
        <v>1987</v>
      </c>
      <c r="W123" t="s">
        <v>6971</v>
      </c>
      <c r="X123" s="2" t="s">
        <v>32</v>
      </c>
      <c r="Y123" s="6" t="e">
        <f t="shared" si="14"/>
        <v>#VALUE!</v>
      </c>
      <c r="AA123">
        <v>3668746</v>
      </c>
      <c r="AB123">
        <v>64260</v>
      </c>
      <c r="AD123" t="s">
        <v>4</v>
      </c>
      <c r="AF123">
        <v>628</v>
      </c>
      <c r="AI123" t="s">
        <v>6970</v>
      </c>
      <c r="AK123" t="s">
        <v>6969</v>
      </c>
      <c r="AL123">
        <v>0</v>
      </c>
      <c r="AM123" s="5">
        <f t="shared" si="18"/>
        <v>0</v>
      </c>
      <c r="AN123" s="4">
        <f t="shared" si="15"/>
        <v>0</v>
      </c>
      <c r="AO123" s="3"/>
      <c r="AP123">
        <v>0</v>
      </c>
      <c r="AR123" t="s">
        <v>0</v>
      </c>
      <c r="AT123" s="2" t="s">
        <v>32</v>
      </c>
      <c r="AU123" s="1" t="e">
        <f t="shared" si="19"/>
        <v>#VALUE!</v>
      </c>
      <c r="AV123" s="1" t="e">
        <f t="shared" si="20"/>
        <v>#VALUE!</v>
      </c>
      <c r="AW123" s="1" t="e">
        <f t="shared" si="21"/>
        <v>#VALUE!</v>
      </c>
    </row>
    <row r="124" spans="1:49" x14ac:dyDescent="0.2">
      <c r="A124">
        <v>122</v>
      </c>
      <c r="B124" t="s">
        <v>6968</v>
      </c>
      <c r="C124" t="s">
        <v>6967</v>
      </c>
      <c r="F124" t="s">
        <v>6966</v>
      </c>
      <c r="G124" t="s">
        <v>14</v>
      </c>
      <c r="H124" t="s">
        <v>13</v>
      </c>
      <c r="I124" t="s">
        <v>6965</v>
      </c>
      <c r="J124">
        <v>60083258</v>
      </c>
      <c r="K124" t="s">
        <v>6964</v>
      </c>
      <c r="L124" t="s">
        <v>446</v>
      </c>
      <c r="M124" t="s">
        <v>40</v>
      </c>
      <c r="N124">
        <v>2</v>
      </c>
      <c r="O124" t="s">
        <v>6963</v>
      </c>
      <c r="P124" t="s">
        <v>6962</v>
      </c>
      <c r="Q124" t="s">
        <v>6961</v>
      </c>
      <c r="R124" s="7">
        <v>31778</v>
      </c>
      <c r="S124" s="8">
        <f t="shared" si="16"/>
        <v>1987</v>
      </c>
      <c r="T124" s="8">
        <v>1987</v>
      </c>
      <c r="U124" s="8">
        <f t="shared" si="17"/>
        <v>35</v>
      </c>
      <c r="V124" s="7">
        <v>1987</v>
      </c>
      <c r="W124" s="11" t="s">
        <v>1483</v>
      </c>
      <c r="X124" s="2">
        <v>2.383</v>
      </c>
      <c r="Y124" s="6">
        <f t="shared" si="14"/>
        <v>6.3612824003630442E-2</v>
      </c>
      <c r="AA124">
        <v>1437070</v>
      </c>
      <c r="AB124">
        <v>39742</v>
      </c>
      <c r="AD124" t="s">
        <v>4</v>
      </c>
      <c r="AE124">
        <v>134</v>
      </c>
      <c r="AF124">
        <v>5</v>
      </c>
      <c r="AH124" t="s">
        <v>6960</v>
      </c>
      <c r="AI124" t="s">
        <v>6959</v>
      </c>
      <c r="AJ124" t="s">
        <v>6958</v>
      </c>
      <c r="AK124" t="s">
        <v>6957</v>
      </c>
      <c r="AL124">
        <v>0</v>
      </c>
      <c r="AM124" s="5">
        <f t="shared" si="18"/>
        <v>0</v>
      </c>
      <c r="AN124" s="4">
        <f t="shared" si="15"/>
        <v>0</v>
      </c>
      <c r="AO124" s="3"/>
      <c r="AP124">
        <v>0</v>
      </c>
      <c r="AR124" t="s">
        <v>0</v>
      </c>
      <c r="AT124" s="2" t="s">
        <v>32</v>
      </c>
      <c r="AU124" s="1">
        <f t="shared" si="19"/>
        <v>4.4528976802541305</v>
      </c>
      <c r="AV124" s="1">
        <f t="shared" si="20"/>
        <v>3.1806412001815221</v>
      </c>
      <c r="AW124" s="1">
        <f t="shared" si="21"/>
        <v>1.9083847201089132</v>
      </c>
    </row>
    <row r="125" spans="1:49" x14ac:dyDescent="0.2">
      <c r="A125">
        <v>123</v>
      </c>
      <c r="B125" t="s">
        <v>6956</v>
      </c>
      <c r="C125" t="s">
        <v>6955</v>
      </c>
      <c r="F125" t="s">
        <v>6954</v>
      </c>
      <c r="G125" t="s">
        <v>14</v>
      </c>
      <c r="H125" t="s">
        <v>13</v>
      </c>
      <c r="I125" t="s">
        <v>6953</v>
      </c>
      <c r="J125" t="s">
        <v>6952</v>
      </c>
      <c r="K125" t="s">
        <v>6951</v>
      </c>
      <c r="L125" t="s">
        <v>6950</v>
      </c>
      <c r="M125" t="s">
        <v>392</v>
      </c>
      <c r="N125">
        <v>3</v>
      </c>
      <c r="O125" t="s">
        <v>6949</v>
      </c>
      <c r="P125" t="s">
        <v>6948</v>
      </c>
      <c r="Q125" t="s">
        <v>6947</v>
      </c>
      <c r="R125" s="7">
        <v>31778</v>
      </c>
      <c r="S125" s="8">
        <f t="shared" si="16"/>
        <v>1987</v>
      </c>
      <c r="T125" s="8">
        <v>1987</v>
      </c>
      <c r="U125" s="8">
        <f t="shared" si="17"/>
        <v>35</v>
      </c>
      <c r="V125" s="7">
        <v>1987</v>
      </c>
      <c r="W125" t="s">
        <v>6946</v>
      </c>
      <c r="X125" s="2">
        <v>0.46300000000000002</v>
      </c>
      <c r="Y125" s="6">
        <f t="shared" si="14"/>
        <v>1.2359520568057447E-2</v>
      </c>
      <c r="AA125">
        <v>36862</v>
      </c>
      <c r="AB125">
        <v>19141</v>
      </c>
      <c r="AC125" t="s">
        <v>6945</v>
      </c>
      <c r="AD125" t="s">
        <v>4</v>
      </c>
      <c r="AE125">
        <v>22</v>
      </c>
      <c r="AF125">
        <v>3</v>
      </c>
      <c r="AH125" t="s">
        <v>6944</v>
      </c>
      <c r="AI125" t="s">
        <v>6943</v>
      </c>
      <c r="AK125" t="s">
        <v>6942</v>
      </c>
      <c r="AL125">
        <v>42</v>
      </c>
      <c r="AM125" s="5">
        <f t="shared" si="18"/>
        <v>1.2</v>
      </c>
      <c r="AN125" s="4">
        <f t="shared" si="15"/>
        <v>1.8174933737220749E-3</v>
      </c>
      <c r="AO125" s="3"/>
      <c r="AP125">
        <v>1</v>
      </c>
      <c r="AR125" t="s">
        <v>0</v>
      </c>
      <c r="AT125" s="2">
        <v>1.403</v>
      </c>
      <c r="AU125" s="1">
        <f t="shared" si="19"/>
        <v>0.91969124097568344</v>
      </c>
      <c r="AV125" s="1">
        <f t="shared" si="20"/>
        <v>0.70885069708897608</v>
      </c>
      <c r="AW125" s="1">
        <f t="shared" si="21"/>
        <v>0.4980101532022686</v>
      </c>
    </row>
    <row r="126" spans="1:49" x14ac:dyDescent="0.2">
      <c r="A126">
        <v>124</v>
      </c>
      <c r="B126" t="s">
        <v>6941</v>
      </c>
      <c r="C126" t="s">
        <v>6940</v>
      </c>
      <c r="F126" t="s">
        <v>6939</v>
      </c>
      <c r="G126" t="s">
        <v>14</v>
      </c>
      <c r="H126" t="s">
        <v>13</v>
      </c>
      <c r="I126" t="s">
        <v>6938</v>
      </c>
      <c r="J126">
        <v>60005460</v>
      </c>
      <c r="K126" t="s">
        <v>127</v>
      </c>
      <c r="L126" t="s">
        <v>126</v>
      </c>
      <c r="M126" t="s">
        <v>112</v>
      </c>
      <c r="N126">
        <v>1</v>
      </c>
      <c r="O126" t="s">
        <v>6937</v>
      </c>
      <c r="P126">
        <v>6603374626</v>
      </c>
      <c r="Q126">
        <v>60005460</v>
      </c>
      <c r="R126" s="7">
        <v>31778</v>
      </c>
      <c r="S126" s="8">
        <f t="shared" si="16"/>
        <v>1987</v>
      </c>
      <c r="T126" s="8">
        <v>1987</v>
      </c>
      <c r="U126" s="8">
        <f t="shared" si="17"/>
        <v>35</v>
      </c>
      <c r="V126" s="7" t="s">
        <v>6936</v>
      </c>
      <c r="W126" t="s">
        <v>6935</v>
      </c>
      <c r="X126" s="2">
        <v>0.73899999999999999</v>
      </c>
      <c r="Y126" s="6">
        <f t="shared" si="14"/>
        <v>1.9727182936921064E-2</v>
      </c>
      <c r="AA126">
        <v>1791613</v>
      </c>
      <c r="AB126">
        <v>21489</v>
      </c>
      <c r="AC126">
        <v>14390310</v>
      </c>
      <c r="AD126" t="s">
        <v>4</v>
      </c>
      <c r="AE126">
        <v>76</v>
      </c>
      <c r="AF126">
        <v>4</v>
      </c>
      <c r="AH126" t="s">
        <v>6934</v>
      </c>
      <c r="AI126" t="s">
        <v>6933</v>
      </c>
      <c r="AK126" t="s">
        <v>6932</v>
      </c>
      <c r="AL126">
        <v>37</v>
      </c>
      <c r="AM126" s="5">
        <f t="shared" si="18"/>
        <v>1.0571428571428572</v>
      </c>
      <c r="AN126" s="4">
        <f t="shared" si="15"/>
        <v>1.6011251149456375E-3</v>
      </c>
      <c r="AO126" s="3"/>
      <c r="AP126">
        <v>0</v>
      </c>
      <c r="AR126" t="s">
        <v>0</v>
      </c>
      <c r="AT126" s="2">
        <v>1.897</v>
      </c>
      <c r="AU126" s="1">
        <f t="shared" si="19"/>
        <v>1.4289365590328436</v>
      </c>
      <c r="AV126" s="1">
        <f t="shared" si="20"/>
        <v>1.0664154025933352</v>
      </c>
      <c r="AW126" s="1">
        <f t="shared" si="21"/>
        <v>0.70389424615382656</v>
      </c>
    </row>
    <row r="127" spans="1:49" x14ac:dyDescent="0.2">
      <c r="A127">
        <v>125</v>
      </c>
      <c r="B127" t="s">
        <v>6931</v>
      </c>
      <c r="C127" t="s">
        <v>6930</v>
      </c>
      <c r="F127" t="s">
        <v>6929</v>
      </c>
      <c r="G127" t="s">
        <v>14</v>
      </c>
      <c r="H127" t="s">
        <v>13</v>
      </c>
      <c r="I127" t="s">
        <v>163</v>
      </c>
      <c r="J127">
        <v>60005460</v>
      </c>
      <c r="K127" t="s">
        <v>127</v>
      </c>
      <c r="L127" t="s">
        <v>126</v>
      </c>
      <c r="M127" t="s">
        <v>112</v>
      </c>
      <c r="N127">
        <v>2</v>
      </c>
      <c r="O127" t="s">
        <v>6928</v>
      </c>
      <c r="P127" t="s">
        <v>6927</v>
      </c>
      <c r="Q127" t="s">
        <v>148</v>
      </c>
      <c r="R127" s="7">
        <v>31778</v>
      </c>
      <c r="S127" s="8">
        <f t="shared" si="16"/>
        <v>1987</v>
      </c>
      <c r="T127" s="8">
        <v>1987</v>
      </c>
      <c r="U127" s="8">
        <f t="shared" si="17"/>
        <v>35</v>
      </c>
      <c r="V127" s="7" t="s">
        <v>159</v>
      </c>
      <c r="W127" t="s">
        <v>158</v>
      </c>
      <c r="X127" s="2">
        <v>0.79500000000000004</v>
      </c>
      <c r="Y127" s="6">
        <f t="shared" si="14"/>
        <v>2.1222070953791944E-2</v>
      </c>
      <c r="AA127">
        <v>9312048</v>
      </c>
      <c r="AB127">
        <v>20459</v>
      </c>
      <c r="AC127">
        <v>14390418</v>
      </c>
      <c r="AD127" t="s">
        <v>4</v>
      </c>
      <c r="AE127">
        <v>103</v>
      </c>
      <c r="AF127" s="9">
        <v>44317</v>
      </c>
      <c r="AH127" t="s">
        <v>6926</v>
      </c>
      <c r="AI127" t="s">
        <v>6925</v>
      </c>
      <c r="AK127" t="s">
        <v>6924</v>
      </c>
      <c r="AL127">
        <v>36</v>
      </c>
      <c r="AM127" s="5">
        <f t="shared" si="18"/>
        <v>1.0285714285714285</v>
      </c>
      <c r="AN127" s="4">
        <f t="shared" si="15"/>
        <v>1.5578514631903499E-3</v>
      </c>
      <c r="AO127" s="3"/>
      <c r="AP127">
        <v>0</v>
      </c>
      <c r="AR127" t="s">
        <v>0</v>
      </c>
      <c r="AT127" s="2">
        <v>2.6030000000000002</v>
      </c>
      <c r="AU127" s="1">
        <f t="shared" si="19"/>
        <v>1.5322805106611463</v>
      </c>
      <c r="AV127" s="1">
        <f t="shared" si="20"/>
        <v>1.1389961208491146</v>
      </c>
      <c r="AW127" s="1">
        <f t="shared" si="21"/>
        <v>0.74571173103708277</v>
      </c>
    </row>
    <row r="128" spans="1:49" x14ac:dyDescent="0.2">
      <c r="A128">
        <v>126</v>
      </c>
      <c r="B128" t="s">
        <v>6923</v>
      </c>
      <c r="C128" t="s">
        <v>6922</v>
      </c>
      <c r="F128" t="s">
        <v>6921</v>
      </c>
      <c r="G128" t="s">
        <v>14</v>
      </c>
      <c r="H128" t="s">
        <v>13</v>
      </c>
      <c r="I128" t="s">
        <v>6920</v>
      </c>
      <c r="J128">
        <v>60009037</v>
      </c>
      <c r="K128" t="s">
        <v>600</v>
      </c>
      <c r="L128" t="s">
        <v>599</v>
      </c>
      <c r="M128" t="s">
        <v>9</v>
      </c>
      <c r="N128">
        <v>1</v>
      </c>
      <c r="O128" t="s">
        <v>6919</v>
      </c>
      <c r="P128">
        <v>7402427533</v>
      </c>
      <c r="Q128">
        <v>60009037</v>
      </c>
      <c r="R128" s="7">
        <v>31778</v>
      </c>
      <c r="S128" s="8">
        <f t="shared" si="16"/>
        <v>1987</v>
      </c>
      <c r="T128" s="8">
        <v>1987</v>
      </c>
      <c r="U128" s="8">
        <f t="shared" si="17"/>
        <v>35</v>
      </c>
      <c r="V128" s="7">
        <v>32021</v>
      </c>
      <c r="W128" t="s">
        <v>6905</v>
      </c>
      <c r="X128" s="2">
        <v>0.75800000000000001</v>
      </c>
      <c r="Y128" s="6">
        <f t="shared" si="14"/>
        <v>2.0234377085502256E-2</v>
      </c>
      <c r="AA128">
        <v>224650</v>
      </c>
      <c r="AB128">
        <v>29589</v>
      </c>
      <c r="AD128" t="s">
        <v>4</v>
      </c>
      <c r="AE128">
        <v>24</v>
      </c>
      <c r="AF128">
        <v>5</v>
      </c>
      <c r="AH128" t="s">
        <v>2370</v>
      </c>
      <c r="AI128" t="s">
        <v>6918</v>
      </c>
      <c r="AK128" t="s">
        <v>6917</v>
      </c>
      <c r="AL128">
        <v>6</v>
      </c>
      <c r="AM128" s="5">
        <f t="shared" si="18"/>
        <v>0.17142857142857143</v>
      </c>
      <c r="AN128" s="4">
        <f t="shared" si="15"/>
        <v>2.5964191053172501E-4</v>
      </c>
      <c r="AO128" s="3"/>
      <c r="AP128">
        <v>0</v>
      </c>
      <c r="AR128" t="s">
        <v>0</v>
      </c>
      <c r="AT128" s="2">
        <v>1.282</v>
      </c>
      <c r="AU128" s="1">
        <f t="shared" si="19"/>
        <v>1.4241956533011095</v>
      </c>
      <c r="AV128" s="1">
        <f t="shared" si="20"/>
        <v>1.024700949801699</v>
      </c>
      <c r="AW128" s="1">
        <f t="shared" si="21"/>
        <v>0.62520624630228838</v>
      </c>
    </row>
    <row r="129" spans="1:49" x14ac:dyDescent="0.2">
      <c r="A129">
        <v>127</v>
      </c>
      <c r="B129" t="s">
        <v>6916</v>
      </c>
      <c r="C129" t="s">
        <v>6915</v>
      </c>
      <c r="F129" t="s">
        <v>6914</v>
      </c>
      <c r="G129" t="s">
        <v>14</v>
      </c>
      <c r="H129" t="s">
        <v>13</v>
      </c>
      <c r="I129" t="s">
        <v>6913</v>
      </c>
      <c r="J129" t="s">
        <v>6912</v>
      </c>
      <c r="K129" t="s">
        <v>6911</v>
      </c>
      <c r="L129" t="s">
        <v>6910</v>
      </c>
      <c r="M129" t="s">
        <v>6909</v>
      </c>
      <c r="N129">
        <v>12</v>
      </c>
      <c r="O129" t="s">
        <v>6908</v>
      </c>
      <c r="P129" t="s">
        <v>6907</v>
      </c>
      <c r="Q129" t="s">
        <v>6906</v>
      </c>
      <c r="R129" s="7">
        <v>31778</v>
      </c>
      <c r="S129" s="8">
        <f t="shared" si="16"/>
        <v>1987</v>
      </c>
      <c r="T129" s="8">
        <v>1987</v>
      </c>
      <c r="U129" s="8">
        <f t="shared" si="17"/>
        <v>35</v>
      </c>
      <c r="V129" s="7">
        <v>32021</v>
      </c>
      <c r="W129" t="s">
        <v>6905</v>
      </c>
      <c r="X129" s="2">
        <v>0.75800000000000001</v>
      </c>
      <c r="Y129" s="6">
        <f t="shared" si="14"/>
        <v>2.0234377085502256E-2</v>
      </c>
      <c r="AA129">
        <v>224650</v>
      </c>
      <c r="AB129">
        <v>29589</v>
      </c>
      <c r="AD129" t="s">
        <v>4</v>
      </c>
      <c r="AE129">
        <v>24</v>
      </c>
      <c r="AF129">
        <v>5</v>
      </c>
      <c r="AH129" t="s">
        <v>6904</v>
      </c>
      <c r="AI129" t="s">
        <v>6903</v>
      </c>
      <c r="AK129" t="s">
        <v>6902</v>
      </c>
      <c r="AL129">
        <v>21</v>
      </c>
      <c r="AM129" s="5">
        <f t="shared" si="18"/>
        <v>0.6</v>
      </c>
      <c r="AN129" s="4">
        <f t="shared" si="15"/>
        <v>9.0874668686103744E-4</v>
      </c>
      <c r="AO129" s="3"/>
      <c r="AP129">
        <v>0</v>
      </c>
      <c r="AQ129" t="s">
        <v>3356</v>
      </c>
      <c r="AR129" t="s">
        <v>6901</v>
      </c>
      <c r="AS129" t="s">
        <v>512</v>
      </c>
      <c r="AT129" s="2">
        <v>1.282</v>
      </c>
      <c r="AU129" s="1">
        <f t="shared" si="19"/>
        <v>1.4436687965909889</v>
      </c>
      <c r="AV129" s="1">
        <f t="shared" si="20"/>
        <v>1.0571561886181646</v>
      </c>
      <c r="AW129" s="1">
        <f t="shared" si="21"/>
        <v>0.67064358064534024</v>
      </c>
    </row>
    <row r="130" spans="1:49" x14ac:dyDescent="0.2">
      <c r="A130">
        <v>128</v>
      </c>
      <c r="B130" t="s">
        <v>6900</v>
      </c>
      <c r="C130" t="s">
        <v>6899</v>
      </c>
      <c r="F130" t="s">
        <v>6898</v>
      </c>
      <c r="G130" t="s">
        <v>14</v>
      </c>
      <c r="H130" t="s">
        <v>13</v>
      </c>
      <c r="I130" t="s">
        <v>6897</v>
      </c>
      <c r="J130">
        <v>60001769</v>
      </c>
      <c r="K130" t="s">
        <v>6896</v>
      </c>
      <c r="L130" t="s">
        <v>6895</v>
      </c>
      <c r="M130" t="s">
        <v>9</v>
      </c>
      <c r="N130">
        <v>3</v>
      </c>
      <c r="O130" t="s">
        <v>6894</v>
      </c>
      <c r="P130" t="s">
        <v>6893</v>
      </c>
      <c r="Q130" t="s">
        <v>6892</v>
      </c>
      <c r="R130" s="7">
        <v>31778</v>
      </c>
      <c r="S130" s="8">
        <f t="shared" si="16"/>
        <v>1987</v>
      </c>
      <c r="T130" s="8">
        <v>1987</v>
      </c>
      <c r="U130" s="8">
        <f t="shared" si="17"/>
        <v>35</v>
      </c>
      <c r="V130" s="7">
        <v>32051</v>
      </c>
      <c r="W130" t="s">
        <v>6880</v>
      </c>
      <c r="X130" s="2">
        <v>0.57599999999999996</v>
      </c>
      <c r="Y130" s="6">
        <f t="shared" ref="Y130:Y193" si="22">(X130-$Z$4)/($Z$3-$Z$4)</f>
        <v>1.5375991030671898E-2</v>
      </c>
      <c r="AA130">
        <v>7394462</v>
      </c>
      <c r="AB130">
        <v>19155</v>
      </c>
      <c r="AC130">
        <v>15206327</v>
      </c>
      <c r="AD130" t="s">
        <v>4</v>
      </c>
      <c r="AE130">
        <v>6</v>
      </c>
      <c r="AF130">
        <v>2</v>
      </c>
      <c r="AH130" t="s">
        <v>6891</v>
      </c>
      <c r="AI130" t="s">
        <v>6890</v>
      </c>
      <c r="AJ130" t="s">
        <v>6889</v>
      </c>
      <c r="AK130" t="s">
        <v>6888</v>
      </c>
      <c r="AL130">
        <v>39</v>
      </c>
      <c r="AM130" s="5">
        <f t="shared" si="18"/>
        <v>1.1142857142857143</v>
      </c>
      <c r="AN130" s="4">
        <f t="shared" ref="AN130:AN193" si="23">(AM130-$AO$4)/($AO$3-$AO$4)</f>
        <v>1.6876724184562125E-3</v>
      </c>
      <c r="AO130" s="3"/>
      <c r="AP130">
        <v>0</v>
      </c>
      <c r="AR130" t="s">
        <v>0</v>
      </c>
      <c r="AT130" s="2" t="s">
        <v>32</v>
      </c>
      <c r="AU130" s="1">
        <f t="shared" si="19"/>
        <v>1.1269495447007192</v>
      </c>
      <c r="AV130" s="1">
        <f t="shared" si="20"/>
        <v>0.85318317245640551</v>
      </c>
      <c r="AW130" s="1">
        <f t="shared" si="21"/>
        <v>0.57941680021209174</v>
      </c>
    </row>
    <row r="131" spans="1:49" x14ac:dyDescent="0.2">
      <c r="A131">
        <v>129</v>
      </c>
      <c r="B131" t="s">
        <v>6887</v>
      </c>
      <c r="C131" t="s">
        <v>6886</v>
      </c>
      <c r="F131" t="s">
        <v>6885</v>
      </c>
      <c r="G131" t="s">
        <v>14</v>
      </c>
      <c r="H131" t="s">
        <v>13</v>
      </c>
      <c r="I131" t="s">
        <v>6884</v>
      </c>
      <c r="J131">
        <v>60004923</v>
      </c>
      <c r="K131" t="s">
        <v>6883</v>
      </c>
      <c r="L131" t="s">
        <v>6882</v>
      </c>
      <c r="M131" t="s">
        <v>9</v>
      </c>
      <c r="N131">
        <v>1</v>
      </c>
      <c r="O131" t="s">
        <v>6881</v>
      </c>
      <c r="P131">
        <v>7102554525</v>
      </c>
      <c r="Q131">
        <v>60004923</v>
      </c>
      <c r="R131" s="7">
        <v>31778</v>
      </c>
      <c r="S131" s="8">
        <f t="shared" si="16"/>
        <v>1987</v>
      </c>
      <c r="T131" s="8">
        <v>1987</v>
      </c>
      <c r="U131" s="8">
        <f t="shared" si="17"/>
        <v>35</v>
      </c>
      <c r="V131" s="7">
        <v>31809</v>
      </c>
      <c r="W131" t="s">
        <v>6880</v>
      </c>
      <c r="X131" s="2">
        <v>0.57599999999999996</v>
      </c>
      <c r="Y131" s="6">
        <f t="shared" si="22"/>
        <v>1.5375991030671898E-2</v>
      </c>
      <c r="AA131">
        <v>7394462</v>
      </c>
      <c r="AB131">
        <v>19155</v>
      </c>
      <c r="AC131">
        <v>15206327</v>
      </c>
      <c r="AD131" t="s">
        <v>4</v>
      </c>
      <c r="AE131">
        <v>4</v>
      </c>
      <c r="AF131">
        <v>2</v>
      </c>
      <c r="AH131" t="s">
        <v>6879</v>
      </c>
      <c r="AI131" t="s">
        <v>6878</v>
      </c>
      <c r="AJ131" t="s">
        <v>6877</v>
      </c>
      <c r="AK131" t="s">
        <v>6876</v>
      </c>
      <c r="AL131">
        <v>1</v>
      </c>
      <c r="AM131" s="5">
        <f t="shared" si="18"/>
        <v>2.8571428571428571E-2</v>
      </c>
      <c r="AN131" s="4">
        <f t="shared" si="23"/>
        <v>4.32736517552875E-5</v>
      </c>
      <c r="AO131" s="3"/>
      <c r="AP131">
        <v>0</v>
      </c>
      <c r="AR131" t="s">
        <v>0</v>
      </c>
      <c r="AT131" s="2" t="s">
        <v>32</v>
      </c>
      <c r="AU131" s="1">
        <f t="shared" si="19"/>
        <v>1.0776175816996914</v>
      </c>
      <c r="AV131" s="1">
        <f t="shared" si="20"/>
        <v>0.77096323412135925</v>
      </c>
      <c r="AW131" s="1">
        <f t="shared" si="21"/>
        <v>0.46430888654302699</v>
      </c>
    </row>
    <row r="132" spans="1:49" x14ac:dyDescent="0.2">
      <c r="A132">
        <v>130</v>
      </c>
      <c r="B132" t="s">
        <v>6875</v>
      </c>
      <c r="C132" t="s">
        <v>6874</v>
      </c>
      <c r="F132" t="s">
        <v>6873</v>
      </c>
      <c r="G132" t="s">
        <v>14</v>
      </c>
      <c r="H132" t="s">
        <v>13</v>
      </c>
      <c r="I132" t="s">
        <v>6872</v>
      </c>
      <c r="J132">
        <v>60029170</v>
      </c>
      <c r="K132" t="s">
        <v>6871</v>
      </c>
      <c r="L132" t="s">
        <v>6870</v>
      </c>
      <c r="M132" t="s">
        <v>1463</v>
      </c>
      <c r="N132">
        <v>3</v>
      </c>
      <c r="O132" t="s">
        <v>6869</v>
      </c>
      <c r="P132" t="s">
        <v>6868</v>
      </c>
      <c r="Q132" t="s">
        <v>6867</v>
      </c>
      <c r="R132" s="7">
        <v>31778</v>
      </c>
      <c r="S132" s="8">
        <f t="shared" si="16"/>
        <v>1987</v>
      </c>
      <c r="T132" s="8">
        <v>1987</v>
      </c>
      <c r="U132" s="8">
        <f t="shared" si="17"/>
        <v>35</v>
      </c>
      <c r="V132" s="7">
        <v>31778</v>
      </c>
      <c r="W132" t="s">
        <v>6853</v>
      </c>
      <c r="X132" s="2">
        <v>0.81799999999999995</v>
      </c>
      <c r="Y132" s="6">
        <f t="shared" si="22"/>
        <v>2.1836042817863912E-2</v>
      </c>
      <c r="AA132">
        <v>318655</v>
      </c>
      <c r="AB132">
        <v>27010</v>
      </c>
      <c r="AC132">
        <v>17511097</v>
      </c>
      <c r="AD132" t="s">
        <v>4</v>
      </c>
      <c r="AE132">
        <v>45</v>
      </c>
      <c r="AF132">
        <v>1</v>
      </c>
      <c r="AH132" t="s">
        <v>6866</v>
      </c>
      <c r="AI132" t="s">
        <v>6865</v>
      </c>
      <c r="AK132" t="s">
        <v>6864</v>
      </c>
      <c r="AL132">
        <v>124</v>
      </c>
      <c r="AM132" s="5">
        <f t="shared" si="18"/>
        <v>3.5428571428571427</v>
      </c>
      <c r="AN132" s="4">
        <f t="shared" si="23"/>
        <v>5.3659328176556493E-3</v>
      </c>
      <c r="AO132" s="3"/>
      <c r="AP132">
        <v>0</v>
      </c>
      <c r="AR132" t="s">
        <v>0</v>
      </c>
      <c r="AT132" s="2">
        <v>3.4209999999999998</v>
      </c>
      <c r="AU132" s="1">
        <f t="shared" si="19"/>
        <v>1.6895009817801434</v>
      </c>
      <c r="AV132" s="1">
        <f t="shared" si="20"/>
        <v>1.360098781775978</v>
      </c>
      <c r="AW132" s="1">
        <f t="shared" si="21"/>
        <v>1.0306965817718128</v>
      </c>
    </row>
    <row r="133" spans="1:49" x14ac:dyDescent="0.2">
      <c r="A133">
        <v>131</v>
      </c>
      <c r="B133" t="s">
        <v>6863</v>
      </c>
      <c r="C133" t="s">
        <v>6862</v>
      </c>
      <c r="F133" t="s">
        <v>6861</v>
      </c>
      <c r="G133" t="s">
        <v>14</v>
      </c>
      <c r="H133" t="s">
        <v>13</v>
      </c>
      <c r="I133" t="s">
        <v>6860</v>
      </c>
      <c r="J133" t="s">
        <v>6854</v>
      </c>
      <c r="K133" t="s">
        <v>6859</v>
      </c>
      <c r="L133" t="s">
        <v>6858</v>
      </c>
      <c r="M133" t="s">
        <v>6857</v>
      </c>
      <c r="N133">
        <v>2</v>
      </c>
      <c r="O133" t="s">
        <v>6856</v>
      </c>
      <c r="P133" t="s">
        <v>6855</v>
      </c>
      <c r="Q133" t="s">
        <v>6854</v>
      </c>
      <c r="R133" s="7">
        <v>31778</v>
      </c>
      <c r="S133" s="8">
        <f t="shared" si="16"/>
        <v>1987</v>
      </c>
      <c r="T133" s="8">
        <v>1987</v>
      </c>
      <c r="U133" s="8">
        <f t="shared" si="17"/>
        <v>35</v>
      </c>
      <c r="V133" s="7">
        <v>32021</v>
      </c>
      <c r="W133" t="s">
        <v>6853</v>
      </c>
      <c r="X133" s="2">
        <v>0.81799999999999995</v>
      </c>
      <c r="Y133" s="6">
        <f t="shared" si="22"/>
        <v>2.1836042817863912E-2</v>
      </c>
      <c r="AA133">
        <v>318655</v>
      </c>
      <c r="AB133">
        <v>27010</v>
      </c>
      <c r="AC133">
        <v>17511097</v>
      </c>
      <c r="AD133" t="s">
        <v>4</v>
      </c>
      <c r="AE133">
        <v>46</v>
      </c>
      <c r="AF133">
        <v>3</v>
      </c>
      <c r="AH133" t="s">
        <v>6852</v>
      </c>
      <c r="AI133" t="s">
        <v>6851</v>
      </c>
      <c r="AK133" t="s">
        <v>6850</v>
      </c>
      <c r="AL133">
        <v>1</v>
      </c>
      <c r="AM133" s="5">
        <f t="shared" si="18"/>
        <v>2.8571428571428571E-2</v>
      </c>
      <c r="AN133" s="4">
        <f t="shared" si="23"/>
        <v>4.32736517552875E-5</v>
      </c>
      <c r="AO133" s="3"/>
      <c r="AP133">
        <v>0</v>
      </c>
      <c r="AR133" t="s">
        <v>0</v>
      </c>
      <c r="AT133" s="2">
        <v>3.4209999999999998</v>
      </c>
      <c r="AU133" s="1">
        <f t="shared" si="19"/>
        <v>1.5298212068031325</v>
      </c>
      <c r="AV133" s="1">
        <f t="shared" si="20"/>
        <v>1.0939658234809599</v>
      </c>
      <c r="AW133" s="1">
        <f t="shared" si="21"/>
        <v>0.6581104401587875</v>
      </c>
    </row>
    <row r="134" spans="1:49" x14ac:dyDescent="0.2">
      <c r="A134">
        <v>132</v>
      </c>
      <c r="B134" t="s">
        <v>6849</v>
      </c>
      <c r="C134" t="s">
        <v>6848</v>
      </c>
      <c r="F134" t="s">
        <v>6847</v>
      </c>
      <c r="G134" t="s">
        <v>14</v>
      </c>
      <c r="H134" t="s">
        <v>13</v>
      </c>
      <c r="I134" t="s">
        <v>6846</v>
      </c>
      <c r="J134">
        <v>60022195</v>
      </c>
      <c r="K134" t="s">
        <v>311</v>
      </c>
      <c r="L134" t="s">
        <v>310</v>
      </c>
      <c r="M134" t="s">
        <v>9</v>
      </c>
      <c r="N134">
        <v>2</v>
      </c>
      <c r="O134" t="s">
        <v>6845</v>
      </c>
      <c r="P134" t="s">
        <v>6844</v>
      </c>
      <c r="Q134" t="s">
        <v>6843</v>
      </c>
      <c r="R134" s="7">
        <v>31778</v>
      </c>
      <c r="S134" s="8">
        <f t="shared" si="16"/>
        <v>1987</v>
      </c>
      <c r="T134" s="8">
        <v>1987</v>
      </c>
      <c r="U134" s="8">
        <f t="shared" si="17"/>
        <v>35</v>
      </c>
      <c r="V134" s="7">
        <v>31898</v>
      </c>
      <c r="W134" t="s">
        <v>6842</v>
      </c>
      <c r="X134" s="2">
        <v>2.0070000000000001</v>
      </c>
      <c r="Y134" s="6">
        <f t="shared" si="22"/>
        <v>5.3575718747497406E-2</v>
      </c>
      <c r="AA134">
        <v>948276</v>
      </c>
      <c r="AB134">
        <v>27962</v>
      </c>
      <c r="AC134">
        <v>19448007</v>
      </c>
      <c r="AD134" t="s">
        <v>4</v>
      </c>
      <c r="AE134">
        <v>14</v>
      </c>
      <c r="AF134">
        <v>5</v>
      </c>
      <c r="AH134" t="s">
        <v>6841</v>
      </c>
      <c r="AI134" t="s">
        <v>6840</v>
      </c>
      <c r="AK134" t="s">
        <v>6839</v>
      </c>
      <c r="AL134">
        <v>19</v>
      </c>
      <c r="AM134" s="5">
        <f t="shared" si="18"/>
        <v>0.54285714285714282</v>
      </c>
      <c r="AN134" s="4">
        <f t="shared" si="23"/>
        <v>8.221993833504624E-4</v>
      </c>
      <c r="AO134" s="3"/>
      <c r="AP134">
        <v>0</v>
      </c>
      <c r="AR134" t="s">
        <v>0</v>
      </c>
      <c r="AT134" s="2">
        <v>4.72</v>
      </c>
      <c r="AU134" s="1">
        <f t="shared" si="19"/>
        <v>3.7749662938253317</v>
      </c>
      <c r="AV134" s="1">
        <f t="shared" si="20"/>
        <v>2.7198959065423933</v>
      </c>
      <c r="AW134" s="1">
        <f t="shared" si="21"/>
        <v>1.6648255192594541</v>
      </c>
    </row>
    <row r="135" spans="1:49" x14ac:dyDescent="0.2">
      <c r="A135">
        <v>133</v>
      </c>
      <c r="B135" t="s">
        <v>6838</v>
      </c>
      <c r="C135" t="s">
        <v>6837</v>
      </c>
      <c r="F135" t="s">
        <v>6836</v>
      </c>
      <c r="G135" t="s">
        <v>14</v>
      </c>
      <c r="H135" t="s">
        <v>13</v>
      </c>
      <c r="I135" t="s">
        <v>6835</v>
      </c>
      <c r="J135" t="s">
        <v>6834</v>
      </c>
      <c r="K135" t="s">
        <v>6833</v>
      </c>
      <c r="L135" t="s">
        <v>6832</v>
      </c>
      <c r="M135" t="s">
        <v>1318</v>
      </c>
      <c r="N135">
        <v>3</v>
      </c>
      <c r="O135" t="s">
        <v>6831</v>
      </c>
      <c r="P135" t="s">
        <v>6830</v>
      </c>
      <c r="Q135" t="s">
        <v>6829</v>
      </c>
      <c r="R135" s="7">
        <v>31778</v>
      </c>
      <c r="S135" s="8">
        <f t="shared" si="16"/>
        <v>1987</v>
      </c>
      <c r="T135" s="8">
        <v>1987</v>
      </c>
      <c r="U135" s="8">
        <f t="shared" si="17"/>
        <v>35</v>
      </c>
      <c r="V135" s="7">
        <v>32112</v>
      </c>
      <c r="W135" t="s">
        <v>6703</v>
      </c>
      <c r="X135" s="2">
        <v>0.69299999999999995</v>
      </c>
      <c r="Y135" s="6">
        <f t="shared" si="22"/>
        <v>1.8499239208777128E-2</v>
      </c>
      <c r="AA135">
        <v>3076962</v>
      </c>
      <c r="AB135">
        <v>21084</v>
      </c>
      <c r="AC135">
        <v>13653032</v>
      </c>
      <c r="AD135" t="s">
        <v>4</v>
      </c>
      <c r="AE135">
        <v>12</v>
      </c>
      <c r="AF135">
        <v>4</v>
      </c>
      <c r="AH135" t="s">
        <v>6828</v>
      </c>
      <c r="AI135" t="s">
        <v>6827</v>
      </c>
      <c r="AJ135" t="s">
        <v>6826</v>
      </c>
      <c r="AK135" t="s">
        <v>6825</v>
      </c>
      <c r="AL135">
        <v>8</v>
      </c>
      <c r="AM135" s="5">
        <f t="shared" si="18"/>
        <v>0.22857142857142856</v>
      </c>
      <c r="AN135" s="4">
        <f t="shared" si="23"/>
        <v>3.461892140423E-4</v>
      </c>
      <c r="AO135" s="3"/>
      <c r="AP135">
        <v>0</v>
      </c>
      <c r="AR135" t="s">
        <v>0</v>
      </c>
      <c r="AT135" s="2">
        <v>1.833</v>
      </c>
      <c r="AU135" s="1">
        <f t="shared" si="19"/>
        <v>1.305332421035668</v>
      </c>
      <c r="AV135" s="1">
        <f t="shared" si="20"/>
        <v>0.94227142114097151</v>
      </c>
      <c r="AW135" s="1">
        <f t="shared" si="21"/>
        <v>0.57921042124627475</v>
      </c>
    </row>
    <row r="136" spans="1:49" x14ac:dyDescent="0.2">
      <c r="A136">
        <v>134</v>
      </c>
      <c r="B136" t="s">
        <v>6824</v>
      </c>
      <c r="C136" t="s">
        <v>6823</v>
      </c>
      <c r="F136" t="s">
        <v>6822</v>
      </c>
      <c r="G136" t="s">
        <v>14</v>
      </c>
      <c r="H136" t="s">
        <v>13</v>
      </c>
      <c r="I136" t="s">
        <v>6821</v>
      </c>
      <c r="J136">
        <v>60021331</v>
      </c>
      <c r="K136" t="s">
        <v>6820</v>
      </c>
      <c r="L136" t="s">
        <v>6819</v>
      </c>
      <c r="M136" t="s">
        <v>6818</v>
      </c>
      <c r="N136">
        <v>1</v>
      </c>
      <c r="O136" t="s">
        <v>6817</v>
      </c>
      <c r="P136">
        <v>6603443366</v>
      </c>
      <c r="Q136">
        <v>60021331</v>
      </c>
      <c r="R136" s="7">
        <v>31778</v>
      </c>
      <c r="S136" s="8">
        <f t="shared" si="16"/>
        <v>1987</v>
      </c>
      <c r="T136" s="8">
        <v>1987</v>
      </c>
      <c r="U136" s="8">
        <f t="shared" si="17"/>
        <v>35</v>
      </c>
      <c r="V136" s="7">
        <v>1987</v>
      </c>
      <c r="W136" t="s">
        <v>6816</v>
      </c>
      <c r="X136" s="2" t="s">
        <v>32</v>
      </c>
      <c r="Y136" s="6" t="e">
        <f t="shared" si="22"/>
        <v>#VALUE!</v>
      </c>
      <c r="AA136">
        <v>209309</v>
      </c>
      <c r="AB136">
        <v>31487</v>
      </c>
      <c r="AC136">
        <v>15222632</v>
      </c>
      <c r="AD136" t="s">
        <v>4</v>
      </c>
      <c r="AE136">
        <v>72</v>
      </c>
      <c r="AF136">
        <v>6</v>
      </c>
      <c r="AH136" t="s">
        <v>6815</v>
      </c>
      <c r="AI136" t="s">
        <v>6814</v>
      </c>
      <c r="AJ136" t="s">
        <v>6813</v>
      </c>
      <c r="AK136" t="s">
        <v>6812</v>
      </c>
      <c r="AL136">
        <v>27</v>
      </c>
      <c r="AM136" s="5">
        <f t="shared" si="18"/>
        <v>0.77142857142857146</v>
      </c>
      <c r="AN136" s="4">
        <f t="shared" si="23"/>
        <v>1.1683885973927625E-3</v>
      </c>
      <c r="AO136" s="3"/>
      <c r="AP136">
        <v>0</v>
      </c>
      <c r="AR136" t="s">
        <v>0</v>
      </c>
      <c r="AT136" s="2" t="s">
        <v>32</v>
      </c>
      <c r="AU136" s="1" t="e">
        <f t="shared" si="19"/>
        <v>#VALUE!</v>
      </c>
      <c r="AV136" s="1" t="e">
        <f t="shared" si="20"/>
        <v>#VALUE!</v>
      </c>
      <c r="AW136" s="1" t="e">
        <f t="shared" si="21"/>
        <v>#VALUE!</v>
      </c>
    </row>
    <row r="137" spans="1:49" x14ac:dyDescent="0.2">
      <c r="A137">
        <v>135</v>
      </c>
      <c r="B137" t="s">
        <v>6811</v>
      </c>
      <c r="C137" t="s">
        <v>6810</v>
      </c>
      <c r="D137" t="s">
        <v>6809</v>
      </c>
      <c r="F137" t="s">
        <v>6808</v>
      </c>
      <c r="G137" t="s">
        <v>14</v>
      </c>
      <c r="H137" t="s">
        <v>13</v>
      </c>
      <c r="I137" t="s">
        <v>6807</v>
      </c>
      <c r="J137" t="s">
        <v>6801</v>
      </c>
      <c r="K137" t="s">
        <v>6806</v>
      </c>
      <c r="L137" t="s">
        <v>6805</v>
      </c>
      <c r="M137" t="s">
        <v>6804</v>
      </c>
      <c r="N137">
        <v>2</v>
      </c>
      <c r="O137" t="s">
        <v>6803</v>
      </c>
      <c r="P137" t="s">
        <v>6802</v>
      </c>
      <c r="Q137" t="s">
        <v>6801</v>
      </c>
      <c r="R137" s="7">
        <v>31778</v>
      </c>
      <c r="S137" s="8">
        <f t="shared" si="16"/>
        <v>1987</v>
      </c>
      <c r="T137" s="8">
        <v>1987</v>
      </c>
      <c r="U137" s="8">
        <f t="shared" si="17"/>
        <v>35</v>
      </c>
      <c r="V137" s="7">
        <v>1987</v>
      </c>
      <c r="W137" t="s">
        <v>6800</v>
      </c>
      <c r="X137" s="2">
        <v>1.032</v>
      </c>
      <c r="Y137" s="6">
        <f t="shared" si="22"/>
        <v>2.7548650596620487E-2</v>
      </c>
      <c r="AA137">
        <v>1761617</v>
      </c>
      <c r="AB137">
        <v>19257</v>
      </c>
      <c r="AD137" t="s">
        <v>4</v>
      </c>
      <c r="AE137">
        <v>126</v>
      </c>
      <c r="AF137" s="9">
        <v>44320</v>
      </c>
      <c r="AH137" t="s">
        <v>6799</v>
      </c>
      <c r="AI137" t="s">
        <v>6798</v>
      </c>
      <c r="AJ137" t="s">
        <v>6797</v>
      </c>
      <c r="AK137" t="s">
        <v>6796</v>
      </c>
      <c r="AL137">
        <v>41</v>
      </c>
      <c r="AM137" s="5">
        <f t="shared" si="18"/>
        <v>1.1714285714285715</v>
      </c>
      <c r="AN137" s="4">
        <f t="shared" si="23"/>
        <v>1.7742197219667876E-3</v>
      </c>
      <c r="AO137" s="3"/>
      <c r="AP137">
        <v>0</v>
      </c>
      <c r="AR137" t="s">
        <v>0</v>
      </c>
      <c r="AT137" s="2">
        <v>3.5489999999999999</v>
      </c>
      <c r="AU137" s="1">
        <f t="shared" si="19"/>
        <v>1.9816321334224376</v>
      </c>
      <c r="AV137" s="1">
        <f t="shared" si="20"/>
        <v>1.4661435159293639</v>
      </c>
      <c r="AW137" s="1">
        <f t="shared" si="21"/>
        <v>0.9506548984362897</v>
      </c>
    </row>
    <row r="138" spans="1:49" x14ac:dyDescent="0.2">
      <c r="A138">
        <v>136</v>
      </c>
      <c r="B138" t="s">
        <v>6795</v>
      </c>
      <c r="C138" t="s">
        <v>6794</v>
      </c>
      <c r="F138" t="s">
        <v>6793</v>
      </c>
      <c r="G138" t="s">
        <v>14</v>
      </c>
      <c r="H138" t="s">
        <v>13</v>
      </c>
      <c r="I138" t="s">
        <v>6792</v>
      </c>
      <c r="J138" t="s">
        <v>6786</v>
      </c>
      <c r="K138" t="s">
        <v>6791</v>
      </c>
      <c r="L138" t="s">
        <v>6790</v>
      </c>
      <c r="M138" t="s">
        <v>6789</v>
      </c>
      <c r="N138">
        <v>2</v>
      </c>
      <c r="O138" t="s">
        <v>6788</v>
      </c>
      <c r="P138" t="s">
        <v>6787</v>
      </c>
      <c r="Q138" t="s">
        <v>6786</v>
      </c>
      <c r="R138" s="7">
        <v>31778</v>
      </c>
      <c r="S138" s="8">
        <f t="shared" si="16"/>
        <v>1987</v>
      </c>
      <c r="T138" s="8">
        <v>1987</v>
      </c>
      <c r="U138" s="8">
        <f t="shared" si="17"/>
        <v>35</v>
      </c>
      <c r="V138" s="7">
        <v>31778</v>
      </c>
      <c r="W138" t="s">
        <v>6730</v>
      </c>
      <c r="X138" s="2">
        <v>1.552</v>
      </c>
      <c r="Y138" s="6">
        <f t="shared" si="22"/>
        <v>4.1429753610421505E-2</v>
      </c>
      <c r="AA138">
        <v>3076970</v>
      </c>
      <c r="AB138">
        <v>21594</v>
      </c>
      <c r="AC138">
        <v>13653113</v>
      </c>
      <c r="AD138" t="s">
        <v>4</v>
      </c>
      <c r="AE138">
        <v>12</v>
      </c>
      <c r="AF138">
        <v>1</v>
      </c>
      <c r="AH138" t="s">
        <v>6785</v>
      </c>
      <c r="AI138" t="s">
        <v>6784</v>
      </c>
      <c r="AK138" t="s">
        <v>6783</v>
      </c>
      <c r="AL138">
        <v>1</v>
      </c>
      <c r="AM138" s="5">
        <f t="shared" si="18"/>
        <v>2.8571428571428571E-2</v>
      </c>
      <c r="AN138" s="4">
        <f t="shared" si="23"/>
        <v>4.32736517552875E-5</v>
      </c>
      <c r="AO138" s="3"/>
      <c r="AP138">
        <v>0</v>
      </c>
      <c r="AR138" t="s">
        <v>0</v>
      </c>
      <c r="AT138" s="2">
        <v>3.8439999999999999</v>
      </c>
      <c r="AU138" s="1">
        <f t="shared" si="19"/>
        <v>2.9013809622821638</v>
      </c>
      <c r="AV138" s="1">
        <f t="shared" si="20"/>
        <v>2.0736513631088394</v>
      </c>
      <c r="AW138" s="1">
        <f t="shared" si="21"/>
        <v>1.2459217639355153</v>
      </c>
    </row>
    <row r="139" spans="1:49" x14ac:dyDescent="0.2">
      <c r="A139">
        <v>137</v>
      </c>
      <c r="B139" t="s">
        <v>6782</v>
      </c>
      <c r="C139" t="s">
        <v>6781</v>
      </c>
      <c r="F139" t="s">
        <v>6780</v>
      </c>
      <c r="G139" t="s">
        <v>14</v>
      </c>
      <c r="H139" t="s">
        <v>13</v>
      </c>
      <c r="I139" t="s">
        <v>6779</v>
      </c>
      <c r="J139" t="s">
        <v>6778</v>
      </c>
      <c r="K139" t="s">
        <v>6777</v>
      </c>
      <c r="L139" t="s">
        <v>6776</v>
      </c>
      <c r="M139" t="s">
        <v>6775</v>
      </c>
      <c r="N139">
        <v>2</v>
      </c>
      <c r="O139" t="s">
        <v>6774</v>
      </c>
      <c r="P139" t="s">
        <v>6773</v>
      </c>
      <c r="Q139" t="s">
        <v>6772</v>
      </c>
      <c r="R139" s="7">
        <v>31778</v>
      </c>
      <c r="S139" s="8">
        <f t="shared" si="16"/>
        <v>1987</v>
      </c>
      <c r="T139" s="8">
        <v>1987</v>
      </c>
      <c r="U139" s="8">
        <f t="shared" si="17"/>
        <v>35</v>
      </c>
      <c r="V139" s="7" t="s">
        <v>6771</v>
      </c>
      <c r="W139" t="s">
        <v>6719</v>
      </c>
      <c r="X139" s="2">
        <v>0.33800000000000002</v>
      </c>
      <c r="Y139" s="6">
        <f t="shared" si="22"/>
        <v>9.0227169589706634E-3</v>
      </c>
      <c r="AA139">
        <v>7372884</v>
      </c>
      <c r="AB139">
        <v>70506</v>
      </c>
      <c r="AC139">
        <v>10991247</v>
      </c>
      <c r="AD139" t="s">
        <v>4</v>
      </c>
      <c r="AE139">
        <v>5</v>
      </c>
      <c r="AF139">
        <v>3</v>
      </c>
      <c r="AH139" t="s">
        <v>6770</v>
      </c>
      <c r="AI139" t="s">
        <v>6769</v>
      </c>
      <c r="AJ139" t="s">
        <v>6768</v>
      </c>
      <c r="AK139" t="s">
        <v>6767</v>
      </c>
      <c r="AL139">
        <v>2</v>
      </c>
      <c r="AM139" s="5">
        <f t="shared" si="18"/>
        <v>5.7142857142857141E-2</v>
      </c>
      <c r="AN139" s="4">
        <f t="shared" si="23"/>
        <v>8.6547303510575E-5</v>
      </c>
      <c r="AO139" s="3"/>
      <c r="AP139">
        <v>0</v>
      </c>
      <c r="AR139" t="s">
        <v>0</v>
      </c>
      <c r="AT139" s="2" t="s">
        <v>32</v>
      </c>
      <c r="AU139" s="1">
        <f t="shared" si="19"/>
        <v>0.63418660623326362</v>
      </c>
      <c r="AV139" s="1">
        <f t="shared" si="20"/>
        <v>0.45546321312406196</v>
      </c>
      <c r="AW139" s="1">
        <f t="shared" si="21"/>
        <v>0.27673982001486014</v>
      </c>
    </row>
    <row r="140" spans="1:49" x14ac:dyDescent="0.2">
      <c r="A140">
        <v>138</v>
      </c>
      <c r="B140" t="s">
        <v>6766</v>
      </c>
      <c r="C140" t="s">
        <v>6765</v>
      </c>
      <c r="F140" t="s">
        <v>6764</v>
      </c>
      <c r="G140" t="s">
        <v>14</v>
      </c>
      <c r="H140" t="s">
        <v>13</v>
      </c>
      <c r="I140" t="s">
        <v>6763</v>
      </c>
      <c r="J140" t="s">
        <v>6762</v>
      </c>
      <c r="K140" t="s">
        <v>6761</v>
      </c>
      <c r="L140" t="s">
        <v>6760</v>
      </c>
      <c r="M140" t="s">
        <v>6759</v>
      </c>
      <c r="N140">
        <v>2</v>
      </c>
      <c r="O140" t="s">
        <v>6758</v>
      </c>
      <c r="P140" t="s">
        <v>6757</v>
      </c>
      <c r="Q140" t="s">
        <v>6756</v>
      </c>
      <c r="R140" s="7">
        <v>31778</v>
      </c>
      <c r="S140" s="8">
        <f t="shared" si="16"/>
        <v>1987</v>
      </c>
      <c r="T140" s="8">
        <v>1987</v>
      </c>
      <c r="U140" s="8">
        <f t="shared" si="17"/>
        <v>35</v>
      </c>
      <c r="V140" s="7" t="s">
        <v>6744</v>
      </c>
      <c r="W140" t="s">
        <v>6719</v>
      </c>
      <c r="X140" s="2">
        <v>0.33800000000000002</v>
      </c>
      <c r="Y140" s="6">
        <f t="shared" si="22"/>
        <v>9.0227169589706634E-3</v>
      </c>
      <c r="AA140">
        <v>7372884</v>
      </c>
      <c r="AB140">
        <v>70506</v>
      </c>
      <c r="AC140">
        <v>10991247</v>
      </c>
      <c r="AD140" t="s">
        <v>4</v>
      </c>
      <c r="AE140">
        <v>5</v>
      </c>
      <c r="AF140">
        <v>2</v>
      </c>
      <c r="AH140" t="s">
        <v>6755</v>
      </c>
      <c r="AI140" t="s">
        <v>6754</v>
      </c>
      <c r="AJ140" t="s">
        <v>6753</v>
      </c>
      <c r="AK140" t="s">
        <v>6752</v>
      </c>
      <c r="AL140">
        <v>1</v>
      </c>
      <c r="AM140" s="5">
        <f t="shared" si="18"/>
        <v>2.8571428571428571E-2</v>
      </c>
      <c r="AN140" s="4">
        <f t="shared" si="23"/>
        <v>4.32736517552875E-5</v>
      </c>
      <c r="AO140" s="3"/>
      <c r="AP140">
        <v>0</v>
      </c>
      <c r="AR140" t="s">
        <v>0</v>
      </c>
      <c r="AT140" s="2" t="s">
        <v>32</v>
      </c>
      <c r="AU140" s="1">
        <f t="shared" si="19"/>
        <v>0.63288839668060504</v>
      </c>
      <c r="AV140" s="1">
        <f t="shared" si="20"/>
        <v>0.45329953053629751</v>
      </c>
      <c r="AW140" s="1">
        <f t="shared" si="21"/>
        <v>0.27371066439198999</v>
      </c>
    </row>
    <row r="141" spans="1:49" x14ac:dyDescent="0.2">
      <c r="A141">
        <v>139</v>
      </c>
      <c r="B141" t="s">
        <v>6751</v>
      </c>
      <c r="C141" t="s">
        <v>6750</v>
      </c>
      <c r="F141" t="s">
        <v>6749</v>
      </c>
      <c r="G141" t="s">
        <v>14</v>
      </c>
      <c r="H141" t="s">
        <v>13</v>
      </c>
      <c r="I141" t="s">
        <v>6748</v>
      </c>
      <c r="J141">
        <v>60072169</v>
      </c>
      <c r="K141" t="s">
        <v>6747</v>
      </c>
      <c r="L141" t="s">
        <v>6746</v>
      </c>
      <c r="M141" t="s">
        <v>112</v>
      </c>
      <c r="N141">
        <v>1</v>
      </c>
      <c r="O141" t="s">
        <v>6745</v>
      </c>
      <c r="P141">
        <v>57190612886</v>
      </c>
      <c r="Q141">
        <v>60072169</v>
      </c>
      <c r="R141" s="7">
        <v>31778</v>
      </c>
      <c r="S141" s="8">
        <f t="shared" si="16"/>
        <v>1987</v>
      </c>
      <c r="T141" s="8">
        <v>1987</v>
      </c>
      <c r="U141" s="8">
        <f t="shared" si="17"/>
        <v>35</v>
      </c>
      <c r="V141" s="7" t="s">
        <v>6744</v>
      </c>
      <c r="W141" t="s">
        <v>6719</v>
      </c>
      <c r="X141" s="2">
        <v>0.33800000000000002</v>
      </c>
      <c r="Y141" s="6">
        <f t="shared" si="22"/>
        <v>9.0227169589706634E-3</v>
      </c>
      <c r="AA141">
        <v>7372884</v>
      </c>
      <c r="AB141">
        <v>70506</v>
      </c>
      <c r="AC141">
        <v>10991247</v>
      </c>
      <c r="AD141" t="s">
        <v>4</v>
      </c>
      <c r="AE141">
        <v>5</v>
      </c>
      <c r="AF141">
        <v>2</v>
      </c>
      <c r="AH141" t="s">
        <v>6743</v>
      </c>
      <c r="AI141" t="s">
        <v>6742</v>
      </c>
      <c r="AJ141" t="s">
        <v>6741</v>
      </c>
      <c r="AK141" t="s">
        <v>6740</v>
      </c>
      <c r="AL141">
        <v>0</v>
      </c>
      <c r="AM141" s="5">
        <f t="shared" si="18"/>
        <v>0</v>
      </c>
      <c r="AN141" s="4">
        <f t="shared" si="23"/>
        <v>0</v>
      </c>
      <c r="AO141" s="3"/>
      <c r="AP141">
        <v>0</v>
      </c>
      <c r="AR141" t="s">
        <v>0</v>
      </c>
      <c r="AT141" s="2" t="s">
        <v>32</v>
      </c>
      <c r="AU141" s="1">
        <f t="shared" si="19"/>
        <v>0.63159018712794635</v>
      </c>
      <c r="AV141" s="1">
        <f t="shared" si="20"/>
        <v>0.45113584794853318</v>
      </c>
      <c r="AW141" s="1">
        <f t="shared" si="21"/>
        <v>0.27068150876911989</v>
      </c>
    </row>
    <row r="142" spans="1:49" x14ac:dyDescent="0.2">
      <c r="A142">
        <v>140</v>
      </c>
      <c r="B142" t="s">
        <v>6739</v>
      </c>
      <c r="C142" t="s">
        <v>6738</v>
      </c>
      <c r="F142" t="s">
        <v>6737</v>
      </c>
      <c r="G142" t="s">
        <v>14</v>
      </c>
      <c r="H142" t="s">
        <v>13</v>
      </c>
      <c r="I142" t="s">
        <v>6736</v>
      </c>
      <c r="J142">
        <v>60020657</v>
      </c>
      <c r="K142" t="s">
        <v>6735</v>
      </c>
      <c r="L142" t="s">
        <v>6734</v>
      </c>
      <c r="M142" t="s">
        <v>2254</v>
      </c>
      <c r="N142">
        <v>2</v>
      </c>
      <c r="O142" t="s">
        <v>6733</v>
      </c>
      <c r="P142" t="s">
        <v>6732</v>
      </c>
      <c r="Q142" t="s">
        <v>6731</v>
      </c>
      <c r="R142" s="7">
        <v>31778</v>
      </c>
      <c r="S142" s="8">
        <f t="shared" si="16"/>
        <v>1987</v>
      </c>
      <c r="T142" s="8">
        <v>1987</v>
      </c>
      <c r="U142" s="8">
        <f t="shared" si="17"/>
        <v>35</v>
      </c>
      <c r="V142" s="7">
        <v>31868</v>
      </c>
      <c r="W142" t="s">
        <v>6730</v>
      </c>
      <c r="X142" s="2">
        <v>1.552</v>
      </c>
      <c r="Y142" s="6">
        <f t="shared" si="22"/>
        <v>4.1429753610421505E-2</v>
      </c>
      <c r="AA142">
        <v>3076970</v>
      </c>
      <c r="AB142">
        <v>21594</v>
      </c>
      <c r="AC142">
        <v>13653113</v>
      </c>
      <c r="AD142" t="s">
        <v>4</v>
      </c>
      <c r="AE142">
        <v>12</v>
      </c>
      <c r="AF142">
        <v>2</v>
      </c>
      <c r="AH142" t="s">
        <v>5482</v>
      </c>
      <c r="AI142" t="s">
        <v>6729</v>
      </c>
      <c r="AK142" t="s">
        <v>6728</v>
      </c>
      <c r="AL142">
        <v>2</v>
      </c>
      <c r="AM142" s="5">
        <f t="shared" si="18"/>
        <v>5.7142857142857141E-2</v>
      </c>
      <c r="AN142" s="4">
        <f t="shared" si="23"/>
        <v>8.6547303510575E-5</v>
      </c>
      <c r="AO142" s="3"/>
      <c r="AP142">
        <v>0</v>
      </c>
      <c r="AR142" t="s">
        <v>0</v>
      </c>
      <c r="AT142" s="2">
        <v>3.8439999999999999</v>
      </c>
      <c r="AU142" s="1">
        <f t="shared" si="19"/>
        <v>2.9026791718348224</v>
      </c>
      <c r="AV142" s="1">
        <f t="shared" si="20"/>
        <v>2.0758150456966042</v>
      </c>
      <c r="AW142" s="1">
        <f t="shared" si="21"/>
        <v>1.2489509195583854</v>
      </c>
    </row>
    <row r="143" spans="1:49" x14ac:dyDescent="0.2">
      <c r="A143">
        <v>141</v>
      </c>
      <c r="B143" t="s">
        <v>6727</v>
      </c>
      <c r="C143" t="s">
        <v>6726</v>
      </c>
      <c r="F143" t="s">
        <v>6725</v>
      </c>
      <c r="G143" t="s">
        <v>14</v>
      </c>
      <c r="H143" t="s">
        <v>13</v>
      </c>
      <c r="I143" t="s">
        <v>6724</v>
      </c>
      <c r="J143">
        <v>60010547</v>
      </c>
      <c r="K143" t="s">
        <v>6723</v>
      </c>
      <c r="L143" t="s">
        <v>6722</v>
      </c>
      <c r="M143" t="s">
        <v>9</v>
      </c>
      <c r="N143">
        <v>1</v>
      </c>
      <c r="O143" t="s">
        <v>6721</v>
      </c>
      <c r="P143">
        <v>7005031637</v>
      </c>
      <c r="Q143">
        <v>60010547</v>
      </c>
      <c r="R143" s="7">
        <v>31778</v>
      </c>
      <c r="S143" s="8">
        <f t="shared" si="16"/>
        <v>1987</v>
      </c>
      <c r="T143" s="8">
        <v>1987</v>
      </c>
      <c r="U143" s="8">
        <f t="shared" si="17"/>
        <v>35</v>
      </c>
      <c r="V143" s="7" t="s">
        <v>6720</v>
      </c>
      <c r="W143" t="s">
        <v>6719</v>
      </c>
      <c r="X143" s="2">
        <v>0.33800000000000002</v>
      </c>
      <c r="Y143" s="6">
        <f t="shared" si="22"/>
        <v>9.0227169589706634E-3</v>
      </c>
      <c r="AA143">
        <v>7372884</v>
      </c>
      <c r="AB143">
        <v>70506</v>
      </c>
      <c r="AC143">
        <v>10991247</v>
      </c>
      <c r="AD143" t="s">
        <v>4</v>
      </c>
      <c r="AE143">
        <v>5</v>
      </c>
      <c r="AF143">
        <v>4</v>
      </c>
      <c r="AH143" t="s">
        <v>6718</v>
      </c>
      <c r="AI143" t="s">
        <v>6717</v>
      </c>
      <c r="AJ143" t="s">
        <v>6716</v>
      </c>
      <c r="AK143" t="s">
        <v>6715</v>
      </c>
      <c r="AL143">
        <v>6</v>
      </c>
      <c r="AM143" s="5">
        <f t="shared" si="18"/>
        <v>0.17142857142857143</v>
      </c>
      <c r="AN143" s="4">
        <f t="shared" si="23"/>
        <v>2.5964191053172501E-4</v>
      </c>
      <c r="AO143" s="3"/>
      <c r="AP143">
        <v>0</v>
      </c>
      <c r="AR143" t="s">
        <v>0</v>
      </c>
      <c r="AT143" s="2" t="s">
        <v>32</v>
      </c>
      <c r="AU143" s="1">
        <f t="shared" si="19"/>
        <v>0.63937944444389816</v>
      </c>
      <c r="AV143" s="1">
        <f t="shared" si="20"/>
        <v>0.46411794347511937</v>
      </c>
      <c r="AW143" s="1">
        <f t="shared" si="21"/>
        <v>0.28885644250634063</v>
      </c>
    </row>
    <row r="144" spans="1:49" x14ac:dyDescent="0.2">
      <c r="A144">
        <v>142</v>
      </c>
      <c r="B144" t="s">
        <v>6714</v>
      </c>
      <c r="C144" t="s">
        <v>6713</v>
      </c>
      <c r="F144" t="s">
        <v>6712</v>
      </c>
      <c r="G144" t="s">
        <v>14</v>
      </c>
      <c r="H144" t="s">
        <v>13</v>
      </c>
      <c r="I144" t="s">
        <v>6711</v>
      </c>
      <c r="J144" t="s">
        <v>6710</v>
      </c>
      <c r="K144" t="s">
        <v>6709</v>
      </c>
      <c r="L144" t="s">
        <v>6708</v>
      </c>
      <c r="M144" t="s">
        <v>6707</v>
      </c>
      <c r="N144">
        <v>2</v>
      </c>
      <c r="O144" t="s">
        <v>6706</v>
      </c>
      <c r="P144" t="s">
        <v>6705</v>
      </c>
      <c r="Q144" t="s">
        <v>6704</v>
      </c>
      <c r="R144" s="7">
        <v>31778</v>
      </c>
      <c r="S144" s="8">
        <f t="shared" si="16"/>
        <v>1987</v>
      </c>
      <c r="T144" s="8">
        <v>1987</v>
      </c>
      <c r="U144" s="8">
        <f t="shared" si="17"/>
        <v>35</v>
      </c>
      <c r="V144" s="7">
        <v>31837</v>
      </c>
      <c r="W144" t="s">
        <v>6703</v>
      </c>
      <c r="X144" s="2">
        <v>0.69299999999999995</v>
      </c>
      <c r="Y144" s="6">
        <f t="shared" si="22"/>
        <v>1.8499239208777128E-2</v>
      </c>
      <c r="AA144">
        <v>3076962</v>
      </c>
      <c r="AB144">
        <v>21084</v>
      </c>
      <c r="AC144">
        <v>13653032</v>
      </c>
      <c r="AD144" t="s">
        <v>4</v>
      </c>
      <c r="AE144">
        <v>12</v>
      </c>
      <c r="AF144">
        <v>1</v>
      </c>
      <c r="AH144" t="s">
        <v>6702</v>
      </c>
      <c r="AI144" t="s">
        <v>6701</v>
      </c>
      <c r="AJ144" t="s">
        <v>6700</v>
      </c>
      <c r="AK144" t="s">
        <v>6699</v>
      </c>
      <c r="AL144">
        <v>23</v>
      </c>
      <c r="AM144" s="5">
        <f t="shared" si="18"/>
        <v>0.65714285714285714</v>
      </c>
      <c r="AN144" s="4">
        <f t="shared" si="23"/>
        <v>9.9529399037161259E-4</v>
      </c>
      <c r="AO144" s="3"/>
      <c r="AP144">
        <v>0</v>
      </c>
      <c r="AR144" t="s">
        <v>0</v>
      </c>
      <c r="AT144" s="2">
        <v>1.833</v>
      </c>
      <c r="AU144" s="1">
        <f t="shared" si="19"/>
        <v>1.3248055643255474</v>
      </c>
      <c r="AV144" s="1">
        <f t="shared" si="20"/>
        <v>0.97472665995743701</v>
      </c>
      <c r="AW144" s="1">
        <f t="shared" si="21"/>
        <v>0.62464775558932673</v>
      </c>
    </row>
    <row r="145" spans="1:49" x14ac:dyDescent="0.2">
      <c r="A145">
        <v>143</v>
      </c>
      <c r="B145" t="s">
        <v>6698</v>
      </c>
      <c r="C145" t="s">
        <v>6697</v>
      </c>
      <c r="F145" t="s">
        <v>6696</v>
      </c>
      <c r="G145" t="s">
        <v>14</v>
      </c>
      <c r="H145" t="s">
        <v>13</v>
      </c>
      <c r="I145" t="s">
        <v>6695</v>
      </c>
      <c r="J145">
        <v>60025038</v>
      </c>
      <c r="K145" t="s">
        <v>364</v>
      </c>
      <c r="L145" t="s">
        <v>363</v>
      </c>
      <c r="M145" t="s">
        <v>9</v>
      </c>
      <c r="N145">
        <v>2</v>
      </c>
      <c r="O145" t="s">
        <v>6694</v>
      </c>
      <c r="P145" t="s">
        <v>6693</v>
      </c>
      <c r="Q145" t="s">
        <v>6692</v>
      </c>
      <c r="R145" s="7">
        <v>31778</v>
      </c>
      <c r="S145" s="8">
        <f t="shared" si="16"/>
        <v>1987</v>
      </c>
      <c r="T145" s="8">
        <v>1987</v>
      </c>
      <c r="U145" s="8">
        <f t="shared" si="17"/>
        <v>35</v>
      </c>
      <c r="V145" s="7">
        <v>32112</v>
      </c>
      <c r="W145" t="s">
        <v>6691</v>
      </c>
      <c r="X145" s="2" t="s">
        <v>32</v>
      </c>
      <c r="Y145" s="6" t="e">
        <f t="shared" si="22"/>
        <v>#VALUE!</v>
      </c>
      <c r="AA145">
        <v>1407791</v>
      </c>
      <c r="AB145">
        <v>13041</v>
      </c>
      <c r="AC145">
        <v>13653040</v>
      </c>
      <c r="AD145" t="s">
        <v>4</v>
      </c>
      <c r="AE145">
        <v>10</v>
      </c>
      <c r="AF145">
        <v>9</v>
      </c>
      <c r="AH145" t="s">
        <v>6690</v>
      </c>
      <c r="AI145" t="s">
        <v>6689</v>
      </c>
      <c r="AJ145" t="s">
        <v>6688</v>
      </c>
      <c r="AK145" t="s">
        <v>6687</v>
      </c>
      <c r="AL145">
        <v>41</v>
      </c>
      <c r="AM145" s="5">
        <f t="shared" si="18"/>
        <v>1.1714285714285715</v>
      </c>
      <c r="AN145" s="4">
        <f t="shared" si="23"/>
        <v>1.7742197219667876E-3</v>
      </c>
      <c r="AO145" s="3"/>
      <c r="AP145">
        <v>0</v>
      </c>
      <c r="AR145" t="s">
        <v>0</v>
      </c>
      <c r="AT145" s="2" t="s">
        <v>32</v>
      </c>
      <c r="AU145" s="1" t="e">
        <f t="shared" si="19"/>
        <v>#VALUE!</v>
      </c>
      <c r="AV145" s="1" t="e">
        <f t="shared" si="20"/>
        <v>#VALUE!</v>
      </c>
      <c r="AW145" s="1" t="e">
        <f t="shared" si="21"/>
        <v>#VALUE!</v>
      </c>
    </row>
    <row r="146" spans="1:49" x14ac:dyDescent="0.2">
      <c r="A146">
        <v>144</v>
      </c>
      <c r="B146" t="s">
        <v>6686</v>
      </c>
      <c r="C146" t="s">
        <v>6685</v>
      </c>
      <c r="F146" t="s">
        <v>6684</v>
      </c>
      <c r="G146" t="s">
        <v>14</v>
      </c>
      <c r="H146" t="s">
        <v>13</v>
      </c>
      <c r="I146" t="s">
        <v>6683</v>
      </c>
      <c r="J146">
        <v>60010365</v>
      </c>
      <c r="K146" t="s">
        <v>4134</v>
      </c>
      <c r="L146" t="s">
        <v>4133</v>
      </c>
      <c r="M146" t="s">
        <v>685</v>
      </c>
      <c r="N146">
        <v>2</v>
      </c>
      <c r="O146" t="s">
        <v>6682</v>
      </c>
      <c r="P146" t="s">
        <v>6681</v>
      </c>
      <c r="Q146" t="s">
        <v>4130</v>
      </c>
      <c r="R146" s="7">
        <v>31778</v>
      </c>
      <c r="S146" s="8">
        <f t="shared" si="16"/>
        <v>1987</v>
      </c>
      <c r="T146" s="8">
        <v>1987</v>
      </c>
      <c r="U146" s="8">
        <f t="shared" si="17"/>
        <v>35</v>
      </c>
      <c r="V146" s="7">
        <v>31929</v>
      </c>
      <c r="W146" t="s">
        <v>6680</v>
      </c>
      <c r="X146" s="2" t="s">
        <v>32</v>
      </c>
      <c r="Y146" s="6" t="e">
        <f t="shared" si="22"/>
        <v>#VALUE!</v>
      </c>
      <c r="AA146" t="s">
        <v>6679</v>
      </c>
      <c r="AB146">
        <v>19716</v>
      </c>
      <c r="AC146">
        <v>19183240</v>
      </c>
      <c r="AD146" t="s">
        <v>4</v>
      </c>
      <c r="AE146">
        <v>119</v>
      </c>
      <c r="AF146">
        <v>6</v>
      </c>
      <c r="AH146" t="s">
        <v>6678</v>
      </c>
      <c r="AI146" t="s">
        <v>6677</v>
      </c>
      <c r="AK146" t="s">
        <v>6676</v>
      </c>
      <c r="AL146">
        <v>9</v>
      </c>
      <c r="AM146" s="5">
        <f t="shared" si="18"/>
        <v>0.25714285714285712</v>
      </c>
      <c r="AN146" s="4">
        <f t="shared" si="23"/>
        <v>3.8946286579758747E-4</v>
      </c>
      <c r="AO146" s="3"/>
      <c r="AP146">
        <v>0</v>
      </c>
      <c r="AQ146" t="s">
        <v>5805</v>
      </c>
      <c r="AR146" t="s">
        <v>0</v>
      </c>
      <c r="AS146" t="s">
        <v>5803</v>
      </c>
      <c r="AT146" s="2" t="s">
        <v>32</v>
      </c>
      <c r="AU146" s="1" t="e">
        <f t="shared" si="19"/>
        <v>#VALUE!</v>
      </c>
      <c r="AV146" s="1" t="e">
        <f t="shared" si="20"/>
        <v>#VALUE!</v>
      </c>
      <c r="AW146" s="1" t="e">
        <f t="shared" si="21"/>
        <v>#VALUE!</v>
      </c>
    </row>
    <row r="147" spans="1:49" x14ac:dyDescent="0.2">
      <c r="A147">
        <v>145</v>
      </c>
      <c r="B147" t="s">
        <v>6675</v>
      </c>
      <c r="C147" t="s">
        <v>6674</v>
      </c>
      <c r="F147" t="s">
        <v>6673</v>
      </c>
      <c r="G147" t="s">
        <v>14</v>
      </c>
      <c r="H147" t="s">
        <v>13</v>
      </c>
      <c r="I147" t="s">
        <v>6672</v>
      </c>
      <c r="J147">
        <v>60017965</v>
      </c>
      <c r="K147" t="s">
        <v>6671</v>
      </c>
      <c r="L147" t="s">
        <v>6670</v>
      </c>
      <c r="M147" t="s">
        <v>9</v>
      </c>
      <c r="N147">
        <v>1</v>
      </c>
      <c r="O147" t="s">
        <v>6669</v>
      </c>
      <c r="P147">
        <v>7403666185</v>
      </c>
      <c r="Q147">
        <v>60017965</v>
      </c>
      <c r="R147" s="7">
        <v>31778</v>
      </c>
      <c r="S147" s="8">
        <f t="shared" si="16"/>
        <v>1987</v>
      </c>
      <c r="T147" s="8">
        <v>1987</v>
      </c>
      <c r="U147" s="8">
        <f t="shared" si="17"/>
        <v>35</v>
      </c>
      <c r="V147" s="7">
        <v>31809</v>
      </c>
      <c r="W147" t="s">
        <v>6660</v>
      </c>
      <c r="X147" s="2">
        <v>0.66800000000000004</v>
      </c>
      <c r="Y147" s="6">
        <f t="shared" si="22"/>
        <v>1.7831878486959774E-2</v>
      </c>
      <c r="AA147" t="s">
        <v>6659</v>
      </c>
      <c r="AB147">
        <v>29593</v>
      </c>
      <c r="AC147">
        <v>21553165</v>
      </c>
      <c r="AD147" t="s">
        <v>4</v>
      </c>
      <c r="AE147">
        <v>26</v>
      </c>
      <c r="AF147">
        <v>3</v>
      </c>
      <c r="AH147" t="s">
        <v>6668</v>
      </c>
      <c r="AI147" t="s">
        <v>6667</v>
      </c>
      <c r="AK147" t="s">
        <v>6666</v>
      </c>
      <c r="AL147">
        <v>2</v>
      </c>
      <c r="AM147" s="5">
        <f t="shared" si="18"/>
        <v>5.7142857142857141E-2</v>
      </c>
      <c r="AN147" s="4">
        <f t="shared" si="23"/>
        <v>8.6547303510575E-5</v>
      </c>
      <c r="AO147" s="3"/>
      <c r="AP147">
        <v>0</v>
      </c>
      <c r="AR147" t="s">
        <v>0</v>
      </c>
      <c r="AT147" s="2">
        <v>1.98</v>
      </c>
      <c r="AU147" s="1">
        <f t="shared" si="19"/>
        <v>1.2508279131925013</v>
      </c>
      <c r="AV147" s="1">
        <f t="shared" si="20"/>
        <v>0.89592128952351735</v>
      </c>
      <c r="AW147" s="1">
        <f t="shared" si="21"/>
        <v>0.54101466585453339</v>
      </c>
    </row>
    <row r="148" spans="1:49" x14ac:dyDescent="0.2">
      <c r="A148">
        <v>146</v>
      </c>
      <c r="B148" t="s">
        <v>6665</v>
      </c>
      <c r="C148" t="s">
        <v>6664</v>
      </c>
      <c r="F148" t="s">
        <v>6663</v>
      </c>
      <c r="G148" t="s">
        <v>14</v>
      </c>
      <c r="H148" t="s">
        <v>13</v>
      </c>
      <c r="I148" t="s">
        <v>6662</v>
      </c>
      <c r="J148">
        <v>60022195</v>
      </c>
      <c r="K148" t="s">
        <v>311</v>
      </c>
      <c r="L148" t="s">
        <v>310</v>
      </c>
      <c r="M148" t="s">
        <v>9</v>
      </c>
      <c r="N148">
        <v>1</v>
      </c>
      <c r="O148" t="s">
        <v>6661</v>
      </c>
      <c r="P148">
        <v>7402728029</v>
      </c>
      <c r="Q148">
        <v>60022195</v>
      </c>
      <c r="R148" s="7">
        <v>31778</v>
      </c>
      <c r="S148" s="8">
        <f t="shared" si="16"/>
        <v>1987</v>
      </c>
      <c r="T148" s="8">
        <v>1987</v>
      </c>
      <c r="U148" s="8">
        <f t="shared" si="17"/>
        <v>35</v>
      </c>
      <c r="V148" s="7">
        <v>32021</v>
      </c>
      <c r="W148" t="s">
        <v>6660</v>
      </c>
      <c r="X148" s="2">
        <v>0.66800000000000004</v>
      </c>
      <c r="Y148" s="6">
        <f t="shared" si="22"/>
        <v>1.7831878486959774E-2</v>
      </c>
      <c r="AA148" t="s">
        <v>6659</v>
      </c>
      <c r="AB148">
        <v>29593</v>
      </c>
      <c r="AC148">
        <v>21553165</v>
      </c>
      <c r="AD148" t="s">
        <v>4</v>
      </c>
      <c r="AE148">
        <v>26</v>
      </c>
      <c r="AF148">
        <v>17</v>
      </c>
      <c r="AH148" t="s">
        <v>6658</v>
      </c>
      <c r="AI148" t="s">
        <v>6657</v>
      </c>
      <c r="AK148" t="s">
        <v>6656</v>
      </c>
      <c r="AL148">
        <v>18</v>
      </c>
      <c r="AM148" s="5">
        <f t="shared" si="18"/>
        <v>0.51428571428571423</v>
      </c>
      <c r="AN148" s="4">
        <f t="shared" si="23"/>
        <v>7.7892573159517493E-4</v>
      </c>
      <c r="AO148" s="3"/>
      <c r="AP148">
        <v>0</v>
      </c>
      <c r="AR148" t="s">
        <v>0</v>
      </c>
      <c r="AT148" s="2">
        <v>1.98</v>
      </c>
      <c r="AU148" s="1">
        <f t="shared" si="19"/>
        <v>1.2715992660350393</v>
      </c>
      <c r="AV148" s="1">
        <f t="shared" si="20"/>
        <v>0.93054021092774752</v>
      </c>
      <c r="AW148" s="1">
        <f t="shared" si="21"/>
        <v>0.58948115582045546</v>
      </c>
    </row>
    <row r="149" spans="1:49" x14ac:dyDescent="0.2">
      <c r="A149">
        <v>147</v>
      </c>
      <c r="B149" t="s">
        <v>6655</v>
      </c>
      <c r="C149" t="s">
        <v>6654</v>
      </c>
      <c r="F149" t="s">
        <v>6653</v>
      </c>
      <c r="G149" t="s">
        <v>14</v>
      </c>
      <c r="H149" t="s">
        <v>13</v>
      </c>
      <c r="I149" t="s">
        <v>6652</v>
      </c>
      <c r="J149" t="s">
        <v>6651</v>
      </c>
      <c r="K149" t="s">
        <v>6650</v>
      </c>
      <c r="L149" t="s">
        <v>6649</v>
      </c>
      <c r="M149" t="s">
        <v>6648</v>
      </c>
      <c r="N149">
        <v>3</v>
      </c>
      <c r="O149" t="s">
        <v>6647</v>
      </c>
      <c r="P149" t="s">
        <v>6646</v>
      </c>
      <c r="Q149" t="s">
        <v>6645</v>
      </c>
      <c r="R149" s="7">
        <v>31778</v>
      </c>
      <c r="S149" s="8">
        <f t="shared" si="16"/>
        <v>1987</v>
      </c>
      <c r="T149" s="8">
        <v>1987</v>
      </c>
      <c r="U149" s="8">
        <f t="shared" si="17"/>
        <v>35</v>
      </c>
      <c r="V149" s="7">
        <v>32112</v>
      </c>
      <c r="W149" t="s">
        <v>6644</v>
      </c>
      <c r="X149" s="2">
        <v>0.52900000000000003</v>
      </c>
      <c r="Y149" s="6">
        <f t="shared" si="22"/>
        <v>1.412135287365527E-2</v>
      </c>
      <c r="AA149">
        <v>74853</v>
      </c>
      <c r="AB149">
        <v>19704</v>
      </c>
      <c r="AC149">
        <v>14752670</v>
      </c>
      <c r="AD149" t="s">
        <v>4</v>
      </c>
      <c r="AE149">
        <v>77</v>
      </c>
      <c r="AF149">
        <v>4</v>
      </c>
      <c r="AH149" t="s">
        <v>6643</v>
      </c>
      <c r="AI149" t="s">
        <v>6642</v>
      </c>
      <c r="AK149" t="s">
        <v>6641</v>
      </c>
      <c r="AL149">
        <v>9</v>
      </c>
      <c r="AM149" s="5">
        <f t="shared" si="18"/>
        <v>0.25714285714285712</v>
      </c>
      <c r="AN149" s="4">
        <f t="shared" si="23"/>
        <v>3.8946286579758747E-4</v>
      </c>
      <c r="AO149" s="3"/>
      <c r="AP149">
        <v>0</v>
      </c>
      <c r="AR149" t="s">
        <v>0</v>
      </c>
      <c r="AT149" s="2">
        <v>1.75</v>
      </c>
      <c r="AU149" s="1">
        <f t="shared" si="19"/>
        <v>1.0001785871297963</v>
      </c>
      <c r="AV149" s="1">
        <f t="shared" si="20"/>
        <v>0.7255407869726429</v>
      </c>
      <c r="AW149" s="1">
        <f t="shared" si="21"/>
        <v>0.45090298681548918</v>
      </c>
    </row>
    <row r="150" spans="1:49" x14ac:dyDescent="0.2">
      <c r="A150">
        <v>148</v>
      </c>
      <c r="B150" t="s">
        <v>6640</v>
      </c>
      <c r="C150" t="s">
        <v>6639</v>
      </c>
      <c r="F150" t="s">
        <v>6638</v>
      </c>
      <c r="G150" t="s">
        <v>14</v>
      </c>
      <c r="H150" t="s">
        <v>13</v>
      </c>
      <c r="I150" t="s">
        <v>6637</v>
      </c>
      <c r="J150" t="s">
        <v>6636</v>
      </c>
      <c r="K150" t="s">
        <v>6635</v>
      </c>
      <c r="L150" t="s">
        <v>6634</v>
      </c>
      <c r="M150" t="s">
        <v>6633</v>
      </c>
      <c r="N150">
        <v>3</v>
      </c>
      <c r="O150" t="s">
        <v>6632</v>
      </c>
      <c r="P150" t="s">
        <v>6631</v>
      </c>
      <c r="Q150" t="s">
        <v>6630</v>
      </c>
      <c r="R150" s="7">
        <v>31778</v>
      </c>
      <c r="S150" s="8">
        <f t="shared" si="16"/>
        <v>1987</v>
      </c>
      <c r="T150" s="8">
        <v>1987</v>
      </c>
      <c r="U150" s="8">
        <f t="shared" si="17"/>
        <v>35</v>
      </c>
      <c r="V150" s="7">
        <v>1987</v>
      </c>
      <c r="W150" t="s">
        <v>6629</v>
      </c>
      <c r="X150" s="2">
        <v>0.81</v>
      </c>
      <c r="Y150" s="6">
        <f t="shared" si="22"/>
        <v>2.1622487386882359E-2</v>
      </c>
      <c r="AA150">
        <v>10353712</v>
      </c>
      <c r="AB150">
        <v>24499</v>
      </c>
      <c r="AD150" t="s">
        <v>4</v>
      </c>
      <c r="AE150">
        <v>14</v>
      </c>
      <c r="AF150">
        <v>3</v>
      </c>
      <c r="AH150" t="s">
        <v>6628</v>
      </c>
      <c r="AI150" t="s">
        <v>6627</v>
      </c>
      <c r="AK150" t="s">
        <v>6626</v>
      </c>
      <c r="AL150">
        <v>5</v>
      </c>
      <c r="AM150" s="5">
        <f t="shared" si="18"/>
        <v>0.14285714285714285</v>
      </c>
      <c r="AN150" s="4">
        <f t="shared" si="23"/>
        <v>2.1636825877643749E-4</v>
      </c>
      <c r="AO150" s="3"/>
      <c r="AP150">
        <v>0</v>
      </c>
      <c r="AR150" t="s">
        <v>0</v>
      </c>
      <c r="AT150" s="2">
        <v>2.5110000000000001</v>
      </c>
      <c r="AU150" s="1">
        <f t="shared" si="19"/>
        <v>1.520065164845058</v>
      </c>
      <c r="AV150" s="1">
        <f t="shared" si="20"/>
        <v>1.0919427822829397</v>
      </c>
      <c r="AW150" s="1">
        <f t="shared" si="21"/>
        <v>0.66382039972082141</v>
      </c>
    </row>
    <row r="151" spans="1:49" x14ac:dyDescent="0.2">
      <c r="A151">
        <v>149</v>
      </c>
      <c r="B151" t="s">
        <v>6625</v>
      </c>
      <c r="C151" t="s">
        <v>6624</v>
      </c>
      <c r="F151" t="s">
        <v>6623</v>
      </c>
      <c r="G151" t="s">
        <v>14</v>
      </c>
      <c r="H151" t="s">
        <v>13</v>
      </c>
      <c r="I151" t="s">
        <v>6622</v>
      </c>
      <c r="N151">
        <v>1</v>
      </c>
      <c r="O151" t="s">
        <v>6621</v>
      </c>
      <c r="P151">
        <v>57168467900</v>
      </c>
      <c r="R151" s="7">
        <v>31778</v>
      </c>
      <c r="S151" s="8">
        <f t="shared" si="16"/>
        <v>1987</v>
      </c>
      <c r="T151" s="8">
        <v>1987</v>
      </c>
      <c r="U151" s="8">
        <f t="shared" si="17"/>
        <v>35</v>
      </c>
      <c r="V151" s="7">
        <v>31868</v>
      </c>
      <c r="W151" t="s">
        <v>6620</v>
      </c>
      <c r="X151" s="2" t="s">
        <v>32</v>
      </c>
      <c r="Y151" s="6" t="e">
        <f t="shared" si="22"/>
        <v>#VALUE!</v>
      </c>
      <c r="AA151">
        <v>947598</v>
      </c>
      <c r="AB151">
        <v>21100450478</v>
      </c>
      <c r="AD151" t="s">
        <v>4</v>
      </c>
      <c r="AE151">
        <v>39</v>
      </c>
      <c r="AF151">
        <v>4</v>
      </c>
      <c r="AH151" s="9">
        <v>44350</v>
      </c>
      <c r="AI151" t="s">
        <v>6619</v>
      </c>
      <c r="AK151" t="s">
        <v>6618</v>
      </c>
      <c r="AL151">
        <v>0</v>
      </c>
      <c r="AM151" s="5">
        <f t="shared" si="18"/>
        <v>0</v>
      </c>
      <c r="AN151" s="4">
        <f t="shared" si="23"/>
        <v>0</v>
      </c>
      <c r="AO151" s="3"/>
      <c r="AP151">
        <v>0</v>
      </c>
      <c r="AR151" t="s">
        <v>0</v>
      </c>
      <c r="AT151" s="2" t="s">
        <v>32</v>
      </c>
      <c r="AU151" s="1" t="e">
        <f t="shared" si="19"/>
        <v>#VALUE!</v>
      </c>
      <c r="AV151" s="1" t="e">
        <f t="shared" si="20"/>
        <v>#VALUE!</v>
      </c>
      <c r="AW151" s="1" t="e">
        <f t="shared" si="21"/>
        <v>#VALUE!</v>
      </c>
    </row>
    <row r="152" spans="1:49" x14ac:dyDescent="0.2">
      <c r="A152">
        <v>150</v>
      </c>
      <c r="B152" t="s">
        <v>6617</v>
      </c>
      <c r="C152" t="s">
        <v>6616</v>
      </c>
      <c r="F152" t="s">
        <v>6615</v>
      </c>
      <c r="G152" t="s">
        <v>14</v>
      </c>
      <c r="H152" t="s">
        <v>13</v>
      </c>
      <c r="I152" t="s">
        <v>6614</v>
      </c>
      <c r="J152">
        <v>60004176</v>
      </c>
      <c r="K152" t="s">
        <v>2335</v>
      </c>
      <c r="L152" t="s">
        <v>2334</v>
      </c>
      <c r="M152" t="s">
        <v>524</v>
      </c>
      <c r="N152">
        <v>4</v>
      </c>
      <c r="O152" t="s">
        <v>6613</v>
      </c>
      <c r="P152" t="s">
        <v>6612</v>
      </c>
      <c r="Q152" t="s">
        <v>6611</v>
      </c>
      <c r="R152" s="7">
        <v>31778</v>
      </c>
      <c r="S152" s="8">
        <f t="shared" si="16"/>
        <v>1987</v>
      </c>
      <c r="T152" s="8">
        <v>1987</v>
      </c>
      <c r="U152" s="8">
        <f t="shared" si="17"/>
        <v>35</v>
      </c>
      <c r="V152" s="7">
        <v>31778</v>
      </c>
      <c r="W152" t="s">
        <v>1016</v>
      </c>
      <c r="X152" s="2">
        <v>0.371</v>
      </c>
      <c r="Y152" s="6">
        <f t="shared" si="22"/>
        <v>9.9036331117695747E-3</v>
      </c>
      <c r="AA152">
        <v>214922</v>
      </c>
      <c r="AB152">
        <v>130262</v>
      </c>
      <c r="AC152">
        <v>13474065</v>
      </c>
      <c r="AD152" t="s">
        <v>4</v>
      </c>
      <c r="AE152">
        <v>26</v>
      </c>
      <c r="AF152" t="s">
        <v>6610</v>
      </c>
      <c r="AH152" t="s">
        <v>6609</v>
      </c>
      <c r="AI152" t="s">
        <v>6608</v>
      </c>
      <c r="AK152" t="s">
        <v>6607</v>
      </c>
      <c r="AL152">
        <v>2</v>
      </c>
      <c r="AM152" s="5">
        <f t="shared" si="18"/>
        <v>5.7142857142857141E-2</v>
      </c>
      <c r="AN152" s="4">
        <f t="shared" si="23"/>
        <v>8.6547303510575E-5</v>
      </c>
      <c r="AO152" s="3"/>
      <c r="AP152">
        <v>0</v>
      </c>
      <c r="AR152" t="s">
        <v>0</v>
      </c>
      <c r="AT152" s="2">
        <v>1.48</v>
      </c>
      <c r="AU152" s="1">
        <f t="shared" si="19"/>
        <v>0.69585073692918742</v>
      </c>
      <c r="AV152" s="1">
        <f t="shared" si="20"/>
        <v>0.49950902076400749</v>
      </c>
      <c r="AW152" s="1">
        <f t="shared" si="21"/>
        <v>0.30316730459882751</v>
      </c>
    </row>
    <row r="153" spans="1:49" x14ac:dyDescent="0.2">
      <c r="A153">
        <v>151</v>
      </c>
      <c r="B153" t="s">
        <v>6606</v>
      </c>
      <c r="C153" t="s">
        <v>6605</v>
      </c>
      <c r="F153" t="s">
        <v>6604</v>
      </c>
      <c r="G153" t="s">
        <v>14</v>
      </c>
      <c r="H153" t="s">
        <v>13</v>
      </c>
      <c r="I153" t="s">
        <v>6603</v>
      </c>
      <c r="J153">
        <v>60021182</v>
      </c>
      <c r="K153" t="s">
        <v>6602</v>
      </c>
      <c r="L153" t="s">
        <v>6601</v>
      </c>
      <c r="M153" t="s">
        <v>1384</v>
      </c>
      <c r="N153">
        <v>3</v>
      </c>
      <c r="O153" t="s">
        <v>6600</v>
      </c>
      <c r="P153" t="s">
        <v>6599</v>
      </c>
      <c r="Q153" t="s">
        <v>6598</v>
      </c>
      <c r="R153" s="7">
        <v>31778</v>
      </c>
      <c r="S153" s="8">
        <f t="shared" si="16"/>
        <v>1987</v>
      </c>
      <c r="T153" s="8">
        <v>1987</v>
      </c>
      <c r="U153" s="8">
        <f t="shared" si="17"/>
        <v>35</v>
      </c>
      <c r="V153" s="7">
        <v>32112</v>
      </c>
      <c r="W153" t="s">
        <v>6597</v>
      </c>
      <c r="X153" s="2">
        <v>0.34799999999999998</v>
      </c>
      <c r="Y153" s="6">
        <f t="shared" si="22"/>
        <v>9.2896612476976049E-3</v>
      </c>
      <c r="AA153" t="s">
        <v>6596</v>
      </c>
      <c r="AB153">
        <v>27432</v>
      </c>
      <c r="AC153">
        <v>17413540</v>
      </c>
      <c r="AD153" t="s">
        <v>4</v>
      </c>
      <c r="AE153">
        <v>4</v>
      </c>
      <c r="AF153">
        <v>12</v>
      </c>
      <c r="AH153" t="s">
        <v>6595</v>
      </c>
      <c r="AI153" t="s">
        <v>6594</v>
      </c>
      <c r="AK153" t="s">
        <v>6593</v>
      </c>
      <c r="AL153">
        <v>0</v>
      </c>
      <c r="AM153" s="5">
        <f t="shared" si="18"/>
        <v>0</v>
      </c>
      <c r="AN153" s="4">
        <f t="shared" si="23"/>
        <v>0</v>
      </c>
      <c r="AO153" s="3"/>
      <c r="AP153">
        <v>0</v>
      </c>
      <c r="AR153" t="s">
        <v>0</v>
      </c>
      <c r="AT153" s="2">
        <v>1.4830000000000001</v>
      </c>
      <c r="AU153" s="1">
        <f t="shared" si="19"/>
        <v>0.65027628733883236</v>
      </c>
      <c r="AV153" s="1">
        <f t="shared" si="20"/>
        <v>0.46448306238488024</v>
      </c>
      <c r="AW153" s="1">
        <f t="shared" si="21"/>
        <v>0.27868983743092812</v>
      </c>
    </row>
    <row r="154" spans="1:49" x14ac:dyDescent="0.2">
      <c r="A154">
        <v>152</v>
      </c>
      <c r="B154" t="s">
        <v>6592</v>
      </c>
      <c r="C154" t="s">
        <v>6591</v>
      </c>
      <c r="F154" t="s">
        <v>6590</v>
      </c>
      <c r="G154" t="s">
        <v>14</v>
      </c>
      <c r="H154" t="s">
        <v>13</v>
      </c>
      <c r="I154" t="s">
        <v>914</v>
      </c>
      <c r="J154">
        <v>60024266</v>
      </c>
      <c r="K154" t="s">
        <v>913</v>
      </c>
      <c r="L154" t="s">
        <v>912</v>
      </c>
      <c r="M154" t="s">
        <v>9</v>
      </c>
      <c r="N154">
        <v>2</v>
      </c>
      <c r="O154" t="s">
        <v>911</v>
      </c>
      <c r="P154" t="s">
        <v>910</v>
      </c>
      <c r="Q154" t="s">
        <v>909</v>
      </c>
      <c r="R154" s="7">
        <v>31778</v>
      </c>
      <c r="S154" s="8">
        <f t="shared" si="16"/>
        <v>1987</v>
      </c>
      <c r="T154" s="8">
        <v>1987</v>
      </c>
      <c r="U154" s="8">
        <f t="shared" si="17"/>
        <v>35</v>
      </c>
      <c r="V154" s="7">
        <v>31778</v>
      </c>
      <c r="W154" t="s">
        <v>908</v>
      </c>
      <c r="X154" s="2">
        <v>1.774</v>
      </c>
      <c r="Y154" s="6">
        <f t="shared" si="22"/>
        <v>4.7355916820159633E-2</v>
      </c>
      <c r="AA154">
        <v>295515</v>
      </c>
      <c r="AB154">
        <v>29066</v>
      </c>
      <c r="AC154">
        <v>17414326</v>
      </c>
      <c r="AD154" t="s">
        <v>4</v>
      </c>
      <c r="AE154">
        <v>27</v>
      </c>
      <c r="AF154">
        <v>1</v>
      </c>
      <c r="AH154" t="s">
        <v>6589</v>
      </c>
      <c r="AI154" t="s">
        <v>6588</v>
      </c>
      <c r="AK154" t="s">
        <v>6587</v>
      </c>
      <c r="AL154">
        <v>0</v>
      </c>
      <c r="AM154" s="5">
        <f t="shared" si="18"/>
        <v>0</v>
      </c>
      <c r="AN154" s="4">
        <f t="shared" si="23"/>
        <v>0</v>
      </c>
      <c r="AO154" s="3"/>
      <c r="AP154">
        <v>0</v>
      </c>
      <c r="AR154" t="s">
        <v>0</v>
      </c>
      <c r="AT154" s="2">
        <v>3.1789999999999998</v>
      </c>
      <c r="AU154" s="1">
        <f t="shared" si="19"/>
        <v>3.3149141774111741</v>
      </c>
      <c r="AV154" s="1">
        <f t="shared" si="20"/>
        <v>2.3677958410079816</v>
      </c>
      <c r="AW154" s="1">
        <f t="shared" si="21"/>
        <v>1.4206775046047888</v>
      </c>
    </row>
    <row r="155" spans="1:49" x14ac:dyDescent="0.2">
      <c r="A155">
        <v>153</v>
      </c>
      <c r="B155" t="s">
        <v>6586</v>
      </c>
      <c r="C155" t="s">
        <v>6585</v>
      </c>
      <c r="F155" t="s">
        <v>6584</v>
      </c>
      <c r="G155" t="s">
        <v>14</v>
      </c>
      <c r="H155" t="s">
        <v>13</v>
      </c>
      <c r="I155" t="s">
        <v>6583</v>
      </c>
      <c r="J155">
        <v>100603480</v>
      </c>
      <c r="K155" t="s">
        <v>6582</v>
      </c>
      <c r="L155" t="s">
        <v>6581</v>
      </c>
      <c r="M155" t="s">
        <v>9</v>
      </c>
      <c r="N155">
        <v>2</v>
      </c>
      <c r="O155" t="s">
        <v>6580</v>
      </c>
      <c r="P155" t="s">
        <v>6579</v>
      </c>
      <c r="Q155" t="s">
        <v>6578</v>
      </c>
      <c r="R155" s="7">
        <v>31778</v>
      </c>
      <c r="S155" s="8">
        <f t="shared" si="16"/>
        <v>1987</v>
      </c>
      <c r="T155" s="8">
        <v>1987</v>
      </c>
      <c r="U155" s="8">
        <f t="shared" si="17"/>
        <v>35</v>
      </c>
      <c r="V155" s="7">
        <v>31778</v>
      </c>
      <c r="W155" t="s">
        <v>5021</v>
      </c>
      <c r="X155" s="2">
        <v>0.22500000000000001</v>
      </c>
      <c r="Y155" s="6">
        <f t="shared" si="22"/>
        <v>6.0062464963562111E-3</v>
      </c>
      <c r="AA155">
        <v>2726343</v>
      </c>
      <c r="AB155">
        <v>16128</v>
      </c>
      <c r="AC155" t="s">
        <v>5020</v>
      </c>
      <c r="AD155" t="s">
        <v>4</v>
      </c>
      <c r="AE155">
        <v>7</v>
      </c>
      <c r="AF155" s="9">
        <v>44289</v>
      </c>
      <c r="AH155" t="s">
        <v>6577</v>
      </c>
      <c r="AI155" t="s">
        <v>6576</v>
      </c>
      <c r="AK155" t="s">
        <v>6575</v>
      </c>
      <c r="AL155">
        <v>0</v>
      </c>
      <c r="AM155" s="5">
        <f t="shared" si="18"/>
        <v>0</v>
      </c>
      <c r="AN155" s="4">
        <f t="shared" si="23"/>
        <v>0</v>
      </c>
      <c r="AO155" s="3"/>
      <c r="AP155">
        <v>0</v>
      </c>
      <c r="AR155" t="s">
        <v>0</v>
      </c>
      <c r="AT155" s="2">
        <v>1.099</v>
      </c>
      <c r="AU155" s="1">
        <f t="shared" si="19"/>
        <v>0.42043725474493476</v>
      </c>
      <c r="AV155" s="1">
        <f t="shared" si="20"/>
        <v>0.30031232481781056</v>
      </c>
      <c r="AW155" s="1">
        <f t="shared" si="21"/>
        <v>0.18018739489068633</v>
      </c>
    </row>
    <row r="156" spans="1:49" x14ac:dyDescent="0.2">
      <c r="A156">
        <v>154</v>
      </c>
      <c r="B156" t="s">
        <v>6574</v>
      </c>
      <c r="C156" t="s">
        <v>6573</v>
      </c>
      <c r="F156" t="s">
        <v>6572</v>
      </c>
      <c r="G156" t="s">
        <v>14</v>
      </c>
      <c r="H156" t="s">
        <v>13</v>
      </c>
      <c r="I156" t="s">
        <v>6571</v>
      </c>
      <c r="J156">
        <v>60020730</v>
      </c>
      <c r="K156" t="s">
        <v>6570</v>
      </c>
      <c r="L156" t="s">
        <v>6569</v>
      </c>
      <c r="M156" t="s">
        <v>586</v>
      </c>
      <c r="N156">
        <v>1</v>
      </c>
      <c r="O156" t="s">
        <v>6568</v>
      </c>
      <c r="P156">
        <v>7401559260</v>
      </c>
      <c r="Q156">
        <v>60020730</v>
      </c>
      <c r="R156" s="7">
        <v>31778</v>
      </c>
      <c r="S156" s="8">
        <f t="shared" si="16"/>
        <v>1987</v>
      </c>
      <c r="T156" s="8">
        <v>1987</v>
      </c>
      <c r="U156" s="8">
        <f t="shared" si="17"/>
        <v>35</v>
      </c>
      <c r="V156" s="7">
        <v>31778</v>
      </c>
      <c r="W156" t="s">
        <v>6567</v>
      </c>
      <c r="X156" s="2" t="s">
        <v>32</v>
      </c>
      <c r="Y156" s="6" t="e">
        <f t="shared" si="22"/>
        <v>#VALUE!</v>
      </c>
      <c r="AA156">
        <v>10739149</v>
      </c>
      <c r="AB156">
        <v>23999</v>
      </c>
      <c r="AC156">
        <v>15256030</v>
      </c>
      <c r="AD156" t="s">
        <v>4</v>
      </c>
      <c r="AE156">
        <v>16</v>
      </c>
      <c r="AF156">
        <v>4</v>
      </c>
      <c r="AH156" t="s">
        <v>6566</v>
      </c>
      <c r="AI156" t="s">
        <v>6565</v>
      </c>
      <c r="AK156" t="s">
        <v>6564</v>
      </c>
      <c r="AL156">
        <v>0</v>
      </c>
      <c r="AM156" s="5">
        <f t="shared" si="18"/>
        <v>0</v>
      </c>
      <c r="AN156" s="4">
        <f t="shared" si="23"/>
        <v>0</v>
      </c>
      <c r="AO156" s="3"/>
      <c r="AP156">
        <v>0</v>
      </c>
      <c r="AR156" t="s">
        <v>0</v>
      </c>
      <c r="AT156" s="2" t="s">
        <v>32</v>
      </c>
      <c r="AU156" s="1" t="e">
        <f t="shared" si="19"/>
        <v>#VALUE!</v>
      </c>
      <c r="AV156" s="1" t="e">
        <f t="shared" si="20"/>
        <v>#VALUE!</v>
      </c>
      <c r="AW156" s="1" t="e">
        <f t="shared" si="21"/>
        <v>#VALUE!</v>
      </c>
    </row>
    <row r="157" spans="1:49" x14ac:dyDescent="0.2">
      <c r="A157">
        <v>155</v>
      </c>
      <c r="B157" t="s">
        <v>6563</v>
      </c>
      <c r="C157" t="s">
        <v>4773</v>
      </c>
      <c r="F157" t="s">
        <v>6562</v>
      </c>
      <c r="G157" t="s">
        <v>14</v>
      </c>
      <c r="H157" t="s">
        <v>13</v>
      </c>
      <c r="I157" t="s">
        <v>6561</v>
      </c>
      <c r="J157">
        <v>100497683</v>
      </c>
      <c r="K157" t="s">
        <v>4770</v>
      </c>
      <c r="L157" t="s">
        <v>4769</v>
      </c>
      <c r="M157" t="s">
        <v>9</v>
      </c>
      <c r="N157">
        <v>1</v>
      </c>
      <c r="O157" t="s">
        <v>4768</v>
      </c>
      <c r="P157">
        <v>7003790905</v>
      </c>
      <c r="Q157">
        <v>100497683</v>
      </c>
      <c r="R157" s="7">
        <v>31778</v>
      </c>
      <c r="S157" s="8">
        <f t="shared" si="16"/>
        <v>1987</v>
      </c>
      <c r="T157" s="8">
        <v>1987</v>
      </c>
      <c r="U157" s="8">
        <f t="shared" si="17"/>
        <v>35</v>
      </c>
      <c r="V157" s="7">
        <v>32082</v>
      </c>
      <c r="W157" t="s">
        <v>3924</v>
      </c>
      <c r="X157" s="2">
        <v>0.76700000000000002</v>
      </c>
      <c r="Y157" s="6">
        <f t="shared" si="22"/>
        <v>2.0474626945356504E-2</v>
      </c>
      <c r="AA157">
        <v>983063</v>
      </c>
      <c r="AB157">
        <v>26048</v>
      </c>
      <c r="AD157" t="s">
        <v>4</v>
      </c>
      <c r="AE157" t="s">
        <v>3923</v>
      </c>
      <c r="AF157">
        <v>4</v>
      </c>
      <c r="AH157" t="s">
        <v>6560</v>
      </c>
      <c r="AL157">
        <v>0</v>
      </c>
      <c r="AM157" s="5">
        <f t="shared" si="18"/>
        <v>0</v>
      </c>
      <c r="AN157" s="4">
        <f t="shared" si="23"/>
        <v>0</v>
      </c>
      <c r="AO157" s="3"/>
      <c r="AP157">
        <v>0</v>
      </c>
      <c r="AR157" t="s">
        <v>0</v>
      </c>
      <c r="AT157" s="2" t="s">
        <v>32</v>
      </c>
      <c r="AU157" s="1">
        <f t="shared" si="19"/>
        <v>1.4332238861749553</v>
      </c>
      <c r="AV157" s="1">
        <f t="shared" si="20"/>
        <v>1.0237313472678251</v>
      </c>
      <c r="AW157" s="1">
        <f t="shared" si="21"/>
        <v>0.61423880836069511</v>
      </c>
    </row>
    <row r="158" spans="1:49" x14ac:dyDescent="0.2">
      <c r="A158">
        <v>156</v>
      </c>
      <c r="B158" t="s">
        <v>6559</v>
      </c>
      <c r="C158" t="s">
        <v>6558</v>
      </c>
      <c r="F158" t="s">
        <v>6527</v>
      </c>
      <c r="G158" t="s">
        <v>14</v>
      </c>
      <c r="H158" t="s">
        <v>13</v>
      </c>
      <c r="I158" t="s">
        <v>6526</v>
      </c>
      <c r="J158">
        <v>60020818</v>
      </c>
      <c r="K158" t="s">
        <v>6532</v>
      </c>
      <c r="L158" t="s">
        <v>6531</v>
      </c>
      <c r="M158" t="s">
        <v>9</v>
      </c>
      <c r="N158">
        <v>1</v>
      </c>
      <c r="O158" t="s">
        <v>6525</v>
      </c>
      <c r="P158">
        <v>57189501138</v>
      </c>
      <c r="Q158">
        <v>60020818</v>
      </c>
      <c r="R158" s="7">
        <v>31778</v>
      </c>
      <c r="S158" s="8">
        <f t="shared" si="16"/>
        <v>1987</v>
      </c>
      <c r="T158" s="8">
        <v>1987</v>
      </c>
      <c r="U158" s="8">
        <f t="shared" si="17"/>
        <v>35</v>
      </c>
      <c r="V158" s="7">
        <v>31990</v>
      </c>
      <c r="W158" s="11" t="s">
        <v>6337</v>
      </c>
      <c r="X158" s="2">
        <v>1.3280000000000001</v>
      </c>
      <c r="Y158" s="6">
        <f t="shared" si="22"/>
        <v>3.5450201542937994E-2</v>
      </c>
      <c r="AA158">
        <v>21680329</v>
      </c>
      <c r="AB158">
        <v>21100399421</v>
      </c>
      <c r="AD158" t="s">
        <v>4</v>
      </c>
      <c r="AE158">
        <v>29</v>
      </c>
      <c r="AF158">
        <v>4</v>
      </c>
      <c r="AH158" t="s">
        <v>6557</v>
      </c>
      <c r="AL158">
        <v>0</v>
      </c>
      <c r="AM158" s="5">
        <f t="shared" si="18"/>
        <v>0</v>
      </c>
      <c r="AN158" s="4">
        <f t="shared" si="23"/>
        <v>0</v>
      </c>
      <c r="AO158" s="3"/>
      <c r="AP158">
        <v>0</v>
      </c>
      <c r="AR158" t="s">
        <v>0</v>
      </c>
      <c r="AT158" s="2" t="s">
        <v>32</v>
      </c>
      <c r="AU158" s="1">
        <f t="shared" si="19"/>
        <v>2.4815141080056597</v>
      </c>
      <c r="AV158" s="1">
        <f t="shared" si="20"/>
        <v>1.7725100771468998</v>
      </c>
      <c r="AW158" s="1">
        <f t="shared" si="21"/>
        <v>1.0635060462881398</v>
      </c>
    </row>
    <row r="159" spans="1:49" x14ac:dyDescent="0.2">
      <c r="A159">
        <v>157</v>
      </c>
      <c r="B159" t="s">
        <v>6556</v>
      </c>
      <c r="C159" t="s">
        <v>6555</v>
      </c>
      <c r="F159" t="s">
        <v>6554</v>
      </c>
      <c r="G159" t="s">
        <v>14</v>
      </c>
      <c r="H159" t="s">
        <v>13</v>
      </c>
      <c r="I159" t="s">
        <v>6553</v>
      </c>
      <c r="J159">
        <v>115743965</v>
      </c>
      <c r="K159" t="s">
        <v>6552</v>
      </c>
      <c r="L159" t="s">
        <v>6551</v>
      </c>
      <c r="M159" t="s">
        <v>586</v>
      </c>
      <c r="N159">
        <v>1</v>
      </c>
      <c r="O159" t="s">
        <v>6550</v>
      </c>
      <c r="P159">
        <v>7101918667</v>
      </c>
      <c r="Q159">
        <v>115743965</v>
      </c>
      <c r="R159" s="7">
        <v>31778</v>
      </c>
      <c r="S159" s="8">
        <f t="shared" si="16"/>
        <v>1987</v>
      </c>
      <c r="T159" s="8">
        <v>1987</v>
      </c>
      <c r="U159" s="8">
        <f t="shared" si="17"/>
        <v>35</v>
      </c>
      <c r="V159" s="7">
        <v>31990</v>
      </c>
      <c r="W159" s="11" t="s">
        <v>6337</v>
      </c>
      <c r="X159" s="2">
        <v>1.3280000000000001</v>
      </c>
      <c r="Y159" s="6">
        <f t="shared" si="22"/>
        <v>3.5450201542937994E-2</v>
      </c>
      <c r="AA159">
        <v>21680329</v>
      </c>
      <c r="AB159">
        <v>21100399421</v>
      </c>
      <c r="AD159" t="s">
        <v>4</v>
      </c>
      <c r="AE159">
        <v>29</v>
      </c>
      <c r="AF159">
        <v>4</v>
      </c>
      <c r="AH159" t="s">
        <v>6549</v>
      </c>
      <c r="AL159">
        <v>0</v>
      </c>
      <c r="AM159" s="5">
        <f t="shared" si="18"/>
        <v>0</v>
      </c>
      <c r="AN159" s="4">
        <f t="shared" si="23"/>
        <v>0</v>
      </c>
      <c r="AO159" s="3"/>
      <c r="AP159">
        <v>0</v>
      </c>
      <c r="AR159" t="s">
        <v>0</v>
      </c>
      <c r="AT159" s="2" t="s">
        <v>32</v>
      </c>
      <c r="AU159" s="1">
        <f t="shared" si="19"/>
        <v>2.4815141080056597</v>
      </c>
      <c r="AV159" s="1">
        <f t="shared" si="20"/>
        <v>1.7725100771468998</v>
      </c>
      <c r="AW159" s="1">
        <f t="shared" si="21"/>
        <v>1.0635060462881398</v>
      </c>
    </row>
    <row r="160" spans="1:49" x14ac:dyDescent="0.2">
      <c r="A160">
        <v>158</v>
      </c>
      <c r="B160" t="s">
        <v>6548</v>
      </c>
      <c r="C160" t="s">
        <v>6547</v>
      </c>
      <c r="F160" t="s">
        <v>6527</v>
      </c>
      <c r="G160" t="s">
        <v>14</v>
      </c>
      <c r="H160" t="s">
        <v>13</v>
      </c>
      <c r="I160" t="s">
        <v>6526</v>
      </c>
      <c r="J160">
        <v>60020818</v>
      </c>
      <c r="K160" t="s">
        <v>6532</v>
      </c>
      <c r="L160" t="s">
        <v>6531</v>
      </c>
      <c r="M160" t="s">
        <v>9</v>
      </c>
      <c r="N160">
        <v>1</v>
      </c>
      <c r="O160" t="s">
        <v>6525</v>
      </c>
      <c r="P160">
        <v>57189501138</v>
      </c>
      <c r="Q160">
        <v>60020818</v>
      </c>
      <c r="R160" s="7">
        <v>31778</v>
      </c>
      <c r="S160" s="8">
        <f t="shared" si="16"/>
        <v>1987</v>
      </c>
      <c r="T160" s="8">
        <v>1987</v>
      </c>
      <c r="U160" s="8">
        <f t="shared" si="17"/>
        <v>35</v>
      </c>
      <c r="V160" s="7">
        <v>31868</v>
      </c>
      <c r="W160" s="11" t="s">
        <v>6337</v>
      </c>
      <c r="X160" s="2">
        <v>1.3280000000000001</v>
      </c>
      <c r="Y160" s="6">
        <f t="shared" si="22"/>
        <v>3.5450201542937994E-2</v>
      </c>
      <c r="AA160">
        <v>21680329</v>
      </c>
      <c r="AB160">
        <v>21100399421</v>
      </c>
      <c r="AD160" t="s">
        <v>4</v>
      </c>
      <c r="AE160">
        <v>29</v>
      </c>
      <c r="AF160">
        <v>2</v>
      </c>
      <c r="AH160" t="s">
        <v>6546</v>
      </c>
      <c r="AL160">
        <v>0</v>
      </c>
      <c r="AM160" s="5">
        <f t="shared" si="18"/>
        <v>0</v>
      </c>
      <c r="AN160" s="4">
        <f t="shared" si="23"/>
        <v>0</v>
      </c>
      <c r="AO160" s="3"/>
      <c r="AP160">
        <v>0</v>
      </c>
      <c r="AR160" t="s">
        <v>0</v>
      </c>
      <c r="AT160" s="2" t="s">
        <v>32</v>
      </c>
      <c r="AU160" s="1">
        <f t="shared" si="19"/>
        <v>2.4815141080056597</v>
      </c>
      <c r="AV160" s="1">
        <f t="shared" si="20"/>
        <v>1.7725100771468998</v>
      </c>
      <c r="AW160" s="1">
        <f t="shared" si="21"/>
        <v>1.0635060462881398</v>
      </c>
    </row>
    <row r="161" spans="1:49" x14ac:dyDescent="0.2">
      <c r="A161">
        <v>159</v>
      </c>
      <c r="B161" t="s">
        <v>6545</v>
      </c>
      <c r="C161" t="s">
        <v>6544</v>
      </c>
      <c r="F161" t="s">
        <v>6527</v>
      </c>
      <c r="G161" t="s">
        <v>14</v>
      </c>
      <c r="H161" t="s">
        <v>13</v>
      </c>
      <c r="I161" t="s">
        <v>6526</v>
      </c>
      <c r="J161">
        <v>60020818</v>
      </c>
      <c r="K161" t="s">
        <v>6532</v>
      </c>
      <c r="L161" t="s">
        <v>6531</v>
      </c>
      <c r="M161" t="s">
        <v>9</v>
      </c>
      <c r="N161">
        <v>1</v>
      </c>
      <c r="O161" t="s">
        <v>6525</v>
      </c>
      <c r="P161">
        <v>57189501138</v>
      </c>
      <c r="Q161">
        <v>60020818</v>
      </c>
      <c r="R161" s="7">
        <v>31778</v>
      </c>
      <c r="S161" s="8">
        <f t="shared" si="16"/>
        <v>1987</v>
      </c>
      <c r="T161" s="8">
        <v>1987</v>
      </c>
      <c r="U161" s="8">
        <f t="shared" si="17"/>
        <v>35</v>
      </c>
      <c r="V161" s="7">
        <v>32051</v>
      </c>
      <c r="W161" s="11" t="s">
        <v>6337</v>
      </c>
      <c r="X161" s="2">
        <v>1.3280000000000001</v>
      </c>
      <c r="Y161" s="6">
        <f t="shared" si="22"/>
        <v>3.5450201542937994E-2</v>
      </c>
      <c r="AA161">
        <v>21680329</v>
      </c>
      <c r="AB161">
        <v>21100399421</v>
      </c>
      <c r="AD161" t="s">
        <v>4</v>
      </c>
      <c r="AE161">
        <v>29</v>
      </c>
      <c r="AF161">
        <v>5</v>
      </c>
      <c r="AH161" t="s">
        <v>6524</v>
      </c>
      <c r="AL161">
        <v>0</v>
      </c>
      <c r="AM161" s="5">
        <f t="shared" si="18"/>
        <v>0</v>
      </c>
      <c r="AN161" s="4">
        <f t="shared" si="23"/>
        <v>0</v>
      </c>
      <c r="AO161" s="3"/>
      <c r="AP161">
        <v>0</v>
      </c>
      <c r="AR161" t="s">
        <v>0</v>
      </c>
      <c r="AT161" s="2" t="s">
        <v>32</v>
      </c>
      <c r="AU161" s="1">
        <f t="shared" si="19"/>
        <v>2.4815141080056597</v>
      </c>
      <c r="AV161" s="1">
        <f t="shared" si="20"/>
        <v>1.7725100771468998</v>
      </c>
      <c r="AW161" s="1">
        <f t="shared" si="21"/>
        <v>1.0635060462881398</v>
      </c>
    </row>
    <row r="162" spans="1:49" x14ac:dyDescent="0.2">
      <c r="A162">
        <v>160</v>
      </c>
      <c r="B162" t="s">
        <v>6543</v>
      </c>
      <c r="C162" t="s">
        <v>6108</v>
      </c>
      <c r="F162" t="s">
        <v>6542</v>
      </c>
      <c r="G162" t="s">
        <v>14</v>
      </c>
      <c r="H162" t="s">
        <v>13</v>
      </c>
      <c r="I162" t="s">
        <v>6541</v>
      </c>
      <c r="J162">
        <v>60005603</v>
      </c>
      <c r="K162" t="s">
        <v>6105</v>
      </c>
      <c r="L162" t="s">
        <v>1499</v>
      </c>
      <c r="M162" t="s">
        <v>685</v>
      </c>
      <c r="N162">
        <v>2</v>
      </c>
      <c r="O162" t="s">
        <v>6104</v>
      </c>
      <c r="P162" t="s">
        <v>6103</v>
      </c>
      <c r="Q162" t="s">
        <v>6102</v>
      </c>
      <c r="R162" s="7">
        <v>31778</v>
      </c>
      <c r="S162" s="8">
        <f t="shared" si="16"/>
        <v>1987</v>
      </c>
      <c r="T162" s="8">
        <v>1987</v>
      </c>
      <c r="U162" s="8">
        <f t="shared" si="17"/>
        <v>35</v>
      </c>
      <c r="V162" s="7">
        <v>32082</v>
      </c>
      <c r="W162" t="s">
        <v>372</v>
      </c>
      <c r="X162" s="2">
        <v>2.141</v>
      </c>
      <c r="Y162" s="6">
        <f t="shared" si="22"/>
        <v>5.7152772216438434E-2</v>
      </c>
      <c r="AA162">
        <v>1962892</v>
      </c>
      <c r="AB162">
        <v>17360</v>
      </c>
      <c r="AC162">
        <v>15580644</v>
      </c>
      <c r="AD162" t="s">
        <v>4</v>
      </c>
      <c r="AE162" t="s">
        <v>371</v>
      </c>
      <c r="AF162">
        <v>6</v>
      </c>
      <c r="AH162" t="s">
        <v>6540</v>
      </c>
      <c r="AI162" t="s">
        <v>6539</v>
      </c>
      <c r="AK162" t="s">
        <v>6538</v>
      </c>
      <c r="AL162">
        <v>12</v>
      </c>
      <c r="AM162" s="5">
        <f t="shared" si="18"/>
        <v>0.34285714285714286</v>
      </c>
      <c r="AN162" s="4">
        <f t="shared" si="23"/>
        <v>5.1928382106345003E-4</v>
      </c>
      <c r="AO162" s="3"/>
      <c r="AP162">
        <v>0</v>
      </c>
      <c r="AR162" t="s">
        <v>0</v>
      </c>
      <c r="AT162" s="2" t="s">
        <v>32</v>
      </c>
      <c r="AU162" s="1">
        <f t="shared" si="19"/>
        <v>4.0162725697825934</v>
      </c>
      <c r="AV162" s="1">
        <f t="shared" si="20"/>
        <v>2.8836028018750941</v>
      </c>
      <c r="AW162" s="1">
        <f t="shared" si="21"/>
        <v>1.7509330339675944</v>
      </c>
    </row>
    <row r="163" spans="1:49" x14ac:dyDescent="0.2">
      <c r="A163">
        <v>161</v>
      </c>
      <c r="B163" t="s">
        <v>6537</v>
      </c>
      <c r="C163" t="s">
        <v>6536</v>
      </c>
      <c r="F163" t="s">
        <v>6527</v>
      </c>
      <c r="G163" t="s">
        <v>14</v>
      </c>
      <c r="H163" t="s">
        <v>13</v>
      </c>
      <c r="I163" t="s">
        <v>6526</v>
      </c>
      <c r="J163">
        <v>60020818</v>
      </c>
      <c r="K163" t="s">
        <v>6532</v>
      </c>
      <c r="L163" t="s">
        <v>6531</v>
      </c>
      <c r="M163" t="s">
        <v>9</v>
      </c>
      <c r="N163">
        <v>1</v>
      </c>
      <c r="O163" t="s">
        <v>6525</v>
      </c>
      <c r="P163">
        <v>57189501138</v>
      </c>
      <c r="Q163">
        <v>60020818</v>
      </c>
      <c r="R163" s="7">
        <v>31778</v>
      </c>
      <c r="S163" s="8">
        <f t="shared" si="16"/>
        <v>1987</v>
      </c>
      <c r="T163" s="8">
        <v>1987</v>
      </c>
      <c r="U163" s="8">
        <f t="shared" si="17"/>
        <v>35</v>
      </c>
      <c r="V163" s="7">
        <v>31809</v>
      </c>
      <c r="W163" s="11" t="s">
        <v>6337</v>
      </c>
      <c r="X163" s="2">
        <v>1.3280000000000001</v>
      </c>
      <c r="Y163" s="6">
        <f t="shared" si="22"/>
        <v>3.5450201542937994E-2</v>
      </c>
      <c r="AA163">
        <v>21680329</v>
      </c>
      <c r="AB163">
        <v>21100399421</v>
      </c>
      <c r="AD163" t="s">
        <v>4</v>
      </c>
      <c r="AE163">
        <v>29</v>
      </c>
      <c r="AF163">
        <v>1</v>
      </c>
      <c r="AH163" t="s">
        <v>6535</v>
      </c>
      <c r="AL163">
        <v>0</v>
      </c>
      <c r="AM163" s="5">
        <f t="shared" si="18"/>
        <v>0</v>
      </c>
      <c r="AN163" s="4">
        <f t="shared" si="23"/>
        <v>0</v>
      </c>
      <c r="AO163" s="3"/>
      <c r="AP163">
        <v>0</v>
      </c>
      <c r="AR163" t="s">
        <v>0</v>
      </c>
      <c r="AT163" s="2" t="s">
        <v>32</v>
      </c>
      <c r="AU163" s="1">
        <f t="shared" si="19"/>
        <v>2.4815141080056597</v>
      </c>
      <c r="AV163" s="1">
        <f t="shared" si="20"/>
        <v>1.7725100771468998</v>
      </c>
      <c r="AW163" s="1">
        <f t="shared" si="21"/>
        <v>1.0635060462881398</v>
      </c>
    </row>
    <row r="164" spans="1:49" x14ac:dyDescent="0.2">
      <c r="A164">
        <v>162</v>
      </c>
      <c r="B164" t="s">
        <v>6534</v>
      </c>
      <c r="C164" t="s">
        <v>6533</v>
      </c>
      <c r="F164" t="s">
        <v>6527</v>
      </c>
      <c r="G164" t="s">
        <v>14</v>
      </c>
      <c r="H164" t="s">
        <v>13</v>
      </c>
      <c r="I164" t="s">
        <v>6526</v>
      </c>
      <c r="J164">
        <v>60020818</v>
      </c>
      <c r="K164" t="s">
        <v>6532</v>
      </c>
      <c r="L164" t="s">
        <v>6531</v>
      </c>
      <c r="M164" t="s">
        <v>9</v>
      </c>
      <c r="N164">
        <v>1</v>
      </c>
      <c r="O164" t="s">
        <v>6525</v>
      </c>
      <c r="P164">
        <v>57189501138</v>
      </c>
      <c r="Q164">
        <v>60020818</v>
      </c>
      <c r="R164" s="7">
        <v>31778</v>
      </c>
      <c r="S164" s="8">
        <f t="shared" si="16"/>
        <v>1987</v>
      </c>
      <c r="T164" s="8">
        <v>1987</v>
      </c>
      <c r="U164" s="8">
        <f t="shared" si="17"/>
        <v>35</v>
      </c>
      <c r="V164" s="7">
        <v>31929</v>
      </c>
      <c r="W164" s="11" t="s">
        <v>6337</v>
      </c>
      <c r="X164" s="2">
        <v>1.3280000000000001</v>
      </c>
      <c r="Y164" s="6">
        <f t="shared" si="22"/>
        <v>3.5450201542937994E-2</v>
      </c>
      <c r="AA164">
        <v>21680329</v>
      </c>
      <c r="AB164">
        <v>21100399421</v>
      </c>
      <c r="AD164" t="s">
        <v>4</v>
      </c>
      <c r="AE164">
        <v>29</v>
      </c>
      <c r="AF164">
        <v>3</v>
      </c>
      <c r="AH164" t="s">
        <v>6530</v>
      </c>
      <c r="AL164">
        <v>0</v>
      </c>
      <c r="AM164" s="5">
        <f t="shared" si="18"/>
        <v>0</v>
      </c>
      <c r="AN164" s="4">
        <f t="shared" si="23"/>
        <v>0</v>
      </c>
      <c r="AO164" s="3"/>
      <c r="AP164">
        <v>0</v>
      </c>
      <c r="AR164" t="s">
        <v>0</v>
      </c>
      <c r="AT164" s="2" t="s">
        <v>32</v>
      </c>
      <c r="AU164" s="1">
        <f t="shared" si="19"/>
        <v>2.4815141080056597</v>
      </c>
      <c r="AV164" s="1">
        <f t="shared" si="20"/>
        <v>1.7725100771468998</v>
      </c>
      <c r="AW164" s="1">
        <f t="shared" si="21"/>
        <v>1.0635060462881398</v>
      </c>
    </row>
    <row r="165" spans="1:49" x14ac:dyDescent="0.2">
      <c r="A165">
        <v>163</v>
      </c>
      <c r="B165" t="s">
        <v>6529</v>
      </c>
      <c r="C165" t="s">
        <v>6528</v>
      </c>
      <c r="F165" t="s">
        <v>6527</v>
      </c>
      <c r="G165" t="s">
        <v>14</v>
      </c>
      <c r="H165" t="s">
        <v>13</v>
      </c>
      <c r="I165" t="s">
        <v>6526</v>
      </c>
      <c r="N165">
        <v>1</v>
      </c>
      <c r="O165" t="s">
        <v>6525</v>
      </c>
      <c r="P165">
        <v>57189501138</v>
      </c>
      <c r="R165" s="7">
        <v>31778</v>
      </c>
      <c r="S165" s="8">
        <f t="shared" si="16"/>
        <v>1987</v>
      </c>
      <c r="T165" s="8">
        <v>1987</v>
      </c>
      <c r="U165" s="8">
        <f t="shared" si="17"/>
        <v>35</v>
      </c>
      <c r="V165" s="7">
        <v>32112</v>
      </c>
      <c r="W165" s="11" t="s">
        <v>6337</v>
      </c>
      <c r="X165" s="2">
        <v>1.3280000000000001</v>
      </c>
      <c r="Y165" s="6">
        <f t="shared" si="22"/>
        <v>3.5450201542937994E-2</v>
      </c>
      <c r="AA165">
        <v>21680329</v>
      </c>
      <c r="AB165">
        <v>21100399421</v>
      </c>
      <c r="AD165" t="s">
        <v>4</v>
      </c>
      <c r="AE165">
        <v>29</v>
      </c>
      <c r="AF165">
        <v>6</v>
      </c>
      <c r="AH165" t="s">
        <v>6524</v>
      </c>
      <c r="AL165">
        <v>0</v>
      </c>
      <c r="AM165" s="5">
        <f t="shared" si="18"/>
        <v>0</v>
      </c>
      <c r="AN165" s="4">
        <f t="shared" si="23"/>
        <v>0</v>
      </c>
      <c r="AO165" s="3"/>
      <c r="AP165">
        <v>0</v>
      </c>
      <c r="AR165" t="s">
        <v>0</v>
      </c>
      <c r="AT165" s="2" t="s">
        <v>32</v>
      </c>
      <c r="AU165" s="1">
        <f t="shared" si="19"/>
        <v>2.4815141080056597</v>
      </c>
      <c r="AV165" s="1">
        <f t="shared" si="20"/>
        <v>1.7725100771468998</v>
      </c>
      <c r="AW165" s="1">
        <f t="shared" si="21"/>
        <v>1.0635060462881398</v>
      </c>
    </row>
    <row r="166" spans="1:49" x14ac:dyDescent="0.2">
      <c r="A166">
        <v>164</v>
      </c>
      <c r="B166" t="s">
        <v>6523</v>
      </c>
      <c r="C166" t="s">
        <v>6522</v>
      </c>
      <c r="F166" t="s">
        <v>6521</v>
      </c>
      <c r="G166" t="s">
        <v>14</v>
      </c>
      <c r="H166" t="s">
        <v>13</v>
      </c>
      <c r="I166" t="s">
        <v>6520</v>
      </c>
      <c r="J166">
        <v>60025038</v>
      </c>
      <c r="K166" t="s">
        <v>364</v>
      </c>
      <c r="L166" t="s">
        <v>363</v>
      </c>
      <c r="M166" t="s">
        <v>9</v>
      </c>
      <c r="N166">
        <v>1</v>
      </c>
      <c r="O166" t="s">
        <v>362</v>
      </c>
      <c r="P166">
        <v>7201484168</v>
      </c>
      <c r="Q166">
        <v>60025038</v>
      </c>
      <c r="R166" s="7">
        <v>31778</v>
      </c>
      <c r="S166" s="8">
        <f t="shared" si="16"/>
        <v>1987</v>
      </c>
      <c r="T166" s="8">
        <v>1987</v>
      </c>
      <c r="U166" s="8">
        <f t="shared" si="17"/>
        <v>35</v>
      </c>
      <c r="V166" s="7">
        <v>31837</v>
      </c>
      <c r="W166" t="s">
        <v>360</v>
      </c>
      <c r="X166" s="2">
        <v>0.62</v>
      </c>
      <c r="Y166" s="6">
        <f t="shared" si="22"/>
        <v>1.6550545901070447E-2</v>
      </c>
      <c r="AA166">
        <v>189464</v>
      </c>
      <c r="AB166">
        <v>17364</v>
      </c>
      <c r="AC166">
        <v>19410069</v>
      </c>
      <c r="AD166" t="s">
        <v>4</v>
      </c>
      <c r="AE166">
        <v>23</v>
      </c>
      <c r="AF166">
        <v>2</v>
      </c>
      <c r="AH166" t="s">
        <v>6519</v>
      </c>
      <c r="AI166" t="s">
        <v>6518</v>
      </c>
      <c r="AK166" t="s">
        <v>6517</v>
      </c>
      <c r="AL166">
        <v>4</v>
      </c>
      <c r="AM166" s="5">
        <f t="shared" si="18"/>
        <v>0.11428571428571428</v>
      </c>
      <c r="AN166" s="4">
        <f t="shared" si="23"/>
        <v>1.7309460702115E-4</v>
      </c>
      <c r="AO166" s="3"/>
      <c r="AP166">
        <v>0</v>
      </c>
      <c r="AR166" t="s">
        <v>0</v>
      </c>
      <c r="AT166" s="2">
        <v>1.7</v>
      </c>
      <c r="AU166" s="1">
        <f t="shared" si="19"/>
        <v>1.1637310512855656</v>
      </c>
      <c r="AV166" s="1">
        <f t="shared" si="20"/>
        <v>0.83618202540457987</v>
      </c>
      <c r="AW166" s="1">
        <f t="shared" si="21"/>
        <v>0.50863299952359398</v>
      </c>
    </row>
    <row r="167" spans="1:49" x14ac:dyDescent="0.2">
      <c r="A167">
        <v>165</v>
      </c>
      <c r="B167" t="s">
        <v>6516</v>
      </c>
      <c r="C167" t="s">
        <v>6515</v>
      </c>
      <c r="F167" t="s">
        <v>6514</v>
      </c>
      <c r="G167" t="s">
        <v>14</v>
      </c>
      <c r="H167" t="s">
        <v>13</v>
      </c>
      <c r="I167" t="s">
        <v>3220</v>
      </c>
      <c r="J167">
        <v>60103653</v>
      </c>
      <c r="K167" t="s">
        <v>3219</v>
      </c>
      <c r="L167" t="s">
        <v>3218</v>
      </c>
      <c r="M167" t="s">
        <v>3217</v>
      </c>
      <c r="N167">
        <v>3</v>
      </c>
      <c r="O167" t="s">
        <v>6513</v>
      </c>
      <c r="P167" t="s">
        <v>6512</v>
      </c>
      <c r="Q167" t="s">
        <v>6511</v>
      </c>
      <c r="R167" s="7">
        <v>31778</v>
      </c>
      <c r="S167" s="8">
        <f t="shared" ref="S167:S230" si="24">YEAR(R167)</f>
        <v>1987</v>
      </c>
      <c r="T167" s="8">
        <v>1987</v>
      </c>
      <c r="U167" s="8">
        <f t="shared" ref="U167:U230" si="25">2022-T167</f>
        <v>35</v>
      </c>
      <c r="V167" s="7">
        <v>31778</v>
      </c>
      <c r="W167" t="s">
        <v>6510</v>
      </c>
      <c r="X167" s="2">
        <v>0.28599999999999998</v>
      </c>
      <c r="Y167" s="6">
        <f t="shared" si="22"/>
        <v>7.6346066575905605E-3</v>
      </c>
      <c r="AA167">
        <v>9205071</v>
      </c>
      <c r="AB167">
        <v>28139</v>
      </c>
      <c r="AC167">
        <v>15693937</v>
      </c>
      <c r="AD167" t="s">
        <v>4</v>
      </c>
      <c r="AE167">
        <v>1</v>
      </c>
      <c r="AF167">
        <v>2</v>
      </c>
      <c r="AH167" t="s">
        <v>6509</v>
      </c>
      <c r="AI167" t="s">
        <v>6508</v>
      </c>
      <c r="AK167" t="s">
        <v>6507</v>
      </c>
      <c r="AL167">
        <v>6</v>
      </c>
      <c r="AM167" s="5">
        <f t="shared" ref="AM167:AM230" si="26">AL167/U167</f>
        <v>0.17142857142857143</v>
      </c>
      <c r="AN167" s="4">
        <f t="shared" si="23"/>
        <v>2.5964191053172501E-4</v>
      </c>
      <c r="AO167" s="3"/>
      <c r="AP167">
        <v>0</v>
      </c>
      <c r="AR167" t="s">
        <v>0</v>
      </c>
      <c r="AT167" s="2" t="s">
        <v>32</v>
      </c>
      <c r="AU167" s="1">
        <f t="shared" ref="AU167:AU230" si="27">(Y167*0.7+AN167*0.3)*100</f>
        <v>0.54221172334729095</v>
      </c>
      <c r="AV167" s="1">
        <f t="shared" ref="AV167:AV230" si="28">(Y167*0.5+AN167*0.5)*100</f>
        <v>0.39471242840611426</v>
      </c>
      <c r="AW167" s="1">
        <f t="shared" ref="AW167:AW230" si="29">(Y167*0.3+AN167*0.7)*100</f>
        <v>0.24721313346493756</v>
      </c>
    </row>
    <row r="168" spans="1:49" x14ac:dyDescent="0.2">
      <c r="A168">
        <v>166</v>
      </c>
      <c r="B168" t="s">
        <v>6506</v>
      </c>
      <c r="C168" t="s">
        <v>6505</v>
      </c>
      <c r="F168" t="s">
        <v>6504</v>
      </c>
      <c r="G168" t="s">
        <v>14</v>
      </c>
      <c r="H168" t="s">
        <v>13</v>
      </c>
      <c r="I168" t="s">
        <v>6503</v>
      </c>
      <c r="J168">
        <v>60033316</v>
      </c>
      <c r="K168" t="s">
        <v>6502</v>
      </c>
      <c r="L168" t="s">
        <v>6501</v>
      </c>
      <c r="M168" t="s">
        <v>1706</v>
      </c>
      <c r="N168">
        <v>1</v>
      </c>
      <c r="O168" t="s">
        <v>6500</v>
      </c>
      <c r="P168">
        <v>55186192400</v>
      </c>
      <c r="Q168">
        <v>60033316</v>
      </c>
      <c r="R168" s="7">
        <v>31778</v>
      </c>
      <c r="S168" s="8">
        <f t="shared" si="24"/>
        <v>1987</v>
      </c>
      <c r="T168" s="8">
        <v>1987</v>
      </c>
      <c r="U168" s="8">
        <f t="shared" si="25"/>
        <v>35</v>
      </c>
      <c r="V168" s="7">
        <v>1987</v>
      </c>
      <c r="W168" t="s">
        <v>6499</v>
      </c>
      <c r="X168" s="2" t="s">
        <v>32</v>
      </c>
      <c r="Y168" s="6" t="e">
        <f t="shared" si="22"/>
        <v>#VALUE!</v>
      </c>
      <c r="AA168">
        <v>3749444</v>
      </c>
      <c r="AB168">
        <v>21100446504</v>
      </c>
      <c r="AD168" t="s">
        <v>4</v>
      </c>
      <c r="AE168">
        <v>22</v>
      </c>
      <c r="AF168">
        <v>1</v>
      </c>
      <c r="AH168" t="s">
        <v>6498</v>
      </c>
      <c r="AI168" t="s">
        <v>6497</v>
      </c>
      <c r="AK168" t="s">
        <v>6496</v>
      </c>
      <c r="AL168">
        <v>3</v>
      </c>
      <c r="AM168" s="5">
        <f t="shared" si="26"/>
        <v>8.5714285714285715E-2</v>
      </c>
      <c r="AN168" s="4">
        <f t="shared" si="23"/>
        <v>1.2982095526586251E-4</v>
      </c>
      <c r="AO168" s="3"/>
      <c r="AP168">
        <v>1</v>
      </c>
      <c r="AR168" t="s">
        <v>0</v>
      </c>
      <c r="AT168" s="2" t="s">
        <v>32</v>
      </c>
      <c r="AU168" s="1" t="e">
        <f t="shared" si="27"/>
        <v>#VALUE!</v>
      </c>
      <c r="AV168" s="1" t="e">
        <f t="shared" si="28"/>
        <v>#VALUE!</v>
      </c>
      <c r="AW168" s="1" t="e">
        <f t="shared" si="29"/>
        <v>#VALUE!</v>
      </c>
    </row>
    <row r="169" spans="1:49" x14ac:dyDescent="0.2">
      <c r="A169">
        <v>167</v>
      </c>
      <c r="B169" t="s">
        <v>6495</v>
      </c>
      <c r="C169" t="s">
        <v>6494</v>
      </c>
      <c r="F169" t="s">
        <v>6493</v>
      </c>
      <c r="G169" t="s">
        <v>14</v>
      </c>
      <c r="H169" t="s">
        <v>13</v>
      </c>
      <c r="I169" t="s">
        <v>6492</v>
      </c>
      <c r="J169">
        <v>60030551</v>
      </c>
      <c r="K169" t="s">
        <v>2687</v>
      </c>
      <c r="L169" t="s">
        <v>2686</v>
      </c>
      <c r="M169" t="s">
        <v>9</v>
      </c>
      <c r="N169">
        <v>1</v>
      </c>
      <c r="O169" t="s">
        <v>6491</v>
      </c>
      <c r="P169">
        <v>7003749918</v>
      </c>
      <c r="Q169">
        <v>60030551</v>
      </c>
      <c r="R169" s="7">
        <v>31778</v>
      </c>
      <c r="S169" s="8">
        <f t="shared" si="24"/>
        <v>1987</v>
      </c>
      <c r="T169" s="8">
        <v>1987</v>
      </c>
      <c r="U169" s="8">
        <f t="shared" si="25"/>
        <v>35</v>
      </c>
      <c r="V169" s="7">
        <v>31809</v>
      </c>
      <c r="W169" s="11" t="s">
        <v>6337</v>
      </c>
      <c r="X169" s="2">
        <v>1.3280000000000001</v>
      </c>
      <c r="Y169" s="6">
        <f t="shared" si="22"/>
        <v>3.5450201542937994E-2</v>
      </c>
      <c r="AA169">
        <v>21680329</v>
      </c>
      <c r="AB169">
        <v>21100399421</v>
      </c>
      <c r="AD169" t="s">
        <v>4</v>
      </c>
      <c r="AE169">
        <v>29</v>
      </c>
      <c r="AF169">
        <v>1</v>
      </c>
      <c r="AH169" s="9">
        <v>44505</v>
      </c>
      <c r="AL169">
        <v>3</v>
      </c>
      <c r="AM169" s="5">
        <f t="shared" si="26"/>
        <v>8.5714285714285715E-2</v>
      </c>
      <c r="AN169" s="4">
        <f t="shared" si="23"/>
        <v>1.2982095526586251E-4</v>
      </c>
      <c r="AO169" s="3"/>
      <c r="AP169">
        <v>0</v>
      </c>
      <c r="AR169" t="s">
        <v>0</v>
      </c>
      <c r="AT169" s="2" t="s">
        <v>32</v>
      </c>
      <c r="AU169" s="1">
        <f t="shared" si="27"/>
        <v>2.4854087366636355</v>
      </c>
      <c r="AV169" s="1">
        <f t="shared" si="28"/>
        <v>1.7790011249101929</v>
      </c>
      <c r="AW169" s="1">
        <f t="shared" si="29"/>
        <v>1.0725935131567503</v>
      </c>
    </row>
    <row r="170" spans="1:49" x14ac:dyDescent="0.2">
      <c r="A170">
        <v>168</v>
      </c>
      <c r="B170" t="s">
        <v>6490</v>
      </c>
      <c r="C170" t="s">
        <v>6489</v>
      </c>
      <c r="F170" t="s">
        <v>6488</v>
      </c>
      <c r="G170" t="s">
        <v>14</v>
      </c>
      <c r="H170" t="s">
        <v>13</v>
      </c>
      <c r="I170" t="s">
        <v>6487</v>
      </c>
      <c r="J170">
        <v>60016724</v>
      </c>
      <c r="K170" t="s">
        <v>6486</v>
      </c>
      <c r="L170" t="s">
        <v>5953</v>
      </c>
      <c r="M170" t="s">
        <v>1384</v>
      </c>
      <c r="N170">
        <v>1</v>
      </c>
      <c r="O170" t="s">
        <v>6485</v>
      </c>
      <c r="P170">
        <v>55899538100</v>
      </c>
      <c r="Q170">
        <v>60016724</v>
      </c>
      <c r="R170" s="7">
        <v>31778</v>
      </c>
      <c r="S170" s="8">
        <f t="shared" si="24"/>
        <v>1987</v>
      </c>
      <c r="T170" s="8">
        <v>1987</v>
      </c>
      <c r="U170" s="8">
        <f t="shared" si="25"/>
        <v>35</v>
      </c>
      <c r="V170" s="7">
        <v>32082</v>
      </c>
      <c r="W170" t="s">
        <v>6484</v>
      </c>
      <c r="X170" s="2">
        <v>0.61899999999999999</v>
      </c>
      <c r="Y170" s="6">
        <f t="shared" si="22"/>
        <v>1.6523851472197752E-2</v>
      </c>
      <c r="AA170">
        <v>14966</v>
      </c>
      <c r="AB170">
        <v>12936</v>
      </c>
      <c r="AC170" t="s">
        <v>6483</v>
      </c>
      <c r="AD170" t="s">
        <v>4</v>
      </c>
      <c r="AE170">
        <v>82</v>
      </c>
      <c r="AF170">
        <v>5</v>
      </c>
      <c r="AH170" t="s">
        <v>6482</v>
      </c>
      <c r="AI170" t="s">
        <v>6481</v>
      </c>
      <c r="AK170" t="s">
        <v>6480</v>
      </c>
      <c r="AL170">
        <v>0</v>
      </c>
      <c r="AM170" s="5">
        <f t="shared" si="26"/>
        <v>0</v>
      </c>
      <c r="AN170" s="4">
        <f t="shared" si="23"/>
        <v>0</v>
      </c>
      <c r="AO170" s="3"/>
      <c r="AP170">
        <v>0</v>
      </c>
      <c r="AR170" t="s">
        <v>0</v>
      </c>
      <c r="AT170" s="2" t="s">
        <v>32</v>
      </c>
      <c r="AU170" s="1">
        <f t="shared" si="27"/>
        <v>1.1566696030538426</v>
      </c>
      <c r="AV170" s="1">
        <f t="shared" si="28"/>
        <v>0.82619257360988763</v>
      </c>
      <c r="AW170" s="1">
        <f t="shared" si="29"/>
        <v>0.49571554416593261</v>
      </c>
    </row>
    <row r="171" spans="1:49" x14ac:dyDescent="0.2">
      <c r="A171">
        <v>169</v>
      </c>
      <c r="B171" t="s">
        <v>6479</v>
      </c>
      <c r="C171" t="s">
        <v>6478</v>
      </c>
      <c r="F171" t="s">
        <v>6477</v>
      </c>
      <c r="G171" t="s">
        <v>14</v>
      </c>
      <c r="H171" t="s">
        <v>13</v>
      </c>
      <c r="I171" t="s">
        <v>6476</v>
      </c>
      <c r="J171">
        <v>60025111</v>
      </c>
      <c r="K171" t="s">
        <v>6475</v>
      </c>
      <c r="L171" t="s">
        <v>6474</v>
      </c>
      <c r="M171" t="s">
        <v>9</v>
      </c>
      <c r="N171">
        <v>2</v>
      </c>
      <c r="O171" t="s">
        <v>6473</v>
      </c>
      <c r="P171" t="s">
        <v>6472</v>
      </c>
      <c r="Q171" t="s">
        <v>6471</v>
      </c>
      <c r="R171" s="7">
        <v>31778</v>
      </c>
      <c r="S171" s="8">
        <f t="shared" si="24"/>
        <v>1987</v>
      </c>
      <c r="T171" s="8">
        <v>1987</v>
      </c>
      <c r="U171" s="8">
        <f t="shared" si="25"/>
        <v>35</v>
      </c>
      <c r="V171" s="7">
        <v>1987</v>
      </c>
      <c r="W171" t="s">
        <v>6470</v>
      </c>
      <c r="X171" s="2">
        <v>2.609</v>
      </c>
      <c r="Y171" s="6">
        <f t="shared" si="22"/>
        <v>6.9645764928859349E-2</v>
      </c>
      <c r="AA171">
        <v>917613</v>
      </c>
      <c r="AB171">
        <v>26959</v>
      </c>
      <c r="AC171">
        <v>19432682</v>
      </c>
      <c r="AD171" t="s">
        <v>4</v>
      </c>
      <c r="AE171">
        <v>15</v>
      </c>
      <c r="AF171">
        <v>9</v>
      </c>
      <c r="AH171" t="s">
        <v>6469</v>
      </c>
      <c r="AI171" t="s">
        <v>6468</v>
      </c>
      <c r="AK171" t="s">
        <v>6467</v>
      </c>
      <c r="AL171">
        <v>0</v>
      </c>
      <c r="AM171" s="5">
        <f t="shared" si="26"/>
        <v>0</v>
      </c>
      <c r="AN171" s="4">
        <f t="shared" si="23"/>
        <v>0</v>
      </c>
      <c r="AO171" s="3"/>
      <c r="AP171">
        <v>0</v>
      </c>
      <c r="AR171" t="s">
        <v>0</v>
      </c>
      <c r="AT171" s="2">
        <v>5.399</v>
      </c>
      <c r="AU171" s="1">
        <f t="shared" si="27"/>
        <v>4.8752035450201543</v>
      </c>
      <c r="AV171" s="1">
        <f t="shared" si="28"/>
        <v>3.4822882464429674</v>
      </c>
      <c r="AW171" s="1">
        <f t="shared" si="29"/>
        <v>2.0893729478657805</v>
      </c>
    </row>
    <row r="172" spans="1:49" x14ac:dyDescent="0.2">
      <c r="A172">
        <v>170</v>
      </c>
      <c r="B172" t="s">
        <v>6466</v>
      </c>
      <c r="C172" t="s">
        <v>6465</v>
      </c>
      <c r="F172" t="s">
        <v>6464</v>
      </c>
      <c r="G172" t="s">
        <v>14</v>
      </c>
      <c r="H172" t="s">
        <v>13</v>
      </c>
      <c r="I172" t="s">
        <v>6463</v>
      </c>
      <c r="J172" t="s">
        <v>6458</v>
      </c>
      <c r="K172" t="s">
        <v>6462</v>
      </c>
      <c r="L172" t="s">
        <v>6461</v>
      </c>
      <c r="M172" t="s">
        <v>55</v>
      </c>
      <c r="N172">
        <v>2</v>
      </c>
      <c r="O172" t="s">
        <v>6460</v>
      </c>
      <c r="P172" t="s">
        <v>6459</v>
      </c>
      <c r="Q172" t="s">
        <v>6458</v>
      </c>
      <c r="R172" s="7">
        <v>31778</v>
      </c>
      <c r="S172" s="8">
        <f t="shared" si="24"/>
        <v>1987</v>
      </c>
      <c r="T172" s="8">
        <v>1987</v>
      </c>
      <c r="U172" s="8">
        <f t="shared" si="25"/>
        <v>35</v>
      </c>
      <c r="V172" s="7" t="s">
        <v>6457</v>
      </c>
      <c r="W172" t="s">
        <v>2596</v>
      </c>
      <c r="X172" s="2">
        <v>0.99</v>
      </c>
      <c r="Y172" s="6">
        <f t="shared" si="22"/>
        <v>2.6427484583967327E-2</v>
      </c>
      <c r="AA172">
        <v>221503</v>
      </c>
      <c r="AB172">
        <v>18926</v>
      </c>
      <c r="AD172" t="s">
        <v>4</v>
      </c>
      <c r="AE172">
        <v>78</v>
      </c>
      <c r="AF172">
        <v>1</v>
      </c>
      <c r="AH172" s="9">
        <v>44379</v>
      </c>
      <c r="AI172" t="s">
        <v>6456</v>
      </c>
      <c r="AK172" t="s">
        <v>6455</v>
      </c>
      <c r="AL172">
        <v>4</v>
      </c>
      <c r="AM172" s="5">
        <f t="shared" si="26"/>
        <v>0.11428571428571428</v>
      </c>
      <c r="AN172" s="4">
        <f t="shared" si="23"/>
        <v>1.7309460702115E-4</v>
      </c>
      <c r="AO172" s="3"/>
      <c r="AP172">
        <v>0</v>
      </c>
      <c r="AR172" t="s">
        <v>6454</v>
      </c>
      <c r="AT172" s="2">
        <v>2.645</v>
      </c>
      <c r="AU172" s="1">
        <f t="shared" si="27"/>
        <v>1.8551167590883475</v>
      </c>
      <c r="AV172" s="1">
        <f t="shared" si="28"/>
        <v>1.3300289595494239</v>
      </c>
      <c r="AW172" s="1">
        <f t="shared" si="29"/>
        <v>0.8049411600105002</v>
      </c>
    </row>
    <row r="173" spans="1:49" x14ac:dyDescent="0.2">
      <c r="A173">
        <v>171</v>
      </c>
      <c r="B173" t="s">
        <v>6453</v>
      </c>
      <c r="C173" t="s">
        <v>6452</v>
      </c>
      <c r="F173" t="s">
        <v>6451</v>
      </c>
      <c r="G173" t="s">
        <v>14</v>
      </c>
      <c r="H173" t="s">
        <v>13</v>
      </c>
      <c r="I173" t="s">
        <v>6450</v>
      </c>
      <c r="J173" t="s">
        <v>6449</v>
      </c>
      <c r="K173" t="s">
        <v>6448</v>
      </c>
      <c r="L173" t="s">
        <v>6447</v>
      </c>
      <c r="M173" t="s">
        <v>392</v>
      </c>
      <c r="N173">
        <v>11</v>
      </c>
      <c r="O173" t="s">
        <v>6446</v>
      </c>
      <c r="P173" t="s">
        <v>6445</v>
      </c>
      <c r="Q173" t="s">
        <v>6444</v>
      </c>
      <c r="R173" s="7">
        <v>31778</v>
      </c>
      <c r="S173" s="8">
        <f t="shared" si="24"/>
        <v>1987</v>
      </c>
      <c r="T173" s="8">
        <v>1987</v>
      </c>
      <c r="U173" s="8">
        <f t="shared" si="25"/>
        <v>35</v>
      </c>
      <c r="V173" s="7">
        <v>1987</v>
      </c>
      <c r="W173" t="s">
        <v>6443</v>
      </c>
      <c r="X173" s="2">
        <v>0.76</v>
      </c>
      <c r="Y173" s="6">
        <f t="shared" si="22"/>
        <v>2.0287765943247646E-2</v>
      </c>
      <c r="AA173">
        <v>319015</v>
      </c>
      <c r="AB173">
        <v>29173</v>
      </c>
      <c r="AC173">
        <v>13474073</v>
      </c>
      <c r="AD173" t="s">
        <v>4</v>
      </c>
      <c r="AE173">
        <v>56</v>
      </c>
      <c r="AF173">
        <v>2</v>
      </c>
      <c r="AH173" t="s">
        <v>6442</v>
      </c>
      <c r="AI173" t="s">
        <v>6441</v>
      </c>
      <c r="AK173" t="s">
        <v>6440</v>
      </c>
      <c r="AL173">
        <v>4</v>
      </c>
      <c r="AM173" s="5">
        <f t="shared" si="26"/>
        <v>0.11428571428571428</v>
      </c>
      <c r="AN173" s="4">
        <f t="shared" si="23"/>
        <v>1.7309460702115E-4</v>
      </c>
      <c r="AO173" s="3"/>
      <c r="AP173">
        <v>0</v>
      </c>
      <c r="AR173" t="s">
        <v>0</v>
      </c>
      <c r="AT173" s="2" t="s">
        <v>32</v>
      </c>
      <c r="AU173" s="1">
        <f t="shared" si="27"/>
        <v>1.4253364542379696</v>
      </c>
      <c r="AV173" s="1">
        <f t="shared" si="28"/>
        <v>1.0230430275134399</v>
      </c>
      <c r="AW173" s="1">
        <f t="shared" si="29"/>
        <v>0.62074960078890995</v>
      </c>
    </row>
    <row r="174" spans="1:49" x14ac:dyDescent="0.2">
      <c r="A174">
        <v>172</v>
      </c>
      <c r="B174" t="s">
        <v>6439</v>
      </c>
      <c r="C174" t="s">
        <v>6438</v>
      </c>
      <c r="F174" t="s">
        <v>6437</v>
      </c>
      <c r="G174" t="s">
        <v>14</v>
      </c>
      <c r="H174" t="s">
        <v>13</v>
      </c>
      <c r="I174" t="s">
        <v>6436</v>
      </c>
      <c r="J174" t="s">
        <v>6435</v>
      </c>
      <c r="K174" t="s">
        <v>6434</v>
      </c>
      <c r="L174" t="s">
        <v>6433</v>
      </c>
      <c r="M174" t="s">
        <v>6432</v>
      </c>
      <c r="N174">
        <v>2</v>
      </c>
      <c r="O174" t="s">
        <v>6431</v>
      </c>
      <c r="P174" t="s">
        <v>6430</v>
      </c>
      <c r="Q174" t="s">
        <v>6429</v>
      </c>
      <c r="R174" s="7">
        <v>31778</v>
      </c>
      <c r="S174" s="8">
        <f t="shared" si="24"/>
        <v>1987</v>
      </c>
      <c r="T174" s="8">
        <v>1987</v>
      </c>
      <c r="U174" s="8">
        <f t="shared" si="25"/>
        <v>35</v>
      </c>
      <c r="V174" s="7">
        <v>31990</v>
      </c>
      <c r="W174" t="s">
        <v>1530</v>
      </c>
      <c r="X174" s="2">
        <v>0.65500000000000003</v>
      </c>
      <c r="Y174" s="6">
        <f t="shared" si="22"/>
        <v>1.7484850911614749E-2</v>
      </c>
      <c r="AA174">
        <v>189375</v>
      </c>
      <c r="AB174">
        <v>26051</v>
      </c>
      <c r="AC174" t="s">
        <v>1529</v>
      </c>
      <c r="AD174" t="s">
        <v>4</v>
      </c>
      <c r="AE174" t="s">
        <v>1528</v>
      </c>
      <c r="AF174">
        <v>3</v>
      </c>
      <c r="AH174" t="s">
        <v>6428</v>
      </c>
      <c r="AI174" t="s">
        <v>6427</v>
      </c>
      <c r="AK174" t="s">
        <v>6426</v>
      </c>
      <c r="AL174">
        <v>28</v>
      </c>
      <c r="AM174" s="5">
        <f t="shared" si="26"/>
        <v>0.8</v>
      </c>
      <c r="AN174" s="4">
        <f t="shared" si="23"/>
        <v>1.2116622491480501E-3</v>
      </c>
      <c r="AO174" s="3"/>
      <c r="AP174">
        <v>0</v>
      </c>
      <c r="AR174" t="s">
        <v>0</v>
      </c>
      <c r="AT174" s="2" t="s">
        <v>32</v>
      </c>
      <c r="AU174" s="1">
        <f t="shared" si="27"/>
        <v>1.2602894312874737</v>
      </c>
      <c r="AV174" s="1">
        <f t="shared" si="28"/>
        <v>0.93482565803813999</v>
      </c>
      <c r="AW174" s="1">
        <f t="shared" si="29"/>
        <v>0.60936188478880593</v>
      </c>
    </row>
    <row r="175" spans="1:49" x14ac:dyDescent="0.2">
      <c r="A175">
        <v>173</v>
      </c>
      <c r="B175" t="s">
        <v>6425</v>
      </c>
      <c r="C175" t="s">
        <v>6424</v>
      </c>
      <c r="F175" t="s">
        <v>6423</v>
      </c>
      <c r="G175" t="s">
        <v>14</v>
      </c>
      <c r="H175" t="s">
        <v>13</v>
      </c>
      <c r="I175" t="s">
        <v>6422</v>
      </c>
      <c r="J175">
        <v>60005565</v>
      </c>
      <c r="K175" t="s">
        <v>6421</v>
      </c>
      <c r="L175" t="s">
        <v>6420</v>
      </c>
      <c r="M175" t="s">
        <v>9</v>
      </c>
      <c r="N175">
        <v>1</v>
      </c>
      <c r="O175" t="s">
        <v>6419</v>
      </c>
      <c r="P175">
        <v>7201445348</v>
      </c>
      <c r="Q175">
        <v>60005565</v>
      </c>
      <c r="R175" s="7">
        <v>31778</v>
      </c>
      <c r="S175" s="8">
        <f t="shared" si="24"/>
        <v>1987</v>
      </c>
      <c r="T175" s="8">
        <v>1987</v>
      </c>
      <c r="U175" s="8">
        <f t="shared" si="25"/>
        <v>35</v>
      </c>
      <c r="V175" s="7">
        <v>31868</v>
      </c>
      <c r="W175" t="s">
        <v>6418</v>
      </c>
      <c r="X175" s="2">
        <v>0.54100000000000004</v>
      </c>
      <c r="Y175" s="6">
        <f t="shared" si="22"/>
        <v>1.4441686020127601E-2</v>
      </c>
      <c r="AA175">
        <v>29505</v>
      </c>
      <c r="AB175">
        <v>26997</v>
      </c>
      <c r="AC175">
        <v>19432909</v>
      </c>
      <c r="AD175" t="s">
        <v>4</v>
      </c>
      <c r="AE175">
        <v>55</v>
      </c>
      <c r="AF175">
        <v>4</v>
      </c>
      <c r="AH175" t="s">
        <v>6417</v>
      </c>
      <c r="AI175" t="s">
        <v>6416</v>
      </c>
      <c r="AJ175" t="s">
        <v>6415</v>
      </c>
      <c r="AK175" t="s">
        <v>6414</v>
      </c>
      <c r="AL175">
        <v>3</v>
      </c>
      <c r="AM175" s="5">
        <f t="shared" si="26"/>
        <v>8.5714285714285715E-2</v>
      </c>
      <c r="AN175" s="4">
        <f t="shared" si="23"/>
        <v>1.2982095526586251E-4</v>
      </c>
      <c r="AO175" s="3"/>
      <c r="AP175">
        <v>0</v>
      </c>
      <c r="AR175" t="s">
        <v>0</v>
      </c>
      <c r="AT175" s="2">
        <v>1.022</v>
      </c>
      <c r="AU175" s="1">
        <f t="shared" si="27"/>
        <v>1.0148126500669077</v>
      </c>
      <c r="AV175" s="1">
        <f t="shared" si="28"/>
        <v>0.72857534876967323</v>
      </c>
      <c r="AW175" s="1">
        <f t="shared" si="29"/>
        <v>0.44233804747243832</v>
      </c>
    </row>
    <row r="176" spans="1:49" x14ac:dyDescent="0.2">
      <c r="A176">
        <v>174</v>
      </c>
      <c r="B176" t="s">
        <v>6413</v>
      </c>
      <c r="C176" t="s">
        <v>6412</v>
      </c>
      <c r="F176" t="s">
        <v>6411</v>
      </c>
      <c r="G176" t="s">
        <v>14</v>
      </c>
      <c r="H176" t="s">
        <v>13</v>
      </c>
      <c r="I176" t="s">
        <v>6410</v>
      </c>
      <c r="J176">
        <v>60011447</v>
      </c>
      <c r="K176" t="s">
        <v>6409</v>
      </c>
      <c r="L176" t="s">
        <v>6408</v>
      </c>
      <c r="M176" t="s">
        <v>299</v>
      </c>
      <c r="N176">
        <v>1</v>
      </c>
      <c r="O176" t="s">
        <v>6407</v>
      </c>
      <c r="P176">
        <v>7003393702</v>
      </c>
      <c r="Q176">
        <v>60011447</v>
      </c>
      <c r="R176" s="7">
        <v>31778</v>
      </c>
      <c r="S176" s="8">
        <f t="shared" si="24"/>
        <v>1987</v>
      </c>
      <c r="T176" s="8">
        <v>1987</v>
      </c>
      <c r="U176" s="8">
        <f t="shared" si="25"/>
        <v>35</v>
      </c>
      <c r="V176" s="7">
        <v>32021</v>
      </c>
      <c r="W176" t="s">
        <v>6406</v>
      </c>
      <c r="X176" s="2">
        <v>0.58299999999999996</v>
      </c>
      <c r="Y176" s="6">
        <f t="shared" si="22"/>
        <v>1.5562852032780758E-2</v>
      </c>
      <c r="AA176">
        <v>7342101</v>
      </c>
      <c r="AB176">
        <v>28596</v>
      </c>
      <c r="AC176">
        <v>15208559</v>
      </c>
      <c r="AD176" t="s">
        <v>4</v>
      </c>
      <c r="AE176">
        <v>5</v>
      </c>
      <c r="AF176">
        <v>5</v>
      </c>
      <c r="AH176" t="s">
        <v>6405</v>
      </c>
      <c r="AI176" t="s">
        <v>6404</v>
      </c>
      <c r="AK176" t="s">
        <v>6403</v>
      </c>
      <c r="AL176">
        <v>3</v>
      </c>
      <c r="AM176" s="5">
        <f t="shared" si="26"/>
        <v>8.5714285714285715E-2</v>
      </c>
      <c r="AN176" s="4">
        <f t="shared" si="23"/>
        <v>1.2982095526586251E-4</v>
      </c>
      <c r="AO176" s="3"/>
      <c r="AP176">
        <v>0</v>
      </c>
      <c r="AR176" t="s">
        <v>0</v>
      </c>
      <c r="AT176" s="2" t="s">
        <v>32</v>
      </c>
      <c r="AU176" s="1">
        <f t="shared" si="27"/>
        <v>1.0932942709526288</v>
      </c>
      <c r="AV176" s="1">
        <f t="shared" si="28"/>
        <v>0.78463364940233105</v>
      </c>
      <c r="AW176" s="1">
        <f t="shared" si="29"/>
        <v>0.47597302785203305</v>
      </c>
    </row>
    <row r="177" spans="1:49" x14ac:dyDescent="0.2">
      <c r="A177">
        <v>175</v>
      </c>
      <c r="B177" t="s">
        <v>6402</v>
      </c>
      <c r="C177" t="s">
        <v>6401</v>
      </c>
      <c r="F177" t="s">
        <v>6400</v>
      </c>
      <c r="G177" t="s">
        <v>14</v>
      </c>
      <c r="H177" t="s">
        <v>13</v>
      </c>
      <c r="I177" t="s">
        <v>6399</v>
      </c>
      <c r="J177">
        <v>60102437</v>
      </c>
      <c r="K177" t="s">
        <v>6398</v>
      </c>
      <c r="L177" t="s">
        <v>5953</v>
      </c>
      <c r="M177" t="s">
        <v>1384</v>
      </c>
      <c r="N177">
        <v>1</v>
      </c>
      <c r="O177" t="s">
        <v>6397</v>
      </c>
      <c r="P177">
        <v>26651007300</v>
      </c>
      <c r="Q177">
        <v>60102437</v>
      </c>
      <c r="R177" s="7">
        <v>31778</v>
      </c>
      <c r="S177" s="8">
        <f t="shared" si="24"/>
        <v>1987</v>
      </c>
      <c r="T177" s="8">
        <v>1987</v>
      </c>
      <c r="U177" s="8">
        <f t="shared" si="25"/>
        <v>35</v>
      </c>
      <c r="V177" s="7">
        <v>31778</v>
      </c>
      <c r="W177" t="s">
        <v>6358</v>
      </c>
      <c r="X177" s="2">
        <v>0.11700000000000001</v>
      </c>
      <c r="Y177" s="6">
        <f t="shared" si="22"/>
        <v>3.1232481781052297E-3</v>
      </c>
      <c r="AA177">
        <v>2179822</v>
      </c>
      <c r="AB177">
        <v>5300152612</v>
      </c>
      <c r="AC177">
        <v>19930615</v>
      </c>
      <c r="AD177" t="s">
        <v>4</v>
      </c>
      <c r="AE177">
        <v>4</v>
      </c>
      <c r="AF177">
        <v>1</v>
      </c>
      <c r="AH177" s="10">
        <v>43770</v>
      </c>
      <c r="AI177" t="s">
        <v>6396</v>
      </c>
      <c r="AK177" t="s">
        <v>6395</v>
      </c>
      <c r="AL177">
        <v>2</v>
      </c>
      <c r="AM177" s="5">
        <f t="shared" si="26"/>
        <v>5.7142857142857141E-2</v>
      </c>
      <c r="AN177" s="4">
        <f t="shared" si="23"/>
        <v>8.6547303510575E-5</v>
      </c>
      <c r="AO177" s="3"/>
      <c r="AP177">
        <v>0</v>
      </c>
      <c r="AR177" t="s">
        <v>0</v>
      </c>
      <c r="AT177" s="2" t="s">
        <v>32</v>
      </c>
      <c r="AU177" s="1">
        <f t="shared" si="27"/>
        <v>0.22122379157268335</v>
      </c>
      <c r="AV177" s="1">
        <f t="shared" si="28"/>
        <v>0.16048977408079024</v>
      </c>
      <c r="AW177" s="1">
        <f t="shared" si="29"/>
        <v>9.975575658889714E-2</v>
      </c>
    </row>
    <row r="178" spans="1:49" x14ac:dyDescent="0.2">
      <c r="A178">
        <v>176</v>
      </c>
      <c r="B178" t="s">
        <v>6394</v>
      </c>
      <c r="C178" t="s">
        <v>6393</v>
      </c>
      <c r="F178" t="s">
        <v>6392</v>
      </c>
      <c r="G178" t="s">
        <v>14</v>
      </c>
      <c r="H178" t="s">
        <v>13</v>
      </c>
      <c r="I178" t="s">
        <v>6391</v>
      </c>
      <c r="J178">
        <v>60028186</v>
      </c>
      <c r="K178" t="s">
        <v>6390</v>
      </c>
      <c r="L178" t="s">
        <v>6389</v>
      </c>
      <c r="M178" t="s">
        <v>729</v>
      </c>
      <c r="N178">
        <v>3</v>
      </c>
      <c r="O178" t="s">
        <v>6388</v>
      </c>
      <c r="P178" t="s">
        <v>6387</v>
      </c>
      <c r="Q178" t="s">
        <v>6386</v>
      </c>
      <c r="R178" s="7">
        <v>31778</v>
      </c>
      <c r="S178" s="8">
        <f t="shared" si="24"/>
        <v>1987</v>
      </c>
      <c r="T178" s="8">
        <v>1987</v>
      </c>
      <c r="U178" s="8">
        <f t="shared" si="25"/>
        <v>35</v>
      </c>
      <c r="V178" s="7">
        <v>1987</v>
      </c>
      <c r="W178" t="s">
        <v>6113</v>
      </c>
      <c r="X178" s="2">
        <v>3.6880000000000002</v>
      </c>
      <c r="Y178" s="6">
        <f t="shared" si="22"/>
        <v>9.8449053682496471E-2</v>
      </c>
      <c r="AA178">
        <v>319007</v>
      </c>
      <c r="AB178">
        <v>29150</v>
      </c>
      <c r="AD178" t="s">
        <v>4</v>
      </c>
      <c r="AE178">
        <v>58</v>
      </c>
      <c r="AF178">
        <v>14</v>
      </c>
      <c r="AH178" t="s">
        <v>6385</v>
      </c>
      <c r="AI178" t="s">
        <v>6384</v>
      </c>
      <c r="AK178" t="s">
        <v>6383</v>
      </c>
      <c r="AL178">
        <v>29</v>
      </c>
      <c r="AM178" s="5">
        <f t="shared" si="26"/>
        <v>0.82857142857142863</v>
      </c>
      <c r="AN178" s="4">
        <f t="shared" si="23"/>
        <v>1.2549359009033376E-3</v>
      </c>
      <c r="AO178" s="3"/>
      <c r="AP178">
        <v>0</v>
      </c>
      <c r="AR178" t="s">
        <v>0</v>
      </c>
      <c r="AT178" s="2">
        <v>9.1609999999999996</v>
      </c>
      <c r="AU178" s="1">
        <f t="shared" si="27"/>
        <v>6.9290818348018517</v>
      </c>
      <c r="AV178" s="1">
        <f t="shared" si="28"/>
        <v>4.9851994791699905</v>
      </c>
      <c r="AW178" s="1">
        <f t="shared" si="29"/>
        <v>3.0413171235381276</v>
      </c>
    </row>
    <row r="179" spans="1:49" x14ac:dyDescent="0.2">
      <c r="A179">
        <v>177</v>
      </c>
      <c r="B179" t="s">
        <v>6382</v>
      </c>
      <c r="C179" t="s">
        <v>6381</v>
      </c>
      <c r="F179" t="s">
        <v>6380</v>
      </c>
      <c r="G179" t="s">
        <v>14</v>
      </c>
      <c r="H179" t="s">
        <v>13</v>
      </c>
      <c r="I179" t="s">
        <v>3399</v>
      </c>
      <c r="J179">
        <v>60005304</v>
      </c>
      <c r="K179" t="s">
        <v>664</v>
      </c>
      <c r="L179" t="s">
        <v>663</v>
      </c>
      <c r="M179" t="s">
        <v>9</v>
      </c>
      <c r="N179">
        <v>2</v>
      </c>
      <c r="O179" t="s">
        <v>6379</v>
      </c>
      <c r="P179" t="s">
        <v>6378</v>
      </c>
      <c r="Q179" t="s">
        <v>739</v>
      </c>
      <c r="R179" s="7">
        <v>31778</v>
      </c>
      <c r="S179" s="8">
        <f t="shared" si="24"/>
        <v>1987</v>
      </c>
      <c r="T179" s="8">
        <v>1987</v>
      </c>
      <c r="U179" s="8">
        <f t="shared" si="25"/>
        <v>35</v>
      </c>
      <c r="V179" s="7">
        <v>32021</v>
      </c>
      <c r="W179" t="s">
        <v>2219</v>
      </c>
      <c r="X179" s="2">
        <v>0.78200000000000003</v>
      </c>
      <c r="Y179" s="6">
        <f t="shared" si="22"/>
        <v>2.0875043378446919E-2</v>
      </c>
      <c r="AA179">
        <v>189316</v>
      </c>
      <c r="AB179">
        <v>19901</v>
      </c>
      <c r="AC179">
        <v>15579611</v>
      </c>
      <c r="AD179" t="s">
        <v>4</v>
      </c>
      <c r="AE179" t="s">
        <v>2218</v>
      </c>
      <c r="AF179">
        <v>3</v>
      </c>
      <c r="AH179" t="s">
        <v>6377</v>
      </c>
      <c r="AI179" t="s">
        <v>6376</v>
      </c>
      <c r="AK179" t="s">
        <v>6375</v>
      </c>
      <c r="AL179">
        <v>2</v>
      </c>
      <c r="AM179" s="5">
        <f t="shared" si="26"/>
        <v>5.7142857142857141E-2</v>
      </c>
      <c r="AN179" s="4">
        <f t="shared" si="23"/>
        <v>8.6547303510575E-5</v>
      </c>
      <c r="AO179" s="3"/>
      <c r="AP179">
        <v>0</v>
      </c>
      <c r="AR179" t="s">
        <v>0</v>
      </c>
      <c r="AT179" s="2">
        <v>3.863</v>
      </c>
      <c r="AU179" s="1">
        <f t="shared" si="27"/>
        <v>1.4638494555966015</v>
      </c>
      <c r="AV179" s="1">
        <f t="shared" si="28"/>
        <v>1.0480795340978746</v>
      </c>
      <c r="AW179" s="1">
        <f t="shared" si="29"/>
        <v>0.63230961259914775</v>
      </c>
    </row>
    <row r="180" spans="1:49" x14ac:dyDescent="0.2">
      <c r="A180">
        <v>178</v>
      </c>
      <c r="B180" t="s">
        <v>6374</v>
      </c>
      <c r="C180" t="s">
        <v>6373</v>
      </c>
      <c r="F180" t="s">
        <v>6372</v>
      </c>
      <c r="G180" t="s">
        <v>14</v>
      </c>
      <c r="H180" t="s">
        <v>13</v>
      </c>
      <c r="I180" t="s">
        <v>6371</v>
      </c>
      <c r="J180">
        <v>106239671</v>
      </c>
      <c r="K180" t="s">
        <v>6370</v>
      </c>
      <c r="M180" t="s">
        <v>1384</v>
      </c>
      <c r="N180">
        <v>3</v>
      </c>
      <c r="O180" t="s">
        <v>6369</v>
      </c>
      <c r="P180" t="s">
        <v>6368</v>
      </c>
      <c r="Q180" t="s">
        <v>6367</v>
      </c>
      <c r="R180" s="7">
        <v>31778</v>
      </c>
      <c r="S180" s="8">
        <f t="shared" si="24"/>
        <v>1987</v>
      </c>
      <c r="T180" s="8">
        <v>1987</v>
      </c>
      <c r="U180" s="8">
        <f t="shared" si="25"/>
        <v>35</v>
      </c>
      <c r="V180" s="7">
        <v>31778</v>
      </c>
      <c r="W180" t="s">
        <v>6358</v>
      </c>
      <c r="X180" s="2">
        <v>0.11700000000000001</v>
      </c>
      <c r="Y180" s="6">
        <f t="shared" si="22"/>
        <v>3.1232481781052297E-3</v>
      </c>
      <c r="AA180">
        <v>2179822</v>
      </c>
      <c r="AB180">
        <v>5300152612</v>
      </c>
      <c r="AC180">
        <v>19930615</v>
      </c>
      <c r="AD180" t="s">
        <v>4</v>
      </c>
      <c r="AE180">
        <v>4</v>
      </c>
      <c r="AF180">
        <v>1</v>
      </c>
      <c r="AH180" t="s">
        <v>6366</v>
      </c>
      <c r="AI180" t="s">
        <v>6365</v>
      </c>
      <c r="AK180" t="s">
        <v>6364</v>
      </c>
      <c r="AL180">
        <v>0</v>
      </c>
      <c r="AM180" s="5">
        <f t="shared" si="26"/>
        <v>0</v>
      </c>
      <c r="AN180" s="4">
        <f t="shared" si="23"/>
        <v>0</v>
      </c>
      <c r="AO180" s="3"/>
      <c r="AP180">
        <v>0</v>
      </c>
      <c r="AR180" t="s">
        <v>0</v>
      </c>
      <c r="AT180" s="2" t="s">
        <v>32</v>
      </c>
      <c r="AU180" s="1">
        <f t="shared" si="27"/>
        <v>0.21862737246736608</v>
      </c>
      <c r="AV180" s="1">
        <f t="shared" si="28"/>
        <v>0.15616240890526148</v>
      </c>
      <c r="AW180" s="1">
        <f t="shared" si="29"/>
        <v>9.3697445343156896E-2</v>
      </c>
    </row>
    <row r="181" spans="1:49" x14ac:dyDescent="0.2">
      <c r="A181">
        <v>179</v>
      </c>
      <c r="B181" t="s">
        <v>6363</v>
      </c>
      <c r="C181" t="s">
        <v>6362</v>
      </c>
      <c r="F181" t="s">
        <v>6361</v>
      </c>
      <c r="G181" t="s">
        <v>14</v>
      </c>
      <c r="H181" t="s">
        <v>13</v>
      </c>
      <c r="I181" t="s">
        <v>6360</v>
      </c>
      <c r="N181">
        <v>1</v>
      </c>
      <c r="O181" t="s">
        <v>6359</v>
      </c>
      <c r="P181">
        <v>24789254900</v>
      </c>
      <c r="R181" s="7">
        <v>31778</v>
      </c>
      <c r="S181" s="8">
        <f t="shared" si="24"/>
        <v>1987</v>
      </c>
      <c r="T181" s="8">
        <v>1987</v>
      </c>
      <c r="U181" s="8">
        <f t="shared" si="25"/>
        <v>35</v>
      </c>
      <c r="V181" s="7">
        <v>31778</v>
      </c>
      <c r="W181" t="s">
        <v>6358</v>
      </c>
      <c r="X181" s="2">
        <v>0.11700000000000001</v>
      </c>
      <c r="Y181" s="6">
        <f t="shared" si="22"/>
        <v>3.1232481781052297E-3</v>
      </c>
      <c r="AA181">
        <v>2179822</v>
      </c>
      <c r="AB181">
        <v>5300152612</v>
      </c>
      <c r="AC181">
        <v>19930615</v>
      </c>
      <c r="AD181" t="s">
        <v>4</v>
      </c>
      <c r="AE181">
        <v>4</v>
      </c>
      <c r="AF181">
        <v>1</v>
      </c>
      <c r="AH181" t="s">
        <v>6357</v>
      </c>
      <c r="AI181" t="s">
        <v>6356</v>
      </c>
      <c r="AK181" t="s">
        <v>6355</v>
      </c>
      <c r="AL181">
        <v>0</v>
      </c>
      <c r="AM181" s="5">
        <f t="shared" si="26"/>
        <v>0</v>
      </c>
      <c r="AN181" s="4">
        <f t="shared" si="23"/>
        <v>0</v>
      </c>
      <c r="AO181" s="3"/>
      <c r="AP181">
        <v>0</v>
      </c>
      <c r="AR181" t="s">
        <v>0</v>
      </c>
      <c r="AT181" s="2" t="s">
        <v>32</v>
      </c>
      <c r="AU181" s="1">
        <f t="shared" si="27"/>
        <v>0.21862737246736608</v>
      </c>
      <c r="AV181" s="1">
        <f t="shared" si="28"/>
        <v>0.15616240890526148</v>
      </c>
      <c r="AW181" s="1">
        <f t="shared" si="29"/>
        <v>9.3697445343156896E-2</v>
      </c>
    </row>
    <row r="182" spans="1:49" x14ac:dyDescent="0.2">
      <c r="A182">
        <v>180</v>
      </c>
      <c r="B182" t="s">
        <v>6354</v>
      </c>
      <c r="C182" t="s">
        <v>6353</v>
      </c>
      <c r="F182" t="s">
        <v>6352</v>
      </c>
      <c r="G182" t="s">
        <v>14</v>
      </c>
      <c r="H182" t="s">
        <v>13</v>
      </c>
      <c r="I182" t="s">
        <v>6351</v>
      </c>
      <c r="J182">
        <v>60032350</v>
      </c>
      <c r="K182" t="s">
        <v>6350</v>
      </c>
      <c r="L182" t="s">
        <v>6349</v>
      </c>
      <c r="M182" t="s">
        <v>3694</v>
      </c>
      <c r="N182">
        <v>3</v>
      </c>
      <c r="O182" t="s">
        <v>6348</v>
      </c>
      <c r="P182" t="s">
        <v>6347</v>
      </c>
      <c r="Q182" t="s">
        <v>6346</v>
      </c>
      <c r="R182" s="7">
        <v>31778</v>
      </c>
      <c r="S182" s="8">
        <f t="shared" si="24"/>
        <v>1987</v>
      </c>
      <c r="T182" s="8">
        <v>1987</v>
      </c>
      <c r="U182" s="8">
        <f t="shared" si="25"/>
        <v>35</v>
      </c>
      <c r="V182" s="7">
        <v>31778</v>
      </c>
      <c r="W182" t="s">
        <v>6345</v>
      </c>
      <c r="X182" s="2" t="s">
        <v>32</v>
      </c>
      <c r="Y182" s="6" t="e">
        <f t="shared" si="22"/>
        <v>#VALUE!</v>
      </c>
      <c r="AA182">
        <v>3905551</v>
      </c>
      <c r="AB182">
        <v>15400155600</v>
      </c>
      <c r="AD182" t="s">
        <v>4</v>
      </c>
      <c r="AE182">
        <v>10</v>
      </c>
      <c r="AF182">
        <v>1</v>
      </c>
      <c r="AH182" s="10">
        <v>46023</v>
      </c>
      <c r="AI182" t="s">
        <v>6344</v>
      </c>
      <c r="AJ182" t="s">
        <v>6343</v>
      </c>
      <c r="AK182" t="s">
        <v>6342</v>
      </c>
      <c r="AL182">
        <v>1</v>
      </c>
      <c r="AM182" s="5">
        <f t="shared" si="26"/>
        <v>2.8571428571428571E-2</v>
      </c>
      <c r="AN182" s="4">
        <f t="shared" si="23"/>
        <v>4.32736517552875E-5</v>
      </c>
      <c r="AO182" s="3"/>
      <c r="AP182">
        <v>0</v>
      </c>
      <c r="AR182" t="s">
        <v>0</v>
      </c>
      <c r="AT182" s="2" t="s">
        <v>32</v>
      </c>
      <c r="AU182" s="1" t="e">
        <f t="shared" si="27"/>
        <v>#VALUE!</v>
      </c>
      <c r="AV182" s="1" t="e">
        <f t="shared" si="28"/>
        <v>#VALUE!</v>
      </c>
      <c r="AW182" s="1" t="e">
        <f t="shared" si="29"/>
        <v>#VALUE!</v>
      </c>
    </row>
    <row r="183" spans="1:49" x14ac:dyDescent="0.2">
      <c r="A183">
        <v>181</v>
      </c>
      <c r="B183" t="s">
        <v>6341</v>
      </c>
      <c r="C183" t="s">
        <v>6340</v>
      </c>
      <c r="F183" t="s">
        <v>6339</v>
      </c>
      <c r="G183" t="s">
        <v>14</v>
      </c>
      <c r="H183" t="s">
        <v>13</v>
      </c>
      <c r="I183" t="s">
        <v>2183</v>
      </c>
      <c r="J183">
        <v>60009037</v>
      </c>
      <c r="K183" t="s">
        <v>600</v>
      </c>
      <c r="L183" t="s">
        <v>599</v>
      </c>
      <c r="M183" t="s">
        <v>9</v>
      </c>
      <c r="N183">
        <v>1</v>
      </c>
      <c r="O183" t="s">
        <v>6338</v>
      </c>
      <c r="P183">
        <v>7102110120</v>
      </c>
      <c r="Q183">
        <v>60009037</v>
      </c>
      <c r="R183" s="7">
        <v>31778</v>
      </c>
      <c r="S183" s="8">
        <f t="shared" si="24"/>
        <v>1987</v>
      </c>
      <c r="T183" s="8">
        <v>1987</v>
      </c>
      <c r="U183" s="8">
        <f t="shared" si="25"/>
        <v>35</v>
      </c>
      <c r="V183" s="7">
        <v>31929</v>
      </c>
      <c r="W183" s="11" t="s">
        <v>6337</v>
      </c>
      <c r="X183" s="2">
        <v>1.3280000000000001</v>
      </c>
      <c r="Y183" s="6">
        <f t="shared" si="22"/>
        <v>3.5450201542937994E-2</v>
      </c>
      <c r="AA183">
        <v>21680329</v>
      </c>
      <c r="AB183">
        <v>21100399421</v>
      </c>
      <c r="AD183" t="s">
        <v>4</v>
      </c>
      <c r="AE183">
        <v>29</v>
      </c>
      <c r="AF183">
        <v>3</v>
      </c>
      <c r="AH183" s="10">
        <v>42491</v>
      </c>
      <c r="AL183">
        <v>8</v>
      </c>
      <c r="AM183" s="5">
        <f t="shared" si="26"/>
        <v>0.22857142857142856</v>
      </c>
      <c r="AN183" s="4">
        <f t="shared" si="23"/>
        <v>3.461892140423E-4</v>
      </c>
      <c r="AO183" s="3"/>
      <c r="AP183">
        <v>0</v>
      </c>
      <c r="AR183" t="s">
        <v>0</v>
      </c>
      <c r="AT183" s="2" t="s">
        <v>32</v>
      </c>
      <c r="AU183" s="1">
        <f t="shared" si="27"/>
        <v>2.4918997844269284</v>
      </c>
      <c r="AV183" s="1">
        <f t="shared" si="28"/>
        <v>1.7898195378490147</v>
      </c>
      <c r="AW183" s="1">
        <f t="shared" si="29"/>
        <v>1.0877392912711008</v>
      </c>
    </row>
    <row r="184" spans="1:49" x14ac:dyDescent="0.2">
      <c r="A184">
        <v>182</v>
      </c>
      <c r="B184" t="s">
        <v>6336</v>
      </c>
      <c r="C184" t="s">
        <v>6335</v>
      </c>
      <c r="D184" t="s">
        <v>6334</v>
      </c>
      <c r="F184" t="s">
        <v>6333</v>
      </c>
      <c r="G184" t="s">
        <v>14</v>
      </c>
      <c r="H184" t="s">
        <v>13</v>
      </c>
      <c r="I184" t="s">
        <v>6332</v>
      </c>
      <c r="J184">
        <v>60106194</v>
      </c>
      <c r="K184" t="s">
        <v>6331</v>
      </c>
      <c r="L184" t="s">
        <v>6330</v>
      </c>
      <c r="M184" t="s">
        <v>299</v>
      </c>
      <c r="N184">
        <v>1</v>
      </c>
      <c r="O184" t="s">
        <v>6329</v>
      </c>
      <c r="P184">
        <v>6701836704</v>
      </c>
      <c r="Q184">
        <v>60106194</v>
      </c>
      <c r="R184" s="7">
        <v>31778</v>
      </c>
      <c r="S184" s="8">
        <f t="shared" si="24"/>
        <v>1987</v>
      </c>
      <c r="T184" s="8">
        <v>1987</v>
      </c>
      <c r="U184" s="8">
        <f t="shared" si="25"/>
        <v>35</v>
      </c>
      <c r="V184" s="7">
        <v>1987</v>
      </c>
      <c r="W184" t="s">
        <v>6273</v>
      </c>
      <c r="X184" s="2">
        <v>0.68200000000000005</v>
      </c>
      <c r="Y184" s="6">
        <f t="shared" si="22"/>
        <v>1.8205600491177493E-2</v>
      </c>
      <c r="AA184">
        <v>2731177</v>
      </c>
      <c r="AB184">
        <v>12375</v>
      </c>
      <c r="AD184" t="s">
        <v>4</v>
      </c>
      <c r="AE184">
        <v>7</v>
      </c>
      <c r="AF184">
        <v>12</v>
      </c>
      <c r="AH184" t="s">
        <v>6328</v>
      </c>
      <c r="AI184" t="s">
        <v>6327</v>
      </c>
      <c r="AK184" t="s">
        <v>6326</v>
      </c>
      <c r="AL184">
        <v>4</v>
      </c>
      <c r="AM184" s="5">
        <f t="shared" si="26"/>
        <v>0.11428571428571428</v>
      </c>
      <c r="AN184" s="4">
        <f t="shared" si="23"/>
        <v>1.7309460702115E-4</v>
      </c>
      <c r="AO184" s="3"/>
      <c r="AP184">
        <v>0</v>
      </c>
      <c r="AQ184" t="s">
        <v>3356</v>
      </c>
      <c r="AR184" t="s">
        <v>0</v>
      </c>
      <c r="AS184" t="s">
        <v>512</v>
      </c>
      <c r="AT184" s="2">
        <v>2.1520000000000001</v>
      </c>
      <c r="AU184" s="1">
        <f t="shared" si="27"/>
        <v>1.2795848725930588</v>
      </c>
      <c r="AV184" s="1">
        <f t="shared" si="28"/>
        <v>0.91893475490993226</v>
      </c>
      <c r="AW184" s="1">
        <f t="shared" si="29"/>
        <v>0.55828463722680532</v>
      </c>
    </row>
    <row r="185" spans="1:49" x14ac:dyDescent="0.2">
      <c r="A185">
        <v>183</v>
      </c>
      <c r="B185" t="s">
        <v>6325</v>
      </c>
      <c r="C185" t="s">
        <v>6324</v>
      </c>
      <c r="D185">
        <v>273117787901013</v>
      </c>
      <c r="F185" t="s">
        <v>6323</v>
      </c>
      <c r="G185" t="s">
        <v>14</v>
      </c>
      <c r="H185" t="s">
        <v>13</v>
      </c>
      <c r="I185" t="s">
        <v>6322</v>
      </c>
      <c r="J185" t="s">
        <v>6321</v>
      </c>
      <c r="K185" t="s">
        <v>6320</v>
      </c>
      <c r="L185" t="s">
        <v>6319</v>
      </c>
      <c r="M185" t="s">
        <v>6318</v>
      </c>
      <c r="N185">
        <v>4</v>
      </c>
      <c r="O185" t="s">
        <v>6317</v>
      </c>
      <c r="P185" t="s">
        <v>6316</v>
      </c>
      <c r="Q185" t="s">
        <v>6315</v>
      </c>
      <c r="R185" s="7">
        <v>31778</v>
      </c>
      <c r="S185" s="8">
        <f t="shared" si="24"/>
        <v>1987</v>
      </c>
      <c r="T185" s="8">
        <v>1987</v>
      </c>
      <c r="U185" s="8">
        <f t="shared" si="25"/>
        <v>35</v>
      </c>
      <c r="V185" s="7">
        <v>1987</v>
      </c>
      <c r="W185" t="s">
        <v>6273</v>
      </c>
      <c r="X185" s="2">
        <v>0.68200000000000005</v>
      </c>
      <c r="Y185" s="6">
        <f t="shared" si="22"/>
        <v>1.8205600491177493E-2</v>
      </c>
      <c r="AA185">
        <v>2731177</v>
      </c>
      <c r="AB185">
        <v>12375</v>
      </c>
      <c r="AD185" t="s">
        <v>4</v>
      </c>
      <c r="AE185">
        <v>7</v>
      </c>
      <c r="AF185">
        <v>10</v>
      </c>
      <c r="AH185" t="s">
        <v>6314</v>
      </c>
      <c r="AI185" t="s">
        <v>6313</v>
      </c>
      <c r="AK185" t="s">
        <v>6312</v>
      </c>
      <c r="AL185">
        <v>0</v>
      </c>
      <c r="AM185" s="5">
        <f t="shared" si="26"/>
        <v>0</v>
      </c>
      <c r="AN185" s="4">
        <f t="shared" si="23"/>
        <v>0</v>
      </c>
      <c r="AO185" s="3"/>
      <c r="AP185">
        <v>0</v>
      </c>
      <c r="AQ185" t="s">
        <v>746</v>
      </c>
      <c r="AR185" t="s">
        <v>6311</v>
      </c>
      <c r="AS185" t="s">
        <v>745</v>
      </c>
      <c r="AT185" s="2">
        <v>2.1520000000000001</v>
      </c>
      <c r="AU185" s="1">
        <f t="shared" si="27"/>
        <v>1.2743920343824244</v>
      </c>
      <c r="AV185" s="1">
        <f t="shared" si="28"/>
        <v>0.91028002455887469</v>
      </c>
      <c r="AW185" s="1">
        <f t="shared" si="29"/>
        <v>0.54616801473532472</v>
      </c>
    </row>
    <row r="186" spans="1:49" x14ac:dyDescent="0.2">
      <c r="A186">
        <v>184</v>
      </c>
      <c r="B186" t="s">
        <v>6310</v>
      </c>
      <c r="C186" t="s">
        <v>6309</v>
      </c>
      <c r="D186">
        <v>21916987900869</v>
      </c>
      <c r="F186" t="s">
        <v>6308</v>
      </c>
      <c r="G186" t="s">
        <v>14</v>
      </c>
      <c r="H186" t="s">
        <v>13</v>
      </c>
      <c r="I186" t="s">
        <v>6307</v>
      </c>
      <c r="J186" t="s">
        <v>6301</v>
      </c>
      <c r="K186" t="s">
        <v>6306</v>
      </c>
      <c r="L186" t="s">
        <v>6305</v>
      </c>
      <c r="M186" t="s">
        <v>6304</v>
      </c>
      <c r="N186">
        <v>3</v>
      </c>
      <c r="O186" t="s">
        <v>6303</v>
      </c>
      <c r="P186" t="s">
        <v>6302</v>
      </c>
      <c r="Q186" t="s">
        <v>6301</v>
      </c>
      <c r="R186" s="7">
        <v>31778</v>
      </c>
      <c r="S186" s="8">
        <f t="shared" si="24"/>
        <v>1987</v>
      </c>
      <c r="T186" s="8">
        <v>1987</v>
      </c>
      <c r="U186" s="8">
        <f t="shared" si="25"/>
        <v>35</v>
      </c>
      <c r="V186" s="7">
        <v>31778</v>
      </c>
      <c r="W186" t="s">
        <v>36</v>
      </c>
      <c r="X186" s="2">
        <v>0.51500000000000001</v>
      </c>
      <c r="Y186" s="6">
        <f t="shared" si="22"/>
        <v>1.374763086943755E-2</v>
      </c>
      <c r="AA186">
        <v>219169</v>
      </c>
      <c r="AB186">
        <v>30966</v>
      </c>
      <c r="AD186" t="s">
        <v>4</v>
      </c>
      <c r="AE186">
        <v>49</v>
      </c>
      <c r="AF186">
        <v>1</v>
      </c>
      <c r="AH186" t="s">
        <v>6300</v>
      </c>
      <c r="AI186" t="s">
        <v>6299</v>
      </c>
      <c r="AK186" t="s">
        <v>6298</v>
      </c>
      <c r="AL186">
        <v>0</v>
      </c>
      <c r="AM186" s="5">
        <f t="shared" si="26"/>
        <v>0</v>
      </c>
      <c r="AN186" s="4">
        <f t="shared" si="23"/>
        <v>0</v>
      </c>
      <c r="AO186" s="3"/>
      <c r="AP186">
        <v>0</v>
      </c>
      <c r="AR186" t="s">
        <v>0</v>
      </c>
      <c r="AT186" s="2" t="s">
        <v>32</v>
      </c>
      <c r="AU186" s="1">
        <f t="shared" si="27"/>
        <v>0.9623341608606284</v>
      </c>
      <c r="AV186" s="1">
        <f t="shared" si="28"/>
        <v>0.68738154347187752</v>
      </c>
      <c r="AW186" s="1">
        <f t="shared" si="29"/>
        <v>0.41242892608312653</v>
      </c>
    </row>
    <row r="187" spans="1:49" x14ac:dyDescent="0.2">
      <c r="A187">
        <v>185</v>
      </c>
      <c r="B187" t="s">
        <v>6297</v>
      </c>
      <c r="C187" t="s">
        <v>6296</v>
      </c>
      <c r="D187" t="s">
        <v>6295</v>
      </c>
      <c r="F187" t="s">
        <v>6294</v>
      </c>
      <c r="G187" t="s">
        <v>14</v>
      </c>
      <c r="H187" t="s">
        <v>13</v>
      </c>
      <c r="I187" t="s">
        <v>6293</v>
      </c>
      <c r="J187" t="s">
        <v>6292</v>
      </c>
      <c r="K187" t="s">
        <v>6291</v>
      </c>
      <c r="L187" t="s">
        <v>6290</v>
      </c>
      <c r="M187" t="s">
        <v>6289</v>
      </c>
      <c r="N187">
        <v>4</v>
      </c>
      <c r="O187" t="s">
        <v>6288</v>
      </c>
      <c r="P187" t="s">
        <v>6287</v>
      </c>
      <c r="Q187" t="s">
        <v>6286</v>
      </c>
      <c r="R187" s="7">
        <v>31778</v>
      </c>
      <c r="S187" s="8">
        <f t="shared" si="24"/>
        <v>1987</v>
      </c>
      <c r="T187" s="8">
        <v>1987</v>
      </c>
      <c r="U187" s="8">
        <f t="shared" si="25"/>
        <v>35</v>
      </c>
      <c r="V187" s="7">
        <v>1987</v>
      </c>
      <c r="W187" t="s">
        <v>6273</v>
      </c>
      <c r="X187" s="2">
        <v>0.68200000000000005</v>
      </c>
      <c r="Y187" s="6">
        <f t="shared" si="22"/>
        <v>1.8205600491177493E-2</v>
      </c>
      <c r="AA187">
        <v>2731177</v>
      </c>
      <c r="AB187">
        <v>12375</v>
      </c>
      <c r="AD187" t="s">
        <v>4</v>
      </c>
      <c r="AE187">
        <v>7</v>
      </c>
      <c r="AF187">
        <v>11</v>
      </c>
      <c r="AH187" t="s">
        <v>6285</v>
      </c>
      <c r="AI187" t="s">
        <v>6284</v>
      </c>
      <c r="AK187" t="s">
        <v>6283</v>
      </c>
      <c r="AL187">
        <v>4</v>
      </c>
      <c r="AM187" s="5">
        <f t="shared" si="26"/>
        <v>0.11428571428571428</v>
      </c>
      <c r="AN187" s="4">
        <f t="shared" si="23"/>
        <v>1.7309460702115E-4</v>
      </c>
      <c r="AO187" s="3"/>
      <c r="AP187">
        <v>0</v>
      </c>
      <c r="AR187" t="s">
        <v>0</v>
      </c>
      <c r="AT187" s="2">
        <v>2.1520000000000001</v>
      </c>
      <c r="AU187" s="1">
        <f t="shared" si="27"/>
        <v>1.2795848725930588</v>
      </c>
      <c r="AV187" s="1">
        <f t="shared" si="28"/>
        <v>0.91893475490993226</v>
      </c>
      <c r="AW187" s="1">
        <f t="shared" si="29"/>
        <v>0.55828463722680532</v>
      </c>
    </row>
    <row r="188" spans="1:49" x14ac:dyDescent="0.2">
      <c r="A188">
        <v>186</v>
      </c>
      <c r="B188" t="s">
        <v>6282</v>
      </c>
      <c r="C188" t="s">
        <v>6281</v>
      </c>
      <c r="D188">
        <v>273117787903334</v>
      </c>
      <c r="F188" t="s">
        <v>6280</v>
      </c>
      <c r="G188" t="s">
        <v>14</v>
      </c>
      <c r="H188" t="s">
        <v>13</v>
      </c>
      <c r="I188" t="s">
        <v>6279</v>
      </c>
      <c r="J188" t="s">
        <v>6274</v>
      </c>
      <c r="K188" t="s">
        <v>6278</v>
      </c>
      <c r="L188" t="s">
        <v>6277</v>
      </c>
      <c r="M188" t="s">
        <v>3879</v>
      </c>
      <c r="N188">
        <v>2</v>
      </c>
      <c r="O188" t="s">
        <v>6276</v>
      </c>
      <c r="P188" t="s">
        <v>6275</v>
      </c>
      <c r="Q188" t="s">
        <v>6274</v>
      </c>
      <c r="R188" s="7">
        <v>31778</v>
      </c>
      <c r="S188" s="8">
        <f t="shared" si="24"/>
        <v>1987</v>
      </c>
      <c r="T188" s="8">
        <v>1987</v>
      </c>
      <c r="U188" s="8">
        <f t="shared" si="25"/>
        <v>35</v>
      </c>
      <c r="V188" s="7">
        <v>1987</v>
      </c>
      <c r="W188" t="s">
        <v>6273</v>
      </c>
      <c r="X188" s="2">
        <v>0.68200000000000005</v>
      </c>
      <c r="Y188" s="6">
        <f t="shared" si="22"/>
        <v>1.8205600491177493E-2</v>
      </c>
      <c r="AA188">
        <v>2731177</v>
      </c>
      <c r="AB188">
        <v>12375</v>
      </c>
      <c r="AD188" t="s">
        <v>4</v>
      </c>
      <c r="AE188">
        <v>7</v>
      </c>
      <c r="AF188">
        <v>11</v>
      </c>
      <c r="AH188" t="s">
        <v>6272</v>
      </c>
      <c r="AI188" t="s">
        <v>6271</v>
      </c>
      <c r="AK188" t="s">
        <v>6270</v>
      </c>
      <c r="AL188">
        <v>1</v>
      </c>
      <c r="AM188" s="5">
        <f t="shared" si="26"/>
        <v>2.8571428571428571E-2</v>
      </c>
      <c r="AN188" s="4">
        <f t="shared" si="23"/>
        <v>4.32736517552875E-5</v>
      </c>
      <c r="AO188" s="3"/>
      <c r="AP188">
        <v>0</v>
      </c>
      <c r="AQ188" t="s">
        <v>1994</v>
      </c>
      <c r="AR188" t="s">
        <v>6269</v>
      </c>
      <c r="AS188" t="s">
        <v>6268</v>
      </c>
      <c r="AT188" s="2">
        <v>2.1520000000000001</v>
      </c>
      <c r="AU188" s="1">
        <f t="shared" si="27"/>
        <v>1.275690243935083</v>
      </c>
      <c r="AV188" s="1">
        <f t="shared" si="28"/>
        <v>0.91244370714663914</v>
      </c>
      <c r="AW188" s="1">
        <f t="shared" si="29"/>
        <v>0.54919717035819493</v>
      </c>
    </row>
    <row r="189" spans="1:49" x14ac:dyDescent="0.2">
      <c r="A189">
        <v>187</v>
      </c>
      <c r="B189" t="s">
        <v>6267</v>
      </c>
      <c r="C189" t="s">
        <v>6266</v>
      </c>
      <c r="F189" t="s">
        <v>6265</v>
      </c>
      <c r="G189" t="s">
        <v>14</v>
      </c>
      <c r="H189" t="s">
        <v>13</v>
      </c>
      <c r="I189" t="s">
        <v>6264</v>
      </c>
      <c r="J189">
        <v>60022195</v>
      </c>
      <c r="K189" t="s">
        <v>311</v>
      </c>
      <c r="L189" t="s">
        <v>310</v>
      </c>
      <c r="M189" t="s">
        <v>9</v>
      </c>
      <c r="N189">
        <v>6</v>
      </c>
      <c r="O189" t="s">
        <v>6263</v>
      </c>
      <c r="P189" t="s">
        <v>6262</v>
      </c>
      <c r="Q189" t="s">
        <v>6261</v>
      </c>
      <c r="R189" s="7">
        <v>31778</v>
      </c>
      <c r="S189" s="8">
        <f t="shared" si="24"/>
        <v>1987</v>
      </c>
      <c r="T189" s="8">
        <v>1987</v>
      </c>
      <c r="U189" s="8">
        <f t="shared" si="25"/>
        <v>35</v>
      </c>
      <c r="V189" s="7">
        <v>1987</v>
      </c>
      <c r="W189" t="s">
        <v>6113</v>
      </c>
      <c r="X189" s="2">
        <v>3.6880000000000002</v>
      </c>
      <c r="Y189" s="6">
        <f t="shared" si="22"/>
        <v>9.8449053682496471E-2</v>
      </c>
      <c r="AA189">
        <v>319007</v>
      </c>
      <c r="AB189">
        <v>29150</v>
      </c>
      <c r="AD189" t="s">
        <v>4</v>
      </c>
      <c r="AE189">
        <v>59</v>
      </c>
      <c r="AF189">
        <v>11</v>
      </c>
      <c r="AH189" t="s">
        <v>6260</v>
      </c>
      <c r="AI189" t="s">
        <v>6259</v>
      </c>
      <c r="AK189" t="s">
        <v>6258</v>
      </c>
      <c r="AL189">
        <v>22</v>
      </c>
      <c r="AM189" s="5">
        <f t="shared" si="26"/>
        <v>0.62857142857142856</v>
      </c>
      <c r="AN189" s="4">
        <f t="shared" si="23"/>
        <v>9.5202033861632501E-4</v>
      </c>
      <c r="AO189" s="3"/>
      <c r="AP189">
        <v>0</v>
      </c>
      <c r="AR189" t="s">
        <v>0</v>
      </c>
      <c r="AT189" s="2">
        <v>9.1609999999999996</v>
      </c>
      <c r="AU189" s="1">
        <f t="shared" si="27"/>
        <v>6.9199943679332421</v>
      </c>
      <c r="AV189" s="1">
        <f t="shared" si="28"/>
        <v>4.9700537010556403</v>
      </c>
      <c r="AW189" s="1">
        <f t="shared" si="29"/>
        <v>3.0201130341780367</v>
      </c>
    </row>
    <row r="190" spans="1:49" x14ac:dyDescent="0.2">
      <c r="A190">
        <v>188</v>
      </c>
      <c r="B190" t="s">
        <v>6257</v>
      </c>
      <c r="C190" t="s">
        <v>6256</v>
      </c>
      <c r="F190" t="s">
        <v>6255</v>
      </c>
      <c r="G190" t="s">
        <v>14</v>
      </c>
      <c r="H190" t="s">
        <v>13</v>
      </c>
      <c r="I190" t="s">
        <v>325</v>
      </c>
      <c r="J190">
        <v>60032083</v>
      </c>
      <c r="K190" t="s">
        <v>324</v>
      </c>
      <c r="L190" t="s">
        <v>323</v>
      </c>
      <c r="M190" t="s">
        <v>9</v>
      </c>
      <c r="N190">
        <v>2</v>
      </c>
      <c r="O190" t="s">
        <v>322</v>
      </c>
      <c r="P190" t="s">
        <v>321</v>
      </c>
      <c r="Q190" t="s">
        <v>320</v>
      </c>
      <c r="R190" s="7">
        <v>31778</v>
      </c>
      <c r="S190" s="8">
        <f t="shared" si="24"/>
        <v>1987</v>
      </c>
      <c r="T190" s="8">
        <v>1987</v>
      </c>
      <c r="U190" s="8">
        <f t="shared" si="25"/>
        <v>35</v>
      </c>
      <c r="V190" s="7">
        <v>1987</v>
      </c>
      <c r="W190" t="s">
        <v>6254</v>
      </c>
      <c r="X190" s="2">
        <v>1.78</v>
      </c>
      <c r="Y190" s="6">
        <f t="shared" si="22"/>
        <v>4.7516083393395803E-2</v>
      </c>
      <c r="AA190">
        <v>1631829</v>
      </c>
      <c r="AB190">
        <v>85318</v>
      </c>
      <c r="AD190" t="s">
        <v>4</v>
      </c>
      <c r="AE190">
        <v>36</v>
      </c>
      <c r="AF190">
        <v>9</v>
      </c>
      <c r="AH190" t="s">
        <v>6253</v>
      </c>
      <c r="AI190" t="s">
        <v>6252</v>
      </c>
      <c r="AK190" t="s">
        <v>6251</v>
      </c>
      <c r="AL190">
        <v>21</v>
      </c>
      <c r="AM190" s="5">
        <f t="shared" si="26"/>
        <v>0.6</v>
      </c>
      <c r="AN190" s="4">
        <f t="shared" si="23"/>
        <v>9.0874668686103744E-4</v>
      </c>
      <c r="AO190" s="3"/>
      <c r="AP190">
        <v>0</v>
      </c>
      <c r="AR190" t="s">
        <v>0</v>
      </c>
      <c r="AT190" s="2">
        <v>4.0359999999999996</v>
      </c>
      <c r="AU190" s="1">
        <f t="shared" si="27"/>
        <v>3.3533882381435371</v>
      </c>
      <c r="AV190" s="1">
        <f t="shared" si="28"/>
        <v>2.4212415040128419</v>
      </c>
      <c r="AW190" s="1">
        <f t="shared" si="29"/>
        <v>1.4890947698821466</v>
      </c>
    </row>
    <row r="191" spans="1:49" x14ac:dyDescent="0.2">
      <c r="A191">
        <v>189</v>
      </c>
      <c r="B191" t="s">
        <v>6250</v>
      </c>
      <c r="C191" t="s">
        <v>6249</v>
      </c>
      <c r="D191" t="s">
        <v>6248</v>
      </c>
      <c r="F191" t="s">
        <v>6247</v>
      </c>
      <c r="G191" t="s">
        <v>14</v>
      </c>
      <c r="H191" t="s">
        <v>13</v>
      </c>
      <c r="I191" t="s">
        <v>6246</v>
      </c>
      <c r="J191">
        <v>60023694</v>
      </c>
      <c r="K191" t="s">
        <v>6245</v>
      </c>
      <c r="L191" t="s">
        <v>6244</v>
      </c>
      <c r="M191" t="s">
        <v>9</v>
      </c>
      <c r="N191">
        <v>2</v>
      </c>
      <c r="O191" t="s">
        <v>6243</v>
      </c>
      <c r="P191" t="s">
        <v>6242</v>
      </c>
      <c r="Q191" t="s">
        <v>6241</v>
      </c>
      <c r="R191" s="7">
        <v>31778</v>
      </c>
      <c r="S191" s="8">
        <f t="shared" si="24"/>
        <v>1987</v>
      </c>
      <c r="T191" s="8">
        <v>1987</v>
      </c>
      <c r="U191" s="8">
        <f t="shared" si="25"/>
        <v>35</v>
      </c>
      <c r="V191" s="7">
        <v>1987</v>
      </c>
      <c r="W191" t="s">
        <v>6010</v>
      </c>
      <c r="X191" s="2">
        <v>0.998</v>
      </c>
      <c r="Y191" s="6">
        <f t="shared" si="22"/>
        <v>2.664104001494888E-2</v>
      </c>
      <c r="AA191">
        <v>207322</v>
      </c>
      <c r="AB191">
        <v>90127</v>
      </c>
      <c r="AD191" t="s">
        <v>4</v>
      </c>
      <c r="AE191">
        <v>16</v>
      </c>
      <c r="AF191">
        <v>1</v>
      </c>
      <c r="AH191" t="s">
        <v>6240</v>
      </c>
      <c r="AI191" t="s">
        <v>6239</v>
      </c>
      <c r="AJ191" t="s">
        <v>6238</v>
      </c>
      <c r="AK191" t="s">
        <v>6237</v>
      </c>
      <c r="AL191">
        <v>22</v>
      </c>
      <c r="AM191" s="5">
        <f t="shared" si="26"/>
        <v>0.62857142857142856</v>
      </c>
      <c r="AN191" s="4">
        <f t="shared" si="23"/>
        <v>9.5202033861632501E-4</v>
      </c>
      <c r="AO191" s="3"/>
      <c r="AP191">
        <v>0</v>
      </c>
      <c r="AR191" t="s">
        <v>0</v>
      </c>
      <c r="AT191" s="2" t="s">
        <v>32</v>
      </c>
      <c r="AU191" s="1">
        <f t="shared" si="27"/>
        <v>1.8934334112049114</v>
      </c>
      <c r="AV191" s="1">
        <f t="shared" si="28"/>
        <v>1.3796530176782602</v>
      </c>
      <c r="AW191" s="1">
        <f t="shared" si="29"/>
        <v>0.86587262415160926</v>
      </c>
    </row>
    <row r="192" spans="1:49" x14ac:dyDescent="0.2">
      <c r="A192">
        <v>190</v>
      </c>
      <c r="B192" t="s">
        <v>6236</v>
      </c>
      <c r="C192" t="s">
        <v>6235</v>
      </c>
      <c r="D192" t="s">
        <v>6234</v>
      </c>
      <c r="F192" t="s">
        <v>6233</v>
      </c>
      <c r="G192" t="s">
        <v>14</v>
      </c>
      <c r="H192" t="s">
        <v>13</v>
      </c>
      <c r="I192" t="s">
        <v>6232</v>
      </c>
      <c r="J192">
        <v>60019702</v>
      </c>
      <c r="K192" t="s">
        <v>6231</v>
      </c>
      <c r="L192" t="s">
        <v>6230</v>
      </c>
      <c r="M192" t="s">
        <v>586</v>
      </c>
      <c r="N192">
        <v>4</v>
      </c>
      <c r="O192" t="s">
        <v>6229</v>
      </c>
      <c r="P192" t="s">
        <v>6228</v>
      </c>
      <c r="Q192" t="s">
        <v>6227</v>
      </c>
      <c r="R192" s="7">
        <v>31778</v>
      </c>
      <c r="S192" s="8">
        <f t="shared" si="24"/>
        <v>1987</v>
      </c>
      <c r="T192" s="8">
        <v>1987</v>
      </c>
      <c r="U192" s="8">
        <f t="shared" si="25"/>
        <v>35</v>
      </c>
      <c r="V192" s="7">
        <v>1987</v>
      </c>
      <c r="W192" t="s">
        <v>6010</v>
      </c>
      <c r="X192" s="2">
        <v>0.998</v>
      </c>
      <c r="Y192" s="6">
        <f t="shared" si="22"/>
        <v>2.664104001494888E-2</v>
      </c>
      <c r="AA192">
        <v>207322</v>
      </c>
      <c r="AB192">
        <v>90127</v>
      </c>
      <c r="AD192" t="s">
        <v>4</v>
      </c>
      <c r="AE192">
        <v>16</v>
      </c>
      <c r="AF192">
        <v>2</v>
      </c>
      <c r="AH192" t="s">
        <v>6226</v>
      </c>
      <c r="AI192" t="s">
        <v>6225</v>
      </c>
      <c r="AJ192" t="s">
        <v>6224</v>
      </c>
      <c r="AK192" t="s">
        <v>6223</v>
      </c>
      <c r="AL192">
        <v>30</v>
      </c>
      <c r="AM192" s="5">
        <f t="shared" si="26"/>
        <v>0.8571428571428571</v>
      </c>
      <c r="AN192" s="4">
        <f t="shared" si="23"/>
        <v>1.2982095526586248E-3</v>
      </c>
      <c r="AO192" s="3"/>
      <c r="AP192">
        <v>0</v>
      </c>
      <c r="AR192" t="s">
        <v>0</v>
      </c>
      <c r="AT192" s="2" t="s">
        <v>32</v>
      </c>
      <c r="AU192" s="1">
        <f t="shared" si="27"/>
        <v>1.9038190876261802</v>
      </c>
      <c r="AV192" s="1">
        <f t="shared" si="28"/>
        <v>1.3969624783803753</v>
      </c>
      <c r="AW192" s="1">
        <f t="shared" si="29"/>
        <v>0.89010586913457013</v>
      </c>
    </row>
    <row r="193" spans="1:49" x14ac:dyDescent="0.2">
      <c r="A193">
        <v>191</v>
      </c>
      <c r="B193" t="s">
        <v>6222</v>
      </c>
      <c r="C193" t="s">
        <v>6221</v>
      </c>
      <c r="D193">
        <v>22191087901156</v>
      </c>
      <c r="F193" t="s">
        <v>6220</v>
      </c>
      <c r="G193" t="s">
        <v>14</v>
      </c>
      <c r="H193" t="s">
        <v>13</v>
      </c>
      <c r="I193" t="s">
        <v>6219</v>
      </c>
      <c r="J193">
        <v>60030718</v>
      </c>
      <c r="K193" t="s">
        <v>6218</v>
      </c>
      <c r="L193" t="s">
        <v>886</v>
      </c>
      <c r="M193" t="s">
        <v>112</v>
      </c>
      <c r="N193">
        <v>1</v>
      </c>
      <c r="O193" t="s">
        <v>6217</v>
      </c>
      <c r="P193">
        <v>7003322688</v>
      </c>
      <c r="Q193">
        <v>60030718</v>
      </c>
      <c r="R193" s="7">
        <v>31778</v>
      </c>
      <c r="S193" s="8">
        <f t="shared" si="24"/>
        <v>1987</v>
      </c>
      <c r="T193" s="8">
        <v>1987</v>
      </c>
      <c r="U193" s="8">
        <f t="shared" si="25"/>
        <v>35</v>
      </c>
      <c r="V193" s="7">
        <v>1987</v>
      </c>
      <c r="W193" t="s">
        <v>254</v>
      </c>
      <c r="X193" s="2">
        <v>0.89900000000000002</v>
      </c>
      <c r="Y193" s="6">
        <f t="shared" si="22"/>
        <v>2.399829155655215E-2</v>
      </c>
      <c r="AA193">
        <v>221910</v>
      </c>
      <c r="AB193">
        <v>20487</v>
      </c>
      <c r="AD193" t="s">
        <v>4</v>
      </c>
      <c r="AE193">
        <v>33</v>
      </c>
      <c r="AF193">
        <v>7</v>
      </c>
      <c r="AI193" t="s">
        <v>6216</v>
      </c>
      <c r="AJ193" t="s">
        <v>6215</v>
      </c>
      <c r="AK193" t="s">
        <v>6214</v>
      </c>
      <c r="AL193">
        <v>29</v>
      </c>
      <c r="AM193" s="5">
        <f t="shared" si="26"/>
        <v>0.82857142857142863</v>
      </c>
      <c r="AN193" s="4">
        <f t="shared" si="23"/>
        <v>1.2549359009033376E-3</v>
      </c>
      <c r="AO193" s="3"/>
      <c r="AP193">
        <v>0</v>
      </c>
      <c r="AR193" t="s">
        <v>0</v>
      </c>
      <c r="AT193" s="2">
        <v>2.3540000000000001</v>
      </c>
      <c r="AU193" s="1">
        <f t="shared" si="27"/>
        <v>1.7175284859857505</v>
      </c>
      <c r="AV193" s="1">
        <f t="shared" si="28"/>
        <v>1.2626613728727742</v>
      </c>
      <c r="AW193" s="1">
        <f t="shared" si="29"/>
        <v>0.80779425975979813</v>
      </c>
    </row>
    <row r="194" spans="1:49" x14ac:dyDescent="0.2">
      <c r="A194">
        <v>192</v>
      </c>
      <c r="B194" t="s">
        <v>6213</v>
      </c>
      <c r="C194" t="s">
        <v>6212</v>
      </c>
      <c r="D194" t="s">
        <v>6211</v>
      </c>
      <c r="F194" t="s">
        <v>6210</v>
      </c>
      <c r="G194" t="s">
        <v>14</v>
      </c>
      <c r="H194" t="s">
        <v>13</v>
      </c>
      <c r="I194" t="s">
        <v>6209</v>
      </c>
      <c r="J194">
        <v>60017695</v>
      </c>
      <c r="K194" t="s">
        <v>6208</v>
      </c>
      <c r="L194" t="s">
        <v>6207</v>
      </c>
      <c r="M194" t="s">
        <v>112</v>
      </c>
      <c r="N194">
        <v>2</v>
      </c>
      <c r="O194" t="s">
        <v>6206</v>
      </c>
      <c r="P194" t="s">
        <v>6205</v>
      </c>
      <c r="Q194" t="s">
        <v>6204</v>
      </c>
      <c r="R194" s="7">
        <v>31778</v>
      </c>
      <c r="S194" s="8">
        <f t="shared" si="24"/>
        <v>1987</v>
      </c>
      <c r="T194" s="8">
        <v>1987</v>
      </c>
      <c r="U194" s="8">
        <f t="shared" si="25"/>
        <v>35</v>
      </c>
      <c r="V194" s="7" t="s">
        <v>6203</v>
      </c>
      <c r="W194" t="s">
        <v>36</v>
      </c>
      <c r="X194" s="2">
        <v>0.51500000000000001</v>
      </c>
      <c r="Y194" s="6">
        <f t="shared" ref="Y194:Y257" si="30">(X194-$Z$4)/($Z$3-$Z$4)</f>
        <v>1.374763086943755E-2</v>
      </c>
      <c r="AA194">
        <v>219169</v>
      </c>
      <c r="AB194">
        <v>30966</v>
      </c>
      <c r="AD194" t="s">
        <v>4</v>
      </c>
      <c r="AE194">
        <v>49</v>
      </c>
      <c r="AF194" s="9">
        <v>44415</v>
      </c>
      <c r="AH194" t="s">
        <v>6202</v>
      </c>
      <c r="AI194" t="s">
        <v>6201</v>
      </c>
      <c r="AK194" t="s">
        <v>6200</v>
      </c>
      <c r="AL194">
        <v>16</v>
      </c>
      <c r="AM194" s="5">
        <f t="shared" si="26"/>
        <v>0.45714285714285713</v>
      </c>
      <c r="AN194" s="4">
        <f t="shared" ref="AN194:AN257" si="31">(AM194-$AO$4)/($AO$3-$AO$4)</f>
        <v>6.923784280846E-4</v>
      </c>
      <c r="AO194" s="3"/>
      <c r="AP194">
        <v>0</v>
      </c>
      <c r="AQ194" t="s">
        <v>6186</v>
      </c>
      <c r="AR194" t="s">
        <v>0</v>
      </c>
      <c r="AS194" t="s">
        <v>6184</v>
      </c>
      <c r="AT194" s="2" t="s">
        <v>32</v>
      </c>
      <c r="AU194" s="1">
        <f t="shared" si="27"/>
        <v>0.98310551370316634</v>
      </c>
      <c r="AV194" s="1">
        <f t="shared" si="28"/>
        <v>0.72200046487610747</v>
      </c>
      <c r="AW194" s="1">
        <f t="shared" si="29"/>
        <v>0.46089541604904849</v>
      </c>
    </row>
    <row r="195" spans="1:49" x14ac:dyDescent="0.2">
      <c r="A195">
        <v>193</v>
      </c>
      <c r="B195" t="s">
        <v>6199</v>
      </c>
      <c r="C195" t="s">
        <v>6198</v>
      </c>
      <c r="D195">
        <v>12160687903010</v>
      </c>
      <c r="F195" t="s">
        <v>6197</v>
      </c>
      <c r="G195" t="s">
        <v>14</v>
      </c>
      <c r="H195" t="s">
        <v>13</v>
      </c>
      <c r="I195" t="s">
        <v>6196</v>
      </c>
      <c r="J195">
        <v>60030807</v>
      </c>
      <c r="K195" t="s">
        <v>6195</v>
      </c>
      <c r="L195" t="s">
        <v>6194</v>
      </c>
      <c r="M195" t="s">
        <v>112</v>
      </c>
      <c r="N195">
        <v>2</v>
      </c>
      <c r="O195" t="s">
        <v>6193</v>
      </c>
      <c r="P195" t="s">
        <v>6192</v>
      </c>
      <c r="Q195" t="s">
        <v>6191</v>
      </c>
      <c r="R195" s="7">
        <v>31778</v>
      </c>
      <c r="S195" s="8">
        <f t="shared" si="24"/>
        <v>1987</v>
      </c>
      <c r="T195" s="8">
        <v>1987</v>
      </c>
      <c r="U195" s="8">
        <f t="shared" si="25"/>
        <v>35</v>
      </c>
      <c r="V195" s="7">
        <v>31990</v>
      </c>
      <c r="W195" t="s">
        <v>6190</v>
      </c>
      <c r="X195" s="2">
        <v>1.77</v>
      </c>
      <c r="Y195" s="6">
        <f t="shared" si="30"/>
        <v>4.7249139104668859E-2</v>
      </c>
      <c r="AA195">
        <v>121606</v>
      </c>
      <c r="AB195">
        <v>14536</v>
      </c>
      <c r="AD195" t="s">
        <v>4</v>
      </c>
      <c r="AE195">
        <v>122</v>
      </c>
      <c r="AF195">
        <v>2</v>
      </c>
      <c r="AH195" t="s">
        <v>6189</v>
      </c>
      <c r="AI195" t="s">
        <v>6188</v>
      </c>
      <c r="AK195" t="s">
        <v>6187</v>
      </c>
      <c r="AL195">
        <v>13</v>
      </c>
      <c r="AM195" s="5">
        <f t="shared" si="26"/>
        <v>0.37142857142857144</v>
      </c>
      <c r="AN195" s="4">
        <f t="shared" si="31"/>
        <v>5.6255747281873749E-4</v>
      </c>
      <c r="AO195" s="3"/>
      <c r="AP195">
        <v>0</v>
      </c>
      <c r="AQ195" t="s">
        <v>6186</v>
      </c>
      <c r="AR195" t="s">
        <v>6185</v>
      </c>
      <c r="AS195" t="s">
        <v>6184</v>
      </c>
      <c r="AT195" s="2">
        <v>3.5819999999999999</v>
      </c>
      <c r="AU195" s="1">
        <f t="shared" si="27"/>
        <v>3.324316461511382</v>
      </c>
      <c r="AV195" s="1">
        <f t="shared" si="28"/>
        <v>2.3905848288743798</v>
      </c>
      <c r="AW195" s="1">
        <f t="shared" si="29"/>
        <v>1.4568531962373772</v>
      </c>
    </row>
    <row r="196" spans="1:49" x14ac:dyDescent="0.2">
      <c r="A196">
        <v>194</v>
      </c>
      <c r="B196" t="s">
        <v>6183</v>
      </c>
      <c r="C196" t="s">
        <v>6182</v>
      </c>
      <c r="D196">
        <v>305197887900986</v>
      </c>
      <c r="F196" t="s">
        <v>6181</v>
      </c>
      <c r="G196" t="s">
        <v>14</v>
      </c>
      <c r="H196" t="s">
        <v>13</v>
      </c>
      <c r="I196" t="s">
        <v>6180</v>
      </c>
      <c r="J196">
        <v>60026724</v>
      </c>
      <c r="K196" t="s">
        <v>6179</v>
      </c>
      <c r="L196" t="s">
        <v>6178</v>
      </c>
      <c r="M196" t="s">
        <v>6177</v>
      </c>
      <c r="N196">
        <v>1</v>
      </c>
      <c r="O196" t="s">
        <v>6176</v>
      </c>
      <c r="P196">
        <v>7005573529</v>
      </c>
      <c r="Q196">
        <v>60026724</v>
      </c>
      <c r="R196" s="7">
        <v>31778</v>
      </c>
      <c r="S196" s="8">
        <f t="shared" si="24"/>
        <v>1987</v>
      </c>
      <c r="T196" s="8">
        <v>1987</v>
      </c>
      <c r="U196" s="8">
        <f t="shared" si="25"/>
        <v>35</v>
      </c>
      <c r="V196" s="7">
        <v>1987</v>
      </c>
      <c r="W196" t="s">
        <v>6175</v>
      </c>
      <c r="X196" s="2">
        <v>0.312</v>
      </c>
      <c r="Y196" s="6">
        <f t="shared" si="30"/>
        <v>8.3286618082806119E-3</v>
      </c>
      <c r="AA196">
        <v>3051978</v>
      </c>
      <c r="AB196">
        <v>16857</v>
      </c>
      <c r="AD196" t="s">
        <v>4</v>
      </c>
      <c r="AE196">
        <v>15</v>
      </c>
      <c r="AF196">
        <v>5</v>
      </c>
      <c r="AH196" t="s">
        <v>6174</v>
      </c>
      <c r="AI196" t="s">
        <v>6173</v>
      </c>
      <c r="AJ196" t="s">
        <v>6172</v>
      </c>
      <c r="AK196" t="s">
        <v>6171</v>
      </c>
      <c r="AL196">
        <v>31</v>
      </c>
      <c r="AM196" s="5">
        <f t="shared" si="26"/>
        <v>0.88571428571428568</v>
      </c>
      <c r="AN196" s="4">
        <f t="shared" si="31"/>
        <v>1.3414832044139123E-3</v>
      </c>
      <c r="AO196" s="3"/>
      <c r="AP196">
        <v>0</v>
      </c>
      <c r="AR196" t="s">
        <v>0</v>
      </c>
      <c r="AT196" s="2">
        <v>1.381</v>
      </c>
      <c r="AU196" s="1">
        <f t="shared" si="27"/>
        <v>0.62325082271206023</v>
      </c>
      <c r="AV196" s="1">
        <f t="shared" si="28"/>
        <v>0.48350725063472622</v>
      </c>
      <c r="AW196" s="1">
        <f t="shared" si="29"/>
        <v>0.3437636785573922</v>
      </c>
    </row>
    <row r="197" spans="1:49" x14ac:dyDescent="0.2">
      <c r="A197">
        <v>195</v>
      </c>
      <c r="B197" t="s">
        <v>6170</v>
      </c>
      <c r="C197" t="s">
        <v>6169</v>
      </c>
      <c r="F197" t="s">
        <v>6168</v>
      </c>
      <c r="G197" t="s">
        <v>14</v>
      </c>
      <c r="H197" t="s">
        <v>13</v>
      </c>
      <c r="I197" t="s">
        <v>6167</v>
      </c>
      <c r="J197">
        <v>60031806</v>
      </c>
      <c r="K197" t="s">
        <v>4426</v>
      </c>
      <c r="L197" t="s">
        <v>4425</v>
      </c>
      <c r="M197" t="s">
        <v>40</v>
      </c>
      <c r="N197">
        <v>5</v>
      </c>
      <c r="O197" t="s">
        <v>6166</v>
      </c>
      <c r="P197" t="s">
        <v>6165</v>
      </c>
      <c r="Q197" t="s">
        <v>6164</v>
      </c>
      <c r="R197" s="7">
        <v>31778</v>
      </c>
      <c r="S197" s="8">
        <f t="shared" si="24"/>
        <v>1987</v>
      </c>
      <c r="T197" s="8">
        <v>1987</v>
      </c>
      <c r="U197" s="8">
        <f t="shared" si="25"/>
        <v>35</v>
      </c>
      <c r="V197" s="7">
        <v>1987</v>
      </c>
      <c r="W197" t="s">
        <v>6163</v>
      </c>
      <c r="X197" s="2">
        <v>0.60499999999999998</v>
      </c>
      <c r="Y197" s="6">
        <f t="shared" si="30"/>
        <v>1.6150129467980032E-2</v>
      </c>
      <c r="AA197">
        <v>346748</v>
      </c>
      <c r="AB197">
        <v>15563</v>
      </c>
      <c r="AD197" t="s">
        <v>4</v>
      </c>
      <c r="AE197">
        <v>58</v>
      </c>
      <c r="AF197">
        <v>10</v>
      </c>
      <c r="AH197" t="s">
        <v>6162</v>
      </c>
      <c r="AI197" t="s">
        <v>6161</v>
      </c>
      <c r="AK197" t="s">
        <v>6160</v>
      </c>
      <c r="AL197">
        <v>17</v>
      </c>
      <c r="AM197" s="5">
        <f t="shared" si="26"/>
        <v>0.48571428571428571</v>
      </c>
      <c r="AN197" s="4">
        <f t="shared" si="31"/>
        <v>7.3565207983988746E-4</v>
      </c>
      <c r="AO197" s="3"/>
      <c r="AP197">
        <v>0</v>
      </c>
      <c r="AR197" t="s">
        <v>0</v>
      </c>
      <c r="AT197" s="2">
        <v>1.5229999999999999</v>
      </c>
      <c r="AU197" s="1">
        <f t="shared" si="27"/>
        <v>1.1525786251537988</v>
      </c>
      <c r="AV197" s="1">
        <f t="shared" si="28"/>
        <v>0.84428907739099601</v>
      </c>
      <c r="AW197" s="1">
        <f t="shared" si="29"/>
        <v>0.53599952962819308</v>
      </c>
    </row>
    <row r="198" spans="1:49" x14ac:dyDescent="0.2">
      <c r="A198">
        <v>196</v>
      </c>
      <c r="B198" t="s">
        <v>6159</v>
      </c>
      <c r="C198" t="s">
        <v>6158</v>
      </c>
      <c r="F198" t="s">
        <v>6157</v>
      </c>
      <c r="G198" t="s">
        <v>14</v>
      </c>
      <c r="H198" t="s">
        <v>13</v>
      </c>
      <c r="I198" t="s">
        <v>6156</v>
      </c>
      <c r="J198" t="s">
        <v>6155</v>
      </c>
      <c r="K198" t="s">
        <v>6154</v>
      </c>
      <c r="L198" t="s">
        <v>6153</v>
      </c>
      <c r="M198" t="s">
        <v>55</v>
      </c>
      <c r="N198">
        <v>5</v>
      </c>
      <c r="O198" t="s">
        <v>6152</v>
      </c>
      <c r="P198" t="s">
        <v>6151</v>
      </c>
      <c r="Q198" t="s">
        <v>6150</v>
      </c>
      <c r="R198" s="7">
        <v>31778</v>
      </c>
      <c r="S198" s="8">
        <f t="shared" si="24"/>
        <v>1987</v>
      </c>
      <c r="T198" s="8">
        <v>1987</v>
      </c>
      <c r="U198" s="8">
        <f t="shared" si="25"/>
        <v>35</v>
      </c>
      <c r="V198" s="7">
        <v>1987</v>
      </c>
      <c r="W198" t="s">
        <v>6113</v>
      </c>
      <c r="X198" s="2">
        <v>3.6880000000000002</v>
      </c>
      <c r="Y198" s="6">
        <f t="shared" si="30"/>
        <v>9.8449053682496471E-2</v>
      </c>
      <c r="AA198">
        <v>319007</v>
      </c>
      <c r="AB198">
        <v>29150</v>
      </c>
      <c r="AD198" t="s">
        <v>4</v>
      </c>
      <c r="AE198">
        <v>59</v>
      </c>
      <c r="AF198">
        <v>11</v>
      </c>
      <c r="AH198" t="s">
        <v>6149</v>
      </c>
      <c r="AI198" t="s">
        <v>6148</v>
      </c>
      <c r="AK198" t="s">
        <v>6147</v>
      </c>
      <c r="AL198">
        <v>21</v>
      </c>
      <c r="AM198" s="5">
        <f t="shared" si="26"/>
        <v>0.6</v>
      </c>
      <c r="AN198" s="4">
        <f t="shared" si="31"/>
        <v>9.0874668686103744E-4</v>
      </c>
      <c r="AO198" s="3"/>
      <c r="AP198">
        <v>0</v>
      </c>
      <c r="AR198" t="s">
        <v>0</v>
      </c>
      <c r="AT198" s="2">
        <v>9.1609999999999996</v>
      </c>
      <c r="AU198" s="1">
        <f t="shared" si="27"/>
        <v>6.9186961583805831</v>
      </c>
      <c r="AV198" s="1">
        <f t="shared" si="28"/>
        <v>4.9678900184678758</v>
      </c>
      <c r="AW198" s="1">
        <f t="shared" si="29"/>
        <v>3.0170838785551668</v>
      </c>
    </row>
    <row r="199" spans="1:49" x14ac:dyDescent="0.2">
      <c r="A199">
        <v>197</v>
      </c>
      <c r="B199" t="s">
        <v>6146</v>
      </c>
      <c r="C199" t="s">
        <v>6145</v>
      </c>
      <c r="F199" t="s">
        <v>6144</v>
      </c>
      <c r="G199" t="s">
        <v>14</v>
      </c>
      <c r="H199" t="s">
        <v>13</v>
      </c>
      <c r="I199" t="s">
        <v>6143</v>
      </c>
      <c r="J199">
        <v>60032179</v>
      </c>
      <c r="K199" t="s">
        <v>1640</v>
      </c>
      <c r="L199" t="s">
        <v>1639</v>
      </c>
      <c r="M199" t="s">
        <v>9</v>
      </c>
      <c r="N199">
        <v>6</v>
      </c>
      <c r="O199" t="s">
        <v>6142</v>
      </c>
      <c r="P199" t="s">
        <v>6141</v>
      </c>
      <c r="Q199" t="s">
        <v>6140</v>
      </c>
      <c r="R199" s="7">
        <v>31778</v>
      </c>
      <c r="S199" s="8">
        <f t="shared" si="24"/>
        <v>1987</v>
      </c>
      <c r="T199" s="8">
        <v>1987</v>
      </c>
      <c r="U199" s="8">
        <f t="shared" si="25"/>
        <v>35</v>
      </c>
      <c r="V199" s="7">
        <v>1987</v>
      </c>
      <c r="W199" t="s">
        <v>6113</v>
      </c>
      <c r="X199" s="2">
        <v>3.6880000000000002</v>
      </c>
      <c r="Y199" s="6">
        <f t="shared" si="30"/>
        <v>9.8449053682496471E-2</v>
      </c>
      <c r="AA199">
        <v>319007</v>
      </c>
      <c r="AB199">
        <v>29150</v>
      </c>
      <c r="AD199" t="s">
        <v>4</v>
      </c>
      <c r="AE199">
        <v>59</v>
      </c>
      <c r="AF199">
        <v>2</v>
      </c>
      <c r="AH199" t="s">
        <v>6139</v>
      </c>
      <c r="AI199" t="s">
        <v>6138</v>
      </c>
      <c r="AK199" t="s">
        <v>6137</v>
      </c>
      <c r="AL199">
        <v>11</v>
      </c>
      <c r="AM199" s="5">
        <f t="shared" si="26"/>
        <v>0.31428571428571428</v>
      </c>
      <c r="AN199" s="4">
        <f t="shared" si="31"/>
        <v>4.7601016930816251E-4</v>
      </c>
      <c r="AO199" s="3"/>
      <c r="AP199">
        <v>0</v>
      </c>
      <c r="AR199" t="s">
        <v>0</v>
      </c>
      <c r="AT199" s="2">
        <v>9.1609999999999996</v>
      </c>
      <c r="AU199" s="1">
        <f t="shared" si="27"/>
        <v>6.9057140628539972</v>
      </c>
      <c r="AV199" s="1">
        <f t="shared" si="28"/>
        <v>4.9462531925902313</v>
      </c>
      <c r="AW199" s="1">
        <f t="shared" si="29"/>
        <v>2.9867923223264654</v>
      </c>
    </row>
    <row r="200" spans="1:49" x14ac:dyDescent="0.2">
      <c r="A200">
        <v>198</v>
      </c>
      <c r="B200" t="s">
        <v>6136</v>
      </c>
      <c r="C200" t="s">
        <v>6135</v>
      </c>
      <c r="F200" t="s">
        <v>6134</v>
      </c>
      <c r="G200" t="s">
        <v>14</v>
      </c>
      <c r="H200" t="s">
        <v>13</v>
      </c>
      <c r="I200" t="s">
        <v>6133</v>
      </c>
      <c r="J200" t="s">
        <v>6132</v>
      </c>
      <c r="K200" t="s">
        <v>6131</v>
      </c>
      <c r="L200" t="s">
        <v>6130</v>
      </c>
      <c r="M200" t="s">
        <v>201</v>
      </c>
      <c r="N200">
        <v>2</v>
      </c>
      <c r="O200" t="s">
        <v>6129</v>
      </c>
      <c r="P200" t="s">
        <v>6128</v>
      </c>
      <c r="Q200" t="s">
        <v>6127</v>
      </c>
      <c r="R200" s="7">
        <v>31778</v>
      </c>
      <c r="S200" s="8">
        <f t="shared" si="24"/>
        <v>1987</v>
      </c>
      <c r="T200" s="8">
        <v>1987</v>
      </c>
      <c r="U200" s="8">
        <f t="shared" si="25"/>
        <v>35</v>
      </c>
      <c r="V200" s="7">
        <v>31778</v>
      </c>
      <c r="W200" t="s">
        <v>51</v>
      </c>
      <c r="X200" s="2">
        <v>1.1579999999999999</v>
      </c>
      <c r="Y200" s="6">
        <f t="shared" si="30"/>
        <v>3.0912148634579962E-2</v>
      </c>
      <c r="AA200">
        <v>1668595</v>
      </c>
      <c r="AB200">
        <v>14223</v>
      </c>
      <c r="AC200">
        <v>15735079</v>
      </c>
      <c r="AD200" t="s">
        <v>4</v>
      </c>
      <c r="AE200">
        <v>11</v>
      </c>
      <c r="AF200">
        <v>2</v>
      </c>
      <c r="AH200" t="s">
        <v>6126</v>
      </c>
      <c r="AI200" t="s">
        <v>6125</v>
      </c>
      <c r="AJ200" t="s">
        <v>6124</v>
      </c>
      <c r="AK200" t="s">
        <v>6123</v>
      </c>
      <c r="AL200">
        <v>9</v>
      </c>
      <c r="AM200" s="5">
        <f t="shared" si="26"/>
        <v>0.25714285714285712</v>
      </c>
      <c r="AN200" s="4">
        <f t="shared" si="31"/>
        <v>3.8946286579758747E-4</v>
      </c>
      <c r="AO200" s="3"/>
      <c r="AP200">
        <v>0</v>
      </c>
      <c r="AR200" t="s">
        <v>0</v>
      </c>
      <c r="AT200" s="2">
        <v>3.573</v>
      </c>
      <c r="AU200" s="1">
        <f t="shared" si="27"/>
        <v>2.1755342903945247</v>
      </c>
      <c r="AV200" s="1">
        <f t="shared" si="28"/>
        <v>1.5650805750188777</v>
      </c>
      <c r="AW200" s="1">
        <f t="shared" si="29"/>
        <v>0.95462685964322991</v>
      </c>
    </row>
    <row r="201" spans="1:49" x14ac:dyDescent="0.2">
      <c r="A201">
        <v>199</v>
      </c>
      <c r="B201" t="s">
        <v>6122</v>
      </c>
      <c r="C201" t="s">
        <v>6121</v>
      </c>
      <c r="F201" t="s">
        <v>6120</v>
      </c>
      <c r="G201" t="s">
        <v>14</v>
      </c>
      <c r="H201" t="s">
        <v>13</v>
      </c>
      <c r="I201" t="s">
        <v>6119</v>
      </c>
      <c r="J201" t="s">
        <v>6118</v>
      </c>
      <c r="K201" t="s">
        <v>6117</v>
      </c>
      <c r="L201" t="s">
        <v>6116</v>
      </c>
      <c r="M201" t="s">
        <v>55</v>
      </c>
      <c r="N201">
        <v>1</v>
      </c>
      <c r="O201" t="s">
        <v>6115</v>
      </c>
      <c r="P201">
        <v>22968857800</v>
      </c>
      <c r="Q201" t="s">
        <v>6114</v>
      </c>
      <c r="R201" s="7">
        <v>31778</v>
      </c>
      <c r="S201" s="8">
        <f t="shared" si="24"/>
        <v>1987</v>
      </c>
      <c r="T201" s="8">
        <v>1987</v>
      </c>
      <c r="U201" s="8">
        <f t="shared" si="25"/>
        <v>35</v>
      </c>
      <c r="V201" s="7">
        <v>1987</v>
      </c>
      <c r="W201" t="s">
        <v>6113</v>
      </c>
      <c r="X201" s="2">
        <v>3.6880000000000002</v>
      </c>
      <c r="Y201" s="6">
        <f t="shared" si="30"/>
        <v>9.8449053682496471E-2</v>
      </c>
      <c r="AA201">
        <v>319007</v>
      </c>
      <c r="AB201">
        <v>29150</v>
      </c>
      <c r="AD201" t="s">
        <v>4</v>
      </c>
      <c r="AE201">
        <v>58</v>
      </c>
      <c r="AF201">
        <v>5</v>
      </c>
      <c r="AH201" t="s">
        <v>6112</v>
      </c>
      <c r="AI201" t="s">
        <v>6111</v>
      </c>
      <c r="AK201" t="s">
        <v>6110</v>
      </c>
      <c r="AL201">
        <v>7</v>
      </c>
      <c r="AM201" s="5">
        <f t="shared" si="26"/>
        <v>0.2</v>
      </c>
      <c r="AN201" s="4">
        <f t="shared" si="31"/>
        <v>3.0291556228701253E-4</v>
      </c>
      <c r="AO201" s="3"/>
      <c r="AP201">
        <v>0</v>
      </c>
      <c r="AR201" t="s">
        <v>0</v>
      </c>
      <c r="AT201" s="2">
        <v>9.1609999999999996</v>
      </c>
      <c r="AU201" s="1">
        <f t="shared" si="27"/>
        <v>6.900521224643362</v>
      </c>
      <c r="AV201" s="1">
        <f t="shared" si="28"/>
        <v>4.9375984622391744</v>
      </c>
      <c r="AW201" s="1">
        <f t="shared" si="29"/>
        <v>2.974675699834985</v>
      </c>
    </row>
    <row r="202" spans="1:49" x14ac:dyDescent="0.2">
      <c r="A202">
        <v>200</v>
      </c>
      <c r="B202" t="s">
        <v>6109</v>
      </c>
      <c r="C202" t="s">
        <v>6108</v>
      </c>
      <c r="F202" t="s">
        <v>6107</v>
      </c>
      <c r="G202" t="s">
        <v>14</v>
      </c>
      <c r="H202" t="s">
        <v>13</v>
      </c>
      <c r="I202" t="s">
        <v>6106</v>
      </c>
      <c r="J202">
        <v>60005603</v>
      </c>
      <c r="K202" t="s">
        <v>6105</v>
      </c>
      <c r="L202" t="s">
        <v>1499</v>
      </c>
      <c r="M202" t="s">
        <v>685</v>
      </c>
      <c r="N202">
        <v>2</v>
      </c>
      <c r="O202" t="s">
        <v>6104</v>
      </c>
      <c r="P202" t="s">
        <v>6103</v>
      </c>
      <c r="Q202" t="s">
        <v>6102</v>
      </c>
      <c r="R202" s="7">
        <v>31778</v>
      </c>
      <c r="S202" s="8">
        <f t="shared" si="24"/>
        <v>1987</v>
      </c>
      <c r="T202" s="8">
        <v>1987</v>
      </c>
      <c r="U202" s="8">
        <f t="shared" si="25"/>
        <v>35</v>
      </c>
      <c r="V202" s="7" t="s">
        <v>4636</v>
      </c>
      <c r="W202" t="s">
        <v>372</v>
      </c>
      <c r="X202" s="2">
        <v>2.141</v>
      </c>
      <c r="Y202" s="6">
        <f t="shared" si="30"/>
        <v>5.7152772216438434E-2</v>
      </c>
      <c r="AA202">
        <v>1962892</v>
      </c>
      <c r="AB202">
        <v>17360</v>
      </c>
      <c r="AD202" t="s">
        <v>4</v>
      </c>
      <c r="AE202" t="s">
        <v>371</v>
      </c>
      <c r="AF202">
        <v>6</v>
      </c>
      <c r="AI202" t="s">
        <v>6101</v>
      </c>
      <c r="AK202" t="s">
        <v>6100</v>
      </c>
      <c r="AL202">
        <v>12</v>
      </c>
      <c r="AM202" s="5">
        <f t="shared" si="26"/>
        <v>0.34285714285714286</v>
      </c>
      <c r="AN202" s="4">
        <f t="shared" si="31"/>
        <v>5.1928382106345003E-4</v>
      </c>
      <c r="AO202" s="3"/>
      <c r="AP202">
        <v>0</v>
      </c>
      <c r="AR202" t="s">
        <v>0</v>
      </c>
      <c r="AT202" s="2" t="s">
        <v>32</v>
      </c>
      <c r="AU202" s="1">
        <f t="shared" si="27"/>
        <v>4.0162725697825934</v>
      </c>
      <c r="AV202" s="1">
        <f t="shared" si="28"/>
        <v>2.8836028018750941</v>
      </c>
      <c r="AW202" s="1">
        <f t="shared" si="29"/>
        <v>1.7509330339675944</v>
      </c>
    </row>
    <row r="203" spans="1:49" x14ac:dyDescent="0.2">
      <c r="A203">
        <v>201</v>
      </c>
      <c r="B203" t="s">
        <v>6099</v>
      </c>
      <c r="C203" t="s">
        <v>6098</v>
      </c>
      <c r="F203" t="s">
        <v>6097</v>
      </c>
      <c r="G203" t="s">
        <v>14</v>
      </c>
      <c r="H203" t="s">
        <v>13</v>
      </c>
      <c r="I203" t="s">
        <v>6096</v>
      </c>
      <c r="J203">
        <v>60007843</v>
      </c>
      <c r="K203" t="s">
        <v>2777</v>
      </c>
      <c r="L203" t="s">
        <v>2776</v>
      </c>
      <c r="M203" t="s">
        <v>9</v>
      </c>
      <c r="N203">
        <v>1</v>
      </c>
      <c r="O203" t="s">
        <v>6095</v>
      </c>
      <c r="P203">
        <v>7403291091</v>
      </c>
      <c r="Q203">
        <v>60007843</v>
      </c>
      <c r="R203" s="7">
        <v>31778</v>
      </c>
      <c r="S203" s="8">
        <f t="shared" si="24"/>
        <v>1987</v>
      </c>
      <c r="T203" s="8">
        <v>1987</v>
      </c>
      <c r="U203" s="8">
        <f t="shared" si="25"/>
        <v>35</v>
      </c>
      <c r="V203" s="7">
        <v>31990</v>
      </c>
      <c r="W203" t="s">
        <v>336</v>
      </c>
      <c r="X203" s="2">
        <v>1.6519999999999999</v>
      </c>
      <c r="Y203" s="6">
        <f t="shared" si="30"/>
        <v>4.409919649769093E-2</v>
      </c>
      <c r="AA203" t="s">
        <v>335</v>
      </c>
      <c r="AB203">
        <v>17337</v>
      </c>
      <c r="AC203">
        <v>15582221</v>
      </c>
      <c r="AD203" t="s">
        <v>4</v>
      </c>
      <c r="AE203">
        <v>35</v>
      </c>
      <c r="AF203">
        <v>8</v>
      </c>
      <c r="AH203" t="s">
        <v>6094</v>
      </c>
      <c r="AI203" t="s">
        <v>6093</v>
      </c>
      <c r="AK203" t="s">
        <v>6092</v>
      </c>
      <c r="AL203">
        <v>2</v>
      </c>
      <c r="AM203" s="5">
        <f t="shared" si="26"/>
        <v>5.7142857142857141E-2</v>
      </c>
      <c r="AN203" s="4">
        <f t="shared" si="31"/>
        <v>8.6547303510575E-5</v>
      </c>
      <c r="AO203" s="3"/>
      <c r="AP203">
        <v>0</v>
      </c>
      <c r="AR203" t="s">
        <v>0</v>
      </c>
      <c r="AT203" s="2" t="s">
        <v>32</v>
      </c>
      <c r="AU203" s="1">
        <f t="shared" si="27"/>
        <v>3.0895401739436825</v>
      </c>
      <c r="AV203" s="1">
        <f t="shared" si="28"/>
        <v>2.2092871900600755</v>
      </c>
      <c r="AW203" s="1">
        <f t="shared" si="29"/>
        <v>1.3290342061764679</v>
      </c>
    </row>
    <row r="204" spans="1:49" x14ac:dyDescent="0.2">
      <c r="A204">
        <v>202</v>
      </c>
      <c r="B204" t="s">
        <v>6091</v>
      </c>
      <c r="C204" t="s">
        <v>6090</v>
      </c>
      <c r="F204" t="s">
        <v>6089</v>
      </c>
      <c r="G204" t="s">
        <v>14</v>
      </c>
      <c r="H204" t="s">
        <v>13</v>
      </c>
      <c r="I204" t="s">
        <v>6088</v>
      </c>
      <c r="J204">
        <v>60006832</v>
      </c>
      <c r="K204" t="s">
        <v>6087</v>
      </c>
      <c r="L204" t="s">
        <v>6086</v>
      </c>
      <c r="M204" t="s">
        <v>9</v>
      </c>
      <c r="N204">
        <v>1</v>
      </c>
      <c r="O204" t="s">
        <v>6085</v>
      </c>
      <c r="P204">
        <v>7103061401</v>
      </c>
      <c r="Q204">
        <v>60006832</v>
      </c>
      <c r="R204" s="7">
        <v>31778</v>
      </c>
      <c r="S204" s="8">
        <f t="shared" si="24"/>
        <v>1987</v>
      </c>
      <c r="T204" s="8">
        <v>1987</v>
      </c>
      <c r="U204" s="8">
        <f t="shared" si="25"/>
        <v>35</v>
      </c>
      <c r="V204" s="7">
        <v>31990</v>
      </c>
      <c r="W204" t="s">
        <v>6084</v>
      </c>
      <c r="X204" s="2">
        <v>0.91600000000000004</v>
      </c>
      <c r="Y204" s="6">
        <f t="shared" si="30"/>
        <v>2.4452096847387951E-2</v>
      </c>
      <c r="AA204">
        <v>189359</v>
      </c>
      <c r="AB204">
        <v>17344</v>
      </c>
      <c r="AC204">
        <v>15579638</v>
      </c>
      <c r="AD204" t="s">
        <v>4</v>
      </c>
      <c r="AE204" t="s">
        <v>6083</v>
      </c>
      <c r="AF204">
        <v>3</v>
      </c>
      <c r="AH204" t="s">
        <v>2849</v>
      </c>
      <c r="AI204" t="s">
        <v>6082</v>
      </c>
      <c r="AK204" t="s">
        <v>6081</v>
      </c>
      <c r="AL204">
        <v>4</v>
      </c>
      <c r="AM204" s="5">
        <f t="shared" si="26"/>
        <v>0.11428571428571428</v>
      </c>
      <c r="AN204" s="4">
        <f t="shared" si="31"/>
        <v>1.7309460702115E-4</v>
      </c>
      <c r="AO204" s="3"/>
      <c r="AP204">
        <v>0</v>
      </c>
      <c r="AR204" t="s">
        <v>0</v>
      </c>
      <c r="AT204" s="2">
        <v>2.1160000000000001</v>
      </c>
      <c r="AU204" s="1">
        <f t="shared" si="27"/>
        <v>1.7168396175277909</v>
      </c>
      <c r="AV204" s="1">
        <f t="shared" si="28"/>
        <v>1.2312595727204552</v>
      </c>
      <c r="AW204" s="1">
        <f t="shared" si="29"/>
        <v>0.74567952791311898</v>
      </c>
    </row>
    <row r="205" spans="1:49" x14ac:dyDescent="0.2">
      <c r="A205">
        <v>203</v>
      </c>
      <c r="B205" t="s">
        <v>6080</v>
      </c>
      <c r="F205" t="s">
        <v>6079</v>
      </c>
      <c r="G205" t="s">
        <v>14</v>
      </c>
      <c r="H205" t="s">
        <v>13</v>
      </c>
      <c r="I205" t="s">
        <v>6078</v>
      </c>
      <c r="J205" t="s">
        <v>6077</v>
      </c>
      <c r="K205" t="s">
        <v>6076</v>
      </c>
      <c r="L205" t="s">
        <v>6075</v>
      </c>
      <c r="M205" t="s">
        <v>6074</v>
      </c>
      <c r="N205">
        <v>3</v>
      </c>
      <c r="O205" t="s">
        <v>6073</v>
      </c>
      <c r="P205" t="s">
        <v>6072</v>
      </c>
      <c r="Q205" t="s">
        <v>6071</v>
      </c>
      <c r="R205" s="7">
        <v>31778</v>
      </c>
      <c r="S205" s="8">
        <f t="shared" si="24"/>
        <v>1987</v>
      </c>
      <c r="T205" s="8">
        <v>1987</v>
      </c>
      <c r="U205" s="8">
        <f t="shared" si="25"/>
        <v>35</v>
      </c>
      <c r="V205" s="7">
        <v>1987</v>
      </c>
      <c r="W205" t="s">
        <v>6070</v>
      </c>
      <c r="X205" s="2">
        <v>2.137</v>
      </c>
      <c r="Y205" s="6">
        <f t="shared" si="30"/>
        <v>5.7045994500947654E-2</v>
      </c>
      <c r="AA205">
        <v>46361</v>
      </c>
      <c r="AB205">
        <v>26750</v>
      </c>
      <c r="AC205">
        <v>14320746</v>
      </c>
      <c r="AD205" t="s">
        <v>4</v>
      </c>
      <c r="AE205">
        <v>186</v>
      </c>
      <c r="AF205" s="9">
        <v>44228</v>
      </c>
      <c r="AH205" t="s">
        <v>6069</v>
      </c>
      <c r="AI205" t="s">
        <v>6068</v>
      </c>
      <c r="AJ205" t="s">
        <v>6067</v>
      </c>
      <c r="AK205" t="s">
        <v>6066</v>
      </c>
      <c r="AL205">
        <v>2</v>
      </c>
      <c r="AM205" s="5">
        <f t="shared" si="26"/>
        <v>5.7142857142857141E-2</v>
      </c>
      <c r="AN205" s="4">
        <f t="shared" si="31"/>
        <v>8.6547303510575E-5</v>
      </c>
      <c r="AO205" s="3"/>
      <c r="AP205">
        <v>0</v>
      </c>
      <c r="AR205" t="s">
        <v>0</v>
      </c>
      <c r="AT205" s="2" t="s">
        <v>32</v>
      </c>
      <c r="AU205" s="1">
        <f t="shared" si="27"/>
        <v>3.9958160341716522</v>
      </c>
      <c r="AV205" s="1">
        <f t="shared" si="28"/>
        <v>2.8566270902229114</v>
      </c>
      <c r="AW205" s="1">
        <f t="shared" si="29"/>
        <v>1.7174381462741699</v>
      </c>
    </row>
    <row r="206" spans="1:49" x14ac:dyDescent="0.2">
      <c r="A206">
        <v>204</v>
      </c>
      <c r="B206" t="s">
        <v>6065</v>
      </c>
      <c r="C206" t="s">
        <v>6064</v>
      </c>
      <c r="F206" t="s">
        <v>6063</v>
      </c>
      <c r="G206" t="s">
        <v>14</v>
      </c>
      <c r="H206" t="s">
        <v>13</v>
      </c>
      <c r="I206" t="s">
        <v>1510</v>
      </c>
      <c r="J206">
        <v>60009697</v>
      </c>
      <c r="K206" t="s">
        <v>1573</v>
      </c>
      <c r="L206" t="s">
        <v>1572</v>
      </c>
      <c r="M206" t="s">
        <v>685</v>
      </c>
      <c r="N206">
        <v>2</v>
      </c>
      <c r="O206" t="s">
        <v>1509</v>
      </c>
      <c r="P206" t="s">
        <v>1508</v>
      </c>
      <c r="Q206" t="s">
        <v>1569</v>
      </c>
      <c r="R206" s="7">
        <v>31778</v>
      </c>
      <c r="S206" s="8">
        <f t="shared" si="24"/>
        <v>1987</v>
      </c>
      <c r="T206" s="8">
        <v>1987</v>
      </c>
      <c r="U206" s="8">
        <f t="shared" si="25"/>
        <v>35</v>
      </c>
      <c r="V206" s="7">
        <v>32112</v>
      </c>
      <c r="W206" t="s">
        <v>2543</v>
      </c>
      <c r="X206" s="2">
        <v>0.251</v>
      </c>
      <c r="Y206" s="6">
        <f t="shared" si="30"/>
        <v>6.7003016470462617E-3</v>
      </c>
      <c r="AA206">
        <v>207217</v>
      </c>
      <c r="AB206">
        <v>26145</v>
      </c>
      <c r="AC206">
        <v>13623060</v>
      </c>
      <c r="AD206" t="s">
        <v>4</v>
      </c>
      <c r="AE206">
        <v>63</v>
      </c>
      <c r="AF206">
        <v>6</v>
      </c>
      <c r="AH206" t="s">
        <v>6062</v>
      </c>
      <c r="AI206" t="s">
        <v>6061</v>
      </c>
      <c r="AK206" t="s">
        <v>6060</v>
      </c>
      <c r="AL206">
        <v>3</v>
      </c>
      <c r="AM206" s="5">
        <f t="shared" si="26"/>
        <v>8.5714285714285715E-2</v>
      </c>
      <c r="AN206" s="4">
        <f t="shared" si="31"/>
        <v>1.2982095526586251E-4</v>
      </c>
      <c r="AO206" s="3"/>
      <c r="AP206">
        <v>0</v>
      </c>
      <c r="AR206" t="s">
        <v>0</v>
      </c>
      <c r="AT206" s="2">
        <v>1.3360000000000001</v>
      </c>
      <c r="AU206" s="1">
        <f t="shared" si="27"/>
        <v>0.47291574395121416</v>
      </c>
      <c r="AV206" s="1">
        <f t="shared" si="28"/>
        <v>0.34150613011560621</v>
      </c>
      <c r="AW206" s="1">
        <f t="shared" si="29"/>
        <v>0.2100965162799982</v>
      </c>
    </row>
    <row r="207" spans="1:49" x14ac:dyDescent="0.2">
      <c r="A207">
        <v>205</v>
      </c>
      <c r="B207" t="s">
        <v>6059</v>
      </c>
      <c r="C207" t="s">
        <v>6058</v>
      </c>
      <c r="F207" t="s">
        <v>6057</v>
      </c>
      <c r="G207" t="s">
        <v>14</v>
      </c>
      <c r="H207" t="s">
        <v>13</v>
      </c>
      <c r="I207" t="s">
        <v>6056</v>
      </c>
      <c r="J207">
        <v>60027561</v>
      </c>
      <c r="K207" t="s">
        <v>341</v>
      </c>
      <c r="L207" t="s">
        <v>340</v>
      </c>
      <c r="M207" t="s">
        <v>9</v>
      </c>
      <c r="N207">
        <v>2</v>
      </c>
      <c r="O207" t="s">
        <v>752</v>
      </c>
      <c r="P207" t="s">
        <v>751</v>
      </c>
      <c r="Q207" t="s">
        <v>337</v>
      </c>
      <c r="R207" s="7">
        <v>31778</v>
      </c>
      <c r="S207" s="8">
        <f t="shared" si="24"/>
        <v>1987</v>
      </c>
      <c r="T207" s="8">
        <v>1987</v>
      </c>
      <c r="U207" s="8">
        <f t="shared" si="25"/>
        <v>35</v>
      </c>
      <c r="V207" s="7">
        <v>31990</v>
      </c>
      <c r="W207" t="s">
        <v>695</v>
      </c>
      <c r="X207" s="2">
        <v>2.383</v>
      </c>
      <c r="Y207" s="6">
        <f t="shared" si="30"/>
        <v>6.3612824003630442E-2</v>
      </c>
      <c r="AA207">
        <v>189219</v>
      </c>
      <c r="AB207">
        <v>17915</v>
      </c>
      <c r="AC207">
        <v>15582256</v>
      </c>
      <c r="AD207" t="s">
        <v>4</v>
      </c>
      <c r="AE207">
        <v>75</v>
      </c>
      <c r="AF207">
        <v>8</v>
      </c>
      <c r="AH207" t="s">
        <v>6055</v>
      </c>
      <c r="AI207" t="s">
        <v>6054</v>
      </c>
      <c r="AK207" t="s">
        <v>6053</v>
      </c>
      <c r="AL207">
        <v>14</v>
      </c>
      <c r="AM207" s="5">
        <f t="shared" si="26"/>
        <v>0.4</v>
      </c>
      <c r="AN207" s="4">
        <f t="shared" si="31"/>
        <v>6.0583112457402507E-4</v>
      </c>
      <c r="AO207" s="3"/>
      <c r="AP207">
        <v>0</v>
      </c>
      <c r="AR207" t="s">
        <v>0</v>
      </c>
      <c r="AT207" s="2">
        <v>10.961</v>
      </c>
      <c r="AU207" s="1">
        <f t="shared" si="27"/>
        <v>4.4710726139913515</v>
      </c>
      <c r="AV207" s="1">
        <f t="shared" si="28"/>
        <v>3.210932756410223</v>
      </c>
      <c r="AW207" s="1">
        <f t="shared" si="29"/>
        <v>1.950792898829095</v>
      </c>
    </row>
    <row r="208" spans="1:49" x14ac:dyDescent="0.2">
      <c r="A208">
        <v>206</v>
      </c>
      <c r="B208" t="s">
        <v>6052</v>
      </c>
      <c r="C208" t="s">
        <v>6051</v>
      </c>
      <c r="F208" t="s">
        <v>6050</v>
      </c>
      <c r="G208" t="s">
        <v>14</v>
      </c>
      <c r="H208" t="s">
        <v>13</v>
      </c>
      <c r="I208" t="s">
        <v>6049</v>
      </c>
      <c r="J208">
        <v>60006371</v>
      </c>
      <c r="K208" t="s">
        <v>6048</v>
      </c>
      <c r="L208" t="s">
        <v>6047</v>
      </c>
      <c r="M208" t="s">
        <v>9</v>
      </c>
      <c r="N208">
        <v>2</v>
      </c>
      <c r="O208" t="s">
        <v>6046</v>
      </c>
      <c r="P208" t="s">
        <v>6045</v>
      </c>
      <c r="Q208" t="s">
        <v>6044</v>
      </c>
      <c r="R208" s="7">
        <v>31778</v>
      </c>
      <c r="S208" s="8">
        <f t="shared" si="24"/>
        <v>1987</v>
      </c>
      <c r="T208" s="8">
        <v>1987</v>
      </c>
      <c r="U208" s="8">
        <f t="shared" si="25"/>
        <v>35</v>
      </c>
      <c r="V208" s="7">
        <v>31990</v>
      </c>
      <c r="W208" t="s">
        <v>1530</v>
      </c>
      <c r="X208" s="2">
        <v>0.65500000000000003</v>
      </c>
      <c r="Y208" s="6">
        <f t="shared" si="30"/>
        <v>1.7484850911614749E-2</v>
      </c>
      <c r="AA208">
        <v>189375</v>
      </c>
      <c r="AB208">
        <v>26051</v>
      </c>
      <c r="AC208" t="s">
        <v>1529</v>
      </c>
      <c r="AD208" t="s">
        <v>4</v>
      </c>
      <c r="AE208" t="s">
        <v>1528</v>
      </c>
      <c r="AF208">
        <v>3</v>
      </c>
      <c r="AH208" t="s">
        <v>2106</v>
      </c>
      <c r="AI208" t="s">
        <v>6043</v>
      </c>
      <c r="AK208" t="s">
        <v>6042</v>
      </c>
      <c r="AL208">
        <v>4</v>
      </c>
      <c r="AM208" s="5">
        <f t="shared" si="26"/>
        <v>0.11428571428571428</v>
      </c>
      <c r="AN208" s="4">
        <f t="shared" si="31"/>
        <v>1.7309460702115E-4</v>
      </c>
      <c r="AO208" s="3"/>
      <c r="AP208">
        <v>0</v>
      </c>
      <c r="AR208" t="s">
        <v>0</v>
      </c>
      <c r="AT208" s="2" t="s">
        <v>32</v>
      </c>
      <c r="AU208" s="1">
        <f t="shared" si="27"/>
        <v>1.2291324020236667</v>
      </c>
      <c r="AV208" s="1">
        <f t="shared" si="28"/>
        <v>0.88289727593179501</v>
      </c>
      <c r="AW208" s="1">
        <f t="shared" si="29"/>
        <v>0.536662149839923</v>
      </c>
    </row>
    <row r="209" spans="1:49" x14ac:dyDescent="0.2">
      <c r="A209">
        <v>207</v>
      </c>
      <c r="B209" t="s">
        <v>6041</v>
      </c>
      <c r="C209" t="s">
        <v>6040</v>
      </c>
      <c r="D209">
        <v>32063387901498</v>
      </c>
      <c r="F209" t="s">
        <v>6039</v>
      </c>
      <c r="G209" t="s">
        <v>14</v>
      </c>
      <c r="H209" t="s">
        <v>13</v>
      </c>
      <c r="I209" t="s">
        <v>6038</v>
      </c>
      <c r="J209">
        <v>60018714</v>
      </c>
      <c r="K209" t="s">
        <v>1500</v>
      </c>
      <c r="L209" t="s">
        <v>1499</v>
      </c>
      <c r="M209" t="s">
        <v>685</v>
      </c>
      <c r="N209">
        <v>1</v>
      </c>
      <c r="O209" t="s">
        <v>6037</v>
      </c>
      <c r="P209">
        <v>55663947600</v>
      </c>
      <c r="Q209">
        <v>60018714</v>
      </c>
      <c r="R209" s="7">
        <v>31778</v>
      </c>
      <c r="S209" s="8">
        <f t="shared" si="24"/>
        <v>1987</v>
      </c>
      <c r="T209" s="8">
        <v>1987</v>
      </c>
      <c r="U209" s="8">
        <f t="shared" si="25"/>
        <v>35</v>
      </c>
      <c r="V209" s="7">
        <v>31778</v>
      </c>
      <c r="W209" t="s">
        <v>6036</v>
      </c>
      <c r="X209" s="2">
        <v>0.69599999999999995</v>
      </c>
      <c r="Y209" s="6">
        <f t="shared" si="30"/>
        <v>1.857932249539521E-2</v>
      </c>
      <c r="AA209">
        <v>320633</v>
      </c>
      <c r="AB209">
        <v>27773</v>
      </c>
      <c r="AD209" t="s">
        <v>4</v>
      </c>
      <c r="AE209">
        <v>35</v>
      </c>
      <c r="AF209">
        <v>1</v>
      </c>
      <c r="AH209" t="s">
        <v>6035</v>
      </c>
      <c r="AI209" t="s">
        <v>6034</v>
      </c>
      <c r="AK209" t="s">
        <v>6033</v>
      </c>
      <c r="AL209">
        <v>5</v>
      </c>
      <c r="AM209" s="5">
        <f t="shared" si="26"/>
        <v>0.14285714285714285</v>
      </c>
      <c r="AN209" s="4">
        <f t="shared" si="31"/>
        <v>2.1636825877643749E-4</v>
      </c>
      <c r="AO209" s="3"/>
      <c r="AP209">
        <v>0</v>
      </c>
      <c r="AR209" t="s">
        <v>0</v>
      </c>
      <c r="AT209" s="2">
        <v>2.0299999999999998</v>
      </c>
      <c r="AU209" s="1">
        <f t="shared" si="27"/>
        <v>1.3070436224409576</v>
      </c>
      <c r="AV209" s="1">
        <f t="shared" si="28"/>
        <v>0.93978453770858228</v>
      </c>
      <c r="AW209" s="1">
        <f t="shared" si="29"/>
        <v>0.57252545297620694</v>
      </c>
    </row>
    <row r="210" spans="1:49" x14ac:dyDescent="0.2">
      <c r="A210">
        <v>208</v>
      </c>
      <c r="B210" t="s">
        <v>6032</v>
      </c>
      <c r="C210" t="s">
        <v>6031</v>
      </c>
      <c r="F210" t="s">
        <v>6030</v>
      </c>
      <c r="G210" t="s">
        <v>14</v>
      </c>
      <c r="H210" t="s">
        <v>13</v>
      </c>
      <c r="I210" t="s">
        <v>6029</v>
      </c>
      <c r="J210">
        <v>60000112</v>
      </c>
      <c r="K210" t="s">
        <v>6028</v>
      </c>
      <c r="L210" t="s">
        <v>6027</v>
      </c>
      <c r="M210" t="s">
        <v>586</v>
      </c>
      <c r="N210">
        <v>2</v>
      </c>
      <c r="O210" t="s">
        <v>6026</v>
      </c>
      <c r="P210" t="s">
        <v>6025</v>
      </c>
      <c r="Q210" t="s">
        <v>6024</v>
      </c>
      <c r="R210" s="7">
        <v>31778</v>
      </c>
      <c r="S210" s="8">
        <f t="shared" si="24"/>
        <v>1987</v>
      </c>
      <c r="T210" s="8">
        <v>1987</v>
      </c>
      <c r="U210" s="8">
        <f t="shared" si="25"/>
        <v>35</v>
      </c>
      <c r="V210" s="7" t="s">
        <v>1968</v>
      </c>
      <c r="W210" t="s">
        <v>6023</v>
      </c>
      <c r="X210" s="2">
        <v>0.51100000000000001</v>
      </c>
      <c r="Y210" s="6">
        <f t="shared" si="30"/>
        <v>1.3640853153946772E-2</v>
      </c>
      <c r="AA210">
        <v>222933</v>
      </c>
      <c r="AB210">
        <v>29630</v>
      </c>
      <c r="AC210">
        <v>14645262</v>
      </c>
      <c r="AD210" t="s">
        <v>4</v>
      </c>
      <c r="AE210">
        <v>21</v>
      </c>
      <c r="AF210">
        <v>2</v>
      </c>
      <c r="AH210" t="s">
        <v>6022</v>
      </c>
      <c r="AI210" t="s">
        <v>6021</v>
      </c>
      <c r="AK210" t="s">
        <v>6020</v>
      </c>
      <c r="AL210">
        <v>23</v>
      </c>
      <c r="AM210" s="5">
        <f t="shared" si="26"/>
        <v>0.65714285714285714</v>
      </c>
      <c r="AN210" s="4">
        <f t="shared" si="31"/>
        <v>9.9529399037161259E-4</v>
      </c>
      <c r="AO210" s="3"/>
      <c r="AP210">
        <v>0</v>
      </c>
      <c r="AR210" t="s">
        <v>0</v>
      </c>
      <c r="AT210" s="2">
        <v>1.016</v>
      </c>
      <c r="AU210" s="1">
        <f t="shared" si="27"/>
        <v>0.98471854048742236</v>
      </c>
      <c r="AV210" s="1">
        <f t="shared" si="28"/>
        <v>0.73180735721591916</v>
      </c>
      <c r="AW210" s="1">
        <f t="shared" si="29"/>
        <v>0.47889617394441597</v>
      </c>
    </row>
    <row r="211" spans="1:49" x14ac:dyDescent="0.2">
      <c r="A211">
        <v>209</v>
      </c>
      <c r="B211" t="s">
        <v>6019</v>
      </c>
      <c r="C211" t="s">
        <v>6018</v>
      </c>
      <c r="D211">
        <v>20732287900158</v>
      </c>
      <c r="F211" t="s">
        <v>6017</v>
      </c>
      <c r="G211" t="s">
        <v>14</v>
      </c>
      <c r="H211" t="s">
        <v>13</v>
      </c>
      <c r="I211" t="s">
        <v>6016</v>
      </c>
      <c r="J211">
        <v>60032619</v>
      </c>
      <c r="K211" t="s">
        <v>6015</v>
      </c>
      <c r="L211" t="s">
        <v>6014</v>
      </c>
      <c r="M211" t="s">
        <v>685</v>
      </c>
      <c r="N211">
        <v>2</v>
      </c>
      <c r="O211" t="s">
        <v>6013</v>
      </c>
      <c r="P211" t="s">
        <v>6012</v>
      </c>
      <c r="Q211" t="s">
        <v>6011</v>
      </c>
      <c r="R211" s="7">
        <v>31778</v>
      </c>
      <c r="S211" s="8">
        <f t="shared" si="24"/>
        <v>1987</v>
      </c>
      <c r="T211" s="8">
        <v>1987</v>
      </c>
      <c r="U211" s="8">
        <f t="shared" si="25"/>
        <v>35</v>
      </c>
      <c r="V211" s="7">
        <v>1987</v>
      </c>
      <c r="W211" t="s">
        <v>6010</v>
      </c>
      <c r="X211" s="2">
        <v>0.998</v>
      </c>
      <c r="Y211" s="6">
        <f t="shared" si="30"/>
        <v>2.664104001494888E-2</v>
      </c>
      <c r="AA211">
        <v>207322</v>
      </c>
      <c r="AB211">
        <v>90127</v>
      </c>
      <c r="AD211" t="s">
        <v>4</v>
      </c>
      <c r="AE211">
        <v>16</v>
      </c>
      <c r="AF211">
        <v>2</v>
      </c>
      <c r="AH211" t="s">
        <v>6009</v>
      </c>
      <c r="AI211" t="s">
        <v>6008</v>
      </c>
      <c r="AJ211" t="s">
        <v>6007</v>
      </c>
      <c r="AK211" t="s">
        <v>6006</v>
      </c>
      <c r="AL211">
        <v>21</v>
      </c>
      <c r="AM211" s="5">
        <f t="shared" si="26"/>
        <v>0.6</v>
      </c>
      <c r="AN211" s="4">
        <f t="shared" si="31"/>
        <v>9.0874668686103744E-4</v>
      </c>
      <c r="AO211" s="3"/>
      <c r="AP211">
        <v>0</v>
      </c>
      <c r="AQ211" t="s">
        <v>5805</v>
      </c>
      <c r="AR211" t="s">
        <v>0</v>
      </c>
      <c r="AS211" t="s">
        <v>5803</v>
      </c>
      <c r="AT211" s="2" t="s">
        <v>32</v>
      </c>
      <c r="AU211" s="1">
        <f t="shared" si="27"/>
        <v>1.8921352016522528</v>
      </c>
      <c r="AV211" s="1">
        <f t="shared" si="28"/>
        <v>1.377489335090496</v>
      </c>
      <c r="AW211" s="1">
        <f t="shared" si="29"/>
        <v>0.86284346852873905</v>
      </c>
    </row>
    <row r="212" spans="1:49" x14ac:dyDescent="0.2">
      <c r="A212">
        <v>210</v>
      </c>
      <c r="B212" t="s">
        <v>6005</v>
      </c>
      <c r="C212" t="s">
        <v>6004</v>
      </c>
      <c r="F212" t="s">
        <v>6003</v>
      </c>
      <c r="G212" t="s">
        <v>14</v>
      </c>
      <c r="H212" t="s">
        <v>13</v>
      </c>
      <c r="I212" t="s">
        <v>6002</v>
      </c>
      <c r="J212">
        <v>60009037</v>
      </c>
      <c r="K212" t="s">
        <v>600</v>
      </c>
      <c r="L212" t="s">
        <v>599</v>
      </c>
      <c r="M212" t="s">
        <v>9</v>
      </c>
      <c r="N212">
        <v>1</v>
      </c>
      <c r="O212" t="s">
        <v>6001</v>
      </c>
      <c r="P212">
        <v>16461352300</v>
      </c>
      <c r="Q212">
        <v>60009037</v>
      </c>
      <c r="R212" s="7">
        <v>31778</v>
      </c>
      <c r="S212" s="8">
        <f t="shared" si="24"/>
        <v>1987</v>
      </c>
      <c r="T212" s="8">
        <v>1987</v>
      </c>
      <c r="U212" s="8">
        <f t="shared" si="25"/>
        <v>35</v>
      </c>
      <c r="V212" s="7">
        <v>31778</v>
      </c>
      <c r="W212" t="s">
        <v>6000</v>
      </c>
      <c r="X212" s="2">
        <v>0.35499999999999998</v>
      </c>
      <c r="Y212" s="6">
        <f t="shared" si="30"/>
        <v>9.4765222498064648E-3</v>
      </c>
      <c r="AA212">
        <v>1679295</v>
      </c>
      <c r="AB212">
        <v>27181</v>
      </c>
      <c r="AC212">
        <v>15730794</v>
      </c>
      <c r="AD212" t="s">
        <v>4</v>
      </c>
      <c r="AE212">
        <v>37</v>
      </c>
      <c r="AF212">
        <v>1</v>
      </c>
      <c r="AH212" t="s">
        <v>5999</v>
      </c>
      <c r="AI212" t="s">
        <v>5998</v>
      </c>
      <c r="AK212" t="s">
        <v>5997</v>
      </c>
      <c r="AL212">
        <v>39</v>
      </c>
      <c r="AM212" s="5">
        <f t="shared" si="26"/>
        <v>1.1142857142857143</v>
      </c>
      <c r="AN212" s="4">
        <f t="shared" si="31"/>
        <v>1.6876724184562125E-3</v>
      </c>
      <c r="AO212" s="3"/>
      <c r="AP212">
        <v>0</v>
      </c>
      <c r="AR212" t="s">
        <v>0</v>
      </c>
      <c r="AT212" s="2" t="s">
        <v>32</v>
      </c>
      <c r="AU212" s="1">
        <f t="shared" si="27"/>
        <v>0.71398673004013891</v>
      </c>
      <c r="AV212" s="1">
        <f t="shared" si="28"/>
        <v>0.55820973341313385</v>
      </c>
      <c r="AW212" s="1">
        <f t="shared" si="29"/>
        <v>0.40243273678612879</v>
      </c>
    </row>
    <row r="213" spans="1:49" x14ac:dyDescent="0.2">
      <c r="A213">
        <v>211</v>
      </c>
      <c r="B213" t="s">
        <v>5996</v>
      </c>
      <c r="C213" t="s">
        <v>5995</v>
      </c>
      <c r="F213" t="s">
        <v>5994</v>
      </c>
      <c r="G213" t="s">
        <v>14</v>
      </c>
      <c r="H213" t="s">
        <v>13</v>
      </c>
      <c r="I213" t="s">
        <v>5993</v>
      </c>
      <c r="J213">
        <v>60001526</v>
      </c>
      <c r="K213" t="s">
        <v>257</v>
      </c>
      <c r="L213" t="s">
        <v>256</v>
      </c>
      <c r="M213" t="s">
        <v>9</v>
      </c>
      <c r="N213">
        <v>3</v>
      </c>
      <c r="O213" t="s">
        <v>5992</v>
      </c>
      <c r="P213" t="s">
        <v>5991</v>
      </c>
      <c r="Q213" t="s">
        <v>5990</v>
      </c>
      <c r="R213" s="7">
        <v>31778</v>
      </c>
      <c r="S213" s="8">
        <f t="shared" si="24"/>
        <v>1987</v>
      </c>
      <c r="T213" s="8">
        <v>1987</v>
      </c>
      <c r="U213" s="8">
        <f t="shared" si="25"/>
        <v>35</v>
      </c>
      <c r="V213" s="7">
        <v>31868</v>
      </c>
      <c r="W213" t="s">
        <v>67</v>
      </c>
      <c r="X213" s="2">
        <v>0.76500000000000001</v>
      </c>
      <c r="Y213" s="6">
        <f t="shared" si="30"/>
        <v>2.0421238087611118E-2</v>
      </c>
      <c r="AA213">
        <v>138703</v>
      </c>
      <c r="AB213">
        <v>19793</v>
      </c>
      <c r="AC213">
        <v>15707458</v>
      </c>
      <c r="AD213" t="s">
        <v>4</v>
      </c>
      <c r="AE213">
        <v>43</v>
      </c>
      <c r="AF213">
        <v>2</v>
      </c>
      <c r="AH213" t="s">
        <v>5989</v>
      </c>
      <c r="AI213" t="s">
        <v>5988</v>
      </c>
      <c r="AJ213" t="s">
        <v>5987</v>
      </c>
      <c r="AK213" t="s">
        <v>5986</v>
      </c>
      <c r="AL213">
        <v>52</v>
      </c>
      <c r="AM213" s="5">
        <f t="shared" si="26"/>
        <v>1.4857142857142858</v>
      </c>
      <c r="AN213" s="4">
        <f t="shared" si="31"/>
        <v>2.25022989127495E-3</v>
      </c>
      <c r="AO213" s="3"/>
      <c r="AP213">
        <v>0</v>
      </c>
      <c r="AR213" t="s">
        <v>0</v>
      </c>
      <c r="AT213" s="2" t="s">
        <v>32</v>
      </c>
      <c r="AU213" s="1">
        <f t="shared" si="27"/>
        <v>1.4969935628710267</v>
      </c>
      <c r="AV213" s="1">
        <f t="shared" si="28"/>
        <v>1.1335733989443033</v>
      </c>
      <c r="AW213" s="1">
        <f t="shared" si="29"/>
        <v>0.77015323501758004</v>
      </c>
    </row>
    <row r="214" spans="1:49" x14ac:dyDescent="0.2">
      <c r="A214">
        <v>212</v>
      </c>
      <c r="B214" t="s">
        <v>5985</v>
      </c>
      <c r="C214" t="s">
        <v>5984</v>
      </c>
      <c r="F214" t="s">
        <v>5983</v>
      </c>
      <c r="G214" t="s">
        <v>14</v>
      </c>
      <c r="H214" t="s">
        <v>13</v>
      </c>
      <c r="I214" t="s">
        <v>1722</v>
      </c>
      <c r="J214">
        <v>60001439</v>
      </c>
      <c r="K214" t="s">
        <v>1721</v>
      </c>
      <c r="L214" t="s">
        <v>1720</v>
      </c>
      <c r="M214" t="s">
        <v>9</v>
      </c>
      <c r="N214">
        <v>3</v>
      </c>
      <c r="O214" t="s">
        <v>5982</v>
      </c>
      <c r="P214" t="s">
        <v>1718</v>
      </c>
      <c r="Q214" t="s">
        <v>1717</v>
      </c>
      <c r="R214" s="7">
        <v>31778</v>
      </c>
      <c r="S214" s="8">
        <f t="shared" si="24"/>
        <v>1987</v>
      </c>
      <c r="T214" s="8">
        <v>1987</v>
      </c>
      <c r="U214" s="8">
        <f t="shared" si="25"/>
        <v>35</v>
      </c>
      <c r="V214" s="7">
        <v>32112</v>
      </c>
      <c r="W214" t="s">
        <v>2543</v>
      </c>
      <c r="X214" s="2">
        <v>0.251</v>
      </c>
      <c r="Y214" s="6">
        <f t="shared" si="30"/>
        <v>6.7003016470462617E-3</v>
      </c>
      <c r="AA214">
        <v>207217</v>
      </c>
      <c r="AB214">
        <v>26145</v>
      </c>
      <c r="AC214">
        <v>13623060</v>
      </c>
      <c r="AD214" t="s">
        <v>4</v>
      </c>
      <c r="AE214">
        <v>63</v>
      </c>
      <c r="AF214">
        <v>6</v>
      </c>
      <c r="AH214" t="s">
        <v>5981</v>
      </c>
      <c r="AI214" t="s">
        <v>5980</v>
      </c>
      <c r="AK214" t="s">
        <v>5979</v>
      </c>
      <c r="AL214">
        <v>13</v>
      </c>
      <c r="AM214" s="5">
        <f t="shared" si="26"/>
        <v>0.37142857142857144</v>
      </c>
      <c r="AN214" s="4">
        <f t="shared" si="31"/>
        <v>5.6255747281873749E-4</v>
      </c>
      <c r="AO214" s="3"/>
      <c r="AP214">
        <v>0</v>
      </c>
      <c r="AR214" t="s">
        <v>0</v>
      </c>
      <c r="AT214" s="2">
        <v>1.3360000000000001</v>
      </c>
      <c r="AU214" s="1">
        <f t="shared" si="27"/>
        <v>0.48589783947780035</v>
      </c>
      <c r="AV214" s="1">
        <f t="shared" si="28"/>
        <v>0.36314295599324997</v>
      </c>
      <c r="AW214" s="1">
        <f t="shared" si="29"/>
        <v>0.24038807250869945</v>
      </c>
    </row>
    <row r="215" spans="1:49" x14ac:dyDescent="0.2">
      <c r="A215">
        <v>213</v>
      </c>
      <c r="B215" t="s">
        <v>5978</v>
      </c>
      <c r="C215" t="s">
        <v>3767</v>
      </c>
      <c r="F215" t="s">
        <v>5977</v>
      </c>
      <c r="G215" t="s">
        <v>14</v>
      </c>
      <c r="H215" t="s">
        <v>13</v>
      </c>
      <c r="I215" t="s">
        <v>3765</v>
      </c>
      <c r="J215">
        <v>60025225</v>
      </c>
      <c r="K215" t="s">
        <v>3764</v>
      </c>
      <c r="L215" t="s">
        <v>3763</v>
      </c>
      <c r="M215" t="s">
        <v>586</v>
      </c>
      <c r="N215">
        <v>1</v>
      </c>
      <c r="O215" t="s">
        <v>3762</v>
      </c>
      <c r="P215">
        <v>7005229420</v>
      </c>
      <c r="Q215">
        <v>60025225</v>
      </c>
      <c r="R215" s="7">
        <v>31778</v>
      </c>
      <c r="S215" s="8">
        <f t="shared" si="24"/>
        <v>1987</v>
      </c>
      <c r="T215" s="8">
        <v>1987</v>
      </c>
      <c r="U215" s="8">
        <f t="shared" si="25"/>
        <v>35</v>
      </c>
      <c r="V215" s="7">
        <v>1987</v>
      </c>
      <c r="W215" s="11" t="s">
        <v>1483</v>
      </c>
      <c r="X215" s="2">
        <v>2.383</v>
      </c>
      <c r="Y215" s="6">
        <f t="shared" si="30"/>
        <v>6.3612824003630442E-2</v>
      </c>
      <c r="AA215">
        <v>1437070</v>
      </c>
      <c r="AB215">
        <v>39742</v>
      </c>
      <c r="AD215" t="s">
        <v>4</v>
      </c>
      <c r="AE215">
        <v>134</v>
      </c>
      <c r="AF215">
        <v>4</v>
      </c>
      <c r="AH215" t="s">
        <v>5976</v>
      </c>
      <c r="AI215" t="s">
        <v>5975</v>
      </c>
      <c r="AJ215" t="s">
        <v>5974</v>
      </c>
      <c r="AK215" t="s">
        <v>5973</v>
      </c>
      <c r="AL215">
        <v>3</v>
      </c>
      <c r="AM215" s="5">
        <f t="shared" si="26"/>
        <v>8.5714285714285715E-2</v>
      </c>
      <c r="AN215" s="4">
        <f t="shared" si="31"/>
        <v>1.2982095526586251E-4</v>
      </c>
      <c r="AO215" s="3"/>
      <c r="AP215">
        <v>0</v>
      </c>
      <c r="AR215" t="s">
        <v>0</v>
      </c>
      <c r="AT215" s="2" t="s">
        <v>32</v>
      </c>
      <c r="AU215" s="1">
        <f t="shared" si="27"/>
        <v>4.4567923089121066</v>
      </c>
      <c r="AV215" s="1">
        <f t="shared" si="28"/>
        <v>3.1871322479448154</v>
      </c>
      <c r="AW215" s="1">
        <f t="shared" si="29"/>
        <v>1.9174721869775238</v>
      </c>
    </row>
    <row r="216" spans="1:49" x14ac:dyDescent="0.2">
      <c r="A216">
        <v>214</v>
      </c>
      <c r="B216" t="s">
        <v>5972</v>
      </c>
      <c r="C216" t="s">
        <v>5971</v>
      </c>
      <c r="F216" t="s">
        <v>5970</v>
      </c>
      <c r="G216" t="s">
        <v>14</v>
      </c>
      <c r="H216" t="s">
        <v>13</v>
      </c>
      <c r="I216" t="s">
        <v>5969</v>
      </c>
      <c r="J216">
        <v>60029378</v>
      </c>
      <c r="K216" t="s">
        <v>5968</v>
      </c>
      <c r="L216" t="s">
        <v>5967</v>
      </c>
      <c r="M216" t="s">
        <v>9</v>
      </c>
      <c r="N216">
        <v>2</v>
      </c>
      <c r="O216" t="s">
        <v>5966</v>
      </c>
      <c r="P216" t="s">
        <v>5965</v>
      </c>
      <c r="Q216" t="s">
        <v>5964</v>
      </c>
      <c r="R216" s="7">
        <v>31778</v>
      </c>
      <c r="S216" s="8">
        <f t="shared" si="24"/>
        <v>1987</v>
      </c>
      <c r="T216" s="8">
        <v>1987</v>
      </c>
      <c r="U216" s="8">
        <f t="shared" si="25"/>
        <v>35</v>
      </c>
      <c r="V216" s="7">
        <v>1987</v>
      </c>
      <c r="W216" t="s">
        <v>5963</v>
      </c>
      <c r="X216" s="2">
        <v>0.56299999999999994</v>
      </c>
      <c r="Y216" s="6">
        <f t="shared" si="30"/>
        <v>1.5028963455326873E-2</v>
      </c>
      <c r="AA216">
        <v>288330</v>
      </c>
      <c r="AB216">
        <v>27910</v>
      </c>
      <c r="AC216">
        <v>11758805</v>
      </c>
      <c r="AD216" t="s">
        <v>4</v>
      </c>
      <c r="AE216">
        <v>21</v>
      </c>
      <c r="AF216">
        <v>4</v>
      </c>
      <c r="AH216" t="s">
        <v>5962</v>
      </c>
      <c r="AI216" t="s">
        <v>5961</v>
      </c>
      <c r="AJ216" t="s">
        <v>5960</v>
      </c>
      <c r="AK216" t="s">
        <v>5959</v>
      </c>
      <c r="AL216">
        <v>3</v>
      </c>
      <c r="AM216" s="5">
        <f t="shared" si="26"/>
        <v>8.5714285714285715E-2</v>
      </c>
      <c r="AN216" s="4">
        <f t="shared" si="31"/>
        <v>1.2982095526586251E-4</v>
      </c>
      <c r="AO216" s="3"/>
      <c r="AP216">
        <v>1</v>
      </c>
      <c r="AR216" t="s">
        <v>0</v>
      </c>
      <c r="AT216" s="2" t="s">
        <v>32</v>
      </c>
      <c r="AU216" s="1">
        <f t="shared" si="27"/>
        <v>1.0559220705308567</v>
      </c>
      <c r="AV216" s="1">
        <f t="shared" si="28"/>
        <v>0.75793922052963669</v>
      </c>
      <c r="AW216" s="1">
        <f t="shared" si="29"/>
        <v>0.45995637052841654</v>
      </c>
    </row>
    <row r="217" spans="1:49" x14ac:dyDescent="0.2">
      <c r="A217">
        <v>215</v>
      </c>
      <c r="B217" t="s">
        <v>5958</v>
      </c>
      <c r="C217" t="s">
        <v>5957</v>
      </c>
      <c r="F217" t="s">
        <v>5956</v>
      </c>
      <c r="G217" t="s">
        <v>14</v>
      </c>
      <c r="H217" t="s">
        <v>13</v>
      </c>
      <c r="I217" t="s">
        <v>5955</v>
      </c>
      <c r="J217">
        <v>60019499</v>
      </c>
      <c r="K217" t="s">
        <v>5954</v>
      </c>
      <c r="L217" t="s">
        <v>5953</v>
      </c>
      <c r="M217" t="s">
        <v>1384</v>
      </c>
      <c r="N217">
        <v>1</v>
      </c>
      <c r="O217" t="s">
        <v>5952</v>
      </c>
      <c r="P217">
        <v>7005528691</v>
      </c>
      <c r="Q217">
        <v>60019499</v>
      </c>
      <c r="R217" s="7">
        <v>31778</v>
      </c>
      <c r="S217" s="8">
        <f t="shared" si="24"/>
        <v>1987</v>
      </c>
      <c r="T217" s="8">
        <v>1987</v>
      </c>
      <c r="U217" s="8">
        <f t="shared" si="25"/>
        <v>35</v>
      </c>
      <c r="V217" s="7">
        <v>32082</v>
      </c>
      <c r="W217" t="s">
        <v>336</v>
      </c>
      <c r="X217" s="2">
        <v>1.6519999999999999</v>
      </c>
      <c r="Y217" s="6">
        <f t="shared" si="30"/>
        <v>4.409919649769093E-2</v>
      </c>
      <c r="AA217" t="s">
        <v>335</v>
      </c>
      <c r="AB217">
        <v>17337</v>
      </c>
      <c r="AC217">
        <v>15582221</v>
      </c>
      <c r="AD217" t="s">
        <v>4</v>
      </c>
      <c r="AE217">
        <v>35</v>
      </c>
      <c r="AF217">
        <v>11</v>
      </c>
      <c r="AH217" t="s">
        <v>5951</v>
      </c>
      <c r="AI217" t="s">
        <v>5950</v>
      </c>
      <c r="AK217" t="s">
        <v>5949</v>
      </c>
      <c r="AL217">
        <v>1</v>
      </c>
      <c r="AM217" s="5">
        <f t="shared" si="26"/>
        <v>2.8571428571428571E-2</v>
      </c>
      <c r="AN217" s="4">
        <f t="shared" si="31"/>
        <v>4.32736517552875E-5</v>
      </c>
      <c r="AO217" s="3"/>
      <c r="AP217">
        <v>0</v>
      </c>
      <c r="AR217" t="s">
        <v>0</v>
      </c>
      <c r="AT217" s="2" t="s">
        <v>32</v>
      </c>
      <c r="AU217" s="1">
        <f t="shared" si="27"/>
        <v>3.0882419643910235</v>
      </c>
      <c r="AV217" s="1">
        <f t="shared" si="28"/>
        <v>2.2071235074723106</v>
      </c>
      <c r="AW217" s="1">
        <f t="shared" si="29"/>
        <v>1.3260050505535981</v>
      </c>
    </row>
    <row r="218" spans="1:49" x14ac:dyDescent="0.2">
      <c r="A218">
        <v>216</v>
      </c>
      <c r="B218" t="s">
        <v>5948</v>
      </c>
      <c r="C218" t="s">
        <v>5947</v>
      </c>
      <c r="F218" t="s">
        <v>5946</v>
      </c>
      <c r="G218" t="s">
        <v>14</v>
      </c>
      <c r="H218" t="s">
        <v>13</v>
      </c>
      <c r="I218" t="s">
        <v>5945</v>
      </c>
      <c r="J218">
        <v>60025778</v>
      </c>
      <c r="K218" t="s">
        <v>1007</v>
      </c>
      <c r="L218" t="s">
        <v>1006</v>
      </c>
      <c r="M218" t="s">
        <v>9</v>
      </c>
      <c r="N218">
        <v>2</v>
      </c>
      <c r="O218" t="s">
        <v>5944</v>
      </c>
      <c r="P218" t="s">
        <v>5943</v>
      </c>
      <c r="Q218" t="s">
        <v>1003</v>
      </c>
      <c r="R218" s="7">
        <v>31778</v>
      </c>
      <c r="S218" s="8">
        <f t="shared" si="24"/>
        <v>1987</v>
      </c>
      <c r="T218" s="8">
        <v>1987</v>
      </c>
      <c r="U218" s="8">
        <f t="shared" si="25"/>
        <v>35</v>
      </c>
      <c r="V218" s="7">
        <v>32082</v>
      </c>
      <c r="W218" t="s">
        <v>336</v>
      </c>
      <c r="X218" s="2">
        <v>1.6519999999999999</v>
      </c>
      <c r="Y218" s="6">
        <f t="shared" si="30"/>
        <v>4.409919649769093E-2</v>
      </c>
      <c r="AA218" t="s">
        <v>335</v>
      </c>
      <c r="AB218">
        <v>17337</v>
      </c>
      <c r="AC218">
        <v>15582221</v>
      </c>
      <c r="AD218" t="s">
        <v>4</v>
      </c>
      <c r="AE218">
        <v>35</v>
      </c>
      <c r="AF218">
        <v>11</v>
      </c>
      <c r="AH218" t="s">
        <v>5942</v>
      </c>
      <c r="AI218" t="s">
        <v>5941</v>
      </c>
      <c r="AK218" t="s">
        <v>5940</v>
      </c>
      <c r="AL218">
        <v>33</v>
      </c>
      <c r="AM218" s="5">
        <f t="shared" si="26"/>
        <v>0.94285714285714284</v>
      </c>
      <c r="AN218" s="4">
        <f t="shared" si="31"/>
        <v>1.4280305079244875E-3</v>
      </c>
      <c r="AO218" s="3"/>
      <c r="AP218">
        <v>0</v>
      </c>
      <c r="AR218" t="s">
        <v>0</v>
      </c>
      <c r="AT218" s="2" t="s">
        <v>32</v>
      </c>
      <c r="AU218" s="1">
        <f t="shared" si="27"/>
        <v>3.1297846700760994</v>
      </c>
      <c r="AV218" s="1">
        <f t="shared" si="28"/>
        <v>2.2763613502807707</v>
      </c>
      <c r="AW218" s="1">
        <f t="shared" si="29"/>
        <v>1.422938030485442</v>
      </c>
    </row>
    <row r="219" spans="1:49" x14ac:dyDescent="0.2">
      <c r="A219">
        <v>217</v>
      </c>
      <c r="B219" t="s">
        <v>5939</v>
      </c>
      <c r="C219" t="s">
        <v>5938</v>
      </c>
      <c r="F219" t="s">
        <v>5937</v>
      </c>
      <c r="G219" t="s">
        <v>14</v>
      </c>
      <c r="H219" t="s">
        <v>13</v>
      </c>
      <c r="I219" t="s">
        <v>1131</v>
      </c>
      <c r="J219">
        <v>60003892</v>
      </c>
      <c r="K219" t="s">
        <v>1130</v>
      </c>
      <c r="L219" t="s">
        <v>1129</v>
      </c>
      <c r="M219" t="s">
        <v>9</v>
      </c>
      <c r="N219">
        <v>2</v>
      </c>
      <c r="O219" t="s">
        <v>1128</v>
      </c>
      <c r="P219" t="s">
        <v>1127</v>
      </c>
      <c r="Q219" t="s">
        <v>1126</v>
      </c>
      <c r="R219" s="7">
        <v>31778</v>
      </c>
      <c r="S219" s="8">
        <f t="shared" si="24"/>
        <v>1987</v>
      </c>
      <c r="T219" s="8">
        <v>1987</v>
      </c>
      <c r="U219" s="8">
        <f t="shared" si="25"/>
        <v>35</v>
      </c>
      <c r="V219" s="7">
        <v>32082</v>
      </c>
      <c r="W219" t="s">
        <v>336</v>
      </c>
      <c r="X219" s="2">
        <v>1.6519999999999999</v>
      </c>
      <c r="Y219" s="6">
        <f t="shared" si="30"/>
        <v>4.409919649769093E-2</v>
      </c>
      <c r="AA219" t="s">
        <v>335</v>
      </c>
      <c r="AB219">
        <v>17337</v>
      </c>
      <c r="AC219">
        <v>15582221</v>
      </c>
      <c r="AD219" t="s">
        <v>4</v>
      </c>
      <c r="AE219">
        <v>35</v>
      </c>
      <c r="AF219">
        <v>11</v>
      </c>
      <c r="AH219" t="s">
        <v>5936</v>
      </c>
      <c r="AI219" t="s">
        <v>5935</v>
      </c>
      <c r="AK219" t="s">
        <v>5934</v>
      </c>
      <c r="AL219">
        <v>50</v>
      </c>
      <c r="AM219" s="5">
        <f t="shared" si="26"/>
        <v>1.4285714285714286</v>
      </c>
      <c r="AN219" s="4">
        <f t="shared" si="31"/>
        <v>2.163682587764375E-3</v>
      </c>
      <c r="AO219" s="3"/>
      <c r="AP219">
        <v>0</v>
      </c>
      <c r="AQ219" t="s">
        <v>331</v>
      </c>
      <c r="AR219" t="s">
        <v>5933</v>
      </c>
      <c r="AS219" t="s">
        <v>329</v>
      </c>
      <c r="AT219" s="2" t="s">
        <v>32</v>
      </c>
      <c r="AU219" s="1">
        <f t="shared" si="27"/>
        <v>3.1518542324712961</v>
      </c>
      <c r="AV219" s="1">
        <f t="shared" si="28"/>
        <v>2.313143954272765</v>
      </c>
      <c r="AW219" s="1">
        <f t="shared" si="29"/>
        <v>1.474433676074234</v>
      </c>
    </row>
    <row r="220" spans="1:49" x14ac:dyDescent="0.2">
      <c r="A220">
        <v>218</v>
      </c>
      <c r="B220" t="s">
        <v>5932</v>
      </c>
      <c r="C220" t="s">
        <v>5931</v>
      </c>
      <c r="F220" t="s">
        <v>5930</v>
      </c>
      <c r="G220" t="s">
        <v>14</v>
      </c>
      <c r="H220" t="s">
        <v>13</v>
      </c>
      <c r="I220" t="s">
        <v>5929</v>
      </c>
      <c r="J220">
        <v>60020547</v>
      </c>
      <c r="K220" t="s">
        <v>1032</v>
      </c>
      <c r="L220" t="s">
        <v>1031</v>
      </c>
      <c r="M220" t="s">
        <v>9</v>
      </c>
      <c r="N220">
        <v>1</v>
      </c>
      <c r="O220" t="s">
        <v>5928</v>
      </c>
      <c r="P220">
        <v>7004961387</v>
      </c>
      <c r="Q220">
        <v>60020547</v>
      </c>
      <c r="R220" s="7">
        <v>31778</v>
      </c>
      <c r="S220" s="8">
        <f t="shared" si="24"/>
        <v>1987</v>
      </c>
      <c r="T220" s="8">
        <v>1987</v>
      </c>
      <c r="U220" s="8">
        <f t="shared" si="25"/>
        <v>35</v>
      </c>
      <c r="V220" s="7">
        <v>32082</v>
      </c>
      <c r="W220" t="s">
        <v>336</v>
      </c>
      <c r="X220" s="2">
        <v>1.6519999999999999</v>
      </c>
      <c r="Y220" s="6">
        <f t="shared" si="30"/>
        <v>4.409919649769093E-2</v>
      </c>
      <c r="AA220" t="s">
        <v>335</v>
      </c>
      <c r="AB220">
        <v>17337</v>
      </c>
      <c r="AC220">
        <v>15582221</v>
      </c>
      <c r="AD220" t="s">
        <v>4</v>
      </c>
      <c r="AE220">
        <v>35</v>
      </c>
      <c r="AF220">
        <v>11</v>
      </c>
      <c r="AH220" t="s">
        <v>5927</v>
      </c>
      <c r="AI220" t="s">
        <v>5926</v>
      </c>
      <c r="AK220" t="s">
        <v>5925</v>
      </c>
      <c r="AL220">
        <v>57</v>
      </c>
      <c r="AM220" s="5">
        <f t="shared" si="26"/>
        <v>1.6285714285714286</v>
      </c>
      <c r="AN220" s="4">
        <f t="shared" si="31"/>
        <v>2.4665981500513875E-3</v>
      </c>
      <c r="AO220" s="3"/>
      <c r="AP220">
        <v>0</v>
      </c>
      <c r="AQ220" t="s">
        <v>746</v>
      </c>
      <c r="AR220" t="s">
        <v>5924</v>
      </c>
      <c r="AS220" t="s">
        <v>745</v>
      </c>
      <c r="AT220" s="2" t="s">
        <v>32</v>
      </c>
      <c r="AU220" s="1">
        <f t="shared" si="27"/>
        <v>3.1609416993399067</v>
      </c>
      <c r="AV220" s="1">
        <f t="shared" si="28"/>
        <v>2.3282897323871161</v>
      </c>
      <c r="AW220" s="1">
        <f t="shared" si="29"/>
        <v>1.4956377654343249</v>
      </c>
    </row>
    <row r="221" spans="1:49" x14ac:dyDescent="0.2">
      <c r="A221">
        <v>219</v>
      </c>
      <c r="B221" t="s">
        <v>5923</v>
      </c>
      <c r="C221" t="s">
        <v>5922</v>
      </c>
      <c r="F221" t="s">
        <v>5921</v>
      </c>
      <c r="G221" t="s">
        <v>14</v>
      </c>
      <c r="H221" t="s">
        <v>13</v>
      </c>
      <c r="I221" t="s">
        <v>5920</v>
      </c>
      <c r="J221">
        <v>60031828</v>
      </c>
      <c r="K221" t="s">
        <v>5919</v>
      </c>
      <c r="L221" t="s">
        <v>5918</v>
      </c>
      <c r="M221" t="s">
        <v>685</v>
      </c>
      <c r="N221">
        <v>1</v>
      </c>
      <c r="O221" t="s">
        <v>5917</v>
      </c>
      <c r="P221">
        <v>7101635609</v>
      </c>
      <c r="Q221">
        <v>60031828</v>
      </c>
      <c r="R221" s="7">
        <v>31778</v>
      </c>
      <c r="S221" s="8">
        <f t="shared" si="24"/>
        <v>1987</v>
      </c>
      <c r="T221" s="8">
        <v>1987</v>
      </c>
      <c r="U221" s="8">
        <f t="shared" si="25"/>
        <v>35</v>
      </c>
      <c r="V221" s="7">
        <v>32112</v>
      </c>
      <c r="W221" t="s">
        <v>1394</v>
      </c>
      <c r="X221" s="2">
        <v>2.9860000000000002</v>
      </c>
      <c r="Y221" s="6">
        <f t="shared" si="30"/>
        <v>7.9709564613865094E-2</v>
      </c>
      <c r="AA221">
        <v>7338716</v>
      </c>
      <c r="AB221">
        <v>18902</v>
      </c>
      <c r="AD221" t="s">
        <v>4</v>
      </c>
      <c r="AE221">
        <v>5</v>
      </c>
      <c r="AF221">
        <v>9</v>
      </c>
      <c r="AH221" t="s">
        <v>5916</v>
      </c>
      <c r="AI221" t="s">
        <v>5915</v>
      </c>
      <c r="AK221" t="s">
        <v>5914</v>
      </c>
      <c r="AL221">
        <v>3</v>
      </c>
      <c r="AM221" s="5">
        <f t="shared" si="26"/>
        <v>8.5714285714285715E-2</v>
      </c>
      <c r="AN221" s="4">
        <f t="shared" si="31"/>
        <v>1.2982095526586251E-4</v>
      </c>
      <c r="AO221" s="3"/>
      <c r="AP221">
        <v>0</v>
      </c>
      <c r="AR221" t="s">
        <v>0</v>
      </c>
      <c r="AT221" s="2" t="s">
        <v>32</v>
      </c>
      <c r="AU221" s="1">
        <f t="shared" si="27"/>
        <v>5.5835641516285319</v>
      </c>
      <c r="AV221" s="1">
        <f t="shared" si="28"/>
        <v>3.9919692784565481</v>
      </c>
      <c r="AW221" s="1">
        <f t="shared" si="29"/>
        <v>2.400374405284563</v>
      </c>
    </row>
    <row r="222" spans="1:49" x14ac:dyDescent="0.2">
      <c r="A222">
        <v>220</v>
      </c>
      <c r="B222" t="s">
        <v>5913</v>
      </c>
      <c r="C222" t="s">
        <v>5912</v>
      </c>
      <c r="F222" t="s">
        <v>5911</v>
      </c>
      <c r="G222" t="s">
        <v>14</v>
      </c>
      <c r="H222" t="s">
        <v>13</v>
      </c>
      <c r="I222" t="s">
        <v>5910</v>
      </c>
      <c r="J222" t="s">
        <v>5909</v>
      </c>
      <c r="K222" t="s">
        <v>5908</v>
      </c>
      <c r="L222" t="s">
        <v>5907</v>
      </c>
      <c r="M222" t="s">
        <v>55</v>
      </c>
      <c r="N222">
        <v>2</v>
      </c>
      <c r="O222" t="s">
        <v>5906</v>
      </c>
      <c r="P222" t="s">
        <v>5905</v>
      </c>
      <c r="Q222" t="s">
        <v>5904</v>
      </c>
      <c r="R222" s="7">
        <v>31778</v>
      </c>
      <c r="S222" s="8">
        <f t="shared" si="24"/>
        <v>1987</v>
      </c>
      <c r="T222" s="8">
        <v>1987</v>
      </c>
      <c r="U222" s="8">
        <f t="shared" si="25"/>
        <v>35</v>
      </c>
      <c r="V222" s="7">
        <v>32082</v>
      </c>
      <c r="W222" t="s">
        <v>336</v>
      </c>
      <c r="X222" s="2">
        <v>1.6519999999999999</v>
      </c>
      <c r="Y222" s="6">
        <f t="shared" si="30"/>
        <v>4.409919649769093E-2</v>
      </c>
      <c r="AA222" t="s">
        <v>335</v>
      </c>
      <c r="AB222">
        <v>17337</v>
      </c>
      <c r="AC222">
        <v>15582221</v>
      </c>
      <c r="AD222" t="s">
        <v>4</v>
      </c>
      <c r="AE222">
        <v>35</v>
      </c>
      <c r="AF222">
        <v>11</v>
      </c>
      <c r="AH222" t="s">
        <v>5903</v>
      </c>
      <c r="AI222" t="s">
        <v>5902</v>
      </c>
      <c r="AK222" t="s">
        <v>5901</v>
      </c>
      <c r="AL222">
        <v>31</v>
      </c>
      <c r="AM222" s="5">
        <f t="shared" si="26"/>
        <v>0.88571428571428568</v>
      </c>
      <c r="AN222" s="4">
        <f t="shared" si="31"/>
        <v>1.3414832044139123E-3</v>
      </c>
      <c r="AO222" s="3"/>
      <c r="AP222">
        <v>0</v>
      </c>
      <c r="AR222" t="s">
        <v>0</v>
      </c>
      <c r="AT222" s="2" t="s">
        <v>32</v>
      </c>
      <c r="AU222" s="1">
        <f t="shared" si="27"/>
        <v>3.1271882509707827</v>
      </c>
      <c r="AV222" s="1">
        <f t="shared" si="28"/>
        <v>2.2720339851052422</v>
      </c>
      <c r="AW222" s="1">
        <f t="shared" si="29"/>
        <v>1.4168797192397018</v>
      </c>
    </row>
    <row r="223" spans="1:49" x14ac:dyDescent="0.2">
      <c r="A223">
        <v>221</v>
      </c>
      <c r="B223" t="s">
        <v>5900</v>
      </c>
      <c r="C223" t="s">
        <v>5899</v>
      </c>
      <c r="F223" t="s">
        <v>5898</v>
      </c>
      <c r="G223" t="s">
        <v>14</v>
      </c>
      <c r="H223" t="s">
        <v>13</v>
      </c>
      <c r="I223" t="s">
        <v>5897</v>
      </c>
      <c r="J223">
        <v>60102562</v>
      </c>
      <c r="K223" t="s">
        <v>3144</v>
      </c>
      <c r="L223" t="s">
        <v>1600</v>
      </c>
      <c r="M223" t="s">
        <v>9</v>
      </c>
      <c r="N223">
        <v>2</v>
      </c>
      <c r="O223" t="s">
        <v>5896</v>
      </c>
      <c r="P223" t="s">
        <v>5895</v>
      </c>
      <c r="Q223" t="s">
        <v>3141</v>
      </c>
      <c r="R223" s="7">
        <v>31778</v>
      </c>
      <c r="S223" s="8">
        <f t="shared" si="24"/>
        <v>1987</v>
      </c>
      <c r="T223" s="8">
        <v>1987</v>
      </c>
      <c r="U223" s="8">
        <f t="shared" si="25"/>
        <v>35</v>
      </c>
      <c r="V223" s="7">
        <v>32082</v>
      </c>
      <c r="W223" t="s">
        <v>336</v>
      </c>
      <c r="X223" s="2">
        <v>1.6519999999999999</v>
      </c>
      <c r="Y223" s="6">
        <f t="shared" si="30"/>
        <v>4.409919649769093E-2</v>
      </c>
      <c r="AA223" t="s">
        <v>335</v>
      </c>
      <c r="AB223">
        <v>17337</v>
      </c>
      <c r="AC223">
        <v>15582221</v>
      </c>
      <c r="AD223" t="s">
        <v>4</v>
      </c>
      <c r="AE223">
        <v>35</v>
      </c>
      <c r="AF223">
        <v>11</v>
      </c>
      <c r="AH223" t="s">
        <v>5894</v>
      </c>
      <c r="AI223" t="s">
        <v>5893</v>
      </c>
      <c r="AK223" t="s">
        <v>5892</v>
      </c>
      <c r="AL223">
        <v>5</v>
      </c>
      <c r="AM223" s="5">
        <f t="shared" si="26"/>
        <v>0.14285714285714285</v>
      </c>
      <c r="AN223" s="4">
        <f t="shared" si="31"/>
        <v>2.1636825877643749E-4</v>
      </c>
      <c r="AO223" s="3"/>
      <c r="AP223">
        <v>0</v>
      </c>
      <c r="AR223" t="s">
        <v>0</v>
      </c>
      <c r="AT223" s="2" t="s">
        <v>32</v>
      </c>
      <c r="AU223" s="1">
        <f t="shared" si="27"/>
        <v>3.0934348026016583</v>
      </c>
      <c r="AV223" s="1">
        <f t="shared" si="28"/>
        <v>2.2157782378233684</v>
      </c>
      <c r="AW223" s="1">
        <f t="shared" si="29"/>
        <v>1.3381216730450785</v>
      </c>
    </row>
    <row r="224" spans="1:49" x14ac:dyDescent="0.2">
      <c r="A224">
        <v>222</v>
      </c>
      <c r="B224" t="s">
        <v>5891</v>
      </c>
      <c r="C224" t="s">
        <v>5890</v>
      </c>
      <c r="F224" t="s">
        <v>5889</v>
      </c>
      <c r="G224" t="s">
        <v>14</v>
      </c>
      <c r="H224" t="s">
        <v>13</v>
      </c>
      <c r="I224" t="s">
        <v>5888</v>
      </c>
      <c r="J224">
        <v>60021378</v>
      </c>
      <c r="K224" t="s">
        <v>1785</v>
      </c>
      <c r="L224" t="s">
        <v>1784</v>
      </c>
      <c r="M224" t="s">
        <v>9</v>
      </c>
      <c r="N224">
        <v>4</v>
      </c>
      <c r="O224" t="s">
        <v>5887</v>
      </c>
      <c r="P224" t="s">
        <v>1782</v>
      </c>
      <c r="Q224" t="s">
        <v>1781</v>
      </c>
      <c r="R224" s="7">
        <v>31778</v>
      </c>
      <c r="S224" s="8">
        <f t="shared" si="24"/>
        <v>1987</v>
      </c>
      <c r="T224" s="8">
        <v>1987</v>
      </c>
      <c r="U224" s="8">
        <f t="shared" si="25"/>
        <v>35</v>
      </c>
      <c r="V224" s="7">
        <v>32112</v>
      </c>
      <c r="W224" t="s">
        <v>2203</v>
      </c>
      <c r="X224" s="2">
        <v>1.3460000000000001</v>
      </c>
      <c r="Y224" s="6">
        <f t="shared" si="30"/>
        <v>3.593070126264649E-2</v>
      </c>
      <c r="AA224">
        <v>7338724</v>
      </c>
      <c r="AB224">
        <v>12178</v>
      </c>
      <c r="AC224">
        <v>15582213</v>
      </c>
      <c r="AD224" t="s">
        <v>4</v>
      </c>
      <c r="AE224">
        <v>5</v>
      </c>
      <c r="AF224">
        <v>12</v>
      </c>
      <c r="AH224" t="s">
        <v>5886</v>
      </c>
      <c r="AI224" t="s">
        <v>5885</v>
      </c>
      <c r="AK224" t="s">
        <v>5884</v>
      </c>
      <c r="AL224">
        <v>29</v>
      </c>
      <c r="AM224" s="5">
        <f t="shared" si="26"/>
        <v>0.82857142857142863</v>
      </c>
      <c r="AN224" s="4">
        <f t="shared" si="31"/>
        <v>1.2549359009033376E-3</v>
      </c>
      <c r="AO224" s="3"/>
      <c r="AP224">
        <v>0</v>
      </c>
      <c r="AR224" t="s">
        <v>0</v>
      </c>
      <c r="AT224" s="2">
        <v>4.1420000000000003</v>
      </c>
      <c r="AU224" s="1">
        <f t="shared" si="27"/>
        <v>2.5527971654123545</v>
      </c>
      <c r="AV224" s="1">
        <f t="shared" si="28"/>
        <v>1.8592818581774913</v>
      </c>
      <c r="AW224" s="1">
        <f t="shared" si="29"/>
        <v>1.1657665509426283</v>
      </c>
    </row>
    <row r="225" spans="1:49" x14ac:dyDescent="0.2">
      <c r="A225">
        <v>223</v>
      </c>
      <c r="B225" t="s">
        <v>5883</v>
      </c>
      <c r="C225" t="s">
        <v>5882</v>
      </c>
      <c r="F225" t="s">
        <v>5881</v>
      </c>
      <c r="G225" t="s">
        <v>14</v>
      </c>
      <c r="H225" t="s">
        <v>13</v>
      </c>
      <c r="I225" t="s">
        <v>1322</v>
      </c>
      <c r="J225" t="s">
        <v>5880</v>
      </c>
      <c r="K225" t="s">
        <v>5879</v>
      </c>
      <c r="L225" t="s">
        <v>5878</v>
      </c>
      <c r="M225" t="s">
        <v>5877</v>
      </c>
      <c r="N225">
        <v>3</v>
      </c>
      <c r="O225" t="s">
        <v>5876</v>
      </c>
      <c r="P225" t="s">
        <v>5875</v>
      </c>
      <c r="Q225" t="s">
        <v>5874</v>
      </c>
      <c r="R225" s="7">
        <v>31778</v>
      </c>
      <c r="S225" s="8">
        <f t="shared" si="24"/>
        <v>1987</v>
      </c>
      <c r="T225" s="8">
        <v>1987</v>
      </c>
      <c r="U225" s="8">
        <f t="shared" si="25"/>
        <v>35</v>
      </c>
      <c r="V225" s="7">
        <v>32082</v>
      </c>
      <c r="W225" t="s">
        <v>336</v>
      </c>
      <c r="X225" s="2">
        <v>1.6519999999999999</v>
      </c>
      <c r="Y225" s="6">
        <f t="shared" si="30"/>
        <v>4.409919649769093E-2</v>
      </c>
      <c r="AA225" t="s">
        <v>335</v>
      </c>
      <c r="AB225">
        <v>17337</v>
      </c>
      <c r="AC225">
        <v>15582221</v>
      </c>
      <c r="AD225" t="s">
        <v>4</v>
      </c>
      <c r="AE225">
        <v>35</v>
      </c>
      <c r="AF225">
        <v>11</v>
      </c>
      <c r="AH225" t="s">
        <v>5873</v>
      </c>
      <c r="AI225" t="s">
        <v>5872</v>
      </c>
      <c r="AK225" t="s">
        <v>5871</v>
      </c>
      <c r="AL225">
        <v>131</v>
      </c>
      <c r="AM225" s="5">
        <f t="shared" si="26"/>
        <v>3.7428571428571429</v>
      </c>
      <c r="AN225" s="4">
        <f t="shared" si="31"/>
        <v>5.6688483799426622E-3</v>
      </c>
      <c r="AO225" s="3"/>
      <c r="AP225">
        <v>0</v>
      </c>
      <c r="AQ225" t="s">
        <v>5870</v>
      </c>
      <c r="AR225" t="s">
        <v>0</v>
      </c>
      <c r="AS225" t="s">
        <v>5869</v>
      </c>
      <c r="AT225" s="2" t="s">
        <v>32</v>
      </c>
      <c r="AU225" s="1">
        <f t="shared" si="27"/>
        <v>3.2570092062366447</v>
      </c>
      <c r="AV225" s="1">
        <f t="shared" si="28"/>
        <v>2.48840224388168</v>
      </c>
      <c r="AW225" s="1">
        <f t="shared" si="29"/>
        <v>1.7197952815267141</v>
      </c>
    </row>
    <row r="226" spans="1:49" x14ac:dyDescent="0.2">
      <c r="A226">
        <v>224</v>
      </c>
      <c r="B226" t="s">
        <v>5868</v>
      </c>
      <c r="C226" t="s">
        <v>5867</v>
      </c>
      <c r="F226" t="s">
        <v>5866</v>
      </c>
      <c r="G226" t="s">
        <v>14</v>
      </c>
      <c r="H226" t="s">
        <v>13</v>
      </c>
      <c r="I226" t="s">
        <v>1659</v>
      </c>
      <c r="J226">
        <v>60025757</v>
      </c>
      <c r="K226" t="s">
        <v>1658</v>
      </c>
      <c r="L226" t="s">
        <v>1657</v>
      </c>
      <c r="M226" t="s">
        <v>1068</v>
      </c>
      <c r="N226">
        <v>2</v>
      </c>
      <c r="O226" t="s">
        <v>1656</v>
      </c>
      <c r="P226" t="s">
        <v>1655</v>
      </c>
      <c r="Q226" t="s">
        <v>1654</v>
      </c>
      <c r="R226" s="7">
        <v>31778</v>
      </c>
      <c r="S226" s="8">
        <f t="shared" si="24"/>
        <v>1987</v>
      </c>
      <c r="T226" s="8">
        <v>1987</v>
      </c>
      <c r="U226" s="8">
        <f t="shared" si="25"/>
        <v>35</v>
      </c>
      <c r="V226" s="7">
        <v>32082</v>
      </c>
      <c r="W226" t="s">
        <v>336</v>
      </c>
      <c r="X226" s="2">
        <v>1.6519999999999999</v>
      </c>
      <c r="Y226" s="6">
        <f t="shared" si="30"/>
        <v>4.409919649769093E-2</v>
      </c>
      <c r="AA226" t="s">
        <v>335</v>
      </c>
      <c r="AB226">
        <v>17337</v>
      </c>
      <c r="AC226">
        <v>15582221</v>
      </c>
      <c r="AD226" t="s">
        <v>4</v>
      </c>
      <c r="AE226">
        <v>35</v>
      </c>
      <c r="AF226">
        <v>11</v>
      </c>
      <c r="AH226" t="s">
        <v>5865</v>
      </c>
      <c r="AI226" t="s">
        <v>5864</v>
      </c>
      <c r="AK226" t="s">
        <v>5863</v>
      </c>
      <c r="AL226">
        <v>8</v>
      </c>
      <c r="AM226" s="5">
        <f t="shared" si="26"/>
        <v>0.22857142857142856</v>
      </c>
      <c r="AN226" s="4">
        <f t="shared" si="31"/>
        <v>3.461892140423E-4</v>
      </c>
      <c r="AO226" s="3"/>
      <c r="AP226">
        <v>0</v>
      </c>
      <c r="AR226" t="s">
        <v>0</v>
      </c>
      <c r="AT226" s="2" t="s">
        <v>32</v>
      </c>
      <c r="AU226" s="1">
        <f t="shared" si="27"/>
        <v>3.097329431259634</v>
      </c>
      <c r="AV226" s="1">
        <f t="shared" si="28"/>
        <v>2.2222692855866617</v>
      </c>
      <c r="AW226" s="1">
        <f t="shared" si="29"/>
        <v>1.347209139913689</v>
      </c>
    </row>
    <row r="227" spans="1:49" x14ac:dyDescent="0.2">
      <c r="A227">
        <v>225</v>
      </c>
      <c r="B227" t="s">
        <v>5862</v>
      </c>
      <c r="C227" t="s">
        <v>5861</v>
      </c>
      <c r="F227" t="s">
        <v>5860</v>
      </c>
      <c r="G227" t="s">
        <v>14</v>
      </c>
      <c r="H227" t="s">
        <v>13</v>
      </c>
      <c r="I227" t="s">
        <v>5859</v>
      </c>
      <c r="J227">
        <v>60023053</v>
      </c>
      <c r="K227" t="s">
        <v>1165</v>
      </c>
      <c r="L227" t="s">
        <v>1164</v>
      </c>
      <c r="M227" t="s">
        <v>9</v>
      </c>
      <c r="N227">
        <v>1</v>
      </c>
      <c r="O227" t="s">
        <v>5858</v>
      </c>
      <c r="P227">
        <v>57210101520</v>
      </c>
      <c r="Q227">
        <v>60023053</v>
      </c>
      <c r="R227" s="7">
        <v>31778</v>
      </c>
      <c r="S227" s="8">
        <f t="shared" si="24"/>
        <v>1987</v>
      </c>
      <c r="T227" s="8">
        <v>1987</v>
      </c>
      <c r="U227" s="8">
        <f t="shared" si="25"/>
        <v>35</v>
      </c>
      <c r="V227" s="7">
        <v>32082</v>
      </c>
      <c r="W227" t="s">
        <v>3828</v>
      </c>
      <c r="X227" s="2">
        <v>1.159</v>
      </c>
      <c r="Y227" s="6">
        <f t="shared" si="30"/>
        <v>3.093884306345266E-2</v>
      </c>
      <c r="AA227">
        <v>8853010</v>
      </c>
      <c r="AB227">
        <v>12998</v>
      </c>
      <c r="AD227" t="s">
        <v>4</v>
      </c>
      <c r="AE227">
        <v>34</v>
      </c>
      <c r="AF227">
        <v>6</v>
      </c>
      <c r="AH227" t="s">
        <v>5857</v>
      </c>
      <c r="AI227" t="s">
        <v>5856</v>
      </c>
      <c r="AK227" t="s">
        <v>5855</v>
      </c>
      <c r="AL227">
        <v>4</v>
      </c>
      <c r="AM227" s="5">
        <f t="shared" si="26"/>
        <v>0.11428571428571428</v>
      </c>
      <c r="AN227" s="4">
        <f t="shared" si="31"/>
        <v>1.7309460702115E-4</v>
      </c>
      <c r="AO227" s="3"/>
      <c r="AP227">
        <v>0</v>
      </c>
      <c r="AR227" t="s">
        <v>5854</v>
      </c>
      <c r="AT227" s="2" t="s">
        <v>32</v>
      </c>
      <c r="AU227" s="1">
        <f t="shared" si="27"/>
        <v>2.1709118526523206</v>
      </c>
      <c r="AV227" s="1">
        <f t="shared" si="28"/>
        <v>1.5555968835236906</v>
      </c>
      <c r="AW227" s="1">
        <f t="shared" si="29"/>
        <v>0.94028191439506026</v>
      </c>
    </row>
    <row r="228" spans="1:49" x14ac:dyDescent="0.2">
      <c r="A228">
        <v>226</v>
      </c>
      <c r="B228" t="s">
        <v>5853</v>
      </c>
      <c r="F228" t="s">
        <v>5852</v>
      </c>
      <c r="G228" t="s">
        <v>14</v>
      </c>
      <c r="H228" t="s">
        <v>13</v>
      </c>
      <c r="I228" t="s">
        <v>5851</v>
      </c>
      <c r="J228">
        <v>60017198</v>
      </c>
      <c r="K228" t="s">
        <v>5850</v>
      </c>
      <c r="L228" t="s">
        <v>310</v>
      </c>
      <c r="M228" t="s">
        <v>9</v>
      </c>
      <c r="N228">
        <v>2</v>
      </c>
      <c r="O228" t="s">
        <v>5849</v>
      </c>
      <c r="P228" t="s">
        <v>5848</v>
      </c>
      <c r="Q228" t="s">
        <v>5847</v>
      </c>
      <c r="R228" s="7">
        <v>31778</v>
      </c>
      <c r="S228" s="8">
        <f t="shared" si="24"/>
        <v>1987</v>
      </c>
      <c r="T228" s="8">
        <v>1987</v>
      </c>
      <c r="U228" s="8">
        <f t="shared" si="25"/>
        <v>35</v>
      </c>
      <c r="V228" s="7">
        <v>1987</v>
      </c>
      <c r="W228" t="s">
        <v>5846</v>
      </c>
      <c r="X228" s="2">
        <v>0.84699999999999998</v>
      </c>
      <c r="Y228" s="6">
        <f t="shared" si="30"/>
        <v>2.2610181255172047E-2</v>
      </c>
      <c r="AA228">
        <v>281522</v>
      </c>
      <c r="AB228">
        <v>12174</v>
      </c>
      <c r="AD228" t="s">
        <v>4</v>
      </c>
      <c r="AE228">
        <v>33</v>
      </c>
      <c r="AF228">
        <v>4</v>
      </c>
      <c r="AI228" t="s">
        <v>5845</v>
      </c>
      <c r="AK228" t="s">
        <v>5844</v>
      </c>
      <c r="AL228">
        <v>1</v>
      </c>
      <c r="AM228" s="5">
        <f t="shared" si="26"/>
        <v>2.8571428571428571E-2</v>
      </c>
      <c r="AN228" s="4">
        <f t="shared" si="31"/>
        <v>4.32736517552875E-5</v>
      </c>
      <c r="AO228" s="3"/>
      <c r="AP228">
        <v>0</v>
      </c>
      <c r="AR228" t="s">
        <v>0</v>
      </c>
      <c r="AT228" s="2" t="s">
        <v>32</v>
      </c>
      <c r="AU228" s="1">
        <f t="shared" si="27"/>
        <v>1.5840108974147016</v>
      </c>
      <c r="AV228" s="1">
        <f t="shared" si="28"/>
        <v>1.1326727453463667</v>
      </c>
      <c r="AW228" s="1">
        <f t="shared" si="29"/>
        <v>0.68133459327803148</v>
      </c>
    </row>
    <row r="229" spans="1:49" x14ac:dyDescent="0.2">
      <c r="A229">
        <v>227</v>
      </c>
      <c r="B229" t="s">
        <v>5843</v>
      </c>
      <c r="C229" t="s">
        <v>5842</v>
      </c>
      <c r="F229" t="s">
        <v>5841</v>
      </c>
      <c r="G229" t="s">
        <v>14</v>
      </c>
      <c r="H229" t="s">
        <v>13</v>
      </c>
      <c r="I229" t="s">
        <v>5840</v>
      </c>
      <c r="J229">
        <v>60024322</v>
      </c>
      <c r="K229" t="s">
        <v>1948</v>
      </c>
      <c r="L229" t="s">
        <v>1947</v>
      </c>
      <c r="M229" t="s">
        <v>524</v>
      </c>
      <c r="N229">
        <v>3</v>
      </c>
      <c r="O229" t="s">
        <v>5839</v>
      </c>
      <c r="P229" t="s">
        <v>5838</v>
      </c>
      <c r="Q229" t="s">
        <v>1944</v>
      </c>
      <c r="R229" s="7">
        <v>31778</v>
      </c>
      <c r="S229" s="8">
        <f t="shared" si="24"/>
        <v>1987</v>
      </c>
      <c r="T229" s="8">
        <v>1987</v>
      </c>
      <c r="U229" s="8">
        <f t="shared" si="25"/>
        <v>35</v>
      </c>
      <c r="V229" s="7">
        <v>32082</v>
      </c>
      <c r="W229" t="s">
        <v>1833</v>
      </c>
      <c r="X229" s="2">
        <v>1.3720000000000001</v>
      </c>
      <c r="Y229" s="6">
        <f t="shared" si="30"/>
        <v>3.662475641333654E-2</v>
      </c>
      <c r="AA229">
        <v>189480</v>
      </c>
      <c r="AB229">
        <v>17366</v>
      </c>
      <c r="AC229">
        <v>15579670</v>
      </c>
      <c r="AD229" t="s">
        <v>4</v>
      </c>
      <c r="AE229">
        <v>35</v>
      </c>
      <c r="AF229">
        <v>11</v>
      </c>
      <c r="AH229" t="s">
        <v>5837</v>
      </c>
      <c r="AI229" t="s">
        <v>5836</v>
      </c>
      <c r="AK229" t="s">
        <v>5835</v>
      </c>
      <c r="AL229">
        <v>54</v>
      </c>
      <c r="AM229" s="5">
        <f t="shared" si="26"/>
        <v>1.5428571428571429</v>
      </c>
      <c r="AN229" s="4">
        <f t="shared" si="31"/>
        <v>2.3367771947855249E-3</v>
      </c>
      <c r="AO229" s="3"/>
      <c r="AP229">
        <v>0</v>
      </c>
      <c r="AR229" t="s">
        <v>0</v>
      </c>
      <c r="AT229" s="2" t="s">
        <v>32</v>
      </c>
      <c r="AU229" s="1">
        <f t="shared" si="27"/>
        <v>2.6338362647771234</v>
      </c>
      <c r="AV229" s="1">
        <f t="shared" si="28"/>
        <v>1.9480766804061034</v>
      </c>
      <c r="AW229" s="1">
        <f t="shared" si="29"/>
        <v>1.2623170960350829</v>
      </c>
    </row>
    <row r="230" spans="1:49" x14ac:dyDescent="0.2">
      <c r="A230">
        <v>228</v>
      </c>
      <c r="B230" t="s">
        <v>5834</v>
      </c>
      <c r="C230" t="s">
        <v>5833</v>
      </c>
      <c r="F230" t="s">
        <v>5832</v>
      </c>
      <c r="G230" t="s">
        <v>14</v>
      </c>
      <c r="H230" t="s">
        <v>13</v>
      </c>
      <c r="I230" t="s">
        <v>5831</v>
      </c>
      <c r="J230">
        <v>60029392</v>
      </c>
      <c r="K230" t="s">
        <v>5830</v>
      </c>
      <c r="L230" t="s">
        <v>363</v>
      </c>
      <c r="M230" t="s">
        <v>9</v>
      </c>
      <c r="N230">
        <v>4</v>
      </c>
      <c r="O230" t="s">
        <v>5829</v>
      </c>
      <c r="P230" t="s">
        <v>5828</v>
      </c>
      <c r="Q230" t="s">
        <v>5827</v>
      </c>
      <c r="R230" s="7">
        <v>31778</v>
      </c>
      <c r="S230" s="8">
        <f t="shared" si="24"/>
        <v>1987</v>
      </c>
      <c r="T230" s="8">
        <v>1987</v>
      </c>
      <c r="U230" s="8">
        <f t="shared" si="25"/>
        <v>35</v>
      </c>
      <c r="V230" s="7">
        <v>32082</v>
      </c>
      <c r="W230" t="s">
        <v>336</v>
      </c>
      <c r="X230" s="2">
        <v>1.6519999999999999</v>
      </c>
      <c r="Y230" s="6">
        <f t="shared" si="30"/>
        <v>4.409919649769093E-2</v>
      </c>
      <c r="AA230" t="s">
        <v>335</v>
      </c>
      <c r="AB230">
        <v>17337</v>
      </c>
      <c r="AC230">
        <v>15582221</v>
      </c>
      <c r="AD230" t="s">
        <v>4</v>
      </c>
      <c r="AE230">
        <v>35</v>
      </c>
      <c r="AF230">
        <v>11</v>
      </c>
      <c r="AH230" t="s">
        <v>5826</v>
      </c>
      <c r="AI230" t="s">
        <v>5825</v>
      </c>
      <c r="AK230" t="s">
        <v>5824</v>
      </c>
      <c r="AL230">
        <v>11</v>
      </c>
      <c r="AM230" s="5">
        <f t="shared" si="26"/>
        <v>0.31428571428571428</v>
      </c>
      <c r="AN230" s="4">
        <f t="shared" si="31"/>
        <v>4.7601016930816251E-4</v>
      </c>
      <c r="AO230" s="3"/>
      <c r="AP230">
        <v>0</v>
      </c>
      <c r="AR230" t="s">
        <v>0</v>
      </c>
      <c r="AT230" s="2" t="s">
        <v>32</v>
      </c>
      <c r="AU230" s="1">
        <f t="shared" si="27"/>
        <v>3.1012240599176102</v>
      </c>
      <c r="AV230" s="1">
        <f t="shared" si="28"/>
        <v>2.2287603333499546</v>
      </c>
      <c r="AW230" s="1">
        <f t="shared" si="29"/>
        <v>1.356296606782299</v>
      </c>
    </row>
    <row r="231" spans="1:49" x14ac:dyDescent="0.2">
      <c r="A231">
        <v>229</v>
      </c>
      <c r="B231" t="s">
        <v>5823</v>
      </c>
      <c r="C231" t="s">
        <v>5822</v>
      </c>
      <c r="F231" t="s">
        <v>5821</v>
      </c>
      <c r="G231" t="s">
        <v>14</v>
      </c>
      <c r="H231" t="s">
        <v>13</v>
      </c>
      <c r="I231" t="s">
        <v>5814</v>
      </c>
      <c r="J231">
        <v>60014171</v>
      </c>
      <c r="K231" t="s">
        <v>5813</v>
      </c>
      <c r="L231" t="s">
        <v>5812</v>
      </c>
      <c r="M231" t="s">
        <v>685</v>
      </c>
      <c r="N231">
        <v>2</v>
      </c>
      <c r="O231" t="s">
        <v>5811</v>
      </c>
      <c r="P231" t="s">
        <v>5810</v>
      </c>
      <c r="Q231" t="s">
        <v>5809</v>
      </c>
      <c r="R231" s="7">
        <v>31778</v>
      </c>
      <c r="S231" s="8">
        <f t="shared" ref="S231:S294" si="32">YEAR(R231)</f>
        <v>1987</v>
      </c>
      <c r="T231" s="8">
        <v>1987</v>
      </c>
      <c r="U231" s="8">
        <f t="shared" ref="U231:U294" si="33">2022-T231</f>
        <v>35</v>
      </c>
      <c r="V231" s="7">
        <v>32082</v>
      </c>
      <c r="W231" t="s">
        <v>336</v>
      </c>
      <c r="X231" s="2">
        <v>1.6519999999999999</v>
      </c>
      <c r="Y231" s="6">
        <f t="shared" si="30"/>
        <v>4.409919649769093E-2</v>
      </c>
      <c r="AA231" t="s">
        <v>335</v>
      </c>
      <c r="AB231">
        <v>17337</v>
      </c>
      <c r="AC231">
        <v>15582221</v>
      </c>
      <c r="AD231" t="s">
        <v>4</v>
      </c>
      <c r="AE231">
        <v>35</v>
      </c>
      <c r="AF231">
        <v>11</v>
      </c>
      <c r="AH231" t="s">
        <v>5820</v>
      </c>
      <c r="AI231" t="s">
        <v>5819</v>
      </c>
      <c r="AK231" t="s">
        <v>5818</v>
      </c>
      <c r="AL231">
        <v>8</v>
      </c>
      <c r="AM231" s="5">
        <f t="shared" ref="AM231:AM294" si="34">AL231/U231</f>
        <v>0.22857142857142856</v>
      </c>
      <c r="AN231" s="4">
        <f t="shared" si="31"/>
        <v>3.461892140423E-4</v>
      </c>
      <c r="AO231" s="3"/>
      <c r="AP231">
        <v>0</v>
      </c>
      <c r="AR231" t="s">
        <v>0</v>
      </c>
      <c r="AT231" s="2" t="s">
        <v>32</v>
      </c>
      <c r="AU231" s="1">
        <f t="shared" ref="AU231:AU294" si="35">(Y231*0.7+AN231*0.3)*100</f>
        <v>3.097329431259634</v>
      </c>
      <c r="AV231" s="1">
        <f t="shared" ref="AV231:AV294" si="36">(Y231*0.5+AN231*0.5)*100</f>
        <v>2.2222692855866617</v>
      </c>
      <c r="AW231" s="1">
        <f t="shared" ref="AW231:AW294" si="37">(Y231*0.3+AN231*0.7)*100</f>
        <v>1.347209139913689</v>
      </c>
    </row>
    <row r="232" spans="1:49" x14ac:dyDescent="0.2">
      <c r="A232">
        <v>230</v>
      </c>
      <c r="B232" t="s">
        <v>5817</v>
      </c>
      <c r="C232" t="s">
        <v>5816</v>
      </c>
      <c r="F232" t="s">
        <v>5815</v>
      </c>
      <c r="G232" t="s">
        <v>14</v>
      </c>
      <c r="H232" t="s">
        <v>13</v>
      </c>
      <c r="I232" t="s">
        <v>5814</v>
      </c>
      <c r="J232">
        <v>60014171</v>
      </c>
      <c r="K232" t="s">
        <v>5813</v>
      </c>
      <c r="L232" t="s">
        <v>5812</v>
      </c>
      <c r="M232" t="s">
        <v>685</v>
      </c>
      <c r="N232">
        <v>2</v>
      </c>
      <c r="O232" t="s">
        <v>5811</v>
      </c>
      <c r="P232" t="s">
        <v>5810</v>
      </c>
      <c r="Q232" t="s">
        <v>5809</v>
      </c>
      <c r="R232" s="7">
        <v>31778</v>
      </c>
      <c r="S232" s="8">
        <f t="shared" si="32"/>
        <v>1987</v>
      </c>
      <c r="T232" s="8">
        <v>1987</v>
      </c>
      <c r="U232" s="8">
        <f t="shared" si="33"/>
        <v>35</v>
      </c>
      <c r="V232" s="7">
        <v>32082</v>
      </c>
      <c r="W232" t="s">
        <v>336</v>
      </c>
      <c r="X232" s="2">
        <v>1.6519999999999999</v>
      </c>
      <c r="Y232" s="6">
        <f t="shared" si="30"/>
        <v>4.409919649769093E-2</v>
      </c>
      <c r="AA232" t="s">
        <v>335</v>
      </c>
      <c r="AB232">
        <v>17337</v>
      </c>
      <c r="AC232">
        <v>15582221</v>
      </c>
      <c r="AD232" t="s">
        <v>4</v>
      </c>
      <c r="AE232">
        <v>35</v>
      </c>
      <c r="AF232">
        <v>11</v>
      </c>
      <c r="AH232" t="s">
        <v>5808</v>
      </c>
      <c r="AI232" t="s">
        <v>5807</v>
      </c>
      <c r="AK232" t="s">
        <v>5806</v>
      </c>
      <c r="AL232">
        <v>17</v>
      </c>
      <c r="AM232" s="5">
        <f t="shared" si="34"/>
        <v>0.48571428571428571</v>
      </c>
      <c r="AN232" s="4">
        <f t="shared" si="31"/>
        <v>7.3565207983988746E-4</v>
      </c>
      <c r="AO232" s="3"/>
      <c r="AP232">
        <v>0</v>
      </c>
      <c r="AQ232" t="s">
        <v>5805</v>
      </c>
      <c r="AR232" t="s">
        <v>5804</v>
      </c>
      <c r="AS232" t="s">
        <v>5803</v>
      </c>
      <c r="AT232" s="2" t="s">
        <v>32</v>
      </c>
      <c r="AU232" s="1">
        <f t="shared" si="35"/>
        <v>3.1090133172335617</v>
      </c>
      <c r="AV232" s="1">
        <f t="shared" si="36"/>
        <v>2.2417424288765408</v>
      </c>
      <c r="AW232" s="1">
        <f t="shared" si="37"/>
        <v>1.37447154051952</v>
      </c>
    </row>
    <row r="233" spans="1:49" x14ac:dyDescent="0.2">
      <c r="A233">
        <v>231</v>
      </c>
      <c r="B233" t="s">
        <v>5802</v>
      </c>
      <c r="C233" t="s">
        <v>5801</v>
      </c>
      <c r="F233" t="s">
        <v>5800</v>
      </c>
      <c r="G233" t="s">
        <v>14</v>
      </c>
      <c r="H233" t="s">
        <v>13</v>
      </c>
      <c r="I233" t="s">
        <v>5799</v>
      </c>
      <c r="J233">
        <v>60017293</v>
      </c>
      <c r="K233" t="s">
        <v>3696</v>
      </c>
      <c r="L233" t="s">
        <v>3695</v>
      </c>
      <c r="M233" t="s">
        <v>3694</v>
      </c>
      <c r="N233">
        <v>2</v>
      </c>
      <c r="O233" t="s">
        <v>5798</v>
      </c>
      <c r="P233" t="s">
        <v>5797</v>
      </c>
      <c r="Q233" t="s">
        <v>5161</v>
      </c>
      <c r="R233" s="7">
        <v>31778</v>
      </c>
      <c r="S233" s="8">
        <f t="shared" si="32"/>
        <v>1987</v>
      </c>
      <c r="T233" s="8">
        <v>1987</v>
      </c>
      <c r="U233" s="8">
        <f t="shared" si="33"/>
        <v>35</v>
      </c>
      <c r="V233" s="7">
        <v>32082</v>
      </c>
      <c r="W233" t="s">
        <v>336</v>
      </c>
      <c r="X233" s="2">
        <v>1.6519999999999999</v>
      </c>
      <c r="Y233" s="6">
        <f t="shared" si="30"/>
        <v>4.409919649769093E-2</v>
      </c>
      <c r="AA233" t="s">
        <v>335</v>
      </c>
      <c r="AB233">
        <v>17337</v>
      </c>
      <c r="AC233">
        <v>15582221</v>
      </c>
      <c r="AD233" t="s">
        <v>4</v>
      </c>
      <c r="AE233">
        <v>35</v>
      </c>
      <c r="AF233">
        <v>11</v>
      </c>
      <c r="AH233" t="s">
        <v>5796</v>
      </c>
      <c r="AI233" t="s">
        <v>5795</v>
      </c>
      <c r="AK233" t="s">
        <v>5794</v>
      </c>
      <c r="AL233">
        <v>22</v>
      </c>
      <c r="AM233" s="5">
        <f t="shared" si="34"/>
        <v>0.62857142857142856</v>
      </c>
      <c r="AN233" s="4">
        <f t="shared" si="31"/>
        <v>9.5202033861632501E-4</v>
      </c>
      <c r="AO233" s="3"/>
      <c r="AP233">
        <v>0</v>
      </c>
      <c r="AR233" t="s">
        <v>0</v>
      </c>
      <c r="AT233" s="2" t="s">
        <v>32</v>
      </c>
      <c r="AU233" s="1">
        <f t="shared" si="35"/>
        <v>3.115504364996855</v>
      </c>
      <c r="AV233" s="1">
        <f t="shared" si="36"/>
        <v>2.2525608418153631</v>
      </c>
      <c r="AW233" s="1">
        <f t="shared" si="37"/>
        <v>1.3896173186338707</v>
      </c>
    </row>
    <row r="234" spans="1:49" x14ac:dyDescent="0.2">
      <c r="A234">
        <v>232</v>
      </c>
      <c r="B234" t="s">
        <v>5793</v>
      </c>
      <c r="C234" t="s">
        <v>5792</v>
      </c>
      <c r="F234" t="s">
        <v>5791</v>
      </c>
      <c r="G234" t="s">
        <v>14</v>
      </c>
      <c r="H234" t="s">
        <v>13</v>
      </c>
      <c r="I234" t="s">
        <v>5790</v>
      </c>
      <c r="J234" t="s">
        <v>5785</v>
      </c>
      <c r="K234" t="s">
        <v>5789</v>
      </c>
      <c r="L234" t="s">
        <v>5788</v>
      </c>
      <c r="M234" t="s">
        <v>5787</v>
      </c>
      <c r="N234">
        <v>2</v>
      </c>
      <c r="O234" t="s">
        <v>5786</v>
      </c>
      <c r="P234" t="s">
        <v>5239</v>
      </c>
      <c r="Q234" t="s">
        <v>5785</v>
      </c>
      <c r="R234" s="7">
        <v>31778</v>
      </c>
      <c r="S234" s="8">
        <f t="shared" si="32"/>
        <v>1987</v>
      </c>
      <c r="T234" s="8">
        <v>1987</v>
      </c>
      <c r="U234" s="8">
        <f t="shared" si="33"/>
        <v>35</v>
      </c>
      <c r="V234" s="7">
        <v>32082</v>
      </c>
      <c r="W234" t="s">
        <v>336</v>
      </c>
      <c r="X234" s="2">
        <v>1.6519999999999999</v>
      </c>
      <c r="Y234" s="6">
        <f t="shared" si="30"/>
        <v>4.409919649769093E-2</v>
      </c>
      <c r="AA234" t="s">
        <v>335</v>
      </c>
      <c r="AB234">
        <v>17337</v>
      </c>
      <c r="AC234">
        <v>15582221</v>
      </c>
      <c r="AD234" t="s">
        <v>4</v>
      </c>
      <c r="AE234">
        <v>35</v>
      </c>
      <c r="AF234">
        <v>11</v>
      </c>
      <c r="AH234" t="s">
        <v>5784</v>
      </c>
      <c r="AI234" t="s">
        <v>5783</v>
      </c>
      <c r="AK234" t="s">
        <v>5782</v>
      </c>
      <c r="AL234">
        <v>76</v>
      </c>
      <c r="AM234" s="5">
        <f t="shared" si="34"/>
        <v>2.1714285714285713</v>
      </c>
      <c r="AN234" s="4">
        <f t="shared" si="31"/>
        <v>3.2887975334018496E-3</v>
      </c>
      <c r="AO234" s="3"/>
      <c r="AP234">
        <v>0</v>
      </c>
      <c r="AR234" t="s">
        <v>0</v>
      </c>
      <c r="AT234" s="2" t="s">
        <v>32</v>
      </c>
      <c r="AU234" s="1">
        <f t="shared" si="35"/>
        <v>3.185607680840421</v>
      </c>
      <c r="AV234" s="1">
        <f t="shared" si="36"/>
        <v>2.3693997015546389</v>
      </c>
      <c r="AW234" s="1">
        <f t="shared" si="37"/>
        <v>1.5531917222688572</v>
      </c>
    </row>
    <row r="235" spans="1:49" x14ac:dyDescent="0.2">
      <c r="A235">
        <v>233</v>
      </c>
      <c r="B235" t="s">
        <v>5781</v>
      </c>
      <c r="C235" t="s">
        <v>5780</v>
      </c>
      <c r="F235" t="s">
        <v>5779</v>
      </c>
      <c r="G235" t="s">
        <v>14</v>
      </c>
      <c r="H235" t="s">
        <v>13</v>
      </c>
      <c r="I235" t="s">
        <v>5778</v>
      </c>
      <c r="J235" t="s">
        <v>5777</v>
      </c>
      <c r="K235" t="s">
        <v>5776</v>
      </c>
      <c r="L235" t="s">
        <v>5775</v>
      </c>
      <c r="M235" t="s">
        <v>5774</v>
      </c>
      <c r="N235">
        <v>2</v>
      </c>
      <c r="O235" t="s">
        <v>5773</v>
      </c>
      <c r="P235" t="s">
        <v>5772</v>
      </c>
      <c r="Q235" t="s">
        <v>5771</v>
      </c>
      <c r="R235" s="7">
        <v>31778</v>
      </c>
      <c r="S235" s="8">
        <f t="shared" si="32"/>
        <v>1987</v>
      </c>
      <c r="T235" s="8">
        <v>1987</v>
      </c>
      <c r="U235" s="8">
        <f t="shared" si="33"/>
        <v>35</v>
      </c>
      <c r="V235" s="7">
        <v>32082</v>
      </c>
      <c r="W235" t="s">
        <v>695</v>
      </c>
      <c r="X235" s="2">
        <v>2.383</v>
      </c>
      <c r="Y235" s="6">
        <f t="shared" si="30"/>
        <v>6.3612824003630442E-2</v>
      </c>
      <c r="AA235">
        <v>189219</v>
      </c>
      <c r="AB235">
        <v>17915</v>
      </c>
      <c r="AC235">
        <v>15582256</v>
      </c>
      <c r="AD235" t="s">
        <v>4</v>
      </c>
      <c r="AE235">
        <v>75</v>
      </c>
      <c r="AF235">
        <v>11</v>
      </c>
      <c r="AH235" t="s">
        <v>5770</v>
      </c>
      <c r="AI235" t="s">
        <v>5769</v>
      </c>
      <c r="AK235" t="s">
        <v>5768</v>
      </c>
      <c r="AL235">
        <v>29</v>
      </c>
      <c r="AM235" s="5">
        <f t="shared" si="34"/>
        <v>0.82857142857142863</v>
      </c>
      <c r="AN235" s="4">
        <f t="shared" si="31"/>
        <v>1.2549359009033376E-3</v>
      </c>
      <c r="AO235" s="3"/>
      <c r="AP235">
        <v>0</v>
      </c>
      <c r="AR235" t="s">
        <v>0</v>
      </c>
      <c r="AT235" s="2">
        <v>10.961</v>
      </c>
      <c r="AU235" s="1">
        <f t="shared" si="35"/>
        <v>4.4905457572812306</v>
      </c>
      <c r="AV235" s="1">
        <f t="shared" si="36"/>
        <v>3.2433879952266889</v>
      </c>
      <c r="AW235" s="1">
        <f t="shared" si="37"/>
        <v>1.9962302331721467</v>
      </c>
    </row>
    <row r="236" spans="1:49" x14ac:dyDescent="0.2">
      <c r="A236">
        <v>234</v>
      </c>
      <c r="B236" t="s">
        <v>5767</v>
      </c>
      <c r="C236" t="s">
        <v>5766</v>
      </c>
      <c r="F236" t="s">
        <v>5765</v>
      </c>
      <c r="G236" t="s">
        <v>14</v>
      </c>
      <c r="H236" t="s">
        <v>13</v>
      </c>
      <c r="I236" t="s">
        <v>5764</v>
      </c>
      <c r="J236">
        <v>60017563</v>
      </c>
      <c r="K236" t="s">
        <v>2942</v>
      </c>
      <c r="L236" t="s">
        <v>2941</v>
      </c>
      <c r="M236" t="s">
        <v>2940</v>
      </c>
      <c r="N236">
        <v>2</v>
      </c>
      <c r="O236" t="s">
        <v>5763</v>
      </c>
      <c r="P236" t="s">
        <v>5762</v>
      </c>
      <c r="Q236" t="s">
        <v>5761</v>
      </c>
      <c r="R236" s="7">
        <v>31778</v>
      </c>
      <c r="S236" s="8">
        <f t="shared" si="32"/>
        <v>1987</v>
      </c>
      <c r="T236" s="8">
        <v>1987</v>
      </c>
      <c r="U236" s="8">
        <f t="shared" si="33"/>
        <v>35</v>
      </c>
      <c r="V236" s="7">
        <v>32082</v>
      </c>
      <c r="W236" t="s">
        <v>336</v>
      </c>
      <c r="X236" s="2">
        <v>1.6519999999999999</v>
      </c>
      <c r="Y236" s="6">
        <f t="shared" si="30"/>
        <v>4.409919649769093E-2</v>
      </c>
      <c r="AA236" t="s">
        <v>335</v>
      </c>
      <c r="AB236">
        <v>17337</v>
      </c>
      <c r="AC236">
        <v>15582221</v>
      </c>
      <c r="AD236" t="s">
        <v>4</v>
      </c>
      <c r="AE236">
        <v>35</v>
      </c>
      <c r="AF236">
        <v>11</v>
      </c>
      <c r="AH236" t="s">
        <v>5760</v>
      </c>
      <c r="AI236" t="s">
        <v>5759</v>
      </c>
      <c r="AK236" t="s">
        <v>5758</v>
      </c>
      <c r="AL236">
        <v>9</v>
      </c>
      <c r="AM236" s="5">
        <f t="shared" si="34"/>
        <v>0.25714285714285712</v>
      </c>
      <c r="AN236" s="4">
        <f t="shared" si="31"/>
        <v>3.8946286579758747E-4</v>
      </c>
      <c r="AO236" s="3"/>
      <c r="AP236">
        <v>0</v>
      </c>
      <c r="AR236" t="s">
        <v>0</v>
      </c>
      <c r="AT236" s="2" t="s">
        <v>32</v>
      </c>
      <c r="AU236" s="1">
        <f t="shared" si="35"/>
        <v>3.0986276408122926</v>
      </c>
      <c r="AV236" s="1">
        <f t="shared" si="36"/>
        <v>2.2244329681744257</v>
      </c>
      <c r="AW236" s="1">
        <f t="shared" si="37"/>
        <v>1.3502382955365588</v>
      </c>
    </row>
    <row r="237" spans="1:49" x14ac:dyDescent="0.2">
      <c r="A237">
        <v>235</v>
      </c>
      <c r="B237" t="s">
        <v>5757</v>
      </c>
      <c r="C237" t="s">
        <v>5756</v>
      </c>
      <c r="E237">
        <v>3442679</v>
      </c>
      <c r="F237" t="s">
        <v>5755</v>
      </c>
      <c r="G237" t="s">
        <v>14</v>
      </c>
      <c r="H237" t="s">
        <v>13</v>
      </c>
      <c r="I237" t="s">
        <v>5742</v>
      </c>
      <c r="J237" t="s">
        <v>5754</v>
      </c>
      <c r="K237" t="s">
        <v>5753</v>
      </c>
      <c r="L237" t="s">
        <v>5752</v>
      </c>
      <c r="M237" t="s">
        <v>3445</v>
      </c>
      <c r="N237">
        <v>3</v>
      </c>
      <c r="O237" t="s">
        <v>5751</v>
      </c>
      <c r="P237" t="s">
        <v>5750</v>
      </c>
      <c r="Q237" t="s">
        <v>5749</v>
      </c>
      <c r="R237" s="7">
        <v>31778</v>
      </c>
      <c r="S237" s="8">
        <f t="shared" si="32"/>
        <v>1987</v>
      </c>
      <c r="T237" s="8">
        <v>1987</v>
      </c>
      <c r="U237" s="8">
        <f t="shared" si="33"/>
        <v>35</v>
      </c>
      <c r="V237" s="7">
        <v>1987</v>
      </c>
      <c r="W237" t="s">
        <v>5598</v>
      </c>
      <c r="X237" s="2">
        <v>1.43</v>
      </c>
      <c r="Y237" s="6">
        <f t="shared" si="30"/>
        <v>3.8173033287952803E-2</v>
      </c>
      <c r="AA237">
        <v>62960</v>
      </c>
      <c r="AB237">
        <v>16867</v>
      </c>
      <c r="AC237">
        <v>15204995</v>
      </c>
      <c r="AD237" t="s">
        <v>4</v>
      </c>
      <c r="AE237">
        <v>26</v>
      </c>
      <c r="AF237">
        <v>26</v>
      </c>
      <c r="AH237" t="s">
        <v>5748</v>
      </c>
      <c r="AI237" t="s">
        <v>5747</v>
      </c>
      <c r="AK237" t="s">
        <v>5746</v>
      </c>
      <c r="AL237">
        <v>139</v>
      </c>
      <c r="AM237" s="5">
        <f t="shared" si="34"/>
        <v>3.9714285714285715</v>
      </c>
      <c r="AN237" s="4">
        <f t="shared" si="31"/>
        <v>6.0150375939849628E-3</v>
      </c>
      <c r="AO237" s="3"/>
      <c r="AP237">
        <v>0</v>
      </c>
      <c r="AQ237" t="s">
        <v>5731</v>
      </c>
      <c r="AR237" t="s">
        <v>5730</v>
      </c>
      <c r="AS237" t="s">
        <v>5729</v>
      </c>
      <c r="AT237" s="2">
        <v>3.1619999999999999</v>
      </c>
      <c r="AU237" s="1">
        <f t="shared" si="35"/>
        <v>2.8525634579762449</v>
      </c>
      <c r="AV237" s="1">
        <f t="shared" si="36"/>
        <v>2.2094035440968884</v>
      </c>
      <c r="AW237" s="1">
        <f t="shared" si="37"/>
        <v>1.5662436302175315</v>
      </c>
    </row>
    <row r="238" spans="1:49" x14ac:dyDescent="0.2">
      <c r="A238">
        <v>236</v>
      </c>
      <c r="B238" t="s">
        <v>5745</v>
      </c>
      <c r="C238" t="s">
        <v>5744</v>
      </c>
      <c r="E238">
        <v>3442680</v>
      </c>
      <c r="F238" t="s">
        <v>5743</v>
      </c>
      <c r="G238" t="s">
        <v>14</v>
      </c>
      <c r="H238" t="s">
        <v>13</v>
      </c>
      <c r="I238" t="s">
        <v>5742</v>
      </c>
      <c r="J238" t="s">
        <v>5741</v>
      </c>
      <c r="K238" t="s">
        <v>5740</v>
      </c>
      <c r="L238" t="s">
        <v>5739</v>
      </c>
      <c r="M238" t="s">
        <v>5738</v>
      </c>
      <c r="N238">
        <v>6</v>
      </c>
      <c r="O238" t="s">
        <v>5737</v>
      </c>
      <c r="P238" t="s">
        <v>5736</v>
      </c>
      <c r="Q238" t="s">
        <v>5735</v>
      </c>
      <c r="R238" s="7">
        <v>31778</v>
      </c>
      <c r="S238" s="8">
        <f t="shared" si="32"/>
        <v>1987</v>
      </c>
      <c r="T238" s="8">
        <v>1987</v>
      </c>
      <c r="U238" s="8">
        <f t="shared" si="33"/>
        <v>35</v>
      </c>
      <c r="V238" s="7">
        <v>1987</v>
      </c>
      <c r="W238" t="s">
        <v>5598</v>
      </c>
      <c r="X238" s="2">
        <v>1.43</v>
      </c>
      <c r="Y238" s="6">
        <f t="shared" si="30"/>
        <v>3.8173033287952803E-2</v>
      </c>
      <c r="AA238">
        <v>62960</v>
      </c>
      <c r="AB238">
        <v>16867</v>
      </c>
      <c r="AC238">
        <v>15204995</v>
      </c>
      <c r="AD238" t="s">
        <v>4</v>
      </c>
      <c r="AE238">
        <v>26</v>
      </c>
      <c r="AF238">
        <v>26</v>
      </c>
      <c r="AH238" t="s">
        <v>5734</v>
      </c>
      <c r="AI238" t="s">
        <v>5733</v>
      </c>
      <c r="AK238" t="s">
        <v>5732</v>
      </c>
      <c r="AL238">
        <v>46</v>
      </c>
      <c r="AM238" s="5">
        <f t="shared" si="34"/>
        <v>1.3142857142857143</v>
      </c>
      <c r="AN238" s="4">
        <f t="shared" si="31"/>
        <v>1.9905879807432252E-3</v>
      </c>
      <c r="AO238" s="3"/>
      <c r="AP238">
        <v>0</v>
      </c>
      <c r="AQ238" t="s">
        <v>5731</v>
      </c>
      <c r="AR238" t="s">
        <v>5730</v>
      </c>
      <c r="AS238" t="s">
        <v>5729</v>
      </c>
      <c r="AT238" s="2">
        <v>3.1619999999999999</v>
      </c>
      <c r="AU238" s="1">
        <f t="shared" si="35"/>
        <v>2.7318299695789929</v>
      </c>
      <c r="AV238" s="1">
        <f t="shared" si="36"/>
        <v>2.0081810634348014</v>
      </c>
      <c r="AW238" s="1">
        <f t="shared" si="37"/>
        <v>1.2845321572906097</v>
      </c>
    </row>
    <row r="239" spans="1:49" x14ac:dyDescent="0.2">
      <c r="A239">
        <v>237</v>
      </c>
      <c r="B239" t="s">
        <v>5728</v>
      </c>
      <c r="C239" t="s">
        <v>5727</v>
      </c>
      <c r="E239">
        <v>2881311</v>
      </c>
      <c r="F239" t="s">
        <v>5726</v>
      </c>
      <c r="G239" t="s">
        <v>14</v>
      </c>
      <c r="H239" t="s">
        <v>13</v>
      </c>
      <c r="I239" t="s">
        <v>5285</v>
      </c>
      <c r="N239">
        <v>2</v>
      </c>
      <c r="O239" t="s">
        <v>5725</v>
      </c>
      <c r="P239" t="s">
        <v>5724</v>
      </c>
      <c r="Q239" t="s">
        <v>349</v>
      </c>
      <c r="R239" s="7">
        <v>31778</v>
      </c>
      <c r="S239" s="8">
        <f t="shared" si="32"/>
        <v>1987</v>
      </c>
      <c r="T239" s="8">
        <v>1987</v>
      </c>
      <c r="U239" s="8">
        <f t="shared" si="33"/>
        <v>35</v>
      </c>
      <c r="V239" s="7">
        <v>31804</v>
      </c>
      <c r="W239" t="s">
        <v>5723</v>
      </c>
      <c r="X239" s="2" t="s">
        <v>32</v>
      </c>
      <c r="Y239" s="6" t="e">
        <f t="shared" si="30"/>
        <v>#VALUE!</v>
      </c>
      <c r="AA239">
        <v>9628436</v>
      </c>
      <c r="AB239">
        <v>13602</v>
      </c>
      <c r="AD239" t="s">
        <v>4</v>
      </c>
      <c r="AE239">
        <v>315</v>
      </c>
      <c r="AF239">
        <v>1168</v>
      </c>
      <c r="AH239" s="10">
        <v>13150</v>
      </c>
      <c r="AI239" t="s">
        <v>5722</v>
      </c>
      <c r="AK239" t="s">
        <v>5721</v>
      </c>
      <c r="AL239">
        <v>74</v>
      </c>
      <c r="AM239" s="5">
        <f t="shared" si="34"/>
        <v>2.1142857142857143</v>
      </c>
      <c r="AN239" s="4">
        <f t="shared" si="31"/>
        <v>3.2022502298912751E-3</v>
      </c>
      <c r="AO239" s="3"/>
      <c r="AP239">
        <v>0</v>
      </c>
      <c r="AR239" t="s">
        <v>0</v>
      </c>
      <c r="AT239" s="2" t="s">
        <v>32</v>
      </c>
      <c r="AU239" s="1" t="e">
        <f t="shared" si="35"/>
        <v>#VALUE!</v>
      </c>
      <c r="AV239" s="1" t="e">
        <f t="shared" si="36"/>
        <v>#VALUE!</v>
      </c>
      <c r="AW239" s="1" t="e">
        <f t="shared" si="37"/>
        <v>#VALUE!</v>
      </c>
    </row>
    <row r="240" spans="1:49" x14ac:dyDescent="0.2">
      <c r="A240">
        <v>238</v>
      </c>
      <c r="B240" t="s">
        <v>5720</v>
      </c>
      <c r="E240">
        <v>3308877</v>
      </c>
      <c r="F240" t="s">
        <v>5719</v>
      </c>
      <c r="G240" t="s">
        <v>14</v>
      </c>
      <c r="H240" t="s">
        <v>13</v>
      </c>
      <c r="I240" t="s">
        <v>5718</v>
      </c>
      <c r="J240">
        <v>60000481</v>
      </c>
      <c r="K240" t="s">
        <v>5717</v>
      </c>
      <c r="L240" t="s">
        <v>5716</v>
      </c>
      <c r="M240" t="s">
        <v>3694</v>
      </c>
      <c r="N240">
        <v>5</v>
      </c>
      <c r="O240" t="s">
        <v>5715</v>
      </c>
      <c r="P240" t="s">
        <v>5714</v>
      </c>
      <c r="Q240" t="s">
        <v>5713</v>
      </c>
      <c r="R240" s="7">
        <v>31778</v>
      </c>
      <c r="S240" s="8">
        <f t="shared" si="32"/>
        <v>1987</v>
      </c>
      <c r="T240" s="8">
        <v>1987</v>
      </c>
      <c r="U240" s="8">
        <f t="shared" si="33"/>
        <v>35</v>
      </c>
      <c r="V240" s="7">
        <v>32045</v>
      </c>
      <c r="W240" t="s">
        <v>5712</v>
      </c>
      <c r="X240" s="2">
        <v>0.22900000000000001</v>
      </c>
      <c r="Y240" s="6">
        <f t="shared" si="30"/>
        <v>6.1130242118469878E-3</v>
      </c>
      <c r="AA240">
        <v>219258</v>
      </c>
      <c r="AB240">
        <v>17592</v>
      </c>
      <c r="AD240" t="s">
        <v>4</v>
      </c>
      <c r="AE240">
        <v>262</v>
      </c>
      <c r="AF240">
        <v>27</v>
      </c>
      <c r="AH240" t="s">
        <v>5711</v>
      </c>
      <c r="AI240" t="s">
        <v>5710</v>
      </c>
      <c r="AK240" t="s">
        <v>5709</v>
      </c>
      <c r="AL240">
        <v>126</v>
      </c>
      <c r="AM240" s="5">
        <f t="shared" si="34"/>
        <v>3.6</v>
      </c>
      <c r="AN240" s="4">
        <f t="shared" si="31"/>
        <v>5.4524801211662246E-3</v>
      </c>
      <c r="AO240" s="3"/>
      <c r="AP240">
        <v>0</v>
      </c>
      <c r="AR240" t="s">
        <v>0</v>
      </c>
      <c r="AT240" s="2" t="s">
        <v>32</v>
      </c>
      <c r="AU240" s="1">
        <f t="shared" si="35"/>
        <v>0.5914860984642758</v>
      </c>
      <c r="AV240" s="1">
        <f t="shared" si="36"/>
        <v>0.57827521665066062</v>
      </c>
      <c r="AW240" s="1">
        <f t="shared" si="37"/>
        <v>0.56506433483704521</v>
      </c>
    </row>
    <row r="241" spans="1:49" x14ac:dyDescent="0.2">
      <c r="A241">
        <v>239</v>
      </c>
      <c r="B241" t="s">
        <v>5708</v>
      </c>
      <c r="C241" t="s">
        <v>5707</v>
      </c>
      <c r="E241">
        <v>3549296</v>
      </c>
      <c r="F241" t="s">
        <v>5706</v>
      </c>
      <c r="G241" t="s">
        <v>14</v>
      </c>
      <c r="H241" t="s">
        <v>13</v>
      </c>
      <c r="I241" t="s">
        <v>5688</v>
      </c>
      <c r="J241">
        <v>60010365</v>
      </c>
      <c r="K241" t="s">
        <v>4134</v>
      </c>
      <c r="L241" t="s">
        <v>4133</v>
      </c>
      <c r="M241" t="s">
        <v>685</v>
      </c>
      <c r="N241">
        <v>2</v>
      </c>
      <c r="O241" t="s">
        <v>5687</v>
      </c>
      <c r="P241" t="s">
        <v>5686</v>
      </c>
      <c r="Q241" t="s">
        <v>4130</v>
      </c>
      <c r="R241" s="7">
        <v>31778</v>
      </c>
      <c r="S241" s="8">
        <f t="shared" si="32"/>
        <v>1987</v>
      </c>
      <c r="T241" s="8">
        <v>1987</v>
      </c>
      <c r="U241" s="8">
        <f t="shared" si="33"/>
        <v>35</v>
      </c>
      <c r="V241" s="7">
        <v>31837</v>
      </c>
      <c r="W241" t="s">
        <v>2938</v>
      </c>
      <c r="X241" s="2">
        <v>1.9810000000000001</v>
      </c>
      <c r="Y241" s="6">
        <f t="shared" si="30"/>
        <v>5.2881663596807349E-2</v>
      </c>
      <c r="AA241">
        <v>142956</v>
      </c>
      <c r="AB241">
        <v>39034</v>
      </c>
      <c r="AC241">
        <v>14321033</v>
      </c>
      <c r="AD241" t="s">
        <v>4</v>
      </c>
      <c r="AE241">
        <v>163</v>
      </c>
      <c r="AF241">
        <v>3</v>
      </c>
      <c r="AH241" t="s">
        <v>5705</v>
      </c>
      <c r="AI241" t="s">
        <v>5704</v>
      </c>
      <c r="AK241" t="s">
        <v>5703</v>
      </c>
      <c r="AL241">
        <v>40</v>
      </c>
      <c r="AM241" s="5">
        <f t="shared" si="34"/>
        <v>1.1428571428571428</v>
      </c>
      <c r="AN241" s="4">
        <f t="shared" si="31"/>
        <v>1.7309460702114999E-3</v>
      </c>
      <c r="AO241" s="3"/>
      <c r="AP241">
        <v>0</v>
      </c>
      <c r="AR241" t="s">
        <v>0</v>
      </c>
      <c r="AT241" s="2" t="s">
        <v>32</v>
      </c>
      <c r="AU241" s="1">
        <f t="shared" si="35"/>
        <v>3.7536448338828592</v>
      </c>
      <c r="AV241" s="1">
        <f t="shared" si="36"/>
        <v>2.7306304833509425</v>
      </c>
      <c r="AW241" s="1">
        <f t="shared" si="37"/>
        <v>1.7076161328190251</v>
      </c>
    </row>
    <row r="242" spans="1:49" x14ac:dyDescent="0.2">
      <c r="A242">
        <v>240</v>
      </c>
      <c r="B242" t="s">
        <v>5702</v>
      </c>
      <c r="C242" t="s">
        <v>5701</v>
      </c>
      <c r="E242">
        <v>3322265</v>
      </c>
      <c r="F242" t="s">
        <v>5700</v>
      </c>
      <c r="G242" t="s">
        <v>14</v>
      </c>
      <c r="H242" t="s">
        <v>13</v>
      </c>
      <c r="I242" t="s">
        <v>5699</v>
      </c>
      <c r="J242">
        <v>60015150</v>
      </c>
      <c r="K242" t="s">
        <v>4688</v>
      </c>
      <c r="L242" t="s">
        <v>587</v>
      </c>
      <c r="M242" t="s">
        <v>586</v>
      </c>
      <c r="N242">
        <v>3</v>
      </c>
      <c r="O242" t="s">
        <v>5698</v>
      </c>
      <c r="P242" t="s">
        <v>5697</v>
      </c>
      <c r="Q242" t="s">
        <v>5696</v>
      </c>
      <c r="R242" s="7">
        <v>31778</v>
      </c>
      <c r="S242" s="8">
        <f t="shared" si="32"/>
        <v>1987</v>
      </c>
      <c r="T242" s="8">
        <v>1987</v>
      </c>
      <c r="U242" s="8">
        <f t="shared" si="33"/>
        <v>35</v>
      </c>
      <c r="V242" s="7">
        <v>32065</v>
      </c>
      <c r="W242" t="s">
        <v>5695</v>
      </c>
      <c r="X242" s="2" t="s">
        <v>32</v>
      </c>
      <c r="Y242" s="6" t="e">
        <f t="shared" si="30"/>
        <v>#VALUE!</v>
      </c>
      <c r="AA242">
        <v>2646021</v>
      </c>
      <c r="AB242">
        <v>16850</v>
      </c>
      <c r="AD242" t="s">
        <v>4</v>
      </c>
      <c r="AE242">
        <v>247</v>
      </c>
      <c r="AF242">
        <v>2</v>
      </c>
      <c r="AH242" t="s">
        <v>5694</v>
      </c>
      <c r="AI242" t="s">
        <v>5693</v>
      </c>
      <c r="AK242" t="s">
        <v>5692</v>
      </c>
      <c r="AL242">
        <v>9</v>
      </c>
      <c r="AM242" s="5">
        <f t="shared" si="34"/>
        <v>0.25714285714285712</v>
      </c>
      <c r="AN242" s="4">
        <f t="shared" si="31"/>
        <v>3.8946286579758747E-4</v>
      </c>
      <c r="AO242" s="3"/>
      <c r="AP242">
        <v>0</v>
      </c>
      <c r="AR242" t="s">
        <v>0</v>
      </c>
      <c r="AT242" s="2" t="s">
        <v>32</v>
      </c>
      <c r="AU242" s="1" t="e">
        <f t="shared" si="35"/>
        <v>#VALUE!</v>
      </c>
      <c r="AV242" s="1" t="e">
        <f t="shared" si="36"/>
        <v>#VALUE!</v>
      </c>
      <c r="AW242" s="1" t="e">
        <f t="shared" si="37"/>
        <v>#VALUE!</v>
      </c>
    </row>
    <row r="243" spans="1:49" x14ac:dyDescent="0.2">
      <c r="A243">
        <v>241</v>
      </c>
      <c r="B243" t="s">
        <v>5691</v>
      </c>
      <c r="C243" t="s">
        <v>5690</v>
      </c>
      <c r="E243">
        <v>3297692</v>
      </c>
      <c r="F243" t="s">
        <v>5689</v>
      </c>
      <c r="G243" t="s">
        <v>14</v>
      </c>
      <c r="H243" t="s">
        <v>13</v>
      </c>
      <c r="I243" t="s">
        <v>5688</v>
      </c>
      <c r="J243">
        <v>60010365</v>
      </c>
      <c r="K243" t="s">
        <v>4134</v>
      </c>
      <c r="L243" t="s">
        <v>4133</v>
      </c>
      <c r="M243" t="s">
        <v>685</v>
      </c>
      <c r="N243">
        <v>2</v>
      </c>
      <c r="O243" t="s">
        <v>5687</v>
      </c>
      <c r="P243" t="s">
        <v>5686</v>
      </c>
      <c r="Q243" t="s">
        <v>4130</v>
      </c>
      <c r="R243" s="7">
        <v>31778</v>
      </c>
      <c r="S243" s="8">
        <f t="shared" si="32"/>
        <v>1987</v>
      </c>
      <c r="T243" s="8">
        <v>1987</v>
      </c>
      <c r="U243" s="8">
        <f t="shared" si="33"/>
        <v>35</v>
      </c>
      <c r="V243" s="7">
        <v>31929</v>
      </c>
      <c r="W243" t="s">
        <v>2938</v>
      </c>
      <c r="X243" s="2">
        <v>1.9810000000000001</v>
      </c>
      <c r="Y243" s="6">
        <f t="shared" si="30"/>
        <v>5.2881663596807349E-2</v>
      </c>
      <c r="AA243">
        <v>142956</v>
      </c>
      <c r="AB243">
        <v>39034</v>
      </c>
      <c r="AC243">
        <v>14321033</v>
      </c>
      <c r="AD243" t="s">
        <v>4</v>
      </c>
      <c r="AE243">
        <v>165</v>
      </c>
      <c r="AF243">
        <v>3</v>
      </c>
      <c r="AH243" t="s">
        <v>5685</v>
      </c>
      <c r="AI243" t="s">
        <v>5684</v>
      </c>
      <c r="AK243" t="s">
        <v>5683</v>
      </c>
      <c r="AL243">
        <v>47</v>
      </c>
      <c r="AM243" s="5">
        <f t="shared" si="34"/>
        <v>1.3428571428571427</v>
      </c>
      <c r="AN243" s="4">
        <f t="shared" si="31"/>
        <v>2.0338616324985124E-3</v>
      </c>
      <c r="AO243" s="3"/>
      <c r="AP243">
        <v>1</v>
      </c>
      <c r="AR243" t="s">
        <v>0</v>
      </c>
      <c r="AT243" s="2" t="s">
        <v>32</v>
      </c>
      <c r="AU243" s="1">
        <f t="shared" si="35"/>
        <v>3.7627323007514692</v>
      </c>
      <c r="AV243" s="1">
        <f t="shared" si="36"/>
        <v>2.7457762614652927</v>
      </c>
      <c r="AW243" s="1">
        <f t="shared" si="37"/>
        <v>1.7288202221791165</v>
      </c>
    </row>
    <row r="244" spans="1:49" x14ac:dyDescent="0.2">
      <c r="A244">
        <v>242</v>
      </c>
      <c r="B244" t="s">
        <v>5682</v>
      </c>
      <c r="C244" t="s">
        <v>5681</v>
      </c>
      <c r="F244" t="s">
        <v>5680</v>
      </c>
      <c r="G244" t="s">
        <v>14</v>
      </c>
      <c r="H244" t="s">
        <v>13</v>
      </c>
      <c r="I244" t="s">
        <v>5679</v>
      </c>
      <c r="J244">
        <v>60021080</v>
      </c>
      <c r="K244" t="s">
        <v>2400</v>
      </c>
      <c r="L244" t="s">
        <v>2399</v>
      </c>
      <c r="M244" t="s">
        <v>9</v>
      </c>
      <c r="N244">
        <v>3</v>
      </c>
      <c r="O244" t="s">
        <v>5678</v>
      </c>
      <c r="P244" t="s">
        <v>5677</v>
      </c>
      <c r="Q244" t="s">
        <v>5676</v>
      </c>
      <c r="R244" s="7">
        <v>31778</v>
      </c>
      <c r="S244" s="8">
        <f t="shared" si="32"/>
        <v>1987</v>
      </c>
      <c r="T244" s="8">
        <v>1987</v>
      </c>
      <c r="U244" s="8">
        <f t="shared" si="33"/>
        <v>35</v>
      </c>
      <c r="V244" s="7">
        <v>1987</v>
      </c>
      <c r="W244" t="s">
        <v>429</v>
      </c>
      <c r="X244" s="2">
        <v>0.375</v>
      </c>
      <c r="Y244" s="6">
        <f t="shared" si="30"/>
        <v>1.0010410827260351E-2</v>
      </c>
      <c r="AA244">
        <v>135194</v>
      </c>
      <c r="AB244">
        <v>24918</v>
      </c>
      <c r="AD244" t="s">
        <v>4</v>
      </c>
      <c r="AE244">
        <v>23</v>
      </c>
      <c r="AF244">
        <v>8</v>
      </c>
      <c r="AH244" t="s">
        <v>5675</v>
      </c>
      <c r="AI244" t="s">
        <v>5674</v>
      </c>
      <c r="AJ244" t="s">
        <v>3110</v>
      </c>
      <c r="AK244" t="s">
        <v>5673</v>
      </c>
      <c r="AL244">
        <v>13</v>
      </c>
      <c r="AM244" s="5">
        <f t="shared" si="34"/>
        <v>0.37142857142857144</v>
      </c>
      <c r="AN244" s="4">
        <f t="shared" si="31"/>
        <v>5.6255747281873749E-4</v>
      </c>
      <c r="AO244" s="3"/>
      <c r="AP244">
        <v>0</v>
      </c>
      <c r="AR244" t="s">
        <v>0</v>
      </c>
      <c r="AT244" s="2">
        <v>1.3140000000000001</v>
      </c>
      <c r="AU244" s="1">
        <f t="shared" si="35"/>
        <v>0.71760548209278663</v>
      </c>
      <c r="AV244" s="1">
        <f t="shared" si="36"/>
        <v>0.52864841500395443</v>
      </c>
      <c r="AW244" s="1">
        <f t="shared" si="37"/>
        <v>0.33969134791512212</v>
      </c>
    </row>
    <row r="245" spans="1:49" x14ac:dyDescent="0.2">
      <c r="A245">
        <v>243</v>
      </c>
      <c r="B245" t="s">
        <v>5672</v>
      </c>
      <c r="C245" t="s">
        <v>5671</v>
      </c>
      <c r="F245" t="s">
        <v>5670</v>
      </c>
      <c r="G245" t="s">
        <v>14</v>
      </c>
      <c r="H245" t="s">
        <v>13</v>
      </c>
      <c r="I245" t="s">
        <v>5669</v>
      </c>
      <c r="J245">
        <v>60102558</v>
      </c>
      <c r="K245" t="s">
        <v>5668</v>
      </c>
      <c r="L245" t="s">
        <v>5667</v>
      </c>
      <c r="M245" t="s">
        <v>9</v>
      </c>
      <c r="N245">
        <v>1</v>
      </c>
      <c r="O245" t="s">
        <v>5666</v>
      </c>
      <c r="P245">
        <v>7006637880</v>
      </c>
      <c r="Q245">
        <v>60102558</v>
      </c>
      <c r="R245" s="7">
        <v>31778</v>
      </c>
      <c r="S245" s="8">
        <f t="shared" si="32"/>
        <v>1987</v>
      </c>
      <c r="T245" s="8">
        <v>1987</v>
      </c>
      <c r="U245" s="8">
        <f t="shared" si="33"/>
        <v>35</v>
      </c>
      <c r="V245" s="7">
        <v>1987</v>
      </c>
      <c r="W245" t="s">
        <v>429</v>
      </c>
      <c r="X245" s="2">
        <v>0.375</v>
      </c>
      <c r="Y245" s="6">
        <f t="shared" si="30"/>
        <v>1.0010410827260351E-2</v>
      </c>
      <c r="AA245">
        <v>135194</v>
      </c>
      <c r="AB245">
        <v>24918</v>
      </c>
      <c r="AD245" t="s">
        <v>4</v>
      </c>
      <c r="AE245">
        <v>23</v>
      </c>
      <c r="AF245">
        <v>8</v>
      </c>
      <c r="AH245" t="s">
        <v>5665</v>
      </c>
      <c r="AI245" t="s">
        <v>5664</v>
      </c>
      <c r="AK245" t="s">
        <v>5663</v>
      </c>
      <c r="AL245">
        <v>0</v>
      </c>
      <c r="AM245" s="5">
        <f t="shared" si="34"/>
        <v>0</v>
      </c>
      <c r="AN245" s="4">
        <f t="shared" si="31"/>
        <v>0</v>
      </c>
      <c r="AO245" s="3"/>
      <c r="AP245">
        <v>0</v>
      </c>
      <c r="AR245" t="s">
        <v>0</v>
      </c>
      <c r="AT245" s="2">
        <v>1.3140000000000001</v>
      </c>
      <c r="AU245" s="1">
        <f t="shared" si="35"/>
        <v>0.70072875790822453</v>
      </c>
      <c r="AV245" s="1">
        <f t="shared" si="36"/>
        <v>0.5005205413630176</v>
      </c>
      <c r="AW245" s="1">
        <f t="shared" si="37"/>
        <v>0.30031232481781051</v>
      </c>
    </row>
    <row r="246" spans="1:49" x14ac:dyDescent="0.2">
      <c r="A246">
        <v>244</v>
      </c>
      <c r="B246" t="s">
        <v>5662</v>
      </c>
      <c r="C246" t="s">
        <v>5661</v>
      </c>
      <c r="F246" t="s">
        <v>5660</v>
      </c>
      <c r="G246" t="s">
        <v>14</v>
      </c>
      <c r="H246" t="s">
        <v>13</v>
      </c>
      <c r="I246" t="s">
        <v>5659</v>
      </c>
      <c r="J246">
        <v>60014313</v>
      </c>
      <c r="K246" t="s">
        <v>1583</v>
      </c>
      <c r="L246" t="s">
        <v>1582</v>
      </c>
      <c r="M246" t="s">
        <v>9</v>
      </c>
      <c r="N246">
        <v>2</v>
      </c>
      <c r="O246" t="s">
        <v>5658</v>
      </c>
      <c r="P246" t="s">
        <v>5657</v>
      </c>
      <c r="Q246" t="s">
        <v>1579</v>
      </c>
      <c r="R246" s="7">
        <v>31778</v>
      </c>
      <c r="S246" s="8">
        <f t="shared" si="32"/>
        <v>1987</v>
      </c>
      <c r="T246" s="8">
        <v>1987</v>
      </c>
      <c r="U246" s="8">
        <f t="shared" si="33"/>
        <v>35</v>
      </c>
      <c r="V246" s="7">
        <v>1987</v>
      </c>
      <c r="W246" t="s">
        <v>429</v>
      </c>
      <c r="X246" s="2">
        <v>0.375</v>
      </c>
      <c r="Y246" s="6">
        <f t="shared" si="30"/>
        <v>1.0010410827260351E-2</v>
      </c>
      <c r="AA246">
        <v>135194</v>
      </c>
      <c r="AB246">
        <v>24918</v>
      </c>
      <c r="AD246" t="s">
        <v>4</v>
      </c>
      <c r="AE246">
        <v>23</v>
      </c>
      <c r="AF246">
        <v>8</v>
      </c>
      <c r="AH246" t="s">
        <v>5656</v>
      </c>
      <c r="AI246" t="s">
        <v>5655</v>
      </c>
      <c r="AK246" t="s">
        <v>5654</v>
      </c>
      <c r="AL246">
        <v>204</v>
      </c>
      <c r="AM246" s="5">
        <f t="shared" si="34"/>
        <v>5.8285714285714283</v>
      </c>
      <c r="AN246" s="4">
        <f t="shared" si="31"/>
        <v>8.8278249580786491E-3</v>
      </c>
      <c r="AO246" s="3"/>
      <c r="AP246">
        <v>0</v>
      </c>
      <c r="AR246" t="s">
        <v>0</v>
      </c>
      <c r="AT246" s="2">
        <v>1.3140000000000001</v>
      </c>
      <c r="AU246" s="1">
        <f t="shared" si="35"/>
        <v>0.96556350665058399</v>
      </c>
      <c r="AV246" s="1">
        <f t="shared" si="36"/>
        <v>0.94191178926695007</v>
      </c>
      <c r="AW246" s="1">
        <f t="shared" si="37"/>
        <v>0.91826007188331582</v>
      </c>
    </row>
    <row r="247" spans="1:49" x14ac:dyDescent="0.2">
      <c r="A247">
        <v>245</v>
      </c>
      <c r="B247" t="s">
        <v>5653</v>
      </c>
      <c r="C247" t="s">
        <v>5652</v>
      </c>
      <c r="F247" t="s">
        <v>5651</v>
      </c>
      <c r="G247" t="s">
        <v>14</v>
      </c>
      <c r="H247" t="s">
        <v>13</v>
      </c>
      <c r="I247" t="s">
        <v>5650</v>
      </c>
      <c r="J247" t="s">
        <v>430</v>
      </c>
      <c r="K247" t="s">
        <v>434</v>
      </c>
      <c r="L247" t="s">
        <v>433</v>
      </c>
      <c r="M247" t="s">
        <v>392</v>
      </c>
      <c r="N247">
        <v>3</v>
      </c>
      <c r="O247" t="s">
        <v>5649</v>
      </c>
      <c r="P247" t="s">
        <v>5648</v>
      </c>
      <c r="Q247" t="s">
        <v>5647</v>
      </c>
      <c r="R247" s="7">
        <v>31778</v>
      </c>
      <c r="S247" s="8">
        <f t="shared" si="32"/>
        <v>1987</v>
      </c>
      <c r="T247" s="8">
        <v>1987</v>
      </c>
      <c r="U247" s="8">
        <f t="shared" si="33"/>
        <v>35</v>
      </c>
      <c r="V247" s="7">
        <v>1987</v>
      </c>
      <c r="W247" t="s">
        <v>429</v>
      </c>
      <c r="X247" s="2">
        <v>0.375</v>
      </c>
      <c r="Y247" s="6">
        <f t="shared" si="30"/>
        <v>1.0010410827260351E-2</v>
      </c>
      <c r="AA247">
        <v>135194</v>
      </c>
      <c r="AB247">
        <v>24918</v>
      </c>
      <c r="AD247" t="s">
        <v>4</v>
      </c>
      <c r="AE247">
        <v>23</v>
      </c>
      <c r="AF247">
        <v>8</v>
      </c>
      <c r="AH247" t="s">
        <v>5646</v>
      </c>
      <c r="AI247" t="s">
        <v>5645</v>
      </c>
      <c r="AK247" t="s">
        <v>5644</v>
      </c>
      <c r="AL247">
        <v>3</v>
      </c>
      <c r="AM247" s="5">
        <f t="shared" si="34"/>
        <v>8.5714285714285715E-2</v>
      </c>
      <c r="AN247" s="4">
        <f t="shared" si="31"/>
        <v>1.2982095526586251E-4</v>
      </c>
      <c r="AO247" s="3"/>
      <c r="AP247">
        <v>0</v>
      </c>
      <c r="AR247" t="s">
        <v>0</v>
      </c>
      <c r="AT247" s="2">
        <v>1.3140000000000001</v>
      </c>
      <c r="AU247" s="1">
        <f t="shared" si="35"/>
        <v>0.70462338656620049</v>
      </c>
      <c r="AV247" s="1">
        <f t="shared" si="36"/>
        <v>0.50701158912631072</v>
      </c>
      <c r="AW247" s="1">
        <f t="shared" si="37"/>
        <v>0.3093997916864209</v>
      </c>
    </row>
    <row r="248" spans="1:49" x14ac:dyDescent="0.2">
      <c r="A248">
        <v>246</v>
      </c>
      <c r="B248" t="s">
        <v>5643</v>
      </c>
      <c r="C248" t="s">
        <v>5642</v>
      </c>
      <c r="F248" t="s">
        <v>5641</v>
      </c>
      <c r="G248" t="s">
        <v>14</v>
      </c>
      <c r="H248" t="s">
        <v>13</v>
      </c>
      <c r="I248" t="s">
        <v>5640</v>
      </c>
      <c r="J248">
        <v>60001881</v>
      </c>
      <c r="K248" t="s">
        <v>1444</v>
      </c>
      <c r="L248" t="s">
        <v>1443</v>
      </c>
      <c r="M248" t="s">
        <v>586</v>
      </c>
      <c r="N248">
        <v>2</v>
      </c>
      <c r="O248" t="s">
        <v>5639</v>
      </c>
      <c r="P248" t="s">
        <v>5638</v>
      </c>
      <c r="Q248" t="s">
        <v>1452</v>
      </c>
      <c r="R248" s="7">
        <v>31778</v>
      </c>
      <c r="S248" s="8">
        <f t="shared" si="32"/>
        <v>1987</v>
      </c>
      <c r="T248" s="8">
        <v>1987</v>
      </c>
      <c r="U248" s="8">
        <f t="shared" si="33"/>
        <v>35</v>
      </c>
      <c r="V248" s="7">
        <v>1987</v>
      </c>
      <c r="W248" t="s">
        <v>429</v>
      </c>
      <c r="X248" s="2">
        <v>0.375</v>
      </c>
      <c r="Y248" s="6">
        <f t="shared" si="30"/>
        <v>1.0010410827260351E-2</v>
      </c>
      <c r="AA248">
        <v>135194</v>
      </c>
      <c r="AB248">
        <v>24918</v>
      </c>
      <c r="AD248" t="s">
        <v>4</v>
      </c>
      <c r="AE248">
        <v>23</v>
      </c>
      <c r="AF248">
        <v>8</v>
      </c>
      <c r="AH248" t="s">
        <v>5637</v>
      </c>
      <c r="AI248" t="s">
        <v>5636</v>
      </c>
      <c r="AJ248" t="s">
        <v>4031</v>
      </c>
      <c r="AK248" t="s">
        <v>5635</v>
      </c>
      <c r="AL248">
        <v>0</v>
      </c>
      <c r="AM248" s="5">
        <f t="shared" si="34"/>
        <v>0</v>
      </c>
      <c r="AN248" s="4">
        <f t="shared" si="31"/>
        <v>0</v>
      </c>
      <c r="AO248" s="3"/>
      <c r="AP248">
        <v>0</v>
      </c>
      <c r="AR248" t="s">
        <v>0</v>
      </c>
      <c r="AT248" s="2">
        <v>1.3140000000000001</v>
      </c>
      <c r="AU248" s="1">
        <f t="shared" si="35"/>
        <v>0.70072875790822453</v>
      </c>
      <c r="AV248" s="1">
        <f t="shared" si="36"/>
        <v>0.5005205413630176</v>
      </c>
      <c r="AW248" s="1">
        <f t="shared" si="37"/>
        <v>0.30031232481781051</v>
      </c>
    </row>
    <row r="249" spans="1:49" x14ac:dyDescent="0.2">
      <c r="A249">
        <v>247</v>
      </c>
      <c r="B249" t="s">
        <v>5634</v>
      </c>
      <c r="C249" t="s">
        <v>5633</v>
      </c>
      <c r="F249" t="s">
        <v>5632</v>
      </c>
      <c r="G249" t="s">
        <v>14</v>
      </c>
      <c r="H249" t="s">
        <v>13</v>
      </c>
      <c r="I249" t="s">
        <v>5631</v>
      </c>
      <c r="J249">
        <v>60022109</v>
      </c>
      <c r="K249" t="s">
        <v>1825</v>
      </c>
      <c r="L249" t="s">
        <v>587</v>
      </c>
      <c r="M249" t="s">
        <v>586</v>
      </c>
      <c r="N249">
        <v>3</v>
      </c>
      <c r="O249" t="s">
        <v>5630</v>
      </c>
      <c r="P249" t="s">
        <v>5629</v>
      </c>
      <c r="Q249" t="s">
        <v>1822</v>
      </c>
      <c r="R249" s="7">
        <v>31778</v>
      </c>
      <c r="S249" s="8">
        <f t="shared" si="32"/>
        <v>1987</v>
      </c>
      <c r="T249" s="8">
        <v>1987</v>
      </c>
      <c r="U249" s="8">
        <f t="shared" si="33"/>
        <v>35</v>
      </c>
      <c r="V249" s="7">
        <v>1987</v>
      </c>
      <c r="W249" t="s">
        <v>429</v>
      </c>
      <c r="X249" s="2">
        <v>0.375</v>
      </c>
      <c r="Y249" s="6">
        <f t="shared" si="30"/>
        <v>1.0010410827260351E-2</v>
      </c>
      <c r="AA249">
        <v>135194</v>
      </c>
      <c r="AB249">
        <v>24918</v>
      </c>
      <c r="AD249" t="s">
        <v>4</v>
      </c>
      <c r="AE249">
        <v>23</v>
      </c>
      <c r="AF249">
        <v>21</v>
      </c>
      <c r="AH249" t="s">
        <v>5628</v>
      </c>
      <c r="AI249" t="s">
        <v>5627</v>
      </c>
      <c r="AJ249" t="s">
        <v>5626</v>
      </c>
      <c r="AK249" t="s">
        <v>5625</v>
      </c>
      <c r="AL249">
        <v>16</v>
      </c>
      <c r="AM249" s="5">
        <f t="shared" si="34"/>
        <v>0.45714285714285713</v>
      </c>
      <c r="AN249" s="4">
        <f t="shared" si="31"/>
        <v>6.923784280846E-4</v>
      </c>
      <c r="AO249" s="3"/>
      <c r="AP249">
        <v>0</v>
      </c>
      <c r="AR249" t="s">
        <v>0</v>
      </c>
      <c r="AT249" s="2">
        <v>1.3140000000000001</v>
      </c>
      <c r="AU249" s="1">
        <f t="shared" si="35"/>
        <v>0.72150011075076259</v>
      </c>
      <c r="AV249" s="1">
        <f t="shared" si="36"/>
        <v>0.53513946276724755</v>
      </c>
      <c r="AW249" s="1">
        <f t="shared" si="37"/>
        <v>0.34877881478373252</v>
      </c>
    </row>
    <row r="250" spans="1:49" x14ac:dyDescent="0.2">
      <c r="A250">
        <v>248</v>
      </c>
      <c r="B250" t="s">
        <v>5624</v>
      </c>
      <c r="C250" t="s">
        <v>5623</v>
      </c>
      <c r="F250" t="s">
        <v>5622</v>
      </c>
      <c r="G250" t="s">
        <v>14</v>
      </c>
      <c r="H250" t="s">
        <v>13</v>
      </c>
      <c r="I250" t="s">
        <v>5621</v>
      </c>
      <c r="J250">
        <v>60005837</v>
      </c>
      <c r="K250" t="s">
        <v>3591</v>
      </c>
      <c r="L250" t="s">
        <v>3590</v>
      </c>
      <c r="M250" t="s">
        <v>9</v>
      </c>
      <c r="N250">
        <v>2</v>
      </c>
      <c r="O250" t="s">
        <v>5620</v>
      </c>
      <c r="P250" t="s">
        <v>5619</v>
      </c>
      <c r="Q250" t="s">
        <v>5618</v>
      </c>
      <c r="R250" s="7">
        <v>31778</v>
      </c>
      <c r="S250" s="8">
        <f t="shared" si="32"/>
        <v>1987</v>
      </c>
      <c r="T250" s="8">
        <v>1987</v>
      </c>
      <c r="U250" s="8">
        <f t="shared" si="33"/>
        <v>35</v>
      </c>
      <c r="V250" s="7">
        <v>1987</v>
      </c>
      <c r="W250" t="s">
        <v>429</v>
      </c>
      <c r="X250" s="2">
        <v>0.375</v>
      </c>
      <c r="Y250" s="6">
        <f t="shared" si="30"/>
        <v>1.0010410827260351E-2</v>
      </c>
      <c r="AA250">
        <v>135194</v>
      </c>
      <c r="AB250">
        <v>24918</v>
      </c>
      <c r="AD250" t="s">
        <v>4</v>
      </c>
      <c r="AE250">
        <v>23</v>
      </c>
      <c r="AF250">
        <v>21</v>
      </c>
      <c r="AH250" t="s">
        <v>5617</v>
      </c>
      <c r="AI250" t="s">
        <v>5616</v>
      </c>
      <c r="AJ250" t="s">
        <v>2304</v>
      </c>
      <c r="AK250" t="s">
        <v>5615</v>
      </c>
      <c r="AL250">
        <v>55</v>
      </c>
      <c r="AM250" s="5">
        <f t="shared" si="34"/>
        <v>1.5714285714285714</v>
      </c>
      <c r="AN250" s="4">
        <f t="shared" si="31"/>
        <v>2.3800508465408126E-3</v>
      </c>
      <c r="AO250" s="3"/>
      <c r="AP250">
        <v>0</v>
      </c>
      <c r="AR250" t="s">
        <v>0</v>
      </c>
      <c r="AT250" s="2">
        <v>1.3140000000000001</v>
      </c>
      <c r="AU250" s="1">
        <f t="shared" si="35"/>
        <v>0.77213028330444899</v>
      </c>
      <c r="AV250" s="1">
        <f t="shared" si="36"/>
        <v>0.61952308369005826</v>
      </c>
      <c r="AW250" s="1">
        <f t="shared" si="37"/>
        <v>0.46691588407566742</v>
      </c>
    </row>
    <row r="251" spans="1:49" x14ac:dyDescent="0.2">
      <c r="A251">
        <v>249</v>
      </c>
      <c r="B251" t="s">
        <v>5614</v>
      </c>
      <c r="C251" t="s">
        <v>5613</v>
      </c>
      <c r="F251" t="s">
        <v>5612</v>
      </c>
      <c r="G251" t="s">
        <v>14</v>
      </c>
      <c r="H251" t="s">
        <v>13</v>
      </c>
      <c r="I251" t="s">
        <v>1410</v>
      </c>
      <c r="J251">
        <v>60021902</v>
      </c>
      <c r="K251" t="s">
        <v>1409</v>
      </c>
      <c r="L251" t="s">
        <v>1408</v>
      </c>
      <c r="M251" t="s">
        <v>1407</v>
      </c>
      <c r="N251">
        <v>1</v>
      </c>
      <c r="O251" t="s">
        <v>1406</v>
      </c>
      <c r="P251">
        <v>57203176700</v>
      </c>
      <c r="Q251">
        <v>60021902</v>
      </c>
      <c r="R251" s="7">
        <v>31778</v>
      </c>
      <c r="S251" s="8">
        <f t="shared" si="32"/>
        <v>1987</v>
      </c>
      <c r="T251" s="8">
        <v>1987</v>
      </c>
      <c r="U251" s="8">
        <f t="shared" si="33"/>
        <v>35</v>
      </c>
      <c r="V251" s="7">
        <v>1987</v>
      </c>
      <c r="W251" t="s">
        <v>429</v>
      </c>
      <c r="X251" s="2">
        <v>0.375</v>
      </c>
      <c r="Y251" s="6">
        <f t="shared" si="30"/>
        <v>1.0010410827260351E-2</v>
      </c>
      <c r="AA251">
        <v>135194</v>
      </c>
      <c r="AB251">
        <v>24918</v>
      </c>
      <c r="AD251" t="s">
        <v>4</v>
      </c>
      <c r="AE251">
        <v>23</v>
      </c>
      <c r="AF251">
        <v>21</v>
      </c>
      <c r="AH251" t="s">
        <v>5611</v>
      </c>
      <c r="AI251" t="s">
        <v>5610</v>
      </c>
      <c r="AJ251" t="s">
        <v>5609</v>
      </c>
      <c r="AK251" t="s">
        <v>5608</v>
      </c>
      <c r="AL251">
        <v>4</v>
      </c>
      <c r="AM251" s="5">
        <f t="shared" si="34"/>
        <v>0.11428571428571428</v>
      </c>
      <c r="AN251" s="4">
        <f t="shared" si="31"/>
        <v>1.7309460702115E-4</v>
      </c>
      <c r="AO251" s="3"/>
      <c r="AP251">
        <v>0</v>
      </c>
      <c r="AR251" t="s">
        <v>0</v>
      </c>
      <c r="AT251" s="2">
        <v>1.3140000000000001</v>
      </c>
      <c r="AU251" s="1">
        <f t="shared" si="35"/>
        <v>0.70592159611885907</v>
      </c>
      <c r="AV251" s="1">
        <f t="shared" si="36"/>
        <v>0.50917527171407506</v>
      </c>
      <c r="AW251" s="1">
        <f t="shared" si="37"/>
        <v>0.31242894730929099</v>
      </c>
    </row>
    <row r="252" spans="1:49" x14ac:dyDescent="0.2">
      <c r="A252">
        <v>250</v>
      </c>
      <c r="B252" t="s">
        <v>5607</v>
      </c>
      <c r="C252" t="s">
        <v>5606</v>
      </c>
      <c r="E252">
        <v>3427025</v>
      </c>
      <c r="F252" t="s">
        <v>5605</v>
      </c>
      <c r="G252" t="s">
        <v>14</v>
      </c>
      <c r="H252" t="s">
        <v>13</v>
      </c>
      <c r="I252" t="s">
        <v>5604</v>
      </c>
      <c r="J252">
        <v>60002634</v>
      </c>
      <c r="K252" t="s">
        <v>5603</v>
      </c>
      <c r="L252" t="s">
        <v>5602</v>
      </c>
      <c r="M252" t="s">
        <v>586</v>
      </c>
      <c r="N252">
        <v>3</v>
      </c>
      <c r="O252" t="s">
        <v>5601</v>
      </c>
      <c r="P252" t="s">
        <v>5600</v>
      </c>
      <c r="Q252" t="s">
        <v>5599</v>
      </c>
      <c r="R252" s="7">
        <v>31778</v>
      </c>
      <c r="S252" s="8">
        <f t="shared" si="32"/>
        <v>1987</v>
      </c>
      <c r="T252" s="8">
        <v>1987</v>
      </c>
      <c r="U252" s="8">
        <f t="shared" si="33"/>
        <v>35</v>
      </c>
      <c r="V252" s="7">
        <v>1987</v>
      </c>
      <c r="W252" t="s">
        <v>5598</v>
      </c>
      <c r="X252" s="2">
        <v>1.43</v>
      </c>
      <c r="Y252" s="6">
        <f t="shared" si="30"/>
        <v>3.8173033287952803E-2</v>
      </c>
      <c r="AA252">
        <v>62960</v>
      </c>
      <c r="AB252">
        <v>16867</v>
      </c>
      <c r="AC252">
        <v>15204995</v>
      </c>
      <c r="AD252" t="s">
        <v>4</v>
      </c>
      <c r="AE252">
        <v>26</v>
      </c>
      <c r="AF252">
        <v>20</v>
      </c>
      <c r="AH252" t="s">
        <v>5597</v>
      </c>
      <c r="AI252" t="s">
        <v>5596</v>
      </c>
      <c r="AK252" t="s">
        <v>5595</v>
      </c>
      <c r="AL252">
        <v>69</v>
      </c>
      <c r="AM252" s="5">
        <f t="shared" si="34"/>
        <v>1.9714285714285715</v>
      </c>
      <c r="AN252" s="4">
        <f t="shared" si="31"/>
        <v>2.9858819711148375E-3</v>
      </c>
      <c r="AO252" s="3"/>
      <c r="AP252">
        <v>0</v>
      </c>
      <c r="AR252" t="s">
        <v>0</v>
      </c>
      <c r="AT252" s="2">
        <v>3.1619999999999999</v>
      </c>
      <c r="AU252" s="1">
        <f t="shared" si="35"/>
        <v>2.7616887892901412</v>
      </c>
      <c r="AV252" s="1">
        <f t="shared" si="36"/>
        <v>2.0579457629533819</v>
      </c>
      <c r="AW252" s="1">
        <f t="shared" si="37"/>
        <v>1.3542027366166227</v>
      </c>
    </row>
    <row r="253" spans="1:49" x14ac:dyDescent="0.2">
      <c r="A253">
        <v>251</v>
      </c>
      <c r="B253" t="s">
        <v>5594</v>
      </c>
      <c r="C253" t="s">
        <v>5593</v>
      </c>
      <c r="F253" t="s">
        <v>5592</v>
      </c>
      <c r="G253" t="s">
        <v>14</v>
      </c>
      <c r="H253" t="s">
        <v>13</v>
      </c>
      <c r="I253" t="s">
        <v>5591</v>
      </c>
      <c r="J253" t="s">
        <v>5586</v>
      </c>
      <c r="K253" t="s">
        <v>5590</v>
      </c>
      <c r="L253" t="s">
        <v>5589</v>
      </c>
      <c r="M253" t="s">
        <v>55</v>
      </c>
      <c r="N253">
        <v>2</v>
      </c>
      <c r="O253" t="s">
        <v>5588</v>
      </c>
      <c r="P253" t="s">
        <v>5587</v>
      </c>
      <c r="Q253" t="s">
        <v>5586</v>
      </c>
      <c r="R253" s="7">
        <v>31778</v>
      </c>
      <c r="S253" s="8">
        <f t="shared" si="32"/>
        <v>1987</v>
      </c>
      <c r="T253" s="8">
        <v>1987</v>
      </c>
      <c r="U253" s="8">
        <f t="shared" si="33"/>
        <v>35</v>
      </c>
      <c r="V253" s="7">
        <v>1987</v>
      </c>
      <c r="W253" t="s">
        <v>429</v>
      </c>
      <c r="X253" s="2">
        <v>0.375</v>
      </c>
      <c r="Y253" s="6">
        <f t="shared" si="30"/>
        <v>1.0010410827260351E-2</v>
      </c>
      <c r="AA253">
        <v>135194</v>
      </c>
      <c r="AB253">
        <v>24918</v>
      </c>
      <c r="AD253" t="s">
        <v>4</v>
      </c>
      <c r="AE253">
        <v>23</v>
      </c>
      <c r="AF253">
        <v>23</v>
      </c>
      <c r="AH253" t="s">
        <v>5585</v>
      </c>
      <c r="AI253" t="s">
        <v>5584</v>
      </c>
      <c r="AJ253" t="s">
        <v>5583</v>
      </c>
      <c r="AK253" t="s">
        <v>5582</v>
      </c>
      <c r="AL253">
        <v>161</v>
      </c>
      <c r="AM253" s="5">
        <f t="shared" si="34"/>
        <v>4.5999999999999996</v>
      </c>
      <c r="AN253" s="4">
        <f t="shared" si="31"/>
        <v>6.9670579326012866E-3</v>
      </c>
      <c r="AO253" s="3"/>
      <c r="AP253">
        <v>0</v>
      </c>
      <c r="AR253" t="s">
        <v>0</v>
      </c>
      <c r="AT253" s="2">
        <v>1.3140000000000001</v>
      </c>
      <c r="AU253" s="1">
        <f t="shared" si="35"/>
        <v>0.90974049588626316</v>
      </c>
      <c r="AV253" s="1">
        <f t="shared" si="36"/>
        <v>0.8488734379930819</v>
      </c>
      <c r="AW253" s="1">
        <f t="shared" si="37"/>
        <v>0.78800638009990043</v>
      </c>
    </row>
    <row r="254" spans="1:49" x14ac:dyDescent="0.2">
      <c r="A254">
        <v>252</v>
      </c>
      <c r="B254" t="s">
        <v>5581</v>
      </c>
      <c r="C254" t="s">
        <v>5580</v>
      </c>
      <c r="F254" t="s">
        <v>5579</v>
      </c>
      <c r="G254" t="s">
        <v>14</v>
      </c>
      <c r="H254" t="s">
        <v>13</v>
      </c>
      <c r="I254" t="s">
        <v>5578</v>
      </c>
      <c r="J254">
        <v>60025761</v>
      </c>
      <c r="K254" t="s">
        <v>5577</v>
      </c>
      <c r="L254" t="s">
        <v>5576</v>
      </c>
      <c r="M254" t="s">
        <v>1384</v>
      </c>
      <c r="N254">
        <v>1</v>
      </c>
      <c r="O254" t="s">
        <v>5575</v>
      </c>
      <c r="P254">
        <v>7103067172</v>
      </c>
      <c r="Q254">
        <v>60025761</v>
      </c>
      <c r="R254" s="7">
        <v>31778</v>
      </c>
      <c r="S254" s="8">
        <f t="shared" si="32"/>
        <v>1987</v>
      </c>
      <c r="T254" s="8">
        <v>1987</v>
      </c>
      <c r="U254" s="8">
        <f t="shared" si="33"/>
        <v>35</v>
      </c>
      <c r="V254" s="7">
        <v>1987</v>
      </c>
      <c r="W254" t="s">
        <v>429</v>
      </c>
      <c r="X254" s="2">
        <v>0.375</v>
      </c>
      <c r="Y254" s="6">
        <f t="shared" si="30"/>
        <v>1.0010410827260351E-2</v>
      </c>
      <c r="AA254">
        <v>135194</v>
      </c>
      <c r="AB254">
        <v>24918</v>
      </c>
      <c r="AD254" t="s">
        <v>4</v>
      </c>
      <c r="AE254">
        <v>23</v>
      </c>
      <c r="AF254">
        <v>23</v>
      </c>
      <c r="AH254" t="s">
        <v>5574</v>
      </c>
      <c r="AI254" t="s">
        <v>5573</v>
      </c>
      <c r="AJ254" t="s">
        <v>5572</v>
      </c>
      <c r="AK254" t="s">
        <v>5571</v>
      </c>
      <c r="AL254">
        <v>3</v>
      </c>
      <c r="AM254" s="5">
        <f t="shared" si="34"/>
        <v>8.5714285714285715E-2</v>
      </c>
      <c r="AN254" s="4">
        <f t="shared" si="31"/>
        <v>1.2982095526586251E-4</v>
      </c>
      <c r="AO254" s="3"/>
      <c r="AP254">
        <v>0</v>
      </c>
      <c r="AR254" t="s">
        <v>0</v>
      </c>
      <c r="AT254" s="2">
        <v>1.3140000000000001</v>
      </c>
      <c r="AU254" s="1">
        <f t="shared" si="35"/>
        <v>0.70462338656620049</v>
      </c>
      <c r="AV254" s="1">
        <f t="shared" si="36"/>
        <v>0.50701158912631072</v>
      </c>
      <c r="AW254" s="1">
        <f t="shared" si="37"/>
        <v>0.3093997916864209</v>
      </c>
    </row>
    <row r="255" spans="1:49" x14ac:dyDescent="0.2">
      <c r="A255">
        <v>253</v>
      </c>
      <c r="B255" t="s">
        <v>5570</v>
      </c>
      <c r="C255" t="s">
        <v>5569</v>
      </c>
      <c r="F255" t="s">
        <v>5568</v>
      </c>
      <c r="G255" t="s">
        <v>14</v>
      </c>
      <c r="H255" t="s">
        <v>13</v>
      </c>
      <c r="I255" t="s">
        <v>5567</v>
      </c>
      <c r="J255">
        <v>60028333</v>
      </c>
      <c r="K255" t="s">
        <v>447</v>
      </c>
      <c r="L255" t="s">
        <v>446</v>
      </c>
      <c r="M255" t="s">
        <v>40</v>
      </c>
      <c r="N255">
        <v>2</v>
      </c>
      <c r="O255" t="s">
        <v>445</v>
      </c>
      <c r="P255" t="s">
        <v>444</v>
      </c>
      <c r="Q255" t="s">
        <v>443</v>
      </c>
      <c r="R255" s="7">
        <v>31778</v>
      </c>
      <c r="S255" s="8">
        <f t="shared" si="32"/>
        <v>1987</v>
      </c>
      <c r="T255" s="8">
        <v>1987</v>
      </c>
      <c r="U255" s="8">
        <f t="shared" si="33"/>
        <v>35</v>
      </c>
      <c r="V255" s="7">
        <v>1987</v>
      </c>
      <c r="W255" t="s">
        <v>429</v>
      </c>
      <c r="X255" s="2">
        <v>0.375</v>
      </c>
      <c r="Y255" s="6">
        <f t="shared" si="30"/>
        <v>1.0010410827260351E-2</v>
      </c>
      <c r="AA255">
        <v>135194</v>
      </c>
      <c r="AB255">
        <v>24918</v>
      </c>
      <c r="AD255" t="s">
        <v>4</v>
      </c>
      <c r="AE255">
        <v>23</v>
      </c>
      <c r="AF255">
        <v>12</v>
      </c>
      <c r="AH255" t="s">
        <v>5566</v>
      </c>
      <c r="AI255" t="s">
        <v>5565</v>
      </c>
      <c r="AJ255" t="s">
        <v>5564</v>
      </c>
      <c r="AK255" t="s">
        <v>5563</v>
      </c>
      <c r="AL255">
        <v>2</v>
      </c>
      <c r="AM255" s="5">
        <f t="shared" si="34"/>
        <v>5.7142857142857141E-2</v>
      </c>
      <c r="AN255" s="4">
        <f t="shared" si="31"/>
        <v>8.6547303510575E-5</v>
      </c>
      <c r="AO255" s="3"/>
      <c r="AP255">
        <v>0</v>
      </c>
      <c r="AR255" t="s">
        <v>0</v>
      </c>
      <c r="AT255" s="2">
        <v>1.3140000000000001</v>
      </c>
      <c r="AU255" s="1">
        <f t="shared" si="35"/>
        <v>0.7033251770135418</v>
      </c>
      <c r="AV255" s="1">
        <f t="shared" si="36"/>
        <v>0.50484790653854639</v>
      </c>
      <c r="AW255" s="1">
        <f t="shared" si="37"/>
        <v>0.30637063606355081</v>
      </c>
    </row>
    <row r="256" spans="1:49" x14ac:dyDescent="0.2">
      <c r="A256">
        <v>254</v>
      </c>
      <c r="B256" t="s">
        <v>5562</v>
      </c>
      <c r="C256" t="s">
        <v>5561</v>
      </c>
      <c r="F256" t="s">
        <v>5560</v>
      </c>
      <c r="G256" t="s">
        <v>14</v>
      </c>
      <c r="H256" t="s">
        <v>13</v>
      </c>
      <c r="I256" t="s">
        <v>5559</v>
      </c>
      <c r="J256">
        <v>60001881</v>
      </c>
      <c r="K256" t="s">
        <v>1444</v>
      </c>
      <c r="L256" t="s">
        <v>1443</v>
      </c>
      <c r="M256" t="s">
        <v>586</v>
      </c>
      <c r="N256">
        <v>1</v>
      </c>
      <c r="O256" t="s">
        <v>5558</v>
      </c>
      <c r="P256">
        <v>6603759531</v>
      </c>
      <c r="Q256">
        <v>60001881</v>
      </c>
      <c r="R256" s="7">
        <v>31778</v>
      </c>
      <c r="S256" s="8">
        <f t="shared" si="32"/>
        <v>1987</v>
      </c>
      <c r="T256" s="8">
        <v>1987</v>
      </c>
      <c r="U256" s="8">
        <f t="shared" si="33"/>
        <v>35</v>
      </c>
      <c r="V256" s="7">
        <v>1987</v>
      </c>
      <c r="W256" t="s">
        <v>429</v>
      </c>
      <c r="X256" s="2">
        <v>0.375</v>
      </c>
      <c r="Y256" s="6">
        <f t="shared" si="30"/>
        <v>1.0010410827260351E-2</v>
      </c>
      <c r="AA256">
        <v>135194</v>
      </c>
      <c r="AB256">
        <v>24918</v>
      </c>
      <c r="AD256" t="s">
        <v>4</v>
      </c>
      <c r="AE256">
        <v>23</v>
      </c>
      <c r="AF256">
        <v>12</v>
      </c>
      <c r="AH256" t="s">
        <v>5557</v>
      </c>
      <c r="AI256" t="s">
        <v>5556</v>
      </c>
      <c r="AJ256" t="s">
        <v>4031</v>
      </c>
      <c r="AK256" t="s">
        <v>5555</v>
      </c>
      <c r="AL256">
        <v>0</v>
      </c>
      <c r="AM256" s="5">
        <f t="shared" si="34"/>
        <v>0</v>
      </c>
      <c r="AN256" s="4">
        <f t="shared" si="31"/>
        <v>0</v>
      </c>
      <c r="AO256" s="3"/>
      <c r="AP256">
        <v>0</v>
      </c>
      <c r="AR256" t="s">
        <v>0</v>
      </c>
      <c r="AT256" s="2">
        <v>1.3140000000000001</v>
      </c>
      <c r="AU256" s="1">
        <f t="shared" si="35"/>
        <v>0.70072875790822453</v>
      </c>
      <c r="AV256" s="1">
        <f t="shared" si="36"/>
        <v>0.5005205413630176</v>
      </c>
      <c r="AW256" s="1">
        <f t="shared" si="37"/>
        <v>0.30031232481781051</v>
      </c>
    </row>
    <row r="257" spans="1:49" x14ac:dyDescent="0.2">
      <c r="A257">
        <v>255</v>
      </c>
      <c r="B257" t="s">
        <v>5554</v>
      </c>
      <c r="C257" t="s">
        <v>5553</v>
      </c>
      <c r="F257" t="s">
        <v>5552</v>
      </c>
      <c r="G257" t="s">
        <v>14</v>
      </c>
      <c r="H257" t="s">
        <v>13</v>
      </c>
      <c r="I257" t="s">
        <v>5551</v>
      </c>
      <c r="J257" t="s">
        <v>5546</v>
      </c>
      <c r="K257" t="s">
        <v>5550</v>
      </c>
      <c r="L257" t="s">
        <v>5549</v>
      </c>
      <c r="M257" t="s">
        <v>55</v>
      </c>
      <c r="N257">
        <v>2</v>
      </c>
      <c r="O257" t="s">
        <v>5548</v>
      </c>
      <c r="P257" t="s">
        <v>5547</v>
      </c>
      <c r="Q257" t="s">
        <v>5546</v>
      </c>
      <c r="R257" s="7">
        <v>31778</v>
      </c>
      <c r="S257" s="8">
        <f t="shared" si="32"/>
        <v>1987</v>
      </c>
      <c r="T257" s="8">
        <v>1987</v>
      </c>
      <c r="U257" s="8">
        <f t="shared" si="33"/>
        <v>35</v>
      </c>
      <c r="V257" s="7">
        <v>1987</v>
      </c>
      <c r="W257" t="s">
        <v>429</v>
      </c>
      <c r="X257" s="2">
        <v>0.375</v>
      </c>
      <c r="Y257" s="6">
        <f t="shared" si="30"/>
        <v>1.0010410827260351E-2</v>
      </c>
      <c r="AA257">
        <v>135194</v>
      </c>
      <c r="AB257">
        <v>24918</v>
      </c>
      <c r="AD257" t="s">
        <v>4</v>
      </c>
      <c r="AE257">
        <v>23</v>
      </c>
      <c r="AF257">
        <v>25</v>
      </c>
      <c r="AH257" t="s">
        <v>5545</v>
      </c>
      <c r="AI257" t="s">
        <v>5544</v>
      </c>
      <c r="AJ257" t="s">
        <v>5543</v>
      </c>
      <c r="AK257" t="s">
        <v>5542</v>
      </c>
      <c r="AL257">
        <v>2</v>
      </c>
      <c r="AM257" s="5">
        <f t="shared" si="34"/>
        <v>5.7142857142857141E-2</v>
      </c>
      <c r="AN257" s="4">
        <f t="shared" si="31"/>
        <v>8.6547303510575E-5</v>
      </c>
      <c r="AO257" s="3"/>
      <c r="AP257">
        <v>0</v>
      </c>
      <c r="AR257" t="s">
        <v>0</v>
      </c>
      <c r="AT257" s="2">
        <v>1.3140000000000001</v>
      </c>
      <c r="AU257" s="1">
        <f t="shared" si="35"/>
        <v>0.7033251770135418</v>
      </c>
      <c r="AV257" s="1">
        <f t="shared" si="36"/>
        <v>0.50484790653854639</v>
      </c>
      <c r="AW257" s="1">
        <f t="shared" si="37"/>
        <v>0.30637063606355081</v>
      </c>
    </row>
    <row r="258" spans="1:49" x14ac:dyDescent="0.2">
      <c r="A258">
        <v>256</v>
      </c>
      <c r="B258" t="s">
        <v>5541</v>
      </c>
      <c r="C258" t="s">
        <v>5540</v>
      </c>
      <c r="F258" t="s">
        <v>5539</v>
      </c>
      <c r="G258" t="s">
        <v>14</v>
      </c>
      <c r="H258" t="s">
        <v>13</v>
      </c>
      <c r="I258" t="s">
        <v>1924</v>
      </c>
      <c r="J258">
        <v>60010491</v>
      </c>
      <c r="K258" t="s">
        <v>1431</v>
      </c>
      <c r="L258" t="s">
        <v>1430</v>
      </c>
      <c r="M258" t="s">
        <v>9</v>
      </c>
      <c r="N258">
        <v>3</v>
      </c>
      <c r="O258" t="s">
        <v>5538</v>
      </c>
      <c r="P258" t="s">
        <v>5537</v>
      </c>
      <c r="Q258" t="s">
        <v>5536</v>
      </c>
      <c r="R258" s="7">
        <v>31778</v>
      </c>
      <c r="S258" s="8">
        <f t="shared" si="32"/>
        <v>1987</v>
      </c>
      <c r="T258" s="8">
        <v>1987</v>
      </c>
      <c r="U258" s="8">
        <f t="shared" si="33"/>
        <v>35</v>
      </c>
      <c r="V258" s="7">
        <v>1987</v>
      </c>
      <c r="W258" t="s">
        <v>429</v>
      </c>
      <c r="X258" s="2">
        <v>0.375</v>
      </c>
      <c r="Y258" s="6">
        <f t="shared" ref="Y258:Y321" si="38">(X258-$Z$4)/($Z$3-$Z$4)</f>
        <v>1.0010410827260351E-2</v>
      </c>
      <c r="AA258">
        <v>135194</v>
      </c>
      <c r="AB258">
        <v>24918</v>
      </c>
      <c r="AD258" t="s">
        <v>4</v>
      </c>
      <c r="AE258">
        <v>23</v>
      </c>
      <c r="AF258">
        <v>25</v>
      </c>
      <c r="AH258" t="s">
        <v>5535</v>
      </c>
      <c r="AI258" t="s">
        <v>5534</v>
      </c>
      <c r="AJ258" t="s">
        <v>5533</v>
      </c>
      <c r="AK258" t="s">
        <v>5532</v>
      </c>
      <c r="AL258">
        <v>21</v>
      </c>
      <c r="AM258" s="5">
        <f t="shared" si="34"/>
        <v>0.6</v>
      </c>
      <c r="AN258" s="4">
        <f t="shared" ref="AN258:AN321" si="39">(AM258-$AO$4)/($AO$3-$AO$4)</f>
        <v>9.0874668686103744E-4</v>
      </c>
      <c r="AO258" s="3"/>
      <c r="AP258">
        <v>0</v>
      </c>
      <c r="AR258" t="s">
        <v>0</v>
      </c>
      <c r="AT258" s="2">
        <v>1.3140000000000001</v>
      </c>
      <c r="AU258" s="1">
        <f t="shared" si="35"/>
        <v>0.72799115851405571</v>
      </c>
      <c r="AV258" s="1">
        <f t="shared" si="36"/>
        <v>0.54595787570606946</v>
      </c>
      <c r="AW258" s="1">
        <f t="shared" si="37"/>
        <v>0.3639245928980831</v>
      </c>
    </row>
    <row r="259" spans="1:49" x14ac:dyDescent="0.2">
      <c r="A259">
        <v>257</v>
      </c>
      <c r="B259" t="s">
        <v>5531</v>
      </c>
      <c r="C259" t="s">
        <v>5530</v>
      </c>
      <c r="F259" t="s">
        <v>5529</v>
      </c>
      <c r="G259" t="s">
        <v>14</v>
      </c>
      <c r="H259" t="s">
        <v>13</v>
      </c>
      <c r="I259" t="s">
        <v>5528</v>
      </c>
      <c r="J259">
        <v>60002366</v>
      </c>
      <c r="K259" t="s">
        <v>5527</v>
      </c>
      <c r="L259" t="s">
        <v>549</v>
      </c>
      <c r="M259" t="s">
        <v>524</v>
      </c>
      <c r="N259">
        <v>2</v>
      </c>
      <c r="O259" t="s">
        <v>5526</v>
      </c>
      <c r="P259" t="s">
        <v>5525</v>
      </c>
      <c r="Q259" t="s">
        <v>5524</v>
      </c>
      <c r="R259" s="7">
        <v>31778</v>
      </c>
      <c r="S259" s="8">
        <f t="shared" si="32"/>
        <v>1987</v>
      </c>
      <c r="T259" s="8">
        <v>1987</v>
      </c>
      <c r="U259" s="8">
        <f t="shared" si="33"/>
        <v>35</v>
      </c>
      <c r="V259" s="7">
        <v>1987</v>
      </c>
      <c r="W259" t="s">
        <v>429</v>
      </c>
      <c r="X259" s="2">
        <v>0.375</v>
      </c>
      <c r="Y259" s="6">
        <f t="shared" si="38"/>
        <v>1.0010410827260351E-2</v>
      </c>
      <c r="AA259">
        <v>135194</v>
      </c>
      <c r="AB259">
        <v>24918</v>
      </c>
      <c r="AD259" t="s">
        <v>4</v>
      </c>
      <c r="AE259">
        <v>23</v>
      </c>
      <c r="AF259">
        <v>25</v>
      </c>
      <c r="AH259" t="s">
        <v>5523</v>
      </c>
      <c r="AI259" t="s">
        <v>5522</v>
      </c>
      <c r="AJ259" t="s">
        <v>5521</v>
      </c>
      <c r="AK259" t="s">
        <v>5520</v>
      </c>
      <c r="AL259">
        <v>0</v>
      </c>
      <c r="AM259" s="5">
        <f t="shared" si="34"/>
        <v>0</v>
      </c>
      <c r="AN259" s="4">
        <f t="shared" si="39"/>
        <v>0</v>
      </c>
      <c r="AO259" s="3"/>
      <c r="AP259">
        <v>0</v>
      </c>
      <c r="AR259" t="s">
        <v>0</v>
      </c>
      <c r="AT259" s="2">
        <v>1.3140000000000001</v>
      </c>
      <c r="AU259" s="1">
        <f t="shared" si="35"/>
        <v>0.70072875790822453</v>
      </c>
      <c r="AV259" s="1">
        <f t="shared" si="36"/>
        <v>0.5005205413630176</v>
      </c>
      <c r="AW259" s="1">
        <f t="shared" si="37"/>
        <v>0.30031232481781051</v>
      </c>
    </row>
    <row r="260" spans="1:49" x14ac:dyDescent="0.2">
      <c r="A260">
        <v>258</v>
      </c>
      <c r="B260" t="s">
        <v>5519</v>
      </c>
      <c r="C260" t="s">
        <v>5518</v>
      </c>
      <c r="F260" t="s">
        <v>5517</v>
      </c>
      <c r="G260" t="s">
        <v>14</v>
      </c>
      <c r="H260" t="s">
        <v>13</v>
      </c>
      <c r="I260" t="s">
        <v>1322</v>
      </c>
      <c r="J260" t="s">
        <v>5516</v>
      </c>
      <c r="K260" t="s">
        <v>5515</v>
      </c>
      <c r="L260" t="s">
        <v>5514</v>
      </c>
      <c r="M260" t="s">
        <v>5513</v>
      </c>
      <c r="N260">
        <v>4</v>
      </c>
      <c r="O260" t="s">
        <v>5512</v>
      </c>
      <c r="P260" t="s">
        <v>5511</v>
      </c>
      <c r="Q260" t="s">
        <v>5510</v>
      </c>
      <c r="R260" s="7">
        <v>31778</v>
      </c>
      <c r="S260" s="8">
        <f t="shared" si="32"/>
        <v>1987</v>
      </c>
      <c r="T260" s="8">
        <v>1987</v>
      </c>
      <c r="U260" s="8">
        <f t="shared" si="33"/>
        <v>35</v>
      </c>
      <c r="V260" s="7">
        <v>1987</v>
      </c>
      <c r="W260" t="s">
        <v>429</v>
      </c>
      <c r="X260" s="2">
        <v>0.375</v>
      </c>
      <c r="Y260" s="6">
        <f t="shared" si="38"/>
        <v>1.0010410827260351E-2</v>
      </c>
      <c r="AA260">
        <v>135194</v>
      </c>
      <c r="AB260">
        <v>24918</v>
      </c>
      <c r="AD260" t="s">
        <v>4</v>
      </c>
      <c r="AE260">
        <v>23</v>
      </c>
      <c r="AF260">
        <v>14</v>
      </c>
      <c r="AH260" t="s">
        <v>5509</v>
      </c>
      <c r="AI260" t="s">
        <v>5508</v>
      </c>
      <c r="AJ260" t="s">
        <v>2304</v>
      </c>
      <c r="AK260" t="s">
        <v>5507</v>
      </c>
      <c r="AL260">
        <v>42</v>
      </c>
      <c r="AM260" s="5">
        <f t="shared" si="34"/>
        <v>1.2</v>
      </c>
      <c r="AN260" s="4">
        <f t="shared" si="39"/>
        <v>1.8174933737220749E-3</v>
      </c>
      <c r="AO260" s="3"/>
      <c r="AP260">
        <v>0</v>
      </c>
      <c r="AR260" t="s">
        <v>0</v>
      </c>
      <c r="AT260" s="2">
        <v>1.3140000000000001</v>
      </c>
      <c r="AU260" s="1">
        <f t="shared" si="35"/>
        <v>0.7552535591198869</v>
      </c>
      <c r="AV260" s="1">
        <f t="shared" si="36"/>
        <v>0.59139521004912132</v>
      </c>
      <c r="AW260" s="1">
        <f t="shared" si="37"/>
        <v>0.42753686097835575</v>
      </c>
    </row>
    <row r="261" spans="1:49" x14ac:dyDescent="0.2">
      <c r="A261">
        <v>259</v>
      </c>
      <c r="B261" t="s">
        <v>5506</v>
      </c>
      <c r="C261" t="s">
        <v>5505</v>
      </c>
      <c r="F261" t="s">
        <v>5504</v>
      </c>
      <c r="G261" t="s">
        <v>14</v>
      </c>
      <c r="H261" t="s">
        <v>13</v>
      </c>
      <c r="I261" t="s">
        <v>5503</v>
      </c>
      <c r="J261">
        <v>60022313</v>
      </c>
      <c r="K261" t="s">
        <v>5502</v>
      </c>
      <c r="L261" t="s">
        <v>5501</v>
      </c>
      <c r="M261" t="s">
        <v>524</v>
      </c>
      <c r="N261">
        <v>4</v>
      </c>
      <c r="O261" t="s">
        <v>5500</v>
      </c>
      <c r="P261" t="s">
        <v>5499</v>
      </c>
      <c r="Q261" t="s">
        <v>5498</v>
      </c>
      <c r="R261" s="7">
        <v>31778</v>
      </c>
      <c r="S261" s="8">
        <f t="shared" si="32"/>
        <v>1987</v>
      </c>
      <c r="T261" s="8">
        <v>1987</v>
      </c>
      <c r="U261" s="8">
        <f t="shared" si="33"/>
        <v>35</v>
      </c>
      <c r="V261" s="7">
        <v>1987</v>
      </c>
      <c r="W261" t="s">
        <v>429</v>
      </c>
      <c r="X261" s="2">
        <v>0.375</v>
      </c>
      <c r="Y261" s="6">
        <f t="shared" si="38"/>
        <v>1.0010410827260351E-2</v>
      </c>
      <c r="AA261">
        <v>135194</v>
      </c>
      <c r="AB261">
        <v>24918</v>
      </c>
      <c r="AD261" t="s">
        <v>4</v>
      </c>
      <c r="AE261">
        <v>23</v>
      </c>
      <c r="AF261">
        <v>14</v>
      </c>
      <c r="AH261" t="s">
        <v>5497</v>
      </c>
      <c r="AI261" t="s">
        <v>5496</v>
      </c>
      <c r="AJ261" t="s">
        <v>5495</v>
      </c>
      <c r="AK261" t="s">
        <v>5494</v>
      </c>
      <c r="AL261">
        <v>0</v>
      </c>
      <c r="AM261" s="5">
        <f t="shared" si="34"/>
        <v>0</v>
      </c>
      <c r="AN261" s="4">
        <f t="shared" si="39"/>
        <v>0</v>
      </c>
      <c r="AO261" s="3"/>
      <c r="AP261">
        <v>0</v>
      </c>
      <c r="AR261" t="s">
        <v>0</v>
      </c>
      <c r="AT261" s="2">
        <v>1.3140000000000001</v>
      </c>
      <c r="AU261" s="1">
        <f t="shared" si="35"/>
        <v>0.70072875790822453</v>
      </c>
      <c r="AV261" s="1">
        <f t="shared" si="36"/>
        <v>0.5005205413630176</v>
      </c>
      <c r="AW261" s="1">
        <f t="shared" si="37"/>
        <v>0.30031232481781051</v>
      </c>
    </row>
    <row r="262" spans="1:49" x14ac:dyDescent="0.2">
      <c r="A262">
        <v>260</v>
      </c>
      <c r="B262" t="s">
        <v>5493</v>
      </c>
      <c r="C262" t="s">
        <v>5492</v>
      </c>
      <c r="E262">
        <v>3545828</v>
      </c>
      <c r="F262" t="s">
        <v>5491</v>
      </c>
      <c r="G262" t="s">
        <v>14</v>
      </c>
      <c r="H262" t="s">
        <v>13</v>
      </c>
      <c r="I262" t="s">
        <v>5490</v>
      </c>
      <c r="J262" t="s">
        <v>5489</v>
      </c>
      <c r="K262" t="s">
        <v>5488</v>
      </c>
      <c r="L262" t="s">
        <v>5487</v>
      </c>
      <c r="M262" t="s">
        <v>5486</v>
      </c>
      <c r="N262">
        <v>2</v>
      </c>
      <c r="O262" t="s">
        <v>5485</v>
      </c>
      <c r="P262" t="s">
        <v>5484</v>
      </c>
      <c r="Q262" t="s">
        <v>5483</v>
      </c>
      <c r="R262" s="7">
        <v>31778</v>
      </c>
      <c r="S262" s="8">
        <f t="shared" si="32"/>
        <v>1987</v>
      </c>
      <c r="T262" s="8">
        <v>1987</v>
      </c>
      <c r="U262" s="8">
        <f t="shared" si="33"/>
        <v>35</v>
      </c>
      <c r="V262" s="7">
        <v>31837</v>
      </c>
      <c r="W262" t="s">
        <v>2938</v>
      </c>
      <c r="X262" s="2">
        <v>1.9810000000000001</v>
      </c>
      <c r="Y262" s="6">
        <f t="shared" si="38"/>
        <v>5.2881663596807349E-2</v>
      </c>
      <c r="AA262">
        <v>142956</v>
      </c>
      <c r="AB262">
        <v>39034</v>
      </c>
      <c r="AC262">
        <v>14321033</v>
      </c>
      <c r="AD262" t="s">
        <v>4</v>
      </c>
      <c r="AE262">
        <v>163</v>
      </c>
      <c r="AF262">
        <v>2</v>
      </c>
      <c r="AH262" t="s">
        <v>5482</v>
      </c>
      <c r="AI262" t="s">
        <v>5481</v>
      </c>
      <c r="AK262" t="s">
        <v>5480</v>
      </c>
      <c r="AL262">
        <v>156</v>
      </c>
      <c r="AM262" s="5">
        <f t="shared" si="34"/>
        <v>4.4571428571428573</v>
      </c>
      <c r="AN262" s="4">
        <f t="shared" si="39"/>
        <v>6.7506896738248499E-3</v>
      </c>
      <c r="AO262" s="3"/>
      <c r="AP262">
        <v>1</v>
      </c>
      <c r="AR262" t="s">
        <v>0</v>
      </c>
      <c r="AT262" s="2" t="s">
        <v>32</v>
      </c>
      <c r="AU262" s="1">
        <f t="shared" si="35"/>
        <v>3.9042371419912598</v>
      </c>
      <c r="AV262" s="1">
        <f t="shared" si="36"/>
        <v>2.9816176635316096</v>
      </c>
      <c r="AW262" s="1">
        <f t="shared" si="37"/>
        <v>2.0589981850719599</v>
      </c>
    </row>
    <row r="263" spans="1:49" x14ac:dyDescent="0.2">
      <c r="A263">
        <v>261</v>
      </c>
      <c r="B263" t="s">
        <v>5479</v>
      </c>
      <c r="C263" t="s">
        <v>5478</v>
      </c>
      <c r="F263" t="s">
        <v>5477</v>
      </c>
      <c r="G263" t="s">
        <v>14</v>
      </c>
      <c r="H263" t="s">
        <v>13</v>
      </c>
      <c r="I263" t="s">
        <v>5476</v>
      </c>
      <c r="J263" t="s">
        <v>5475</v>
      </c>
      <c r="K263" t="s">
        <v>5474</v>
      </c>
      <c r="L263" t="s">
        <v>5473</v>
      </c>
      <c r="M263" t="s">
        <v>460</v>
      </c>
      <c r="N263">
        <v>4</v>
      </c>
      <c r="O263" t="s">
        <v>5472</v>
      </c>
      <c r="P263" t="s">
        <v>5471</v>
      </c>
      <c r="Q263" t="s">
        <v>5470</v>
      </c>
      <c r="R263" s="7">
        <v>31778</v>
      </c>
      <c r="S263" s="8">
        <f t="shared" si="32"/>
        <v>1987</v>
      </c>
      <c r="T263" s="8">
        <v>1987</v>
      </c>
      <c r="U263" s="8">
        <f t="shared" si="33"/>
        <v>35</v>
      </c>
      <c r="V263" s="7">
        <v>1987</v>
      </c>
      <c r="W263" t="s">
        <v>429</v>
      </c>
      <c r="X263" s="2">
        <v>0.375</v>
      </c>
      <c r="Y263" s="6">
        <f t="shared" si="38"/>
        <v>1.0010410827260351E-2</v>
      </c>
      <c r="AA263">
        <v>135194</v>
      </c>
      <c r="AB263">
        <v>24918</v>
      </c>
      <c r="AD263" t="s">
        <v>4</v>
      </c>
      <c r="AE263">
        <v>23</v>
      </c>
      <c r="AF263">
        <v>1</v>
      </c>
      <c r="AH263" t="s">
        <v>5469</v>
      </c>
      <c r="AI263" t="s">
        <v>5468</v>
      </c>
      <c r="AJ263" t="s">
        <v>5467</v>
      </c>
      <c r="AK263" t="s">
        <v>5466</v>
      </c>
      <c r="AL263">
        <v>10</v>
      </c>
      <c r="AM263" s="5">
        <f t="shared" si="34"/>
        <v>0.2857142857142857</v>
      </c>
      <c r="AN263" s="4">
        <f t="shared" si="39"/>
        <v>4.3273651755287499E-4</v>
      </c>
      <c r="AO263" s="3"/>
      <c r="AP263">
        <v>0</v>
      </c>
      <c r="AR263" t="s">
        <v>0</v>
      </c>
      <c r="AT263" s="2">
        <v>1.3140000000000001</v>
      </c>
      <c r="AU263" s="1">
        <f t="shared" si="35"/>
        <v>0.71371085343481078</v>
      </c>
      <c r="AV263" s="1">
        <f t="shared" si="36"/>
        <v>0.52215736724066131</v>
      </c>
      <c r="AW263" s="1">
        <f t="shared" si="37"/>
        <v>0.33060388104651178</v>
      </c>
    </row>
    <row r="264" spans="1:49" x14ac:dyDescent="0.2">
      <c r="A264">
        <v>262</v>
      </c>
      <c r="B264" t="s">
        <v>5465</v>
      </c>
      <c r="F264" t="s">
        <v>5464</v>
      </c>
      <c r="G264" t="s">
        <v>14</v>
      </c>
      <c r="H264" t="s">
        <v>13</v>
      </c>
      <c r="I264" t="s">
        <v>5463</v>
      </c>
      <c r="J264">
        <v>60000305</v>
      </c>
      <c r="K264" t="s">
        <v>5462</v>
      </c>
      <c r="L264" t="s">
        <v>5461</v>
      </c>
      <c r="M264" t="s">
        <v>9</v>
      </c>
      <c r="N264">
        <v>4</v>
      </c>
      <c r="O264" t="s">
        <v>5460</v>
      </c>
      <c r="P264" t="s">
        <v>5459</v>
      </c>
      <c r="Q264" t="s">
        <v>5458</v>
      </c>
      <c r="R264" s="7">
        <v>31778</v>
      </c>
      <c r="S264" s="8">
        <f t="shared" si="32"/>
        <v>1987</v>
      </c>
      <c r="T264" s="8">
        <v>1987</v>
      </c>
      <c r="U264" s="8">
        <f t="shared" si="33"/>
        <v>35</v>
      </c>
      <c r="V264" s="7">
        <v>1987</v>
      </c>
      <c r="W264" t="s">
        <v>5457</v>
      </c>
      <c r="X264" s="2" t="s">
        <v>32</v>
      </c>
      <c r="Y264" s="6" t="e">
        <f t="shared" si="38"/>
        <v>#VALUE!</v>
      </c>
      <c r="AA264" t="s">
        <v>5456</v>
      </c>
      <c r="AB264">
        <v>12265</v>
      </c>
      <c r="AD264" t="s">
        <v>4</v>
      </c>
      <c r="AE264">
        <v>25</v>
      </c>
      <c r="AF264">
        <v>1</v>
      </c>
      <c r="AH264" t="s">
        <v>5455</v>
      </c>
      <c r="AI264" t="s">
        <v>5454</v>
      </c>
      <c r="AK264" t="s">
        <v>5453</v>
      </c>
      <c r="AL264">
        <v>0</v>
      </c>
      <c r="AM264" s="5">
        <f t="shared" si="34"/>
        <v>0</v>
      </c>
      <c r="AN264" s="4">
        <f t="shared" si="39"/>
        <v>0</v>
      </c>
      <c r="AO264" s="3"/>
      <c r="AP264">
        <v>0</v>
      </c>
      <c r="AR264" t="s">
        <v>0</v>
      </c>
      <c r="AT264" s="2" t="s">
        <v>32</v>
      </c>
      <c r="AU264" s="1" t="e">
        <f t="shared" si="35"/>
        <v>#VALUE!</v>
      </c>
      <c r="AV264" s="1" t="e">
        <f t="shared" si="36"/>
        <v>#VALUE!</v>
      </c>
      <c r="AW264" s="1" t="e">
        <f t="shared" si="37"/>
        <v>#VALUE!</v>
      </c>
    </row>
    <row r="265" spans="1:49" x14ac:dyDescent="0.2">
      <c r="A265">
        <v>263</v>
      </c>
      <c r="B265" t="s">
        <v>5452</v>
      </c>
      <c r="C265" t="s">
        <v>5451</v>
      </c>
      <c r="F265" t="s">
        <v>5450</v>
      </c>
      <c r="G265" t="s">
        <v>14</v>
      </c>
      <c r="H265" t="s">
        <v>13</v>
      </c>
      <c r="I265" t="s">
        <v>5136</v>
      </c>
      <c r="J265">
        <v>60023053</v>
      </c>
      <c r="K265" t="s">
        <v>1165</v>
      </c>
      <c r="L265" t="s">
        <v>1164</v>
      </c>
      <c r="M265" t="s">
        <v>9</v>
      </c>
      <c r="N265">
        <v>2</v>
      </c>
      <c r="O265" t="s">
        <v>5449</v>
      </c>
      <c r="P265" t="s">
        <v>5448</v>
      </c>
      <c r="Q265" t="s">
        <v>1161</v>
      </c>
      <c r="R265" s="7">
        <v>31778</v>
      </c>
      <c r="S265" s="8">
        <f t="shared" si="32"/>
        <v>1987</v>
      </c>
      <c r="T265" s="8">
        <v>1987</v>
      </c>
      <c r="U265" s="8">
        <f t="shared" si="33"/>
        <v>35</v>
      </c>
      <c r="V265" s="7">
        <v>32112</v>
      </c>
      <c r="W265" t="s">
        <v>336</v>
      </c>
      <c r="X265" s="2">
        <v>1.6519999999999999</v>
      </c>
      <c r="Y265" s="6">
        <f t="shared" si="38"/>
        <v>4.409919649769093E-2</v>
      </c>
      <c r="AA265" t="s">
        <v>335</v>
      </c>
      <c r="AB265">
        <v>17337</v>
      </c>
      <c r="AC265">
        <v>15582221</v>
      </c>
      <c r="AD265" t="s">
        <v>4</v>
      </c>
      <c r="AE265">
        <v>35</v>
      </c>
      <c r="AF265">
        <v>12</v>
      </c>
      <c r="AH265" t="s">
        <v>5447</v>
      </c>
      <c r="AI265" t="s">
        <v>5446</v>
      </c>
      <c r="AK265" t="s">
        <v>5445</v>
      </c>
      <c r="AL265">
        <v>2</v>
      </c>
      <c r="AM265" s="5">
        <f t="shared" si="34"/>
        <v>5.7142857142857141E-2</v>
      </c>
      <c r="AN265" s="4">
        <f t="shared" si="39"/>
        <v>8.6547303510575E-5</v>
      </c>
      <c r="AO265" s="3"/>
      <c r="AP265">
        <v>0</v>
      </c>
      <c r="AR265" t="s">
        <v>0</v>
      </c>
      <c r="AT265" s="2" t="s">
        <v>32</v>
      </c>
      <c r="AU265" s="1">
        <f t="shared" si="35"/>
        <v>3.0895401739436825</v>
      </c>
      <c r="AV265" s="1">
        <f t="shared" si="36"/>
        <v>2.2092871900600755</v>
      </c>
      <c r="AW265" s="1">
        <f t="shared" si="37"/>
        <v>1.3290342061764679</v>
      </c>
    </row>
    <row r="266" spans="1:49" x14ac:dyDescent="0.2">
      <c r="A266">
        <v>264</v>
      </c>
      <c r="B266" t="s">
        <v>5444</v>
      </c>
      <c r="C266" t="s">
        <v>5443</v>
      </c>
      <c r="F266" t="s">
        <v>5442</v>
      </c>
      <c r="G266" t="s">
        <v>14</v>
      </c>
      <c r="H266" t="s">
        <v>13</v>
      </c>
      <c r="I266" t="s">
        <v>5441</v>
      </c>
      <c r="J266" t="s">
        <v>5440</v>
      </c>
      <c r="K266" t="s">
        <v>5439</v>
      </c>
      <c r="L266" t="s">
        <v>5438</v>
      </c>
      <c r="M266" t="s">
        <v>55</v>
      </c>
      <c r="N266">
        <v>2</v>
      </c>
      <c r="O266" t="s">
        <v>5437</v>
      </c>
      <c r="P266" t="s">
        <v>5436</v>
      </c>
      <c r="Q266" t="s">
        <v>5435</v>
      </c>
      <c r="R266" s="7">
        <v>31778</v>
      </c>
      <c r="S266" s="8">
        <f t="shared" si="32"/>
        <v>1987</v>
      </c>
      <c r="T266" s="8">
        <v>1987</v>
      </c>
      <c r="U266" s="8">
        <f t="shared" si="33"/>
        <v>35</v>
      </c>
      <c r="V266" s="7">
        <v>32112</v>
      </c>
      <c r="W266" t="s">
        <v>336</v>
      </c>
      <c r="X266" s="2">
        <v>1.6519999999999999</v>
      </c>
      <c r="Y266" s="6">
        <f t="shared" si="38"/>
        <v>4.409919649769093E-2</v>
      </c>
      <c r="AA266" t="s">
        <v>335</v>
      </c>
      <c r="AB266">
        <v>17337</v>
      </c>
      <c r="AC266">
        <v>15582221</v>
      </c>
      <c r="AD266" t="s">
        <v>4</v>
      </c>
      <c r="AE266">
        <v>35</v>
      </c>
      <c r="AF266">
        <v>12</v>
      </c>
      <c r="AH266" t="s">
        <v>5434</v>
      </c>
      <c r="AI266" t="s">
        <v>5433</v>
      </c>
      <c r="AK266" t="s">
        <v>5432</v>
      </c>
      <c r="AL266">
        <v>3</v>
      </c>
      <c r="AM266" s="5">
        <f t="shared" si="34"/>
        <v>8.5714285714285715E-2</v>
      </c>
      <c r="AN266" s="4">
        <f t="shared" si="39"/>
        <v>1.2982095526586251E-4</v>
      </c>
      <c r="AO266" s="3"/>
      <c r="AP266">
        <v>0</v>
      </c>
      <c r="AR266" t="s">
        <v>0</v>
      </c>
      <c r="AT266" s="2" t="s">
        <v>32</v>
      </c>
      <c r="AU266" s="1">
        <f t="shared" si="35"/>
        <v>3.0908383834963407</v>
      </c>
      <c r="AV266" s="1">
        <f t="shared" si="36"/>
        <v>2.2114508726478395</v>
      </c>
      <c r="AW266" s="1">
        <f t="shared" si="37"/>
        <v>1.3320633617993383</v>
      </c>
    </row>
    <row r="267" spans="1:49" x14ac:dyDescent="0.2">
      <c r="A267">
        <v>265</v>
      </c>
      <c r="B267" t="s">
        <v>5431</v>
      </c>
      <c r="C267" t="s">
        <v>5430</v>
      </c>
      <c r="F267" t="s">
        <v>5429</v>
      </c>
      <c r="G267" t="s">
        <v>14</v>
      </c>
      <c r="H267" t="s">
        <v>13</v>
      </c>
      <c r="I267" t="s">
        <v>5428</v>
      </c>
      <c r="J267">
        <v>60013372</v>
      </c>
      <c r="K267" t="s">
        <v>1079</v>
      </c>
      <c r="L267" t="s">
        <v>1078</v>
      </c>
      <c r="M267" t="s">
        <v>9</v>
      </c>
      <c r="N267">
        <v>2</v>
      </c>
      <c r="O267" t="s">
        <v>5427</v>
      </c>
      <c r="P267" t="s">
        <v>5426</v>
      </c>
      <c r="Q267" t="s">
        <v>5304</v>
      </c>
      <c r="R267" s="7">
        <v>31778</v>
      </c>
      <c r="S267" s="8">
        <f t="shared" si="32"/>
        <v>1987</v>
      </c>
      <c r="T267" s="8">
        <v>1987</v>
      </c>
      <c r="U267" s="8">
        <f t="shared" si="33"/>
        <v>35</v>
      </c>
      <c r="V267" s="7">
        <v>32112</v>
      </c>
      <c r="W267" t="s">
        <v>336</v>
      </c>
      <c r="X267" s="2">
        <v>1.6519999999999999</v>
      </c>
      <c r="Y267" s="6">
        <f t="shared" si="38"/>
        <v>4.409919649769093E-2</v>
      </c>
      <c r="AA267" t="s">
        <v>335</v>
      </c>
      <c r="AB267">
        <v>17337</v>
      </c>
      <c r="AC267">
        <v>15582221</v>
      </c>
      <c r="AD267" t="s">
        <v>4</v>
      </c>
      <c r="AE267">
        <v>35</v>
      </c>
      <c r="AF267">
        <v>12</v>
      </c>
      <c r="AH267" t="s">
        <v>5425</v>
      </c>
      <c r="AI267" t="s">
        <v>5424</v>
      </c>
      <c r="AK267" t="s">
        <v>5423</v>
      </c>
      <c r="AL267">
        <v>4</v>
      </c>
      <c r="AM267" s="5">
        <f t="shared" si="34"/>
        <v>0.11428571428571428</v>
      </c>
      <c r="AN267" s="4">
        <f t="shared" si="39"/>
        <v>1.7309460702115E-4</v>
      </c>
      <c r="AO267" s="3"/>
      <c r="AP267">
        <v>0</v>
      </c>
      <c r="AR267" t="s">
        <v>0</v>
      </c>
      <c r="AT267" s="2" t="s">
        <v>32</v>
      </c>
      <c r="AU267" s="1">
        <f t="shared" si="35"/>
        <v>3.0921365930489997</v>
      </c>
      <c r="AV267" s="1">
        <f t="shared" si="36"/>
        <v>2.2136145552356039</v>
      </c>
      <c r="AW267" s="1">
        <f t="shared" si="37"/>
        <v>1.3350925174222084</v>
      </c>
    </row>
    <row r="268" spans="1:49" x14ac:dyDescent="0.2">
      <c r="A268">
        <v>266</v>
      </c>
      <c r="B268" t="s">
        <v>5422</v>
      </c>
      <c r="C268" t="s">
        <v>5421</v>
      </c>
      <c r="F268" t="s">
        <v>5420</v>
      </c>
      <c r="G268" t="s">
        <v>14</v>
      </c>
      <c r="H268" t="s">
        <v>13</v>
      </c>
      <c r="I268" t="s">
        <v>4580</v>
      </c>
      <c r="J268">
        <v>60029470</v>
      </c>
      <c r="K268" t="s">
        <v>2346</v>
      </c>
      <c r="L268" t="s">
        <v>2345</v>
      </c>
      <c r="M268" t="s">
        <v>40</v>
      </c>
      <c r="N268">
        <v>1</v>
      </c>
      <c r="O268" t="s">
        <v>5419</v>
      </c>
      <c r="P268">
        <v>7202832083</v>
      </c>
      <c r="Q268">
        <v>60029470</v>
      </c>
      <c r="R268" s="7">
        <v>31778</v>
      </c>
      <c r="S268" s="8">
        <f t="shared" si="32"/>
        <v>1987</v>
      </c>
      <c r="T268" s="8">
        <v>1987</v>
      </c>
      <c r="U268" s="8">
        <f t="shared" si="33"/>
        <v>35</v>
      </c>
      <c r="V268" s="7">
        <v>32112</v>
      </c>
      <c r="W268" t="s">
        <v>336</v>
      </c>
      <c r="X268" s="2">
        <v>1.6519999999999999</v>
      </c>
      <c r="Y268" s="6">
        <f t="shared" si="38"/>
        <v>4.409919649769093E-2</v>
      </c>
      <c r="AA268" t="s">
        <v>335</v>
      </c>
      <c r="AB268">
        <v>17337</v>
      </c>
      <c r="AC268">
        <v>15582221</v>
      </c>
      <c r="AD268" t="s">
        <v>4</v>
      </c>
      <c r="AE268">
        <v>35</v>
      </c>
      <c r="AF268">
        <v>12</v>
      </c>
      <c r="AH268" t="s">
        <v>5418</v>
      </c>
      <c r="AI268" t="s">
        <v>5417</v>
      </c>
      <c r="AK268" t="s">
        <v>5416</v>
      </c>
      <c r="AL268">
        <v>29</v>
      </c>
      <c r="AM268" s="5">
        <f t="shared" si="34"/>
        <v>0.82857142857142863</v>
      </c>
      <c r="AN268" s="4">
        <f t="shared" si="39"/>
        <v>1.2549359009033376E-3</v>
      </c>
      <c r="AO268" s="3"/>
      <c r="AP268">
        <v>0</v>
      </c>
      <c r="AR268" t="s">
        <v>0</v>
      </c>
      <c r="AT268" s="2" t="s">
        <v>32</v>
      </c>
      <c r="AU268" s="1">
        <f t="shared" si="35"/>
        <v>3.1245918318654651</v>
      </c>
      <c r="AV268" s="1">
        <f t="shared" si="36"/>
        <v>2.2677066199297133</v>
      </c>
      <c r="AW268" s="1">
        <f t="shared" si="37"/>
        <v>1.4108214079939614</v>
      </c>
    </row>
    <row r="269" spans="1:49" x14ac:dyDescent="0.2">
      <c r="A269">
        <v>267</v>
      </c>
      <c r="B269" t="s">
        <v>5415</v>
      </c>
      <c r="C269" t="s">
        <v>5414</v>
      </c>
      <c r="D269" t="s">
        <v>5413</v>
      </c>
      <c r="F269" t="s">
        <v>5412</v>
      </c>
      <c r="G269" t="s">
        <v>14</v>
      </c>
      <c r="H269" t="s">
        <v>13</v>
      </c>
      <c r="I269" t="s">
        <v>5411</v>
      </c>
      <c r="J269" t="s">
        <v>5410</v>
      </c>
      <c r="K269" t="s">
        <v>5409</v>
      </c>
      <c r="L269" t="s">
        <v>5408</v>
      </c>
      <c r="M269" t="s">
        <v>55</v>
      </c>
      <c r="N269">
        <v>3</v>
      </c>
      <c r="O269" t="s">
        <v>5407</v>
      </c>
      <c r="P269" t="s">
        <v>5406</v>
      </c>
      <c r="Q269" t="s">
        <v>5405</v>
      </c>
      <c r="R269" s="7">
        <v>31778</v>
      </c>
      <c r="S269" s="8">
        <f t="shared" si="32"/>
        <v>1987</v>
      </c>
      <c r="T269" s="8">
        <v>1987</v>
      </c>
      <c r="U269" s="8">
        <f t="shared" si="33"/>
        <v>35</v>
      </c>
      <c r="V269" s="7">
        <v>1987</v>
      </c>
      <c r="W269" t="s">
        <v>5404</v>
      </c>
      <c r="X269" s="2">
        <v>0.76700000000000002</v>
      </c>
      <c r="Y269" s="6">
        <f t="shared" si="38"/>
        <v>2.0474626945356504E-2</v>
      </c>
      <c r="AA269" t="s">
        <v>5403</v>
      </c>
      <c r="AB269">
        <v>12946</v>
      </c>
      <c r="AD269" t="s">
        <v>4</v>
      </c>
      <c r="AE269">
        <v>22</v>
      </c>
      <c r="AF269">
        <v>3</v>
      </c>
      <c r="AH269" t="s">
        <v>5402</v>
      </c>
      <c r="AI269" t="s">
        <v>5401</v>
      </c>
      <c r="AK269" t="s">
        <v>5400</v>
      </c>
      <c r="AL269">
        <v>0</v>
      </c>
      <c r="AM269" s="5">
        <f t="shared" si="34"/>
        <v>0</v>
      </c>
      <c r="AN269" s="4">
        <f t="shared" si="39"/>
        <v>0</v>
      </c>
      <c r="AO269" s="3"/>
      <c r="AP269">
        <v>0</v>
      </c>
      <c r="AQ269" t="s">
        <v>5399</v>
      </c>
      <c r="AR269" t="s">
        <v>0</v>
      </c>
      <c r="AS269" t="s">
        <v>1721</v>
      </c>
      <c r="AT269" s="2">
        <v>2.6389999999999998</v>
      </c>
      <c r="AU269" s="1">
        <f t="shared" si="35"/>
        <v>1.4332238861749553</v>
      </c>
      <c r="AV269" s="1">
        <f t="shared" si="36"/>
        <v>1.0237313472678251</v>
      </c>
      <c r="AW269" s="1">
        <f t="shared" si="37"/>
        <v>0.61423880836069511</v>
      </c>
    </row>
    <row r="270" spans="1:49" x14ac:dyDescent="0.2">
      <c r="A270">
        <v>268</v>
      </c>
      <c r="B270" t="s">
        <v>5398</v>
      </c>
      <c r="C270" t="s">
        <v>5397</v>
      </c>
      <c r="F270" t="s">
        <v>5396</v>
      </c>
      <c r="G270" t="s">
        <v>14</v>
      </c>
      <c r="H270" t="s">
        <v>13</v>
      </c>
      <c r="I270" t="s">
        <v>5395</v>
      </c>
      <c r="J270">
        <v>60009060</v>
      </c>
      <c r="K270" t="s">
        <v>5394</v>
      </c>
      <c r="L270" t="s">
        <v>5393</v>
      </c>
      <c r="M270" t="s">
        <v>9</v>
      </c>
      <c r="N270">
        <v>2</v>
      </c>
      <c r="O270" t="s">
        <v>5392</v>
      </c>
      <c r="P270" t="s">
        <v>5391</v>
      </c>
      <c r="Q270" t="s">
        <v>5390</v>
      </c>
      <c r="R270" s="7">
        <v>31778</v>
      </c>
      <c r="S270" s="8">
        <f t="shared" si="32"/>
        <v>1987</v>
      </c>
      <c r="T270" s="8">
        <v>1987</v>
      </c>
      <c r="U270" s="8">
        <f t="shared" si="33"/>
        <v>35</v>
      </c>
      <c r="V270" s="7">
        <v>32112</v>
      </c>
      <c r="W270" t="s">
        <v>336</v>
      </c>
      <c r="X270" s="2">
        <v>1.6519999999999999</v>
      </c>
      <c r="Y270" s="6">
        <f t="shared" si="38"/>
        <v>4.409919649769093E-2</v>
      </c>
      <c r="AA270" t="s">
        <v>335</v>
      </c>
      <c r="AB270">
        <v>17337</v>
      </c>
      <c r="AC270">
        <v>15582221</v>
      </c>
      <c r="AD270" t="s">
        <v>4</v>
      </c>
      <c r="AE270">
        <v>35</v>
      </c>
      <c r="AF270">
        <v>12</v>
      </c>
      <c r="AH270" t="s">
        <v>5389</v>
      </c>
      <c r="AI270" t="s">
        <v>5388</v>
      </c>
      <c r="AK270" t="s">
        <v>5387</v>
      </c>
      <c r="AL270">
        <v>24</v>
      </c>
      <c r="AM270" s="5">
        <f t="shared" si="34"/>
        <v>0.68571428571428572</v>
      </c>
      <c r="AN270" s="4">
        <f t="shared" si="39"/>
        <v>1.0385676421269001E-3</v>
      </c>
      <c r="AO270" s="3"/>
      <c r="AP270">
        <v>0</v>
      </c>
      <c r="AQ270" t="s">
        <v>746</v>
      </c>
      <c r="AR270" t="s">
        <v>5386</v>
      </c>
      <c r="AS270" t="s">
        <v>745</v>
      </c>
      <c r="AT270" s="2" t="s">
        <v>32</v>
      </c>
      <c r="AU270" s="1">
        <f t="shared" si="35"/>
        <v>3.1181007841021722</v>
      </c>
      <c r="AV270" s="1">
        <f t="shared" si="36"/>
        <v>2.2568882069908915</v>
      </c>
      <c r="AW270" s="1">
        <f t="shared" si="37"/>
        <v>1.3956756298796109</v>
      </c>
    </row>
    <row r="271" spans="1:49" x14ac:dyDescent="0.2">
      <c r="A271">
        <v>269</v>
      </c>
      <c r="B271" t="s">
        <v>5385</v>
      </c>
      <c r="C271" t="s">
        <v>5384</v>
      </c>
      <c r="F271" t="s">
        <v>5383</v>
      </c>
      <c r="G271" t="s">
        <v>14</v>
      </c>
      <c r="H271" t="s">
        <v>13</v>
      </c>
      <c r="I271" t="s">
        <v>5382</v>
      </c>
      <c r="J271">
        <v>60000745</v>
      </c>
      <c r="K271" t="s">
        <v>4990</v>
      </c>
      <c r="L271" t="s">
        <v>4989</v>
      </c>
      <c r="M271" t="s">
        <v>9</v>
      </c>
      <c r="N271">
        <v>2</v>
      </c>
      <c r="O271" t="s">
        <v>5381</v>
      </c>
      <c r="P271" t="s">
        <v>5380</v>
      </c>
      <c r="Q271" t="s">
        <v>5379</v>
      </c>
      <c r="R271" s="7">
        <v>31778</v>
      </c>
      <c r="S271" s="8">
        <f t="shared" si="32"/>
        <v>1987</v>
      </c>
      <c r="T271" s="8">
        <v>1987</v>
      </c>
      <c r="U271" s="8">
        <f t="shared" si="33"/>
        <v>35</v>
      </c>
      <c r="V271" s="7">
        <v>32112</v>
      </c>
      <c r="W271" t="s">
        <v>336</v>
      </c>
      <c r="X271" s="2">
        <v>1.6519999999999999</v>
      </c>
      <c r="Y271" s="6">
        <f t="shared" si="38"/>
        <v>4.409919649769093E-2</v>
      </c>
      <c r="AA271" t="s">
        <v>335</v>
      </c>
      <c r="AB271">
        <v>17337</v>
      </c>
      <c r="AC271">
        <v>15582221</v>
      </c>
      <c r="AD271" t="s">
        <v>4</v>
      </c>
      <c r="AE271">
        <v>35</v>
      </c>
      <c r="AF271">
        <v>12</v>
      </c>
      <c r="AH271" t="s">
        <v>5378</v>
      </c>
      <c r="AI271" t="s">
        <v>5377</v>
      </c>
      <c r="AK271" t="s">
        <v>5376</v>
      </c>
      <c r="AL271">
        <v>24</v>
      </c>
      <c r="AM271" s="5">
        <f t="shared" si="34"/>
        <v>0.68571428571428572</v>
      </c>
      <c r="AN271" s="4">
        <f t="shared" si="39"/>
        <v>1.0385676421269001E-3</v>
      </c>
      <c r="AO271" s="3"/>
      <c r="AP271">
        <v>0</v>
      </c>
      <c r="AR271" t="s">
        <v>0</v>
      </c>
      <c r="AT271" s="2" t="s">
        <v>32</v>
      </c>
      <c r="AU271" s="1">
        <f t="shared" si="35"/>
        <v>3.1181007841021722</v>
      </c>
      <c r="AV271" s="1">
        <f t="shared" si="36"/>
        <v>2.2568882069908915</v>
      </c>
      <c r="AW271" s="1">
        <f t="shared" si="37"/>
        <v>1.3956756298796109</v>
      </c>
    </row>
    <row r="272" spans="1:49" x14ac:dyDescent="0.2">
      <c r="A272">
        <v>270</v>
      </c>
      <c r="B272" t="s">
        <v>5375</v>
      </c>
      <c r="C272" t="s">
        <v>5374</v>
      </c>
      <c r="F272" t="s">
        <v>5373</v>
      </c>
      <c r="G272" t="s">
        <v>14</v>
      </c>
      <c r="H272" t="s">
        <v>13</v>
      </c>
      <c r="I272" t="s">
        <v>5372</v>
      </c>
      <c r="J272">
        <v>60011001</v>
      </c>
      <c r="K272" t="s">
        <v>5371</v>
      </c>
      <c r="L272" t="s">
        <v>5370</v>
      </c>
      <c r="M272" t="s">
        <v>524</v>
      </c>
      <c r="N272">
        <v>2</v>
      </c>
      <c r="O272" t="s">
        <v>5369</v>
      </c>
      <c r="P272" t="s">
        <v>5368</v>
      </c>
      <c r="Q272" t="s">
        <v>5367</v>
      </c>
      <c r="R272" s="7">
        <v>31778</v>
      </c>
      <c r="S272" s="8">
        <f t="shared" si="32"/>
        <v>1987</v>
      </c>
      <c r="T272" s="8">
        <v>1987</v>
      </c>
      <c r="U272" s="8">
        <f t="shared" si="33"/>
        <v>35</v>
      </c>
      <c r="V272" s="7">
        <v>32112</v>
      </c>
      <c r="W272" t="s">
        <v>336</v>
      </c>
      <c r="X272" s="2">
        <v>1.6519999999999999</v>
      </c>
      <c r="Y272" s="6">
        <f t="shared" si="38"/>
        <v>4.409919649769093E-2</v>
      </c>
      <c r="AA272" t="s">
        <v>335</v>
      </c>
      <c r="AB272">
        <v>17337</v>
      </c>
      <c r="AC272">
        <v>15582221</v>
      </c>
      <c r="AD272" t="s">
        <v>4</v>
      </c>
      <c r="AE272">
        <v>35</v>
      </c>
      <c r="AF272">
        <v>12</v>
      </c>
      <c r="AH272" t="s">
        <v>5366</v>
      </c>
      <c r="AI272" t="s">
        <v>5365</v>
      </c>
      <c r="AK272" t="s">
        <v>5364</v>
      </c>
      <c r="AL272">
        <v>59</v>
      </c>
      <c r="AM272" s="5">
        <f t="shared" si="34"/>
        <v>1.6857142857142857</v>
      </c>
      <c r="AN272" s="4">
        <f t="shared" si="39"/>
        <v>2.5531454535619624E-3</v>
      </c>
      <c r="AO272" s="3"/>
      <c r="AP272">
        <v>0</v>
      </c>
      <c r="AR272" t="s">
        <v>0</v>
      </c>
      <c r="AT272" s="2" t="s">
        <v>32</v>
      </c>
      <c r="AU272" s="1">
        <f t="shared" si="35"/>
        <v>3.1635381184452243</v>
      </c>
      <c r="AV272" s="1">
        <f t="shared" si="36"/>
        <v>2.332617097562645</v>
      </c>
      <c r="AW272" s="1">
        <f t="shared" si="37"/>
        <v>1.5016960766800651</v>
      </c>
    </row>
    <row r="273" spans="1:49" x14ac:dyDescent="0.2">
      <c r="A273">
        <v>271</v>
      </c>
      <c r="B273" t="s">
        <v>5363</v>
      </c>
      <c r="C273" t="s">
        <v>5362</v>
      </c>
      <c r="F273" t="s">
        <v>5361</v>
      </c>
      <c r="G273" t="s">
        <v>14</v>
      </c>
      <c r="H273" t="s">
        <v>13</v>
      </c>
      <c r="I273" t="s">
        <v>5360</v>
      </c>
      <c r="J273">
        <v>60021158</v>
      </c>
      <c r="K273" t="s">
        <v>5359</v>
      </c>
      <c r="L273" t="s">
        <v>5358</v>
      </c>
      <c r="M273" t="s">
        <v>5357</v>
      </c>
      <c r="N273">
        <v>2</v>
      </c>
      <c r="O273" t="s">
        <v>5356</v>
      </c>
      <c r="P273" t="s">
        <v>5355</v>
      </c>
      <c r="Q273" t="s">
        <v>5354</v>
      </c>
      <c r="R273" s="7">
        <v>31778</v>
      </c>
      <c r="S273" s="8">
        <f t="shared" si="32"/>
        <v>1987</v>
      </c>
      <c r="T273" s="8">
        <v>1987</v>
      </c>
      <c r="U273" s="8">
        <f t="shared" si="33"/>
        <v>35</v>
      </c>
      <c r="V273" s="7" t="s">
        <v>4998</v>
      </c>
      <c r="W273" s="11" t="s">
        <v>1382</v>
      </c>
      <c r="X273" s="2">
        <v>2.383</v>
      </c>
      <c r="Y273" s="6">
        <f t="shared" si="38"/>
        <v>6.3612824003630442E-2</v>
      </c>
      <c r="AA273" t="s">
        <v>1381</v>
      </c>
      <c r="AB273">
        <v>101151</v>
      </c>
      <c r="AD273" t="s">
        <v>4</v>
      </c>
      <c r="AE273">
        <v>134</v>
      </c>
      <c r="AF273">
        <v>6</v>
      </c>
      <c r="AH273" t="s">
        <v>558</v>
      </c>
      <c r="AI273" t="s">
        <v>5353</v>
      </c>
      <c r="AK273" t="s">
        <v>5352</v>
      </c>
      <c r="AL273">
        <v>0</v>
      </c>
      <c r="AM273" s="5">
        <f t="shared" si="34"/>
        <v>0</v>
      </c>
      <c r="AN273" s="4">
        <f t="shared" si="39"/>
        <v>0</v>
      </c>
      <c r="AO273" s="3"/>
      <c r="AP273">
        <v>0</v>
      </c>
      <c r="AR273" t="s">
        <v>0</v>
      </c>
      <c r="AT273" s="2" t="s">
        <v>32</v>
      </c>
      <c r="AU273" s="1">
        <f t="shared" si="35"/>
        <v>4.4528976802541305</v>
      </c>
      <c r="AV273" s="1">
        <f t="shared" si="36"/>
        <v>3.1806412001815221</v>
      </c>
      <c r="AW273" s="1">
        <f t="shared" si="37"/>
        <v>1.9083847201089132</v>
      </c>
    </row>
    <row r="274" spans="1:49" x14ac:dyDescent="0.2">
      <c r="A274">
        <v>272</v>
      </c>
      <c r="B274" t="s">
        <v>5351</v>
      </c>
      <c r="C274" t="s">
        <v>5350</v>
      </c>
      <c r="F274" t="s">
        <v>5349</v>
      </c>
      <c r="G274" t="s">
        <v>14</v>
      </c>
      <c r="H274" t="s">
        <v>13</v>
      </c>
      <c r="I274" t="s">
        <v>5348</v>
      </c>
      <c r="J274">
        <v>60009697</v>
      </c>
      <c r="K274" t="s">
        <v>1573</v>
      </c>
      <c r="L274" t="s">
        <v>1572</v>
      </c>
      <c r="M274" t="s">
        <v>685</v>
      </c>
      <c r="N274">
        <v>2</v>
      </c>
      <c r="O274" t="s">
        <v>5347</v>
      </c>
      <c r="P274" t="s">
        <v>5346</v>
      </c>
      <c r="Q274" t="s">
        <v>1569</v>
      </c>
      <c r="R274" s="7">
        <v>31778</v>
      </c>
      <c r="S274" s="8">
        <f t="shared" si="32"/>
        <v>1987</v>
      </c>
      <c r="T274" s="8">
        <v>1987</v>
      </c>
      <c r="U274" s="8">
        <f t="shared" si="33"/>
        <v>35</v>
      </c>
      <c r="V274" s="7" t="s">
        <v>4998</v>
      </c>
      <c r="W274" s="11" t="s">
        <v>1382</v>
      </c>
      <c r="X274" s="2">
        <v>2.383</v>
      </c>
      <c r="Y274" s="6">
        <f t="shared" si="38"/>
        <v>6.3612824003630442E-2</v>
      </c>
      <c r="AA274" t="s">
        <v>1381</v>
      </c>
      <c r="AB274">
        <v>101151</v>
      </c>
      <c r="AD274" t="s">
        <v>4</v>
      </c>
      <c r="AE274">
        <v>134</v>
      </c>
      <c r="AF274">
        <v>6</v>
      </c>
      <c r="AH274" t="s">
        <v>5345</v>
      </c>
      <c r="AI274" t="s">
        <v>5344</v>
      </c>
      <c r="AK274" t="s">
        <v>5343</v>
      </c>
      <c r="AL274">
        <v>0</v>
      </c>
      <c r="AM274" s="5">
        <f t="shared" si="34"/>
        <v>0</v>
      </c>
      <c r="AN274" s="4">
        <f t="shared" si="39"/>
        <v>0</v>
      </c>
      <c r="AO274" s="3"/>
      <c r="AP274">
        <v>0</v>
      </c>
      <c r="AR274" t="s">
        <v>0</v>
      </c>
      <c r="AT274" s="2" t="s">
        <v>32</v>
      </c>
      <c r="AU274" s="1">
        <f t="shared" si="35"/>
        <v>4.4528976802541305</v>
      </c>
      <c r="AV274" s="1">
        <f t="shared" si="36"/>
        <v>3.1806412001815221</v>
      </c>
      <c r="AW274" s="1">
        <f t="shared" si="37"/>
        <v>1.9083847201089132</v>
      </c>
    </row>
    <row r="275" spans="1:49" x14ac:dyDescent="0.2">
      <c r="A275">
        <v>273</v>
      </c>
      <c r="B275" t="s">
        <v>5342</v>
      </c>
      <c r="C275" t="s">
        <v>5341</v>
      </c>
      <c r="F275" t="s">
        <v>5340</v>
      </c>
      <c r="G275" t="s">
        <v>14</v>
      </c>
      <c r="H275" t="s">
        <v>13</v>
      </c>
      <c r="I275" t="s">
        <v>5339</v>
      </c>
      <c r="J275">
        <v>60000502</v>
      </c>
      <c r="K275" t="s">
        <v>5338</v>
      </c>
      <c r="L275" t="s">
        <v>5337</v>
      </c>
      <c r="M275" t="s">
        <v>1463</v>
      </c>
      <c r="N275">
        <v>1</v>
      </c>
      <c r="O275" t="s">
        <v>5336</v>
      </c>
      <c r="P275">
        <v>7006000195</v>
      </c>
      <c r="Q275">
        <v>60000502</v>
      </c>
      <c r="R275" s="7">
        <v>31778</v>
      </c>
      <c r="S275" s="8">
        <f t="shared" si="32"/>
        <v>1987</v>
      </c>
      <c r="T275" s="8">
        <v>1987</v>
      </c>
      <c r="U275" s="8">
        <f t="shared" si="33"/>
        <v>35</v>
      </c>
      <c r="V275" s="7">
        <v>32112</v>
      </c>
      <c r="W275" t="s">
        <v>336</v>
      </c>
      <c r="X275" s="2">
        <v>1.6519999999999999</v>
      </c>
      <c r="Y275" s="6">
        <f t="shared" si="38"/>
        <v>4.409919649769093E-2</v>
      </c>
      <c r="AA275" t="s">
        <v>335</v>
      </c>
      <c r="AB275">
        <v>17337</v>
      </c>
      <c r="AC275">
        <v>15582221</v>
      </c>
      <c r="AD275" t="s">
        <v>4</v>
      </c>
      <c r="AE275">
        <v>35</v>
      </c>
      <c r="AF275">
        <v>12</v>
      </c>
      <c r="AH275" t="s">
        <v>5335</v>
      </c>
      <c r="AI275" t="s">
        <v>5334</v>
      </c>
      <c r="AK275" t="s">
        <v>5333</v>
      </c>
      <c r="AL275">
        <v>159</v>
      </c>
      <c r="AM275" s="5">
        <f t="shared" si="34"/>
        <v>4.5428571428571427</v>
      </c>
      <c r="AN275" s="4">
        <f t="shared" si="39"/>
        <v>6.8805106290907121E-3</v>
      </c>
      <c r="AO275" s="3"/>
      <c r="AP275">
        <v>0</v>
      </c>
      <c r="AR275" t="s">
        <v>0</v>
      </c>
      <c r="AT275" s="2" t="s">
        <v>32</v>
      </c>
      <c r="AU275" s="1">
        <f t="shared" si="35"/>
        <v>3.2933590737110863</v>
      </c>
      <c r="AV275" s="1">
        <f t="shared" si="36"/>
        <v>2.5489853563390819</v>
      </c>
      <c r="AW275" s="1">
        <f t="shared" si="37"/>
        <v>1.8046116389670777</v>
      </c>
    </row>
    <row r="276" spans="1:49" x14ac:dyDescent="0.2">
      <c r="A276">
        <v>274</v>
      </c>
      <c r="B276" t="s">
        <v>5332</v>
      </c>
      <c r="C276" t="s">
        <v>5331</v>
      </c>
      <c r="F276" t="s">
        <v>5330</v>
      </c>
      <c r="G276" t="s">
        <v>14</v>
      </c>
      <c r="H276" t="s">
        <v>13</v>
      </c>
      <c r="I276" t="s">
        <v>5329</v>
      </c>
      <c r="J276">
        <v>60018029</v>
      </c>
      <c r="K276" t="s">
        <v>5328</v>
      </c>
      <c r="L276" t="s">
        <v>5327</v>
      </c>
      <c r="M276" t="s">
        <v>3206</v>
      </c>
      <c r="N276">
        <v>1</v>
      </c>
      <c r="O276" t="s">
        <v>5326</v>
      </c>
      <c r="P276">
        <v>7402819776</v>
      </c>
      <c r="Q276">
        <v>60018029</v>
      </c>
      <c r="R276" s="7">
        <v>31778</v>
      </c>
      <c r="S276" s="8">
        <f t="shared" si="32"/>
        <v>1987</v>
      </c>
      <c r="T276" s="8">
        <v>1987</v>
      </c>
      <c r="U276" s="8">
        <f t="shared" si="33"/>
        <v>35</v>
      </c>
      <c r="V276" s="7">
        <v>32112</v>
      </c>
      <c r="W276" t="s">
        <v>336</v>
      </c>
      <c r="X276" s="2">
        <v>1.6519999999999999</v>
      </c>
      <c r="Y276" s="6">
        <f t="shared" si="38"/>
        <v>4.409919649769093E-2</v>
      </c>
      <c r="AA276" t="s">
        <v>335</v>
      </c>
      <c r="AB276">
        <v>17337</v>
      </c>
      <c r="AC276">
        <v>15582221</v>
      </c>
      <c r="AD276" t="s">
        <v>4</v>
      </c>
      <c r="AE276">
        <v>35</v>
      </c>
      <c r="AF276">
        <v>12</v>
      </c>
      <c r="AH276" t="s">
        <v>5325</v>
      </c>
      <c r="AI276" t="s">
        <v>5324</v>
      </c>
      <c r="AK276" t="s">
        <v>5323</v>
      </c>
      <c r="AL276">
        <v>37</v>
      </c>
      <c r="AM276" s="5">
        <f t="shared" si="34"/>
        <v>1.0571428571428572</v>
      </c>
      <c r="AN276" s="4">
        <f t="shared" si="39"/>
        <v>1.6011251149456375E-3</v>
      </c>
      <c r="AO276" s="3"/>
      <c r="AP276">
        <v>0</v>
      </c>
      <c r="AR276" t="s">
        <v>0</v>
      </c>
      <c r="AT276" s="2" t="s">
        <v>32</v>
      </c>
      <c r="AU276" s="1">
        <f t="shared" si="35"/>
        <v>3.1349775082867342</v>
      </c>
      <c r="AV276" s="1">
        <f t="shared" si="36"/>
        <v>2.2850160806318285</v>
      </c>
      <c r="AW276" s="1">
        <f t="shared" si="37"/>
        <v>1.4350546529769224</v>
      </c>
    </row>
    <row r="277" spans="1:49" x14ac:dyDescent="0.2">
      <c r="A277">
        <v>275</v>
      </c>
      <c r="B277" t="s">
        <v>5322</v>
      </c>
      <c r="C277" t="s">
        <v>5321</v>
      </c>
      <c r="F277" t="s">
        <v>5320</v>
      </c>
      <c r="G277" t="s">
        <v>14</v>
      </c>
      <c r="H277" t="s">
        <v>13</v>
      </c>
      <c r="I277" t="s">
        <v>5319</v>
      </c>
      <c r="J277">
        <v>60009839</v>
      </c>
      <c r="K277" t="s">
        <v>5318</v>
      </c>
      <c r="L277" t="s">
        <v>5317</v>
      </c>
      <c r="M277" t="s">
        <v>685</v>
      </c>
      <c r="N277">
        <v>2</v>
      </c>
      <c r="O277" t="s">
        <v>5316</v>
      </c>
      <c r="P277" t="s">
        <v>5315</v>
      </c>
      <c r="Q277" t="s">
        <v>5314</v>
      </c>
      <c r="R277" s="7">
        <v>31778</v>
      </c>
      <c r="S277" s="8">
        <f t="shared" si="32"/>
        <v>1987</v>
      </c>
      <c r="T277" s="8">
        <v>1987</v>
      </c>
      <c r="U277" s="8">
        <f t="shared" si="33"/>
        <v>35</v>
      </c>
      <c r="V277" s="7">
        <v>32112</v>
      </c>
      <c r="W277" t="s">
        <v>388</v>
      </c>
      <c r="X277" s="2">
        <v>0.82</v>
      </c>
      <c r="Y277" s="6">
        <f t="shared" si="38"/>
        <v>2.1889431675609299E-2</v>
      </c>
      <c r="AA277">
        <v>189456</v>
      </c>
      <c r="AB277">
        <v>15361</v>
      </c>
      <c r="AC277">
        <v>15579662</v>
      </c>
      <c r="AD277" t="s">
        <v>4</v>
      </c>
      <c r="AE277" t="s">
        <v>387</v>
      </c>
      <c r="AF277">
        <v>4</v>
      </c>
      <c r="AH277" t="s">
        <v>5313</v>
      </c>
      <c r="AI277" t="s">
        <v>5312</v>
      </c>
      <c r="AK277" t="s">
        <v>5311</v>
      </c>
      <c r="AL277">
        <v>0</v>
      </c>
      <c r="AM277" s="5">
        <f t="shared" si="34"/>
        <v>0</v>
      </c>
      <c r="AN277" s="4">
        <f t="shared" si="39"/>
        <v>0</v>
      </c>
      <c r="AO277" s="3"/>
      <c r="AP277">
        <v>0</v>
      </c>
      <c r="AR277" t="s">
        <v>0</v>
      </c>
      <c r="AT277" s="2" t="s">
        <v>32</v>
      </c>
      <c r="AU277" s="1">
        <f t="shared" si="35"/>
        <v>1.5322602172926507</v>
      </c>
      <c r="AV277" s="1">
        <f t="shared" si="36"/>
        <v>1.0944715837804648</v>
      </c>
      <c r="AW277" s="1">
        <f t="shared" si="37"/>
        <v>0.65668295026827894</v>
      </c>
    </row>
    <row r="278" spans="1:49" x14ac:dyDescent="0.2">
      <c r="A278">
        <v>276</v>
      </c>
      <c r="B278" t="s">
        <v>5310</v>
      </c>
      <c r="C278" t="s">
        <v>5309</v>
      </c>
      <c r="F278" t="s">
        <v>5308</v>
      </c>
      <c r="G278" t="s">
        <v>14</v>
      </c>
      <c r="H278" t="s">
        <v>13</v>
      </c>
      <c r="I278" t="s">
        <v>5307</v>
      </c>
      <c r="J278">
        <v>60013372</v>
      </c>
      <c r="K278" t="s">
        <v>1079</v>
      </c>
      <c r="L278" t="s">
        <v>1078</v>
      </c>
      <c r="M278" t="s">
        <v>9</v>
      </c>
      <c r="N278">
        <v>2</v>
      </c>
      <c r="O278" t="s">
        <v>5306</v>
      </c>
      <c r="P278" t="s">
        <v>5305</v>
      </c>
      <c r="Q278" t="s">
        <v>5304</v>
      </c>
      <c r="R278" s="7">
        <v>31778</v>
      </c>
      <c r="S278" s="8">
        <f t="shared" si="32"/>
        <v>1987</v>
      </c>
      <c r="T278" s="8">
        <v>1987</v>
      </c>
      <c r="U278" s="8">
        <f t="shared" si="33"/>
        <v>35</v>
      </c>
      <c r="V278" s="7">
        <v>32112</v>
      </c>
      <c r="W278" t="s">
        <v>1833</v>
      </c>
      <c r="X278" s="2">
        <v>1.3720000000000001</v>
      </c>
      <c r="Y278" s="6">
        <f t="shared" si="38"/>
        <v>3.662475641333654E-2</v>
      </c>
      <c r="AA278">
        <v>189480</v>
      </c>
      <c r="AB278">
        <v>17366</v>
      </c>
      <c r="AC278">
        <v>15579670</v>
      </c>
      <c r="AD278" t="s">
        <v>4</v>
      </c>
      <c r="AE278">
        <v>35</v>
      </c>
      <c r="AF278">
        <v>12</v>
      </c>
      <c r="AH278" t="s">
        <v>5303</v>
      </c>
      <c r="AI278" t="s">
        <v>5302</v>
      </c>
      <c r="AK278" t="s">
        <v>5301</v>
      </c>
      <c r="AL278">
        <v>9</v>
      </c>
      <c r="AM278" s="5">
        <f t="shared" si="34"/>
        <v>0.25714285714285712</v>
      </c>
      <c r="AN278" s="4">
        <f t="shared" si="39"/>
        <v>3.8946286579758747E-4</v>
      </c>
      <c r="AO278" s="3"/>
      <c r="AP278">
        <v>0</v>
      </c>
      <c r="AR278" t="s">
        <v>0</v>
      </c>
      <c r="AT278" s="2" t="s">
        <v>32</v>
      </c>
      <c r="AU278" s="1">
        <f t="shared" si="35"/>
        <v>2.5754168349074855</v>
      </c>
      <c r="AV278" s="1">
        <f t="shared" si="36"/>
        <v>1.8507109639567063</v>
      </c>
      <c r="AW278" s="1">
        <f t="shared" si="37"/>
        <v>1.1260050930059273</v>
      </c>
    </row>
    <row r="279" spans="1:49" x14ac:dyDescent="0.2">
      <c r="A279">
        <v>277</v>
      </c>
      <c r="B279" t="s">
        <v>5300</v>
      </c>
      <c r="C279" t="s">
        <v>5299</v>
      </c>
      <c r="F279" t="s">
        <v>5298</v>
      </c>
      <c r="G279" t="s">
        <v>14</v>
      </c>
      <c r="H279" t="s">
        <v>13</v>
      </c>
      <c r="I279" t="s">
        <v>3052</v>
      </c>
      <c r="J279" t="s">
        <v>5293</v>
      </c>
      <c r="K279" t="s">
        <v>5297</v>
      </c>
      <c r="L279" t="s">
        <v>5296</v>
      </c>
      <c r="M279" t="s">
        <v>55</v>
      </c>
      <c r="N279">
        <v>2</v>
      </c>
      <c r="O279" t="s">
        <v>5295</v>
      </c>
      <c r="P279" t="s">
        <v>5294</v>
      </c>
      <c r="Q279" t="s">
        <v>5293</v>
      </c>
      <c r="R279" s="7">
        <v>31778</v>
      </c>
      <c r="S279" s="8">
        <f t="shared" si="32"/>
        <v>1987</v>
      </c>
      <c r="T279" s="8">
        <v>1987</v>
      </c>
      <c r="U279" s="8">
        <f t="shared" si="33"/>
        <v>35</v>
      </c>
      <c r="V279" s="7">
        <v>32112</v>
      </c>
      <c r="W279" t="s">
        <v>336</v>
      </c>
      <c r="X279" s="2">
        <v>1.6519999999999999</v>
      </c>
      <c r="Y279" s="6">
        <f t="shared" si="38"/>
        <v>4.409919649769093E-2</v>
      </c>
      <c r="AA279" t="s">
        <v>335</v>
      </c>
      <c r="AB279">
        <v>17337</v>
      </c>
      <c r="AC279">
        <v>15582221</v>
      </c>
      <c r="AD279" t="s">
        <v>4</v>
      </c>
      <c r="AE279">
        <v>35</v>
      </c>
      <c r="AF279">
        <v>12</v>
      </c>
      <c r="AH279" t="s">
        <v>5292</v>
      </c>
      <c r="AI279" t="s">
        <v>5291</v>
      </c>
      <c r="AK279" t="s">
        <v>5290</v>
      </c>
      <c r="AL279">
        <v>103</v>
      </c>
      <c r="AM279" s="5">
        <f t="shared" si="34"/>
        <v>2.9428571428571431</v>
      </c>
      <c r="AN279" s="4">
        <f t="shared" si="39"/>
        <v>4.4571861307946131E-3</v>
      </c>
      <c r="AO279" s="3"/>
      <c r="AP279">
        <v>0</v>
      </c>
      <c r="AQ279" t="s">
        <v>746</v>
      </c>
      <c r="AR279" t="s">
        <v>5289</v>
      </c>
      <c r="AS279" t="s">
        <v>745</v>
      </c>
      <c r="AT279" s="2" t="s">
        <v>32</v>
      </c>
      <c r="AU279" s="1">
        <f t="shared" si="35"/>
        <v>3.2206593387622036</v>
      </c>
      <c r="AV279" s="1">
        <f t="shared" si="36"/>
        <v>2.4278191314242772</v>
      </c>
      <c r="AW279" s="1">
        <f t="shared" si="37"/>
        <v>1.6349789240863506</v>
      </c>
    </row>
    <row r="280" spans="1:49" x14ac:dyDescent="0.2">
      <c r="A280">
        <v>278</v>
      </c>
      <c r="B280" t="s">
        <v>5288</v>
      </c>
      <c r="C280" t="s">
        <v>5287</v>
      </c>
      <c r="E280">
        <v>3309187</v>
      </c>
      <c r="F280" t="s">
        <v>5286</v>
      </c>
      <c r="G280" t="s">
        <v>14</v>
      </c>
      <c r="H280" t="s">
        <v>13</v>
      </c>
      <c r="I280" t="s">
        <v>5285</v>
      </c>
      <c r="J280" t="s">
        <v>5284</v>
      </c>
      <c r="K280" t="s">
        <v>5283</v>
      </c>
      <c r="L280" t="s">
        <v>5282</v>
      </c>
      <c r="M280" t="s">
        <v>55</v>
      </c>
      <c r="N280">
        <v>3</v>
      </c>
      <c r="O280" t="s">
        <v>5281</v>
      </c>
      <c r="P280" t="s">
        <v>5280</v>
      </c>
      <c r="Q280" t="s">
        <v>5279</v>
      </c>
      <c r="R280" s="7">
        <v>31778</v>
      </c>
      <c r="S280" s="8">
        <f t="shared" si="32"/>
        <v>1987</v>
      </c>
      <c r="T280" s="8">
        <v>1987</v>
      </c>
      <c r="U280" s="8">
        <f t="shared" si="33"/>
        <v>35</v>
      </c>
      <c r="V280" s="7">
        <v>32021</v>
      </c>
      <c r="W280" t="s">
        <v>5278</v>
      </c>
      <c r="X280" s="2" t="s">
        <v>32</v>
      </c>
      <c r="Y280" s="6" t="e">
        <f t="shared" si="38"/>
        <v>#VALUE!</v>
      </c>
      <c r="AA280">
        <v>223034</v>
      </c>
      <c r="AB280">
        <v>23463</v>
      </c>
      <c r="AC280">
        <v>10974695</v>
      </c>
      <c r="AD280" t="s">
        <v>4</v>
      </c>
      <c r="AE280">
        <v>18</v>
      </c>
      <c r="AF280">
        <v>5</v>
      </c>
      <c r="AH280" t="s">
        <v>5277</v>
      </c>
      <c r="AI280" t="s">
        <v>5276</v>
      </c>
      <c r="AK280" t="s">
        <v>5275</v>
      </c>
      <c r="AL280">
        <v>111</v>
      </c>
      <c r="AM280" s="5">
        <f t="shared" si="34"/>
        <v>3.1714285714285713</v>
      </c>
      <c r="AN280" s="4">
        <f t="shared" si="39"/>
        <v>4.803375344836912E-3</v>
      </c>
      <c r="AO280" s="3"/>
      <c r="AP280">
        <v>0</v>
      </c>
      <c r="AR280" t="s">
        <v>0</v>
      </c>
      <c r="AT280" s="2" t="s">
        <v>32</v>
      </c>
      <c r="AU280" s="1" t="e">
        <f t="shared" si="35"/>
        <v>#VALUE!</v>
      </c>
      <c r="AV280" s="1" t="e">
        <f t="shared" si="36"/>
        <v>#VALUE!</v>
      </c>
      <c r="AW280" s="1" t="e">
        <f t="shared" si="37"/>
        <v>#VALUE!</v>
      </c>
    </row>
    <row r="281" spans="1:49" x14ac:dyDescent="0.2">
      <c r="A281">
        <v>279</v>
      </c>
      <c r="B281" t="s">
        <v>5274</v>
      </c>
      <c r="C281" t="s">
        <v>5273</v>
      </c>
      <c r="F281" t="s">
        <v>5272</v>
      </c>
      <c r="G281" t="s">
        <v>14</v>
      </c>
      <c r="H281" t="s">
        <v>13</v>
      </c>
      <c r="I281" t="s">
        <v>5271</v>
      </c>
      <c r="N281">
        <v>1</v>
      </c>
      <c r="O281" t="s">
        <v>5270</v>
      </c>
      <c r="P281">
        <v>7501506951</v>
      </c>
      <c r="R281" s="7">
        <v>31778</v>
      </c>
      <c r="S281" s="8">
        <f t="shared" si="32"/>
        <v>1987</v>
      </c>
      <c r="T281" s="8">
        <v>1987</v>
      </c>
      <c r="U281" s="8">
        <f t="shared" si="33"/>
        <v>35</v>
      </c>
      <c r="V281" s="7">
        <v>32112</v>
      </c>
      <c r="W281" t="s">
        <v>472</v>
      </c>
      <c r="X281" s="2">
        <v>0.371</v>
      </c>
      <c r="Y281" s="6">
        <f t="shared" si="38"/>
        <v>9.9036331117695747E-3</v>
      </c>
      <c r="AA281">
        <v>486604</v>
      </c>
      <c r="AB281">
        <v>28580</v>
      </c>
      <c r="AC281" t="s">
        <v>471</v>
      </c>
      <c r="AD281" t="s">
        <v>4</v>
      </c>
      <c r="AE281">
        <v>22</v>
      </c>
      <c r="AF281">
        <v>7</v>
      </c>
      <c r="AH281" t="s">
        <v>5269</v>
      </c>
      <c r="AI281" t="s">
        <v>5268</v>
      </c>
      <c r="AK281" t="s">
        <v>5267</v>
      </c>
      <c r="AL281">
        <v>13</v>
      </c>
      <c r="AM281" s="5">
        <f t="shared" si="34"/>
        <v>0.37142857142857144</v>
      </c>
      <c r="AN281" s="4">
        <f t="shared" si="39"/>
        <v>5.6255747281873749E-4</v>
      </c>
      <c r="AO281" s="3"/>
      <c r="AP281">
        <v>0</v>
      </c>
      <c r="AR281" t="s">
        <v>0</v>
      </c>
      <c r="AT281" s="2">
        <v>1.431</v>
      </c>
      <c r="AU281" s="1">
        <f t="shared" si="35"/>
        <v>0.71013104200843225</v>
      </c>
      <c r="AV281" s="1">
        <f t="shared" si="36"/>
        <v>0.52330952922941565</v>
      </c>
      <c r="AW281" s="1">
        <f t="shared" si="37"/>
        <v>0.33648801645039889</v>
      </c>
    </row>
    <row r="282" spans="1:49" x14ac:dyDescent="0.2">
      <c r="A282">
        <v>280</v>
      </c>
      <c r="B282" t="s">
        <v>5266</v>
      </c>
      <c r="C282" t="s">
        <v>5265</v>
      </c>
      <c r="D282" t="s">
        <v>5264</v>
      </c>
      <c r="F282" t="s">
        <v>5263</v>
      </c>
      <c r="G282" t="s">
        <v>14</v>
      </c>
      <c r="H282" t="s">
        <v>13</v>
      </c>
      <c r="I282" t="s">
        <v>5262</v>
      </c>
      <c r="J282">
        <v>60088446</v>
      </c>
      <c r="K282" t="s">
        <v>5261</v>
      </c>
      <c r="L282" t="s">
        <v>5260</v>
      </c>
      <c r="M282" t="s">
        <v>112</v>
      </c>
      <c r="N282">
        <v>1</v>
      </c>
      <c r="O282" t="s">
        <v>5259</v>
      </c>
      <c r="P282">
        <v>7004111526</v>
      </c>
      <c r="Q282">
        <v>60088446</v>
      </c>
      <c r="R282" s="7">
        <v>31778</v>
      </c>
      <c r="S282" s="8">
        <f t="shared" si="32"/>
        <v>1987</v>
      </c>
      <c r="T282" s="8">
        <v>1987</v>
      </c>
      <c r="U282" s="8">
        <f t="shared" si="33"/>
        <v>35</v>
      </c>
      <c r="V282" s="7">
        <v>1987</v>
      </c>
      <c r="W282" t="s">
        <v>5258</v>
      </c>
      <c r="X282" s="2">
        <v>0.73799999999999999</v>
      </c>
      <c r="Y282" s="6">
        <f t="shared" si="38"/>
        <v>1.9700488508048369E-2</v>
      </c>
      <c r="AA282" t="s">
        <v>5257</v>
      </c>
      <c r="AB282">
        <v>12489</v>
      </c>
      <c r="AD282" t="s">
        <v>4</v>
      </c>
      <c r="AE282">
        <v>37</v>
      </c>
      <c r="AF282" s="9">
        <v>44289</v>
      </c>
      <c r="AH282" t="s">
        <v>2984</v>
      </c>
      <c r="AI282" t="s">
        <v>5256</v>
      </c>
      <c r="AK282" t="s">
        <v>5255</v>
      </c>
      <c r="AL282">
        <v>15</v>
      </c>
      <c r="AM282" s="5">
        <f t="shared" si="34"/>
        <v>0.42857142857142855</v>
      </c>
      <c r="AN282" s="4">
        <f t="shared" si="39"/>
        <v>6.4910477632931242E-4</v>
      </c>
      <c r="AO282" s="3"/>
      <c r="AP282">
        <v>0</v>
      </c>
      <c r="AR282" t="s">
        <v>0</v>
      </c>
      <c r="AT282" s="2">
        <v>3.6269999999999998</v>
      </c>
      <c r="AU282" s="1">
        <f t="shared" si="35"/>
        <v>1.3985073388532652</v>
      </c>
      <c r="AV282" s="1">
        <f t="shared" si="36"/>
        <v>1.0174796642188839</v>
      </c>
      <c r="AW282" s="1">
        <f t="shared" si="37"/>
        <v>0.63645198958450289</v>
      </c>
    </row>
    <row r="283" spans="1:49" x14ac:dyDescent="0.2">
      <c r="A283">
        <v>281</v>
      </c>
      <c r="B283" t="s">
        <v>5254</v>
      </c>
      <c r="C283" t="s">
        <v>5253</v>
      </c>
      <c r="F283" t="s">
        <v>5252</v>
      </c>
      <c r="G283" t="s">
        <v>14</v>
      </c>
      <c r="H283" t="s">
        <v>13</v>
      </c>
      <c r="I283" t="s">
        <v>5251</v>
      </c>
      <c r="J283">
        <v>60019909</v>
      </c>
      <c r="K283" t="s">
        <v>5250</v>
      </c>
      <c r="L283" t="s">
        <v>5249</v>
      </c>
      <c r="M283" t="s">
        <v>9</v>
      </c>
      <c r="N283">
        <v>1</v>
      </c>
      <c r="O283" t="s">
        <v>5248</v>
      </c>
      <c r="P283">
        <v>7101629831</v>
      </c>
      <c r="Q283">
        <v>60019909</v>
      </c>
      <c r="R283" s="7">
        <v>31778</v>
      </c>
      <c r="S283" s="8">
        <f t="shared" si="32"/>
        <v>1987</v>
      </c>
      <c r="T283" s="8">
        <v>1987</v>
      </c>
      <c r="U283" s="8">
        <f t="shared" si="33"/>
        <v>35</v>
      </c>
      <c r="V283" s="7">
        <v>32112</v>
      </c>
      <c r="W283" t="s">
        <v>388</v>
      </c>
      <c r="X283" s="2">
        <v>0.82</v>
      </c>
      <c r="Y283" s="6">
        <f t="shared" si="38"/>
        <v>2.1889431675609299E-2</v>
      </c>
      <c r="AA283">
        <v>189456</v>
      </c>
      <c r="AB283">
        <v>15361</v>
      </c>
      <c r="AC283">
        <v>15579662</v>
      </c>
      <c r="AD283" t="s">
        <v>4</v>
      </c>
      <c r="AE283" t="s">
        <v>387</v>
      </c>
      <c r="AF283">
        <v>4</v>
      </c>
      <c r="AH283" t="s">
        <v>5247</v>
      </c>
      <c r="AI283" t="s">
        <v>5246</v>
      </c>
      <c r="AK283" t="s">
        <v>5245</v>
      </c>
      <c r="AL283">
        <v>6</v>
      </c>
      <c r="AM283" s="5">
        <f t="shared" si="34"/>
        <v>0.17142857142857143</v>
      </c>
      <c r="AN283" s="4">
        <f t="shared" si="39"/>
        <v>2.5964191053172501E-4</v>
      </c>
      <c r="AO283" s="3"/>
      <c r="AP283">
        <v>0</v>
      </c>
      <c r="AR283" t="s">
        <v>0</v>
      </c>
      <c r="AT283" s="2" t="s">
        <v>32</v>
      </c>
      <c r="AU283" s="1">
        <f t="shared" si="35"/>
        <v>1.5400494746086024</v>
      </c>
      <c r="AV283" s="1">
        <f t="shared" si="36"/>
        <v>1.1074536793070511</v>
      </c>
      <c r="AW283" s="1">
        <f t="shared" si="37"/>
        <v>0.67485788400549973</v>
      </c>
    </row>
    <row r="284" spans="1:49" x14ac:dyDescent="0.2">
      <c r="A284">
        <v>282</v>
      </c>
      <c r="B284" t="s">
        <v>5244</v>
      </c>
      <c r="C284" t="s">
        <v>5243</v>
      </c>
      <c r="F284" t="s">
        <v>5242</v>
      </c>
      <c r="G284" t="s">
        <v>14</v>
      </c>
      <c r="H284" t="s">
        <v>13</v>
      </c>
      <c r="I284" t="s">
        <v>5241</v>
      </c>
      <c r="J284">
        <v>60013141</v>
      </c>
      <c r="K284" t="s">
        <v>2049</v>
      </c>
      <c r="L284" t="s">
        <v>2048</v>
      </c>
      <c r="M284" t="s">
        <v>2047</v>
      </c>
      <c r="N284">
        <v>2</v>
      </c>
      <c r="O284" t="s">
        <v>5240</v>
      </c>
      <c r="P284" t="s">
        <v>5239</v>
      </c>
      <c r="Q284" t="s">
        <v>4110</v>
      </c>
      <c r="R284" s="7">
        <v>31778</v>
      </c>
      <c r="S284" s="8">
        <f t="shared" si="32"/>
        <v>1987</v>
      </c>
      <c r="T284" s="8">
        <v>1987</v>
      </c>
      <c r="U284" s="8">
        <f t="shared" si="33"/>
        <v>35</v>
      </c>
      <c r="V284" s="7">
        <v>32112</v>
      </c>
      <c r="W284" t="s">
        <v>336</v>
      </c>
      <c r="X284" s="2">
        <v>1.6519999999999999</v>
      </c>
      <c r="Y284" s="6">
        <f t="shared" si="38"/>
        <v>4.409919649769093E-2</v>
      </c>
      <c r="AA284" t="s">
        <v>335</v>
      </c>
      <c r="AB284">
        <v>17337</v>
      </c>
      <c r="AC284">
        <v>15582221</v>
      </c>
      <c r="AD284" t="s">
        <v>4</v>
      </c>
      <c r="AE284">
        <v>35</v>
      </c>
      <c r="AF284">
        <v>12</v>
      </c>
      <c r="AH284" t="s">
        <v>5238</v>
      </c>
      <c r="AI284" t="s">
        <v>5237</v>
      </c>
      <c r="AK284" t="s">
        <v>5236</v>
      </c>
      <c r="AL284">
        <v>57</v>
      </c>
      <c r="AM284" s="5">
        <f t="shared" si="34"/>
        <v>1.6285714285714286</v>
      </c>
      <c r="AN284" s="4">
        <f t="shared" si="39"/>
        <v>2.4665981500513875E-3</v>
      </c>
      <c r="AO284" s="3"/>
      <c r="AP284">
        <v>0</v>
      </c>
      <c r="AR284" t="s">
        <v>0</v>
      </c>
      <c r="AT284" s="2" t="s">
        <v>32</v>
      </c>
      <c r="AU284" s="1">
        <f t="shared" si="35"/>
        <v>3.1609416993399067</v>
      </c>
      <c r="AV284" s="1">
        <f t="shared" si="36"/>
        <v>2.3282897323871161</v>
      </c>
      <c r="AW284" s="1">
        <f t="shared" si="37"/>
        <v>1.4956377654343249</v>
      </c>
    </row>
    <row r="285" spans="1:49" x14ac:dyDescent="0.2">
      <c r="A285">
        <v>283</v>
      </c>
      <c r="B285" t="s">
        <v>5235</v>
      </c>
      <c r="C285" t="s">
        <v>5234</v>
      </c>
      <c r="F285" t="s">
        <v>5233</v>
      </c>
      <c r="G285" t="s">
        <v>14</v>
      </c>
      <c r="H285" t="s">
        <v>13</v>
      </c>
      <c r="I285" t="s">
        <v>5232</v>
      </c>
      <c r="J285">
        <v>60101699</v>
      </c>
      <c r="K285" t="s">
        <v>5231</v>
      </c>
      <c r="L285" t="s">
        <v>549</v>
      </c>
      <c r="M285" t="s">
        <v>524</v>
      </c>
      <c r="N285">
        <v>4</v>
      </c>
      <c r="O285" t="s">
        <v>5230</v>
      </c>
      <c r="P285" t="s">
        <v>5229</v>
      </c>
      <c r="Q285" t="s">
        <v>5228</v>
      </c>
      <c r="R285" s="7">
        <v>31778</v>
      </c>
      <c r="S285" s="8">
        <f t="shared" si="32"/>
        <v>1987</v>
      </c>
      <c r="T285" s="8">
        <v>1987</v>
      </c>
      <c r="U285" s="8">
        <f t="shared" si="33"/>
        <v>35</v>
      </c>
      <c r="V285" s="7">
        <v>1987</v>
      </c>
      <c r="W285" t="s">
        <v>1909</v>
      </c>
      <c r="X285" s="2">
        <v>0.111</v>
      </c>
      <c r="Y285" s="6">
        <f t="shared" si="38"/>
        <v>2.9630816048690639E-3</v>
      </c>
      <c r="AA285">
        <v>87566621</v>
      </c>
      <c r="AB285">
        <v>24890</v>
      </c>
      <c r="AC285">
        <v>15206424</v>
      </c>
      <c r="AD285" t="s">
        <v>4</v>
      </c>
      <c r="AE285">
        <v>70</v>
      </c>
      <c r="AF285">
        <v>12</v>
      </c>
      <c r="AH285" t="s">
        <v>2914</v>
      </c>
      <c r="AI285" t="s">
        <v>5227</v>
      </c>
      <c r="AK285" t="s">
        <v>5226</v>
      </c>
      <c r="AL285">
        <v>1</v>
      </c>
      <c r="AM285" s="5">
        <f t="shared" si="34"/>
        <v>2.8571428571428571E-2</v>
      </c>
      <c r="AN285" s="4">
        <f t="shared" si="39"/>
        <v>4.32736517552875E-5</v>
      </c>
      <c r="AO285" s="3"/>
      <c r="AP285">
        <v>0</v>
      </c>
      <c r="AR285" t="s">
        <v>0</v>
      </c>
      <c r="AT285" s="2" t="s">
        <v>32</v>
      </c>
      <c r="AU285" s="1">
        <f t="shared" si="35"/>
        <v>0.20871392189349305</v>
      </c>
      <c r="AV285" s="1">
        <f t="shared" si="36"/>
        <v>0.15031776283121759</v>
      </c>
      <c r="AW285" s="1">
        <f t="shared" si="37"/>
        <v>9.1921603768942026E-2</v>
      </c>
    </row>
    <row r="286" spans="1:49" x14ac:dyDescent="0.2">
      <c r="A286">
        <v>284</v>
      </c>
      <c r="B286" t="s">
        <v>5225</v>
      </c>
      <c r="C286" t="s">
        <v>5224</v>
      </c>
      <c r="F286" t="s">
        <v>5223</v>
      </c>
      <c r="G286" t="s">
        <v>14</v>
      </c>
      <c r="H286" t="s">
        <v>13</v>
      </c>
      <c r="I286" t="s">
        <v>5222</v>
      </c>
      <c r="J286">
        <v>60015457</v>
      </c>
      <c r="K286" t="s">
        <v>5221</v>
      </c>
      <c r="L286" t="s">
        <v>5220</v>
      </c>
      <c r="M286" t="s">
        <v>9</v>
      </c>
      <c r="N286">
        <v>2</v>
      </c>
      <c r="O286" t="s">
        <v>5219</v>
      </c>
      <c r="P286" t="s">
        <v>5218</v>
      </c>
      <c r="Q286" t="s">
        <v>5217</v>
      </c>
      <c r="R286" s="7">
        <v>31778</v>
      </c>
      <c r="S286" s="8">
        <f t="shared" si="32"/>
        <v>1987</v>
      </c>
      <c r="T286" s="8">
        <v>1987</v>
      </c>
      <c r="U286" s="8">
        <f t="shared" si="33"/>
        <v>35</v>
      </c>
      <c r="V286" s="7" t="s">
        <v>4998</v>
      </c>
      <c r="W286" t="s">
        <v>2815</v>
      </c>
      <c r="X286" s="2">
        <v>1.1779999999999999</v>
      </c>
      <c r="Y286" s="6">
        <f t="shared" si="38"/>
        <v>3.1446037212033845E-2</v>
      </c>
      <c r="AA286">
        <v>168033</v>
      </c>
      <c r="AB286">
        <v>27965</v>
      </c>
      <c r="AD286" t="s">
        <v>4</v>
      </c>
      <c r="AE286">
        <v>52</v>
      </c>
      <c r="AF286">
        <v>12</v>
      </c>
      <c r="AH286" t="s">
        <v>5216</v>
      </c>
      <c r="AI286" t="s">
        <v>5215</v>
      </c>
      <c r="AK286" t="s">
        <v>5214</v>
      </c>
      <c r="AL286">
        <v>7</v>
      </c>
      <c r="AM286" s="5">
        <f t="shared" si="34"/>
        <v>0.2</v>
      </c>
      <c r="AN286" s="4">
        <f t="shared" si="39"/>
        <v>3.0291556228701253E-4</v>
      </c>
      <c r="AO286" s="3"/>
      <c r="AP286">
        <v>0</v>
      </c>
      <c r="AR286" t="s">
        <v>0</v>
      </c>
      <c r="AT286" s="2">
        <v>2.9279999999999999</v>
      </c>
      <c r="AU286" s="1">
        <f t="shared" si="35"/>
        <v>2.2103100717109796</v>
      </c>
      <c r="AV286" s="1">
        <f t="shared" si="36"/>
        <v>1.5874476387160428</v>
      </c>
      <c r="AW286" s="1">
        <f t="shared" si="37"/>
        <v>0.96458520572110618</v>
      </c>
    </row>
    <row r="287" spans="1:49" x14ac:dyDescent="0.2">
      <c r="A287">
        <v>285</v>
      </c>
      <c r="B287" t="s">
        <v>5213</v>
      </c>
      <c r="C287" t="s">
        <v>5212</v>
      </c>
      <c r="F287" t="s">
        <v>5211</v>
      </c>
      <c r="G287" t="s">
        <v>14</v>
      </c>
      <c r="H287" t="s">
        <v>13</v>
      </c>
      <c r="I287" t="s">
        <v>3030</v>
      </c>
      <c r="N287">
        <v>1</v>
      </c>
      <c r="O287" t="s">
        <v>5210</v>
      </c>
      <c r="P287">
        <v>24512080300</v>
      </c>
      <c r="R287" s="7">
        <v>31778</v>
      </c>
      <c r="S287" s="8">
        <f t="shared" si="32"/>
        <v>1987</v>
      </c>
      <c r="T287" s="8">
        <v>1987</v>
      </c>
      <c r="U287" s="8">
        <f t="shared" si="33"/>
        <v>35</v>
      </c>
      <c r="V287" s="7" t="s">
        <v>4998</v>
      </c>
      <c r="W287" s="11" t="s">
        <v>1382</v>
      </c>
      <c r="X287" s="2">
        <v>2.383</v>
      </c>
      <c r="Y287" s="6">
        <f t="shared" si="38"/>
        <v>6.3612824003630442E-2</v>
      </c>
      <c r="AA287" t="s">
        <v>1381</v>
      </c>
      <c r="AB287">
        <v>101151</v>
      </c>
      <c r="AD287" t="s">
        <v>4</v>
      </c>
      <c r="AE287">
        <v>134</v>
      </c>
      <c r="AF287">
        <v>6</v>
      </c>
      <c r="AH287" t="s">
        <v>5209</v>
      </c>
      <c r="AI287" t="s">
        <v>5208</v>
      </c>
      <c r="AK287" t="s">
        <v>5207</v>
      </c>
      <c r="AL287">
        <v>10</v>
      </c>
      <c r="AM287" s="5">
        <f t="shared" si="34"/>
        <v>0.2857142857142857</v>
      </c>
      <c r="AN287" s="4">
        <f t="shared" si="39"/>
        <v>4.3273651755287499E-4</v>
      </c>
      <c r="AO287" s="3"/>
      <c r="AP287">
        <v>0</v>
      </c>
      <c r="AR287" t="s">
        <v>0</v>
      </c>
      <c r="AT287" s="2" t="s">
        <v>32</v>
      </c>
      <c r="AU287" s="1">
        <f t="shared" si="35"/>
        <v>4.4658797757807172</v>
      </c>
      <c r="AV287" s="1">
        <f t="shared" si="36"/>
        <v>3.2022780260591661</v>
      </c>
      <c r="AW287" s="1">
        <f t="shared" si="37"/>
        <v>1.9386762763376146</v>
      </c>
    </row>
    <row r="288" spans="1:49" x14ac:dyDescent="0.2">
      <c r="A288">
        <v>286</v>
      </c>
      <c r="B288" t="s">
        <v>5206</v>
      </c>
      <c r="F288" t="s">
        <v>5205</v>
      </c>
      <c r="G288" t="s">
        <v>14</v>
      </c>
      <c r="H288" t="s">
        <v>13</v>
      </c>
      <c r="I288" t="s">
        <v>5204</v>
      </c>
      <c r="J288">
        <v>60031707</v>
      </c>
      <c r="K288" t="s">
        <v>5203</v>
      </c>
      <c r="L288" t="s">
        <v>5202</v>
      </c>
      <c r="M288" t="s">
        <v>9</v>
      </c>
      <c r="N288">
        <v>2</v>
      </c>
      <c r="O288" t="s">
        <v>5201</v>
      </c>
      <c r="P288" t="s">
        <v>5200</v>
      </c>
      <c r="Q288" t="s">
        <v>5199</v>
      </c>
      <c r="R288" s="7">
        <v>31778</v>
      </c>
      <c r="S288" s="8">
        <f t="shared" si="32"/>
        <v>1987</v>
      </c>
      <c r="T288" s="8">
        <v>1987</v>
      </c>
      <c r="U288" s="8">
        <f t="shared" si="33"/>
        <v>35</v>
      </c>
      <c r="V288" s="7">
        <v>1987</v>
      </c>
      <c r="W288" t="s">
        <v>5198</v>
      </c>
      <c r="X288" s="2">
        <v>0.82</v>
      </c>
      <c r="Y288" s="6">
        <f t="shared" si="38"/>
        <v>2.1889431675609299E-2</v>
      </c>
      <c r="AA288">
        <v>314056</v>
      </c>
      <c r="AB288">
        <v>36093</v>
      </c>
      <c r="AD288" t="s">
        <v>4</v>
      </c>
      <c r="AE288">
        <v>30</v>
      </c>
      <c r="AF288">
        <v>4</v>
      </c>
      <c r="AH288" t="s">
        <v>5197</v>
      </c>
      <c r="AI288" t="s">
        <v>5196</v>
      </c>
      <c r="AK288" t="s">
        <v>5195</v>
      </c>
      <c r="AL288">
        <v>5</v>
      </c>
      <c r="AM288" s="5">
        <f t="shared" si="34"/>
        <v>0.14285714285714285</v>
      </c>
      <c r="AN288" s="4">
        <f t="shared" si="39"/>
        <v>2.1636825877643749E-4</v>
      </c>
      <c r="AO288" s="3"/>
      <c r="AP288">
        <v>0</v>
      </c>
      <c r="AR288" t="s">
        <v>0</v>
      </c>
      <c r="AT288" s="2">
        <v>1.8120000000000001</v>
      </c>
      <c r="AU288" s="1">
        <f t="shared" si="35"/>
        <v>1.5387512650559438</v>
      </c>
      <c r="AV288" s="1">
        <f t="shared" si="36"/>
        <v>1.1052899967192866</v>
      </c>
      <c r="AW288" s="1">
        <f t="shared" si="37"/>
        <v>0.67182872838262953</v>
      </c>
    </row>
    <row r="289" spans="1:49" x14ac:dyDescent="0.2">
      <c r="A289">
        <v>287</v>
      </c>
      <c r="B289" t="s">
        <v>5194</v>
      </c>
      <c r="C289" t="s">
        <v>5193</v>
      </c>
      <c r="F289" t="s">
        <v>5192</v>
      </c>
      <c r="G289" t="s">
        <v>14</v>
      </c>
      <c r="H289" t="s">
        <v>13</v>
      </c>
      <c r="I289" t="s">
        <v>5191</v>
      </c>
      <c r="J289">
        <v>60082728</v>
      </c>
      <c r="K289" t="s">
        <v>5190</v>
      </c>
      <c r="L289" t="s">
        <v>5189</v>
      </c>
      <c r="M289" t="s">
        <v>524</v>
      </c>
      <c r="N289">
        <v>1</v>
      </c>
      <c r="O289" t="s">
        <v>5188</v>
      </c>
      <c r="P289">
        <v>57189012609</v>
      </c>
      <c r="Q289">
        <v>60082728</v>
      </c>
      <c r="R289" s="7">
        <v>31778</v>
      </c>
      <c r="S289" s="8">
        <f t="shared" si="32"/>
        <v>1987</v>
      </c>
      <c r="T289" s="8">
        <v>1987</v>
      </c>
      <c r="U289" s="8">
        <f t="shared" si="33"/>
        <v>35</v>
      </c>
      <c r="V289" s="7">
        <v>1987</v>
      </c>
      <c r="W289" t="s">
        <v>5187</v>
      </c>
      <c r="X289" s="2" t="s">
        <v>32</v>
      </c>
      <c r="Y289" s="6" t="e">
        <f t="shared" si="38"/>
        <v>#VALUE!</v>
      </c>
      <c r="AA289" t="s">
        <v>5186</v>
      </c>
      <c r="AB289">
        <v>36560</v>
      </c>
      <c r="AD289" t="s">
        <v>4</v>
      </c>
      <c r="AE289">
        <v>62</v>
      </c>
      <c r="AF289">
        <v>6</v>
      </c>
      <c r="AH289" t="s">
        <v>5185</v>
      </c>
      <c r="AI289" t="s">
        <v>5184</v>
      </c>
      <c r="AK289" t="s">
        <v>5183</v>
      </c>
      <c r="AL289">
        <v>0</v>
      </c>
      <c r="AM289" s="5">
        <f t="shared" si="34"/>
        <v>0</v>
      </c>
      <c r="AN289" s="4">
        <f t="shared" si="39"/>
        <v>0</v>
      </c>
      <c r="AO289" s="3"/>
      <c r="AP289">
        <v>1</v>
      </c>
      <c r="AR289" t="s">
        <v>0</v>
      </c>
      <c r="AT289" s="2" t="s">
        <v>32</v>
      </c>
      <c r="AU289" s="1" t="e">
        <f t="shared" si="35"/>
        <v>#VALUE!</v>
      </c>
      <c r="AV289" s="1" t="e">
        <f t="shared" si="36"/>
        <v>#VALUE!</v>
      </c>
      <c r="AW289" s="1" t="e">
        <f t="shared" si="37"/>
        <v>#VALUE!</v>
      </c>
    </row>
    <row r="290" spans="1:49" x14ac:dyDescent="0.2">
      <c r="A290">
        <v>288</v>
      </c>
      <c r="B290" t="s">
        <v>5182</v>
      </c>
      <c r="C290" t="s">
        <v>5181</v>
      </c>
      <c r="E290">
        <v>3329865</v>
      </c>
      <c r="F290" t="s">
        <v>5180</v>
      </c>
      <c r="G290" t="s">
        <v>14</v>
      </c>
      <c r="H290" t="s">
        <v>13</v>
      </c>
      <c r="I290" t="s">
        <v>5179</v>
      </c>
      <c r="J290">
        <v>60001844</v>
      </c>
      <c r="K290" t="s">
        <v>5178</v>
      </c>
      <c r="L290" t="s">
        <v>1752</v>
      </c>
      <c r="M290" t="s">
        <v>9</v>
      </c>
      <c r="N290">
        <v>6</v>
      </c>
      <c r="O290" t="s">
        <v>5177</v>
      </c>
      <c r="P290" t="s">
        <v>5176</v>
      </c>
      <c r="Q290" t="s">
        <v>5175</v>
      </c>
      <c r="R290" s="7">
        <v>31778</v>
      </c>
      <c r="S290" s="8">
        <f t="shared" si="32"/>
        <v>1987</v>
      </c>
      <c r="T290" s="8">
        <v>1987</v>
      </c>
      <c r="U290" s="8">
        <f t="shared" si="33"/>
        <v>35</v>
      </c>
      <c r="V290" s="7">
        <v>1987</v>
      </c>
      <c r="W290" t="s">
        <v>5174</v>
      </c>
      <c r="X290" s="2" t="s">
        <v>32</v>
      </c>
      <c r="Y290" s="6" t="e">
        <f t="shared" si="38"/>
        <v>#VALUE!</v>
      </c>
      <c r="AA290">
        <v>3022773</v>
      </c>
      <c r="AB290">
        <v>37312</v>
      </c>
      <c r="AD290" t="s">
        <v>4</v>
      </c>
      <c r="AE290">
        <v>50</v>
      </c>
      <c r="AF290" s="9">
        <v>44348</v>
      </c>
      <c r="AH290" t="s">
        <v>5173</v>
      </c>
      <c r="AI290" t="s">
        <v>5172</v>
      </c>
      <c r="AK290" t="s">
        <v>5171</v>
      </c>
      <c r="AL290">
        <v>15</v>
      </c>
      <c r="AM290" s="5">
        <f t="shared" si="34"/>
        <v>0.42857142857142855</v>
      </c>
      <c r="AN290" s="4">
        <f t="shared" si="39"/>
        <v>6.4910477632931242E-4</v>
      </c>
      <c r="AO290" s="3"/>
      <c r="AP290">
        <v>0</v>
      </c>
      <c r="AQ290" t="s">
        <v>5170</v>
      </c>
      <c r="AR290" t="s">
        <v>5169</v>
      </c>
      <c r="AS290" t="s">
        <v>5168</v>
      </c>
      <c r="AT290" s="2" t="s">
        <v>32</v>
      </c>
      <c r="AU290" s="1" t="e">
        <f t="shared" si="35"/>
        <v>#VALUE!</v>
      </c>
      <c r="AV290" s="1" t="e">
        <f t="shared" si="36"/>
        <v>#VALUE!</v>
      </c>
      <c r="AW290" s="1" t="e">
        <f t="shared" si="37"/>
        <v>#VALUE!</v>
      </c>
    </row>
    <row r="291" spans="1:49" x14ac:dyDescent="0.2">
      <c r="A291">
        <v>289</v>
      </c>
      <c r="B291" t="s">
        <v>5167</v>
      </c>
      <c r="C291" t="s">
        <v>5166</v>
      </c>
      <c r="F291" t="s">
        <v>5165</v>
      </c>
      <c r="G291" t="s">
        <v>14</v>
      </c>
      <c r="H291" t="s">
        <v>13</v>
      </c>
      <c r="I291" t="s">
        <v>5164</v>
      </c>
      <c r="J291">
        <v>60017293</v>
      </c>
      <c r="K291" t="s">
        <v>3696</v>
      </c>
      <c r="L291" t="s">
        <v>3695</v>
      </c>
      <c r="M291" t="s">
        <v>3694</v>
      </c>
      <c r="N291">
        <v>2</v>
      </c>
      <c r="O291" t="s">
        <v>5163</v>
      </c>
      <c r="P291" t="s">
        <v>5162</v>
      </c>
      <c r="Q291" t="s">
        <v>5161</v>
      </c>
      <c r="R291" s="7">
        <v>31778</v>
      </c>
      <c r="S291" s="8">
        <f t="shared" si="32"/>
        <v>1987</v>
      </c>
      <c r="T291" s="8">
        <v>1987</v>
      </c>
      <c r="U291" s="8">
        <f t="shared" si="33"/>
        <v>35</v>
      </c>
      <c r="V291" s="7">
        <v>32112</v>
      </c>
      <c r="W291" t="s">
        <v>336</v>
      </c>
      <c r="X291" s="2">
        <v>1.6519999999999999</v>
      </c>
      <c r="Y291" s="6">
        <f t="shared" si="38"/>
        <v>4.409919649769093E-2</v>
      </c>
      <c r="AA291" t="s">
        <v>335</v>
      </c>
      <c r="AB291">
        <v>17337</v>
      </c>
      <c r="AC291">
        <v>15582221</v>
      </c>
      <c r="AD291" t="s">
        <v>4</v>
      </c>
      <c r="AE291">
        <v>35</v>
      </c>
      <c r="AF291">
        <v>12</v>
      </c>
      <c r="AH291" t="s">
        <v>5160</v>
      </c>
      <c r="AI291" t="s">
        <v>5159</v>
      </c>
      <c r="AK291" t="s">
        <v>5158</v>
      </c>
      <c r="AL291">
        <v>343</v>
      </c>
      <c r="AM291" s="5">
        <f t="shared" si="34"/>
        <v>9.8000000000000007</v>
      </c>
      <c r="AN291" s="4">
        <f t="shared" si="39"/>
        <v>1.4842862552063614E-2</v>
      </c>
      <c r="AO291" s="3"/>
      <c r="AP291">
        <v>0</v>
      </c>
      <c r="AR291" t="s">
        <v>0</v>
      </c>
      <c r="AT291" s="2" t="s">
        <v>32</v>
      </c>
      <c r="AU291" s="1">
        <f t="shared" si="35"/>
        <v>3.5322296314002735</v>
      </c>
      <c r="AV291" s="1">
        <f t="shared" si="36"/>
        <v>2.9471029524877275</v>
      </c>
      <c r="AW291" s="1">
        <f t="shared" si="37"/>
        <v>2.361976273575181</v>
      </c>
    </row>
    <row r="292" spans="1:49" x14ac:dyDescent="0.2">
      <c r="A292">
        <v>290</v>
      </c>
      <c r="B292" t="s">
        <v>5157</v>
      </c>
      <c r="C292" t="s">
        <v>5156</v>
      </c>
      <c r="F292" t="s">
        <v>5155</v>
      </c>
      <c r="G292" t="s">
        <v>14</v>
      </c>
      <c r="H292" t="s">
        <v>13</v>
      </c>
      <c r="I292" t="s">
        <v>2789</v>
      </c>
      <c r="J292">
        <v>60025555</v>
      </c>
      <c r="K292" t="s">
        <v>550</v>
      </c>
      <c r="L292" t="s">
        <v>549</v>
      </c>
      <c r="M292" t="s">
        <v>524</v>
      </c>
      <c r="N292">
        <v>4</v>
      </c>
      <c r="O292" t="s">
        <v>2788</v>
      </c>
      <c r="P292" t="s">
        <v>2787</v>
      </c>
      <c r="Q292" t="s">
        <v>5154</v>
      </c>
      <c r="R292" s="7">
        <v>31778</v>
      </c>
      <c r="S292" s="8">
        <f t="shared" si="32"/>
        <v>1987</v>
      </c>
      <c r="T292" s="8">
        <v>1987</v>
      </c>
      <c r="U292" s="8">
        <f t="shared" si="33"/>
        <v>35</v>
      </c>
      <c r="V292" s="7" t="s">
        <v>4998</v>
      </c>
      <c r="W292" t="s">
        <v>5153</v>
      </c>
      <c r="X292" s="2" t="s">
        <v>32</v>
      </c>
      <c r="Y292" s="6" t="e">
        <f t="shared" si="38"/>
        <v>#VALUE!</v>
      </c>
      <c r="AA292" t="s">
        <v>5152</v>
      </c>
      <c r="AB292">
        <v>32564</v>
      </c>
      <c r="AD292" t="s">
        <v>4</v>
      </c>
      <c r="AE292">
        <v>30</v>
      </c>
      <c r="AF292">
        <v>270</v>
      </c>
      <c r="AH292" t="s">
        <v>5151</v>
      </c>
      <c r="AI292" t="s">
        <v>5150</v>
      </c>
      <c r="AK292" t="s">
        <v>5149</v>
      </c>
      <c r="AL292">
        <v>1</v>
      </c>
      <c r="AM292" s="5">
        <f t="shared" si="34"/>
        <v>2.8571428571428571E-2</v>
      </c>
      <c r="AN292" s="4">
        <f t="shared" si="39"/>
        <v>4.32736517552875E-5</v>
      </c>
      <c r="AO292" s="3"/>
      <c r="AP292">
        <v>1</v>
      </c>
      <c r="AR292" t="s">
        <v>0</v>
      </c>
      <c r="AT292" s="2" t="s">
        <v>32</v>
      </c>
      <c r="AU292" s="1" t="e">
        <f t="shared" si="35"/>
        <v>#VALUE!</v>
      </c>
      <c r="AV292" s="1" t="e">
        <f t="shared" si="36"/>
        <v>#VALUE!</v>
      </c>
      <c r="AW292" s="1" t="e">
        <f t="shared" si="37"/>
        <v>#VALUE!</v>
      </c>
    </row>
    <row r="293" spans="1:49" x14ac:dyDescent="0.2">
      <c r="A293">
        <v>291</v>
      </c>
      <c r="B293" t="s">
        <v>5148</v>
      </c>
      <c r="C293" t="s">
        <v>5147</v>
      </c>
      <c r="F293" t="s">
        <v>5146</v>
      </c>
      <c r="G293" t="s">
        <v>14</v>
      </c>
      <c r="H293" t="s">
        <v>13</v>
      </c>
      <c r="I293" t="s">
        <v>5145</v>
      </c>
      <c r="J293">
        <v>60003088</v>
      </c>
      <c r="K293" t="s">
        <v>5144</v>
      </c>
      <c r="L293" t="s">
        <v>511</v>
      </c>
      <c r="M293" t="s">
        <v>9</v>
      </c>
      <c r="N293">
        <v>1</v>
      </c>
      <c r="O293" t="s">
        <v>5143</v>
      </c>
      <c r="P293">
        <v>7006218526</v>
      </c>
      <c r="Q293">
        <v>60003088</v>
      </c>
      <c r="R293" s="7">
        <v>31778</v>
      </c>
      <c r="S293" s="8">
        <f t="shared" si="32"/>
        <v>1987</v>
      </c>
      <c r="T293" s="8">
        <v>1987</v>
      </c>
      <c r="U293" s="8">
        <f t="shared" si="33"/>
        <v>35</v>
      </c>
      <c r="V293" s="7">
        <v>32112</v>
      </c>
      <c r="W293" t="s">
        <v>336</v>
      </c>
      <c r="X293" s="2">
        <v>1.6519999999999999</v>
      </c>
      <c r="Y293" s="6">
        <f t="shared" si="38"/>
        <v>4.409919649769093E-2</v>
      </c>
      <c r="AA293" t="s">
        <v>335</v>
      </c>
      <c r="AB293">
        <v>17337</v>
      </c>
      <c r="AC293">
        <v>15582221</v>
      </c>
      <c r="AD293" t="s">
        <v>4</v>
      </c>
      <c r="AE293">
        <v>35</v>
      </c>
      <c r="AF293">
        <v>12</v>
      </c>
      <c r="AH293" t="s">
        <v>5142</v>
      </c>
      <c r="AI293" t="s">
        <v>5141</v>
      </c>
      <c r="AK293" t="s">
        <v>5140</v>
      </c>
      <c r="AL293">
        <v>3</v>
      </c>
      <c r="AM293" s="5">
        <f t="shared" si="34"/>
        <v>8.5714285714285715E-2</v>
      </c>
      <c r="AN293" s="4">
        <f t="shared" si="39"/>
        <v>1.2982095526586251E-4</v>
      </c>
      <c r="AO293" s="3"/>
      <c r="AP293">
        <v>0</v>
      </c>
      <c r="AR293" t="s">
        <v>0</v>
      </c>
      <c r="AT293" s="2" t="s">
        <v>32</v>
      </c>
      <c r="AU293" s="1">
        <f t="shared" si="35"/>
        <v>3.0908383834963407</v>
      </c>
      <c r="AV293" s="1">
        <f t="shared" si="36"/>
        <v>2.2114508726478395</v>
      </c>
      <c r="AW293" s="1">
        <f t="shared" si="37"/>
        <v>1.3320633617993383</v>
      </c>
    </row>
    <row r="294" spans="1:49" x14ac:dyDescent="0.2">
      <c r="A294">
        <v>292</v>
      </c>
      <c r="B294" t="s">
        <v>5139</v>
      </c>
      <c r="C294" t="s">
        <v>5138</v>
      </c>
      <c r="F294" t="s">
        <v>5137</v>
      </c>
      <c r="G294" t="s">
        <v>14</v>
      </c>
      <c r="H294" t="s">
        <v>13</v>
      </c>
      <c r="I294" t="s">
        <v>5136</v>
      </c>
      <c r="J294">
        <v>60023053</v>
      </c>
      <c r="K294" t="s">
        <v>1165</v>
      </c>
      <c r="L294" t="s">
        <v>1164</v>
      </c>
      <c r="M294" t="s">
        <v>9</v>
      </c>
      <c r="N294">
        <v>1</v>
      </c>
      <c r="O294" t="s">
        <v>5135</v>
      </c>
      <c r="P294">
        <v>55457217400</v>
      </c>
      <c r="Q294">
        <v>60023053</v>
      </c>
      <c r="R294" s="7">
        <v>31778</v>
      </c>
      <c r="S294" s="8">
        <f t="shared" si="32"/>
        <v>1987</v>
      </c>
      <c r="T294" s="8">
        <v>1987</v>
      </c>
      <c r="U294" s="8">
        <f t="shared" si="33"/>
        <v>35</v>
      </c>
      <c r="V294" s="7">
        <v>32112</v>
      </c>
      <c r="W294" t="s">
        <v>336</v>
      </c>
      <c r="X294" s="2">
        <v>1.6519999999999999</v>
      </c>
      <c r="Y294" s="6">
        <f t="shared" si="38"/>
        <v>4.409919649769093E-2</v>
      </c>
      <c r="AA294" t="s">
        <v>335</v>
      </c>
      <c r="AB294">
        <v>17337</v>
      </c>
      <c r="AC294">
        <v>15582221</v>
      </c>
      <c r="AD294" t="s">
        <v>4</v>
      </c>
      <c r="AE294">
        <v>35</v>
      </c>
      <c r="AF294">
        <v>12</v>
      </c>
      <c r="AH294" t="s">
        <v>5134</v>
      </c>
      <c r="AI294" t="s">
        <v>5133</v>
      </c>
      <c r="AK294" t="s">
        <v>5132</v>
      </c>
      <c r="AL294">
        <v>6</v>
      </c>
      <c r="AM294" s="5">
        <f t="shared" si="34"/>
        <v>0.17142857142857143</v>
      </c>
      <c r="AN294" s="4">
        <f t="shared" si="39"/>
        <v>2.5964191053172501E-4</v>
      </c>
      <c r="AO294" s="3"/>
      <c r="AP294">
        <v>0</v>
      </c>
      <c r="AR294" t="s">
        <v>0</v>
      </c>
      <c r="AT294" s="2" t="s">
        <v>32</v>
      </c>
      <c r="AU294" s="1">
        <f t="shared" si="35"/>
        <v>3.0947330121543168</v>
      </c>
      <c r="AV294" s="1">
        <f t="shared" si="36"/>
        <v>2.2179419204111328</v>
      </c>
      <c r="AW294" s="1">
        <f t="shared" si="37"/>
        <v>1.3411508286679485</v>
      </c>
    </row>
    <row r="295" spans="1:49" x14ac:dyDescent="0.2">
      <c r="A295">
        <v>293</v>
      </c>
      <c r="B295" t="s">
        <v>5131</v>
      </c>
      <c r="C295" t="s">
        <v>5130</v>
      </c>
      <c r="F295" t="s">
        <v>5129</v>
      </c>
      <c r="G295" t="s">
        <v>14</v>
      </c>
      <c r="H295" t="s">
        <v>13</v>
      </c>
      <c r="I295" t="s">
        <v>5128</v>
      </c>
      <c r="J295">
        <v>60103907</v>
      </c>
      <c r="K295" t="s">
        <v>5127</v>
      </c>
      <c r="L295" t="s">
        <v>549</v>
      </c>
      <c r="M295" t="s">
        <v>524</v>
      </c>
      <c r="N295">
        <v>5</v>
      </c>
      <c r="O295" t="s">
        <v>5126</v>
      </c>
      <c r="P295" t="s">
        <v>5125</v>
      </c>
      <c r="Q295" t="s">
        <v>5124</v>
      </c>
      <c r="R295" s="7">
        <v>31778</v>
      </c>
      <c r="S295" s="8">
        <f t="shared" ref="S295:S358" si="40">YEAR(R295)</f>
        <v>1987</v>
      </c>
      <c r="T295" s="8">
        <v>1987</v>
      </c>
      <c r="U295" s="8">
        <f t="shared" ref="U295:U358" si="41">2022-T295</f>
        <v>35</v>
      </c>
      <c r="V295" s="7">
        <v>32112</v>
      </c>
      <c r="W295" t="s">
        <v>2219</v>
      </c>
      <c r="X295" s="2">
        <v>0.78200000000000003</v>
      </c>
      <c r="Y295" s="6">
        <f t="shared" si="38"/>
        <v>2.0875043378446919E-2</v>
      </c>
      <c r="AA295">
        <v>189316</v>
      </c>
      <c r="AB295">
        <v>19901</v>
      </c>
      <c r="AC295">
        <v>15579611</v>
      </c>
      <c r="AD295" t="s">
        <v>4</v>
      </c>
      <c r="AE295" t="s">
        <v>2218</v>
      </c>
      <c r="AF295">
        <v>4</v>
      </c>
      <c r="AH295" t="s">
        <v>5123</v>
      </c>
      <c r="AI295" t="s">
        <v>5122</v>
      </c>
      <c r="AK295" t="s">
        <v>5121</v>
      </c>
      <c r="AL295">
        <v>54</v>
      </c>
      <c r="AM295" s="5">
        <f t="shared" ref="AM295:AM358" si="42">AL295/U295</f>
        <v>1.5428571428571429</v>
      </c>
      <c r="AN295" s="4">
        <f t="shared" si="39"/>
        <v>2.3367771947855249E-3</v>
      </c>
      <c r="AO295" s="3"/>
      <c r="AP295">
        <v>0</v>
      </c>
      <c r="AR295" t="s">
        <v>0</v>
      </c>
      <c r="AT295" s="2">
        <v>3.863</v>
      </c>
      <c r="AU295" s="1">
        <f t="shared" ref="AU295:AU358" si="43">(Y295*0.7+AN295*0.3)*100</f>
        <v>1.5313563523348499</v>
      </c>
      <c r="AV295" s="1">
        <f t="shared" ref="AV295:AV358" si="44">(Y295*0.5+AN295*0.5)*100</f>
        <v>1.1605910286616223</v>
      </c>
      <c r="AW295" s="1">
        <f t="shared" ref="AW295:AW358" si="45">(Y295*0.3+AN295*0.7)*100</f>
        <v>0.78982570498839433</v>
      </c>
    </row>
    <row r="296" spans="1:49" x14ac:dyDescent="0.2">
      <c r="A296">
        <v>294</v>
      </c>
      <c r="B296" t="s">
        <v>5120</v>
      </c>
      <c r="C296" t="s">
        <v>5119</v>
      </c>
      <c r="F296" t="s">
        <v>5118</v>
      </c>
      <c r="G296" t="s">
        <v>14</v>
      </c>
      <c r="H296" t="s">
        <v>13</v>
      </c>
      <c r="I296" t="s">
        <v>5117</v>
      </c>
      <c r="J296">
        <v>100447075</v>
      </c>
      <c r="K296" t="s">
        <v>5116</v>
      </c>
      <c r="L296" t="s">
        <v>5115</v>
      </c>
      <c r="M296" t="s">
        <v>1384</v>
      </c>
      <c r="N296">
        <v>1</v>
      </c>
      <c r="O296" t="s">
        <v>5114</v>
      </c>
      <c r="P296">
        <v>7404472593</v>
      </c>
      <c r="Q296">
        <v>100447075</v>
      </c>
      <c r="R296" s="7">
        <v>31778</v>
      </c>
      <c r="S296" s="8">
        <f t="shared" si="40"/>
        <v>1987</v>
      </c>
      <c r="T296" s="8">
        <v>1987</v>
      </c>
      <c r="U296" s="8">
        <f t="shared" si="41"/>
        <v>35</v>
      </c>
      <c r="V296" s="7">
        <v>1987</v>
      </c>
      <c r="W296" s="11" t="s">
        <v>1483</v>
      </c>
      <c r="X296" s="2">
        <v>2.383</v>
      </c>
      <c r="Y296" s="6">
        <f t="shared" si="38"/>
        <v>6.3612824003630442E-2</v>
      </c>
      <c r="AA296">
        <v>1437070</v>
      </c>
      <c r="AB296">
        <v>39742</v>
      </c>
      <c r="AD296" t="s">
        <v>4</v>
      </c>
      <c r="AE296">
        <v>134</v>
      </c>
      <c r="AF296">
        <v>7</v>
      </c>
      <c r="AH296" t="s">
        <v>5113</v>
      </c>
      <c r="AI296" t="s">
        <v>5112</v>
      </c>
      <c r="AJ296" t="s">
        <v>5111</v>
      </c>
      <c r="AK296" t="s">
        <v>5110</v>
      </c>
      <c r="AL296">
        <v>0</v>
      </c>
      <c r="AM296" s="5">
        <f t="shared" si="42"/>
        <v>0</v>
      </c>
      <c r="AN296" s="4">
        <f t="shared" si="39"/>
        <v>0</v>
      </c>
      <c r="AO296" s="3"/>
      <c r="AP296">
        <v>0</v>
      </c>
      <c r="AR296" t="s">
        <v>0</v>
      </c>
      <c r="AT296" s="2" t="s">
        <v>32</v>
      </c>
      <c r="AU296" s="1">
        <f t="shared" si="43"/>
        <v>4.4528976802541305</v>
      </c>
      <c r="AV296" s="1">
        <f t="shared" si="44"/>
        <v>3.1806412001815221</v>
      </c>
      <c r="AW296" s="1">
        <f t="shared" si="45"/>
        <v>1.9083847201089132</v>
      </c>
    </row>
    <row r="297" spans="1:49" x14ac:dyDescent="0.2">
      <c r="A297">
        <v>295</v>
      </c>
      <c r="B297" t="s">
        <v>5109</v>
      </c>
      <c r="C297" t="s">
        <v>5108</v>
      </c>
      <c r="F297" t="s">
        <v>5107</v>
      </c>
      <c r="G297" t="s">
        <v>14</v>
      </c>
      <c r="H297" t="s">
        <v>13</v>
      </c>
      <c r="I297" t="s">
        <v>5106</v>
      </c>
      <c r="J297" t="s">
        <v>5105</v>
      </c>
      <c r="K297" t="s">
        <v>5104</v>
      </c>
      <c r="L297" t="s">
        <v>5103</v>
      </c>
      <c r="M297" t="s">
        <v>2207</v>
      </c>
      <c r="N297">
        <v>2</v>
      </c>
      <c r="O297" t="s">
        <v>5102</v>
      </c>
      <c r="P297" t="s">
        <v>5101</v>
      </c>
      <c r="Q297" t="s">
        <v>5100</v>
      </c>
      <c r="R297" s="7">
        <v>31778</v>
      </c>
      <c r="S297" s="8">
        <f t="shared" si="40"/>
        <v>1987</v>
      </c>
      <c r="T297" s="8">
        <v>1987</v>
      </c>
      <c r="U297" s="8">
        <f t="shared" si="41"/>
        <v>35</v>
      </c>
      <c r="V297" s="7">
        <v>32112</v>
      </c>
      <c r="W297" t="s">
        <v>336</v>
      </c>
      <c r="X297" s="2">
        <v>1.6519999999999999</v>
      </c>
      <c r="Y297" s="6">
        <f t="shared" si="38"/>
        <v>4.409919649769093E-2</v>
      </c>
      <c r="AA297" t="s">
        <v>335</v>
      </c>
      <c r="AB297">
        <v>17337</v>
      </c>
      <c r="AC297">
        <v>15582221</v>
      </c>
      <c r="AD297" t="s">
        <v>4</v>
      </c>
      <c r="AE297">
        <v>35</v>
      </c>
      <c r="AF297">
        <v>12</v>
      </c>
      <c r="AH297" t="s">
        <v>5099</v>
      </c>
      <c r="AI297" t="s">
        <v>5098</v>
      </c>
      <c r="AK297" t="s">
        <v>5097</v>
      </c>
      <c r="AL297">
        <v>2</v>
      </c>
      <c r="AM297" s="5">
        <f t="shared" si="42"/>
        <v>5.7142857142857141E-2</v>
      </c>
      <c r="AN297" s="4">
        <f t="shared" si="39"/>
        <v>8.6547303510575E-5</v>
      </c>
      <c r="AO297" s="3"/>
      <c r="AP297">
        <v>0</v>
      </c>
      <c r="AR297" t="s">
        <v>0</v>
      </c>
      <c r="AT297" s="2" t="s">
        <v>32</v>
      </c>
      <c r="AU297" s="1">
        <f t="shared" si="43"/>
        <v>3.0895401739436825</v>
      </c>
      <c r="AV297" s="1">
        <f t="shared" si="44"/>
        <v>2.2092871900600755</v>
      </c>
      <c r="AW297" s="1">
        <f t="shared" si="45"/>
        <v>1.3290342061764679</v>
      </c>
    </row>
    <row r="298" spans="1:49" x14ac:dyDescent="0.2">
      <c r="A298">
        <v>296</v>
      </c>
      <c r="B298" t="s">
        <v>5096</v>
      </c>
      <c r="C298" t="s">
        <v>5095</v>
      </c>
      <c r="F298" t="s">
        <v>5094</v>
      </c>
      <c r="G298" t="s">
        <v>14</v>
      </c>
      <c r="H298" t="s">
        <v>13</v>
      </c>
      <c r="I298" t="s">
        <v>5093</v>
      </c>
      <c r="J298" t="s">
        <v>5092</v>
      </c>
      <c r="K298" t="s">
        <v>5091</v>
      </c>
      <c r="L298" t="s">
        <v>5090</v>
      </c>
      <c r="M298" t="s">
        <v>2207</v>
      </c>
      <c r="N298">
        <v>2</v>
      </c>
      <c r="O298" t="s">
        <v>5089</v>
      </c>
      <c r="P298" t="s">
        <v>5088</v>
      </c>
      <c r="Q298" t="s">
        <v>5087</v>
      </c>
      <c r="R298" s="7">
        <v>31778</v>
      </c>
      <c r="S298" s="8">
        <f t="shared" si="40"/>
        <v>1987</v>
      </c>
      <c r="T298" s="8">
        <v>1987</v>
      </c>
      <c r="U298" s="8">
        <f t="shared" si="41"/>
        <v>35</v>
      </c>
      <c r="V298" s="7">
        <v>32112</v>
      </c>
      <c r="W298" t="s">
        <v>336</v>
      </c>
      <c r="X298" s="2">
        <v>1.6519999999999999</v>
      </c>
      <c r="Y298" s="6">
        <f t="shared" si="38"/>
        <v>4.409919649769093E-2</v>
      </c>
      <c r="AA298" t="s">
        <v>335</v>
      </c>
      <c r="AB298">
        <v>17337</v>
      </c>
      <c r="AC298">
        <v>15582221</v>
      </c>
      <c r="AD298" t="s">
        <v>4</v>
      </c>
      <c r="AE298">
        <v>35</v>
      </c>
      <c r="AF298">
        <v>12</v>
      </c>
      <c r="AH298" t="s">
        <v>5086</v>
      </c>
      <c r="AI298" t="s">
        <v>5085</v>
      </c>
      <c r="AK298" t="s">
        <v>5084</v>
      </c>
      <c r="AL298">
        <v>10</v>
      </c>
      <c r="AM298" s="5">
        <f t="shared" si="42"/>
        <v>0.2857142857142857</v>
      </c>
      <c r="AN298" s="4">
        <f t="shared" si="39"/>
        <v>4.3273651755287499E-4</v>
      </c>
      <c r="AO298" s="3"/>
      <c r="AP298">
        <v>0</v>
      </c>
      <c r="AR298" t="s">
        <v>0</v>
      </c>
      <c r="AT298" s="2" t="s">
        <v>32</v>
      </c>
      <c r="AU298" s="1">
        <f t="shared" si="43"/>
        <v>3.0999258503649512</v>
      </c>
      <c r="AV298" s="1">
        <f t="shared" si="44"/>
        <v>2.2265966507621902</v>
      </c>
      <c r="AW298" s="1">
        <f t="shared" si="45"/>
        <v>1.3532674511594291</v>
      </c>
    </row>
    <row r="299" spans="1:49" x14ac:dyDescent="0.2">
      <c r="A299">
        <v>297</v>
      </c>
      <c r="B299" t="s">
        <v>5083</v>
      </c>
      <c r="C299" t="s">
        <v>5082</v>
      </c>
      <c r="F299" t="s">
        <v>5081</v>
      </c>
      <c r="G299" t="s">
        <v>14</v>
      </c>
      <c r="H299" t="s">
        <v>13</v>
      </c>
      <c r="I299" t="s">
        <v>5080</v>
      </c>
      <c r="J299">
        <v>60025778</v>
      </c>
      <c r="K299" t="s">
        <v>1007</v>
      </c>
      <c r="L299" t="s">
        <v>1006</v>
      </c>
      <c r="M299" t="s">
        <v>9</v>
      </c>
      <c r="N299">
        <v>1</v>
      </c>
      <c r="O299" t="s">
        <v>5079</v>
      </c>
      <c r="P299">
        <v>7004624580</v>
      </c>
      <c r="Q299">
        <v>60025778</v>
      </c>
      <c r="R299" s="7">
        <v>31778</v>
      </c>
      <c r="S299" s="8">
        <f t="shared" si="40"/>
        <v>1987</v>
      </c>
      <c r="T299" s="8">
        <v>1987</v>
      </c>
      <c r="U299" s="8">
        <f t="shared" si="41"/>
        <v>35</v>
      </c>
      <c r="V299" s="7">
        <v>31778</v>
      </c>
      <c r="W299" t="s">
        <v>5021</v>
      </c>
      <c r="X299" s="2">
        <v>0.22500000000000001</v>
      </c>
      <c r="Y299" s="6">
        <f t="shared" si="38"/>
        <v>6.0062464963562111E-3</v>
      </c>
      <c r="AA299">
        <v>2726343</v>
      </c>
      <c r="AB299">
        <v>16128</v>
      </c>
      <c r="AC299" t="s">
        <v>5020</v>
      </c>
      <c r="AD299" t="s">
        <v>4</v>
      </c>
      <c r="AE299">
        <v>7</v>
      </c>
      <c r="AF299">
        <v>2</v>
      </c>
      <c r="AH299" t="s">
        <v>5078</v>
      </c>
      <c r="AI299" t="s">
        <v>5077</v>
      </c>
      <c r="AK299" t="s">
        <v>5076</v>
      </c>
      <c r="AL299">
        <v>3</v>
      </c>
      <c r="AM299" s="5">
        <f t="shared" si="42"/>
        <v>8.5714285714285715E-2</v>
      </c>
      <c r="AN299" s="4">
        <f t="shared" si="39"/>
        <v>1.2982095526586251E-4</v>
      </c>
      <c r="AO299" s="3"/>
      <c r="AP299">
        <v>0</v>
      </c>
      <c r="AQ299" t="s">
        <v>746</v>
      </c>
      <c r="AR299" t="s">
        <v>0</v>
      </c>
      <c r="AS299" t="s">
        <v>745</v>
      </c>
      <c r="AT299" s="2">
        <v>1.099</v>
      </c>
      <c r="AU299" s="1">
        <f t="shared" si="43"/>
        <v>0.42433188340291067</v>
      </c>
      <c r="AV299" s="1">
        <f t="shared" si="44"/>
        <v>0.30680337258110368</v>
      </c>
      <c r="AW299" s="1">
        <f t="shared" si="45"/>
        <v>0.1892748617592967</v>
      </c>
    </row>
    <row r="300" spans="1:49" x14ac:dyDescent="0.2">
      <c r="A300">
        <v>298</v>
      </c>
      <c r="B300" t="s">
        <v>5075</v>
      </c>
      <c r="C300" t="s">
        <v>5074</v>
      </c>
      <c r="F300" t="s">
        <v>5073</v>
      </c>
      <c r="G300" t="s">
        <v>14</v>
      </c>
      <c r="H300" t="s">
        <v>13</v>
      </c>
      <c r="I300" t="s">
        <v>5072</v>
      </c>
      <c r="J300">
        <v>60001439</v>
      </c>
      <c r="K300" t="s">
        <v>1721</v>
      </c>
      <c r="L300" t="s">
        <v>1720</v>
      </c>
      <c r="M300" t="s">
        <v>9</v>
      </c>
      <c r="N300">
        <v>1</v>
      </c>
      <c r="O300" t="s">
        <v>5071</v>
      </c>
      <c r="P300">
        <v>7202271239</v>
      </c>
      <c r="Q300">
        <v>60001439</v>
      </c>
      <c r="R300" s="7">
        <v>31778</v>
      </c>
      <c r="S300" s="8">
        <f t="shared" si="40"/>
        <v>1987</v>
      </c>
      <c r="T300" s="8">
        <v>1987</v>
      </c>
      <c r="U300" s="8">
        <f t="shared" si="41"/>
        <v>35</v>
      </c>
      <c r="V300" s="7">
        <v>31778</v>
      </c>
      <c r="W300" t="s">
        <v>5021</v>
      </c>
      <c r="X300" s="2">
        <v>0.22500000000000001</v>
      </c>
      <c r="Y300" s="6">
        <f t="shared" si="38"/>
        <v>6.0062464963562111E-3</v>
      </c>
      <c r="AA300">
        <v>2726343</v>
      </c>
      <c r="AB300">
        <v>16128</v>
      </c>
      <c r="AC300" t="s">
        <v>5020</v>
      </c>
      <c r="AD300" t="s">
        <v>4</v>
      </c>
      <c r="AE300">
        <v>7</v>
      </c>
      <c r="AF300">
        <v>2</v>
      </c>
      <c r="AH300" t="s">
        <v>5070</v>
      </c>
      <c r="AI300" t="s">
        <v>5069</v>
      </c>
      <c r="AK300" t="s">
        <v>5068</v>
      </c>
      <c r="AL300">
        <v>0</v>
      </c>
      <c r="AM300" s="5">
        <f t="shared" si="42"/>
        <v>0</v>
      </c>
      <c r="AN300" s="4">
        <f t="shared" si="39"/>
        <v>0</v>
      </c>
      <c r="AO300" s="3"/>
      <c r="AP300">
        <v>0</v>
      </c>
      <c r="AR300" t="s">
        <v>0</v>
      </c>
      <c r="AT300" s="2">
        <v>1.099</v>
      </c>
      <c r="AU300" s="1">
        <f t="shared" si="43"/>
        <v>0.42043725474493476</v>
      </c>
      <c r="AV300" s="1">
        <f t="shared" si="44"/>
        <v>0.30031232481781056</v>
      </c>
      <c r="AW300" s="1">
        <f t="shared" si="45"/>
        <v>0.18018739489068633</v>
      </c>
    </row>
    <row r="301" spans="1:49" x14ac:dyDescent="0.2">
      <c r="A301">
        <v>299</v>
      </c>
      <c r="B301" t="s">
        <v>5067</v>
      </c>
      <c r="C301" t="s">
        <v>5066</v>
      </c>
      <c r="F301" t="s">
        <v>5065</v>
      </c>
      <c r="G301" t="s">
        <v>14</v>
      </c>
      <c r="H301" t="s">
        <v>13</v>
      </c>
      <c r="I301" t="s">
        <v>5064</v>
      </c>
      <c r="J301" t="s">
        <v>5063</v>
      </c>
      <c r="K301" t="s">
        <v>5062</v>
      </c>
      <c r="L301" t="s">
        <v>5061</v>
      </c>
      <c r="M301" t="s">
        <v>55</v>
      </c>
      <c r="N301">
        <v>7</v>
      </c>
      <c r="O301" t="s">
        <v>5060</v>
      </c>
      <c r="P301" t="s">
        <v>5059</v>
      </c>
      <c r="Q301" t="s">
        <v>5058</v>
      </c>
      <c r="R301" s="7">
        <v>31778</v>
      </c>
      <c r="S301" s="8">
        <f t="shared" si="40"/>
        <v>1987</v>
      </c>
      <c r="T301" s="8">
        <v>1987</v>
      </c>
      <c r="U301" s="8">
        <f t="shared" si="41"/>
        <v>35</v>
      </c>
      <c r="V301" s="7">
        <v>32112</v>
      </c>
      <c r="W301" t="s">
        <v>908</v>
      </c>
      <c r="X301" s="2">
        <v>1.774</v>
      </c>
      <c r="Y301" s="6">
        <f t="shared" si="38"/>
        <v>4.7355916820159633E-2</v>
      </c>
      <c r="AA301">
        <v>295515</v>
      </c>
      <c r="AB301">
        <v>29066</v>
      </c>
      <c r="AC301">
        <v>17414326</v>
      </c>
      <c r="AD301" t="s">
        <v>4</v>
      </c>
      <c r="AE301">
        <v>27</v>
      </c>
      <c r="AF301">
        <v>12</v>
      </c>
      <c r="AH301" t="s">
        <v>5057</v>
      </c>
      <c r="AI301" t="s">
        <v>5056</v>
      </c>
      <c r="AK301" t="s">
        <v>5055</v>
      </c>
      <c r="AL301">
        <v>7</v>
      </c>
      <c r="AM301" s="5">
        <f t="shared" si="42"/>
        <v>0.2</v>
      </c>
      <c r="AN301" s="4">
        <f t="shared" si="39"/>
        <v>3.0291556228701253E-4</v>
      </c>
      <c r="AO301" s="3"/>
      <c r="AP301">
        <v>0</v>
      </c>
      <c r="AR301" t="s">
        <v>0</v>
      </c>
      <c r="AT301" s="2">
        <v>3.1789999999999998</v>
      </c>
      <c r="AU301" s="1">
        <f t="shared" si="43"/>
        <v>3.3240016442797846</v>
      </c>
      <c r="AV301" s="1">
        <f t="shared" si="44"/>
        <v>2.3829416191223323</v>
      </c>
      <c r="AW301" s="1">
        <f t="shared" si="45"/>
        <v>1.4418815939648797</v>
      </c>
    </row>
    <row r="302" spans="1:49" x14ac:dyDescent="0.2">
      <c r="A302">
        <v>300</v>
      </c>
      <c r="B302" t="s">
        <v>5054</v>
      </c>
      <c r="C302" t="s">
        <v>5053</v>
      </c>
      <c r="F302" t="s">
        <v>5052</v>
      </c>
      <c r="G302" t="s">
        <v>14</v>
      </c>
      <c r="H302" t="s">
        <v>13</v>
      </c>
      <c r="I302" t="s">
        <v>5051</v>
      </c>
      <c r="J302">
        <v>60010818</v>
      </c>
      <c r="K302" t="s">
        <v>4298</v>
      </c>
      <c r="L302" t="s">
        <v>4297</v>
      </c>
      <c r="M302" t="s">
        <v>586</v>
      </c>
      <c r="N302">
        <v>2</v>
      </c>
      <c r="O302" t="s">
        <v>5050</v>
      </c>
      <c r="P302" t="s">
        <v>5049</v>
      </c>
      <c r="Q302" t="s">
        <v>4294</v>
      </c>
      <c r="R302" s="7">
        <v>31778</v>
      </c>
      <c r="S302" s="8">
        <f t="shared" si="40"/>
        <v>1987</v>
      </c>
      <c r="T302" s="8">
        <v>1987</v>
      </c>
      <c r="U302" s="8">
        <f t="shared" si="41"/>
        <v>35</v>
      </c>
      <c r="V302" s="7" t="s">
        <v>4998</v>
      </c>
      <c r="W302" s="11" t="s">
        <v>1382</v>
      </c>
      <c r="X302" s="2">
        <v>2.383</v>
      </c>
      <c r="Y302" s="6">
        <f t="shared" si="38"/>
        <v>6.3612824003630442E-2</v>
      </c>
      <c r="AA302" t="s">
        <v>1381</v>
      </c>
      <c r="AB302">
        <v>101151</v>
      </c>
      <c r="AD302" t="s">
        <v>4</v>
      </c>
      <c r="AE302">
        <v>134</v>
      </c>
      <c r="AF302">
        <v>6</v>
      </c>
      <c r="AH302" t="s">
        <v>5048</v>
      </c>
      <c r="AI302" t="s">
        <v>5047</v>
      </c>
      <c r="AK302" t="s">
        <v>5046</v>
      </c>
      <c r="AL302">
        <v>25</v>
      </c>
      <c r="AM302" s="5">
        <f t="shared" si="42"/>
        <v>0.7142857142857143</v>
      </c>
      <c r="AN302" s="4">
        <f t="shared" si="39"/>
        <v>1.0818412938821875E-3</v>
      </c>
      <c r="AO302" s="3"/>
      <c r="AP302">
        <v>0</v>
      </c>
      <c r="AR302" t="s">
        <v>0</v>
      </c>
      <c r="AT302" s="2" t="s">
        <v>32</v>
      </c>
      <c r="AU302" s="1">
        <f t="shared" si="43"/>
        <v>4.4853529190705972</v>
      </c>
      <c r="AV302" s="1">
        <f t="shared" si="44"/>
        <v>3.2347332648756311</v>
      </c>
      <c r="AW302" s="1">
        <f t="shared" si="45"/>
        <v>1.9841136106806663</v>
      </c>
    </row>
    <row r="303" spans="1:49" x14ac:dyDescent="0.2">
      <c r="A303">
        <v>301</v>
      </c>
      <c r="B303" t="s">
        <v>5045</v>
      </c>
      <c r="C303" t="s">
        <v>5044</v>
      </c>
      <c r="F303" t="s">
        <v>5043</v>
      </c>
      <c r="G303" t="s">
        <v>14</v>
      </c>
      <c r="H303" t="s">
        <v>13</v>
      </c>
      <c r="I303" t="s">
        <v>5042</v>
      </c>
      <c r="J303">
        <v>60009658</v>
      </c>
      <c r="K303" t="s">
        <v>2449</v>
      </c>
      <c r="L303" t="s">
        <v>2448</v>
      </c>
      <c r="M303" t="s">
        <v>586</v>
      </c>
      <c r="N303">
        <v>2</v>
      </c>
      <c r="O303" t="s">
        <v>5041</v>
      </c>
      <c r="P303" t="s">
        <v>5040</v>
      </c>
      <c r="Q303" t="s">
        <v>2445</v>
      </c>
      <c r="R303" s="7">
        <v>31778</v>
      </c>
      <c r="S303" s="8">
        <f t="shared" si="40"/>
        <v>1987</v>
      </c>
      <c r="T303" s="8">
        <v>1987</v>
      </c>
      <c r="U303" s="8">
        <f t="shared" si="41"/>
        <v>35</v>
      </c>
      <c r="V303" s="7" t="s">
        <v>4998</v>
      </c>
      <c r="W303" s="11" t="s">
        <v>1382</v>
      </c>
      <c r="X303" s="2">
        <v>2.383</v>
      </c>
      <c r="Y303" s="6">
        <f t="shared" si="38"/>
        <v>6.3612824003630442E-2</v>
      </c>
      <c r="AA303" t="s">
        <v>1381</v>
      </c>
      <c r="AB303">
        <v>101151</v>
      </c>
      <c r="AD303" t="s">
        <v>4</v>
      </c>
      <c r="AE303">
        <v>134</v>
      </c>
      <c r="AF303">
        <v>6</v>
      </c>
      <c r="AH303" t="s">
        <v>5039</v>
      </c>
      <c r="AI303" t="s">
        <v>5038</v>
      </c>
      <c r="AK303" t="s">
        <v>5037</v>
      </c>
      <c r="AL303">
        <v>16</v>
      </c>
      <c r="AM303" s="5">
        <f t="shared" si="42"/>
        <v>0.45714285714285713</v>
      </c>
      <c r="AN303" s="4">
        <f t="shared" si="39"/>
        <v>6.923784280846E-4</v>
      </c>
      <c r="AO303" s="3"/>
      <c r="AP303">
        <v>0</v>
      </c>
      <c r="AR303" t="s">
        <v>0</v>
      </c>
      <c r="AT303" s="2" t="s">
        <v>32</v>
      </c>
      <c r="AU303" s="1">
        <f t="shared" si="43"/>
        <v>4.4736690330966686</v>
      </c>
      <c r="AV303" s="1">
        <f t="shared" si="44"/>
        <v>3.2152601215857524</v>
      </c>
      <c r="AW303" s="1">
        <f t="shared" si="45"/>
        <v>1.9568512100748354</v>
      </c>
    </row>
    <row r="304" spans="1:49" x14ac:dyDescent="0.2">
      <c r="A304">
        <v>302</v>
      </c>
      <c r="B304" t="s">
        <v>5036</v>
      </c>
      <c r="C304" t="s">
        <v>5035</v>
      </c>
      <c r="F304" t="s">
        <v>5034</v>
      </c>
      <c r="G304" t="s">
        <v>14</v>
      </c>
      <c r="H304" t="s">
        <v>13</v>
      </c>
      <c r="I304" t="s">
        <v>1047</v>
      </c>
      <c r="J304">
        <v>60025555</v>
      </c>
      <c r="K304" t="s">
        <v>550</v>
      </c>
      <c r="L304" t="s">
        <v>549</v>
      </c>
      <c r="M304" t="s">
        <v>524</v>
      </c>
      <c r="N304">
        <v>2</v>
      </c>
      <c r="O304" t="s">
        <v>1043</v>
      </c>
      <c r="P304" t="s">
        <v>1042</v>
      </c>
      <c r="Q304" t="s">
        <v>1811</v>
      </c>
      <c r="R304" s="7">
        <v>31778</v>
      </c>
      <c r="S304" s="8">
        <f t="shared" si="40"/>
        <v>1987</v>
      </c>
      <c r="T304" s="8">
        <v>1987</v>
      </c>
      <c r="U304" s="8">
        <f t="shared" si="41"/>
        <v>35</v>
      </c>
      <c r="V304" s="7">
        <v>1987</v>
      </c>
      <c r="W304" t="s">
        <v>1909</v>
      </c>
      <c r="X304" s="2">
        <v>0.111</v>
      </c>
      <c r="Y304" s="6">
        <f t="shared" si="38"/>
        <v>2.9630816048690639E-3</v>
      </c>
      <c r="AA304">
        <v>87566621</v>
      </c>
      <c r="AB304">
        <v>24890</v>
      </c>
      <c r="AC304">
        <v>15206424</v>
      </c>
      <c r="AD304" t="s">
        <v>4</v>
      </c>
      <c r="AE304">
        <v>70</v>
      </c>
      <c r="AF304">
        <v>12</v>
      </c>
      <c r="AH304" t="s">
        <v>5033</v>
      </c>
      <c r="AI304" t="s">
        <v>5032</v>
      </c>
      <c r="AK304" t="s">
        <v>5031</v>
      </c>
      <c r="AL304">
        <v>0</v>
      </c>
      <c r="AM304" s="5">
        <f t="shared" si="42"/>
        <v>0</v>
      </c>
      <c r="AN304" s="4">
        <f t="shared" si="39"/>
        <v>0</v>
      </c>
      <c r="AO304" s="3"/>
      <c r="AP304">
        <v>0</v>
      </c>
      <c r="AR304" t="s">
        <v>0</v>
      </c>
      <c r="AT304" s="2" t="s">
        <v>32</v>
      </c>
      <c r="AU304" s="1">
        <f t="shared" si="43"/>
        <v>0.20741571234083445</v>
      </c>
      <c r="AV304" s="1">
        <f t="shared" si="44"/>
        <v>0.1481540802434532</v>
      </c>
      <c r="AW304" s="1">
        <f t="shared" si="45"/>
        <v>8.8892448146071903E-2</v>
      </c>
    </row>
    <row r="305" spans="1:49" x14ac:dyDescent="0.2">
      <c r="A305">
        <v>303</v>
      </c>
      <c r="B305" t="s">
        <v>5030</v>
      </c>
      <c r="C305" t="s">
        <v>5029</v>
      </c>
      <c r="F305" t="s">
        <v>5028</v>
      </c>
      <c r="G305" t="s">
        <v>14</v>
      </c>
      <c r="H305" t="s">
        <v>13</v>
      </c>
      <c r="I305" t="s">
        <v>5027</v>
      </c>
      <c r="J305">
        <v>60012162</v>
      </c>
      <c r="K305" t="s">
        <v>5026</v>
      </c>
      <c r="L305" t="s">
        <v>5025</v>
      </c>
      <c r="M305" t="s">
        <v>3694</v>
      </c>
      <c r="N305">
        <v>3</v>
      </c>
      <c r="O305" t="s">
        <v>5024</v>
      </c>
      <c r="P305" t="s">
        <v>5023</v>
      </c>
      <c r="Q305" t="s">
        <v>5022</v>
      </c>
      <c r="R305" s="7">
        <v>31778</v>
      </c>
      <c r="S305" s="8">
        <f t="shared" si="40"/>
        <v>1987</v>
      </c>
      <c r="T305" s="8">
        <v>1987</v>
      </c>
      <c r="U305" s="8">
        <f t="shared" si="41"/>
        <v>35</v>
      </c>
      <c r="V305" s="7">
        <v>31778</v>
      </c>
      <c r="W305" t="s">
        <v>5021</v>
      </c>
      <c r="X305" s="2">
        <v>0.22500000000000001</v>
      </c>
      <c r="Y305" s="6">
        <f t="shared" si="38"/>
        <v>6.0062464963562111E-3</v>
      </c>
      <c r="AA305">
        <v>2726343</v>
      </c>
      <c r="AB305">
        <v>16128</v>
      </c>
      <c r="AC305" t="s">
        <v>5020</v>
      </c>
      <c r="AD305" t="s">
        <v>4</v>
      </c>
      <c r="AE305">
        <v>7</v>
      </c>
      <c r="AF305">
        <v>2</v>
      </c>
      <c r="AH305" t="s">
        <v>5019</v>
      </c>
      <c r="AI305" t="s">
        <v>5018</v>
      </c>
      <c r="AK305" t="s">
        <v>5017</v>
      </c>
      <c r="AL305">
        <v>3</v>
      </c>
      <c r="AM305" s="5">
        <f t="shared" si="42"/>
        <v>8.5714285714285715E-2</v>
      </c>
      <c r="AN305" s="4">
        <f t="shared" si="39"/>
        <v>1.2982095526586251E-4</v>
      </c>
      <c r="AO305" s="3"/>
      <c r="AP305">
        <v>0</v>
      </c>
      <c r="AR305" t="s">
        <v>0</v>
      </c>
      <c r="AT305" s="2">
        <v>1.099</v>
      </c>
      <c r="AU305" s="1">
        <f t="shared" si="43"/>
        <v>0.42433188340291067</v>
      </c>
      <c r="AV305" s="1">
        <f t="shared" si="44"/>
        <v>0.30680337258110368</v>
      </c>
      <c r="AW305" s="1">
        <f t="shared" si="45"/>
        <v>0.1892748617592967</v>
      </c>
    </row>
    <row r="306" spans="1:49" x14ac:dyDescent="0.2">
      <c r="A306">
        <v>304</v>
      </c>
      <c r="B306" t="s">
        <v>5016</v>
      </c>
      <c r="C306" t="s">
        <v>5015</v>
      </c>
      <c r="F306" t="s">
        <v>5014</v>
      </c>
      <c r="G306" t="s">
        <v>14</v>
      </c>
      <c r="H306" t="s">
        <v>13</v>
      </c>
      <c r="I306" t="s">
        <v>5013</v>
      </c>
      <c r="J306">
        <v>60033387</v>
      </c>
      <c r="K306" t="s">
        <v>2517</v>
      </c>
      <c r="L306" t="s">
        <v>587</v>
      </c>
      <c r="M306" t="s">
        <v>586</v>
      </c>
      <c r="N306">
        <v>3</v>
      </c>
      <c r="O306" t="s">
        <v>5012</v>
      </c>
      <c r="P306" t="s">
        <v>5011</v>
      </c>
      <c r="Q306" t="s">
        <v>2514</v>
      </c>
      <c r="R306" s="7">
        <v>31778</v>
      </c>
      <c r="S306" s="8">
        <f t="shared" si="40"/>
        <v>1987</v>
      </c>
      <c r="T306" s="8">
        <v>1987</v>
      </c>
      <c r="U306" s="8">
        <f t="shared" si="41"/>
        <v>35</v>
      </c>
      <c r="V306" s="7" t="s">
        <v>4998</v>
      </c>
      <c r="W306" s="11" t="s">
        <v>1382</v>
      </c>
      <c r="X306" s="2">
        <v>2.383</v>
      </c>
      <c r="Y306" s="6">
        <f t="shared" si="38"/>
        <v>6.3612824003630442E-2</v>
      </c>
      <c r="AA306" t="s">
        <v>1381</v>
      </c>
      <c r="AB306">
        <v>101151</v>
      </c>
      <c r="AD306" t="s">
        <v>4</v>
      </c>
      <c r="AE306">
        <v>134</v>
      </c>
      <c r="AF306">
        <v>6</v>
      </c>
      <c r="AH306" t="s">
        <v>5010</v>
      </c>
      <c r="AI306" t="s">
        <v>5009</v>
      </c>
      <c r="AK306" t="s">
        <v>5008</v>
      </c>
      <c r="AL306">
        <v>1</v>
      </c>
      <c r="AM306" s="5">
        <f t="shared" si="42"/>
        <v>2.8571428571428571E-2</v>
      </c>
      <c r="AN306" s="4">
        <f t="shared" si="39"/>
        <v>4.32736517552875E-5</v>
      </c>
      <c r="AO306" s="3"/>
      <c r="AP306">
        <v>0</v>
      </c>
      <c r="AR306" t="s">
        <v>0</v>
      </c>
      <c r="AT306" s="2" t="s">
        <v>32</v>
      </c>
      <c r="AU306" s="1">
        <f t="shared" si="43"/>
        <v>4.4541958898067895</v>
      </c>
      <c r="AV306" s="1">
        <f t="shared" si="44"/>
        <v>3.1828048827692865</v>
      </c>
      <c r="AW306" s="1">
        <f t="shared" si="45"/>
        <v>1.9114138757317833</v>
      </c>
    </row>
    <row r="307" spans="1:49" x14ac:dyDescent="0.2">
      <c r="A307">
        <v>305</v>
      </c>
      <c r="B307" t="s">
        <v>5007</v>
      </c>
      <c r="C307" t="s">
        <v>5006</v>
      </c>
      <c r="F307" t="s">
        <v>5005</v>
      </c>
      <c r="G307" t="s">
        <v>14</v>
      </c>
      <c r="H307" t="s">
        <v>13</v>
      </c>
      <c r="I307" t="s">
        <v>5004</v>
      </c>
      <c r="J307">
        <v>60019870</v>
      </c>
      <c r="K307" t="s">
        <v>5003</v>
      </c>
      <c r="L307" t="s">
        <v>5002</v>
      </c>
      <c r="M307" t="s">
        <v>40</v>
      </c>
      <c r="N307">
        <v>2</v>
      </c>
      <c r="O307" t="s">
        <v>5001</v>
      </c>
      <c r="P307" t="s">
        <v>5000</v>
      </c>
      <c r="Q307" t="s">
        <v>4999</v>
      </c>
      <c r="R307" s="7">
        <v>31778</v>
      </c>
      <c r="S307" s="8">
        <f t="shared" si="40"/>
        <v>1987</v>
      </c>
      <c r="T307" s="8">
        <v>1987</v>
      </c>
      <c r="U307" s="8">
        <f t="shared" si="41"/>
        <v>35</v>
      </c>
      <c r="V307" s="7" t="s">
        <v>4998</v>
      </c>
      <c r="W307" s="11" t="s">
        <v>1382</v>
      </c>
      <c r="X307" s="2">
        <v>2.383</v>
      </c>
      <c r="Y307" s="6">
        <f t="shared" si="38"/>
        <v>6.3612824003630442E-2</v>
      </c>
      <c r="AA307" t="s">
        <v>1381</v>
      </c>
      <c r="AB307">
        <v>101151</v>
      </c>
      <c r="AD307" t="s">
        <v>4</v>
      </c>
      <c r="AE307">
        <v>134</v>
      </c>
      <c r="AF307">
        <v>6</v>
      </c>
      <c r="AH307" t="s">
        <v>4997</v>
      </c>
      <c r="AI307" t="s">
        <v>4996</v>
      </c>
      <c r="AK307" t="s">
        <v>4995</v>
      </c>
      <c r="AL307">
        <v>4</v>
      </c>
      <c r="AM307" s="5">
        <f t="shared" si="42"/>
        <v>0.11428571428571428</v>
      </c>
      <c r="AN307" s="4">
        <f t="shared" si="39"/>
        <v>1.7309460702115E-4</v>
      </c>
      <c r="AO307" s="3"/>
      <c r="AP307">
        <v>0</v>
      </c>
      <c r="AR307" t="s">
        <v>0</v>
      </c>
      <c r="AT307" s="2" t="s">
        <v>32</v>
      </c>
      <c r="AU307" s="1">
        <f t="shared" si="43"/>
        <v>4.4580905184647657</v>
      </c>
      <c r="AV307" s="1">
        <f t="shared" si="44"/>
        <v>3.1892959305325799</v>
      </c>
      <c r="AW307" s="1">
        <f t="shared" si="45"/>
        <v>1.9205013426003936</v>
      </c>
    </row>
    <row r="308" spans="1:49" x14ac:dyDescent="0.2">
      <c r="A308">
        <v>306</v>
      </c>
      <c r="B308" t="s">
        <v>4994</v>
      </c>
      <c r="C308" t="s">
        <v>4993</v>
      </c>
      <c r="E308">
        <v>3692510</v>
      </c>
      <c r="F308" t="s">
        <v>4992</v>
      </c>
      <c r="G308" t="s">
        <v>14</v>
      </c>
      <c r="H308" t="s">
        <v>13</v>
      </c>
      <c r="I308" t="s">
        <v>4991</v>
      </c>
      <c r="J308">
        <v>60000745</v>
      </c>
      <c r="K308" t="s">
        <v>4990</v>
      </c>
      <c r="L308" t="s">
        <v>4989</v>
      </c>
      <c r="M308" t="s">
        <v>9</v>
      </c>
      <c r="N308">
        <v>3</v>
      </c>
      <c r="O308" t="s">
        <v>4988</v>
      </c>
      <c r="P308" t="s">
        <v>4987</v>
      </c>
      <c r="Q308" t="s">
        <v>4986</v>
      </c>
      <c r="R308" s="7">
        <v>31778</v>
      </c>
      <c r="S308" s="8">
        <f t="shared" si="40"/>
        <v>1987</v>
      </c>
      <c r="T308" s="8">
        <v>1987</v>
      </c>
      <c r="U308" s="8">
        <f t="shared" si="41"/>
        <v>35</v>
      </c>
      <c r="V308" s="7">
        <v>32082</v>
      </c>
      <c r="W308" t="s">
        <v>4019</v>
      </c>
      <c r="X308" s="2">
        <v>1.1479999999999999</v>
      </c>
      <c r="Y308" s="6">
        <f t="shared" si="38"/>
        <v>3.0645204345853019E-2</v>
      </c>
      <c r="AA308">
        <v>189294</v>
      </c>
      <c r="AB308">
        <v>16318</v>
      </c>
      <c r="AC308">
        <v>15582531</v>
      </c>
      <c r="AD308" t="s">
        <v>4</v>
      </c>
      <c r="AE308" t="s">
        <v>4018</v>
      </c>
      <c r="AF308">
        <v>11</v>
      </c>
      <c r="AH308" t="s">
        <v>4985</v>
      </c>
      <c r="AI308" t="s">
        <v>4984</v>
      </c>
      <c r="AK308" t="s">
        <v>4983</v>
      </c>
      <c r="AL308">
        <v>1</v>
      </c>
      <c r="AM308" s="5">
        <f t="shared" si="42"/>
        <v>2.8571428571428571E-2</v>
      </c>
      <c r="AN308" s="4">
        <f t="shared" si="39"/>
        <v>4.32736517552875E-5</v>
      </c>
      <c r="AO308" s="3"/>
      <c r="AP308">
        <v>0</v>
      </c>
      <c r="AR308" t="s">
        <v>0</v>
      </c>
      <c r="AT308" s="2" t="s">
        <v>32</v>
      </c>
      <c r="AU308" s="1">
        <f t="shared" si="43"/>
        <v>2.1464625137623696</v>
      </c>
      <c r="AV308" s="1">
        <f t="shared" si="44"/>
        <v>1.5344238998804154</v>
      </c>
      <c r="AW308" s="1">
        <f t="shared" si="45"/>
        <v>0.9223852859984607</v>
      </c>
    </row>
    <row r="309" spans="1:49" x14ac:dyDescent="0.2">
      <c r="A309">
        <v>307</v>
      </c>
      <c r="B309" t="s">
        <v>4982</v>
      </c>
      <c r="C309" t="s">
        <v>4981</v>
      </c>
      <c r="E309">
        <v>3692509</v>
      </c>
      <c r="F309" t="s">
        <v>4980</v>
      </c>
      <c r="G309" t="s">
        <v>14</v>
      </c>
      <c r="H309" t="s">
        <v>13</v>
      </c>
      <c r="I309" t="s">
        <v>4979</v>
      </c>
      <c r="J309">
        <v>60017672</v>
      </c>
      <c r="K309" t="s">
        <v>4978</v>
      </c>
      <c r="L309" t="s">
        <v>4977</v>
      </c>
      <c r="M309" t="s">
        <v>9</v>
      </c>
      <c r="N309">
        <v>1</v>
      </c>
      <c r="O309" t="s">
        <v>4976</v>
      </c>
      <c r="P309">
        <v>7005822522</v>
      </c>
      <c r="Q309">
        <v>60017672</v>
      </c>
      <c r="R309" s="7">
        <v>31778</v>
      </c>
      <c r="S309" s="8">
        <f t="shared" si="40"/>
        <v>1987</v>
      </c>
      <c r="T309" s="8">
        <v>1987</v>
      </c>
      <c r="U309" s="8">
        <f t="shared" si="41"/>
        <v>35</v>
      </c>
      <c r="V309" s="7">
        <v>32082</v>
      </c>
      <c r="W309" t="s">
        <v>4019</v>
      </c>
      <c r="X309" s="2">
        <v>1.1479999999999999</v>
      </c>
      <c r="Y309" s="6">
        <f t="shared" si="38"/>
        <v>3.0645204345853019E-2</v>
      </c>
      <c r="AA309">
        <v>189294</v>
      </c>
      <c r="AB309">
        <v>16318</v>
      </c>
      <c r="AC309">
        <v>15582531</v>
      </c>
      <c r="AD309" t="s">
        <v>4</v>
      </c>
      <c r="AE309" t="s">
        <v>4018</v>
      </c>
      <c r="AF309">
        <v>11</v>
      </c>
      <c r="AH309" t="s">
        <v>4975</v>
      </c>
      <c r="AI309" t="s">
        <v>4974</v>
      </c>
      <c r="AK309" t="s">
        <v>4973</v>
      </c>
      <c r="AL309">
        <v>17</v>
      </c>
      <c r="AM309" s="5">
        <f t="shared" si="42"/>
        <v>0.48571428571428571</v>
      </c>
      <c r="AN309" s="4">
        <f t="shared" si="39"/>
        <v>7.3565207983988746E-4</v>
      </c>
      <c r="AO309" s="3"/>
      <c r="AP309">
        <v>0</v>
      </c>
      <c r="AR309" t="s">
        <v>0</v>
      </c>
      <c r="AT309" s="2" t="s">
        <v>32</v>
      </c>
      <c r="AU309" s="1">
        <f t="shared" si="43"/>
        <v>2.1672338666049078</v>
      </c>
      <c r="AV309" s="1">
        <f t="shared" si="44"/>
        <v>1.5690428212846452</v>
      </c>
      <c r="AW309" s="1">
        <f t="shared" si="45"/>
        <v>0.97085177596438266</v>
      </c>
    </row>
    <row r="310" spans="1:49" x14ac:dyDescent="0.2">
      <c r="A310">
        <v>308</v>
      </c>
      <c r="B310" t="s">
        <v>4972</v>
      </c>
      <c r="C310" t="s">
        <v>4971</v>
      </c>
      <c r="E310">
        <v>3692516</v>
      </c>
      <c r="F310" t="s">
        <v>4970</v>
      </c>
      <c r="G310" t="s">
        <v>14</v>
      </c>
      <c r="H310" t="s">
        <v>13</v>
      </c>
      <c r="I310" t="s">
        <v>4969</v>
      </c>
      <c r="J310" t="s">
        <v>4968</v>
      </c>
      <c r="K310" t="s">
        <v>4967</v>
      </c>
      <c r="L310" t="s">
        <v>4966</v>
      </c>
      <c r="M310" t="s">
        <v>4965</v>
      </c>
      <c r="N310">
        <v>5</v>
      </c>
      <c r="O310" t="s">
        <v>4964</v>
      </c>
      <c r="P310" t="s">
        <v>4963</v>
      </c>
      <c r="Q310" t="s">
        <v>4962</v>
      </c>
      <c r="R310" s="7">
        <v>31778</v>
      </c>
      <c r="S310" s="8">
        <f t="shared" si="40"/>
        <v>1987</v>
      </c>
      <c r="T310" s="8">
        <v>1987</v>
      </c>
      <c r="U310" s="8">
        <f t="shared" si="41"/>
        <v>35</v>
      </c>
      <c r="V310" s="7">
        <v>32112</v>
      </c>
      <c r="W310" t="s">
        <v>4019</v>
      </c>
      <c r="X310" s="2">
        <v>1.1479999999999999</v>
      </c>
      <c r="Y310" s="6">
        <f t="shared" si="38"/>
        <v>3.0645204345853019E-2</v>
      </c>
      <c r="AA310">
        <v>189294</v>
      </c>
      <c r="AB310">
        <v>16318</v>
      </c>
      <c r="AC310">
        <v>15582531</v>
      </c>
      <c r="AD310" t="s">
        <v>4</v>
      </c>
      <c r="AE310" t="s">
        <v>4018</v>
      </c>
      <c r="AF310">
        <v>12</v>
      </c>
      <c r="AH310" t="s">
        <v>4961</v>
      </c>
      <c r="AI310" t="s">
        <v>4960</v>
      </c>
      <c r="AK310" t="s">
        <v>4959</v>
      </c>
      <c r="AL310">
        <v>16</v>
      </c>
      <c r="AM310" s="5">
        <f t="shared" si="42"/>
        <v>0.45714285714285713</v>
      </c>
      <c r="AN310" s="4">
        <f t="shared" si="39"/>
        <v>6.923784280846E-4</v>
      </c>
      <c r="AO310" s="3"/>
      <c r="AP310">
        <v>0</v>
      </c>
      <c r="AR310" t="s">
        <v>0</v>
      </c>
      <c r="AT310" s="2" t="s">
        <v>32</v>
      </c>
      <c r="AU310" s="1">
        <f t="shared" si="43"/>
        <v>2.1659356570522497</v>
      </c>
      <c r="AV310" s="1">
        <f t="shared" si="44"/>
        <v>1.566879138696881</v>
      </c>
      <c r="AW310" s="1">
        <f t="shared" si="45"/>
        <v>0.96782262034151245</v>
      </c>
    </row>
    <row r="311" spans="1:49" x14ac:dyDescent="0.2">
      <c r="A311">
        <v>309</v>
      </c>
      <c r="B311" t="s">
        <v>4958</v>
      </c>
      <c r="C311" t="s">
        <v>4957</v>
      </c>
      <c r="F311" t="s">
        <v>4956</v>
      </c>
      <c r="G311" t="s">
        <v>14</v>
      </c>
      <c r="H311" t="s">
        <v>13</v>
      </c>
      <c r="I311" t="s">
        <v>4955</v>
      </c>
      <c r="J311">
        <v>60021814</v>
      </c>
      <c r="K311" t="s">
        <v>4954</v>
      </c>
      <c r="L311" t="s">
        <v>4953</v>
      </c>
      <c r="M311" t="s">
        <v>9</v>
      </c>
      <c r="N311">
        <v>3</v>
      </c>
      <c r="O311" t="s">
        <v>4952</v>
      </c>
      <c r="P311" t="s">
        <v>4951</v>
      </c>
      <c r="Q311" t="s">
        <v>4950</v>
      </c>
      <c r="R311" s="7">
        <v>31778</v>
      </c>
      <c r="S311" s="8">
        <f t="shared" si="40"/>
        <v>1987</v>
      </c>
      <c r="T311" s="8">
        <v>1987</v>
      </c>
      <c r="U311" s="8">
        <f t="shared" si="41"/>
        <v>35</v>
      </c>
      <c r="V311" s="7">
        <v>1987</v>
      </c>
      <c r="W311" t="s">
        <v>4949</v>
      </c>
      <c r="X311" s="2" t="s">
        <v>32</v>
      </c>
      <c r="Y311" s="6" t="e">
        <f t="shared" si="38"/>
        <v>#VALUE!</v>
      </c>
      <c r="AA311">
        <v>167606</v>
      </c>
      <c r="AB311">
        <v>26499</v>
      </c>
      <c r="AD311" t="s">
        <v>4</v>
      </c>
      <c r="AE311">
        <v>99</v>
      </c>
      <c r="AF311">
        <v>3</v>
      </c>
      <c r="AH311" t="s">
        <v>4948</v>
      </c>
      <c r="AI311" t="s">
        <v>4947</v>
      </c>
      <c r="AK311" t="s">
        <v>4946</v>
      </c>
      <c r="AL311">
        <v>308</v>
      </c>
      <c r="AM311" s="5">
        <f t="shared" si="42"/>
        <v>8.8000000000000007</v>
      </c>
      <c r="AN311" s="4">
        <f t="shared" si="39"/>
        <v>1.3328284740628551E-2</v>
      </c>
      <c r="AO311" s="3"/>
      <c r="AP311">
        <v>0</v>
      </c>
      <c r="AR311" t="s">
        <v>0</v>
      </c>
      <c r="AT311" s="2">
        <v>4.7990000000000004</v>
      </c>
      <c r="AU311" s="1" t="e">
        <f t="shared" si="43"/>
        <v>#VALUE!</v>
      </c>
      <c r="AV311" s="1" t="e">
        <f t="shared" si="44"/>
        <v>#VALUE!</v>
      </c>
      <c r="AW311" s="1" t="e">
        <f t="shared" si="45"/>
        <v>#VALUE!</v>
      </c>
    </row>
    <row r="312" spans="1:49" x14ac:dyDescent="0.2">
      <c r="A312">
        <v>310</v>
      </c>
      <c r="B312" t="s">
        <v>4945</v>
      </c>
      <c r="C312" t="s">
        <v>4944</v>
      </c>
      <c r="D312">
        <v>31866387900020</v>
      </c>
      <c r="F312" t="s">
        <v>4943</v>
      </c>
      <c r="G312" t="s">
        <v>14</v>
      </c>
      <c r="H312" t="s">
        <v>13</v>
      </c>
      <c r="I312" t="s">
        <v>4942</v>
      </c>
      <c r="J312">
        <v>60009358</v>
      </c>
      <c r="K312" t="s">
        <v>4941</v>
      </c>
      <c r="L312" t="s">
        <v>4940</v>
      </c>
      <c r="M312" t="s">
        <v>1463</v>
      </c>
      <c r="N312">
        <v>1</v>
      </c>
      <c r="O312" t="s">
        <v>4939</v>
      </c>
      <c r="P312">
        <v>7006094799</v>
      </c>
      <c r="Q312">
        <v>60009358</v>
      </c>
      <c r="R312" s="7">
        <v>31778</v>
      </c>
      <c r="S312" s="8">
        <f t="shared" si="40"/>
        <v>1987</v>
      </c>
      <c r="T312" s="8">
        <v>1987</v>
      </c>
      <c r="U312" s="8">
        <f t="shared" si="41"/>
        <v>35</v>
      </c>
      <c r="V312" s="7">
        <v>32082</v>
      </c>
      <c r="W312" t="s">
        <v>4938</v>
      </c>
      <c r="X312" s="2" t="s">
        <v>32</v>
      </c>
      <c r="Y312" s="6" t="e">
        <f t="shared" si="38"/>
        <v>#VALUE!</v>
      </c>
      <c r="AA312">
        <v>318663</v>
      </c>
      <c r="AB312">
        <v>34400</v>
      </c>
      <c r="AD312" t="s">
        <v>4</v>
      </c>
      <c r="AE312">
        <v>42</v>
      </c>
      <c r="AF312" s="9">
        <v>44228</v>
      </c>
      <c r="AH312" s="10">
        <v>43101</v>
      </c>
      <c r="AI312" t="s">
        <v>4937</v>
      </c>
      <c r="AK312" t="s">
        <v>4936</v>
      </c>
      <c r="AL312">
        <v>1</v>
      </c>
      <c r="AM312" s="5">
        <f t="shared" si="42"/>
        <v>2.8571428571428571E-2</v>
      </c>
      <c r="AN312" s="4">
        <f t="shared" si="39"/>
        <v>4.32736517552875E-5</v>
      </c>
      <c r="AO312" s="3"/>
      <c r="AP312">
        <v>0</v>
      </c>
      <c r="AR312" t="s">
        <v>0</v>
      </c>
      <c r="AT312" s="2" t="s">
        <v>32</v>
      </c>
      <c r="AU312" s="1" t="e">
        <f t="shared" si="43"/>
        <v>#VALUE!</v>
      </c>
      <c r="AV312" s="1" t="e">
        <f t="shared" si="44"/>
        <v>#VALUE!</v>
      </c>
      <c r="AW312" s="1" t="e">
        <f t="shared" si="45"/>
        <v>#VALUE!</v>
      </c>
    </row>
    <row r="313" spans="1:49" x14ac:dyDescent="0.2">
      <c r="A313">
        <v>311</v>
      </c>
      <c r="B313" t="s">
        <v>4935</v>
      </c>
      <c r="C313" t="s">
        <v>4934</v>
      </c>
      <c r="F313" t="s">
        <v>4933</v>
      </c>
      <c r="G313" t="s">
        <v>14</v>
      </c>
      <c r="H313" t="s">
        <v>13</v>
      </c>
      <c r="I313" t="s">
        <v>4932</v>
      </c>
      <c r="J313">
        <v>100382380</v>
      </c>
      <c r="K313" t="s">
        <v>4931</v>
      </c>
      <c r="L313" t="s">
        <v>4930</v>
      </c>
      <c r="M313" t="s">
        <v>9</v>
      </c>
      <c r="N313">
        <v>3</v>
      </c>
      <c r="O313" t="s">
        <v>4929</v>
      </c>
      <c r="P313" t="s">
        <v>4928</v>
      </c>
      <c r="Q313" t="s">
        <v>4927</v>
      </c>
      <c r="R313" s="7">
        <v>31778</v>
      </c>
      <c r="S313" s="8">
        <f t="shared" si="40"/>
        <v>1987</v>
      </c>
      <c r="T313" s="8">
        <v>1987</v>
      </c>
      <c r="U313" s="8">
        <f t="shared" si="41"/>
        <v>35</v>
      </c>
      <c r="V313" s="7">
        <v>1987</v>
      </c>
      <c r="W313" t="s">
        <v>2815</v>
      </c>
      <c r="X313" s="2">
        <v>1.1779999999999999</v>
      </c>
      <c r="Y313" s="6">
        <f t="shared" si="38"/>
        <v>3.1446037212033845E-2</v>
      </c>
      <c r="AA313">
        <v>168033</v>
      </c>
      <c r="AB313">
        <v>27965</v>
      </c>
      <c r="AD313" t="s">
        <v>4</v>
      </c>
      <c r="AE313">
        <v>52</v>
      </c>
      <c r="AF313">
        <v>11</v>
      </c>
      <c r="AH313" t="s">
        <v>4926</v>
      </c>
      <c r="AI313" t="s">
        <v>4925</v>
      </c>
      <c r="AK313" t="s">
        <v>4924</v>
      </c>
      <c r="AL313">
        <v>30</v>
      </c>
      <c r="AM313" s="5">
        <f t="shared" si="42"/>
        <v>0.8571428571428571</v>
      </c>
      <c r="AN313" s="4">
        <f t="shared" si="39"/>
        <v>1.2982095526586248E-3</v>
      </c>
      <c r="AO313" s="3"/>
      <c r="AP313">
        <v>0</v>
      </c>
      <c r="AR313" t="s">
        <v>0</v>
      </c>
      <c r="AT313" s="2">
        <v>2.9279999999999999</v>
      </c>
      <c r="AU313" s="1">
        <f t="shared" si="43"/>
        <v>2.2401688914221278</v>
      </c>
      <c r="AV313" s="1">
        <f t="shared" si="44"/>
        <v>1.6372123382346233</v>
      </c>
      <c r="AW313" s="1">
        <f t="shared" si="45"/>
        <v>1.034255785047119</v>
      </c>
    </row>
    <row r="314" spans="1:49" x14ac:dyDescent="0.2">
      <c r="A314">
        <v>312</v>
      </c>
      <c r="B314" t="s">
        <v>4923</v>
      </c>
      <c r="C314" t="s">
        <v>4922</v>
      </c>
      <c r="E314">
        <v>3694269</v>
      </c>
      <c r="F314" t="s">
        <v>4921</v>
      </c>
      <c r="G314" t="s">
        <v>14</v>
      </c>
      <c r="H314" t="s">
        <v>13</v>
      </c>
      <c r="I314" t="s">
        <v>4920</v>
      </c>
      <c r="J314">
        <v>60015481</v>
      </c>
      <c r="K314" t="s">
        <v>4919</v>
      </c>
      <c r="L314" t="s">
        <v>4918</v>
      </c>
      <c r="M314" t="s">
        <v>9</v>
      </c>
      <c r="N314">
        <v>3</v>
      </c>
      <c r="O314" t="s">
        <v>4917</v>
      </c>
      <c r="P314" t="s">
        <v>4916</v>
      </c>
      <c r="Q314" t="s">
        <v>4915</v>
      </c>
      <c r="R314" s="7">
        <v>31778</v>
      </c>
      <c r="S314" s="8">
        <f t="shared" si="40"/>
        <v>1987</v>
      </c>
      <c r="T314" s="8">
        <v>1987</v>
      </c>
      <c r="U314" s="8">
        <f t="shared" si="41"/>
        <v>35</v>
      </c>
      <c r="V314" s="7">
        <v>1987</v>
      </c>
      <c r="W314" t="s">
        <v>4914</v>
      </c>
      <c r="X314" s="2">
        <v>3.4830000000000001</v>
      </c>
      <c r="Y314" s="6">
        <f t="shared" si="38"/>
        <v>9.2976695763594144E-2</v>
      </c>
      <c r="AA314">
        <v>2706474</v>
      </c>
      <c r="AB314">
        <v>16764</v>
      </c>
      <c r="AD314" t="s">
        <v>4</v>
      </c>
      <c r="AE314">
        <v>7</v>
      </c>
      <c r="AF314">
        <v>12</v>
      </c>
      <c r="AH314" t="s">
        <v>4913</v>
      </c>
      <c r="AI314" t="s">
        <v>4912</v>
      </c>
      <c r="AK314" t="s">
        <v>4911</v>
      </c>
      <c r="AL314">
        <v>27</v>
      </c>
      <c r="AM314" s="5">
        <f t="shared" si="42"/>
        <v>0.77142857142857146</v>
      </c>
      <c r="AN314" s="4">
        <f t="shared" si="39"/>
        <v>1.1683885973927625E-3</v>
      </c>
      <c r="AO314" s="3"/>
      <c r="AP314">
        <v>1</v>
      </c>
      <c r="AR314" t="s">
        <v>0</v>
      </c>
      <c r="AT314" s="2">
        <v>6.1669999999999998</v>
      </c>
      <c r="AU314" s="1">
        <f t="shared" si="43"/>
        <v>6.5434203613733724</v>
      </c>
      <c r="AV314" s="1">
        <f t="shared" si="44"/>
        <v>4.7072542180493455</v>
      </c>
      <c r="AW314" s="1">
        <f t="shared" si="45"/>
        <v>2.8710880747253178</v>
      </c>
    </row>
    <row r="315" spans="1:49" x14ac:dyDescent="0.2">
      <c r="A315">
        <v>313</v>
      </c>
      <c r="B315" t="s">
        <v>4910</v>
      </c>
      <c r="F315" t="s">
        <v>4909</v>
      </c>
      <c r="G315" t="s">
        <v>14</v>
      </c>
      <c r="H315" t="s">
        <v>13</v>
      </c>
      <c r="I315" t="s">
        <v>4908</v>
      </c>
      <c r="J315">
        <v>60069098</v>
      </c>
      <c r="K315" t="s">
        <v>4907</v>
      </c>
      <c r="L315" t="s">
        <v>4906</v>
      </c>
      <c r="M315" t="s">
        <v>4905</v>
      </c>
      <c r="N315">
        <v>5</v>
      </c>
      <c r="O315" t="s">
        <v>4904</v>
      </c>
      <c r="P315" t="s">
        <v>4903</v>
      </c>
      <c r="Q315" t="s">
        <v>4902</v>
      </c>
      <c r="R315" s="7">
        <v>31778</v>
      </c>
      <c r="S315" s="8">
        <f t="shared" si="40"/>
        <v>1987</v>
      </c>
      <c r="T315" s="8">
        <v>1987</v>
      </c>
      <c r="U315" s="8">
        <f t="shared" si="41"/>
        <v>35</v>
      </c>
      <c r="V315" s="7">
        <v>1987</v>
      </c>
      <c r="W315" t="s">
        <v>4901</v>
      </c>
      <c r="X315" s="2" t="s">
        <v>32</v>
      </c>
      <c r="Y315" s="6" t="e">
        <f t="shared" si="38"/>
        <v>#VALUE!</v>
      </c>
      <c r="AA315">
        <v>124958</v>
      </c>
      <c r="AB315">
        <v>51135</v>
      </c>
      <c r="AD315" t="s">
        <v>4</v>
      </c>
      <c r="AE315">
        <v>297</v>
      </c>
      <c r="AF315" s="9">
        <v>44348</v>
      </c>
      <c r="AH315" t="s">
        <v>4900</v>
      </c>
      <c r="AL315">
        <v>0</v>
      </c>
      <c r="AM315" s="5">
        <f t="shared" si="42"/>
        <v>0</v>
      </c>
      <c r="AN315" s="4">
        <f t="shared" si="39"/>
        <v>0</v>
      </c>
      <c r="AO315" s="3"/>
      <c r="AP315">
        <v>0</v>
      </c>
      <c r="AR315" t="s">
        <v>0</v>
      </c>
      <c r="AT315" s="2" t="s">
        <v>32</v>
      </c>
      <c r="AU315" s="1" t="e">
        <f t="shared" si="43"/>
        <v>#VALUE!</v>
      </c>
      <c r="AV315" s="1" t="e">
        <f t="shared" si="44"/>
        <v>#VALUE!</v>
      </c>
      <c r="AW315" s="1" t="e">
        <f t="shared" si="45"/>
        <v>#VALUE!</v>
      </c>
    </row>
    <row r="316" spans="1:49" x14ac:dyDescent="0.2">
      <c r="A316">
        <v>314</v>
      </c>
      <c r="B316" t="s">
        <v>4899</v>
      </c>
      <c r="C316" t="s">
        <v>4898</v>
      </c>
      <c r="F316" t="s">
        <v>4897</v>
      </c>
      <c r="G316" t="s">
        <v>14</v>
      </c>
      <c r="H316" t="s">
        <v>13</v>
      </c>
      <c r="I316" t="s">
        <v>4896</v>
      </c>
      <c r="J316">
        <v>60009037</v>
      </c>
      <c r="K316" t="s">
        <v>600</v>
      </c>
      <c r="L316" t="s">
        <v>599</v>
      </c>
      <c r="M316" t="s">
        <v>9</v>
      </c>
      <c r="N316">
        <v>3</v>
      </c>
      <c r="O316" t="s">
        <v>4895</v>
      </c>
      <c r="P316" t="s">
        <v>4894</v>
      </c>
      <c r="Q316" t="s">
        <v>3360</v>
      </c>
      <c r="R316" s="7">
        <v>31778</v>
      </c>
      <c r="S316" s="8">
        <f t="shared" si="40"/>
        <v>1987</v>
      </c>
      <c r="T316" s="8">
        <v>1987</v>
      </c>
      <c r="U316" s="8">
        <f t="shared" si="41"/>
        <v>35</v>
      </c>
      <c r="V316" s="7">
        <v>1987</v>
      </c>
      <c r="W316" t="s">
        <v>4893</v>
      </c>
      <c r="X316" s="2">
        <v>1.67</v>
      </c>
      <c r="Y316" s="6">
        <f t="shared" si="38"/>
        <v>4.4579696217399427E-2</v>
      </c>
      <c r="AA316">
        <v>1480227</v>
      </c>
      <c r="AB316">
        <v>28428</v>
      </c>
      <c r="AD316" t="s">
        <v>4</v>
      </c>
      <c r="AE316">
        <v>92</v>
      </c>
      <c r="AF316" t="s">
        <v>4892</v>
      </c>
      <c r="AH316" t="s">
        <v>4891</v>
      </c>
      <c r="AI316" t="s">
        <v>4890</v>
      </c>
      <c r="AK316" t="s">
        <v>4889</v>
      </c>
      <c r="AL316">
        <v>201</v>
      </c>
      <c r="AM316" s="5">
        <f t="shared" si="42"/>
        <v>5.7428571428571429</v>
      </c>
      <c r="AN316" s="4">
        <f t="shared" si="39"/>
        <v>8.698004002812787E-3</v>
      </c>
      <c r="AO316" s="3"/>
      <c r="AP316">
        <v>0</v>
      </c>
      <c r="AR316" t="s">
        <v>0</v>
      </c>
      <c r="AT316" s="2" t="s">
        <v>32</v>
      </c>
      <c r="AU316" s="1">
        <f t="shared" si="43"/>
        <v>3.3815188553023434</v>
      </c>
      <c r="AV316" s="1">
        <f t="shared" si="44"/>
        <v>2.6638850110106107</v>
      </c>
      <c r="AW316" s="1">
        <f t="shared" si="45"/>
        <v>1.9462511667188778</v>
      </c>
    </row>
    <row r="317" spans="1:49" x14ac:dyDescent="0.2">
      <c r="A317">
        <v>315</v>
      </c>
      <c r="B317" t="s">
        <v>4888</v>
      </c>
      <c r="C317" t="s">
        <v>4887</v>
      </c>
      <c r="E317">
        <v>3321058</v>
      </c>
      <c r="F317" t="s">
        <v>4886</v>
      </c>
      <c r="G317" t="s">
        <v>14</v>
      </c>
      <c r="H317" t="s">
        <v>13</v>
      </c>
      <c r="I317" t="s">
        <v>4885</v>
      </c>
      <c r="J317">
        <v>60006297</v>
      </c>
      <c r="K317" t="s">
        <v>1601</v>
      </c>
      <c r="L317" t="s">
        <v>1600</v>
      </c>
      <c r="M317" t="s">
        <v>9</v>
      </c>
      <c r="N317">
        <v>7</v>
      </c>
      <c r="O317" t="s">
        <v>4884</v>
      </c>
      <c r="P317" t="s">
        <v>4883</v>
      </c>
      <c r="Q317" t="s">
        <v>4882</v>
      </c>
      <c r="R317" s="7">
        <v>31778</v>
      </c>
      <c r="S317" s="8">
        <f t="shared" si="40"/>
        <v>1987</v>
      </c>
      <c r="T317" s="8">
        <v>1987</v>
      </c>
      <c r="U317" s="8">
        <f t="shared" si="41"/>
        <v>35</v>
      </c>
      <c r="V317" s="7">
        <v>32112</v>
      </c>
      <c r="W317" t="s">
        <v>1956</v>
      </c>
      <c r="X317" s="2">
        <v>5.0110000000000001</v>
      </c>
      <c r="Y317" s="6">
        <f t="shared" si="38"/>
        <v>0.13376578308107098</v>
      </c>
      <c r="AA317">
        <v>278424</v>
      </c>
      <c r="AB317">
        <v>21121</v>
      </c>
      <c r="AD317" t="s">
        <v>4</v>
      </c>
      <c r="AE317">
        <v>84</v>
      </c>
      <c r="AF317">
        <v>24</v>
      </c>
      <c r="AH317" t="s">
        <v>4881</v>
      </c>
      <c r="AI317" t="s">
        <v>4880</v>
      </c>
      <c r="AK317" t="s">
        <v>4879</v>
      </c>
      <c r="AL317">
        <v>87</v>
      </c>
      <c r="AM317" s="5">
        <f t="shared" si="42"/>
        <v>2.4857142857142858</v>
      </c>
      <c r="AN317" s="4">
        <f t="shared" si="39"/>
        <v>3.7648077027100124E-3</v>
      </c>
      <c r="AO317" s="3"/>
      <c r="AP317">
        <v>1</v>
      </c>
      <c r="AQ317" t="s">
        <v>2284</v>
      </c>
      <c r="AR317" t="s">
        <v>4878</v>
      </c>
      <c r="AS317" t="s">
        <v>2282</v>
      </c>
      <c r="AT317" s="2" t="s">
        <v>32</v>
      </c>
      <c r="AU317" s="1">
        <f t="shared" si="43"/>
        <v>9.4765490467562685</v>
      </c>
      <c r="AV317" s="1">
        <f t="shared" si="44"/>
        <v>6.8765295391890495</v>
      </c>
      <c r="AW317" s="1">
        <f t="shared" si="45"/>
        <v>4.2765100316218305</v>
      </c>
    </row>
    <row r="318" spans="1:49" x14ac:dyDescent="0.2">
      <c r="A318">
        <v>316</v>
      </c>
      <c r="B318" t="s">
        <v>4877</v>
      </c>
      <c r="C318" t="s">
        <v>4876</v>
      </c>
      <c r="F318" t="s">
        <v>4875</v>
      </c>
      <c r="G318" t="s">
        <v>14</v>
      </c>
      <c r="H318" t="s">
        <v>13</v>
      </c>
      <c r="I318" t="s">
        <v>4874</v>
      </c>
      <c r="J318">
        <v>60032280</v>
      </c>
      <c r="K318" t="s">
        <v>4873</v>
      </c>
      <c r="L318" t="s">
        <v>511</v>
      </c>
      <c r="M318" t="s">
        <v>9</v>
      </c>
      <c r="N318">
        <v>2</v>
      </c>
      <c r="O318" t="s">
        <v>4872</v>
      </c>
      <c r="P318" t="s">
        <v>4871</v>
      </c>
      <c r="Q318" t="s">
        <v>4870</v>
      </c>
      <c r="R318" s="7">
        <v>31778</v>
      </c>
      <c r="S318" s="8">
        <f t="shared" si="40"/>
        <v>1987</v>
      </c>
      <c r="T318" s="8">
        <v>1987</v>
      </c>
      <c r="U318" s="8">
        <f t="shared" si="41"/>
        <v>35</v>
      </c>
      <c r="V318" s="7">
        <v>1987</v>
      </c>
      <c r="W318" t="s">
        <v>4869</v>
      </c>
      <c r="X318" s="2">
        <v>0.34200000000000003</v>
      </c>
      <c r="Y318" s="6">
        <f t="shared" si="38"/>
        <v>9.1294946744614417E-3</v>
      </c>
      <c r="AA318">
        <v>30031</v>
      </c>
      <c r="AB318">
        <v>19296</v>
      </c>
      <c r="AD318" t="s">
        <v>4</v>
      </c>
      <c r="AE318">
        <v>117</v>
      </c>
      <c r="AF318">
        <v>2</v>
      </c>
      <c r="AH318" t="s">
        <v>4868</v>
      </c>
      <c r="AI318" t="s">
        <v>4867</v>
      </c>
      <c r="AK318" t="s">
        <v>4866</v>
      </c>
      <c r="AL318">
        <v>9</v>
      </c>
      <c r="AM318" s="5">
        <f t="shared" si="42"/>
        <v>0.25714285714285712</v>
      </c>
      <c r="AN318" s="4">
        <f t="shared" si="39"/>
        <v>3.8946286579758747E-4</v>
      </c>
      <c r="AO318" s="3"/>
      <c r="AP318">
        <v>0</v>
      </c>
      <c r="AR318" t="s">
        <v>0</v>
      </c>
      <c r="AT318" s="2">
        <v>0.73499999999999999</v>
      </c>
      <c r="AU318" s="1">
        <f t="shared" si="43"/>
        <v>0.65074851318622851</v>
      </c>
      <c r="AV318" s="1">
        <f t="shared" si="44"/>
        <v>0.47594787701295149</v>
      </c>
      <c r="AW318" s="1">
        <f t="shared" si="45"/>
        <v>0.30114724083967437</v>
      </c>
    </row>
    <row r="319" spans="1:49" x14ac:dyDescent="0.2">
      <c r="A319">
        <v>317</v>
      </c>
      <c r="B319" t="s">
        <v>4865</v>
      </c>
      <c r="F319" t="s">
        <v>4864</v>
      </c>
      <c r="G319" t="s">
        <v>14</v>
      </c>
      <c r="H319" t="s">
        <v>13</v>
      </c>
      <c r="I319" t="s">
        <v>4863</v>
      </c>
      <c r="N319">
        <v>2</v>
      </c>
      <c r="O319" t="s">
        <v>4862</v>
      </c>
      <c r="P319">
        <v>57214461290</v>
      </c>
      <c r="R319" s="7">
        <v>31778</v>
      </c>
      <c r="S319" s="8">
        <f t="shared" si="40"/>
        <v>1987</v>
      </c>
      <c r="T319" s="8">
        <v>1987</v>
      </c>
      <c r="U319" s="8">
        <f t="shared" si="41"/>
        <v>35</v>
      </c>
      <c r="V319" s="7">
        <v>1987</v>
      </c>
      <c r="W319" t="s">
        <v>4861</v>
      </c>
      <c r="X319" s="2" t="s">
        <v>32</v>
      </c>
      <c r="Y319" s="6" t="e">
        <f t="shared" si="38"/>
        <v>#VALUE!</v>
      </c>
      <c r="AB319">
        <v>57447</v>
      </c>
      <c r="AD319" t="s">
        <v>4</v>
      </c>
      <c r="AE319">
        <v>49</v>
      </c>
      <c r="AF319">
        <v>1</v>
      </c>
      <c r="AH319" s="9">
        <v>44440</v>
      </c>
      <c r="AI319" t="s">
        <v>4860</v>
      </c>
      <c r="AK319" t="s">
        <v>4859</v>
      </c>
      <c r="AL319">
        <v>1</v>
      </c>
      <c r="AM319" s="5">
        <f t="shared" si="42"/>
        <v>2.8571428571428571E-2</v>
      </c>
      <c r="AN319" s="4">
        <f t="shared" si="39"/>
        <v>4.32736517552875E-5</v>
      </c>
      <c r="AO319" s="3"/>
      <c r="AP319">
        <v>0</v>
      </c>
      <c r="AR319" t="s">
        <v>0</v>
      </c>
      <c r="AT319" s="2" t="s">
        <v>32</v>
      </c>
      <c r="AU319" s="1" t="e">
        <f t="shared" si="43"/>
        <v>#VALUE!</v>
      </c>
      <c r="AV319" s="1" t="e">
        <f t="shared" si="44"/>
        <v>#VALUE!</v>
      </c>
      <c r="AW319" s="1" t="e">
        <f t="shared" si="45"/>
        <v>#VALUE!</v>
      </c>
    </row>
    <row r="320" spans="1:49" x14ac:dyDescent="0.2">
      <c r="A320">
        <v>318</v>
      </c>
      <c r="B320" t="s">
        <v>4858</v>
      </c>
      <c r="C320" t="s">
        <v>4857</v>
      </c>
      <c r="D320" t="s">
        <v>4856</v>
      </c>
      <c r="F320" t="s">
        <v>4855</v>
      </c>
      <c r="G320" t="s">
        <v>14</v>
      </c>
      <c r="H320" t="s">
        <v>13</v>
      </c>
      <c r="I320" t="s">
        <v>4854</v>
      </c>
      <c r="J320">
        <v>100387882</v>
      </c>
      <c r="K320" t="s">
        <v>4853</v>
      </c>
      <c r="L320" t="s">
        <v>4852</v>
      </c>
      <c r="M320" t="s">
        <v>586</v>
      </c>
      <c r="N320">
        <v>1</v>
      </c>
      <c r="O320" t="s">
        <v>4851</v>
      </c>
      <c r="P320">
        <v>7404955454</v>
      </c>
      <c r="Q320">
        <v>100387882</v>
      </c>
      <c r="R320" s="7">
        <v>31778</v>
      </c>
      <c r="S320" s="8">
        <f t="shared" si="40"/>
        <v>1987</v>
      </c>
      <c r="T320" s="8">
        <v>1987</v>
      </c>
      <c r="U320" s="8">
        <f t="shared" si="41"/>
        <v>35</v>
      </c>
      <c r="V320" s="7">
        <v>31929</v>
      </c>
      <c r="W320" t="s">
        <v>4850</v>
      </c>
      <c r="X320" s="2">
        <v>0.66900000000000004</v>
      </c>
      <c r="Y320" s="6">
        <f t="shared" si="38"/>
        <v>1.7858572915832469E-2</v>
      </c>
      <c r="AA320">
        <v>1678655</v>
      </c>
      <c r="AB320">
        <v>24825</v>
      </c>
      <c r="AD320" t="s">
        <v>4</v>
      </c>
      <c r="AE320">
        <v>6</v>
      </c>
      <c r="AF320">
        <v>1</v>
      </c>
      <c r="AH320" t="s">
        <v>4849</v>
      </c>
      <c r="AI320" t="s">
        <v>4848</v>
      </c>
      <c r="AJ320" t="s">
        <v>4847</v>
      </c>
      <c r="AK320" t="s">
        <v>4846</v>
      </c>
      <c r="AL320">
        <v>0</v>
      </c>
      <c r="AM320" s="5">
        <f t="shared" si="42"/>
        <v>0</v>
      </c>
      <c r="AN320" s="4">
        <f t="shared" si="39"/>
        <v>0</v>
      </c>
      <c r="AO320" s="3"/>
      <c r="AP320">
        <v>0</v>
      </c>
      <c r="AR320" t="s">
        <v>0</v>
      </c>
      <c r="AT320" s="2">
        <v>3.7559999999999998</v>
      </c>
      <c r="AU320" s="1">
        <f t="shared" si="43"/>
        <v>1.2501001041082727</v>
      </c>
      <c r="AV320" s="1">
        <f t="shared" si="44"/>
        <v>0.89292864579162345</v>
      </c>
      <c r="AW320" s="1">
        <f t="shared" si="45"/>
        <v>0.53575718747497403</v>
      </c>
    </row>
    <row r="321" spans="1:49" x14ac:dyDescent="0.2">
      <c r="A321">
        <v>319</v>
      </c>
      <c r="B321" t="s">
        <v>4845</v>
      </c>
      <c r="C321" t="s">
        <v>4844</v>
      </c>
      <c r="F321" t="s">
        <v>4843</v>
      </c>
      <c r="G321" t="s">
        <v>14</v>
      </c>
      <c r="H321" t="s">
        <v>13</v>
      </c>
      <c r="I321" t="s">
        <v>4842</v>
      </c>
      <c r="J321" t="s">
        <v>4841</v>
      </c>
      <c r="K321" t="s">
        <v>4840</v>
      </c>
      <c r="L321" t="s">
        <v>4839</v>
      </c>
      <c r="M321" t="s">
        <v>4838</v>
      </c>
      <c r="N321">
        <v>1</v>
      </c>
      <c r="O321" t="s">
        <v>4837</v>
      </c>
      <c r="P321">
        <v>57203180879</v>
      </c>
      <c r="Q321" t="s">
        <v>4836</v>
      </c>
      <c r="R321" s="7">
        <v>31778</v>
      </c>
      <c r="S321" s="8">
        <f t="shared" si="40"/>
        <v>1987</v>
      </c>
      <c r="T321" s="8">
        <v>1987</v>
      </c>
      <c r="U321" s="8">
        <f t="shared" si="41"/>
        <v>35</v>
      </c>
      <c r="V321" s="7">
        <v>31929</v>
      </c>
      <c r="W321" t="s">
        <v>4835</v>
      </c>
      <c r="X321" s="2">
        <v>1.2969999999999999</v>
      </c>
      <c r="Y321" s="6">
        <f t="shared" si="38"/>
        <v>3.4622674247884469E-2</v>
      </c>
      <c r="AA321">
        <v>465070</v>
      </c>
      <c r="AB321">
        <v>15112</v>
      </c>
      <c r="AC321">
        <v>13652427</v>
      </c>
      <c r="AD321" t="s">
        <v>4</v>
      </c>
      <c r="AE321">
        <v>17</v>
      </c>
      <c r="AF321">
        <v>3</v>
      </c>
      <c r="AH321" t="s">
        <v>4834</v>
      </c>
      <c r="AI321" t="s">
        <v>4833</v>
      </c>
      <c r="AK321" t="s">
        <v>4832</v>
      </c>
      <c r="AL321">
        <v>25</v>
      </c>
      <c r="AM321" s="5">
        <f t="shared" si="42"/>
        <v>0.7142857142857143</v>
      </c>
      <c r="AN321" s="4">
        <f t="shared" si="39"/>
        <v>1.0818412938821875E-3</v>
      </c>
      <c r="AO321" s="3"/>
      <c r="AP321">
        <v>0</v>
      </c>
      <c r="AR321" t="s">
        <v>0</v>
      </c>
      <c r="AT321" s="2">
        <v>3.8090000000000002</v>
      </c>
      <c r="AU321" s="1">
        <f t="shared" si="43"/>
        <v>2.4560424361683779</v>
      </c>
      <c r="AV321" s="1">
        <f t="shared" si="44"/>
        <v>1.7852257770883329</v>
      </c>
      <c r="AW321" s="1">
        <f t="shared" si="45"/>
        <v>1.1144091180082871</v>
      </c>
    </row>
    <row r="322" spans="1:49" x14ac:dyDescent="0.2">
      <c r="A322">
        <v>320</v>
      </c>
      <c r="B322" t="s">
        <v>4831</v>
      </c>
      <c r="C322" t="s">
        <v>4830</v>
      </c>
      <c r="F322" t="s">
        <v>4829</v>
      </c>
      <c r="G322" t="s">
        <v>14</v>
      </c>
      <c r="H322" t="s">
        <v>13</v>
      </c>
      <c r="I322" t="s">
        <v>4828</v>
      </c>
      <c r="J322">
        <v>60025225</v>
      </c>
      <c r="K322" t="s">
        <v>3764</v>
      </c>
      <c r="L322" t="s">
        <v>3763</v>
      </c>
      <c r="M322" t="s">
        <v>586</v>
      </c>
      <c r="N322">
        <v>4</v>
      </c>
      <c r="O322" t="s">
        <v>4827</v>
      </c>
      <c r="P322" t="s">
        <v>4826</v>
      </c>
      <c r="Q322" t="s">
        <v>4825</v>
      </c>
      <c r="R322" s="7">
        <v>31778</v>
      </c>
      <c r="S322" s="8">
        <f t="shared" si="40"/>
        <v>1987</v>
      </c>
      <c r="T322" s="8">
        <v>1987</v>
      </c>
      <c r="U322" s="8">
        <f t="shared" si="41"/>
        <v>35</v>
      </c>
      <c r="V322" s="7" t="s">
        <v>4807</v>
      </c>
      <c r="W322" t="s">
        <v>3690</v>
      </c>
      <c r="X322" s="2" t="s">
        <v>32</v>
      </c>
      <c r="Y322" s="6" t="e">
        <f t="shared" ref="Y322:Y385" si="46">(X322-$Z$4)/($Z$3-$Z$4)</f>
        <v>#VALUE!</v>
      </c>
      <c r="AA322">
        <v>2671689</v>
      </c>
      <c r="AB322">
        <v>87645</v>
      </c>
      <c r="AD322" t="s">
        <v>4</v>
      </c>
      <c r="AE322">
        <v>57</v>
      </c>
      <c r="AF322">
        <v>6</v>
      </c>
      <c r="AH322" t="s">
        <v>4824</v>
      </c>
      <c r="AL322">
        <v>52</v>
      </c>
      <c r="AM322" s="5">
        <f t="shared" si="42"/>
        <v>1.4857142857142858</v>
      </c>
      <c r="AN322" s="4">
        <f t="shared" ref="AN322:AN385" si="47">(AM322-$AO$4)/($AO$3-$AO$4)</f>
        <v>2.25022989127495E-3</v>
      </c>
      <c r="AO322" s="3"/>
      <c r="AP322">
        <v>0</v>
      </c>
      <c r="AR322" t="s">
        <v>0</v>
      </c>
      <c r="AT322" s="2" t="s">
        <v>32</v>
      </c>
      <c r="AU322" s="1" t="e">
        <f t="shared" si="43"/>
        <v>#VALUE!</v>
      </c>
      <c r="AV322" s="1" t="e">
        <f t="shared" si="44"/>
        <v>#VALUE!</v>
      </c>
      <c r="AW322" s="1" t="e">
        <f t="shared" si="45"/>
        <v>#VALUE!</v>
      </c>
    </row>
    <row r="323" spans="1:49" x14ac:dyDescent="0.2">
      <c r="A323">
        <v>321</v>
      </c>
      <c r="B323" t="s">
        <v>4823</v>
      </c>
      <c r="C323" t="s">
        <v>4822</v>
      </c>
      <c r="F323" t="s">
        <v>4821</v>
      </c>
      <c r="G323" t="s">
        <v>14</v>
      </c>
      <c r="H323" t="s">
        <v>13</v>
      </c>
      <c r="I323" t="s">
        <v>4820</v>
      </c>
      <c r="N323">
        <v>14</v>
      </c>
      <c r="O323" t="s">
        <v>4819</v>
      </c>
      <c r="P323" t="s">
        <v>4818</v>
      </c>
      <c r="Q323" t="s">
        <v>4817</v>
      </c>
      <c r="R323" s="7">
        <v>31778</v>
      </c>
      <c r="S323" s="8">
        <f t="shared" si="40"/>
        <v>1987</v>
      </c>
      <c r="T323" s="8">
        <v>1987</v>
      </c>
      <c r="U323" s="8">
        <f t="shared" si="41"/>
        <v>35</v>
      </c>
      <c r="V323" s="7" t="s">
        <v>4636</v>
      </c>
      <c r="W323" t="s">
        <v>775</v>
      </c>
      <c r="X323" s="2" t="s">
        <v>32</v>
      </c>
      <c r="Y323" s="6" t="e">
        <f t="shared" si="46"/>
        <v>#VALUE!</v>
      </c>
      <c r="AA323">
        <v>7481896</v>
      </c>
      <c r="AB323">
        <v>78193</v>
      </c>
      <c r="AD323" t="s">
        <v>4</v>
      </c>
      <c r="AE323">
        <v>12</v>
      </c>
      <c r="AF323">
        <v>3</v>
      </c>
      <c r="AH323" t="s">
        <v>4816</v>
      </c>
      <c r="AI323" t="s">
        <v>4815</v>
      </c>
      <c r="AK323" t="s">
        <v>4814</v>
      </c>
      <c r="AL323">
        <v>28</v>
      </c>
      <c r="AM323" s="5">
        <f t="shared" si="42"/>
        <v>0.8</v>
      </c>
      <c r="AN323" s="4">
        <f t="shared" si="47"/>
        <v>1.2116622491480501E-3</v>
      </c>
      <c r="AO323" s="3"/>
      <c r="AP323">
        <v>0</v>
      </c>
      <c r="AR323" t="s">
        <v>0</v>
      </c>
      <c r="AT323" s="2" t="s">
        <v>32</v>
      </c>
      <c r="AU323" s="1" t="e">
        <f t="shared" si="43"/>
        <v>#VALUE!</v>
      </c>
      <c r="AV323" s="1" t="e">
        <f t="shared" si="44"/>
        <v>#VALUE!</v>
      </c>
      <c r="AW323" s="1" t="e">
        <f t="shared" si="45"/>
        <v>#VALUE!</v>
      </c>
    </row>
    <row r="324" spans="1:49" x14ac:dyDescent="0.2">
      <c r="A324">
        <v>322</v>
      </c>
      <c r="B324" t="s">
        <v>4813</v>
      </c>
      <c r="C324" t="s">
        <v>4812</v>
      </c>
      <c r="F324" t="s">
        <v>4811</v>
      </c>
      <c r="G324" t="s">
        <v>14</v>
      </c>
      <c r="H324" t="s">
        <v>13</v>
      </c>
      <c r="I324" t="s">
        <v>4810</v>
      </c>
      <c r="J324">
        <v>60025555</v>
      </c>
      <c r="K324" t="s">
        <v>550</v>
      </c>
      <c r="L324" t="s">
        <v>549</v>
      </c>
      <c r="M324" t="s">
        <v>524</v>
      </c>
      <c r="N324">
        <v>3</v>
      </c>
      <c r="O324" t="s">
        <v>4809</v>
      </c>
      <c r="P324" t="s">
        <v>4808</v>
      </c>
      <c r="Q324" t="s">
        <v>546</v>
      </c>
      <c r="R324" s="7">
        <v>31778</v>
      </c>
      <c r="S324" s="8">
        <f t="shared" si="40"/>
        <v>1987</v>
      </c>
      <c r="T324" s="8">
        <v>1987</v>
      </c>
      <c r="U324" s="8">
        <f t="shared" si="41"/>
        <v>35</v>
      </c>
      <c r="V324" s="7" t="s">
        <v>4807</v>
      </c>
      <c r="W324" t="s">
        <v>3690</v>
      </c>
      <c r="X324" s="2" t="s">
        <v>32</v>
      </c>
      <c r="Y324" s="6" t="e">
        <f t="shared" si="46"/>
        <v>#VALUE!</v>
      </c>
      <c r="AA324">
        <v>2671689</v>
      </c>
      <c r="AB324">
        <v>87645</v>
      </c>
      <c r="AD324" t="s">
        <v>4</v>
      </c>
      <c r="AE324">
        <v>57</v>
      </c>
      <c r="AF324">
        <v>6</v>
      </c>
      <c r="AH324" t="s">
        <v>4806</v>
      </c>
      <c r="AI324" t="s">
        <v>4805</v>
      </c>
      <c r="AK324" t="s">
        <v>4804</v>
      </c>
      <c r="AL324">
        <v>3</v>
      </c>
      <c r="AM324" s="5">
        <f t="shared" si="42"/>
        <v>8.5714285714285715E-2</v>
      </c>
      <c r="AN324" s="4">
        <f t="shared" si="47"/>
        <v>1.2982095526586251E-4</v>
      </c>
      <c r="AO324" s="3"/>
      <c r="AP324">
        <v>0</v>
      </c>
      <c r="AR324" t="s">
        <v>0</v>
      </c>
      <c r="AT324" s="2" t="s">
        <v>32</v>
      </c>
      <c r="AU324" s="1" t="e">
        <f t="shared" si="43"/>
        <v>#VALUE!</v>
      </c>
      <c r="AV324" s="1" t="e">
        <f t="shared" si="44"/>
        <v>#VALUE!</v>
      </c>
      <c r="AW324" s="1" t="e">
        <f t="shared" si="45"/>
        <v>#VALUE!</v>
      </c>
    </row>
    <row r="325" spans="1:49" x14ac:dyDescent="0.2">
      <c r="A325">
        <v>323</v>
      </c>
      <c r="B325" t="s">
        <v>4803</v>
      </c>
      <c r="C325" t="s">
        <v>4802</v>
      </c>
      <c r="F325" t="s">
        <v>4801</v>
      </c>
      <c r="G325" t="s">
        <v>14</v>
      </c>
      <c r="H325" t="s">
        <v>13</v>
      </c>
      <c r="I325" t="s">
        <v>4800</v>
      </c>
      <c r="J325">
        <v>118843952</v>
      </c>
      <c r="K325" t="s">
        <v>4799</v>
      </c>
      <c r="L325" t="s">
        <v>2575</v>
      </c>
      <c r="M325" t="s">
        <v>2574</v>
      </c>
      <c r="N325">
        <v>1</v>
      </c>
      <c r="O325" t="s">
        <v>4798</v>
      </c>
      <c r="P325">
        <v>57214680238</v>
      </c>
      <c r="Q325">
        <v>118843952</v>
      </c>
      <c r="R325" s="7">
        <v>31778</v>
      </c>
      <c r="S325" s="8">
        <f t="shared" si="40"/>
        <v>1987</v>
      </c>
      <c r="T325" s="8">
        <v>1987</v>
      </c>
      <c r="U325" s="8">
        <f t="shared" si="41"/>
        <v>35</v>
      </c>
      <c r="V325" s="7">
        <v>1987</v>
      </c>
      <c r="W325" t="s">
        <v>429</v>
      </c>
      <c r="X325" s="2">
        <v>0.375</v>
      </c>
      <c r="Y325" s="6">
        <f t="shared" si="46"/>
        <v>1.0010410827260351E-2</v>
      </c>
      <c r="AA325">
        <v>135194</v>
      </c>
      <c r="AB325">
        <v>24918</v>
      </c>
      <c r="AD325" t="s">
        <v>4</v>
      </c>
      <c r="AE325">
        <v>23</v>
      </c>
      <c r="AF325">
        <v>24</v>
      </c>
      <c r="AH325" t="s">
        <v>4797</v>
      </c>
      <c r="AI325" t="s">
        <v>4796</v>
      </c>
      <c r="AJ325" t="s">
        <v>4795</v>
      </c>
      <c r="AK325" t="s">
        <v>4794</v>
      </c>
      <c r="AL325">
        <v>1</v>
      </c>
      <c r="AM325" s="5">
        <f t="shared" si="42"/>
        <v>2.8571428571428571E-2</v>
      </c>
      <c r="AN325" s="4">
        <f t="shared" si="47"/>
        <v>4.32736517552875E-5</v>
      </c>
      <c r="AO325" s="3"/>
      <c r="AP325">
        <v>0</v>
      </c>
      <c r="AR325" t="s">
        <v>0</v>
      </c>
      <c r="AT325" s="2">
        <v>1.3140000000000001</v>
      </c>
      <c r="AU325" s="1">
        <f t="shared" si="43"/>
        <v>0.70202696746088322</v>
      </c>
      <c r="AV325" s="1">
        <f t="shared" si="44"/>
        <v>0.50268422395078194</v>
      </c>
      <c r="AW325" s="1">
        <f t="shared" si="45"/>
        <v>0.3033414804406806</v>
      </c>
    </row>
    <row r="326" spans="1:49" x14ac:dyDescent="0.2">
      <c r="A326">
        <v>324</v>
      </c>
      <c r="B326" t="s">
        <v>4793</v>
      </c>
      <c r="C326" t="s">
        <v>4792</v>
      </c>
      <c r="F326" t="s">
        <v>4791</v>
      </c>
      <c r="G326" t="s">
        <v>14</v>
      </c>
      <c r="H326" t="s">
        <v>13</v>
      </c>
      <c r="I326" t="s">
        <v>4790</v>
      </c>
      <c r="N326">
        <v>3</v>
      </c>
      <c r="O326" t="s">
        <v>4789</v>
      </c>
      <c r="P326" t="s">
        <v>4788</v>
      </c>
      <c r="Q326" t="s">
        <v>171</v>
      </c>
      <c r="R326" s="7">
        <v>31778</v>
      </c>
      <c r="S326" s="8">
        <f t="shared" si="40"/>
        <v>1987</v>
      </c>
      <c r="T326" s="8">
        <v>1987</v>
      </c>
      <c r="U326" s="8">
        <f t="shared" si="41"/>
        <v>35</v>
      </c>
      <c r="V326" s="7">
        <v>32082</v>
      </c>
      <c r="W326" t="s">
        <v>472</v>
      </c>
      <c r="X326" s="2">
        <v>0.371</v>
      </c>
      <c r="Y326" s="6">
        <f t="shared" si="46"/>
        <v>9.9036331117695747E-3</v>
      </c>
      <c r="AA326">
        <v>486604</v>
      </c>
      <c r="AB326">
        <v>28580</v>
      </c>
      <c r="AC326" t="s">
        <v>471</v>
      </c>
      <c r="AD326" t="s">
        <v>4</v>
      </c>
      <c r="AE326">
        <v>22</v>
      </c>
      <c r="AF326">
        <v>6</v>
      </c>
      <c r="AH326" t="s">
        <v>4787</v>
      </c>
      <c r="AI326" t="s">
        <v>4786</v>
      </c>
      <c r="AK326" t="s">
        <v>4785</v>
      </c>
      <c r="AL326">
        <v>10</v>
      </c>
      <c r="AM326" s="5">
        <f t="shared" si="42"/>
        <v>0.2857142857142857</v>
      </c>
      <c r="AN326" s="4">
        <f t="shared" si="47"/>
        <v>4.3273651755287499E-4</v>
      </c>
      <c r="AO326" s="3"/>
      <c r="AP326">
        <v>0</v>
      </c>
      <c r="AR326" t="s">
        <v>0</v>
      </c>
      <c r="AT326" s="2">
        <v>1.431</v>
      </c>
      <c r="AU326" s="1">
        <f t="shared" si="43"/>
        <v>0.70623641335045639</v>
      </c>
      <c r="AV326" s="1">
        <f t="shared" si="44"/>
        <v>0.51681848146612253</v>
      </c>
      <c r="AW326" s="1">
        <f t="shared" si="45"/>
        <v>0.32740054958178849</v>
      </c>
    </row>
    <row r="327" spans="1:49" x14ac:dyDescent="0.2">
      <c r="A327">
        <v>325</v>
      </c>
      <c r="B327" t="s">
        <v>4784</v>
      </c>
      <c r="C327" t="s">
        <v>4783</v>
      </c>
      <c r="F327" t="s">
        <v>4782</v>
      </c>
      <c r="G327" t="s">
        <v>14</v>
      </c>
      <c r="H327" t="s">
        <v>13</v>
      </c>
      <c r="I327" t="s">
        <v>4781</v>
      </c>
      <c r="J327">
        <v>60023053</v>
      </c>
      <c r="K327" t="s">
        <v>1165</v>
      </c>
      <c r="L327" t="s">
        <v>1164</v>
      </c>
      <c r="M327" t="s">
        <v>9</v>
      </c>
      <c r="N327">
        <v>2</v>
      </c>
      <c r="O327" t="s">
        <v>4780</v>
      </c>
      <c r="P327" t="s">
        <v>4779</v>
      </c>
      <c r="Q327" t="s">
        <v>1161</v>
      </c>
      <c r="R327" s="7">
        <v>31778</v>
      </c>
      <c r="S327" s="8">
        <f t="shared" si="40"/>
        <v>1987</v>
      </c>
      <c r="T327" s="8">
        <v>1987</v>
      </c>
      <c r="U327" s="8">
        <f t="shared" si="41"/>
        <v>35</v>
      </c>
      <c r="V327" s="7">
        <v>31898</v>
      </c>
      <c r="W327" t="s">
        <v>1530</v>
      </c>
      <c r="X327" s="2">
        <v>0.65500000000000003</v>
      </c>
      <c r="Y327" s="6">
        <f t="shared" si="46"/>
        <v>1.7484850911614749E-2</v>
      </c>
      <c r="AA327">
        <v>189375</v>
      </c>
      <c r="AB327">
        <v>26051</v>
      </c>
      <c r="AC327" t="s">
        <v>1529</v>
      </c>
      <c r="AD327" t="s">
        <v>4</v>
      </c>
      <c r="AE327" t="s">
        <v>1528</v>
      </c>
      <c r="AF327">
        <v>4</v>
      </c>
      <c r="AH327" t="s">
        <v>4778</v>
      </c>
      <c r="AI327" t="s">
        <v>4777</v>
      </c>
      <c r="AJ327" t="s">
        <v>4776</v>
      </c>
      <c r="AK327" t="s">
        <v>4775</v>
      </c>
      <c r="AL327">
        <v>7</v>
      </c>
      <c r="AM327" s="5">
        <f t="shared" si="42"/>
        <v>0.2</v>
      </c>
      <c r="AN327" s="4">
        <f t="shared" si="47"/>
        <v>3.0291556228701253E-4</v>
      </c>
      <c r="AO327" s="3"/>
      <c r="AP327">
        <v>0</v>
      </c>
      <c r="AR327" t="s">
        <v>0</v>
      </c>
      <c r="AT327" s="2" t="s">
        <v>32</v>
      </c>
      <c r="AU327" s="1">
        <f t="shared" si="43"/>
        <v>1.2330270306816427</v>
      </c>
      <c r="AV327" s="1">
        <f t="shared" si="44"/>
        <v>0.88938832369508813</v>
      </c>
      <c r="AW327" s="1">
        <f t="shared" si="45"/>
        <v>0.54574961670853339</v>
      </c>
    </row>
    <row r="328" spans="1:49" x14ac:dyDescent="0.2">
      <c r="A328">
        <v>326</v>
      </c>
      <c r="B328" t="s">
        <v>4774</v>
      </c>
      <c r="C328" t="s">
        <v>4773</v>
      </c>
      <c r="F328" t="s">
        <v>4772</v>
      </c>
      <c r="G328" t="s">
        <v>14</v>
      </c>
      <c r="H328" t="s">
        <v>13</v>
      </c>
      <c r="I328" t="s">
        <v>4771</v>
      </c>
      <c r="J328">
        <v>100497683</v>
      </c>
      <c r="K328" t="s">
        <v>4770</v>
      </c>
      <c r="L328" t="s">
        <v>4769</v>
      </c>
      <c r="M328" t="s">
        <v>9</v>
      </c>
      <c r="N328">
        <v>1</v>
      </c>
      <c r="O328" t="s">
        <v>4768</v>
      </c>
      <c r="P328">
        <v>7003790905</v>
      </c>
      <c r="Q328">
        <v>100497683</v>
      </c>
      <c r="R328" s="7">
        <v>31778</v>
      </c>
      <c r="S328" s="8">
        <f t="shared" si="40"/>
        <v>1987</v>
      </c>
      <c r="T328" s="8">
        <v>1987</v>
      </c>
      <c r="U328" s="8">
        <f t="shared" si="41"/>
        <v>35</v>
      </c>
      <c r="V328" s="7" t="s">
        <v>4636</v>
      </c>
      <c r="W328" t="s">
        <v>3924</v>
      </c>
      <c r="X328" s="2">
        <v>0.76700000000000002</v>
      </c>
      <c r="Y328" s="6">
        <f t="shared" si="46"/>
        <v>2.0474626945356504E-2</v>
      </c>
      <c r="AA328">
        <v>983063</v>
      </c>
      <c r="AB328">
        <v>26048</v>
      </c>
      <c r="AD328" t="s">
        <v>4</v>
      </c>
      <c r="AE328" t="s">
        <v>3923</v>
      </c>
      <c r="AF328">
        <v>4</v>
      </c>
      <c r="AI328" t="s">
        <v>4767</v>
      </c>
      <c r="AK328" t="s">
        <v>4766</v>
      </c>
      <c r="AL328">
        <v>0</v>
      </c>
      <c r="AM328" s="5">
        <f t="shared" si="42"/>
        <v>0</v>
      </c>
      <c r="AN328" s="4">
        <f t="shared" si="47"/>
        <v>0</v>
      </c>
      <c r="AO328" s="3"/>
      <c r="AP328">
        <v>0</v>
      </c>
      <c r="AR328" t="s">
        <v>0</v>
      </c>
      <c r="AT328" s="2" t="s">
        <v>32</v>
      </c>
      <c r="AU328" s="1">
        <f t="shared" si="43"/>
        <v>1.4332238861749553</v>
      </c>
      <c r="AV328" s="1">
        <f t="shared" si="44"/>
        <v>1.0237313472678251</v>
      </c>
      <c r="AW328" s="1">
        <f t="shared" si="45"/>
        <v>0.61423880836069511</v>
      </c>
    </row>
    <row r="329" spans="1:49" x14ac:dyDescent="0.2">
      <c r="A329">
        <v>327</v>
      </c>
      <c r="B329" t="s">
        <v>4765</v>
      </c>
      <c r="C329" t="s">
        <v>4764</v>
      </c>
      <c r="F329" t="s">
        <v>4763</v>
      </c>
      <c r="G329" t="s">
        <v>14</v>
      </c>
      <c r="H329" t="s">
        <v>13</v>
      </c>
      <c r="I329" t="s">
        <v>4762</v>
      </c>
      <c r="J329">
        <v>60008676</v>
      </c>
      <c r="K329" t="s">
        <v>4761</v>
      </c>
      <c r="L329" t="s">
        <v>4760</v>
      </c>
      <c r="M329" t="s">
        <v>9</v>
      </c>
      <c r="N329">
        <v>2</v>
      </c>
      <c r="O329" t="s">
        <v>4759</v>
      </c>
      <c r="P329" t="s">
        <v>4758</v>
      </c>
      <c r="Q329" t="s">
        <v>4757</v>
      </c>
      <c r="R329" s="7">
        <v>31778</v>
      </c>
      <c r="S329" s="8">
        <f t="shared" si="40"/>
        <v>1987</v>
      </c>
      <c r="T329" s="8">
        <v>1987</v>
      </c>
      <c r="U329" s="8">
        <f t="shared" si="41"/>
        <v>35</v>
      </c>
      <c r="V329" s="7">
        <v>31898</v>
      </c>
      <c r="W329" t="s">
        <v>1530</v>
      </c>
      <c r="X329" s="2">
        <v>0.65500000000000003</v>
      </c>
      <c r="Y329" s="6">
        <f t="shared" si="46"/>
        <v>1.7484850911614749E-2</v>
      </c>
      <c r="AA329">
        <v>189375</v>
      </c>
      <c r="AB329">
        <v>26051</v>
      </c>
      <c r="AC329" t="s">
        <v>1529</v>
      </c>
      <c r="AD329" t="s">
        <v>4</v>
      </c>
      <c r="AE329" t="s">
        <v>1528</v>
      </c>
      <c r="AF329">
        <v>4</v>
      </c>
      <c r="AH329" t="s">
        <v>4756</v>
      </c>
      <c r="AI329" t="s">
        <v>4755</v>
      </c>
      <c r="AJ329" t="s">
        <v>4754</v>
      </c>
      <c r="AK329" t="s">
        <v>4753</v>
      </c>
      <c r="AL329">
        <v>0</v>
      </c>
      <c r="AM329" s="5">
        <f t="shared" si="42"/>
        <v>0</v>
      </c>
      <c r="AN329" s="4">
        <f t="shared" si="47"/>
        <v>0</v>
      </c>
      <c r="AO329" s="3"/>
      <c r="AP329">
        <v>0</v>
      </c>
      <c r="AR329" t="s">
        <v>0</v>
      </c>
      <c r="AT329" s="2" t="s">
        <v>32</v>
      </c>
      <c r="AU329" s="1">
        <f t="shared" si="43"/>
        <v>1.2239395638130324</v>
      </c>
      <c r="AV329" s="1">
        <f t="shared" si="44"/>
        <v>0.87424254558073744</v>
      </c>
      <c r="AW329" s="1">
        <f t="shared" si="45"/>
        <v>0.52454552734844251</v>
      </c>
    </row>
    <row r="330" spans="1:49" x14ac:dyDescent="0.2">
      <c r="A330">
        <v>328</v>
      </c>
      <c r="B330" t="s">
        <v>4752</v>
      </c>
      <c r="C330" t="s">
        <v>4751</v>
      </c>
      <c r="D330" t="s">
        <v>4750</v>
      </c>
      <c r="F330" t="s">
        <v>4749</v>
      </c>
      <c r="G330" t="s">
        <v>14</v>
      </c>
      <c r="H330" t="s">
        <v>13</v>
      </c>
      <c r="I330" t="s">
        <v>4748</v>
      </c>
      <c r="J330" t="s">
        <v>4747</v>
      </c>
      <c r="K330" t="s">
        <v>4746</v>
      </c>
      <c r="L330" t="s">
        <v>4745</v>
      </c>
      <c r="M330" t="s">
        <v>1260</v>
      </c>
      <c r="N330">
        <v>3</v>
      </c>
      <c r="O330" t="s">
        <v>4744</v>
      </c>
      <c r="P330" t="s">
        <v>4743</v>
      </c>
      <c r="Q330" t="s">
        <v>4742</v>
      </c>
      <c r="R330" s="7">
        <v>31778</v>
      </c>
      <c r="S330" s="8">
        <f t="shared" si="40"/>
        <v>1987</v>
      </c>
      <c r="T330" s="8">
        <v>1987</v>
      </c>
      <c r="U330" s="8">
        <f t="shared" si="41"/>
        <v>35</v>
      </c>
      <c r="V330" s="7">
        <v>32082</v>
      </c>
      <c r="W330" t="s">
        <v>509</v>
      </c>
      <c r="X330" s="2">
        <v>1.1339999999999999</v>
      </c>
      <c r="Y330" s="6">
        <f t="shared" si="46"/>
        <v>3.0271482341635299E-2</v>
      </c>
      <c r="AA330">
        <v>945765</v>
      </c>
      <c r="AB330">
        <v>12372</v>
      </c>
      <c r="AD330" t="s">
        <v>4</v>
      </c>
      <c r="AE330">
        <v>15</v>
      </c>
      <c r="AF330">
        <v>11</v>
      </c>
      <c r="AH330" t="s">
        <v>4741</v>
      </c>
      <c r="AI330" t="s">
        <v>4740</v>
      </c>
      <c r="AK330" t="s">
        <v>4739</v>
      </c>
      <c r="AL330">
        <v>0</v>
      </c>
      <c r="AM330" s="5">
        <f t="shared" si="42"/>
        <v>0</v>
      </c>
      <c r="AN330" s="4">
        <f t="shared" si="47"/>
        <v>0</v>
      </c>
      <c r="AO330" s="3"/>
      <c r="AP330">
        <v>0</v>
      </c>
      <c r="AR330" t="s">
        <v>4738</v>
      </c>
      <c r="AT330" s="2">
        <v>2.4129999999999998</v>
      </c>
      <c r="AU330" s="1">
        <f t="shared" si="43"/>
        <v>2.119003763914471</v>
      </c>
      <c r="AV330" s="1">
        <f t="shared" si="44"/>
        <v>1.5135741170817649</v>
      </c>
      <c r="AW330" s="1">
        <f t="shared" si="45"/>
        <v>0.90814447024905898</v>
      </c>
    </row>
    <row r="331" spans="1:49" x14ac:dyDescent="0.2">
      <c r="A331">
        <v>329</v>
      </c>
      <c r="B331" t="s">
        <v>4737</v>
      </c>
      <c r="C331" t="s">
        <v>4736</v>
      </c>
      <c r="F331" t="s">
        <v>4735</v>
      </c>
      <c r="G331" t="s">
        <v>14</v>
      </c>
      <c r="H331" t="s">
        <v>13</v>
      </c>
      <c r="I331" t="s">
        <v>4734</v>
      </c>
      <c r="N331">
        <v>3</v>
      </c>
      <c r="O331" t="s">
        <v>4733</v>
      </c>
      <c r="P331" t="s">
        <v>4732</v>
      </c>
      <c r="Q331" t="s">
        <v>171</v>
      </c>
      <c r="R331" s="7">
        <v>31778</v>
      </c>
      <c r="S331" s="8">
        <f t="shared" si="40"/>
        <v>1987</v>
      </c>
      <c r="T331" s="8">
        <v>1987</v>
      </c>
      <c r="U331" s="8">
        <f t="shared" si="41"/>
        <v>35</v>
      </c>
      <c r="V331" s="7">
        <v>32082</v>
      </c>
      <c r="W331" t="s">
        <v>472</v>
      </c>
      <c r="X331" s="2">
        <v>0.371</v>
      </c>
      <c r="Y331" s="6">
        <f t="shared" si="46"/>
        <v>9.9036331117695747E-3</v>
      </c>
      <c r="AA331">
        <v>486604</v>
      </c>
      <c r="AB331">
        <v>28580</v>
      </c>
      <c r="AC331" t="s">
        <v>471</v>
      </c>
      <c r="AD331" t="s">
        <v>4</v>
      </c>
      <c r="AE331">
        <v>22</v>
      </c>
      <c r="AF331">
        <v>6</v>
      </c>
      <c r="AH331" t="s">
        <v>4731</v>
      </c>
      <c r="AI331" t="s">
        <v>4730</v>
      </c>
      <c r="AK331" t="s">
        <v>4729</v>
      </c>
      <c r="AL331">
        <v>1</v>
      </c>
      <c r="AM331" s="5">
        <f t="shared" si="42"/>
        <v>2.8571428571428571E-2</v>
      </c>
      <c r="AN331" s="4">
        <f t="shared" si="47"/>
        <v>4.32736517552875E-5</v>
      </c>
      <c r="AO331" s="3"/>
      <c r="AP331">
        <v>0</v>
      </c>
      <c r="AR331" t="s">
        <v>0</v>
      </c>
      <c r="AT331" s="2">
        <v>1.431</v>
      </c>
      <c r="AU331" s="1">
        <f t="shared" si="43"/>
        <v>0.69455252737652884</v>
      </c>
      <c r="AV331" s="1">
        <f t="shared" si="44"/>
        <v>0.4973453381762431</v>
      </c>
      <c r="AW331" s="1">
        <f t="shared" si="45"/>
        <v>0.30013814897595736</v>
      </c>
    </row>
    <row r="332" spans="1:49" x14ac:dyDescent="0.2">
      <c r="A332">
        <v>330</v>
      </c>
      <c r="B332" t="s">
        <v>4728</v>
      </c>
      <c r="C332" t="s">
        <v>4727</v>
      </c>
      <c r="D332" t="s">
        <v>4726</v>
      </c>
      <c r="F332" t="s">
        <v>4725</v>
      </c>
      <c r="G332" t="s">
        <v>14</v>
      </c>
      <c r="H332" t="s">
        <v>13</v>
      </c>
      <c r="I332" t="s">
        <v>4724</v>
      </c>
      <c r="J332">
        <v>60016561</v>
      </c>
      <c r="K332" t="s">
        <v>4723</v>
      </c>
      <c r="L332" t="s">
        <v>2995</v>
      </c>
      <c r="M332" t="s">
        <v>271</v>
      </c>
      <c r="N332">
        <v>1</v>
      </c>
      <c r="O332" t="s">
        <v>4722</v>
      </c>
      <c r="P332">
        <v>6701804032</v>
      </c>
      <c r="Q332">
        <v>60016561</v>
      </c>
      <c r="R332" s="7">
        <v>31778</v>
      </c>
      <c r="S332" s="8">
        <f t="shared" si="40"/>
        <v>1987</v>
      </c>
      <c r="T332" s="8">
        <v>1987</v>
      </c>
      <c r="U332" s="8">
        <f t="shared" si="41"/>
        <v>35</v>
      </c>
      <c r="V332" s="7">
        <v>32082</v>
      </c>
      <c r="W332" t="s">
        <v>4721</v>
      </c>
      <c r="X332" s="2">
        <v>0.81</v>
      </c>
      <c r="Y332" s="6">
        <f t="shared" si="46"/>
        <v>2.1622487386882359E-2</v>
      </c>
      <c r="AA332" t="s">
        <v>4720</v>
      </c>
      <c r="AB332">
        <v>13516</v>
      </c>
      <c r="AD332" t="s">
        <v>4</v>
      </c>
      <c r="AE332">
        <v>25</v>
      </c>
      <c r="AF332">
        <v>6</v>
      </c>
      <c r="AH332" t="s">
        <v>4719</v>
      </c>
      <c r="AI332" t="s">
        <v>4718</v>
      </c>
      <c r="AJ332" t="s">
        <v>4717</v>
      </c>
      <c r="AK332" t="s">
        <v>4716</v>
      </c>
      <c r="AL332">
        <v>11</v>
      </c>
      <c r="AM332" s="5">
        <f t="shared" si="42"/>
        <v>0.31428571428571428</v>
      </c>
      <c r="AN332" s="4">
        <f t="shared" si="47"/>
        <v>4.7601016930816251E-4</v>
      </c>
      <c r="AO332" s="3"/>
      <c r="AP332">
        <v>0</v>
      </c>
      <c r="AR332" t="s">
        <v>0</v>
      </c>
      <c r="AT332" s="2">
        <v>2.89</v>
      </c>
      <c r="AU332" s="1">
        <f t="shared" si="43"/>
        <v>1.5278544221610098</v>
      </c>
      <c r="AV332" s="1">
        <f t="shared" si="44"/>
        <v>1.1049248778095262</v>
      </c>
      <c r="AW332" s="1">
        <f t="shared" si="45"/>
        <v>0.6819953334580422</v>
      </c>
    </row>
    <row r="333" spans="1:49" x14ac:dyDescent="0.2">
      <c r="A333">
        <v>331</v>
      </c>
      <c r="B333" t="s">
        <v>4715</v>
      </c>
      <c r="C333" t="s">
        <v>4714</v>
      </c>
      <c r="F333" t="s">
        <v>4713</v>
      </c>
      <c r="G333" t="s">
        <v>14</v>
      </c>
      <c r="H333" t="s">
        <v>13</v>
      </c>
      <c r="I333" t="s">
        <v>4712</v>
      </c>
      <c r="J333" t="s">
        <v>4711</v>
      </c>
      <c r="K333" t="s">
        <v>4710</v>
      </c>
      <c r="L333" t="s">
        <v>4709</v>
      </c>
      <c r="M333" t="s">
        <v>4708</v>
      </c>
      <c r="N333">
        <v>2</v>
      </c>
      <c r="O333" t="s">
        <v>4707</v>
      </c>
      <c r="P333" t="s">
        <v>4706</v>
      </c>
      <c r="Q333" t="s">
        <v>4705</v>
      </c>
      <c r="R333" s="7">
        <v>31778</v>
      </c>
      <c r="S333" s="8">
        <f t="shared" si="40"/>
        <v>1987</v>
      </c>
      <c r="T333" s="8">
        <v>1987</v>
      </c>
      <c r="U333" s="8">
        <f t="shared" si="41"/>
        <v>35</v>
      </c>
      <c r="V333" s="7">
        <v>1987</v>
      </c>
      <c r="W333" t="s">
        <v>2805</v>
      </c>
      <c r="X333" s="2">
        <v>1.365</v>
      </c>
      <c r="Y333" s="6">
        <f t="shared" si="46"/>
        <v>3.6437895411227675E-2</v>
      </c>
      <c r="AA333">
        <v>189545</v>
      </c>
      <c r="AB333">
        <v>17393</v>
      </c>
      <c r="AC333">
        <v>19399359</v>
      </c>
      <c r="AD333" t="s">
        <v>4</v>
      </c>
      <c r="AE333">
        <v>36</v>
      </c>
      <c r="AF333">
        <v>4</v>
      </c>
      <c r="AH333" t="s">
        <v>4704</v>
      </c>
      <c r="AI333" t="s">
        <v>4703</v>
      </c>
      <c r="AK333" t="s">
        <v>4702</v>
      </c>
      <c r="AL333">
        <v>1123</v>
      </c>
      <c r="AM333" s="5">
        <f t="shared" si="42"/>
        <v>32.085714285714289</v>
      </c>
      <c r="AN333" s="4">
        <f t="shared" si="47"/>
        <v>4.8596310921187866E-2</v>
      </c>
      <c r="AO333" s="3"/>
      <c r="AP333">
        <v>0</v>
      </c>
      <c r="AR333" t="s">
        <v>0</v>
      </c>
      <c r="AT333" s="2" t="s">
        <v>32</v>
      </c>
      <c r="AU333" s="1">
        <f t="shared" si="43"/>
        <v>4.0085420064215729</v>
      </c>
      <c r="AV333" s="1">
        <f t="shared" si="44"/>
        <v>4.2517103166207768</v>
      </c>
      <c r="AW333" s="1">
        <f t="shared" si="45"/>
        <v>4.4948786268199798</v>
      </c>
    </row>
    <row r="334" spans="1:49" x14ac:dyDescent="0.2">
      <c r="A334">
        <v>332</v>
      </c>
      <c r="B334" t="s">
        <v>4701</v>
      </c>
      <c r="C334" t="s">
        <v>4700</v>
      </c>
      <c r="F334" t="s">
        <v>4699</v>
      </c>
      <c r="G334" t="s">
        <v>14</v>
      </c>
      <c r="H334" t="s">
        <v>13</v>
      </c>
      <c r="I334" t="s">
        <v>2163</v>
      </c>
      <c r="J334">
        <v>60018429</v>
      </c>
      <c r="K334" t="s">
        <v>2162</v>
      </c>
      <c r="L334" t="s">
        <v>2161</v>
      </c>
      <c r="M334" t="s">
        <v>524</v>
      </c>
      <c r="N334">
        <v>2</v>
      </c>
      <c r="O334" t="s">
        <v>4698</v>
      </c>
      <c r="P334" t="s">
        <v>4697</v>
      </c>
      <c r="Q334" t="s">
        <v>4696</v>
      </c>
      <c r="R334" s="7">
        <v>31778</v>
      </c>
      <c r="S334" s="8">
        <f t="shared" si="40"/>
        <v>1987</v>
      </c>
      <c r="T334" s="8">
        <v>1987</v>
      </c>
      <c r="U334" s="8">
        <f t="shared" si="41"/>
        <v>35</v>
      </c>
      <c r="V334" s="7">
        <v>1987</v>
      </c>
      <c r="W334" t="s">
        <v>1909</v>
      </c>
      <c r="X334" s="2">
        <v>0.111</v>
      </c>
      <c r="Y334" s="6">
        <f t="shared" si="46"/>
        <v>2.9630816048690639E-3</v>
      </c>
      <c r="AA334">
        <v>87566621</v>
      </c>
      <c r="AB334">
        <v>24890</v>
      </c>
      <c r="AC334">
        <v>15206424</v>
      </c>
      <c r="AD334" t="s">
        <v>4</v>
      </c>
      <c r="AE334">
        <v>70</v>
      </c>
      <c r="AF334">
        <v>11</v>
      </c>
      <c r="AH334" t="s">
        <v>4695</v>
      </c>
      <c r="AI334" t="s">
        <v>4694</v>
      </c>
      <c r="AK334" t="s">
        <v>4693</v>
      </c>
      <c r="AL334">
        <v>5</v>
      </c>
      <c r="AM334" s="5">
        <f t="shared" si="42"/>
        <v>0.14285714285714285</v>
      </c>
      <c r="AN334" s="4">
        <f t="shared" si="47"/>
        <v>2.1636825877643749E-4</v>
      </c>
      <c r="AO334" s="3"/>
      <c r="AP334">
        <v>0</v>
      </c>
      <c r="AR334" t="s">
        <v>0</v>
      </c>
      <c r="AT334" s="2" t="s">
        <v>32</v>
      </c>
      <c r="AU334" s="1">
        <f t="shared" si="43"/>
        <v>0.21390676010412754</v>
      </c>
      <c r="AV334" s="1">
        <f t="shared" si="44"/>
        <v>0.15897249318227508</v>
      </c>
      <c r="AW334" s="1">
        <f t="shared" si="45"/>
        <v>0.10403822626042253</v>
      </c>
    </row>
    <row r="335" spans="1:49" x14ac:dyDescent="0.2">
      <c r="A335">
        <v>333</v>
      </c>
      <c r="B335" t="s">
        <v>4692</v>
      </c>
      <c r="C335" t="s">
        <v>4691</v>
      </c>
      <c r="F335" t="s">
        <v>4690</v>
      </c>
      <c r="G335" t="s">
        <v>14</v>
      </c>
      <c r="H335" t="s">
        <v>13</v>
      </c>
      <c r="I335" t="s">
        <v>4689</v>
      </c>
      <c r="J335">
        <v>60015150</v>
      </c>
      <c r="K335" t="s">
        <v>4688</v>
      </c>
      <c r="L335" t="s">
        <v>587</v>
      </c>
      <c r="M335" t="s">
        <v>586</v>
      </c>
      <c r="N335">
        <v>1</v>
      </c>
      <c r="O335" t="s">
        <v>4687</v>
      </c>
      <c r="P335">
        <v>55432714600</v>
      </c>
      <c r="Q335">
        <v>60015150</v>
      </c>
      <c r="R335" s="7">
        <v>31778</v>
      </c>
      <c r="S335" s="8">
        <f t="shared" si="40"/>
        <v>1987</v>
      </c>
      <c r="T335" s="8">
        <v>1987</v>
      </c>
      <c r="U335" s="8">
        <f t="shared" si="41"/>
        <v>35</v>
      </c>
      <c r="V335" s="7">
        <v>32082</v>
      </c>
      <c r="W335" t="s">
        <v>2543</v>
      </c>
      <c r="X335" s="2">
        <v>0.251</v>
      </c>
      <c r="Y335" s="6">
        <f t="shared" si="46"/>
        <v>6.7003016470462617E-3</v>
      </c>
      <c r="AA335">
        <v>207217</v>
      </c>
      <c r="AB335">
        <v>26145</v>
      </c>
      <c r="AC335">
        <v>13623060</v>
      </c>
      <c r="AD335" t="s">
        <v>4</v>
      </c>
      <c r="AE335">
        <v>63</v>
      </c>
      <c r="AF335">
        <v>5</v>
      </c>
      <c r="AH335" t="s">
        <v>4686</v>
      </c>
      <c r="AI335" t="s">
        <v>4685</v>
      </c>
      <c r="AK335" t="s">
        <v>4684</v>
      </c>
      <c r="AL335">
        <v>0</v>
      </c>
      <c r="AM335" s="5">
        <f t="shared" si="42"/>
        <v>0</v>
      </c>
      <c r="AN335" s="4">
        <f t="shared" si="47"/>
        <v>0</v>
      </c>
      <c r="AO335" s="3"/>
      <c r="AP335">
        <v>0</v>
      </c>
      <c r="AR335" t="s">
        <v>0</v>
      </c>
      <c r="AT335" s="2">
        <v>1.3360000000000001</v>
      </c>
      <c r="AU335" s="1">
        <f t="shared" si="43"/>
        <v>0.46902111529323826</v>
      </c>
      <c r="AV335" s="1">
        <f t="shared" si="44"/>
        <v>0.33501508235231309</v>
      </c>
      <c r="AW335" s="1">
        <f t="shared" si="45"/>
        <v>0.20100904941138784</v>
      </c>
    </row>
    <row r="336" spans="1:49" x14ac:dyDescent="0.2">
      <c r="A336">
        <v>334</v>
      </c>
      <c r="B336" t="s">
        <v>4683</v>
      </c>
      <c r="C336" t="s">
        <v>4682</v>
      </c>
      <c r="F336" t="s">
        <v>4681</v>
      </c>
      <c r="G336" t="s">
        <v>14</v>
      </c>
      <c r="H336" t="s">
        <v>13</v>
      </c>
      <c r="I336" t="s">
        <v>4680</v>
      </c>
      <c r="J336">
        <v>60024590</v>
      </c>
      <c r="K336" t="s">
        <v>4679</v>
      </c>
      <c r="L336" t="s">
        <v>4678</v>
      </c>
      <c r="M336" t="s">
        <v>9</v>
      </c>
      <c r="N336">
        <v>2</v>
      </c>
      <c r="O336" t="s">
        <v>4677</v>
      </c>
      <c r="P336" t="s">
        <v>4676</v>
      </c>
      <c r="Q336" t="s">
        <v>4675</v>
      </c>
      <c r="R336" s="7">
        <v>31778</v>
      </c>
      <c r="S336" s="8">
        <f t="shared" si="40"/>
        <v>1987</v>
      </c>
      <c r="T336" s="8">
        <v>1987</v>
      </c>
      <c r="U336" s="8">
        <f t="shared" si="41"/>
        <v>35</v>
      </c>
      <c r="V336" s="7">
        <v>1987</v>
      </c>
      <c r="W336" t="s">
        <v>2805</v>
      </c>
      <c r="X336" s="2">
        <v>1.365</v>
      </c>
      <c r="Y336" s="6">
        <f t="shared" si="46"/>
        <v>3.6437895411227675E-2</v>
      </c>
      <c r="AA336">
        <v>189545</v>
      </c>
      <c r="AB336">
        <v>17393</v>
      </c>
      <c r="AC336">
        <v>19399359</v>
      </c>
      <c r="AD336" t="s">
        <v>4</v>
      </c>
      <c r="AE336">
        <v>36</v>
      </c>
      <c r="AF336">
        <v>4</v>
      </c>
      <c r="AH336" t="s">
        <v>4674</v>
      </c>
      <c r="AI336" t="s">
        <v>4673</v>
      </c>
      <c r="AK336" t="s">
        <v>4672</v>
      </c>
      <c r="AL336">
        <v>2</v>
      </c>
      <c r="AM336" s="5">
        <f t="shared" si="42"/>
        <v>5.7142857142857141E-2</v>
      </c>
      <c r="AN336" s="4">
        <f t="shared" si="47"/>
        <v>8.6547303510575E-5</v>
      </c>
      <c r="AO336" s="3"/>
      <c r="AP336">
        <v>0</v>
      </c>
      <c r="AR336" t="s">
        <v>0</v>
      </c>
      <c r="AT336" s="2" t="s">
        <v>32</v>
      </c>
      <c r="AU336" s="1">
        <f t="shared" si="43"/>
        <v>2.5532490978912543</v>
      </c>
      <c r="AV336" s="1">
        <f t="shared" si="44"/>
        <v>1.8262221357369126</v>
      </c>
      <c r="AW336" s="1">
        <f t="shared" si="45"/>
        <v>1.0991951735825705</v>
      </c>
    </row>
    <row r="337" spans="1:49" x14ac:dyDescent="0.2">
      <c r="A337">
        <v>335</v>
      </c>
      <c r="B337" t="s">
        <v>4671</v>
      </c>
      <c r="C337" t="s">
        <v>4670</v>
      </c>
      <c r="F337" t="s">
        <v>4669</v>
      </c>
      <c r="G337" t="s">
        <v>14</v>
      </c>
      <c r="H337" t="s">
        <v>13</v>
      </c>
      <c r="I337" t="s">
        <v>4668</v>
      </c>
      <c r="J337">
        <v>60069837</v>
      </c>
      <c r="K337" t="s">
        <v>4667</v>
      </c>
      <c r="L337" t="s">
        <v>4666</v>
      </c>
      <c r="M337" t="s">
        <v>1887</v>
      </c>
      <c r="N337">
        <v>1</v>
      </c>
      <c r="O337" t="s">
        <v>4665</v>
      </c>
      <c r="P337">
        <v>7103398199</v>
      </c>
      <c r="Q337">
        <v>60069837</v>
      </c>
      <c r="R337" s="7">
        <v>31778</v>
      </c>
      <c r="S337" s="8">
        <f t="shared" si="40"/>
        <v>1987</v>
      </c>
      <c r="T337" s="8">
        <v>1987</v>
      </c>
      <c r="U337" s="8">
        <f t="shared" si="41"/>
        <v>35</v>
      </c>
      <c r="V337" s="7">
        <v>31898</v>
      </c>
      <c r="W337" t="s">
        <v>1530</v>
      </c>
      <c r="X337" s="2">
        <v>0.65500000000000003</v>
      </c>
      <c r="Y337" s="6">
        <f t="shared" si="46"/>
        <v>1.7484850911614749E-2</v>
      </c>
      <c r="AA337">
        <v>189375</v>
      </c>
      <c r="AB337">
        <v>26051</v>
      </c>
      <c r="AC337" t="s">
        <v>1529</v>
      </c>
      <c r="AD337" t="s">
        <v>4</v>
      </c>
      <c r="AE337" t="s">
        <v>1528</v>
      </c>
      <c r="AF337">
        <v>4</v>
      </c>
      <c r="AH337" t="s">
        <v>4664</v>
      </c>
      <c r="AI337" t="s">
        <v>4663</v>
      </c>
      <c r="AK337" t="s">
        <v>4662</v>
      </c>
      <c r="AL337">
        <v>6</v>
      </c>
      <c r="AM337" s="5">
        <f t="shared" si="42"/>
        <v>0.17142857142857143</v>
      </c>
      <c r="AN337" s="4">
        <f t="shared" si="47"/>
        <v>2.5964191053172501E-4</v>
      </c>
      <c r="AO337" s="3"/>
      <c r="AP337">
        <v>0</v>
      </c>
      <c r="AR337" t="s">
        <v>0</v>
      </c>
      <c r="AT337" s="2" t="s">
        <v>32</v>
      </c>
      <c r="AU337" s="1">
        <f t="shared" si="43"/>
        <v>1.2317288211289841</v>
      </c>
      <c r="AV337" s="1">
        <f t="shared" si="44"/>
        <v>0.88722464110732369</v>
      </c>
      <c r="AW337" s="1">
        <f t="shared" si="45"/>
        <v>0.54272046108566319</v>
      </c>
    </row>
    <row r="338" spans="1:49" x14ac:dyDescent="0.2">
      <c r="A338">
        <v>336</v>
      </c>
      <c r="B338" t="s">
        <v>4661</v>
      </c>
      <c r="C338" t="s">
        <v>4660</v>
      </c>
      <c r="F338" t="s">
        <v>4659</v>
      </c>
      <c r="G338" t="s">
        <v>14</v>
      </c>
      <c r="H338" t="s">
        <v>13</v>
      </c>
      <c r="I338" t="s">
        <v>2688</v>
      </c>
      <c r="J338">
        <v>60022403</v>
      </c>
      <c r="K338" t="s">
        <v>4658</v>
      </c>
      <c r="L338" t="s">
        <v>3020</v>
      </c>
      <c r="M338" t="s">
        <v>2940</v>
      </c>
      <c r="N338">
        <v>2</v>
      </c>
      <c r="O338" t="s">
        <v>4657</v>
      </c>
      <c r="P338" t="s">
        <v>4656</v>
      </c>
      <c r="Q338" t="s">
        <v>4655</v>
      </c>
      <c r="R338" s="7">
        <v>31778</v>
      </c>
      <c r="S338" s="8">
        <f t="shared" si="40"/>
        <v>1987</v>
      </c>
      <c r="T338" s="8">
        <v>1987</v>
      </c>
      <c r="U338" s="8">
        <f t="shared" si="41"/>
        <v>35</v>
      </c>
      <c r="V338" s="7">
        <v>31898</v>
      </c>
      <c r="W338" t="s">
        <v>1530</v>
      </c>
      <c r="X338" s="2">
        <v>0.65500000000000003</v>
      </c>
      <c r="Y338" s="6">
        <f t="shared" si="46"/>
        <v>1.7484850911614749E-2</v>
      </c>
      <c r="AA338">
        <v>189375</v>
      </c>
      <c r="AB338">
        <v>26051</v>
      </c>
      <c r="AC338" t="s">
        <v>1529</v>
      </c>
      <c r="AD338" t="s">
        <v>4</v>
      </c>
      <c r="AE338" t="s">
        <v>1528</v>
      </c>
      <c r="AF338">
        <v>4</v>
      </c>
      <c r="AH338" t="s">
        <v>4654</v>
      </c>
      <c r="AI338" t="s">
        <v>4653</v>
      </c>
      <c r="AK338" t="s">
        <v>4652</v>
      </c>
      <c r="AL338">
        <v>0</v>
      </c>
      <c r="AM338" s="5">
        <f t="shared" si="42"/>
        <v>0</v>
      </c>
      <c r="AN338" s="4">
        <f t="shared" si="47"/>
        <v>0</v>
      </c>
      <c r="AO338" s="3"/>
      <c r="AP338">
        <v>0</v>
      </c>
      <c r="AR338" t="s">
        <v>0</v>
      </c>
      <c r="AT338" s="2" t="s">
        <v>32</v>
      </c>
      <c r="AU338" s="1">
        <f t="shared" si="43"/>
        <v>1.2239395638130324</v>
      </c>
      <c r="AV338" s="1">
        <f t="shared" si="44"/>
        <v>0.87424254558073744</v>
      </c>
      <c r="AW338" s="1">
        <f t="shared" si="45"/>
        <v>0.52454552734844251</v>
      </c>
    </row>
    <row r="339" spans="1:49" x14ac:dyDescent="0.2">
      <c r="A339">
        <v>337</v>
      </c>
      <c r="B339" t="s">
        <v>4651</v>
      </c>
      <c r="C339" t="s">
        <v>4650</v>
      </c>
      <c r="F339" t="s">
        <v>4649</v>
      </c>
      <c r="G339" t="s">
        <v>14</v>
      </c>
      <c r="H339" t="s">
        <v>13</v>
      </c>
      <c r="I339" t="s">
        <v>4648</v>
      </c>
      <c r="J339">
        <v>60030398</v>
      </c>
      <c r="K339" t="s">
        <v>4647</v>
      </c>
      <c r="L339" t="s">
        <v>1600</v>
      </c>
      <c r="M339" t="s">
        <v>9</v>
      </c>
      <c r="N339">
        <v>1</v>
      </c>
      <c r="O339" t="s">
        <v>4646</v>
      </c>
      <c r="P339">
        <v>7004511279</v>
      </c>
      <c r="Q339">
        <v>60030398</v>
      </c>
      <c r="R339" s="7">
        <v>31778</v>
      </c>
      <c r="S339" s="8">
        <f t="shared" si="40"/>
        <v>1987</v>
      </c>
      <c r="T339" s="8">
        <v>1987</v>
      </c>
      <c r="U339" s="8">
        <f t="shared" si="41"/>
        <v>35</v>
      </c>
      <c r="V339" s="7">
        <v>1987</v>
      </c>
      <c r="W339" t="s">
        <v>4645</v>
      </c>
      <c r="X339" s="2">
        <v>0.59099999999999997</v>
      </c>
      <c r="Y339" s="6">
        <f t="shared" si="46"/>
        <v>1.5776407463762313E-2</v>
      </c>
      <c r="AA339">
        <v>207721</v>
      </c>
      <c r="AB339">
        <v>12419</v>
      </c>
      <c r="AC339">
        <v>14645319</v>
      </c>
      <c r="AD339" t="s">
        <v>4</v>
      </c>
      <c r="AE339">
        <v>18</v>
      </c>
      <c r="AF339">
        <v>11</v>
      </c>
      <c r="AH339" t="s">
        <v>4644</v>
      </c>
      <c r="AI339" t="s">
        <v>4643</v>
      </c>
      <c r="AK339" t="s">
        <v>4642</v>
      </c>
      <c r="AL339">
        <v>0</v>
      </c>
      <c r="AM339" s="5">
        <f t="shared" si="42"/>
        <v>0</v>
      </c>
      <c r="AN339" s="4">
        <f t="shared" si="47"/>
        <v>0</v>
      </c>
      <c r="AO339" s="3"/>
      <c r="AP339">
        <v>0</v>
      </c>
      <c r="AR339" t="s">
        <v>0</v>
      </c>
      <c r="AT339" s="2" t="s">
        <v>32</v>
      </c>
      <c r="AU339" s="1">
        <f t="shared" si="43"/>
        <v>1.1043485224633618</v>
      </c>
      <c r="AV339" s="1">
        <f t="shared" si="44"/>
        <v>0.7888203731881156</v>
      </c>
      <c r="AW339" s="1">
        <f t="shared" si="45"/>
        <v>0.4732922239128694</v>
      </c>
    </row>
    <row r="340" spans="1:49" x14ac:dyDescent="0.2">
      <c r="A340">
        <v>338</v>
      </c>
      <c r="B340" t="s">
        <v>4641</v>
      </c>
      <c r="F340" t="s">
        <v>4640</v>
      </c>
      <c r="G340" t="s">
        <v>14</v>
      </c>
      <c r="H340" t="s">
        <v>13</v>
      </c>
      <c r="I340" t="s">
        <v>4639</v>
      </c>
      <c r="J340">
        <v>110425082</v>
      </c>
      <c r="K340" t="s">
        <v>4638</v>
      </c>
      <c r="L340" t="s">
        <v>3577</v>
      </c>
      <c r="M340" t="s">
        <v>9</v>
      </c>
      <c r="N340">
        <v>1</v>
      </c>
      <c r="O340" t="s">
        <v>4637</v>
      </c>
      <c r="P340">
        <v>6603725021</v>
      </c>
      <c r="Q340">
        <v>110425082</v>
      </c>
      <c r="R340" s="7">
        <v>31778</v>
      </c>
      <c r="S340" s="8">
        <f t="shared" si="40"/>
        <v>1987</v>
      </c>
      <c r="T340" s="8">
        <v>1987</v>
      </c>
      <c r="U340" s="8">
        <f t="shared" si="41"/>
        <v>35</v>
      </c>
      <c r="V340" s="7" t="s">
        <v>4636</v>
      </c>
      <c r="W340" t="s">
        <v>4635</v>
      </c>
      <c r="X340" s="2" t="s">
        <v>32</v>
      </c>
      <c r="Y340" s="6" t="e">
        <f t="shared" si="46"/>
        <v>#VALUE!</v>
      </c>
      <c r="AA340">
        <v>5657059</v>
      </c>
      <c r="AB340">
        <v>21068</v>
      </c>
      <c r="AD340" t="s">
        <v>4</v>
      </c>
      <c r="AF340">
        <v>172009</v>
      </c>
      <c r="AI340" t="s">
        <v>4634</v>
      </c>
      <c r="AK340" t="s">
        <v>4633</v>
      </c>
      <c r="AL340">
        <v>0</v>
      </c>
      <c r="AM340" s="5">
        <f t="shared" si="42"/>
        <v>0</v>
      </c>
      <c r="AN340" s="4">
        <f t="shared" si="47"/>
        <v>0</v>
      </c>
      <c r="AO340" s="3"/>
      <c r="AP340">
        <v>0</v>
      </c>
      <c r="AR340" t="s">
        <v>0</v>
      </c>
      <c r="AT340" s="2" t="s">
        <v>32</v>
      </c>
      <c r="AU340" s="1" t="e">
        <f t="shared" si="43"/>
        <v>#VALUE!</v>
      </c>
      <c r="AV340" s="1" t="e">
        <f t="shared" si="44"/>
        <v>#VALUE!</v>
      </c>
      <c r="AW340" s="1" t="e">
        <f t="shared" si="45"/>
        <v>#VALUE!</v>
      </c>
    </row>
    <row r="341" spans="1:49" x14ac:dyDescent="0.2">
      <c r="A341">
        <v>339</v>
      </c>
      <c r="B341" t="s">
        <v>4632</v>
      </c>
      <c r="C341" t="s">
        <v>4631</v>
      </c>
      <c r="F341" t="s">
        <v>4630</v>
      </c>
      <c r="G341" t="s">
        <v>14</v>
      </c>
      <c r="H341" t="s">
        <v>13</v>
      </c>
      <c r="I341" t="s">
        <v>4629</v>
      </c>
      <c r="J341">
        <v>60025209</v>
      </c>
      <c r="K341" t="s">
        <v>4628</v>
      </c>
      <c r="L341" t="s">
        <v>3577</v>
      </c>
      <c r="M341" t="s">
        <v>9</v>
      </c>
      <c r="N341">
        <v>2</v>
      </c>
      <c r="O341" t="s">
        <v>4627</v>
      </c>
      <c r="P341" t="s">
        <v>4626</v>
      </c>
      <c r="Q341" t="s">
        <v>4625</v>
      </c>
      <c r="R341" s="7">
        <v>31778</v>
      </c>
      <c r="S341" s="8">
        <f t="shared" si="40"/>
        <v>1987</v>
      </c>
      <c r="T341" s="8">
        <v>1987</v>
      </c>
      <c r="U341" s="8">
        <f t="shared" si="41"/>
        <v>35</v>
      </c>
      <c r="V341" s="7">
        <v>32051</v>
      </c>
      <c r="W341" t="s">
        <v>4624</v>
      </c>
      <c r="X341" s="2">
        <v>0.39600000000000002</v>
      </c>
      <c r="Y341" s="6">
        <f t="shared" si="46"/>
        <v>1.0570993833586931E-2</v>
      </c>
      <c r="AA341">
        <v>8858985</v>
      </c>
      <c r="AB341">
        <v>25993</v>
      </c>
      <c r="AD341" t="s">
        <v>4</v>
      </c>
      <c r="AE341">
        <v>2</v>
      </c>
      <c r="AF341">
        <v>10</v>
      </c>
      <c r="AH341" t="s">
        <v>4623</v>
      </c>
      <c r="AI341" t="s">
        <v>4622</v>
      </c>
      <c r="AK341" t="s">
        <v>4621</v>
      </c>
      <c r="AL341">
        <v>1</v>
      </c>
      <c r="AM341" s="5">
        <f t="shared" si="42"/>
        <v>2.8571428571428571E-2</v>
      </c>
      <c r="AN341" s="4">
        <f t="shared" si="47"/>
        <v>4.32736517552875E-5</v>
      </c>
      <c r="AO341" s="3"/>
      <c r="AP341">
        <v>0</v>
      </c>
      <c r="AR341" t="s">
        <v>0</v>
      </c>
      <c r="AT341" s="2" t="s">
        <v>32</v>
      </c>
      <c r="AU341" s="1">
        <f t="shared" si="43"/>
        <v>0.74126777790374376</v>
      </c>
      <c r="AV341" s="1">
        <f t="shared" si="44"/>
        <v>0.53071337426711085</v>
      </c>
      <c r="AW341" s="1">
        <f t="shared" si="45"/>
        <v>0.32015897063047805</v>
      </c>
    </row>
    <row r="342" spans="1:49" x14ac:dyDescent="0.2">
      <c r="A342">
        <v>340</v>
      </c>
      <c r="B342" t="s">
        <v>4620</v>
      </c>
      <c r="C342" t="s">
        <v>4619</v>
      </c>
      <c r="D342" t="s">
        <v>4618</v>
      </c>
      <c r="F342" t="s">
        <v>4617</v>
      </c>
      <c r="G342" t="s">
        <v>14</v>
      </c>
      <c r="H342" t="s">
        <v>13</v>
      </c>
      <c r="I342" t="s">
        <v>4616</v>
      </c>
      <c r="J342">
        <v>60028609</v>
      </c>
      <c r="K342" t="s">
        <v>4615</v>
      </c>
      <c r="L342" t="s">
        <v>4614</v>
      </c>
      <c r="M342" t="s">
        <v>9</v>
      </c>
      <c r="N342">
        <v>1</v>
      </c>
      <c r="O342" t="s">
        <v>4613</v>
      </c>
      <c r="P342">
        <v>6701342464</v>
      </c>
      <c r="Q342">
        <v>60028609</v>
      </c>
      <c r="R342" s="7">
        <v>31778</v>
      </c>
      <c r="S342" s="8">
        <f t="shared" si="40"/>
        <v>1987</v>
      </c>
      <c r="T342" s="8">
        <v>1987</v>
      </c>
      <c r="U342" s="8">
        <f t="shared" si="41"/>
        <v>35</v>
      </c>
      <c r="V342" s="7">
        <v>32051</v>
      </c>
      <c r="W342" t="s">
        <v>4612</v>
      </c>
      <c r="X342" s="2">
        <v>0.89800000000000002</v>
      </c>
      <c r="Y342" s="6">
        <f t="shared" si="46"/>
        <v>2.3971597127679455E-2</v>
      </c>
      <c r="AA342">
        <v>1689274</v>
      </c>
      <c r="AB342">
        <v>28067</v>
      </c>
      <c r="AD342" t="s">
        <v>4</v>
      </c>
      <c r="AE342">
        <v>3</v>
      </c>
      <c r="AF342">
        <v>5</v>
      </c>
      <c r="AH342" t="s">
        <v>4611</v>
      </c>
      <c r="AI342" t="s">
        <v>4610</v>
      </c>
      <c r="AK342" t="s">
        <v>4609</v>
      </c>
      <c r="AL342">
        <v>2</v>
      </c>
      <c r="AM342" s="5">
        <f t="shared" si="42"/>
        <v>5.7142857142857141E-2</v>
      </c>
      <c r="AN342" s="4">
        <f t="shared" si="47"/>
        <v>8.6547303510575E-5</v>
      </c>
      <c r="AO342" s="3"/>
      <c r="AP342">
        <v>0</v>
      </c>
      <c r="AQ342" t="s">
        <v>2694</v>
      </c>
      <c r="AR342" t="s">
        <v>0</v>
      </c>
      <c r="AS342" t="s">
        <v>2692</v>
      </c>
      <c r="AT342" s="2">
        <v>2.468</v>
      </c>
      <c r="AU342" s="1">
        <f t="shared" si="43"/>
        <v>1.680608218042879</v>
      </c>
      <c r="AV342" s="1">
        <f t="shared" si="44"/>
        <v>1.2029072215595014</v>
      </c>
      <c r="AW342" s="1">
        <f t="shared" si="45"/>
        <v>0.72520622507612387</v>
      </c>
    </row>
    <row r="343" spans="1:49" x14ac:dyDescent="0.2">
      <c r="A343">
        <v>341</v>
      </c>
      <c r="B343" t="s">
        <v>4608</v>
      </c>
      <c r="C343" t="s">
        <v>4607</v>
      </c>
      <c r="F343" t="s">
        <v>4606</v>
      </c>
      <c r="G343" t="s">
        <v>14</v>
      </c>
      <c r="H343" t="s">
        <v>13</v>
      </c>
      <c r="I343" t="s">
        <v>4605</v>
      </c>
      <c r="J343">
        <v>60101780</v>
      </c>
      <c r="K343" t="s">
        <v>4604</v>
      </c>
      <c r="L343" t="s">
        <v>310</v>
      </c>
      <c r="M343" t="s">
        <v>586</v>
      </c>
      <c r="N343">
        <v>3</v>
      </c>
      <c r="O343" t="s">
        <v>4603</v>
      </c>
      <c r="P343" t="s">
        <v>4602</v>
      </c>
      <c r="Q343" t="s">
        <v>4601</v>
      </c>
      <c r="R343" s="7">
        <v>31778</v>
      </c>
      <c r="S343" s="8">
        <f t="shared" si="40"/>
        <v>1987</v>
      </c>
      <c r="T343" s="8">
        <v>1987</v>
      </c>
      <c r="U343" s="8">
        <f t="shared" si="41"/>
        <v>35</v>
      </c>
      <c r="V343" s="7">
        <v>32051</v>
      </c>
      <c r="W343" t="s">
        <v>336</v>
      </c>
      <c r="X343" s="2">
        <v>1.6519999999999999</v>
      </c>
      <c r="Y343" s="6">
        <f t="shared" si="46"/>
        <v>4.409919649769093E-2</v>
      </c>
      <c r="AA343" t="s">
        <v>335</v>
      </c>
      <c r="AB343">
        <v>17337</v>
      </c>
      <c r="AC343">
        <v>15582221</v>
      </c>
      <c r="AD343" t="s">
        <v>4</v>
      </c>
      <c r="AE343">
        <v>35</v>
      </c>
      <c r="AF343">
        <v>10</v>
      </c>
      <c r="AH343" t="s">
        <v>4600</v>
      </c>
      <c r="AI343" t="s">
        <v>4599</v>
      </c>
      <c r="AK343" t="s">
        <v>4598</v>
      </c>
      <c r="AL343">
        <v>56</v>
      </c>
      <c r="AM343" s="5">
        <f t="shared" si="42"/>
        <v>1.6</v>
      </c>
      <c r="AN343" s="4">
        <f t="shared" si="47"/>
        <v>2.4233244982961003E-3</v>
      </c>
      <c r="AO343" s="3"/>
      <c r="AP343">
        <v>0</v>
      </c>
      <c r="AR343" t="s">
        <v>0</v>
      </c>
      <c r="AT343" s="2" t="s">
        <v>32</v>
      </c>
      <c r="AU343" s="1">
        <f t="shared" si="43"/>
        <v>3.1596434897872476</v>
      </c>
      <c r="AV343" s="1">
        <f t="shared" si="44"/>
        <v>2.3261260497993517</v>
      </c>
      <c r="AW343" s="1">
        <f t="shared" si="45"/>
        <v>1.4926086098114548</v>
      </c>
    </row>
    <row r="344" spans="1:49" x14ac:dyDescent="0.2">
      <c r="A344">
        <v>342</v>
      </c>
      <c r="B344" t="s">
        <v>4597</v>
      </c>
      <c r="C344" t="s">
        <v>4596</v>
      </c>
      <c r="F344" t="s">
        <v>4595</v>
      </c>
      <c r="G344" t="s">
        <v>14</v>
      </c>
      <c r="H344" t="s">
        <v>13</v>
      </c>
      <c r="I344" t="s">
        <v>4594</v>
      </c>
      <c r="J344" t="s">
        <v>4593</v>
      </c>
      <c r="K344" t="s">
        <v>4592</v>
      </c>
      <c r="L344" t="s">
        <v>4591</v>
      </c>
      <c r="M344" t="s">
        <v>4590</v>
      </c>
      <c r="N344">
        <v>3</v>
      </c>
      <c r="O344" t="s">
        <v>4589</v>
      </c>
      <c r="P344" t="s">
        <v>4588</v>
      </c>
      <c r="Q344" t="s">
        <v>4587</v>
      </c>
      <c r="R344" s="7">
        <v>31778</v>
      </c>
      <c r="S344" s="8">
        <f t="shared" si="40"/>
        <v>1987</v>
      </c>
      <c r="T344" s="8">
        <v>1987</v>
      </c>
      <c r="U344" s="8">
        <f t="shared" si="41"/>
        <v>35</v>
      </c>
      <c r="V344" s="7">
        <v>32051</v>
      </c>
      <c r="W344" t="s">
        <v>336</v>
      </c>
      <c r="X344" s="2">
        <v>1.6519999999999999</v>
      </c>
      <c r="Y344" s="6">
        <f t="shared" si="46"/>
        <v>4.409919649769093E-2</v>
      </c>
      <c r="AA344" t="s">
        <v>335</v>
      </c>
      <c r="AB344">
        <v>17337</v>
      </c>
      <c r="AC344">
        <v>15582221</v>
      </c>
      <c r="AD344" t="s">
        <v>4</v>
      </c>
      <c r="AE344">
        <v>35</v>
      </c>
      <c r="AF344">
        <v>10</v>
      </c>
      <c r="AH344" t="s">
        <v>4586</v>
      </c>
      <c r="AI344" t="s">
        <v>4585</v>
      </c>
      <c r="AK344" t="s">
        <v>4584</v>
      </c>
      <c r="AL344">
        <v>18</v>
      </c>
      <c r="AM344" s="5">
        <f t="shared" si="42"/>
        <v>0.51428571428571423</v>
      </c>
      <c r="AN344" s="4">
        <f t="shared" si="47"/>
        <v>7.7892573159517493E-4</v>
      </c>
      <c r="AO344" s="3"/>
      <c r="AP344">
        <v>0</v>
      </c>
      <c r="AR344" t="s">
        <v>0</v>
      </c>
      <c r="AT344" s="2" t="s">
        <v>32</v>
      </c>
      <c r="AU344" s="1">
        <f t="shared" si="43"/>
        <v>3.1103115267862202</v>
      </c>
      <c r="AV344" s="1">
        <f t="shared" si="44"/>
        <v>2.2439061114643053</v>
      </c>
      <c r="AW344" s="1">
        <f t="shared" si="45"/>
        <v>1.3775006961423899</v>
      </c>
    </row>
    <row r="345" spans="1:49" x14ac:dyDescent="0.2">
      <c r="A345">
        <v>343</v>
      </c>
      <c r="B345" t="s">
        <v>4583</v>
      </c>
      <c r="C345" t="s">
        <v>4582</v>
      </c>
      <c r="F345" t="s">
        <v>4581</v>
      </c>
      <c r="G345" t="s">
        <v>14</v>
      </c>
      <c r="H345" t="s">
        <v>13</v>
      </c>
      <c r="I345" t="s">
        <v>4580</v>
      </c>
      <c r="J345">
        <v>60029470</v>
      </c>
      <c r="K345" t="s">
        <v>2346</v>
      </c>
      <c r="L345" t="s">
        <v>2345</v>
      </c>
      <c r="M345" t="s">
        <v>40</v>
      </c>
      <c r="N345">
        <v>1</v>
      </c>
      <c r="O345" t="s">
        <v>4412</v>
      </c>
      <c r="P345">
        <v>7202832083</v>
      </c>
      <c r="Q345">
        <v>60029470</v>
      </c>
      <c r="R345" s="7">
        <v>31778</v>
      </c>
      <c r="S345" s="8">
        <f t="shared" si="40"/>
        <v>1987</v>
      </c>
      <c r="T345" s="8">
        <v>1987</v>
      </c>
      <c r="U345" s="8">
        <f t="shared" si="41"/>
        <v>35</v>
      </c>
      <c r="V345" s="7">
        <v>1987</v>
      </c>
      <c r="W345" t="s">
        <v>429</v>
      </c>
      <c r="X345" s="2">
        <v>0.375</v>
      </c>
      <c r="Y345" s="6">
        <f t="shared" si="46"/>
        <v>1.0010410827260351E-2</v>
      </c>
      <c r="AA345">
        <v>135194</v>
      </c>
      <c r="AB345">
        <v>24918</v>
      </c>
      <c r="AD345" t="s">
        <v>4</v>
      </c>
      <c r="AE345">
        <v>23</v>
      </c>
      <c r="AF345">
        <v>22</v>
      </c>
      <c r="AH345" t="s">
        <v>4579</v>
      </c>
      <c r="AI345" t="s">
        <v>4578</v>
      </c>
      <c r="AJ345" t="s">
        <v>4577</v>
      </c>
      <c r="AK345" t="s">
        <v>4576</v>
      </c>
      <c r="AL345">
        <v>18</v>
      </c>
      <c r="AM345" s="5">
        <f t="shared" si="42"/>
        <v>0.51428571428571423</v>
      </c>
      <c r="AN345" s="4">
        <f t="shared" si="47"/>
        <v>7.7892573159517493E-4</v>
      </c>
      <c r="AO345" s="3"/>
      <c r="AP345">
        <v>0</v>
      </c>
      <c r="AR345" t="s">
        <v>0</v>
      </c>
      <c r="AT345" s="2">
        <v>1.3140000000000001</v>
      </c>
      <c r="AU345" s="1">
        <f t="shared" si="43"/>
        <v>0.72409652985607975</v>
      </c>
      <c r="AV345" s="1">
        <f t="shared" si="44"/>
        <v>0.53946682794277634</v>
      </c>
      <c r="AW345" s="1">
        <f t="shared" si="45"/>
        <v>0.35483712602947276</v>
      </c>
    </row>
    <row r="346" spans="1:49" x14ac:dyDescent="0.2">
      <c r="A346">
        <v>344</v>
      </c>
      <c r="B346" t="s">
        <v>4575</v>
      </c>
      <c r="C346" t="s">
        <v>4574</v>
      </c>
      <c r="F346" t="s">
        <v>4573</v>
      </c>
      <c r="G346" t="s">
        <v>14</v>
      </c>
      <c r="H346" t="s">
        <v>13</v>
      </c>
      <c r="I346" t="s">
        <v>4572</v>
      </c>
      <c r="J346" t="s">
        <v>4571</v>
      </c>
      <c r="K346" t="s">
        <v>4570</v>
      </c>
      <c r="L346" t="s">
        <v>4569</v>
      </c>
      <c r="M346" t="s">
        <v>4568</v>
      </c>
      <c r="N346">
        <v>3</v>
      </c>
      <c r="O346" t="s">
        <v>4567</v>
      </c>
      <c r="P346" t="s">
        <v>4566</v>
      </c>
      <c r="Q346" t="s">
        <v>4565</v>
      </c>
      <c r="R346" s="7">
        <v>31778</v>
      </c>
      <c r="S346" s="8">
        <f t="shared" si="40"/>
        <v>1987</v>
      </c>
      <c r="T346" s="8">
        <v>1987</v>
      </c>
      <c r="U346" s="8">
        <f t="shared" si="41"/>
        <v>35</v>
      </c>
      <c r="V346" s="7">
        <v>32051</v>
      </c>
      <c r="W346" t="s">
        <v>336</v>
      </c>
      <c r="X346" s="2">
        <v>1.6519999999999999</v>
      </c>
      <c r="Y346" s="6">
        <f t="shared" si="46"/>
        <v>4.409919649769093E-2</v>
      </c>
      <c r="AA346" t="s">
        <v>335</v>
      </c>
      <c r="AB346">
        <v>17337</v>
      </c>
      <c r="AC346">
        <v>15582221</v>
      </c>
      <c r="AD346" t="s">
        <v>4</v>
      </c>
      <c r="AE346">
        <v>35</v>
      </c>
      <c r="AF346">
        <v>10</v>
      </c>
      <c r="AH346" t="s">
        <v>4564</v>
      </c>
      <c r="AI346" t="s">
        <v>4563</v>
      </c>
      <c r="AK346" t="s">
        <v>4562</v>
      </c>
      <c r="AL346">
        <v>76</v>
      </c>
      <c r="AM346" s="5">
        <f t="shared" si="42"/>
        <v>2.1714285714285713</v>
      </c>
      <c r="AN346" s="4">
        <f t="shared" si="47"/>
        <v>3.2887975334018496E-3</v>
      </c>
      <c r="AO346" s="3"/>
      <c r="AP346">
        <v>0</v>
      </c>
      <c r="AR346" t="s">
        <v>0</v>
      </c>
      <c r="AT346" s="2" t="s">
        <v>32</v>
      </c>
      <c r="AU346" s="1">
        <f t="shared" si="43"/>
        <v>3.185607680840421</v>
      </c>
      <c r="AV346" s="1">
        <f t="shared" si="44"/>
        <v>2.3693997015546389</v>
      </c>
      <c r="AW346" s="1">
        <f t="shared" si="45"/>
        <v>1.5531917222688572</v>
      </c>
    </row>
    <row r="347" spans="1:49" x14ac:dyDescent="0.2">
      <c r="A347">
        <v>345</v>
      </c>
      <c r="B347" t="s">
        <v>4561</v>
      </c>
      <c r="C347" t="s">
        <v>4560</v>
      </c>
      <c r="F347" t="s">
        <v>4559</v>
      </c>
      <c r="G347" t="s">
        <v>14</v>
      </c>
      <c r="H347" t="s">
        <v>13</v>
      </c>
      <c r="I347" t="s">
        <v>4558</v>
      </c>
      <c r="J347">
        <v>60106849</v>
      </c>
      <c r="K347" t="s">
        <v>4557</v>
      </c>
      <c r="L347" t="s">
        <v>4556</v>
      </c>
      <c r="M347" t="s">
        <v>1384</v>
      </c>
      <c r="N347">
        <v>2</v>
      </c>
      <c r="O347" t="s">
        <v>4555</v>
      </c>
      <c r="P347" t="s">
        <v>4554</v>
      </c>
      <c r="Q347" t="s">
        <v>4553</v>
      </c>
      <c r="R347" s="7">
        <v>31778</v>
      </c>
      <c r="S347" s="8">
        <f t="shared" si="40"/>
        <v>1987</v>
      </c>
      <c r="T347" s="8">
        <v>1987</v>
      </c>
      <c r="U347" s="8">
        <f t="shared" si="41"/>
        <v>35</v>
      </c>
      <c r="V347" s="7">
        <v>1987</v>
      </c>
      <c r="W347" t="s">
        <v>429</v>
      </c>
      <c r="X347" s="2">
        <v>0.375</v>
      </c>
      <c r="Y347" s="6">
        <f t="shared" si="46"/>
        <v>1.0010410827260351E-2</v>
      </c>
      <c r="AA347">
        <v>135194</v>
      </c>
      <c r="AB347">
        <v>24918</v>
      </c>
      <c r="AD347" t="s">
        <v>4</v>
      </c>
      <c r="AE347">
        <v>23</v>
      </c>
      <c r="AF347">
        <v>22</v>
      </c>
      <c r="AH347" t="s">
        <v>4552</v>
      </c>
      <c r="AI347" t="s">
        <v>4551</v>
      </c>
      <c r="AJ347" t="s">
        <v>4550</v>
      </c>
      <c r="AK347" t="s">
        <v>4549</v>
      </c>
      <c r="AL347">
        <v>10</v>
      </c>
      <c r="AM347" s="5">
        <f t="shared" si="42"/>
        <v>0.2857142857142857</v>
      </c>
      <c r="AN347" s="4">
        <f t="shared" si="47"/>
        <v>4.3273651755287499E-4</v>
      </c>
      <c r="AO347" s="3"/>
      <c r="AP347">
        <v>0</v>
      </c>
      <c r="AR347" t="s">
        <v>0</v>
      </c>
      <c r="AT347" s="2">
        <v>1.3140000000000001</v>
      </c>
      <c r="AU347" s="1">
        <f t="shared" si="43"/>
        <v>0.71371085343481078</v>
      </c>
      <c r="AV347" s="1">
        <f t="shared" si="44"/>
        <v>0.52215736724066131</v>
      </c>
      <c r="AW347" s="1">
        <f t="shared" si="45"/>
        <v>0.33060388104651178</v>
      </c>
    </row>
    <row r="348" spans="1:49" x14ac:dyDescent="0.2">
      <c r="A348">
        <v>346</v>
      </c>
      <c r="B348" t="s">
        <v>4548</v>
      </c>
      <c r="C348" t="s">
        <v>4547</v>
      </c>
      <c r="F348" t="s">
        <v>4546</v>
      </c>
      <c r="G348" t="s">
        <v>14</v>
      </c>
      <c r="H348" t="s">
        <v>13</v>
      </c>
      <c r="I348" t="s">
        <v>4545</v>
      </c>
      <c r="J348">
        <v>115596558</v>
      </c>
      <c r="K348" t="s">
        <v>4544</v>
      </c>
      <c r="L348" t="s">
        <v>41</v>
      </c>
      <c r="M348" t="s">
        <v>9</v>
      </c>
      <c r="N348">
        <v>1</v>
      </c>
      <c r="O348" t="s">
        <v>4543</v>
      </c>
      <c r="P348">
        <v>56415157900</v>
      </c>
      <c r="Q348">
        <v>115596558</v>
      </c>
      <c r="R348" s="7">
        <v>31778</v>
      </c>
      <c r="S348" s="8">
        <f t="shared" si="40"/>
        <v>1987</v>
      </c>
      <c r="T348" s="8">
        <v>1987</v>
      </c>
      <c r="U348" s="8">
        <f t="shared" si="41"/>
        <v>35</v>
      </c>
      <c r="V348" s="7">
        <v>32051</v>
      </c>
      <c r="W348" t="s">
        <v>336</v>
      </c>
      <c r="X348" s="2">
        <v>1.6519999999999999</v>
      </c>
      <c r="Y348" s="6">
        <f t="shared" si="46"/>
        <v>4.409919649769093E-2</v>
      </c>
      <c r="AA348" t="s">
        <v>335</v>
      </c>
      <c r="AB348">
        <v>17337</v>
      </c>
      <c r="AC348">
        <v>15582221</v>
      </c>
      <c r="AD348" t="s">
        <v>4</v>
      </c>
      <c r="AE348">
        <v>35</v>
      </c>
      <c r="AF348">
        <v>10</v>
      </c>
      <c r="AH348" t="s">
        <v>4542</v>
      </c>
      <c r="AI348" t="s">
        <v>4541</v>
      </c>
      <c r="AK348" t="s">
        <v>4540</v>
      </c>
      <c r="AL348">
        <v>39</v>
      </c>
      <c r="AM348" s="5">
        <f t="shared" si="42"/>
        <v>1.1142857142857143</v>
      </c>
      <c r="AN348" s="4">
        <f t="shared" si="47"/>
        <v>1.6876724184562125E-3</v>
      </c>
      <c r="AO348" s="3"/>
      <c r="AP348">
        <v>0</v>
      </c>
      <c r="AR348" t="s">
        <v>0</v>
      </c>
      <c r="AT348" s="2" t="s">
        <v>32</v>
      </c>
      <c r="AU348" s="1">
        <f t="shared" si="43"/>
        <v>3.1375739273920509</v>
      </c>
      <c r="AV348" s="1">
        <f t="shared" si="44"/>
        <v>2.2893434458073574</v>
      </c>
      <c r="AW348" s="1">
        <f t="shared" si="45"/>
        <v>1.4411129642226626</v>
      </c>
    </row>
    <row r="349" spans="1:49" x14ac:dyDescent="0.2">
      <c r="A349">
        <v>347</v>
      </c>
      <c r="B349" t="s">
        <v>4539</v>
      </c>
      <c r="C349" t="s">
        <v>4538</v>
      </c>
      <c r="F349" t="s">
        <v>4537</v>
      </c>
      <c r="G349" t="s">
        <v>14</v>
      </c>
      <c r="H349" t="s">
        <v>13</v>
      </c>
      <c r="I349" t="s">
        <v>4536</v>
      </c>
      <c r="J349">
        <v>60011604</v>
      </c>
      <c r="K349" t="s">
        <v>887</v>
      </c>
      <c r="L349" t="s">
        <v>886</v>
      </c>
      <c r="M349" t="s">
        <v>112</v>
      </c>
      <c r="N349">
        <v>1</v>
      </c>
      <c r="O349" t="s">
        <v>4535</v>
      </c>
      <c r="P349">
        <v>6602265580</v>
      </c>
      <c r="Q349">
        <v>60011604</v>
      </c>
      <c r="R349" s="7">
        <v>31778</v>
      </c>
      <c r="S349" s="8">
        <f t="shared" si="40"/>
        <v>1987</v>
      </c>
      <c r="T349" s="8">
        <v>1987</v>
      </c>
      <c r="U349" s="8">
        <f t="shared" si="41"/>
        <v>35</v>
      </c>
      <c r="V349" s="7">
        <v>1987</v>
      </c>
      <c r="W349" s="11" t="s">
        <v>1483</v>
      </c>
      <c r="X349" s="2">
        <v>2.383</v>
      </c>
      <c r="Y349" s="6">
        <f t="shared" si="46"/>
        <v>6.3612824003630442E-2</v>
      </c>
      <c r="AA349">
        <v>1437070</v>
      </c>
      <c r="AB349">
        <v>39742</v>
      </c>
      <c r="AD349" t="s">
        <v>4</v>
      </c>
      <c r="AE349">
        <v>134</v>
      </c>
      <c r="AF349">
        <v>6</v>
      </c>
      <c r="AH349" t="s">
        <v>4534</v>
      </c>
      <c r="AI349" t="s">
        <v>4533</v>
      </c>
      <c r="AJ349" t="s">
        <v>4532</v>
      </c>
      <c r="AK349" t="s">
        <v>4531</v>
      </c>
      <c r="AL349">
        <v>0</v>
      </c>
      <c r="AM349" s="5">
        <f t="shared" si="42"/>
        <v>0</v>
      </c>
      <c r="AN349" s="4">
        <f t="shared" si="47"/>
        <v>0</v>
      </c>
      <c r="AO349" s="3"/>
      <c r="AP349">
        <v>0</v>
      </c>
      <c r="AR349" t="s">
        <v>0</v>
      </c>
      <c r="AT349" s="2" t="s">
        <v>32</v>
      </c>
      <c r="AU349" s="1">
        <f t="shared" si="43"/>
        <v>4.4528976802541305</v>
      </c>
      <c r="AV349" s="1">
        <f t="shared" si="44"/>
        <v>3.1806412001815221</v>
      </c>
      <c r="AW349" s="1">
        <f t="shared" si="45"/>
        <v>1.9083847201089132</v>
      </c>
    </row>
    <row r="350" spans="1:49" x14ac:dyDescent="0.2">
      <c r="A350">
        <v>348</v>
      </c>
      <c r="B350" t="s">
        <v>4530</v>
      </c>
      <c r="C350" t="s">
        <v>4529</v>
      </c>
      <c r="F350" t="s">
        <v>4528</v>
      </c>
      <c r="G350" t="s">
        <v>14</v>
      </c>
      <c r="H350" t="s">
        <v>13</v>
      </c>
      <c r="I350" t="s">
        <v>4527</v>
      </c>
      <c r="J350">
        <v>60025916</v>
      </c>
      <c r="K350" t="s">
        <v>4526</v>
      </c>
      <c r="L350" t="s">
        <v>4525</v>
      </c>
      <c r="M350" t="s">
        <v>9</v>
      </c>
      <c r="N350">
        <v>2</v>
      </c>
      <c r="O350" t="s">
        <v>4524</v>
      </c>
      <c r="P350" t="s">
        <v>4523</v>
      </c>
      <c r="Q350" t="s">
        <v>4522</v>
      </c>
      <c r="R350" s="7">
        <v>31778</v>
      </c>
      <c r="S350" s="8">
        <f t="shared" si="40"/>
        <v>1987</v>
      </c>
      <c r="T350" s="8">
        <v>1987</v>
      </c>
      <c r="U350" s="8">
        <f t="shared" si="41"/>
        <v>35</v>
      </c>
      <c r="V350" s="7">
        <v>32051</v>
      </c>
      <c r="W350" t="s">
        <v>336</v>
      </c>
      <c r="X350" s="2">
        <v>1.6519999999999999</v>
      </c>
      <c r="Y350" s="6">
        <f t="shared" si="46"/>
        <v>4.409919649769093E-2</v>
      </c>
      <c r="AA350" t="s">
        <v>335</v>
      </c>
      <c r="AB350">
        <v>17337</v>
      </c>
      <c r="AC350">
        <v>15582221</v>
      </c>
      <c r="AD350" t="s">
        <v>4</v>
      </c>
      <c r="AE350">
        <v>35</v>
      </c>
      <c r="AF350">
        <v>10</v>
      </c>
      <c r="AH350" t="s">
        <v>4521</v>
      </c>
      <c r="AI350" t="s">
        <v>4520</v>
      </c>
      <c r="AK350" t="s">
        <v>4519</v>
      </c>
      <c r="AL350">
        <v>2</v>
      </c>
      <c r="AM350" s="5">
        <f t="shared" si="42"/>
        <v>5.7142857142857141E-2</v>
      </c>
      <c r="AN350" s="4">
        <f t="shared" si="47"/>
        <v>8.6547303510575E-5</v>
      </c>
      <c r="AO350" s="3"/>
      <c r="AP350">
        <v>0</v>
      </c>
      <c r="AR350" t="s">
        <v>0</v>
      </c>
      <c r="AT350" s="2" t="s">
        <v>32</v>
      </c>
      <c r="AU350" s="1">
        <f t="shared" si="43"/>
        <v>3.0895401739436825</v>
      </c>
      <c r="AV350" s="1">
        <f t="shared" si="44"/>
        <v>2.2092871900600755</v>
      </c>
      <c r="AW350" s="1">
        <f t="shared" si="45"/>
        <v>1.3290342061764679</v>
      </c>
    </row>
    <row r="351" spans="1:49" x14ac:dyDescent="0.2">
      <c r="A351">
        <v>349</v>
      </c>
      <c r="B351" t="s">
        <v>4518</v>
      </c>
      <c r="C351" t="s">
        <v>4517</v>
      </c>
      <c r="F351" t="s">
        <v>4516</v>
      </c>
      <c r="G351" t="s">
        <v>14</v>
      </c>
      <c r="H351" t="s">
        <v>13</v>
      </c>
      <c r="I351" t="s">
        <v>1131</v>
      </c>
      <c r="J351">
        <v>60003892</v>
      </c>
      <c r="K351" t="s">
        <v>1130</v>
      </c>
      <c r="L351" t="s">
        <v>1129</v>
      </c>
      <c r="M351" t="s">
        <v>9</v>
      </c>
      <c r="N351">
        <v>2</v>
      </c>
      <c r="O351" t="s">
        <v>1128</v>
      </c>
      <c r="P351" t="s">
        <v>1127</v>
      </c>
      <c r="Q351" t="s">
        <v>1126</v>
      </c>
      <c r="R351" s="7">
        <v>31778</v>
      </c>
      <c r="S351" s="8">
        <f t="shared" si="40"/>
        <v>1987</v>
      </c>
      <c r="T351" s="8">
        <v>1987</v>
      </c>
      <c r="U351" s="8">
        <f t="shared" si="41"/>
        <v>35</v>
      </c>
      <c r="V351" s="7">
        <v>32051</v>
      </c>
      <c r="W351" t="s">
        <v>336</v>
      </c>
      <c r="X351" s="2">
        <v>1.6519999999999999</v>
      </c>
      <c r="Y351" s="6">
        <f t="shared" si="46"/>
        <v>4.409919649769093E-2</v>
      </c>
      <c r="AA351" t="s">
        <v>335</v>
      </c>
      <c r="AB351">
        <v>17337</v>
      </c>
      <c r="AC351">
        <v>15582221</v>
      </c>
      <c r="AD351" t="s">
        <v>4</v>
      </c>
      <c r="AE351">
        <v>35</v>
      </c>
      <c r="AF351">
        <v>10</v>
      </c>
      <c r="AH351" t="s">
        <v>4515</v>
      </c>
      <c r="AI351" t="s">
        <v>4514</v>
      </c>
      <c r="AK351" t="s">
        <v>4513</v>
      </c>
      <c r="AL351">
        <v>115</v>
      </c>
      <c r="AM351" s="5">
        <f t="shared" si="42"/>
        <v>3.2857142857142856</v>
      </c>
      <c r="AN351" s="4">
        <f t="shared" si="47"/>
        <v>4.9764699518580618E-3</v>
      </c>
      <c r="AO351" s="3"/>
      <c r="AP351">
        <v>0</v>
      </c>
      <c r="AQ351" t="s">
        <v>331</v>
      </c>
      <c r="AR351" t="s">
        <v>4512</v>
      </c>
      <c r="AS351" t="s">
        <v>329</v>
      </c>
      <c r="AT351" s="2" t="s">
        <v>32</v>
      </c>
      <c r="AU351" s="1">
        <f t="shared" si="43"/>
        <v>3.236237853394107</v>
      </c>
      <c r="AV351" s="1">
        <f t="shared" si="44"/>
        <v>2.4537833224774497</v>
      </c>
      <c r="AW351" s="1">
        <f t="shared" si="45"/>
        <v>1.6713287915607919</v>
      </c>
    </row>
    <row r="352" spans="1:49" x14ac:dyDescent="0.2">
      <c r="A352">
        <v>350</v>
      </c>
      <c r="B352" t="s">
        <v>4511</v>
      </c>
      <c r="C352" t="s">
        <v>4510</v>
      </c>
      <c r="F352" t="s">
        <v>4509</v>
      </c>
      <c r="G352" t="s">
        <v>14</v>
      </c>
      <c r="H352" t="s">
        <v>13</v>
      </c>
      <c r="I352" t="s">
        <v>4224</v>
      </c>
      <c r="J352" t="s">
        <v>3386</v>
      </c>
      <c r="K352" t="s">
        <v>3390</v>
      </c>
      <c r="L352" t="s">
        <v>3389</v>
      </c>
      <c r="M352" t="s">
        <v>55</v>
      </c>
      <c r="N352">
        <v>2</v>
      </c>
      <c r="O352" t="s">
        <v>4508</v>
      </c>
      <c r="P352" t="s">
        <v>3387</v>
      </c>
      <c r="Q352" t="s">
        <v>3386</v>
      </c>
      <c r="R352" s="7">
        <v>31778</v>
      </c>
      <c r="S352" s="8">
        <f t="shared" si="40"/>
        <v>1987</v>
      </c>
      <c r="T352" s="8">
        <v>1987</v>
      </c>
      <c r="U352" s="8">
        <f t="shared" si="41"/>
        <v>35</v>
      </c>
      <c r="V352" s="7">
        <v>1987</v>
      </c>
      <c r="W352" t="s">
        <v>1931</v>
      </c>
      <c r="X352" s="2">
        <v>1.468</v>
      </c>
      <c r="Y352" s="6">
        <f t="shared" si="46"/>
        <v>3.9187421585115186E-2</v>
      </c>
      <c r="AA352">
        <v>906778</v>
      </c>
      <c r="AB352">
        <v>18931</v>
      </c>
      <c r="AD352" t="s">
        <v>4</v>
      </c>
      <c r="AE352">
        <v>35</v>
      </c>
      <c r="AF352">
        <v>10</v>
      </c>
      <c r="AH352" t="s">
        <v>4507</v>
      </c>
      <c r="AI352" t="s">
        <v>4506</v>
      </c>
      <c r="AK352" t="s">
        <v>4505</v>
      </c>
      <c r="AL352">
        <v>7</v>
      </c>
      <c r="AM352" s="5">
        <f t="shared" si="42"/>
        <v>0.2</v>
      </c>
      <c r="AN352" s="4">
        <f t="shared" si="47"/>
        <v>3.0291556228701253E-4</v>
      </c>
      <c r="AO352" s="3"/>
      <c r="AP352">
        <v>0</v>
      </c>
      <c r="AR352" t="s">
        <v>0</v>
      </c>
      <c r="AT352" s="2">
        <v>5.0830000000000002</v>
      </c>
      <c r="AU352" s="1">
        <f t="shared" si="43"/>
        <v>2.7522069778266731</v>
      </c>
      <c r="AV352" s="1">
        <f t="shared" si="44"/>
        <v>1.9745168573701097</v>
      </c>
      <c r="AW352" s="1">
        <f t="shared" si="45"/>
        <v>1.1968267369135466</v>
      </c>
    </row>
    <row r="353" spans="1:49" x14ac:dyDescent="0.2">
      <c r="A353">
        <v>351</v>
      </c>
      <c r="B353" t="s">
        <v>4504</v>
      </c>
      <c r="C353" t="s">
        <v>4503</v>
      </c>
      <c r="F353" t="s">
        <v>4502</v>
      </c>
      <c r="G353" t="s">
        <v>14</v>
      </c>
      <c r="H353" t="s">
        <v>13</v>
      </c>
      <c r="I353" t="s">
        <v>4501</v>
      </c>
      <c r="J353">
        <v>60000891</v>
      </c>
      <c r="K353" t="s">
        <v>2479</v>
      </c>
      <c r="L353" t="s">
        <v>2478</v>
      </c>
      <c r="M353" t="s">
        <v>586</v>
      </c>
      <c r="N353">
        <v>2</v>
      </c>
      <c r="O353" t="s">
        <v>4500</v>
      </c>
      <c r="P353" t="s">
        <v>4499</v>
      </c>
      <c r="Q353" t="s">
        <v>4498</v>
      </c>
      <c r="R353" s="7">
        <v>31778</v>
      </c>
      <c r="S353" s="8">
        <f t="shared" si="40"/>
        <v>1987</v>
      </c>
      <c r="T353" s="8">
        <v>1987</v>
      </c>
      <c r="U353" s="8">
        <f t="shared" si="41"/>
        <v>35</v>
      </c>
      <c r="V353" s="7">
        <v>1987</v>
      </c>
      <c r="W353" s="11" t="s">
        <v>1483</v>
      </c>
      <c r="X353" s="2">
        <v>2.383</v>
      </c>
      <c r="Y353" s="6">
        <f t="shared" si="46"/>
        <v>6.3612824003630442E-2</v>
      </c>
      <c r="AA353">
        <v>1437070</v>
      </c>
      <c r="AB353">
        <v>39742</v>
      </c>
      <c r="AD353" t="s">
        <v>4</v>
      </c>
      <c r="AE353">
        <v>134</v>
      </c>
      <c r="AF353">
        <v>6</v>
      </c>
      <c r="AH353" t="s">
        <v>4497</v>
      </c>
      <c r="AI353" t="s">
        <v>4496</v>
      </c>
      <c r="AJ353" t="s">
        <v>4495</v>
      </c>
      <c r="AK353" t="s">
        <v>4494</v>
      </c>
      <c r="AL353">
        <v>0</v>
      </c>
      <c r="AM353" s="5">
        <f t="shared" si="42"/>
        <v>0</v>
      </c>
      <c r="AN353" s="4">
        <f t="shared" si="47"/>
        <v>0</v>
      </c>
      <c r="AO353" s="3"/>
      <c r="AP353">
        <v>0</v>
      </c>
      <c r="AR353" t="s">
        <v>0</v>
      </c>
      <c r="AT353" s="2" t="s">
        <v>32</v>
      </c>
      <c r="AU353" s="1">
        <f t="shared" si="43"/>
        <v>4.4528976802541305</v>
      </c>
      <c r="AV353" s="1">
        <f t="shared" si="44"/>
        <v>3.1806412001815221</v>
      </c>
      <c r="AW353" s="1">
        <f t="shared" si="45"/>
        <v>1.9083847201089132</v>
      </c>
    </row>
    <row r="354" spans="1:49" x14ac:dyDescent="0.2">
      <c r="A354">
        <v>352</v>
      </c>
      <c r="B354" t="s">
        <v>4493</v>
      </c>
      <c r="C354" t="s">
        <v>4492</v>
      </c>
      <c r="F354" t="s">
        <v>4491</v>
      </c>
      <c r="G354" t="s">
        <v>14</v>
      </c>
      <c r="H354" t="s">
        <v>13</v>
      </c>
      <c r="I354" t="s">
        <v>1859</v>
      </c>
      <c r="J354">
        <v>60002947</v>
      </c>
      <c r="K354" t="s">
        <v>4490</v>
      </c>
      <c r="L354" t="s">
        <v>3342</v>
      </c>
      <c r="M354" t="s">
        <v>792</v>
      </c>
      <c r="N354">
        <v>2</v>
      </c>
      <c r="O354" t="s">
        <v>4489</v>
      </c>
      <c r="P354" t="s">
        <v>4488</v>
      </c>
      <c r="Q354" t="s">
        <v>4487</v>
      </c>
      <c r="R354" s="7">
        <v>31778</v>
      </c>
      <c r="S354" s="8">
        <f t="shared" si="40"/>
        <v>1987</v>
      </c>
      <c r="T354" s="8">
        <v>1987</v>
      </c>
      <c r="U354" s="8">
        <f t="shared" si="41"/>
        <v>35</v>
      </c>
      <c r="V354" s="7">
        <v>32051</v>
      </c>
      <c r="W354" t="s">
        <v>336</v>
      </c>
      <c r="X354" s="2">
        <v>1.6519999999999999</v>
      </c>
      <c r="Y354" s="6">
        <f t="shared" si="46"/>
        <v>4.409919649769093E-2</v>
      </c>
      <c r="AA354" t="s">
        <v>335</v>
      </c>
      <c r="AB354">
        <v>17337</v>
      </c>
      <c r="AC354">
        <v>15582221</v>
      </c>
      <c r="AD354" t="s">
        <v>4</v>
      </c>
      <c r="AE354">
        <v>35</v>
      </c>
      <c r="AF354">
        <v>10</v>
      </c>
      <c r="AH354" t="s">
        <v>4486</v>
      </c>
      <c r="AI354" t="s">
        <v>4485</v>
      </c>
      <c r="AK354" t="s">
        <v>4484</v>
      </c>
      <c r="AL354">
        <v>8</v>
      </c>
      <c r="AM354" s="5">
        <f t="shared" si="42"/>
        <v>0.22857142857142856</v>
      </c>
      <c r="AN354" s="4">
        <f t="shared" si="47"/>
        <v>3.461892140423E-4</v>
      </c>
      <c r="AO354" s="3"/>
      <c r="AP354">
        <v>0</v>
      </c>
      <c r="AR354" t="s">
        <v>0</v>
      </c>
      <c r="AT354" s="2" t="s">
        <v>32</v>
      </c>
      <c r="AU354" s="1">
        <f t="shared" si="43"/>
        <v>3.097329431259634</v>
      </c>
      <c r="AV354" s="1">
        <f t="shared" si="44"/>
        <v>2.2222692855866617</v>
      </c>
      <c r="AW354" s="1">
        <f t="shared" si="45"/>
        <v>1.347209139913689</v>
      </c>
    </row>
    <row r="355" spans="1:49" x14ac:dyDescent="0.2">
      <c r="A355">
        <v>353</v>
      </c>
      <c r="B355" t="s">
        <v>4483</v>
      </c>
      <c r="C355" t="s">
        <v>4482</v>
      </c>
      <c r="D355" t="s">
        <v>4481</v>
      </c>
      <c r="F355" t="s">
        <v>4480</v>
      </c>
      <c r="G355" t="s">
        <v>14</v>
      </c>
      <c r="H355" t="s">
        <v>13</v>
      </c>
      <c r="I355" t="s">
        <v>4479</v>
      </c>
      <c r="J355">
        <v>60006051</v>
      </c>
      <c r="K355" t="s">
        <v>4478</v>
      </c>
      <c r="L355" t="s">
        <v>4477</v>
      </c>
      <c r="M355" t="s">
        <v>9</v>
      </c>
      <c r="N355">
        <v>3</v>
      </c>
      <c r="O355" t="s">
        <v>4476</v>
      </c>
      <c r="P355" t="s">
        <v>4475</v>
      </c>
      <c r="Q355" t="s">
        <v>4474</v>
      </c>
      <c r="R355" s="7">
        <v>31778</v>
      </c>
      <c r="S355" s="8">
        <f t="shared" si="40"/>
        <v>1987</v>
      </c>
      <c r="T355" s="8">
        <v>1987</v>
      </c>
      <c r="U355" s="8">
        <f t="shared" si="41"/>
        <v>35</v>
      </c>
      <c r="V355" s="7">
        <v>32051</v>
      </c>
      <c r="W355" t="s">
        <v>4473</v>
      </c>
      <c r="X355" s="2">
        <v>1.1479999999999999</v>
      </c>
      <c r="Y355" s="6">
        <f t="shared" si="46"/>
        <v>3.0645204345853019E-2</v>
      </c>
      <c r="AA355" t="s">
        <v>4472</v>
      </c>
      <c r="AB355">
        <v>15980</v>
      </c>
      <c r="AD355" t="s">
        <v>4</v>
      </c>
      <c r="AE355">
        <v>14</v>
      </c>
      <c r="AF355">
        <v>3</v>
      </c>
      <c r="AH355" t="s">
        <v>4471</v>
      </c>
      <c r="AI355" t="s">
        <v>4470</v>
      </c>
      <c r="AK355" t="s">
        <v>4469</v>
      </c>
      <c r="AL355">
        <v>44</v>
      </c>
      <c r="AM355" s="5">
        <f t="shared" si="42"/>
        <v>1.2571428571428571</v>
      </c>
      <c r="AN355" s="4">
        <f t="shared" si="47"/>
        <v>1.90404067723265E-3</v>
      </c>
      <c r="AO355" s="3"/>
      <c r="AP355">
        <v>0</v>
      </c>
      <c r="AQ355" t="s">
        <v>4468</v>
      </c>
      <c r="AR355">
        <v>63704</v>
      </c>
      <c r="AS355" t="s">
        <v>4467</v>
      </c>
      <c r="AT355" s="2">
        <v>3.726</v>
      </c>
      <c r="AU355" s="1">
        <f t="shared" si="43"/>
        <v>2.2022855245266908</v>
      </c>
      <c r="AV355" s="1">
        <f t="shared" si="44"/>
        <v>1.6274622511542836</v>
      </c>
      <c r="AW355" s="1">
        <f t="shared" si="45"/>
        <v>1.0526389777818759</v>
      </c>
    </row>
    <row r="356" spans="1:49" x14ac:dyDescent="0.2">
      <c r="A356">
        <v>354</v>
      </c>
      <c r="B356" t="s">
        <v>4466</v>
      </c>
      <c r="C356" t="s">
        <v>4465</v>
      </c>
      <c r="F356" t="s">
        <v>4464</v>
      </c>
      <c r="G356" t="s">
        <v>14</v>
      </c>
      <c r="H356" t="s">
        <v>13</v>
      </c>
      <c r="I356" t="s">
        <v>4203</v>
      </c>
      <c r="J356" t="s">
        <v>4463</v>
      </c>
      <c r="K356" t="s">
        <v>4462</v>
      </c>
      <c r="L356" t="s">
        <v>4461</v>
      </c>
      <c r="M356" t="s">
        <v>55</v>
      </c>
      <c r="N356">
        <v>1</v>
      </c>
      <c r="O356" t="s">
        <v>4460</v>
      </c>
      <c r="P356">
        <v>7004052021</v>
      </c>
      <c r="Q356" t="s">
        <v>4459</v>
      </c>
      <c r="R356" s="7">
        <v>31778</v>
      </c>
      <c r="S356" s="8">
        <f t="shared" si="40"/>
        <v>1987</v>
      </c>
      <c r="T356" s="8">
        <v>1987</v>
      </c>
      <c r="U356" s="8">
        <f t="shared" si="41"/>
        <v>35</v>
      </c>
      <c r="V356" s="7">
        <v>32051</v>
      </c>
      <c r="W356" t="s">
        <v>336</v>
      </c>
      <c r="X356" s="2">
        <v>1.6519999999999999</v>
      </c>
      <c r="Y356" s="6">
        <f t="shared" si="46"/>
        <v>4.409919649769093E-2</v>
      </c>
      <c r="AA356" t="s">
        <v>335</v>
      </c>
      <c r="AB356">
        <v>17337</v>
      </c>
      <c r="AC356">
        <v>15582221</v>
      </c>
      <c r="AD356" t="s">
        <v>4</v>
      </c>
      <c r="AE356">
        <v>35</v>
      </c>
      <c r="AF356">
        <v>10</v>
      </c>
      <c r="AH356" t="s">
        <v>4458</v>
      </c>
      <c r="AI356" t="s">
        <v>4457</v>
      </c>
      <c r="AK356" t="s">
        <v>4456</v>
      </c>
      <c r="AL356">
        <v>11</v>
      </c>
      <c r="AM356" s="5">
        <f t="shared" si="42"/>
        <v>0.31428571428571428</v>
      </c>
      <c r="AN356" s="4">
        <f t="shared" si="47"/>
        <v>4.7601016930816251E-4</v>
      </c>
      <c r="AO356" s="3"/>
      <c r="AP356">
        <v>0</v>
      </c>
      <c r="AR356" t="s">
        <v>0</v>
      </c>
      <c r="AT356" s="2" t="s">
        <v>32</v>
      </c>
      <c r="AU356" s="1">
        <f t="shared" si="43"/>
        <v>3.1012240599176102</v>
      </c>
      <c r="AV356" s="1">
        <f t="shared" si="44"/>
        <v>2.2287603333499546</v>
      </c>
      <c r="AW356" s="1">
        <f t="shared" si="45"/>
        <v>1.356296606782299</v>
      </c>
    </row>
    <row r="357" spans="1:49" x14ac:dyDescent="0.2">
      <c r="A357">
        <v>355</v>
      </c>
      <c r="B357" t="s">
        <v>4455</v>
      </c>
      <c r="C357" t="s">
        <v>4454</v>
      </c>
      <c r="F357" t="s">
        <v>4453</v>
      </c>
      <c r="G357" t="s">
        <v>14</v>
      </c>
      <c r="H357" t="s">
        <v>13</v>
      </c>
      <c r="I357" t="s">
        <v>4452</v>
      </c>
      <c r="N357">
        <v>2</v>
      </c>
      <c r="O357" t="s">
        <v>4451</v>
      </c>
      <c r="P357" t="s">
        <v>4450</v>
      </c>
      <c r="Q357" t="s">
        <v>349</v>
      </c>
      <c r="R357" s="7">
        <v>31778</v>
      </c>
      <c r="S357" s="8">
        <f t="shared" si="40"/>
        <v>1987</v>
      </c>
      <c r="T357" s="8">
        <v>1987</v>
      </c>
      <c r="U357" s="8">
        <f t="shared" si="41"/>
        <v>35</v>
      </c>
      <c r="V357" s="7" t="s">
        <v>4411</v>
      </c>
      <c r="W357" s="11" t="s">
        <v>1382</v>
      </c>
      <c r="X357" s="2">
        <v>2.383</v>
      </c>
      <c r="Y357" s="6">
        <f t="shared" si="46"/>
        <v>6.3612824003630442E-2</v>
      </c>
      <c r="AA357" t="s">
        <v>1381</v>
      </c>
      <c r="AB357">
        <v>101151</v>
      </c>
      <c r="AD357" t="s">
        <v>4</v>
      </c>
      <c r="AE357">
        <v>134</v>
      </c>
      <c r="AF357">
        <v>5</v>
      </c>
      <c r="AH357" t="s">
        <v>4449</v>
      </c>
      <c r="AI357" t="s">
        <v>4448</v>
      </c>
      <c r="AK357" t="s">
        <v>4447</v>
      </c>
      <c r="AL357">
        <v>1</v>
      </c>
      <c r="AM357" s="5">
        <f t="shared" si="42"/>
        <v>2.8571428571428571E-2</v>
      </c>
      <c r="AN357" s="4">
        <f t="shared" si="47"/>
        <v>4.32736517552875E-5</v>
      </c>
      <c r="AO357" s="3"/>
      <c r="AP357">
        <v>0</v>
      </c>
      <c r="AR357" t="s">
        <v>0</v>
      </c>
      <c r="AT357" s="2" t="s">
        <v>32</v>
      </c>
      <c r="AU357" s="1">
        <f t="shared" si="43"/>
        <v>4.4541958898067895</v>
      </c>
      <c r="AV357" s="1">
        <f t="shared" si="44"/>
        <v>3.1828048827692865</v>
      </c>
      <c r="AW357" s="1">
        <f t="shared" si="45"/>
        <v>1.9114138757317833</v>
      </c>
    </row>
    <row r="358" spans="1:49" x14ac:dyDescent="0.2">
      <c r="A358">
        <v>356</v>
      </c>
      <c r="B358" t="s">
        <v>4446</v>
      </c>
      <c r="C358" t="s">
        <v>4445</v>
      </c>
      <c r="F358" t="s">
        <v>4444</v>
      </c>
      <c r="G358" t="s">
        <v>14</v>
      </c>
      <c r="H358" t="s">
        <v>13</v>
      </c>
      <c r="I358" t="s">
        <v>4443</v>
      </c>
      <c r="N358">
        <v>1</v>
      </c>
      <c r="O358" t="s">
        <v>4442</v>
      </c>
      <c r="P358">
        <v>57197941229</v>
      </c>
      <c r="R358" s="7">
        <v>31778</v>
      </c>
      <c r="S358" s="8">
        <f t="shared" si="40"/>
        <v>1987</v>
      </c>
      <c r="T358" s="8">
        <v>1987</v>
      </c>
      <c r="U358" s="8">
        <f t="shared" si="41"/>
        <v>35</v>
      </c>
      <c r="V358" s="7" t="s">
        <v>4411</v>
      </c>
      <c r="W358" s="11" t="s">
        <v>1382</v>
      </c>
      <c r="X358" s="2">
        <v>2.383</v>
      </c>
      <c r="Y358" s="6">
        <f t="shared" si="46"/>
        <v>6.3612824003630442E-2</v>
      </c>
      <c r="AA358" t="s">
        <v>1381</v>
      </c>
      <c r="AB358">
        <v>101151</v>
      </c>
      <c r="AD358" t="s">
        <v>4</v>
      </c>
      <c r="AE358">
        <v>134</v>
      </c>
      <c r="AF358">
        <v>5</v>
      </c>
      <c r="AH358" t="s">
        <v>4441</v>
      </c>
      <c r="AI358" t="s">
        <v>4440</v>
      </c>
      <c r="AK358" t="s">
        <v>4439</v>
      </c>
      <c r="AL358">
        <v>1</v>
      </c>
      <c r="AM358" s="5">
        <f t="shared" si="42"/>
        <v>2.8571428571428571E-2</v>
      </c>
      <c r="AN358" s="4">
        <f t="shared" si="47"/>
        <v>4.32736517552875E-5</v>
      </c>
      <c r="AO358" s="3"/>
      <c r="AP358">
        <v>0</v>
      </c>
      <c r="AR358" t="s">
        <v>0</v>
      </c>
      <c r="AT358" s="2" t="s">
        <v>32</v>
      </c>
      <c r="AU358" s="1">
        <f t="shared" si="43"/>
        <v>4.4541958898067895</v>
      </c>
      <c r="AV358" s="1">
        <f t="shared" si="44"/>
        <v>3.1828048827692865</v>
      </c>
      <c r="AW358" s="1">
        <f t="shared" si="45"/>
        <v>1.9114138757317833</v>
      </c>
    </row>
    <row r="359" spans="1:49" x14ac:dyDescent="0.2">
      <c r="A359">
        <v>357</v>
      </c>
      <c r="B359" t="s">
        <v>4438</v>
      </c>
      <c r="C359" t="s">
        <v>4437</v>
      </c>
      <c r="F359" t="s">
        <v>4436</v>
      </c>
      <c r="G359" t="s">
        <v>14</v>
      </c>
      <c r="H359" t="s">
        <v>13</v>
      </c>
      <c r="I359" t="s">
        <v>4435</v>
      </c>
      <c r="N359">
        <v>1</v>
      </c>
      <c r="O359" t="s">
        <v>4434</v>
      </c>
      <c r="P359">
        <v>16050119900</v>
      </c>
      <c r="R359" s="7">
        <v>31778</v>
      </c>
      <c r="S359" s="8">
        <f t="shared" ref="S359:S422" si="48">YEAR(R359)</f>
        <v>1987</v>
      </c>
      <c r="T359" s="8">
        <v>1987</v>
      </c>
      <c r="U359" s="8">
        <f t="shared" ref="U359:U422" si="49">2022-T359</f>
        <v>35</v>
      </c>
      <c r="V359" s="7" t="s">
        <v>4411</v>
      </c>
      <c r="W359" s="11" t="s">
        <v>1382</v>
      </c>
      <c r="X359" s="2">
        <v>2.383</v>
      </c>
      <c r="Y359" s="6">
        <f t="shared" si="46"/>
        <v>6.3612824003630442E-2</v>
      </c>
      <c r="AA359" t="s">
        <v>1381</v>
      </c>
      <c r="AB359">
        <v>101151</v>
      </c>
      <c r="AD359" t="s">
        <v>4</v>
      </c>
      <c r="AE359">
        <v>134</v>
      </c>
      <c r="AF359">
        <v>5</v>
      </c>
      <c r="AH359" t="s">
        <v>4433</v>
      </c>
      <c r="AI359" t="s">
        <v>4432</v>
      </c>
      <c r="AK359" t="s">
        <v>4431</v>
      </c>
      <c r="AL359">
        <v>8</v>
      </c>
      <c r="AM359" s="5">
        <f t="shared" ref="AM359:AM422" si="50">AL359/U359</f>
        <v>0.22857142857142856</v>
      </c>
      <c r="AN359" s="4">
        <f t="shared" si="47"/>
        <v>3.461892140423E-4</v>
      </c>
      <c r="AO359" s="3"/>
      <c r="AP359">
        <v>0</v>
      </c>
      <c r="AR359" t="s">
        <v>0</v>
      </c>
      <c r="AT359" s="2" t="s">
        <v>32</v>
      </c>
      <c r="AU359" s="1">
        <f t="shared" ref="AU359:AU422" si="51">(Y359*0.7+AN359*0.3)*100</f>
        <v>4.4632833566754</v>
      </c>
      <c r="AV359" s="1">
        <f t="shared" ref="AV359:AV422" si="52">(Y359*0.5+AN359*0.5)*100</f>
        <v>3.1979506608836368</v>
      </c>
      <c r="AW359" s="1">
        <f t="shared" ref="AW359:AW422" si="53">(Y359*0.3+AN359*0.7)*100</f>
        <v>1.9326179650918742</v>
      </c>
    </row>
    <row r="360" spans="1:49" x14ac:dyDescent="0.2">
      <c r="A360">
        <v>358</v>
      </c>
      <c r="B360" t="s">
        <v>4430</v>
      </c>
      <c r="C360" t="s">
        <v>4429</v>
      </c>
      <c r="D360">
        <v>11227587901834</v>
      </c>
      <c r="F360" t="s">
        <v>4428</v>
      </c>
      <c r="G360" t="s">
        <v>14</v>
      </c>
      <c r="H360" t="s">
        <v>13</v>
      </c>
      <c r="I360" t="s">
        <v>4427</v>
      </c>
      <c r="J360">
        <v>60031806</v>
      </c>
      <c r="K360" t="s">
        <v>4426</v>
      </c>
      <c r="L360" t="s">
        <v>4425</v>
      </c>
      <c r="M360" t="s">
        <v>40</v>
      </c>
      <c r="N360">
        <v>4</v>
      </c>
      <c r="O360" t="s">
        <v>4424</v>
      </c>
      <c r="P360" t="s">
        <v>4423</v>
      </c>
      <c r="Q360" t="s">
        <v>4422</v>
      </c>
      <c r="R360" s="7">
        <v>31778</v>
      </c>
      <c r="S360" s="8">
        <f t="shared" si="48"/>
        <v>1987</v>
      </c>
      <c r="T360" s="8">
        <v>1987</v>
      </c>
      <c r="U360" s="8">
        <f t="shared" si="49"/>
        <v>35</v>
      </c>
      <c r="V360" s="7">
        <v>32051</v>
      </c>
      <c r="W360" t="s">
        <v>4421</v>
      </c>
      <c r="X360" s="2">
        <v>0.66900000000000004</v>
      </c>
      <c r="Y360" s="6">
        <f t="shared" si="46"/>
        <v>1.7858572915832469E-2</v>
      </c>
      <c r="AA360">
        <v>112275</v>
      </c>
      <c r="AB360">
        <v>13713</v>
      </c>
      <c r="AD360" t="s">
        <v>4</v>
      </c>
      <c r="AE360">
        <v>27</v>
      </c>
      <c r="AF360">
        <v>10</v>
      </c>
      <c r="AH360" t="s">
        <v>4420</v>
      </c>
      <c r="AI360" t="s">
        <v>4419</v>
      </c>
      <c r="AJ360" t="s">
        <v>4418</v>
      </c>
      <c r="AK360" t="s">
        <v>4417</v>
      </c>
      <c r="AL360">
        <v>4</v>
      </c>
      <c r="AM360" s="5">
        <f t="shared" si="50"/>
        <v>0.11428571428571428</v>
      </c>
      <c r="AN360" s="4">
        <f t="shared" si="47"/>
        <v>1.7309460702115E-4</v>
      </c>
      <c r="AO360" s="3"/>
      <c r="AP360">
        <v>0</v>
      </c>
      <c r="AR360" t="s">
        <v>0</v>
      </c>
      <c r="AT360" s="2">
        <v>2.226</v>
      </c>
      <c r="AU360" s="1">
        <f t="shared" si="51"/>
        <v>1.2552929423189072</v>
      </c>
      <c r="AV360" s="1">
        <f t="shared" si="52"/>
        <v>0.90158337614268091</v>
      </c>
      <c r="AW360" s="1">
        <f t="shared" si="53"/>
        <v>0.54787380996645463</v>
      </c>
    </row>
    <row r="361" spans="1:49" x14ac:dyDescent="0.2">
      <c r="A361">
        <v>359</v>
      </c>
      <c r="B361" t="s">
        <v>4416</v>
      </c>
      <c r="C361" t="s">
        <v>4415</v>
      </c>
      <c r="F361" t="s">
        <v>4414</v>
      </c>
      <c r="G361" t="s">
        <v>14</v>
      </c>
      <c r="H361" t="s">
        <v>13</v>
      </c>
      <c r="I361" t="s">
        <v>4413</v>
      </c>
      <c r="N361">
        <v>1</v>
      </c>
      <c r="O361" t="s">
        <v>4412</v>
      </c>
      <c r="P361">
        <v>7202832083</v>
      </c>
      <c r="R361" s="7">
        <v>31778</v>
      </c>
      <c r="S361" s="8">
        <f t="shared" si="48"/>
        <v>1987</v>
      </c>
      <c r="T361" s="8">
        <v>1987</v>
      </c>
      <c r="U361" s="8">
        <f t="shared" si="49"/>
        <v>35</v>
      </c>
      <c r="V361" s="7" t="s">
        <v>4411</v>
      </c>
      <c r="W361" s="11" t="s">
        <v>1382</v>
      </c>
      <c r="X361" s="2">
        <v>2.383</v>
      </c>
      <c r="Y361" s="6">
        <f t="shared" si="46"/>
        <v>6.3612824003630442E-2</v>
      </c>
      <c r="AA361" t="s">
        <v>1381</v>
      </c>
      <c r="AB361">
        <v>101151</v>
      </c>
      <c r="AD361" t="s">
        <v>4</v>
      </c>
      <c r="AE361">
        <v>134</v>
      </c>
      <c r="AF361">
        <v>5</v>
      </c>
      <c r="AH361" t="s">
        <v>4410</v>
      </c>
      <c r="AI361" t="s">
        <v>4409</v>
      </c>
      <c r="AK361" t="s">
        <v>4408</v>
      </c>
      <c r="AL361">
        <v>6</v>
      </c>
      <c r="AM361" s="5">
        <f t="shared" si="50"/>
        <v>0.17142857142857143</v>
      </c>
      <c r="AN361" s="4">
        <f t="shared" si="47"/>
        <v>2.5964191053172501E-4</v>
      </c>
      <c r="AO361" s="3"/>
      <c r="AP361">
        <v>0</v>
      </c>
      <c r="AR361" t="s">
        <v>0</v>
      </c>
      <c r="AT361" s="2" t="s">
        <v>32</v>
      </c>
      <c r="AU361" s="1">
        <f t="shared" si="51"/>
        <v>4.4606869375700828</v>
      </c>
      <c r="AV361" s="1">
        <f t="shared" si="52"/>
        <v>3.1936232957081083</v>
      </c>
      <c r="AW361" s="1">
        <f t="shared" si="53"/>
        <v>1.926559653846134</v>
      </c>
    </row>
    <row r="362" spans="1:49" x14ac:dyDescent="0.2">
      <c r="A362">
        <v>360</v>
      </c>
      <c r="B362" t="s">
        <v>4407</v>
      </c>
      <c r="C362" t="s">
        <v>4406</v>
      </c>
      <c r="F362" t="s">
        <v>4405</v>
      </c>
      <c r="G362" t="s">
        <v>14</v>
      </c>
      <c r="H362" t="s">
        <v>13</v>
      </c>
      <c r="I362" t="s">
        <v>4404</v>
      </c>
      <c r="J362">
        <v>60003416</v>
      </c>
      <c r="K362" t="s">
        <v>4403</v>
      </c>
      <c r="L362" t="s">
        <v>4402</v>
      </c>
      <c r="M362" t="s">
        <v>524</v>
      </c>
      <c r="N362">
        <v>2</v>
      </c>
      <c r="O362" t="s">
        <v>4401</v>
      </c>
      <c r="P362" t="s">
        <v>4400</v>
      </c>
      <c r="Q362" t="s">
        <v>4399</v>
      </c>
      <c r="R362" s="7">
        <v>31778</v>
      </c>
      <c r="S362" s="8">
        <f t="shared" si="48"/>
        <v>1987</v>
      </c>
      <c r="T362" s="8">
        <v>1987</v>
      </c>
      <c r="U362" s="8">
        <f t="shared" si="49"/>
        <v>35</v>
      </c>
      <c r="V362" s="7">
        <v>1987</v>
      </c>
      <c r="W362" t="s">
        <v>1909</v>
      </c>
      <c r="X362" s="2">
        <v>0.111</v>
      </c>
      <c r="Y362" s="6">
        <f t="shared" si="46"/>
        <v>2.9630816048690639E-3</v>
      </c>
      <c r="AA362">
        <v>87566621</v>
      </c>
      <c r="AB362">
        <v>24890</v>
      </c>
      <c r="AC362">
        <v>15206424</v>
      </c>
      <c r="AD362" t="s">
        <v>4</v>
      </c>
      <c r="AE362">
        <v>70</v>
      </c>
      <c r="AF362">
        <v>10</v>
      </c>
      <c r="AH362" t="s">
        <v>4398</v>
      </c>
      <c r="AI362" t="s">
        <v>4397</v>
      </c>
      <c r="AK362" t="s">
        <v>4396</v>
      </c>
      <c r="AL362">
        <v>0</v>
      </c>
      <c r="AM362" s="5">
        <f t="shared" si="50"/>
        <v>0</v>
      </c>
      <c r="AN362" s="4">
        <f t="shared" si="47"/>
        <v>0</v>
      </c>
      <c r="AO362" s="3"/>
      <c r="AP362">
        <v>0</v>
      </c>
      <c r="AR362" t="s">
        <v>0</v>
      </c>
      <c r="AT362" s="2" t="s">
        <v>32</v>
      </c>
      <c r="AU362" s="1">
        <f t="shared" si="51"/>
        <v>0.20741571234083445</v>
      </c>
      <c r="AV362" s="1">
        <f t="shared" si="52"/>
        <v>0.1481540802434532</v>
      </c>
      <c r="AW362" s="1">
        <f t="shared" si="53"/>
        <v>8.8892448146071903E-2</v>
      </c>
    </row>
    <row r="363" spans="1:49" x14ac:dyDescent="0.2">
      <c r="A363">
        <v>361</v>
      </c>
      <c r="B363" t="s">
        <v>4395</v>
      </c>
      <c r="C363" t="s">
        <v>4394</v>
      </c>
      <c r="D363" t="s">
        <v>4393</v>
      </c>
      <c r="E363">
        <v>3677626</v>
      </c>
      <c r="F363" t="s">
        <v>4392</v>
      </c>
      <c r="G363" t="s">
        <v>14</v>
      </c>
      <c r="H363" t="s">
        <v>13</v>
      </c>
      <c r="I363" t="s">
        <v>4391</v>
      </c>
      <c r="J363" t="s">
        <v>4390</v>
      </c>
      <c r="K363" t="s">
        <v>4389</v>
      </c>
      <c r="L363" t="s">
        <v>4388</v>
      </c>
      <c r="M363" t="s">
        <v>4387</v>
      </c>
      <c r="N363">
        <v>3</v>
      </c>
      <c r="O363" t="s">
        <v>4386</v>
      </c>
      <c r="P363" t="s">
        <v>4385</v>
      </c>
      <c r="Q363" t="s">
        <v>4384</v>
      </c>
      <c r="R363" s="7">
        <v>31778</v>
      </c>
      <c r="S363" s="8">
        <f t="shared" si="48"/>
        <v>1987</v>
      </c>
      <c r="T363" s="8">
        <v>1987</v>
      </c>
      <c r="U363" s="8">
        <f t="shared" si="49"/>
        <v>35</v>
      </c>
      <c r="V363" s="7">
        <v>32051</v>
      </c>
      <c r="W363" t="s">
        <v>4383</v>
      </c>
      <c r="X363" s="2" t="s">
        <v>32</v>
      </c>
      <c r="Y363" s="6" t="e">
        <f t="shared" si="46"/>
        <v>#VALUE!</v>
      </c>
      <c r="AA363">
        <v>104809</v>
      </c>
      <c r="AB363">
        <v>36523</v>
      </c>
      <c r="AD363" t="s">
        <v>4</v>
      </c>
      <c r="AE363">
        <v>20</v>
      </c>
      <c r="AF363">
        <v>5</v>
      </c>
      <c r="AH363" t="s">
        <v>4382</v>
      </c>
      <c r="AI363" t="s">
        <v>4381</v>
      </c>
      <c r="AK363" t="s">
        <v>4380</v>
      </c>
      <c r="AL363">
        <v>2</v>
      </c>
      <c r="AM363" s="5">
        <f t="shared" si="50"/>
        <v>5.7142857142857141E-2</v>
      </c>
      <c r="AN363" s="4">
        <f t="shared" si="47"/>
        <v>8.6547303510575E-5</v>
      </c>
      <c r="AO363" s="3"/>
      <c r="AP363">
        <v>0</v>
      </c>
      <c r="AR363" t="s">
        <v>0</v>
      </c>
      <c r="AT363" s="2" t="s">
        <v>32</v>
      </c>
      <c r="AU363" s="1" t="e">
        <f t="shared" si="51"/>
        <v>#VALUE!</v>
      </c>
      <c r="AV363" s="1" t="e">
        <f t="shared" si="52"/>
        <v>#VALUE!</v>
      </c>
      <c r="AW363" s="1" t="e">
        <f t="shared" si="53"/>
        <v>#VALUE!</v>
      </c>
    </row>
    <row r="364" spans="1:49" x14ac:dyDescent="0.2">
      <c r="A364">
        <v>362</v>
      </c>
      <c r="B364" t="s">
        <v>4379</v>
      </c>
      <c r="C364" t="s">
        <v>4378</v>
      </c>
      <c r="F364" t="s">
        <v>4377</v>
      </c>
      <c r="G364" t="s">
        <v>14</v>
      </c>
      <c r="H364" t="s">
        <v>13</v>
      </c>
      <c r="I364" t="s">
        <v>4376</v>
      </c>
      <c r="J364">
        <v>60015763</v>
      </c>
      <c r="K364" t="s">
        <v>3208</v>
      </c>
      <c r="L364" t="s">
        <v>3207</v>
      </c>
      <c r="M364" t="s">
        <v>3206</v>
      </c>
      <c r="N364">
        <v>2</v>
      </c>
      <c r="O364" t="s">
        <v>4375</v>
      </c>
      <c r="P364" t="s">
        <v>4374</v>
      </c>
      <c r="Q364" t="s">
        <v>4373</v>
      </c>
      <c r="R364" s="7">
        <v>31778</v>
      </c>
      <c r="S364" s="8">
        <f t="shared" si="48"/>
        <v>1987</v>
      </c>
      <c r="T364" s="8">
        <v>1987</v>
      </c>
      <c r="U364" s="8">
        <f t="shared" si="49"/>
        <v>35</v>
      </c>
      <c r="V364" s="7">
        <v>32051</v>
      </c>
      <c r="W364" t="s">
        <v>2543</v>
      </c>
      <c r="X364" s="2">
        <v>0.251</v>
      </c>
      <c r="Y364" s="6">
        <f t="shared" si="46"/>
        <v>6.7003016470462617E-3</v>
      </c>
      <c r="AA364">
        <v>207217</v>
      </c>
      <c r="AB364">
        <v>26145</v>
      </c>
      <c r="AC364">
        <v>13623060</v>
      </c>
      <c r="AD364" t="s">
        <v>4</v>
      </c>
      <c r="AE364">
        <v>63</v>
      </c>
      <c r="AF364">
        <v>4</v>
      </c>
      <c r="AH364" t="s">
        <v>4372</v>
      </c>
      <c r="AI364" t="s">
        <v>4371</v>
      </c>
      <c r="AK364" t="s">
        <v>4370</v>
      </c>
      <c r="AL364">
        <v>1</v>
      </c>
      <c r="AM364" s="5">
        <f t="shared" si="50"/>
        <v>2.8571428571428571E-2</v>
      </c>
      <c r="AN364" s="4">
        <f t="shared" si="47"/>
        <v>4.32736517552875E-5</v>
      </c>
      <c r="AO364" s="3"/>
      <c r="AP364">
        <v>0</v>
      </c>
      <c r="AR364" t="s">
        <v>0</v>
      </c>
      <c r="AT364" s="2">
        <v>1.3360000000000001</v>
      </c>
      <c r="AU364" s="1">
        <f t="shared" si="51"/>
        <v>0.47031932484589689</v>
      </c>
      <c r="AV364" s="1">
        <f t="shared" si="52"/>
        <v>0.33717876494007748</v>
      </c>
      <c r="AW364" s="1">
        <f t="shared" si="53"/>
        <v>0.20403820503425793</v>
      </c>
    </row>
    <row r="365" spans="1:49" x14ac:dyDescent="0.2">
      <c r="A365">
        <v>363</v>
      </c>
      <c r="B365" t="s">
        <v>4369</v>
      </c>
      <c r="C365" t="s">
        <v>4368</v>
      </c>
      <c r="F365" t="s">
        <v>4367</v>
      </c>
      <c r="G365" t="s">
        <v>14</v>
      </c>
      <c r="H365" t="s">
        <v>13</v>
      </c>
      <c r="I365" t="s">
        <v>4366</v>
      </c>
      <c r="J365">
        <v>115938027</v>
      </c>
      <c r="K365" t="s">
        <v>4365</v>
      </c>
      <c r="M365" t="s">
        <v>3206</v>
      </c>
      <c r="N365">
        <v>1</v>
      </c>
      <c r="O365" t="s">
        <v>4364</v>
      </c>
      <c r="P365">
        <v>7202192285</v>
      </c>
      <c r="Q365">
        <v>115938027</v>
      </c>
      <c r="R365" s="7">
        <v>31778</v>
      </c>
      <c r="S365" s="8">
        <f t="shared" si="48"/>
        <v>1987</v>
      </c>
      <c r="T365" s="8">
        <v>1987</v>
      </c>
      <c r="U365" s="8">
        <f t="shared" si="49"/>
        <v>35</v>
      </c>
      <c r="V365" s="7">
        <v>32051</v>
      </c>
      <c r="W365" t="s">
        <v>2543</v>
      </c>
      <c r="X365" s="2">
        <v>0.251</v>
      </c>
      <c r="Y365" s="6">
        <f t="shared" si="46"/>
        <v>6.7003016470462617E-3</v>
      </c>
      <c r="AA365">
        <v>207217</v>
      </c>
      <c r="AB365">
        <v>26145</v>
      </c>
      <c r="AC365">
        <v>13623060</v>
      </c>
      <c r="AD365" t="s">
        <v>4</v>
      </c>
      <c r="AE365">
        <v>63</v>
      </c>
      <c r="AF365">
        <v>4</v>
      </c>
      <c r="AH365" t="s">
        <v>4363</v>
      </c>
      <c r="AI365" t="s">
        <v>4362</v>
      </c>
      <c r="AK365" t="s">
        <v>4361</v>
      </c>
      <c r="AL365">
        <v>1</v>
      </c>
      <c r="AM365" s="5">
        <f t="shared" si="50"/>
        <v>2.8571428571428571E-2</v>
      </c>
      <c r="AN365" s="4">
        <f t="shared" si="47"/>
        <v>4.32736517552875E-5</v>
      </c>
      <c r="AO365" s="3"/>
      <c r="AP365">
        <v>0</v>
      </c>
      <c r="AR365" t="s">
        <v>0</v>
      </c>
      <c r="AT365" s="2">
        <v>1.3360000000000001</v>
      </c>
      <c r="AU365" s="1">
        <f t="shared" si="51"/>
        <v>0.47031932484589689</v>
      </c>
      <c r="AV365" s="1">
        <f t="shared" si="52"/>
        <v>0.33717876494007748</v>
      </c>
      <c r="AW365" s="1">
        <f t="shared" si="53"/>
        <v>0.20403820503425793</v>
      </c>
    </row>
    <row r="366" spans="1:49" x14ac:dyDescent="0.2">
      <c r="A366">
        <v>364</v>
      </c>
      <c r="B366" t="s">
        <v>4360</v>
      </c>
      <c r="C366" t="s">
        <v>4359</v>
      </c>
      <c r="F366" t="s">
        <v>4358</v>
      </c>
      <c r="G366" t="s">
        <v>14</v>
      </c>
      <c r="H366" t="s">
        <v>13</v>
      </c>
      <c r="I366" t="s">
        <v>4357</v>
      </c>
      <c r="J366">
        <v>60019983</v>
      </c>
      <c r="K366" t="s">
        <v>4356</v>
      </c>
      <c r="L366" t="s">
        <v>4355</v>
      </c>
      <c r="M366" t="s">
        <v>524</v>
      </c>
      <c r="N366">
        <v>3</v>
      </c>
      <c r="O366" t="s">
        <v>4354</v>
      </c>
      <c r="P366" t="s">
        <v>4353</v>
      </c>
      <c r="Q366" t="s">
        <v>4352</v>
      </c>
      <c r="R366" s="7">
        <v>31778</v>
      </c>
      <c r="S366" s="8">
        <f t="shared" si="48"/>
        <v>1987</v>
      </c>
      <c r="T366" s="8">
        <v>1987</v>
      </c>
      <c r="U366" s="8">
        <f t="shared" si="49"/>
        <v>35</v>
      </c>
      <c r="V366" s="7">
        <v>1987</v>
      </c>
      <c r="W366" t="s">
        <v>1909</v>
      </c>
      <c r="X366" s="2">
        <v>0.111</v>
      </c>
      <c r="Y366" s="6">
        <f t="shared" si="46"/>
        <v>2.9630816048690639E-3</v>
      </c>
      <c r="AA366">
        <v>87566621</v>
      </c>
      <c r="AB366">
        <v>24890</v>
      </c>
      <c r="AC366">
        <v>15206424</v>
      </c>
      <c r="AD366" t="s">
        <v>4</v>
      </c>
      <c r="AE366">
        <v>70</v>
      </c>
      <c r="AF366">
        <v>10</v>
      </c>
      <c r="AH366" t="s">
        <v>4351</v>
      </c>
      <c r="AI366" t="s">
        <v>4350</v>
      </c>
      <c r="AK366" t="s">
        <v>4349</v>
      </c>
      <c r="AL366">
        <v>0</v>
      </c>
      <c r="AM366" s="5">
        <f t="shared" si="50"/>
        <v>0</v>
      </c>
      <c r="AN366" s="4">
        <f t="shared" si="47"/>
        <v>0</v>
      </c>
      <c r="AO366" s="3"/>
      <c r="AP366">
        <v>0</v>
      </c>
      <c r="AR366" t="s">
        <v>0</v>
      </c>
      <c r="AT366" s="2" t="s">
        <v>32</v>
      </c>
      <c r="AU366" s="1">
        <f t="shared" si="51"/>
        <v>0.20741571234083445</v>
      </c>
      <c r="AV366" s="1">
        <f t="shared" si="52"/>
        <v>0.1481540802434532</v>
      </c>
      <c r="AW366" s="1">
        <f t="shared" si="53"/>
        <v>8.8892448146071903E-2</v>
      </c>
    </row>
    <row r="367" spans="1:49" x14ac:dyDescent="0.2">
      <c r="A367">
        <v>365</v>
      </c>
      <c r="B367" t="s">
        <v>4348</v>
      </c>
      <c r="C367" t="s">
        <v>4347</v>
      </c>
      <c r="F367" t="s">
        <v>4346</v>
      </c>
      <c r="G367" t="s">
        <v>14</v>
      </c>
      <c r="H367" t="s">
        <v>13</v>
      </c>
      <c r="I367" t="s">
        <v>4345</v>
      </c>
      <c r="N367">
        <v>3</v>
      </c>
      <c r="O367" t="s">
        <v>4344</v>
      </c>
      <c r="P367" t="s">
        <v>4343</v>
      </c>
      <c r="Q367" t="s">
        <v>171</v>
      </c>
      <c r="R367" s="7">
        <v>31778</v>
      </c>
      <c r="S367" s="8">
        <f t="shared" si="48"/>
        <v>1987</v>
      </c>
      <c r="T367" s="8">
        <v>1987</v>
      </c>
      <c r="U367" s="8">
        <f t="shared" si="49"/>
        <v>35</v>
      </c>
      <c r="V367" s="7" t="s">
        <v>4342</v>
      </c>
      <c r="W367" t="s">
        <v>472</v>
      </c>
      <c r="X367" s="2">
        <v>0.371</v>
      </c>
      <c r="Y367" s="6">
        <f t="shared" si="46"/>
        <v>9.9036331117695747E-3</v>
      </c>
      <c r="AA367">
        <v>486604</v>
      </c>
      <c r="AB367">
        <v>28580</v>
      </c>
      <c r="AC367" t="s">
        <v>471</v>
      </c>
      <c r="AD367" t="s">
        <v>4</v>
      </c>
      <c r="AE367">
        <v>22</v>
      </c>
      <c r="AF367">
        <v>5</v>
      </c>
      <c r="AH367" t="s">
        <v>4341</v>
      </c>
      <c r="AI367" t="s">
        <v>4340</v>
      </c>
      <c r="AK367" t="s">
        <v>4339</v>
      </c>
      <c r="AL367">
        <v>13</v>
      </c>
      <c r="AM367" s="5">
        <f t="shared" si="50"/>
        <v>0.37142857142857144</v>
      </c>
      <c r="AN367" s="4">
        <f t="shared" si="47"/>
        <v>5.6255747281873749E-4</v>
      </c>
      <c r="AO367" s="3"/>
      <c r="AP367">
        <v>0</v>
      </c>
      <c r="AR367" t="s">
        <v>0</v>
      </c>
      <c r="AT367" s="2">
        <v>1.431</v>
      </c>
      <c r="AU367" s="1">
        <f t="shared" si="51"/>
        <v>0.71013104200843225</v>
      </c>
      <c r="AV367" s="1">
        <f t="shared" si="52"/>
        <v>0.52330952922941565</v>
      </c>
      <c r="AW367" s="1">
        <f t="shared" si="53"/>
        <v>0.33648801645039889</v>
      </c>
    </row>
    <row r="368" spans="1:49" x14ac:dyDescent="0.2">
      <c r="A368">
        <v>366</v>
      </c>
      <c r="B368" t="s">
        <v>4338</v>
      </c>
      <c r="C368" t="s">
        <v>4337</v>
      </c>
      <c r="F368" t="s">
        <v>4336</v>
      </c>
      <c r="G368" t="s">
        <v>14</v>
      </c>
      <c r="H368" t="s">
        <v>13</v>
      </c>
      <c r="I368" t="s">
        <v>4335</v>
      </c>
      <c r="J368" t="s">
        <v>4334</v>
      </c>
      <c r="K368" t="s">
        <v>4333</v>
      </c>
      <c r="L368" t="s">
        <v>4332</v>
      </c>
      <c r="M368" t="s">
        <v>55</v>
      </c>
      <c r="N368">
        <v>2</v>
      </c>
      <c r="O368" t="s">
        <v>4331</v>
      </c>
      <c r="P368" t="s">
        <v>4330</v>
      </c>
      <c r="Q368" t="s">
        <v>4329</v>
      </c>
      <c r="R368" s="7">
        <v>31778</v>
      </c>
      <c r="S368" s="8">
        <f t="shared" si="48"/>
        <v>1987</v>
      </c>
      <c r="T368" s="8">
        <v>1987</v>
      </c>
      <c r="U368" s="8">
        <f t="shared" si="49"/>
        <v>35</v>
      </c>
      <c r="V368" s="7">
        <v>32021</v>
      </c>
      <c r="W368" t="s">
        <v>596</v>
      </c>
      <c r="X368" s="2">
        <v>1.573</v>
      </c>
      <c r="Y368" s="6">
        <f t="shared" si="46"/>
        <v>4.1990336616748086E-2</v>
      </c>
      <c r="AA368">
        <v>7315090</v>
      </c>
      <c r="AB368">
        <v>29586</v>
      </c>
      <c r="AD368" t="s">
        <v>4</v>
      </c>
      <c r="AE368">
        <v>10</v>
      </c>
      <c r="AF368">
        <v>5</v>
      </c>
      <c r="AH368" t="s">
        <v>4328</v>
      </c>
      <c r="AI368" t="s">
        <v>4327</v>
      </c>
      <c r="AK368" t="s">
        <v>4326</v>
      </c>
      <c r="AL368">
        <v>85</v>
      </c>
      <c r="AM368" s="5">
        <f t="shared" si="50"/>
        <v>2.4285714285714284</v>
      </c>
      <c r="AN368" s="4">
        <f t="shared" si="47"/>
        <v>3.678260399199437E-3</v>
      </c>
      <c r="AO368" s="3"/>
      <c r="AP368">
        <v>0</v>
      </c>
      <c r="AQ368" t="s">
        <v>3356</v>
      </c>
      <c r="AR368" t="s">
        <v>4325</v>
      </c>
      <c r="AS368" t="s">
        <v>512</v>
      </c>
      <c r="AT368" s="2" t="s">
        <v>32</v>
      </c>
      <c r="AU368" s="1">
        <f t="shared" si="51"/>
        <v>3.0496713751483493</v>
      </c>
      <c r="AV368" s="1">
        <f t="shared" si="52"/>
        <v>2.2834298507973765</v>
      </c>
      <c r="AW368" s="1">
        <f t="shared" si="53"/>
        <v>1.5171883264464032</v>
      </c>
    </row>
    <row r="369" spans="1:49" x14ac:dyDescent="0.2">
      <c r="A369">
        <v>367</v>
      </c>
      <c r="B369" t="s">
        <v>4324</v>
      </c>
      <c r="C369" t="s">
        <v>4323</v>
      </c>
      <c r="F369" t="s">
        <v>4322</v>
      </c>
      <c r="G369" t="s">
        <v>14</v>
      </c>
      <c r="H369" t="s">
        <v>13</v>
      </c>
      <c r="I369" t="s">
        <v>4321</v>
      </c>
      <c r="J369" t="s">
        <v>4320</v>
      </c>
      <c r="K369" t="s">
        <v>4319</v>
      </c>
      <c r="L369" t="s">
        <v>4318</v>
      </c>
      <c r="M369" t="s">
        <v>55</v>
      </c>
      <c r="N369">
        <v>1</v>
      </c>
      <c r="O369" t="s">
        <v>4317</v>
      </c>
      <c r="P369">
        <v>55664103800</v>
      </c>
      <c r="Q369" t="s">
        <v>4316</v>
      </c>
      <c r="R369" s="7">
        <v>31778</v>
      </c>
      <c r="S369" s="8">
        <f t="shared" si="48"/>
        <v>1987</v>
      </c>
      <c r="T369" s="8">
        <v>1987</v>
      </c>
      <c r="U369" s="8">
        <f t="shared" si="49"/>
        <v>35</v>
      </c>
      <c r="V369" s="7">
        <v>32021</v>
      </c>
      <c r="W369" t="s">
        <v>4268</v>
      </c>
      <c r="X369" s="2">
        <v>1.6379999999999999</v>
      </c>
      <c r="Y369" s="6">
        <f t="shared" si="46"/>
        <v>4.3725474493473214E-2</v>
      </c>
      <c r="AA369">
        <v>963518</v>
      </c>
      <c r="AB369">
        <v>31560</v>
      </c>
      <c r="AD369" t="s">
        <v>4</v>
      </c>
      <c r="AE369">
        <v>35</v>
      </c>
      <c r="AF369">
        <v>9</v>
      </c>
      <c r="AH369" t="s">
        <v>4315</v>
      </c>
      <c r="AI369" t="s">
        <v>4314</v>
      </c>
      <c r="AK369" t="s">
        <v>4313</v>
      </c>
      <c r="AL369">
        <v>0</v>
      </c>
      <c r="AM369" s="5">
        <f t="shared" si="50"/>
        <v>0</v>
      </c>
      <c r="AN369" s="4">
        <f t="shared" si="47"/>
        <v>0</v>
      </c>
      <c r="AO369" s="3"/>
      <c r="AP369">
        <v>0</v>
      </c>
      <c r="AR369" t="s">
        <v>0</v>
      </c>
      <c r="AT369" s="2" t="s">
        <v>32</v>
      </c>
      <c r="AU369" s="1">
        <f t="shared" si="51"/>
        <v>3.0607832145431249</v>
      </c>
      <c r="AV369" s="1">
        <f t="shared" si="52"/>
        <v>2.1862737246736605</v>
      </c>
      <c r="AW369" s="1">
        <f t="shared" si="53"/>
        <v>1.3117642348041965</v>
      </c>
    </row>
    <row r="370" spans="1:49" x14ac:dyDescent="0.2">
      <c r="A370">
        <v>368</v>
      </c>
      <c r="B370" t="s">
        <v>4312</v>
      </c>
      <c r="C370" t="s">
        <v>4311</v>
      </c>
      <c r="F370" t="s">
        <v>4310</v>
      </c>
      <c r="G370" t="s">
        <v>14</v>
      </c>
      <c r="H370" t="s">
        <v>13</v>
      </c>
      <c r="I370" t="s">
        <v>4309</v>
      </c>
      <c r="J370">
        <v>60006297</v>
      </c>
      <c r="K370" t="s">
        <v>1601</v>
      </c>
      <c r="L370" t="s">
        <v>1600</v>
      </c>
      <c r="M370" t="s">
        <v>9</v>
      </c>
      <c r="N370">
        <v>3</v>
      </c>
      <c r="O370" t="s">
        <v>4308</v>
      </c>
      <c r="P370" t="s">
        <v>4307</v>
      </c>
      <c r="Q370" t="s">
        <v>4306</v>
      </c>
      <c r="R370" s="7">
        <v>31778</v>
      </c>
      <c r="S370" s="8">
        <f t="shared" si="48"/>
        <v>1987</v>
      </c>
      <c r="T370" s="8">
        <v>1987</v>
      </c>
      <c r="U370" s="8">
        <f t="shared" si="49"/>
        <v>35</v>
      </c>
      <c r="V370" s="7">
        <v>32021</v>
      </c>
      <c r="W370" t="s">
        <v>1833</v>
      </c>
      <c r="X370" s="2">
        <v>1.3720000000000001</v>
      </c>
      <c r="Y370" s="6">
        <f t="shared" si="46"/>
        <v>3.662475641333654E-2</v>
      </c>
      <c r="AA370">
        <v>189480</v>
      </c>
      <c r="AB370">
        <v>17366</v>
      </c>
      <c r="AC370">
        <v>15579670</v>
      </c>
      <c r="AD370" t="s">
        <v>4</v>
      </c>
      <c r="AE370">
        <v>35</v>
      </c>
      <c r="AF370">
        <v>9</v>
      </c>
      <c r="AH370" t="s">
        <v>4305</v>
      </c>
      <c r="AI370" t="s">
        <v>4304</v>
      </c>
      <c r="AK370" t="s">
        <v>4303</v>
      </c>
      <c r="AL370">
        <v>18</v>
      </c>
      <c r="AM370" s="5">
        <f t="shared" si="50"/>
        <v>0.51428571428571423</v>
      </c>
      <c r="AN370" s="4">
        <f t="shared" si="47"/>
        <v>7.7892573159517493E-4</v>
      </c>
      <c r="AO370" s="3"/>
      <c r="AP370">
        <v>0</v>
      </c>
      <c r="AR370" t="s">
        <v>0</v>
      </c>
      <c r="AT370" s="2" t="s">
        <v>32</v>
      </c>
      <c r="AU370" s="1">
        <f t="shared" si="51"/>
        <v>2.5871007208814127</v>
      </c>
      <c r="AV370" s="1">
        <f t="shared" si="52"/>
        <v>1.8701841072465857</v>
      </c>
      <c r="AW370" s="1">
        <f t="shared" si="53"/>
        <v>1.1532674936117584</v>
      </c>
    </row>
    <row r="371" spans="1:49" x14ac:dyDescent="0.2">
      <c r="A371">
        <v>369</v>
      </c>
      <c r="B371" t="s">
        <v>4302</v>
      </c>
      <c r="C371" t="s">
        <v>4301</v>
      </c>
      <c r="F371" t="s">
        <v>4300</v>
      </c>
      <c r="G371" t="s">
        <v>14</v>
      </c>
      <c r="H371" t="s">
        <v>13</v>
      </c>
      <c r="I371" t="s">
        <v>4299</v>
      </c>
      <c r="J371">
        <v>60010818</v>
      </c>
      <c r="K371" t="s">
        <v>4298</v>
      </c>
      <c r="L371" t="s">
        <v>4297</v>
      </c>
      <c r="M371" t="s">
        <v>586</v>
      </c>
      <c r="N371">
        <v>2</v>
      </c>
      <c r="O371" t="s">
        <v>4296</v>
      </c>
      <c r="P371" t="s">
        <v>4295</v>
      </c>
      <c r="Q371" t="s">
        <v>4294</v>
      </c>
      <c r="R371" s="7">
        <v>31778</v>
      </c>
      <c r="S371" s="8">
        <f t="shared" si="48"/>
        <v>1987</v>
      </c>
      <c r="T371" s="8">
        <v>1987</v>
      </c>
      <c r="U371" s="8">
        <f t="shared" si="49"/>
        <v>35</v>
      </c>
      <c r="V371" s="7">
        <v>32021</v>
      </c>
      <c r="W371" t="s">
        <v>2543</v>
      </c>
      <c r="X371" s="2">
        <v>0.251</v>
      </c>
      <c r="Y371" s="6">
        <f t="shared" si="46"/>
        <v>6.7003016470462617E-3</v>
      </c>
      <c r="AA371">
        <v>207217</v>
      </c>
      <c r="AB371">
        <v>26145</v>
      </c>
      <c r="AC371">
        <v>13623060</v>
      </c>
      <c r="AD371" t="s">
        <v>4</v>
      </c>
      <c r="AE371">
        <v>63</v>
      </c>
      <c r="AF371">
        <v>3</v>
      </c>
      <c r="AH371" t="s">
        <v>4293</v>
      </c>
      <c r="AI371" t="s">
        <v>4292</v>
      </c>
      <c r="AK371" t="s">
        <v>4291</v>
      </c>
      <c r="AL371">
        <v>8</v>
      </c>
      <c r="AM371" s="5">
        <f t="shared" si="50"/>
        <v>0.22857142857142856</v>
      </c>
      <c r="AN371" s="4">
        <f t="shared" si="47"/>
        <v>3.461892140423E-4</v>
      </c>
      <c r="AO371" s="3"/>
      <c r="AP371">
        <v>0</v>
      </c>
      <c r="AR371" t="s">
        <v>0</v>
      </c>
      <c r="AT371" s="2">
        <v>1.3360000000000001</v>
      </c>
      <c r="AU371" s="1">
        <f t="shared" si="51"/>
        <v>0.47940679171450723</v>
      </c>
      <c r="AV371" s="1">
        <f t="shared" si="52"/>
        <v>0.35232454305442806</v>
      </c>
      <c r="AW371" s="1">
        <f t="shared" si="53"/>
        <v>0.22524229439434881</v>
      </c>
    </row>
    <row r="372" spans="1:49" x14ac:dyDescent="0.2">
      <c r="A372">
        <v>370</v>
      </c>
      <c r="B372" t="s">
        <v>4290</v>
      </c>
      <c r="C372" t="s">
        <v>4289</v>
      </c>
      <c r="F372" t="s">
        <v>4288</v>
      </c>
      <c r="G372" t="s">
        <v>14</v>
      </c>
      <c r="H372" t="s">
        <v>13</v>
      </c>
      <c r="I372" t="s">
        <v>4287</v>
      </c>
      <c r="J372" t="s">
        <v>4286</v>
      </c>
      <c r="K372" t="s">
        <v>4285</v>
      </c>
      <c r="L372" t="s">
        <v>4284</v>
      </c>
      <c r="M372" t="s">
        <v>55</v>
      </c>
      <c r="N372">
        <v>2</v>
      </c>
      <c r="O372" t="s">
        <v>4283</v>
      </c>
      <c r="P372" t="s">
        <v>4282</v>
      </c>
      <c r="Q372" t="s">
        <v>4281</v>
      </c>
      <c r="R372" s="7">
        <v>31778</v>
      </c>
      <c r="S372" s="8">
        <f t="shared" si="48"/>
        <v>1987</v>
      </c>
      <c r="T372" s="8">
        <v>1987</v>
      </c>
      <c r="U372" s="8">
        <f t="shared" si="49"/>
        <v>35</v>
      </c>
      <c r="V372" s="7">
        <v>32021</v>
      </c>
      <c r="W372" t="s">
        <v>4268</v>
      </c>
      <c r="X372" s="2">
        <v>1.6379999999999999</v>
      </c>
      <c r="Y372" s="6">
        <f t="shared" si="46"/>
        <v>4.3725474493473214E-2</v>
      </c>
      <c r="AA372">
        <v>963518</v>
      </c>
      <c r="AB372">
        <v>31560</v>
      </c>
      <c r="AD372" t="s">
        <v>4</v>
      </c>
      <c r="AE372">
        <v>35</v>
      </c>
      <c r="AF372">
        <v>9</v>
      </c>
      <c r="AH372" t="s">
        <v>4280</v>
      </c>
      <c r="AI372" t="s">
        <v>4279</v>
      </c>
      <c r="AK372" t="s">
        <v>4278</v>
      </c>
      <c r="AL372">
        <v>45</v>
      </c>
      <c r="AM372" s="5">
        <f t="shared" si="50"/>
        <v>1.2857142857142858</v>
      </c>
      <c r="AN372" s="4">
        <f t="shared" si="47"/>
        <v>1.9473143289879377E-3</v>
      </c>
      <c r="AO372" s="3"/>
      <c r="AP372">
        <v>0</v>
      </c>
      <c r="AR372" t="s">
        <v>0</v>
      </c>
      <c r="AT372" s="2" t="s">
        <v>32</v>
      </c>
      <c r="AU372" s="1">
        <f t="shared" si="51"/>
        <v>3.1192026444127627</v>
      </c>
      <c r="AV372" s="1">
        <f t="shared" si="52"/>
        <v>2.2836394411230576</v>
      </c>
      <c r="AW372" s="1">
        <f t="shared" si="53"/>
        <v>1.448076237833352</v>
      </c>
    </row>
    <row r="373" spans="1:49" x14ac:dyDescent="0.2">
      <c r="A373">
        <v>371</v>
      </c>
      <c r="B373" t="s">
        <v>4277</v>
      </c>
      <c r="C373" t="s">
        <v>4276</v>
      </c>
      <c r="F373" t="s">
        <v>4275</v>
      </c>
      <c r="G373" t="s">
        <v>14</v>
      </c>
      <c r="H373" t="s">
        <v>13</v>
      </c>
      <c r="I373" t="s">
        <v>4274</v>
      </c>
      <c r="J373">
        <v>60014439</v>
      </c>
      <c r="K373" t="s">
        <v>4273</v>
      </c>
      <c r="L373" t="s">
        <v>4272</v>
      </c>
      <c r="M373" t="s">
        <v>9</v>
      </c>
      <c r="N373">
        <v>2</v>
      </c>
      <c r="O373" t="s">
        <v>4271</v>
      </c>
      <c r="P373" t="s">
        <v>4270</v>
      </c>
      <c r="Q373" t="s">
        <v>4269</v>
      </c>
      <c r="R373" s="7">
        <v>31778</v>
      </c>
      <c r="S373" s="8">
        <f t="shared" si="48"/>
        <v>1987</v>
      </c>
      <c r="T373" s="8">
        <v>1987</v>
      </c>
      <c r="U373" s="8">
        <f t="shared" si="49"/>
        <v>35</v>
      </c>
      <c r="V373" s="7">
        <v>32021</v>
      </c>
      <c r="W373" t="s">
        <v>4268</v>
      </c>
      <c r="X373" s="2">
        <v>1.6379999999999999</v>
      </c>
      <c r="Y373" s="6">
        <f t="shared" si="46"/>
        <v>4.3725474493473214E-2</v>
      </c>
      <c r="AA373">
        <v>963518</v>
      </c>
      <c r="AB373">
        <v>31560</v>
      </c>
      <c r="AD373" t="s">
        <v>4</v>
      </c>
      <c r="AE373">
        <v>35</v>
      </c>
      <c r="AF373">
        <v>9</v>
      </c>
      <c r="AH373" t="s">
        <v>4267</v>
      </c>
      <c r="AI373" t="s">
        <v>4266</v>
      </c>
      <c r="AK373" t="s">
        <v>4265</v>
      </c>
      <c r="AL373">
        <v>8</v>
      </c>
      <c r="AM373" s="5">
        <f t="shared" si="50"/>
        <v>0.22857142857142856</v>
      </c>
      <c r="AN373" s="4">
        <f t="shared" si="47"/>
        <v>3.461892140423E-4</v>
      </c>
      <c r="AO373" s="3"/>
      <c r="AP373">
        <v>0</v>
      </c>
      <c r="AR373" t="s">
        <v>0</v>
      </c>
      <c r="AT373" s="2" t="s">
        <v>32</v>
      </c>
      <c r="AU373" s="1">
        <f t="shared" si="51"/>
        <v>3.0711688909643939</v>
      </c>
      <c r="AV373" s="1">
        <f t="shared" si="52"/>
        <v>2.2035831853757757</v>
      </c>
      <c r="AW373" s="1">
        <f t="shared" si="53"/>
        <v>1.3359974797871574</v>
      </c>
    </row>
    <row r="374" spans="1:49" x14ac:dyDescent="0.2">
      <c r="A374">
        <v>372</v>
      </c>
      <c r="B374" t="s">
        <v>4264</v>
      </c>
      <c r="C374" t="s">
        <v>4263</v>
      </c>
      <c r="F374" t="s">
        <v>4262</v>
      </c>
      <c r="G374" t="s">
        <v>14</v>
      </c>
      <c r="H374" t="s">
        <v>13</v>
      </c>
      <c r="I374" t="s">
        <v>4261</v>
      </c>
      <c r="J374">
        <v>60000264</v>
      </c>
      <c r="K374" t="s">
        <v>4260</v>
      </c>
      <c r="L374" t="s">
        <v>957</v>
      </c>
      <c r="M374" t="s">
        <v>524</v>
      </c>
      <c r="N374">
        <v>6</v>
      </c>
      <c r="O374" t="s">
        <v>4259</v>
      </c>
      <c r="P374" t="s">
        <v>4258</v>
      </c>
      <c r="Q374" t="s">
        <v>4257</v>
      </c>
      <c r="R374" s="7">
        <v>31778</v>
      </c>
      <c r="S374" s="8">
        <f t="shared" si="48"/>
        <v>1987</v>
      </c>
      <c r="T374" s="8">
        <v>1987</v>
      </c>
      <c r="U374" s="8">
        <f t="shared" si="49"/>
        <v>35</v>
      </c>
      <c r="V374" s="7" t="s">
        <v>4142</v>
      </c>
      <c r="W374" t="s">
        <v>775</v>
      </c>
      <c r="X374" s="2" t="s">
        <v>32</v>
      </c>
      <c r="Y374" s="6" t="e">
        <f t="shared" si="46"/>
        <v>#VALUE!</v>
      </c>
      <c r="AA374">
        <v>7481896</v>
      </c>
      <c r="AB374">
        <v>78193</v>
      </c>
      <c r="AD374" t="s">
        <v>4</v>
      </c>
      <c r="AE374">
        <v>12</v>
      </c>
      <c r="AF374">
        <v>2</v>
      </c>
      <c r="AH374" t="s">
        <v>4256</v>
      </c>
      <c r="AI374" t="s">
        <v>4255</v>
      </c>
      <c r="AK374" t="s">
        <v>4254</v>
      </c>
      <c r="AL374">
        <v>4</v>
      </c>
      <c r="AM374" s="5">
        <f t="shared" si="50"/>
        <v>0.11428571428571428</v>
      </c>
      <c r="AN374" s="4">
        <f t="shared" si="47"/>
        <v>1.7309460702115E-4</v>
      </c>
      <c r="AO374" s="3"/>
      <c r="AP374">
        <v>0</v>
      </c>
      <c r="AR374" t="s">
        <v>0</v>
      </c>
      <c r="AT374" s="2" t="s">
        <v>32</v>
      </c>
      <c r="AU374" s="1" t="e">
        <f t="shared" si="51"/>
        <v>#VALUE!</v>
      </c>
      <c r="AV374" s="1" t="e">
        <f t="shared" si="52"/>
        <v>#VALUE!</v>
      </c>
      <c r="AW374" s="1" t="e">
        <f t="shared" si="53"/>
        <v>#VALUE!</v>
      </c>
    </row>
    <row r="375" spans="1:49" x14ac:dyDescent="0.2">
      <c r="A375">
        <v>373</v>
      </c>
      <c r="B375" t="s">
        <v>4253</v>
      </c>
      <c r="C375" t="s">
        <v>4252</v>
      </c>
      <c r="F375" t="s">
        <v>4251</v>
      </c>
      <c r="G375" t="s">
        <v>14</v>
      </c>
      <c r="H375" t="s">
        <v>13</v>
      </c>
      <c r="I375" t="s">
        <v>4250</v>
      </c>
      <c r="J375" t="s">
        <v>4249</v>
      </c>
      <c r="K375" t="s">
        <v>4248</v>
      </c>
      <c r="L375" t="s">
        <v>4247</v>
      </c>
      <c r="M375" t="s">
        <v>55</v>
      </c>
      <c r="N375">
        <v>2</v>
      </c>
      <c r="O375" t="s">
        <v>4246</v>
      </c>
      <c r="P375" t="s">
        <v>4245</v>
      </c>
      <c r="Q375" t="s">
        <v>4244</v>
      </c>
      <c r="R375" s="7">
        <v>31778</v>
      </c>
      <c r="S375" s="8">
        <f t="shared" si="48"/>
        <v>1987</v>
      </c>
      <c r="T375" s="8">
        <v>1987</v>
      </c>
      <c r="U375" s="8">
        <f t="shared" si="49"/>
        <v>35</v>
      </c>
      <c r="V375" s="7">
        <v>32021</v>
      </c>
      <c r="W375" t="s">
        <v>336</v>
      </c>
      <c r="X375" s="2">
        <v>1.6519999999999999</v>
      </c>
      <c r="Y375" s="6">
        <f t="shared" si="46"/>
        <v>4.409919649769093E-2</v>
      </c>
      <c r="AA375" t="s">
        <v>335</v>
      </c>
      <c r="AB375">
        <v>17337</v>
      </c>
      <c r="AC375">
        <v>15582221</v>
      </c>
      <c r="AD375" t="s">
        <v>4</v>
      </c>
      <c r="AE375">
        <v>35</v>
      </c>
      <c r="AF375">
        <v>9</v>
      </c>
      <c r="AH375" t="s">
        <v>4243</v>
      </c>
      <c r="AI375" t="s">
        <v>4242</v>
      </c>
      <c r="AK375" t="s">
        <v>4241</v>
      </c>
      <c r="AL375">
        <v>2</v>
      </c>
      <c r="AM375" s="5">
        <f t="shared" si="50"/>
        <v>5.7142857142857141E-2</v>
      </c>
      <c r="AN375" s="4">
        <f t="shared" si="47"/>
        <v>8.6547303510575E-5</v>
      </c>
      <c r="AO375" s="3"/>
      <c r="AP375">
        <v>0</v>
      </c>
      <c r="AR375" t="s">
        <v>0</v>
      </c>
      <c r="AT375" s="2" t="s">
        <v>32</v>
      </c>
      <c r="AU375" s="1">
        <f t="shared" si="51"/>
        <v>3.0895401739436825</v>
      </c>
      <c r="AV375" s="1">
        <f t="shared" si="52"/>
        <v>2.2092871900600755</v>
      </c>
      <c r="AW375" s="1">
        <f t="shared" si="53"/>
        <v>1.3290342061764679</v>
      </c>
    </row>
    <row r="376" spans="1:49" x14ac:dyDescent="0.2">
      <c r="A376">
        <v>374</v>
      </c>
      <c r="B376" t="s">
        <v>4240</v>
      </c>
      <c r="C376" t="s">
        <v>4239</v>
      </c>
      <c r="F376" t="s">
        <v>4238</v>
      </c>
      <c r="G376" t="s">
        <v>14</v>
      </c>
      <c r="H376" t="s">
        <v>13</v>
      </c>
      <c r="I376" t="s">
        <v>4237</v>
      </c>
      <c r="J376">
        <v>60013183</v>
      </c>
      <c r="K376" t="s">
        <v>4236</v>
      </c>
      <c r="L376" t="s">
        <v>4235</v>
      </c>
      <c r="M376" t="s">
        <v>4234</v>
      </c>
      <c r="N376">
        <v>3</v>
      </c>
      <c r="O376" t="s">
        <v>4233</v>
      </c>
      <c r="P376" t="s">
        <v>4232</v>
      </c>
      <c r="Q376" t="s">
        <v>4231</v>
      </c>
      <c r="R376" s="7">
        <v>31778</v>
      </c>
      <c r="S376" s="8">
        <f t="shared" si="48"/>
        <v>1987</v>
      </c>
      <c r="T376" s="8">
        <v>1987</v>
      </c>
      <c r="U376" s="8">
        <f t="shared" si="49"/>
        <v>35</v>
      </c>
      <c r="V376" s="7">
        <v>32021</v>
      </c>
      <c r="W376" t="s">
        <v>372</v>
      </c>
      <c r="X376" s="2">
        <v>2.141</v>
      </c>
      <c r="Y376" s="6">
        <f t="shared" si="46"/>
        <v>5.7152772216438434E-2</v>
      </c>
      <c r="AA376">
        <v>1962892</v>
      </c>
      <c r="AB376">
        <v>17360</v>
      </c>
      <c r="AC376">
        <v>15580644</v>
      </c>
      <c r="AD376" t="s">
        <v>4</v>
      </c>
      <c r="AE376" t="s">
        <v>371</v>
      </c>
      <c r="AF376">
        <v>5</v>
      </c>
      <c r="AH376" t="s">
        <v>4230</v>
      </c>
      <c r="AI376" t="s">
        <v>4229</v>
      </c>
      <c r="AK376" t="s">
        <v>4228</v>
      </c>
      <c r="AL376">
        <v>36</v>
      </c>
      <c r="AM376" s="5">
        <f t="shared" si="50"/>
        <v>1.0285714285714285</v>
      </c>
      <c r="AN376" s="4">
        <f t="shared" si="47"/>
        <v>1.5578514631903499E-3</v>
      </c>
      <c r="AO376" s="3"/>
      <c r="AP376">
        <v>0</v>
      </c>
      <c r="AR376" t="s">
        <v>0</v>
      </c>
      <c r="AT376" s="2" t="s">
        <v>32</v>
      </c>
      <c r="AU376" s="1">
        <f t="shared" si="51"/>
        <v>4.0474295990464002</v>
      </c>
      <c r="AV376" s="1">
        <f t="shared" si="52"/>
        <v>2.9355311839814395</v>
      </c>
      <c r="AW376" s="1">
        <f t="shared" si="53"/>
        <v>1.8236327689164773</v>
      </c>
    </row>
    <row r="377" spans="1:49" x14ac:dyDescent="0.2">
      <c r="A377">
        <v>375</v>
      </c>
      <c r="B377" t="s">
        <v>4227</v>
      </c>
      <c r="C377" t="s">
        <v>4226</v>
      </c>
      <c r="F377" t="s">
        <v>4225</v>
      </c>
      <c r="G377" t="s">
        <v>14</v>
      </c>
      <c r="H377" t="s">
        <v>13</v>
      </c>
      <c r="I377" t="s">
        <v>4224</v>
      </c>
      <c r="J377" t="s">
        <v>3386</v>
      </c>
      <c r="K377" t="s">
        <v>3390</v>
      </c>
      <c r="L377" t="s">
        <v>3389</v>
      </c>
      <c r="M377" t="s">
        <v>55</v>
      </c>
      <c r="N377">
        <v>2</v>
      </c>
      <c r="O377" t="s">
        <v>3388</v>
      </c>
      <c r="P377" t="s">
        <v>3387</v>
      </c>
      <c r="Q377" t="s">
        <v>3386</v>
      </c>
      <c r="R377" s="7">
        <v>31778</v>
      </c>
      <c r="S377" s="8">
        <f t="shared" si="48"/>
        <v>1987</v>
      </c>
      <c r="T377" s="8">
        <v>1987</v>
      </c>
      <c r="U377" s="8">
        <f t="shared" si="49"/>
        <v>35</v>
      </c>
      <c r="V377" s="7">
        <v>32021</v>
      </c>
      <c r="W377" t="s">
        <v>1040</v>
      </c>
      <c r="X377" s="2">
        <v>1.137</v>
      </c>
      <c r="Y377" s="6">
        <f t="shared" si="46"/>
        <v>3.0351565628253384E-2</v>
      </c>
      <c r="AA377">
        <v>189251</v>
      </c>
      <c r="AB377">
        <v>17336</v>
      </c>
      <c r="AD377" t="s">
        <v>4</v>
      </c>
      <c r="AE377" t="s">
        <v>1039</v>
      </c>
      <c r="AF377">
        <v>5</v>
      </c>
      <c r="AH377" t="s">
        <v>4223</v>
      </c>
      <c r="AI377" t="s">
        <v>4222</v>
      </c>
      <c r="AK377" t="s">
        <v>4221</v>
      </c>
      <c r="AL377">
        <v>0</v>
      </c>
      <c r="AM377" s="5">
        <f t="shared" si="50"/>
        <v>0</v>
      </c>
      <c r="AN377" s="4">
        <f t="shared" si="47"/>
        <v>0</v>
      </c>
      <c r="AO377" s="3"/>
      <c r="AP377">
        <v>0</v>
      </c>
      <c r="AQ377" t="s">
        <v>3382</v>
      </c>
      <c r="AR377" t="s">
        <v>3381</v>
      </c>
      <c r="AS377" t="s">
        <v>3380</v>
      </c>
      <c r="AT377" s="2" t="s">
        <v>32</v>
      </c>
      <c r="AU377" s="1">
        <f t="shared" si="51"/>
        <v>2.1246095939777367</v>
      </c>
      <c r="AV377" s="1">
        <f t="shared" si="52"/>
        <v>1.5175782814126693</v>
      </c>
      <c r="AW377" s="1">
        <f t="shared" si="53"/>
        <v>0.91054696884760156</v>
      </c>
    </row>
    <row r="378" spans="1:49" x14ac:dyDescent="0.2">
      <c r="A378">
        <v>376</v>
      </c>
      <c r="B378" t="s">
        <v>4220</v>
      </c>
      <c r="C378" t="s">
        <v>4219</v>
      </c>
      <c r="F378" t="s">
        <v>4218</v>
      </c>
      <c r="G378" t="s">
        <v>14</v>
      </c>
      <c r="H378" t="s">
        <v>13</v>
      </c>
      <c r="I378" t="s">
        <v>4217</v>
      </c>
      <c r="J378" t="s">
        <v>4216</v>
      </c>
      <c r="K378" t="s">
        <v>4215</v>
      </c>
      <c r="L378" t="s">
        <v>4214</v>
      </c>
      <c r="M378" t="s">
        <v>4213</v>
      </c>
      <c r="N378">
        <v>2</v>
      </c>
      <c r="O378" t="s">
        <v>4212</v>
      </c>
      <c r="P378" t="s">
        <v>4211</v>
      </c>
      <c r="Q378" t="s">
        <v>4210</v>
      </c>
      <c r="R378" s="7">
        <v>31778</v>
      </c>
      <c r="S378" s="8">
        <f t="shared" si="48"/>
        <v>1987</v>
      </c>
      <c r="T378" s="8">
        <v>1987</v>
      </c>
      <c r="U378" s="8">
        <f t="shared" si="49"/>
        <v>35</v>
      </c>
      <c r="V378" s="7">
        <v>32021</v>
      </c>
      <c r="W378" t="s">
        <v>336</v>
      </c>
      <c r="X378" s="2">
        <v>1.6519999999999999</v>
      </c>
      <c r="Y378" s="6">
        <f t="shared" si="46"/>
        <v>4.409919649769093E-2</v>
      </c>
      <c r="AA378" t="s">
        <v>335</v>
      </c>
      <c r="AB378">
        <v>17337</v>
      </c>
      <c r="AC378">
        <v>15582221</v>
      </c>
      <c r="AD378" t="s">
        <v>4</v>
      </c>
      <c r="AE378">
        <v>35</v>
      </c>
      <c r="AF378">
        <v>9</v>
      </c>
      <c r="AH378" t="s">
        <v>4209</v>
      </c>
      <c r="AI378" t="s">
        <v>4208</v>
      </c>
      <c r="AK378" t="s">
        <v>4207</v>
      </c>
      <c r="AL378">
        <v>10</v>
      </c>
      <c r="AM378" s="5">
        <f t="shared" si="50"/>
        <v>0.2857142857142857</v>
      </c>
      <c r="AN378" s="4">
        <f t="shared" si="47"/>
        <v>4.3273651755287499E-4</v>
      </c>
      <c r="AO378" s="3"/>
      <c r="AP378">
        <v>0</v>
      </c>
      <c r="AR378" t="s">
        <v>0</v>
      </c>
      <c r="AT378" s="2" t="s">
        <v>32</v>
      </c>
      <c r="AU378" s="1">
        <f t="shared" si="51"/>
        <v>3.0999258503649512</v>
      </c>
      <c r="AV378" s="1">
        <f t="shared" si="52"/>
        <v>2.2265966507621902</v>
      </c>
      <c r="AW378" s="1">
        <f t="shared" si="53"/>
        <v>1.3532674511594291</v>
      </c>
    </row>
    <row r="379" spans="1:49" x14ac:dyDescent="0.2">
      <c r="A379">
        <v>377</v>
      </c>
      <c r="B379" t="s">
        <v>4206</v>
      </c>
      <c r="C379" t="s">
        <v>4205</v>
      </c>
      <c r="F379" t="s">
        <v>4204</v>
      </c>
      <c r="G379" t="s">
        <v>14</v>
      </c>
      <c r="H379" t="s">
        <v>13</v>
      </c>
      <c r="I379" t="s">
        <v>4203</v>
      </c>
      <c r="J379" t="s">
        <v>4202</v>
      </c>
      <c r="K379" t="s">
        <v>4201</v>
      </c>
      <c r="L379" t="s">
        <v>4200</v>
      </c>
      <c r="M379" t="s">
        <v>2207</v>
      </c>
      <c r="N379">
        <v>2</v>
      </c>
      <c r="O379" t="s">
        <v>4199</v>
      </c>
      <c r="P379" t="s">
        <v>4198</v>
      </c>
      <c r="Q379" t="s">
        <v>4197</v>
      </c>
      <c r="R379" s="7">
        <v>31778</v>
      </c>
      <c r="S379" s="8">
        <f t="shared" si="48"/>
        <v>1987</v>
      </c>
      <c r="T379" s="8">
        <v>1987</v>
      </c>
      <c r="U379" s="8">
        <f t="shared" si="49"/>
        <v>35</v>
      </c>
      <c r="V379" s="7">
        <v>32021</v>
      </c>
      <c r="W379" t="s">
        <v>336</v>
      </c>
      <c r="X379" s="2">
        <v>1.6519999999999999</v>
      </c>
      <c r="Y379" s="6">
        <f t="shared" si="46"/>
        <v>4.409919649769093E-2</v>
      </c>
      <c r="AA379" t="s">
        <v>335</v>
      </c>
      <c r="AB379">
        <v>17337</v>
      </c>
      <c r="AC379">
        <v>15582221</v>
      </c>
      <c r="AD379" t="s">
        <v>4</v>
      </c>
      <c r="AE379">
        <v>35</v>
      </c>
      <c r="AF379">
        <v>9</v>
      </c>
      <c r="AH379" t="s">
        <v>4196</v>
      </c>
      <c r="AI379" t="s">
        <v>4195</v>
      </c>
      <c r="AK379" t="s">
        <v>4194</v>
      </c>
      <c r="AL379">
        <v>190</v>
      </c>
      <c r="AM379" s="5">
        <f t="shared" si="50"/>
        <v>5.4285714285714288</v>
      </c>
      <c r="AN379" s="4">
        <f t="shared" si="47"/>
        <v>8.2219938335046251E-3</v>
      </c>
      <c r="AO379" s="3"/>
      <c r="AP379">
        <v>0</v>
      </c>
      <c r="AQ379" t="s">
        <v>2103</v>
      </c>
      <c r="AR379" t="s">
        <v>4193</v>
      </c>
      <c r="AS379" t="s">
        <v>2102</v>
      </c>
      <c r="AT379" s="2" t="s">
        <v>32</v>
      </c>
      <c r="AU379" s="1">
        <f t="shared" si="51"/>
        <v>3.333603569843504</v>
      </c>
      <c r="AV379" s="1">
        <f t="shared" si="52"/>
        <v>2.6160595165597775</v>
      </c>
      <c r="AW379" s="1">
        <f t="shared" si="53"/>
        <v>1.8985154632760515</v>
      </c>
    </row>
    <row r="380" spans="1:49" x14ac:dyDescent="0.2">
      <c r="A380">
        <v>378</v>
      </c>
      <c r="B380" t="s">
        <v>4192</v>
      </c>
      <c r="C380" t="s">
        <v>4191</v>
      </c>
      <c r="F380" t="s">
        <v>4190</v>
      </c>
      <c r="G380" t="s">
        <v>14</v>
      </c>
      <c r="H380" t="s">
        <v>13</v>
      </c>
      <c r="I380" t="s">
        <v>4189</v>
      </c>
      <c r="J380" t="s">
        <v>4188</v>
      </c>
      <c r="K380" t="s">
        <v>4187</v>
      </c>
      <c r="L380" t="s">
        <v>1044</v>
      </c>
      <c r="M380" t="s">
        <v>392</v>
      </c>
      <c r="N380">
        <v>4</v>
      </c>
      <c r="O380" t="s">
        <v>4186</v>
      </c>
      <c r="P380" t="s">
        <v>4185</v>
      </c>
      <c r="Q380" t="s">
        <v>4184</v>
      </c>
      <c r="R380" s="7">
        <v>31778</v>
      </c>
      <c r="S380" s="8">
        <f t="shared" si="48"/>
        <v>1987</v>
      </c>
      <c r="T380" s="8">
        <v>1987</v>
      </c>
      <c r="U380" s="8">
        <f t="shared" si="49"/>
        <v>35</v>
      </c>
      <c r="V380" s="7">
        <v>32021</v>
      </c>
      <c r="W380" t="s">
        <v>336</v>
      </c>
      <c r="X380" s="2">
        <v>1.6519999999999999</v>
      </c>
      <c r="Y380" s="6">
        <f t="shared" si="46"/>
        <v>4.409919649769093E-2</v>
      </c>
      <c r="AA380" t="s">
        <v>335</v>
      </c>
      <c r="AB380">
        <v>17337</v>
      </c>
      <c r="AC380">
        <v>15582221</v>
      </c>
      <c r="AD380" t="s">
        <v>4</v>
      </c>
      <c r="AE380">
        <v>35</v>
      </c>
      <c r="AF380">
        <v>9</v>
      </c>
      <c r="AH380" t="s">
        <v>4183</v>
      </c>
      <c r="AI380" t="s">
        <v>4182</v>
      </c>
      <c r="AK380" t="s">
        <v>4181</v>
      </c>
      <c r="AL380">
        <v>16</v>
      </c>
      <c r="AM380" s="5">
        <f t="shared" si="50"/>
        <v>0.45714285714285713</v>
      </c>
      <c r="AN380" s="4">
        <f t="shared" si="47"/>
        <v>6.923784280846E-4</v>
      </c>
      <c r="AO380" s="3"/>
      <c r="AP380">
        <v>0</v>
      </c>
      <c r="AR380" t="s">
        <v>0</v>
      </c>
      <c r="AT380" s="2" t="s">
        <v>32</v>
      </c>
      <c r="AU380" s="1">
        <f t="shared" si="51"/>
        <v>3.1077151076809031</v>
      </c>
      <c r="AV380" s="1">
        <f t="shared" si="52"/>
        <v>2.2395787462887768</v>
      </c>
      <c r="AW380" s="1">
        <f t="shared" si="53"/>
        <v>1.3714423848966497</v>
      </c>
    </row>
    <row r="381" spans="1:49" x14ac:dyDescent="0.2">
      <c r="A381">
        <v>379</v>
      </c>
      <c r="B381" t="s">
        <v>4180</v>
      </c>
      <c r="C381" t="s">
        <v>4179</v>
      </c>
      <c r="F381" t="s">
        <v>4178</v>
      </c>
      <c r="G381" t="s">
        <v>14</v>
      </c>
      <c r="H381" t="s">
        <v>13</v>
      </c>
      <c r="I381" t="s">
        <v>4177</v>
      </c>
      <c r="J381" t="s">
        <v>2506</v>
      </c>
      <c r="K381" t="s">
        <v>2505</v>
      </c>
      <c r="L381" t="s">
        <v>2504</v>
      </c>
      <c r="M381" t="s">
        <v>2503</v>
      </c>
      <c r="N381">
        <v>6</v>
      </c>
      <c r="O381" t="s">
        <v>4176</v>
      </c>
      <c r="P381" t="s">
        <v>4175</v>
      </c>
      <c r="Q381" t="s">
        <v>4174</v>
      </c>
      <c r="R381" s="7">
        <v>31778</v>
      </c>
      <c r="S381" s="8">
        <f t="shared" si="48"/>
        <v>1987</v>
      </c>
      <c r="T381" s="8">
        <v>1987</v>
      </c>
      <c r="U381" s="8">
        <f t="shared" si="49"/>
        <v>35</v>
      </c>
      <c r="V381" s="7">
        <v>32021</v>
      </c>
      <c r="W381" t="s">
        <v>1016</v>
      </c>
      <c r="X381" s="2">
        <v>0.371</v>
      </c>
      <c r="Y381" s="6">
        <f t="shared" si="46"/>
        <v>9.9036331117695747E-3</v>
      </c>
      <c r="AA381">
        <v>214922</v>
      </c>
      <c r="AB381">
        <v>130262</v>
      </c>
      <c r="AC381">
        <v>13474065</v>
      </c>
      <c r="AD381" t="s">
        <v>4</v>
      </c>
      <c r="AE381">
        <v>26</v>
      </c>
      <c r="AF381" t="s">
        <v>4173</v>
      </c>
      <c r="AH381" t="s">
        <v>4172</v>
      </c>
      <c r="AI381" t="s">
        <v>4171</v>
      </c>
      <c r="AK381" t="s">
        <v>4170</v>
      </c>
      <c r="AL381">
        <v>4</v>
      </c>
      <c r="AM381" s="5">
        <f t="shared" si="50"/>
        <v>0.11428571428571428</v>
      </c>
      <c r="AN381" s="4">
        <f t="shared" si="47"/>
        <v>1.7309460702115E-4</v>
      </c>
      <c r="AO381" s="3"/>
      <c r="AP381">
        <v>0</v>
      </c>
      <c r="AR381" t="s">
        <v>0</v>
      </c>
      <c r="AT381" s="2">
        <v>1.48</v>
      </c>
      <c r="AU381" s="1">
        <f t="shared" si="51"/>
        <v>0.69844715603450469</v>
      </c>
      <c r="AV381" s="1">
        <f t="shared" si="52"/>
        <v>0.50383638593953628</v>
      </c>
      <c r="AW381" s="1">
        <f t="shared" si="53"/>
        <v>0.30922561584456776</v>
      </c>
    </row>
    <row r="382" spans="1:49" x14ac:dyDescent="0.2">
      <c r="A382">
        <v>380</v>
      </c>
      <c r="B382" t="s">
        <v>4169</v>
      </c>
      <c r="C382" t="s">
        <v>4168</v>
      </c>
      <c r="F382" t="s">
        <v>4167</v>
      </c>
      <c r="G382" t="s">
        <v>14</v>
      </c>
      <c r="H382" t="s">
        <v>13</v>
      </c>
      <c r="I382" t="s">
        <v>4166</v>
      </c>
      <c r="J382" t="s">
        <v>4161</v>
      </c>
      <c r="K382" t="s">
        <v>4165</v>
      </c>
      <c r="L382" t="s">
        <v>4164</v>
      </c>
      <c r="M382" t="s">
        <v>392</v>
      </c>
      <c r="N382">
        <v>2</v>
      </c>
      <c r="O382" t="s">
        <v>4163</v>
      </c>
      <c r="P382" t="s">
        <v>4162</v>
      </c>
      <c r="Q382" t="s">
        <v>4161</v>
      </c>
      <c r="R382" s="7">
        <v>31778</v>
      </c>
      <c r="S382" s="8">
        <f t="shared" si="48"/>
        <v>1987</v>
      </c>
      <c r="T382" s="8">
        <v>1987</v>
      </c>
      <c r="U382" s="8">
        <f t="shared" si="49"/>
        <v>35</v>
      </c>
      <c r="V382" s="7">
        <v>32021</v>
      </c>
      <c r="W382" t="s">
        <v>336</v>
      </c>
      <c r="X382" s="2">
        <v>1.6519999999999999</v>
      </c>
      <c r="Y382" s="6">
        <f t="shared" si="46"/>
        <v>4.409919649769093E-2</v>
      </c>
      <c r="AA382" t="s">
        <v>335</v>
      </c>
      <c r="AB382">
        <v>17337</v>
      </c>
      <c r="AC382">
        <v>15582221</v>
      </c>
      <c r="AD382" t="s">
        <v>4</v>
      </c>
      <c r="AE382">
        <v>35</v>
      </c>
      <c r="AF382">
        <v>9</v>
      </c>
      <c r="AH382" t="s">
        <v>4160</v>
      </c>
      <c r="AI382" t="s">
        <v>4159</v>
      </c>
      <c r="AK382" t="s">
        <v>4158</v>
      </c>
      <c r="AL382">
        <v>5</v>
      </c>
      <c r="AM382" s="5">
        <f t="shared" si="50"/>
        <v>0.14285714285714285</v>
      </c>
      <c r="AN382" s="4">
        <f t="shared" si="47"/>
        <v>2.1636825877643749E-4</v>
      </c>
      <c r="AO382" s="3"/>
      <c r="AP382">
        <v>0</v>
      </c>
      <c r="AR382" t="s">
        <v>0</v>
      </c>
      <c r="AT382" s="2" t="s">
        <v>32</v>
      </c>
      <c r="AU382" s="1">
        <f t="shared" si="51"/>
        <v>3.0934348026016583</v>
      </c>
      <c r="AV382" s="1">
        <f t="shared" si="52"/>
        <v>2.2157782378233684</v>
      </c>
      <c r="AW382" s="1">
        <f t="shared" si="53"/>
        <v>1.3381216730450785</v>
      </c>
    </row>
    <row r="383" spans="1:49" x14ac:dyDescent="0.2">
      <c r="A383">
        <v>381</v>
      </c>
      <c r="B383" t="s">
        <v>4157</v>
      </c>
      <c r="C383" t="s">
        <v>4156</v>
      </c>
      <c r="F383" t="s">
        <v>4155</v>
      </c>
      <c r="G383" t="s">
        <v>14</v>
      </c>
      <c r="H383" t="s">
        <v>13</v>
      </c>
      <c r="I383" t="s">
        <v>4154</v>
      </c>
      <c r="N383">
        <v>1</v>
      </c>
      <c r="O383" t="s">
        <v>4153</v>
      </c>
      <c r="P383">
        <v>7402245663</v>
      </c>
      <c r="R383" s="7">
        <v>31778</v>
      </c>
      <c r="S383" s="8">
        <f t="shared" si="48"/>
        <v>1987</v>
      </c>
      <c r="T383" s="8">
        <v>1987</v>
      </c>
      <c r="U383" s="8">
        <f t="shared" si="49"/>
        <v>35</v>
      </c>
      <c r="V383" s="7">
        <v>32021</v>
      </c>
      <c r="W383" t="s">
        <v>1040</v>
      </c>
      <c r="X383" s="2">
        <v>1.137</v>
      </c>
      <c r="Y383" s="6">
        <f t="shared" si="46"/>
        <v>3.0351565628253384E-2</v>
      </c>
      <c r="AA383">
        <v>189251</v>
      </c>
      <c r="AB383">
        <v>17336</v>
      </c>
      <c r="AD383" t="s">
        <v>4</v>
      </c>
      <c r="AE383" t="s">
        <v>1039</v>
      </c>
      <c r="AF383">
        <v>5</v>
      </c>
      <c r="AH383" t="s">
        <v>4152</v>
      </c>
      <c r="AI383" t="s">
        <v>4151</v>
      </c>
      <c r="AK383" t="s">
        <v>4150</v>
      </c>
      <c r="AL383">
        <v>9</v>
      </c>
      <c r="AM383" s="5">
        <f t="shared" si="50"/>
        <v>0.25714285714285712</v>
      </c>
      <c r="AN383" s="4">
        <f t="shared" si="47"/>
        <v>3.8946286579758747E-4</v>
      </c>
      <c r="AO383" s="3"/>
      <c r="AP383">
        <v>0</v>
      </c>
      <c r="AR383" t="s">
        <v>0</v>
      </c>
      <c r="AT383" s="2" t="s">
        <v>32</v>
      </c>
      <c r="AU383" s="1">
        <f t="shared" si="51"/>
        <v>2.1362934799516644</v>
      </c>
      <c r="AV383" s="1">
        <f t="shared" si="52"/>
        <v>1.5370514247025486</v>
      </c>
      <c r="AW383" s="1">
        <f t="shared" si="53"/>
        <v>0.93780936945343263</v>
      </c>
    </row>
    <row r="384" spans="1:49" x14ac:dyDescent="0.2">
      <c r="A384">
        <v>382</v>
      </c>
      <c r="B384" t="s">
        <v>4149</v>
      </c>
      <c r="C384" t="s">
        <v>4148</v>
      </c>
      <c r="F384" t="s">
        <v>4147</v>
      </c>
      <c r="G384" t="s">
        <v>14</v>
      </c>
      <c r="H384" t="s">
        <v>13</v>
      </c>
      <c r="I384" t="s">
        <v>4146</v>
      </c>
      <c r="J384">
        <v>60015331</v>
      </c>
      <c r="K384" t="s">
        <v>794</v>
      </c>
      <c r="L384" t="s">
        <v>793</v>
      </c>
      <c r="M384" t="s">
        <v>792</v>
      </c>
      <c r="N384">
        <v>2</v>
      </c>
      <c r="O384" t="s">
        <v>4145</v>
      </c>
      <c r="P384" t="s">
        <v>4144</v>
      </c>
      <c r="Q384" t="s">
        <v>4143</v>
      </c>
      <c r="R384" s="7">
        <v>31778</v>
      </c>
      <c r="S384" s="8">
        <f t="shared" si="48"/>
        <v>1987</v>
      </c>
      <c r="T384" s="8">
        <v>1987</v>
      </c>
      <c r="U384" s="8">
        <f t="shared" si="49"/>
        <v>35</v>
      </c>
      <c r="V384" s="7" t="s">
        <v>4142</v>
      </c>
      <c r="W384" t="s">
        <v>1866</v>
      </c>
      <c r="X384" s="2" t="s">
        <v>32</v>
      </c>
      <c r="Y384" s="6" t="e">
        <f t="shared" si="46"/>
        <v>#VALUE!</v>
      </c>
      <c r="AA384">
        <v>84204</v>
      </c>
      <c r="AB384">
        <v>27420</v>
      </c>
      <c r="AD384" t="s">
        <v>4</v>
      </c>
      <c r="AE384">
        <v>65</v>
      </c>
      <c r="AF384">
        <v>9</v>
      </c>
      <c r="AH384" t="s">
        <v>4141</v>
      </c>
      <c r="AI384" t="s">
        <v>4140</v>
      </c>
      <c r="AK384" t="s">
        <v>4139</v>
      </c>
      <c r="AL384">
        <v>0</v>
      </c>
      <c r="AM384" s="5">
        <f t="shared" si="50"/>
        <v>0</v>
      </c>
      <c r="AN384" s="4">
        <f t="shared" si="47"/>
        <v>0</v>
      </c>
      <c r="AO384" s="3"/>
      <c r="AP384">
        <v>0</v>
      </c>
      <c r="AR384" t="s">
        <v>0</v>
      </c>
      <c r="AT384" s="2">
        <v>1.24</v>
      </c>
      <c r="AU384" s="1" t="e">
        <f t="shared" si="51"/>
        <v>#VALUE!</v>
      </c>
      <c r="AV384" s="1" t="e">
        <f t="shared" si="52"/>
        <v>#VALUE!</v>
      </c>
      <c r="AW384" s="1" t="e">
        <f t="shared" si="53"/>
        <v>#VALUE!</v>
      </c>
    </row>
    <row r="385" spans="1:49" x14ac:dyDescent="0.2">
      <c r="A385">
        <v>383</v>
      </c>
      <c r="B385" t="s">
        <v>4138</v>
      </c>
      <c r="C385" t="s">
        <v>4137</v>
      </c>
      <c r="F385" t="s">
        <v>4136</v>
      </c>
      <c r="G385" t="s">
        <v>14</v>
      </c>
      <c r="H385" t="s">
        <v>13</v>
      </c>
      <c r="I385" t="s">
        <v>4135</v>
      </c>
      <c r="J385">
        <v>60010365</v>
      </c>
      <c r="K385" t="s">
        <v>4134</v>
      </c>
      <c r="L385" t="s">
        <v>4133</v>
      </c>
      <c r="M385" t="s">
        <v>685</v>
      </c>
      <c r="N385">
        <v>2</v>
      </c>
      <c r="O385" t="s">
        <v>4132</v>
      </c>
      <c r="P385" t="s">
        <v>4131</v>
      </c>
      <c r="Q385" t="s">
        <v>4130</v>
      </c>
      <c r="R385" s="7">
        <v>31778</v>
      </c>
      <c r="S385" s="8">
        <f t="shared" si="48"/>
        <v>1987</v>
      </c>
      <c r="T385" s="8">
        <v>1987</v>
      </c>
      <c r="U385" s="8">
        <f t="shared" si="49"/>
        <v>35</v>
      </c>
      <c r="V385" s="7">
        <v>32021</v>
      </c>
      <c r="W385" t="s">
        <v>336</v>
      </c>
      <c r="X385" s="2">
        <v>1.6519999999999999</v>
      </c>
      <c r="Y385" s="6">
        <f t="shared" si="46"/>
        <v>4.409919649769093E-2</v>
      </c>
      <c r="AA385" t="s">
        <v>335</v>
      </c>
      <c r="AB385">
        <v>17337</v>
      </c>
      <c r="AC385">
        <v>15582221</v>
      </c>
      <c r="AD385" t="s">
        <v>4</v>
      </c>
      <c r="AE385">
        <v>35</v>
      </c>
      <c r="AF385">
        <v>9</v>
      </c>
      <c r="AH385" t="s">
        <v>4129</v>
      </c>
      <c r="AI385" t="s">
        <v>4128</v>
      </c>
      <c r="AK385" t="s">
        <v>4127</v>
      </c>
      <c r="AL385">
        <v>46</v>
      </c>
      <c r="AM385" s="5">
        <f t="shared" si="50"/>
        <v>1.3142857142857143</v>
      </c>
      <c r="AN385" s="4">
        <f t="shared" si="47"/>
        <v>1.9905879807432252E-3</v>
      </c>
      <c r="AO385" s="3"/>
      <c r="AP385">
        <v>0</v>
      </c>
      <c r="AR385" t="s">
        <v>0</v>
      </c>
      <c r="AT385" s="2" t="s">
        <v>32</v>
      </c>
      <c r="AU385" s="1">
        <f t="shared" si="51"/>
        <v>3.1466613942606614</v>
      </c>
      <c r="AV385" s="1">
        <f t="shared" si="52"/>
        <v>2.3044892239217076</v>
      </c>
      <c r="AW385" s="1">
        <f t="shared" si="53"/>
        <v>1.4623170535827537</v>
      </c>
    </row>
    <row r="386" spans="1:49" x14ac:dyDescent="0.2">
      <c r="A386">
        <v>384</v>
      </c>
      <c r="B386" t="s">
        <v>4126</v>
      </c>
      <c r="C386" t="s">
        <v>4125</v>
      </c>
      <c r="F386" t="s">
        <v>4124</v>
      </c>
      <c r="G386" t="s">
        <v>14</v>
      </c>
      <c r="H386" t="s">
        <v>13</v>
      </c>
      <c r="I386" t="s">
        <v>4123</v>
      </c>
      <c r="J386">
        <v>60001439</v>
      </c>
      <c r="K386" t="s">
        <v>1721</v>
      </c>
      <c r="L386" t="s">
        <v>1720</v>
      </c>
      <c r="M386" t="s">
        <v>9</v>
      </c>
      <c r="N386">
        <v>2</v>
      </c>
      <c r="O386" t="s">
        <v>4122</v>
      </c>
      <c r="P386" t="s">
        <v>4121</v>
      </c>
      <c r="Q386" t="s">
        <v>4120</v>
      </c>
      <c r="R386" s="7">
        <v>31778</v>
      </c>
      <c r="S386" s="8">
        <f t="shared" si="48"/>
        <v>1987</v>
      </c>
      <c r="T386" s="8">
        <v>1987</v>
      </c>
      <c r="U386" s="8">
        <f t="shared" si="49"/>
        <v>35</v>
      </c>
      <c r="V386" s="7">
        <v>32021</v>
      </c>
      <c r="W386" t="s">
        <v>336</v>
      </c>
      <c r="X386" s="2">
        <v>1.6519999999999999</v>
      </c>
      <c r="Y386" s="6">
        <f t="shared" ref="Y386:Y449" si="54">(X386-$Z$4)/($Z$3-$Z$4)</f>
        <v>4.409919649769093E-2</v>
      </c>
      <c r="AA386" t="s">
        <v>335</v>
      </c>
      <c r="AB386">
        <v>17337</v>
      </c>
      <c r="AC386">
        <v>15582221</v>
      </c>
      <c r="AD386" t="s">
        <v>4</v>
      </c>
      <c r="AE386">
        <v>35</v>
      </c>
      <c r="AF386">
        <v>9</v>
      </c>
      <c r="AH386" t="s">
        <v>4119</v>
      </c>
      <c r="AI386" t="s">
        <v>4118</v>
      </c>
      <c r="AK386" t="s">
        <v>4117</v>
      </c>
      <c r="AL386">
        <v>7</v>
      </c>
      <c r="AM386" s="5">
        <f t="shared" si="50"/>
        <v>0.2</v>
      </c>
      <c r="AN386" s="4">
        <f t="shared" ref="AN386:AN449" si="55">(AM386-$AO$4)/($AO$3-$AO$4)</f>
        <v>3.0291556228701253E-4</v>
      </c>
      <c r="AO386" s="3"/>
      <c r="AP386">
        <v>0</v>
      </c>
      <c r="AR386" t="s">
        <v>4116</v>
      </c>
      <c r="AT386" s="2" t="s">
        <v>32</v>
      </c>
      <c r="AU386" s="1">
        <f t="shared" si="51"/>
        <v>3.0960312217069754</v>
      </c>
      <c r="AV386" s="1">
        <f t="shared" si="52"/>
        <v>2.2201056029988968</v>
      </c>
      <c r="AW386" s="1">
        <f t="shared" si="53"/>
        <v>1.3441799842908186</v>
      </c>
    </row>
    <row r="387" spans="1:49" x14ac:dyDescent="0.2">
      <c r="A387">
        <v>385</v>
      </c>
      <c r="B387" t="s">
        <v>4115</v>
      </c>
      <c r="C387" t="s">
        <v>4114</v>
      </c>
      <c r="F387" t="s">
        <v>4113</v>
      </c>
      <c r="G387" t="s">
        <v>14</v>
      </c>
      <c r="H387" t="s">
        <v>13</v>
      </c>
      <c r="I387" t="s">
        <v>2050</v>
      </c>
      <c r="J387">
        <v>60013141</v>
      </c>
      <c r="K387" t="s">
        <v>2049</v>
      </c>
      <c r="L387" t="s">
        <v>2048</v>
      </c>
      <c r="M387" t="s">
        <v>2047</v>
      </c>
      <c r="N387">
        <v>2</v>
      </c>
      <c r="O387" t="s">
        <v>4112</v>
      </c>
      <c r="P387" t="s">
        <v>4111</v>
      </c>
      <c r="Q387" t="s">
        <v>4110</v>
      </c>
      <c r="R387" s="7">
        <v>31778</v>
      </c>
      <c r="S387" s="8">
        <f t="shared" si="48"/>
        <v>1987</v>
      </c>
      <c r="T387" s="8">
        <v>1987</v>
      </c>
      <c r="U387" s="8">
        <f t="shared" si="49"/>
        <v>35</v>
      </c>
      <c r="V387" s="7">
        <v>32021</v>
      </c>
      <c r="W387" t="s">
        <v>336</v>
      </c>
      <c r="X387" s="2">
        <v>1.6519999999999999</v>
      </c>
      <c r="Y387" s="6">
        <f t="shared" si="54"/>
        <v>4.409919649769093E-2</v>
      </c>
      <c r="AA387" t="s">
        <v>335</v>
      </c>
      <c r="AB387">
        <v>17337</v>
      </c>
      <c r="AC387">
        <v>15582221</v>
      </c>
      <c r="AD387" t="s">
        <v>4</v>
      </c>
      <c r="AE387">
        <v>35</v>
      </c>
      <c r="AF387">
        <v>9</v>
      </c>
      <c r="AH387" t="s">
        <v>4109</v>
      </c>
      <c r="AI387" t="s">
        <v>4108</v>
      </c>
      <c r="AK387" t="s">
        <v>4107</v>
      </c>
      <c r="AL387">
        <v>38</v>
      </c>
      <c r="AM387" s="5">
        <f t="shared" si="50"/>
        <v>1.0857142857142856</v>
      </c>
      <c r="AN387" s="4">
        <f t="shared" si="55"/>
        <v>1.6443987667009248E-3</v>
      </c>
      <c r="AO387" s="3"/>
      <c r="AP387">
        <v>0</v>
      </c>
      <c r="AR387" t="s">
        <v>0</v>
      </c>
      <c r="AT387" s="2" t="s">
        <v>32</v>
      </c>
      <c r="AU387" s="1">
        <f t="shared" si="51"/>
        <v>3.1362757178393927</v>
      </c>
      <c r="AV387" s="1">
        <f t="shared" si="52"/>
        <v>2.2871797632195925</v>
      </c>
      <c r="AW387" s="1">
        <f t="shared" si="53"/>
        <v>1.4380838085997927</v>
      </c>
    </row>
    <row r="388" spans="1:49" x14ac:dyDescent="0.2">
      <c r="A388">
        <v>386</v>
      </c>
      <c r="B388" t="s">
        <v>4106</v>
      </c>
      <c r="C388" t="s">
        <v>4105</v>
      </c>
      <c r="F388" t="s">
        <v>4104</v>
      </c>
      <c r="G388" t="s">
        <v>14</v>
      </c>
      <c r="H388" t="s">
        <v>13</v>
      </c>
      <c r="I388" t="s">
        <v>4103</v>
      </c>
      <c r="J388" t="s">
        <v>4102</v>
      </c>
      <c r="K388" t="s">
        <v>4101</v>
      </c>
      <c r="L388" t="s">
        <v>4100</v>
      </c>
      <c r="M388" t="s">
        <v>4099</v>
      </c>
      <c r="N388">
        <v>3</v>
      </c>
      <c r="O388" t="s">
        <v>4098</v>
      </c>
      <c r="P388" t="s">
        <v>4097</v>
      </c>
      <c r="Q388" t="s">
        <v>4096</v>
      </c>
      <c r="R388" s="7">
        <v>31778</v>
      </c>
      <c r="S388" s="8">
        <f t="shared" si="48"/>
        <v>1987</v>
      </c>
      <c r="T388" s="8">
        <v>1987</v>
      </c>
      <c r="U388" s="8">
        <f t="shared" si="49"/>
        <v>35</v>
      </c>
      <c r="V388" s="7">
        <v>32021</v>
      </c>
      <c r="W388" t="s">
        <v>336</v>
      </c>
      <c r="X388" s="2">
        <v>1.6519999999999999</v>
      </c>
      <c r="Y388" s="6">
        <f t="shared" si="54"/>
        <v>4.409919649769093E-2</v>
      </c>
      <c r="AA388" t="s">
        <v>335</v>
      </c>
      <c r="AB388">
        <v>17337</v>
      </c>
      <c r="AC388">
        <v>15582221</v>
      </c>
      <c r="AD388" t="s">
        <v>4</v>
      </c>
      <c r="AE388">
        <v>35</v>
      </c>
      <c r="AF388">
        <v>9</v>
      </c>
      <c r="AH388" t="s">
        <v>4095</v>
      </c>
      <c r="AI388" t="s">
        <v>4094</v>
      </c>
      <c r="AK388" t="s">
        <v>4093</v>
      </c>
      <c r="AL388">
        <v>28</v>
      </c>
      <c r="AM388" s="5">
        <f t="shared" si="50"/>
        <v>0.8</v>
      </c>
      <c r="AN388" s="4">
        <f t="shared" si="55"/>
        <v>1.2116622491480501E-3</v>
      </c>
      <c r="AO388" s="3"/>
      <c r="AP388">
        <v>0</v>
      </c>
      <c r="AR388" t="s">
        <v>4092</v>
      </c>
      <c r="AT388" s="2" t="s">
        <v>32</v>
      </c>
      <c r="AU388" s="1">
        <f t="shared" si="51"/>
        <v>3.1232936223128065</v>
      </c>
      <c r="AV388" s="1">
        <f t="shared" si="52"/>
        <v>2.2655429373419489</v>
      </c>
      <c r="AW388" s="1">
        <f t="shared" si="53"/>
        <v>1.4077922523710913</v>
      </c>
    </row>
    <row r="389" spans="1:49" x14ac:dyDescent="0.2">
      <c r="A389">
        <v>387</v>
      </c>
      <c r="B389" t="s">
        <v>4091</v>
      </c>
      <c r="C389" t="s">
        <v>4090</v>
      </c>
      <c r="F389" t="s">
        <v>4089</v>
      </c>
      <c r="G389" t="s">
        <v>14</v>
      </c>
      <c r="H389" t="s">
        <v>13</v>
      </c>
      <c r="I389" t="s">
        <v>4088</v>
      </c>
      <c r="J389">
        <v>60009697</v>
      </c>
      <c r="K389" t="s">
        <v>1573</v>
      </c>
      <c r="L389" t="s">
        <v>1572</v>
      </c>
      <c r="M389" t="s">
        <v>685</v>
      </c>
      <c r="N389">
        <v>2</v>
      </c>
      <c r="O389" t="s">
        <v>4087</v>
      </c>
      <c r="P389" t="s">
        <v>4086</v>
      </c>
      <c r="Q389" t="s">
        <v>1569</v>
      </c>
      <c r="R389" s="7">
        <v>31778</v>
      </c>
      <c r="S389" s="8">
        <f t="shared" si="48"/>
        <v>1987</v>
      </c>
      <c r="T389" s="8">
        <v>1987</v>
      </c>
      <c r="U389" s="8">
        <f t="shared" si="49"/>
        <v>35</v>
      </c>
      <c r="V389" s="7">
        <v>32021</v>
      </c>
      <c r="W389" t="s">
        <v>336</v>
      </c>
      <c r="X389" s="2">
        <v>1.6519999999999999</v>
      </c>
      <c r="Y389" s="6">
        <f t="shared" si="54"/>
        <v>4.409919649769093E-2</v>
      </c>
      <c r="AA389" t="s">
        <v>335</v>
      </c>
      <c r="AB389">
        <v>17337</v>
      </c>
      <c r="AC389">
        <v>15582221</v>
      </c>
      <c r="AD389" t="s">
        <v>4</v>
      </c>
      <c r="AE389">
        <v>35</v>
      </c>
      <c r="AF389">
        <v>9</v>
      </c>
      <c r="AH389" t="s">
        <v>4085</v>
      </c>
      <c r="AI389" t="s">
        <v>4084</v>
      </c>
      <c r="AK389" t="s">
        <v>4083</v>
      </c>
      <c r="AL389">
        <v>0</v>
      </c>
      <c r="AM389" s="5">
        <f t="shared" si="50"/>
        <v>0</v>
      </c>
      <c r="AN389" s="4">
        <f t="shared" si="55"/>
        <v>0</v>
      </c>
      <c r="AO389" s="3"/>
      <c r="AP389">
        <v>0</v>
      </c>
      <c r="AQ389" t="s">
        <v>4082</v>
      </c>
      <c r="AR389" t="s">
        <v>0</v>
      </c>
      <c r="AS389" t="s">
        <v>1573</v>
      </c>
      <c r="AT389" s="2" t="s">
        <v>32</v>
      </c>
      <c r="AU389" s="1">
        <f t="shared" si="51"/>
        <v>3.0869437548383649</v>
      </c>
      <c r="AV389" s="1">
        <f t="shared" si="52"/>
        <v>2.2049598248845466</v>
      </c>
      <c r="AW389" s="1">
        <f t="shared" si="53"/>
        <v>1.3229758949307278</v>
      </c>
    </row>
    <row r="390" spans="1:49" x14ac:dyDescent="0.2">
      <c r="A390">
        <v>388</v>
      </c>
      <c r="B390" t="s">
        <v>4081</v>
      </c>
      <c r="C390" t="s">
        <v>4080</v>
      </c>
      <c r="F390" t="s">
        <v>4079</v>
      </c>
      <c r="G390" t="s">
        <v>14</v>
      </c>
      <c r="H390" t="s">
        <v>13</v>
      </c>
      <c r="I390" t="s">
        <v>4078</v>
      </c>
      <c r="J390">
        <v>60013141</v>
      </c>
      <c r="K390" t="s">
        <v>2049</v>
      </c>
      <c r="L390" t="s">
        <v>2048</v>
      </c>
      <c r="M390" t="s">
        <v>2047</v>
      </c>
      <c r="N390">
        <v>1</v>
      </c>
      <c r="O390" t="s">
        <v>4077</v>
      </c>
      <c r="P390">
        <v>7101988263</v>
      </c>
      <c r="Q390">
        <v>60013141</v>
      </c>
      <c r="R390" s="7">
        <v>31778</v>
      </c>
      <c r="S390" s="8">
        <f t="shared" si="48"/>
        <v>1987</v>
      </c>
      <c r="T390" s="8">
        <v>1987</v>
      </c>
      <c r="U390" s="8">
        <f t="shared" si="49"/>
        <v>35</v>
      </c>
      <c r="V390" s="7">
        <v>32021</v>
      </c>
      <c r="W390" t="s">
        <v>336</v>
      </c>
      <c r="X390" s="2">
        <v>1.6519999999999999</v>
      </c>
      <c r="Y390" s="6">
        <f t="shared" si="54"/>
        <v>4.409919649769093E-2</v>
      </c>
      <c r="AA390" t="s">
        <v>335</v>
      </c>
      <c r="AB390">
        <v>17337</v>
      </c>
      <c r="AC390">
        <v>15582221</v>
      </c>
      <c r="AD390" t="s">
        <v>4</v>
      </c>
      <c r="AE390">
        <v>35</v>
      </c>
      <c r="AF390">
        <v>9</v>
      </c>
      <c r="AH390" t="s">
        <v>4076</v>
      </c>
      <c r="AI390" t="s">
        <v>4075</v>
      </c>
      <c r="AK390" t="s">
        <v>4074</v>
      </c>
      <c r="AL390">
        <v>52</v>
      </c>
      <c r="AM390" s="5">
        <f t="shared" si="50"/>
        <v>1.4857142857142858</v>
      </c>
      <c r="AN390" s="4">
        <f t="shared" si="55"/>
        <v>2.25022989127495E-3</v>
      </c>
      <c r="AO390" s="3"/>
      <c r="AP390">
        <v>0</v>
      </c>
      <c r="AR390" t="s">
        <v>0</v>
      </c>
      <c r="AT390" s="2" t="s">
        <v>32</v>
      </c>
      <c r="AU390" s="1">
        <f t="shared" si="51"/>
        <v>3.1544506515766138</v>
      </c>
      <c r="AV390" s="1">
        <f t="shared" si="52"/>
        <v>2.3174713194482939</v>
      </c>
      <c r="AW390" s="1">
        <f t="shared" si="53"/>
        <v>1.4804919873199742</v>
      </c>
    </row>
    <row r="391" spans="1:49" x14ac:dyDescent="0.2">
      <c r="A391">
        <v>389</v>
      </c>
      <c r="B391" t="s">
        <v>4073</v>
      </c>
      <c r="C391" t="s">
        <v>4072</v>
      </c>
      <c r="F391" t="s">
        <v>4071</v>
      </c>
      <c r="G391" t="s">
        <v>14</v>
      </c>
      <c r="H391" t="s">
        <v>13</v>
      </c>
      <c r="I391" t="s">
        <v>4070</v>
      </c>
      <c r="J391" t="s">
        <v>4064</v>
      </c>
      <c r="K391" t="s">
        <v>4069</v>
      </c>
      <c r="L391" t="s">
        <v>4068</v>
      </c>
      <c r="M391" t="s">
        <v>4067</v>
      </c>
      <c r="N391">
        <v>2</v>
      </c>
      <c r="O391" t="s">
        <v>4066</v>
      </c>
      <c r="P391" t="s">
        <v>4065</v>
      </c>
      <c r="Q391" t="s">
        <v>4064</v>
      </c>
      <c r="R391" s="7">
        <v>31778</v>
      </c>
      <c r="S391" s="8">
        <f t="shared" si="48"/>
        <v>1987</v>
      </c>
      <c r="T391" s="8">
        <v>1987</v>
      </c>
      <c r="U391" s="8">
        <f t="shared" si="49"/>
        <v>35</v>
      </c>
      <c r="V391" s="7">
        <v>32021</v>
      </c>
      <c r="W391" t="s">
        <v>1040</v>
      </c>
      <c r="X391" s="2">
        <v>1.137</v>
      </c>
      <c r="Y391" s="6">
        <f t="shared" si="54"/>
        <v>3.0351565628253384E-2</v>
      </c>
      <c r="AA391">
        <v>189251</v>
      </c>
      <c r="AB391">
        <v>17336</v>
      </c>
      <c r="AD391" t="s">
        <v>4</v>
      </c>
      <c r="AE391" t="s">
        <v>1039</v>
      </c>
      <c r="AF391">
        <v>5</v>
      </c>
      <c r="AH391" t="s">
        <v>4063</v>
      </c>
      <c r="AI391" t="s">
        <v>4062</v>
      </c>
      <c r="AK391" t="s">
        <v>4061</v>
      </c>
      <c r="AL391">
        <v>1</v>
      </c>
      <c r="AM391" s="5">
        <f t="shared" si="50"/>
        <v>2.8571428571428571E-2</v>
      </c>
      <c r="AN391" s="4">
        <f t="shared" si="55"/>
        <v>4.32736517552875E-5</v>
      </c>
      <c r="AO391" s="3"/>
      <c r="AP391">
        <v>0</v>
      </c>
      <c r="AQ391" t="s">
        <v>3382</v>
      </c>
      <c r="AR391" t="s">
        <v>3381</v>
      </c>
      <c r="AS391" t="s">
        <v>3380</v>
      </c>
      <c r="AT391" s="2" t="s">
        <v>32</v>
      </c>
      <c r="AU391" s="1">
        <f t="shared" si="51"/>
        <v>2.1259078035303953</v>
      </c>
      <c r="AV391" s="1">
        <f t="shared" si="52"/>
        <v>1.5197419640004337</v>
      </c>
      <c r="AW391" s="1">
        <f t="shared" si="53"/>
        <v>0.91357612447047176</v>
      </c>
    </row>
    <row r="392" spans="1:49" x14ac:dyDescent="0.2">
      <c r="A392">
        <v>390</v>
      </c>
      <c r="B392" t="s">
        <v>4060</v>
      </c>
      <c r="C392" t="s">
        <v>4059</v>
      </c>
      <c r="F392" t="s">
        <v>4058</v>
      </c>
      <c r="G392" t="s">
        <v>14</v>
      </c>
      <c r="H392" t="s">
        <v>13</v>
      </c>
      <c r="I392" t="s">
        <v>2183</v>
      </c>
      <c r="J392">
        <v>60009037</v>
      </c>
      <c r="K392" t="s">
        <v>600</v>
      </c>
      <c r="L392" t="s">
        <v>599</v>
      </c>
      <c r="M392" t="s">
        <v>9</v>
      </c>
      <c r="N392">
        <v>1</v>
      </c>
      <c r="O392" t="s">
        <v>4057</v>
      </c>
      <c r="P392">
        <v>7102110120</v>
      </c>
      <c r="Q392">
        <v>60009037</v>
      </c>
      <c r="R392" s="7">
        <v>31778</v>
      </c>
      <c r="S392" s="8">
        <f t="shared" si="48"/>
        <v>1987</v>
      </c>
      <c r="T392" s="8">
        <v>1987</v>
      </c>
      <c r="U392" s="8">
        <f t="shared" si="49"/>
        <v>35</v>
      </c>
      <c r="V392" s="7">
        <v>32021</v>
      </c>
      <c r="W392" t="s">
        <v>336</v>
      </c>
      <c r="X392" s="2">
        <v>1.6519999999999999</v>
      </c>
      <c r="Y392" s="6">
        <f t="shared" si="54"/>
        <v>4.409919649769093E-2</v>
      </c>
      <c r="AA392" t="s">
        <v>335</v>
      </c>
      <c r="AB392">
        <v>17337</v>
      </c>
      <c r="AC392">
        <v>15582221</v>
      </c>
      <c r="AD392" t="s">
        <v>4</v>
      </c>
      <c r="AE392">
        <v>35</v>
      </c>
      <c r="AF392">
        <v>9</v>
      </c>
      <c r="AH392" t="s">
        <v>4056</v>
      </c>
      <c r="AI392" t="s">
        <v>4055</v>
      </c>
      <c r="AK392" t="s">
        <v>4054</v>
      </c>
      <c r="AL392">
        <v>13</v>
      </c>
      <c r="AM392" s="5">
        <f t="shared" si="50"/>
        <v>0.37142857142857144</v>
      </c>
      <c r="AN392" s="4">
        <f t="shared" si="55"/>
        <v>5.6255747281873749E-4</v>
      </c>
      <c r="AO392" s="3"/>
      <c r="AP392">
        <v>0</v>
      </c>
      <c r="AR392" t="s">
        <v>0</v>
      </c>
      <c r="AT392" s="2" t="s">
        <v>32</v>
      </c>
      <c r="AU392" s="1">
        <f t="shared" si="51"/>
        <v>3.1038204790229269</v>
      </c>
      <c r="AV392" s="1">
        <f t="shared" si="52"/>
        <v>2.2330876985254835</v>
      </c>
      <c r="AW392" s="1">
        <f t="shared" si="53"/>
        <v>1.3623549180280394</v>
      </c>
    </row>
    <row r="393" spans="1:49" x14ac:dyDescent="0.2">
      <c r="A393">
        <v>391</v>
      </c>
      <c r="B393" t="s">
        <v>4053</v>
      </c>
      <c r="C393" t="s">
        <v>4052</v>
      </c>
      <c r="D393" t="s">
        <v>4051</v>
      </c>
      <c r="F393" t="s">
        <v>4050</v>
      </c>
      <c r="G393" t="s">
        <v>14</v>
      </c>
      <c r="H393" t="s">
        <v>13</v>
      </c>
      <c r="I393" t="s">
        <v>4049</v>
      </c>
      <c r="J393">
        <v>60086226</v>
      </c>
      <c r="K393" t="s">
        <v>4048</v>
      </c>
      <c r="L393" t="s">
        <v>4047</v>
      </c>
      <c r="M393" t="s">
        <v>112</v>
      </c>
      <c r="N393">
        <v>3</v>
      </c>
      <c r="O393" t="s">
        <v>4046</v>
      </c>
      <c r="P393" t="s">
        <v>4045</v>
      </c>
      <c r="Q393" t="s">
        <v>4044</v>
      </c>
      <c r="R393" s="7">
        <v>31778</v>
      </c>
      <c r="S393" s="8">
        <f t="shared" si="48"/>
        <v>1987</v>
      </c>
      <c r="T393" s="8">
        <v>1987</v>
      </c>
      <c r="U393" s="8">
        <f t="shared" si="49"/>
        <v>35</v>
      </c>
      <c r="V393" s="7">
        <v>32021</v>
      </c>
      <c r="W393" t="s">
        <v>509</v>
      </c>
      <c r="X393" s="2">
        <v>1.1339999999999999</v>
      </c>
      <c r="Y393" s="6">
        <f t="shared" si="54"/>
        <v>3.0271482341635299E-2</v>
      </c>
      <c r="AA393">
        <v>945765</v>
      </c>
      <c r="AB393">
        <v>12372</v>
      </c>
      <c r="AD393" t="s">
        <v>4</v>
      </c>
      <c r="AE393">
        <v>15</v>
      </c>
      <c r="AF393">
        <v>9</v>
      </c>
      <c r="AH393" t="s">
        <v>4043</v>
      </c>
      <c r="AI393" t="s">
        <v>4042</v>
      </c>
      <c r="AK393" t="s">
        <v>4041</v>
      </c>
      <c r="AL393">
        <v>0</v>
      </c>
      <c r="AM393" s="5">
        <f t="shared" si="50"/>
        <v>0</v>
      </c>
      <c r="AN393" s="4">
        <f t="shared" si="55"/>
        <v>0</v>
      </c>
      <c r="AO393" s="3"/>
      <c r="AP393">
        <v>0</v>
      </c>
      <c r="AR393" t="s">
        <v>0</v>
      </c>
      <c r="AT393" s="2">
        <v>2.4129999999999998</v>
      </c>
      <c r="AU393" s="1">
        <f t="shared" si="51"/>
        <v>2.119003763914471</v>
      </c>
      <c r="AV393" s="1">
        <f t="shared" si="52"/>
        <v>1.5135741170817649</v>
      </c>
      <c r="AW393" s="1">
        <f t="shared" si="53"/>
        <v>0.90814447024905898</v>
      </c>
    </row>
    <row r="394" spans="1:49" x14ac:dyDescent="0.2">
      <c r="A394">
        <v>392</v>
      </c>
      <c r="B394" t="s">
        <v>4040</v>
      </c>
      <c r="C394" t="s">
        <v>4039</v>
      </c>
      <c r="F394" t="s">
        <v>4038</v>
      </c>
      <c r="G394" t="s">
        <v>14</v>
      </c>
      <c r="H394" t="s">
        <v>13</v>
      </c>
      <c r="I394" t="s">
        <v>4037</v>
      </c>
      <c r="J394" t="s">
        <v>3778</v>
      </c>
      <c r="K394" t="s">
        <v>3777</v>
      </c>
      <c r="L394" t="s">
        <v>3776</v>
      </c>
      <c r="M394" t="s">
        <v>55</v>
      </c>
      <c r="N394">
        <v>3</v>
      </c>
      <c r="O394" t="s">
        <v>4036</v>
      </c>
      <c r="P394" t="s">
        <v>4035</v>
      </c>
      <c r="Q394" t="s">
        <v>4034</v>
      </c>
      <c r="R394" s="7">
        <v>31778</v>
      </c>
      <c r="S394" s="8">
        <f t="shared" si="48"/>
        <v>1987</v>
      </c>
      <c r="T394" s="8">
        <v>1987</v>
      </c>
      <c r="U394" s="8">
        <f t="shared" si="49"/>
        <v>35</v>
      </c>
      <c r="V394" s="7">
        <v>1987</v>
      </c>
      <c r="W394" t="s">
        <v>429</v>
      </c>
      <c r="X394" s="2">
        <v>0.375</v>
      </c>
      <c r="Y394" s="6">
        <f t="shared" si="54"/>
        <v>1.0010410827260351E-2</v>
      </c>
      <c r="AA394">
        <v>135194</v>
      </c>
      <c r="AB394">
        <v>24918</v>
      </c>
      <c r="AD394" t="s">
        <v>4</v>
      </c>
      <c r="AE394">
        <v>23</v>
      </c>
      <c r="AF394">
        <v>20</v>
      </c>
      <c r="AH394" t="s">
        <v>4033</v>
      </c>
      <c r="AI394" t="s">
        <v>4032</v>
      </c>
      <c r="AJ394" t="s">
        <v>4031</v>
      </c>
      <c r="AK394" t="s">
        <v>4030</v>
      </c>
      <c r="AL394">
        <v>266</v>
      </c>
      <c r="AM394" s="5">
        <f t="shared" si="50"/>
        <v>7.6</v>
      </c>
      <c r="AN394" s="4">
        <f t="shared" si="55"/>
        <v>1.1510791366906475E-2</v>
      </c>
      <c r="AO394" s="3"/>
      <c r="AP394">
        <v>0</v>
      </c>
      <c r="AR394" t="s">
        <v>0</v>
      </c>
      <c r="AT394" s="2">
        <v>1.3140000000000001</v>
      </c>
      <c r="AU394" s="1">
        <f t="shared" si="51"/>
        <v>1.0460524989154187</v>
      </c>
      <c r="AV394" s="1">
        <f t="shared" si="52"/>
        <v>1.0760601097083413</v>
      </c>
      <c r="AW394" s="1">
        <f t="shared" si="53"/>
        <v>1.1060677205012637</v>
      </c>
    </row>
    <row r="395" spans="1:49" x14ac:dyDescent="0.2">
      <c r="A395">
        <v>393</v>
      </c>
      <c r="B395" t="s">
        <v>4029</v>
      </c>
      <c r="C395" t="s">
        <v>4028</v>
      </c>
      <c r="E395">
        <v>3653918</v>
      </c>
      <c r="F395" t="s">
        <v>4027</v>
      </c>
      <c r="G395" t="s">
        <v>14</v>
      </c>
      <c r="H395" t="s">
        <v>13</v>
      </c>
      <c r="I395" t="s">
        <v>4026</v>
      </c>
      <c r="J395" t="s">
        <v>4025</v>
      </c>
      <c r="K395" t="s">
        <v>4024</v>
      </c>
      <c r="L395" t="s">
        <v>4023</v>
      </c>
      <c r="M395" t="s">
        <v>55</v>
      </c>
      <c r="N395">
        <v>3</v>
      </c>
      <c r="O395" t="s">
        <v>4022</v>
      </c>
      <c r="P395" t="s">
        <v>4021</v>
      </c>
      <c r="Q395" t="s">
        <v>4020</v>
      </c>
      <c r="R395" s="7">
        <v>31778</v>
      </c>
      <c r="S395" s="8">
        <f t="shared" si="48"/>
        <v>1987</v>
      </c>
      <c r="T395" s="8">
        <v>1987</v>
      </c>
      <c r="U395" s="8">
        <f t="shared" si="49"/>
        <v>35</v>
      </c>
      <c r="V395" s="7">
        <v>32021</v>
      </c>
      <c r="W395" t="s">
        <v>4019</v>
      </c>
      <c r="X395" s="2">
        <v>1.1479999999999999</v>
      </c>
      <c r="Y395" s="6">
        <f t="shared" si="54"/>
        <v>3.0645204345853019E-2</v>
      </c>
      <c r="AA395">
        <v>189294</v>
      </c>
      <c r="AB395">
        <v>16318</v>
      </c>
      <c r="AC395">
        <v>15582531</v>
      </c>
      <c r="AD395" t="s">
        <v>4</v>
      </c>
      <c r="AE395" t="s">
        <v>4018</v>
      </c>
      <c r="AF395">
        <v>9</v>
      </c>
      <c r="AH395" t="s">
        <v>4017</v>
      </c>
      <c r="AI395" t="s">
        <v>4016</v>
      </c>
      <c r="AK395" t="s">
        <v>4015</v>
      </c>
      <c r="AL395">
        <v>2</v>
      </c>
      <c r="AM395" s="5">
        <f t="shared" si="50"/>
        <v>5.7142857142857141E-2</v>
      </c>
      <c r="AN395" s="4">
        <f t="shared" si="55"/>
        <v>8.6547303510575E-5</v>
      </c>
      <c r="AO395" s="3"/>
      <c r="AP395">
        <v>0</v>
      </c>
      <c r="AR395" t="s">
        <v>0</v>
      </c>
      <c r="AT395" s="2" t="s">
        <v>32</v>
      </c>
      <c r="AU395" s="1">
        <f t="shared" si="51"/>
        <v>2.1477607233150287</v>
      </c>
      <c r="AV395" s="1">
        <f t="shared" si="52"/>
        <v>1.5365875824681796</v>
      </c>
      <c r="AW395" s="1">
        <f t="shared" si="53"/>
        <v>0.9254144416213308</v>
      </c>
    </row>
    <row r="396" spans="1:49" x14ac:dyDescent="0.2">
      <c r="A396">
        <v>394</v>
      </c>
      <c r="B396" t="s">
        <v>4014</v>
      </c>
      <c r="C396" t="s">
        <v>4013</v>
      </c>
      <c r="F396" t="s">
        <v>4012</v>
      </c>
      <c r="G396" t="s">
        <v>14</v>
      </c>
      <c r="H396" t="s">
        <v>13</v>
      </c>
      <c r="I396" t="s">
        <v>4011</v>
      </c>
      <c r="J396">
        <v>60032144</v>
      </c>
      <c r="K396" t="s">
        <v>4010</v>
      </c>
      <c r="L396" t="s">
        <v>4009</v>
      </c>
      <c r="M396" t="s">
        <v>4008</v>
      </c>
      <c r="N396">
        <v>2</v>
      </c>
      <c r="O396" t="s">
        <v>4007</v>
      </c>
      <c r="P396" t="s">
        <v>4006</v>
      </c>
      <c r="Q396" t="s">
        <v>4005</v>
      </c>
      <c r="R396" s="7">
        <v>31778</v>
      </c>
      <c r="S396" s="8">
        <f t="shared" si="48"/>
        <v>1987</v>
      </c>
      <c r="T396" s="8">
        <v>1987</v>
      </c>
      <c r="U396" s="8">
        <f t="shared" si="49"/>
        <v>35</v>
      </c>
      <c r="V396" s="7">
        <v>1987</v>
      </c>
      <c r="W396" t="s">
        <v>429</v>
      </c>
      <c r="X396" s="2">
        <v>0.375</v>
      </c>
      <c r="Y396" s="6">
        <f t="shared" si="54"/>
        <v>1.0010410827260351E-2</v>
      </c>
      <c r="AA396">
        <v>135194</v>
      </c>
      <c r="AB396">
        <v>24918</v>
      </c>
      <c r="AD396" t="s">
        <v>4</v>
      </c>
      <c r="AE396">
        <v>23</v>
      </c>
      <c r="AF396">
        <v>20</v>
      </c>
      <c r="AH396">
        <v>1038</v>
      </c>
      <c r="AI396" t="s">
        <v>4004</v>
      </c>
      <c r="AJ396" t="s">
        <v>4003</v>
      </c>
      <c r="AK396" t="s">
        <v>4002</v>
      </c>
      <c r="AL396">
        <v>0</v>
      </c>
      <c r="AM396" s="5">
        <f t="shared" si="50"/>
        <v>0</v>
      </c>
      <c r="AN396" s="4">
        <f t="shared" si="55"/>
        <v>0</v>
      </c>
      <c r="AO396" s="3"/>
      <c r="AP396">
        <v>0</v>
      </c>
      <c r="AR396" t="s">
        <v>0</v>
      </c>
      <c r="AT396" s="2">
        <v>1.3140000000000001</v>
      </c>
      <c r="AU396" s="1">
        <f t="shared" si="51"/>
        <v>0.70072875790822453</v>
      </c>
      <c r="AV396" s="1">
        <f t="shared" si="52"/>
        <v>0.5005205413630176</v>
      </c>
      <c r="AW396" s="1">
        <f t="shared" si="53"/>
        <v>0.30031232481781051</v>
      </c>
    </row>
    <row r="397" spans="1:49" x14ac:dyDescent="0.2">
      <c r="A397">
        <v>395</v>
      </c>
      <c r="B397" t="s">
        <v>4001</v>
      </c>
      <c r="C397" t="s">
        <v>4000</v>
      </c>
      <c r="E397">
        <v>3446902</v>
      </c>
      <c r="F397" t="s">
        <v>3999</v>
      </c>
      <c r="G397" t="s">
        <v>14</v>
      </c>
      <c r="H397" t="s">
        <v>13</v>
      </c>
      <c r="I397" t="s">
        <v>3998</v>
      </c>
      <c r="J397" t="s">
        <v>3997</v>
      </c>
      <c r="K397" t="s">
        <v>3996</v>
      </c>
      <c r="L397" t="s">
        <v>3995</v>
      </c>
      <c r="M397" t="s">
        <v>376</v>
      </c>
      <c r="N397">
        <v>6</v>
      </c>
      <c r="O397" t="s">
        <v>3994</v>
      </c>
      <c r="P397" t="s">
        <v>3993</v>
      </c>
      <c r="Q397" t="s">
        <v>3992</v>
      </c>
      <c r="R397" s="7">
        <v>31778</v>
      </c>
      <c r="S397" s="8">
        <f t="shared" si="48"/>
        <v>1987</v>
      </c>
      <c r="T397" s="8">
        <v>1987</v>
      </c>
      <c r="U397" s="8">
        <f t="shared" si="49"/>
        <v>35</v>
      </c>
      <c r="V397" s="7">
        <v>1987</v>
      </c>
      <c r="W397" t="s">
        <v>3991</v>
      </c>
      <c r="X397" s="2" t="s">
        <v>32</v>
      </c>
      <c r="Y397" s="6" t="e">
        <f t="shared" si="54"/>
        <v>#VALUE!</v>
      </c>
      <c r="AA397">
        <v>213292</v>
      </c>
      <c r="AB397">
        <v>34977</v>
      </c>
      <c r="AD397" t="s">
        <v>4</v>
      </c>
      <c r="AE397">
        <v>25</v>
      </c>
      <c r="AF397">
        <v>3</v>
      </c>
      <c r="AH397" t="s">
        <v>3990</v>
      </c>
      <c r="AI397" t="s">
        <v>3989</v>
      </c>
      <c r="AK397" t="s">
        <v>3988</v>
      </c>
      <c r="AL397">
        <v>0</v>
      </c>
      <c r="AM397" s="5">
        <f t="shared" si="50"/>
        <v>0</v>
      </c>
      <c r="AN397" s="4">
        <f t="shared" si="55"/>
        <v>0</v>
      </c>
      <c r="AO397" s="3"/>
      <c r="AP397">
        <v>0</v>
      </c>
      <c r="AR397" t="s">
        <v>0</v>
      </c>
      <c r="AT397" s="2" t="s">
        <v>32</v>
      </c>
      <c r="AU397" s="1" t="e">
        <f t="shared" si="51"/>
        <v>#VALUE!</v>
      </c>
      <c r="AV397" s="1" t="e">
        <f t="shared" si="52"/>
        <v>#VALUE!</v>
      </c>
      <c r="AW397" s="1" t="e">
        <f t="shared" si="53"/>
        <v>#VALUE!</v>
      </c>
    </row>
    <row r="398" spans="1:49" x14ac:dyDescent="0.2">
      <c r="A398">
        <v>396</v>
      </c>
      <c r="B398" t="s">
        <v>3987</v>
      </c>
      <c r="C398" t="s">
        <v>3986</v>
      </c>
      <c r="F398" t="s">
        <v>3985</v>
      </c>
      <c r="G398" t="s">
        <v>14</v>
      </c>
      <c r="H398" t="s">
        <v>13</v>
      </c>
      <c r="I398" t="s">
        <v>3984</v>
      </c>
      <c r="J398">
        <v>60022148</v>
      </c>
      <c r="K398" t="s">
        <v>3285</v>
      </c>
      <c r="L398" t="s">
        <v>587</v>
      </c>
      <c r="M398" t="s">
        <v>586</v>
      </c>
      <c r="N398">
        <v>2</v>
      </c>
      <c r="O398" t="s">
        <v>3983</v>
      </c>
      <c r="P398" t="s">
        <v>3982</v>
      </c>
      <c r="Q398" t="s">
        <v>3981</v>
      </c>
      <c r="R398" s="7">
        <v>31778</v>
      </c>
      <c r="S398" s="8">
        <f t="shared" si="48"/>
        <v>1987</v>
      </c>
      <c r="T398" s="8">
        <v>1987</v>
      </c>
      <c r="U398" s="8">
        <f t="shared" si="49"/>
        <v>35</v>
      </c>
      <c r="V398" s="7" t="s">
        <v>3933</v>
      </c>
      <c r="W398" s="11" t="s">
        <v>1382</v>
      </c>
      <c r="X398" s="2">
        <v>2.383</v>
      </c>
      <c r="Y398" s="6">
        <f t="shared" si="54"/>
        <v>6.3612824003630442E-2</v>
      </c>
      <c r="AA398" t="s">
        <v>1381</v>
      </c>
      <c r="AB398">
        <v>101151</v>
      </c>
      <c r="AD398" t="s">
        <v>4</v>
      </c>
      <c r="AE398">
        <v>134</v>
      </c>
      <c r="AF398">
        <v>4</v>
      </c>
      <c r="AH398" t="s">
        <v>3980</v>
      </c>
      <c r="AI398" t="s">
        <v>3979</v>
      </c>
      <c r="AK398" t="s">
        <v>3978</v>
      </c>
      <c r="AL398">
        <v>13</v>
      </c>
      <c r="AM398" s="5">
        <f t="shared" si="50"/>
        <v>0.37142857142857144</v>
      </c>
      <c r="AN398" s="4">
        <f t="shared" si="55"/>
        <v>5.6255747281873749E-4</v>
      </c>
      <c r="AO398" s="3"/>
      <c r="AP398">
        <v>0</v>
      </c>
      <c r="AR398" t="s">
        <v>0</v>
      </c>
      <c r="AT398" s="2" t="s">
        <v>32</v>
      </c>
      <c r="AU398" s="1">
        <f t="shared" si="51"/>
        <v>4.4697744044386933</v>
      </c>
      <c r="AV398" s="1">
        <f t="shared" si="52"/>
        <v>3.2087690738224586</v>
      </c>
      <c r="AW398" s="1">
        <f t="shared" si="53"/>
        <v>1.9477637432062249</v>
      </c>
    </row>
    <row r="399" spans="1:49" x14ac:dyDescent="0.2">
      <c r="A399">
        <v>397</v>
      </c>
      <c r="B399" t="s">
        <v>3977</v>
      </c>
      <c r="C399" t="s">
        <v>3976</v>
      </c>
      <c r="F399" t="s">
        <v>3975</v>
      </c>
      <c r="G399" t="s">
        <v>14</v>
      </c>
      <c r="H399" t="s">
        <v>13</v>
      </c>
      <c r="I399" t="s">
        <v>3974</v>
      </c>
      <c r="N399">
        <v>2</v>
      </c>
      <c r="O399" t="s">
        <v>3973</v>
      </c>
      <c r="P399" t="s">
        <v>3103</v>
      </c>
      <c r="Q399" t="s">
        <v>349</v>
      </c>
      <c r="R399" s="7">
        <v>31778</v>
      </c>
      <c r="S399" s="8">
        <f t="shared" si="48"/>
        <v>1987</v>
      </c>
      <c r="T399" s="8">
        <v>1987</v>
      </c>
      <c r="U399" s="8">
        <f t="shared" si="49"/>
        <v>35</v>
      </c>
      <c r="V399" s="7">
        <v>31990</v>
      </c>
      <c r="W399" t="s">
        <v>1810</v>
      </c>
      <c r="X399" s="2">
        <v>2.823</v>
      </c>
      <c r="Y399" s="6">
        <f t="shared" si="54"/>
        <v>7.5358372707615917E-2</v>
      </c>
      <c r="AA399">
        <v>1636804</v>
      </c>
      <c r="AB399">
        <v>17249</v>
      </c>
      <c r="AD399" t="s">
        <v>4</v>
      </c>
      <c r="AE399">
        <v>25</v>
      </c>
      <c r="AF399">
        <v>8</v>
      </c>
      <c r="AH399" s="10">
        <v>44136</v>
      </c>
      <c r="AL399">
        <v>14</v>
      </c>
      <c r="AM399" s="5">
        <f t="shared" si="50"/>
        <v>0.4</v>
      </c>
      <c r="AN399" s="4">
        <f t="shared" si="55"/>
        <v>6.0583112457402507E-4</v>
      </c>
      <c r="AO399" s="3"/>
      <c r="AP399">
        <v>0</v>
      </c>
      <c r="AR399" t="s">
        <v>0</v>
      </c>
      <c r="AT399" s="2">
        <v>9.6189999999999998</v>
      </c>
      <c r="AU399" s="1">
        <f t="shared" si="51"/>
        <v>5.2932610232703343</v>
      </c>
      <c r="AV399" s="1">
        <f t="shared" si="52"/>
        <v>3.7982101916094968</v>
      </c>
      <c r="AW399" s="1">
        <f t="shared" si="53"/>
        <v>2.3031593599486593</v>
      </c>
    </row>
    <row r="400" spans="1:49" x14ac:dyDescent="0.2">
      <c r="A400">
        <v>398</v>
      </c>
      <c r="B400" t="s">
        <v>3972</v>
      </c>
      <c r="C400" t="s">
        <v>3971</v>
      </c>
      <c r="F400" t="s">
        <v>3970</v>
      </c>
      <c r="G400" t="s">
        <v>14</v>
      </c>
      <c r="H400" t="s">
        <v>13</v>
      </c>
      <c r="I400" t="s">
        <v>3969</v>
      </c>
      <c r="N400">
        <v>2</v>
      </c>
      <c r="O400" t="s">
        <v>3968</v>
      </c>
      <c r="P400" t="s">
        <v>3967</v>
      </c>
      <c r="Q400" t="s">
        <v>349</v>
      </c>
      <c r="R400" s="7">
        <v>31778</v>
      </c>
      <c r="S400" s="8">
        <f t="shared" si="48"/>
        <v>1987</v>
      </c>
      <c r="T400" s="8">
        <v>1987</v>
      </c>
      <c r="U400" s="8">
        <f t="shared" si="49"/>
        <v>35</v>
      </c>
      <c r="V400" s="7">
        <v>31990</v>
      </c>
      <c r="W400" t="s">
        <v>1810</v>
      </c>
      <c r="X400" s="2">
        <v>2.823</v>
      </c>
      <c r="Y400" s="6">
        <f t="shared" si="54"/>
        <v>7.5358372707615917E-2</v>
      </c>
      <c r="AA400">
        <v>1636804</v>
      </c>
      <c r="AB400">
        <v>17249</v>
      </c>
      <c r="AD400" t="s">
        <v>4</v>
      </c>
      <c r="AE400">
        <v>25</v>
      </c>
      <c r="AF400">
        <v>8</v>
      </c>
      <c r="AH400" s="9">
        <v>44473</v>
      </c>
      <c r="AI400" t="s">
        <v>3966</v>
      </c>
      <c r="AK400" t="s">
        <v>3965</v>
      </c>
      <c r="AL400">
        <v>52</v>
      </c>
      <c r="AM400" s="5">
        <f t="shared" si="50"/>
        <v>1.4857142857142858</v>
      </c>
      <c r="AN400" s="4">
        <f t="shared" si="55"/>
        <v>2.25022989127495E-3</v>
      </c>
      <c r="AO400" s="3"/>
      <c r="AP400">
        <v>0</v>
      </c>
      <c r="AR400" t="s">
        <v>0</v>
      </c>
      <c r="AT400" s="2">
        <v>9.6189999999999998</v>
      </c>
      <c r="AU400" s="1">
        <f t="shared" si="51"/>
        <v>5.342592986271363</v>
      </c>
      <c r="AV400" s="1">
        <f t="shared" si="52"/>
        <v>3.8804301299445432</v>
      </c>
      <c r="AW400" s="1">
        <f t="shared" si="53"/>
        <v>2.4182672736177238</v>
      </c>
    </row>
    <row r="401" spans="1:49" x14ac:dyDescent="0.2">
      <c r="A401">
        <v>399</v>
      </c>
      <c r="B401" t="s">
        <v>3964</v>
      </c>
      <c r="C401" t="s">
        <v>3963</v>
      </c>
      <c r="F401" t="s">
        <v>3962</v>
      </c>
      <c r="G401" t="s">
        <v>14</v>
      </c>
      <c r="H401" t="s">
        <v>13</v>
      </c>
      <c r="I401" t="s">
        <v>3961</v>
      </c>
      <c r="J401">
        <v>60017161</v>
      </c>
      <c r="K401" t="s">
        <v>3960</v>
      </c>
      <c r="L401" t="s">
        <v>3959</v>
      </c>
      <c r="M401" t="s">
        <v>3958</v>
      </c>
      <c r="N401">
        <v>3</v>
      </c>
      <c r="O401" t="s">
        <v>3957</v>
      </c>
      <c r="P401" t="s">
        <v>3956</v>
      </c>
      <c r="Q401" t="s">
        <v>3955</v>
      </c>
      <c r="R401" s="7">
        <v>31778</v>
      </c>
      <c r="S401" s="8">
        <f t="shared" si="48"/>
        <v>1987</v>
      </c>
      <c r="T401" s="8">
        <v>1987</v>
      </c>
      <c r="U401" s="8">
        <f t="shared" si="49"/>
        <v>35</v>
      </c>
      <c r="V401" s="7" t="s">
        <v>3933</v>
      </c>
      <c r="W401" s="11" t="s">
        <v>1382</v>
      </c>
      <c r="X401" s="2">
        <v>2.383</v>
      </c>
      <c r="Y401" s="6">
        <f t="shared" si="54"/>
        <v>6.3612824003630442E-2</v>
      </c>
      <c r="AA401" t="s">
        <v>1381</v>
      </c>
      <c r="AB401">
        <v>101151</v>
      </c>
      <c r="AD401" t="s">
        <v>4</v>
      </c>
      <c r="AE401">
        <v>134</v>
      </c>
      <c r="AF401">
        <v>4</v>
      </c>
      <c r="AH401" t="s">
        <v>3954</v>
      </c>
      <c r="AI401" t="s">
        <v>3953</v>
      </c>
      <c r="AK401" t="s">
        <v>3952</v>
      </c>
      <c r="AL401">
        <v>3</v>
      </c>
      <c r="AM401" s="5">
        <f t="shared" si="50"/>
        <v>8.5714285714285715E-2</v>
      </c>
      <c r="AN401" s="4">
        <f t="shared" si="55"/>
        <v>1.2982095526586251E-4</v>
      </c>
      <c r="AO401" s="3"/>
      <c r="AP401">
        <v>0</v>
      </c>
      <c r="AR401" t="s">
        <v>0</v>
      </c>
      <c r="AT401" s="2" t="s">
        <v>32</v>
      </c>
      <c r="AU401" s="1">
        <f t="shared" si="51"/>
        <v>4.4567923089121066</v>
      </c>
      <c r="AV401" s="1">
        <f t="shared" si="52"/>
        <v>3.1871322479448154</v>
      </c>
      <c r="AW401" s="1">
        <f t="shared" si="53"/>
        <v>1.9174721869775238</v>
      </c>
    </row>
    <row r="402" spans="1:49" x14ac:dyDescent="0.2">
      <c r="A402">
        <v>400</v>
      </c>
      <c r="B402" t="s">
        <v>3951</v>
      </c>
      <c r="C402" t="s">
        <v>3950</v>
      </c>
      <c r="F402" t="s">
        <v>3949</v>
      </c>
      <c r="G402" t="s">
        <v>14</v>
      </c>
      <c r="H402" t="s">
        <v>13</v>
      </c>
      <c r="I402" t="s">
        <v>3948</v>
      </c>
      <c r="J402">
        <v>60120016</v>
      </c>
      <c r="K402" t="s">
        <v>3947</v>
      </c>
      <c r="L402" t="s">
        <v>310</v>
      </c>
      <c r="M402" t="s">
        <v>586</v>
      </c>
      <c r="N402">
        <v>2</v>
      </c>
      <c r="O402" t="s">
        <v>3946</v>
      </c>
      <c r="P402" t="s">
        <v>3945</v>
      </c>
      <c r="Q402" t="s">
        <v>3944</v>
      </c>
      <c r="R402" s="7">
        <v>31778</v>
      </c>
      <c r="S402" s="8">
        <f t="shared" si="48"/>
        <v>1987</v>
      </c>
      <c r="T402" s="8">
        <v>1987</v>
      </c>
      <c r="U402" s="8">
        <f t="shared" si="49"/>
        <v>35</v>
      </c>
      <c r="V402" s="7" t="s">
        <v>3933</v>
      </c>
      <c r="W402" s="11" t="s">
        <v>1382</v>
      </c>
      <c r="X402" s="2">
        <v>2.383</v>
      </c>
      <c r="Y402" s="6">
        <f t="shared" si="54"/>
        <v>6.3612824003630442E-2</v>
      </c>
      <c r="AA402" t="s">
        <v>1381</v>
      </c>
      <c r="AB402">
        <v>101151</v>
      </c>
      <c r="AD402" t="s">
        <v>4</v>
      </c>
      <c r="AE402">
        <v>134</v>
      </c>
      <c r="AF402">
        <v>4</v>
      </c>
      <c r="AH402" t="s">
        <v>3943</v>
      </c>
      <c r="AI402" t="s">
        <v>3942</v>
      </c>
      <c r="AK402" t="s">
        <v>3941</v>
      </c>
      <c r="AL402">
        <v>145</v>
      </c>
      <c r="AM402" s="5">
        <f t="shared" si="50"/>
        <v>4.1428571428571432</v>
      </c>
      <c r="AN402" s="4">
        <f t="shared" si="55"/>
        <v>6.274679504516688E-3</v>
      </c>
      <c r="AO402" s="3"/>
      <c r="AP402">
        <v>0</v>
      </c>
      <c r="AR402" t="s">
        <v>0</v>
      </c>
      <c r="AT402" s="2" t="s">
        <v>32</v>
      </c>
      <c r="AU402" s="1">
        <f t="shared" si="51"/>
        <v>4.6411380653896313</v>
      </c>
      <c r="AV402" s="1">
        <f t="shared" si="52"/>
        <v>3.4943751754073564</v>
      </c>
      <c r="AW402" s="1">
        <f t="shared" si="53"/>
        <v>2.3476122854250816</v>
      </c>
    </row>
    <row r="403" spans="1:49" x14ac:dyDescent="0.2">
      <c r="A403">
        <v>401</v>
      </c>
      <c r="B403" t="s">
        <v>3940</v>
      </c>
      <c r="C403" t="s">
        <v>3939</v>
      </c>
      <c r="F403" t="s">
        <v>3938</v>
      </c>
      <c r="G403" t="s">
        <v>14</v>
      </c>
      <c r="H403" t="s">
        <v>13</v>
      </c>
      <c r="I403" t="s">
        <v>3937</v>
      </c>
      <c r="J403">
        <v>60020650</v>
      </c>
      <c r="K403" t="s">
        <v>3936</v>
      </c>
      <c r="L403" t="s">
        <v>3935</v>
      </c>
      <c r="M403" t="s">
        <v>586</v>
      </c>
      <c r="N403">
        <v>1</v>
      </c>
      <c r="O403" t="s">
        <v>3934</v>
      </c>
      <c r="P403">
        <v>35430060900</v>
      </c>
      <c r="Q403">
        <v>60020650</v>
      </c>
      <c r="R403" s="7">
        <v>31778</v>
      </c>
      <c r="S403" s="8">
        <f t="shared" si="48"/>
        <v>1987</v>
      </c>
      <c r="T403" s="8">
        <v>1987</v>
      </c>
      <c r="U403" s="8">
        <f t="shared" si="49"/>
        <v>35</v>
      </c>
      <c r="V403" s="7" t="s">
        <v>3933</v>
      </c>
      <c r="W403" s="11" t="s">
        <v>1382</v>
      </c>
      <c r="X403" s="2">
        <v>2.383</v>
      </c>
      <c r="Y403" s="6">
        <f t="shared" si="54"/>
        <v>6.3612824003630442E-2</v>
      </c>
      <c r="AA403" t="s">
        <v>1381</v>
      </c>
      <c r="AB403">
        <v>101151</v>
      </c>
      <c r="AD403" t="s">
        <v>4</v>
      </c>
      <c r="AE403">
        <v>134</v>
      </c>
      <c r="AF403">
        <v>4</v>
      </c>
      <c r="AH403" t="s">
        <v>3932</v>
      </c>
      <c r="AI403" t="s">
        <v>3931</v>
      </c>
      <c r="AK403" t="s">
        <v>3930</v>
      </c>
      <c r="AL403">
        <v>9</v>
      </c>
      <c r="AM403" s="5">
        <f t="shared" si="50"/>
        <v>0.25714285714285712</v>
      </c>
      <c r="AN403" s="4">
        <f t="shared" si="55"/>
        <v>3.8946286579758747E-4</v>
      </c>
      <c r="AO403" s="3"/>
      <c r="AP403">
        <v>0</v>
      </c>
      <c r="AR403" t="s">
        <v>0</v>
      </c>
      <c r="AT403" s="2" t="s">
        <v>32</v>
      </c>
      <c r="AU403" s="1">
        <f t="shared" si="51"/>
        <v>4.4645815662280581</v>
      </c>
      <c r="AV403" s="1">
        <f t="shared" si="52"/>
        <v>3.2001143434714017</v>
      </c>
      <c r="AW403" s="1">
        <f t="shared" si="53"/>
        <v>1.9356471207147445</v>
      </c>
    </row>
    <row r="404" spans="1:49" x14ac:dyDescent="0.2">
      <c r="A404">
        <v>402</v>
      </c>
      <c r="B404" t="s">
        <v>3929</v>
      </c>
      <c r="C404" t="s">
        <v>3928</v>
      </c>
      <c r="F404" t="s">
        <v>3927</v>
      </c>
      <c r="G404" t="s">
        <v>14</v>
      </c>
      <c r="H404" t="s">
        <v>13</v>
      </c>
      <c r="I404" t="s">
        <v>3926</v>
      </c>
      <c r="J404">
        <v>60032882</v>
      </c>
      <c r="K404" t="s">
        <v>2996</v>
      </c>
      <c r="L404" t="s">
        <v>2995</v>
      </c>
      <c r="M404" t="s">
        <v>271</v>
      </c>
      <c r="N404">
        <v>1</v>
      </c>
      <c r="O404" t="s">
        <v>3925</v>
      </c>
      <c r="P404">
        <v>6505835500</v>
      </c>
      <c r="Q404">
        <v>60032882</v>
      </c>
      <c r="R404" s="7">
        <v>31778</v>
      </c>
      <c r="S404" s="8">
        <f t="shared" si="48"/>
        <v>1987</v>
      </c>
      <c r="T404" s="8">
        <v>1987</v>
      </c>
      <c r="U404" s="8">
        <f t="shared" si="49"/>
        <v>35</v>
      </c>
      <c r="V404" s="7">
        <v>31990</v>
      </c>
      <c r="W404" t="s">
        <v>3924</v>
      </c>
      <c r="X404" s="2">
        <v>0.76700000000000002</v>
      </c>
      <c r="Y404" s="6">
        <f t="shared" si="54"/>
        <v>2.0474626945356504E-2</v>
      </c>
      <c r="AA404">
        <v>983063</v>
      </c>
      <c r="AB404">
        <v>26048</v>
      </c>
      <c r="AD404" t="s">
        <v>4</v>
      </c>
      <c r="AE404" t="s">
        <v>3923</v>
      </c>
      <c r="AF404">
        <v>3</v>
      </c>
      <c r="AH404" t="s">
        <v>558</v>
      </c>
      <c r="AI404" t="s">
        <v>3922</v>
      </c>
      <c r="AK404" t="s">
        <v>3921</v>
      </c>
      <c r="AL404">
        <v>4</v>
      </c>
      <c r="AM404" s="5">
        <f t="shared" si="50"/>
        <v>0.11428571428571428</v>
      </c>
      <c r="AN404" s="4">
        <f t="shared" si="55"/>
        <v>1.7309460702115E-4</v>
      </c>
      <c r="AO404" s="3"/>
      <c r="AP404">
        <v>0</v>
      </c>
      <c r="AR404" t="s">
        <v>0</v>
      </c>
      <c r="AT404" s="2" t="s">
        <v>32</v>
      </c>
      <c r="AU404" s="1">
        <f t="shared" si="51"/>
        <v>1.4384167243855897</v>
      </c>
      <c r="AV404" s="1">
        <f t="shared" si="52"/>
        <v>1.0323860776188827</v>
      </c>
      <c r="AW404" s="1">
        <f t="shared" si="53"/>
        <v>0.6263554308521756</v>
      </c>
    </row>
    <row r="405" spans="1:49" x14ac:dyDescent="0.2">
      <c r="A405">
        <v>403</v>
      </c>
      <c r="B405" t="s">
        <v>3920</v>
      </c>
      <c r="C405" t="s">
        <v>3919</v>
      </c>
      <c r="F405" t="s">
        <v>3918</v>
      </c>
      <c r="G405" t="s">
        <v>14</v>
      </c>
      <c r="H405" t="s">
        <v>13</v>
      </c>
      <c r="I405" t="s">
        <v>2808</v>
      </c>
      <c r="J405">
        <v>60014256</v>
      </c>
      <c r="K405" t="s">
        <v>2277</v>
      </c>
      <c r="L405" t="s">
        <v>2276</v>
      </c>
      <c r="M405" t="s">
        <v>524</v>
      </c>
      <c r="N405">
        <v>3</v>
      </c>
      <c r="O405" t="s">
        <v>2807</v>
      </c>
      <c r="P405" t="s">
        <v>2806</v>
      </c>
      <c r="Q405" t="s">
        <v>2273</v>
      </c>
      <c r="R405" s="7">
        <v>31778</v>
      </c>
      <c r="S405" s="8">
        <f t="shared" si="48"/>
        <v>1987</v>
      </c>
      <c r="T405" s="8">
        <v>1987</v>
      </c>
      <c r="U405" s="8">
        <f t="shared" si="49"/>
        <v>35</v>
      </c>
      <c r="V405" s="7">
        <v>1987</v>
      </c>
      <c r="W405" t="s">
        <v>2805</v>
      </c>
      <c r="X405" s="2">
        <v>1.365</v>
      </c>
      <c r="Y405" s="6">
        <f t="shared" si="54"/>
        <v>3.6437895411227675E-2</v>
      </c>
      <c r="AA405">
        <v>189545</v>
      </c>
      <c r="AB405">
        <v>17393</v>
      </c>
      <c r="AC405">
        <v>19399359</v>
      </c>
      <c r="AD405" t="s">
        <v>4</v>
      </c>
      <c r="AE405">
        <v>36</v>
      </c>
      <c r="AF405">
        <v>3</v>
      </c>
      <c r="AH405" t="s">
        <v>3917</v>
      </c>
      <c r="AI405" t="s">
        <v>3916</v>
      </c>
      <c r="AK405" t="s">
        <v>3915</v>
      </c>
      <c r="AL405">
        <v>10</v>
      </c>
      <c r="AM405" s="5">
        <f t="shared" si="50"/>
        <v>0.2857142857142857</v>
      </c>
      <c r="AN405" s="4">
        <f t="shared" si="55"/>
        <v>4.3273651755287499E-4</v>
      </c>
      <c r="AO405" s="3"/>
      <c r="AP405">
        <v>0</v>
      </c>
      <c r="AR405" t="s">
        <v>0</v>
      </c>
      <c r="AT405" s="2" t="s">
        <v>32</v>
      </c>
      <c r="AU405" s="1">
        <f t="shared" si="51"/>
        <v>2.563634774312523</v>
      </c>
      <c r="AV405" s="1">
        <f t="shared" si="52"/>
        <v>1.8435315964390273</v>
      </c>
      <c r="AW405" s="1">
        <f t="shared" si="53"/>
        <v>1.1234284185655314</v>
      </c>
    </row>
    <row r="406" spans="1:49" x14ac:dyDescent="0.2">
      <c r="A406">
        <v>404</v>
      </c>
      <c r="B406" t="s">
        <v>3914</v>
      </c>
      <c r="C406" t="s">
        <v>3913</v>
      </c>
      <c r="F406" t="s">
        <v>3912</v>
      </c>
      <c r="G406" t="s">
        <v>14</v>
      </c>
      <c r="H406" t="s">
        <v>13</v>
      </c>
      <c r="I406" t="s">
        <v>3911</v>
      </c>
      <c r="J406">
        <v>60025555</v>
      </c>
      <c r="K406" t="s">
        <v>550</v>
      </c>
      <c r="L406" t="s">
        <v>549</v>
      </c>
      <c r="M406" t="s">
        <v>524</v>
      </c>
      <c r="N406">
        <v>3</v>
      </c>
      <c r="O406" t="s">
        <v>3910</v>
      </c>
      <c r="P406" t="s">
        <v>3909</v>
      </c>
      <c r="Q406" t="s">
        <v>546</v>
      </c>
      <c r="R406" s="7">
        <v>31778</v>
      </c>
      <c r="S406" s="8">
        <f t="shared" si="48"/>
        <v>1987</v>
      </c>
      <c r="T406" s="8">
        <v>1987</v>
      </c>
      <c r="U406" s="8">
        <f t="shared" si="49"/>
        <v>35</v>
      </c>
      <c r="V406" s="7">
        <v>1987</v>
      </c>
      <c r="W406" t="s">
        <v>1909</v>
      </c>
      <c r="X406" s="2">
        <v>0.111</v>
      </c>
      <c r="Y406" s="6">
        <f t="shared" si="54"/>
        <v>2.9630816048690639E-3</v>
      </c>
      <c r="AA406">
        <v>87566621</v>
      </c>
      <c r="AB406">
        <v>24890</v>
      </c>
      <c r="AC406">
        <v>15206424</v>
      </c>
      <c r="AD406" t="s">
        <v>4</v>
      </c>
      <c r="AE406">
        <v>70</v>
      </c>
      <c r="AF406">
        <v>8</v>
      </c>
      <c r="AH406" t="s">
        <v>3908</v>
      </c>
      <c r="AI406" t="s">
        <v>3907</v>
      </c>
      <c r="AK406" t="s">
        <v>3906</v>
      </c>
      <c r="AL406">
        <v>0</v>
      </c>
      <c r="AM406" s="5">
        <f t="shared" si="50"/>
        <v>0</v>
      </c>
      <c r="AN406" s="4">
        <f t="shared" si="55"/>
        <v>0</v>
      </c>
      <c r="AO406" s="3"/>
      <c r="AP406">
        <v>0</v>
      </c>
      <c r="AR406" t="s">
        <v>0</v>
      </c>
      <c r="AT406" s="2" t="s">
        <v>32</v>
      </c>
      <c r="AU406" s="1">
        <f t="shared" si="51"/>
        <v>0.20741571234083445</v>
      </c>
      <c r="AV406" s="1">
        <f t="shared" si="52"/>
        <v>0.1481540802434532</v>
      </c>
      <c r="AW406" s="1">
        <f t="shared" si="53"/>
        <v>8.8892448146071903E-2</v>
      </c>
    </row>
    <row r="407" spans="1:49" x14ac:dyDescent="0.2">
      <c r="A407">
        <v>405</v>
      </c>
      <c r="B407" t="s">
        <v>3905</v>
      </c>
      <c r="C407" t="s">
        <v>3904</v>
      </c>
      <c r="F407" t="s">
        <v>3903</v>
      </c>
      <c r="G407" t="s">
        <v>14</v>
      </c>
      <c r="H407" t="s">
        <v>13</v>
      </c>
      <c r="I407" t="s">
        <v>3902</v>
      </c>
      <c r="J407">
        <v>60031544</v>
      </c>
      <c r="K407" t="s">
        <v>3901</v>
      </c>
      <c r="L407" t="s">
        <v>3900</v>
      </c>
      <c r="M407" t="s">
        <v>1068</v>
      </c>
      <c r="N407">
        <v>3</v>
      </c>
      <c r="O407" t="s">
        <v>3899</v>
      </c>
      <c r="P407" t="s">
        <v>3898</v>
      </c>
      <c r="Q407" t="s">
        <v>3897</v>
      </c>
      <c r="R407" s="7">
        <v>31778</v>
      </c>
      <c r="S407" s="8">
        <f t="shared" si="48"/>
        <v>1987</v>
      </c>
      <c r="T407" s="8">
        <v>1987</v>
      </c>
      <c r="U407" s="8">
        <f t="shared" si="49"/>
        <v>35</v>
      </c>
      <c r="V407" s="7">
        <v>1987</v>
      </c>
      <c r="W407" t="s">
        <v>429</v>
      </c>
      <c r="X407" s="2">
        <v>0.375</v>
      </c>
      <c r="Y407" s="6">
        <f t="shared" si="54"/>
        <v>1.0010410827260351E-2</v>
      </c>
      <c r="AA407">
        <v>135194</v>
      </c>
      <c r="AB407">
        <v>24918</v>
      </c>
      <c r="AD407" t="s">
        <v>4</v>
      </c>
      <c r="AE407">
        <v>23</v>
      </c>
      <c r="AF407">
        <v>17</v>
      </c>
      <c r="AH407" t="s">
        <v>3896</v>
      </c>
      <c r="AI407" t="s">
        <v>3895</v>
      </c>
      <c r="AJ407" t="s">
        <v>3894</v>
      </c>
      <c r="AK407" t="s">
        <v>3893</v>
      </c>
      <c r="AL407">
        <v>13</v>
      </c>
      <c r="AM407" s="5">
        <f t="shared" si="50"/>
        <v>0.37142857142857144</v>
      </c>
      <c r="AN407" s="4">
        <f t="shared" si="55"/>
        <v>5.6255747281873749E-4</v>
      </c>
      <c r="AO407" s="3"/>
      <c r="AP407">
        <v>0</v>
      </c>
      <c r="AR407" t="s">
        <v>0</v>
      </c>
      <c r="AT407" s="2">
        <v>1.3140000000000001</v>
      </c>
      <c r="AU407" s="1">
        <f t="shared" si="51"/>
        <v>0.71760548209278663</v>
      </c>
      <c r="AV407" s="1">
        <f t="shared" si="52"/>
        <v>0.52864841500395443</v>
      </c>
      <c r="AW407" s="1">
        <f t="shared" si="53"/>
        <v>0.33969134791512212</v>
      </c>
    </row>
    <row r="408" spans="1:49" x14ac:dyDescent="0.2">
      <c r="A408">
        <v>406</v>
      </c>
      <c r="B408" t="s">
        <v>3892</v>
      </c>
      <c r="C408" t="s">
        <v>3891</v>
      </c>
      <c r="F408" t="s">
        <v>3890</v>
      </c>
      <c r="G408" t="s">
        <v>14</v>
      </c>
      <c r="H408" t="s">
        <v>13</v>
      </c>
      <c r="I408" t="s">
        <v>2450</v>
      </c>
      <c r="J408">
        <v>60009658</v>
      </c>
      <c r="K408" t="s">
        <v>2449</v>
      </c>
      <c r="L408" t="s">
        <v>2448</v>
      </c>
      <c r="M408" t="s">
        <v>586</v>
      </c>
      <c r="N408">
        <v>1</v>
      </c>
      <c r="O408" t="s">
        <v>2886</v>
      </c>
      <c r="P408">
        <v>57213425197</v>
      </c>
      <c r="Q408">
        <v>60009658</v>
      </c>
      <c r="R408" s="7">
        <v>31778</v>
      </c>
      <c r="S408" s="8">
        <f t="shared" si="48"/>
        <v>1987</v>
      </c>
      <c r="T408" s="8">
        <v>1987</v>
      </c>
      <c r="U408" s="8">
        <f t="shared" si="49"/>
        <v>35</v>
      </c>
      <c r="V408" s="7">
        <v>1987</v>
      </c>
      <c r="W408" t="s">
        <v>429</v>
      </c>
      <c r="X408" s="2">
        <v>0.375</v>
      </c>
      <c r="Y408" s="6">
        <f t="shared" si="54"/>
        <v>1.0010410827260351E-2</v>
      </c>
      <c r="AA408">
        <v>135194</v>
      </c>
      <c r="AB408">
        <v>24918</v>
      </c>
      <c r="AD408" t="s">
        <v>4</v>
      </c>
      <c r="AE408">
        <v>23</v>
      </c>
      <c r="AF408">
        <v>17</v>
      </c>
      <c r="AH408" t="s">
        <v>3889</v>
      </c>
      <c r="AI408" t="s">
        <v>3888</v>
      </c>
      <c r="AJ408" t="s">
        <v>3887</v>
      </c>
      <c r="AK408" t="s">
        <v>3886</v>
      </c>
      <c r="AL408">
        <v>12</v>
      </c>
      <c r="AM408" s="5">
        <f t="shared" si="50"/>
        <v>0.34285714285714286</v>
      </c>
      <c r="AN408" s="4">
        <f t="shared" si="55"/>
        <v>5.1928382106345003E-4</v>
      </c>
      <c r="AO408" s="3"/>
      <c r="AP408">
        <v>0</v>
      </c>
      <c r="AR408" t="s">
        <v>0</v>
      </c>
      <c r="AT408" s="2">
        <v>1.3140000000000001</v>
      </c>
      <c r="AU408" s="1">
        <f t="shared" si="51"/>
        <v>0.71630727254012816</v>
      </c>
      <c r="AV408" s="1">
        <f t="shared" si="52"/>
        <v>0.52648473241619009</v>
      </c>
      <c r="AW408" s="1">
        <f t="shared" si="53"/>
        <v>0.33666219229225203</v>
      </c>
    </row>
    <row r="409" spans="1:49" x14ac:dyDescent="0.2">
      <c r="A409">
        <v>407</v>
      </c>
      <c r="B409" t="s">
        <v>3885</v>
      </c>
      <c r="C409" t="s">
        <v>3884</v>
      </c>
      <c r="F409" t="s">
        <v>3883</v>
      </c>
      <c r="G409" t="s">
        <v>14</v>
      </c>
      <c r="H409" t="s">
        <v>13</v>
      </c>
      <c r="I409" t="s">
        <v>2450</v>
      </c>
      <c r="J409" t="s">
        <v>3882</v>
      </c>
      <c r="K409" t="s">
        <v>3881</v>
      </c>
      <c r="L409" t="s">
        <v>3880</v>
      </c>
      <c r="M409" t="s">
        <v>3879</v>
      </c>
      <c r="N409">
        <v>2</v>
      </c>
      <c r="O409" t="s">
        <v>3878</v>
      </c>
      <c r="P409" t="s">
        <v>3877</v>
      </c>
      <c r="Q409" t="s">
        <v>3876</v>
      </c>
      <c r="R409" s="7">
        <v>31778</v>
      </c>
      <c r="S409" s="8">
        <f t="shared" si="48"/>
        <v>1987</v>
      </c>
      <c r="T409" s="8">
        <v>1987</v>
      </c>
      <c r="U409" s="8">
        <f t="shared" si="49"/>
        <v>35</v>
      </c>
      <c r="V409" s="7">
        <v>1987</v>
      </c>
      <c r="W409" t="s">
        <v>429</v>
      </c>
      <c r="X409" s="2">
        <v>0.375</v>
      </c>
      <c r="Y409" s="6">
        <f t="shared" si="54"/>
        <v>1.0010410827260351E-2</v>
      </c>
      <c r="AA409">
        <v>135194</v>
      </c>
      <c r="AB409">
        <v>24918</v>
      </c>
      <c r="AD409" t="s">
        <v>4</v>
      </c>
      <c r="AE409">
        <v>23</v>
      </c>
      <c r="AF409">
        <v>17</v>
      </c>
      <c r="AH409" t="s">
        <v>3875</v>
      </c>
      <c r="AI409" t="s">
        <v>3874</v>
      </c>
      <c r="AJ409" t="s">
        <v>3770</v>
      </c>
      <c r="AK409" t="s">
        <v>3873</v>
      </c>
      <c r="AL409">
        <v>5</v>
      </c>
      <c r="AM409" s="5">
        <f t="shared" si="50"/>
        <v>0.14285714285714285</v>
      </c>
      <c r="AN409" s="4">
        <f t="shared" si="55"/>
        <v>2.1636825877643749E-4</v>
      </c>
      <c r="AO409" s="3"/>
      <c r="AP409">
        <v>0</v>
      </c>
      <c r="AR409" t="s">
        <v>0</v>
      </c>
      <c r="AT409" s="2">
        <v>1.3140000000000001</v>
      </c>
      <c r="AU409" s="1">
        <f t="shared" si="51"/>
        <v>0.70721980567151765</v>
      </c>
      <c r="AV409" s="1">
        <f t="shared" si="52"/>
        <v>0.5113389543018394</v>
      </c>
      <c r="AW409" s="1">
        <f t="shared" si="53"/>
        <v>0.31545810293216114</v>
      </c>
    </row>
    <row r="410" spans="1:49" x14ac:dyDescent="0.2">
      <c r="A410">
        <v>408</v>
      </c>
      <c r="B410" t="s">
        <v>3872</v>
      </c>
      <c r="C410" t="s">
        <v>3871</v>
      </c>
      <c r="F410" t="s">
        <v>3870</v>
      </c>
      <c r="G410" t="s">
        <v>14</v>
      </c>
      <c r="H410" t="s">
        <v>13</v>
      </c>
      <c r="I410" t="s">
        <v>3869</v>
      </c>
      <c r="J410">
        <v>60022180</v>
      </c>
      <c r="K410" t="s">
        <v>3868</v>
      </c>
      <c r="L410" t="s">
        <v>549</v>
      </c>
      <c r="M410" t="s">
        <v>524</v>
      </c>
      <c r="N410">
        <v>1</v>
      </c>
      <c r="O410" t="s">
        <v>3867</v>
      </c>
      <c r="P410">
        <v>14043578700</v>
      </c>
      <c r="Q410">
        <v>60022180</v>
      </c>
      <c r="R410" s="7">
        <v>31778</v>
      </c>
      <c r="S410" s="8">
        <f t="shared" si="48"/>
        <v>1987</v>
      </c>
      <c r="T410" s="8">
        <v>1987</v>
      </c>
      <c r="U410" s="8">
        <f t="shared" si="49"/>
        <v>35</v>
      </c>
      <c r="V410" s="7">
        <v>1987</v>
      </c>
      <c r="W410" t="s">
        <v>1909</v>
      </c>
      <c r="X410" s="2">
        <v>0.111</v>
      </c>
      <c r="Y410" s="6">
        <f t="shared" si="54"/>
        <v>2.9630816048690639E-3</v>
      </c>
      <c r="AA410">
        <v>87566621</v>
      </c>
      <c r="AB410">
        <v>24890</v>
      </c>
      <c r="AC410">
        <v>15206424</v>
      </c>
      <c r="AD410" t="s">
        <v>4</v>
      </c>
      <c r="AE410">
        <v>70</v>
      </c>
      <c r="AF410">
        <v>8</v>
      </c>
      <c r="AH410" t="s">
        <v>3866</v>
      </c>
      <c r="AI410" t="s">
        <v>3865</v>
      </c>
      <c r="AK410" t="s">
        <v>3864</v>
      </c>
      <c r="AL410">
        <v>0</v>
      </c>
      <c r="AM410" s="5">
        <f t="shared" si="50"/>
        <v>0</v>
      </c>
      <c r="AN410" s="4">
        <f t="shared" si="55"/>
        <v>0</v>
      </c>
      <c r="AO410" s="3"/>
      <c r="AP410">
        <v>0</v>
      </c>
      <c r="AR410" t="s">
        <v>0</v>
      </c>
      <c r="AT410" s="2" t="s">
        <v>32</v>
      </c>
      <c r="AU410" s="1">
        <f t="shared" si="51"/>
        <v>0.20741571234083445</v>
      </c>
      <c r="AV410" s="1">
        <f t="shared" si="52"/>
        <v>0.1481540802434532</v>
      </c>
      <c r="AW410" s="1">
        <f t="shared" si="53"/>
        <v>8.8892448146071903E-2</v>
      </c>
    </row>
    <row r="411" spans="1:49" x14ac:dyDescent="0.2">
      <c r="A411">
        <v>409</v>
      </c>
      <c r="B411" t="s">
        <v>3863</v>
      </c>
      <c r="C411" t="s">
        <v>3862</v>
      </c>
      <c r="F411" t="s">
        <v>3861</v>
      </c>
      <c r="G411" t="s">
        <v>14</v>
      </c>
      <c r="H411" t="s">
        <v>13</v>
      </c>
      <c r="I411" t="s">
        <v>3860</v>
      </c>
      <c r="J411">
        <v>60030553</v>
      </c>
      <c r="K411" t="s">
        <v>3859</v>
      </c>
      <c r="L411" t="s">
        <v>3603</v>
      </c>
      <c r="M411" t="s">
        <v>299</v>
      </c>
      <c r="N411">
        <v>1</v>
      </c>
      <c r="O411" t="s">
        <v>3858</v>
      </c>
      <c r="P411">
        <v>7202044329</v>
      </c>
      <c r="Q411">
        <v>60030553</v>
      </c>
      <c r="R411" s="7">
        <v>31778</v>
      </c>
      <c r="S411" s="8">
        <f t="shared" si="48"/>
        <v>1987</v>
      </c>
      <c r="T411" s="8">
        <v>1987</v>
      </c>
      <c r="U411" s="8">
        <f t="shared" si="49"/>
        <v>35</v>
      </c>
      <c r="V411" s="7">
        <v>1987</v>
      </c>
      <c r="W411" t="s">
        <v>429</v>
      </c>
      <c r="X411" s="2">
        <v>0.375</v>
      </c>
      <c r="Y411" s="6">
        <f t="shared" si="54"/>
        <v>1.0010410827260351E-2</v>
      </c>
      <c r="AA411">
        <v>135194</v>
      </c>
      <c r="AB411">
        <v>24918</v>
      </c>
      <c r="AD411" t="s">
        <v>4</v>
      </c>
      <c r="AE411">
        <v>23</v>
      </c>
      <c r="AF411">
        <v>17</v>
      </c>
      <c r="AH411" t="s">
        <v>3857</v>
      </c>
      <c r="AI411" t="s">
        <v>3856</v>
      </c>
      <c r="AJ411" t="s">
        <v>3770</v>
      </c>
      <c r="AK411" t="s">
        <v>3855</v>
      </c>
      <c r="AL411">
        <v>2</v>
      </c>
      <c r="AM411" s="5">
        <f t="shared" si="50"/>
        <v>5.7142857142857141E-2</v>
      </c>
      <c r="AN411" s="4">
        <f t="shared" si="55"/>
        <v>8.6547303510575E-5</v>
      </c>
      <c r="AO411" s="3"/>
      <c r="AP411">
        <v>0</v>
      </c>
      <c r="AR411" t="s">
        <v>0</v>
      </c>
      <c r="AT411" s="2">
        <v>1.3140000000000001</v>
      </c>
      <c r="AU411" s="1">
        <f t="shared" si="51"/>
        <v>0.7033251770135418</v>
      </c>
      <c r="AV411" s="1">
        <f t="shared" si="52"/>
        <v>0.50484790653854639</v>
      </c>
      <c r="AW411" s="1">
        <f t="shared" si="53"/>
        <v>0.30637063606355081</v>
      </c>
    </row>
    <row r="412" spans="1:49" x14ac:dyDescent="0.2">
      <c r="A412">
        <v>410</v>
      </c>
      <c r="B412" t="s">
        <v>3854</v>
      </c>
      <c r="C412" t="s">
        <v>3853</v>
      </c>
      <c r="F412" t="s">
        <v>3852</v>
      </c>
      <c r="G412" t="s">
        <v>14</v>
      </c>
      <c r="H412" t="s">
        <v>13</v>
      </c>
      <c r="I412" t="s">
        <v>3683</v>
      </c>
      <c r="J412">
        <v>60029470</v>
      </c>
      <c r="K412" t="s">
        <v>2346</v>
      </c>
      <c r="L412" t="s">
        <v>2345</v>
      </c>
      <c r="M412" t="s">
        <v>40</v>
      </c>
      <c r="N412">
        <v>1</v>
      </c>
      <c r="O412" t="s">
        <v>3682</v>
      </c>
      <c r="P412">
        <v>7101875340</v>
      </c>
      <c r="Q412">
        <v>60029470</v>
      </c>
      <c r="R412" s="7">
        <v>31778</v>
      </c>
      <c r="S412" s="8">
        <f t="shared" si="48"/>
        <v>1987</v>
      </c>
      <c r="T412" s="8">
        <v>1987</v>
      </c>
      <c r="U412" s="8">
        <f t="shared" si="49"/>
        <v>35</v>
      </c>
      <c r="V412" s="7">
        <v>1987</v>
      </c>
      <c r="W412" t="s">
        <v>429</v>
      </c>
      <c r="X412" s="2">
        <v>0.375</v>
      </c>
      <c r="Y412" s="6">
        <f t="shared" si="54"/>
        <v>1.0010410827260351E-2</v>
      </c>
      <c r="AA412">
        <v>135194</v>
      </c>
      <c r="AB412">
        <v>24918</v>
      </c>
      <c r="AD412" t="s">
        <v>4</v>
      </c>
      <c r="AE412">
        <v>23</v>
      </c>
      <c r="AF412">
        <v>17</v>
      </c>
      <c r="AH412" t="s">
        <v>3851</v>
      </c>
      <c r="AI412" t="s">
        <v>3850</v>
      </c>
      <c r="AJ412" t="s">
        <v>3679</v>
      </c>
      <c r="AK412" t="s">
        <v>3849</v>
      </c>
      <c r="AL412">
        <v>0</v>
      </c>
      <c r="AM412" s="5">
        <f t="shared" si="50"/>
        <v>0</v>
      </c>
      <c r="AN412" s="4">
        <f t="shared" si="55"/>
        <v>0</v>
      </c>
      <c r="AO412" s="3"/>
      <c r="AP412">
        <v>0</v>
      </c>
      <c r="AR412" t="s">
        <v>0</v>
      </c>
      <c r="AT412" s="2">
        <v>1.3140000000000001</v>
      </c>
      <c r="AU412" s="1">
        <f t="shared" si="51"/>
        <v>0.70072875790822453</v>
      </c>
      <c r="AV412" s="1">
        <f t="shared" si="52"/>
        <v>0.5005205413630176</v>
      </c>
      <c r="AW412" s="1">
        <f t="shared" si="53"/>
        <v>0.30031232481781051</v>
      </c>
    </row>
    <row r="413" spans="1:49" x14ac:dyDescent="0.2">
      <c r="A413">
        <v>411</v>
      </c>
      <c r="B413" t="s">
        <v>3848</v>
      </c>
      <c r="C413" t="s">
        <v>3847</v>
      </c>
      <c r="F413" t="s">
        <v>3846</v>
      </c>
      <c r="G413" t="s">
        <v>14</v>
      </c>
      <c r="H413" t="s">
        <v>13</v>
      </c>
      <c r="I413" t="s">
        <v>3845</v>
      </c>
      <c r="J413" t="s">
        <v>3844</v>
      </c>
      <c r="K413" t="s">
        <v>3843</v>
      </c>
      <c r="L413" t="s">
        <v>3842</v>
      </c>
      <c r="M413" t="s">
        <v>392</v>
      </c>
      <c r="N413">
        <v>3</v>
      </c>
      <c r="O413" t="s">
        <v>3841</v>
      </c>
      <c r="P413" t="s">
        <v>3840</v>
      </c>
      <c r="Q413" t="s">
        <v>3839</v>
      </c>
      <c r="R413" s="7">
        <v>31778</v>
      </c>
      <c r="S413" s="8">
        <f t="shared" si="48"/>
        <v>1987</v>
      </c>
      <c r="T413" s="8">
        <v>1987</v>
      </c>
      <c r="U413" s="8">
        <f t="shared" si="49"/>
        <v>35</v>
      </c>
      <c r="V413" s="7">
        <v>1987</v>
      </c>
      <c r="W413" t="s">
        <v>1909</v>
      </c>
      <c r="X413" s="2">
        <v>0.111</v>
      </c>
      <c r="Y413" s="6">
        <f t="shared" si="54"/>
        <v>2.9630816048690639E-3</v>
      </c>
      <c r="AA413">
        <v>87566621</v>
      </c>
      <c r="AB413">
        <v>24890</v>
      </c>
      <c r="AC413">
        <v>15206424</v>
      </c>
      <c r="AD413" t="s">
        <v>4</v>
      </c>
      <c r="AE413">
        <v>70</v>
      </c>
      <c r="AF413">
        <v>8</v>
      </c>
      <c r="AH413" t="s">
        <v>3838</v>
      </c>
      <c r="AI413" t="s">
        <v>3837</v>
      </c>
      <c r="AK413" t="s">
        <v>3836</v>
      </c>
      <c r="AL413">
        <v>1</v>
      </c>
      <c r="AM413" s="5">
        <f t="shared" si="50"/>
        <v>2.8571428571428571E-2</v>
      </c>
      <c r="AN413" s="4">
        <f t="shared" si="55"/>
        <v>4.32736517552875E-5</v>
      </c>
      <c r="AO413" s="3"/>
      <c r="AP413">
        <v>0</v>
      </c>
      <c r="AR413" t="s">
        <v>0</v>
      </c>
      <c r="AT413" s="2" t="s">
        <v>32</v>
      </c>
      <c r="AU413" s="1">
        <f t="shared" si="51"/>
        <v>0.20871392189349305</v>
      </c>
      <c r="AV413" s="1">
        <f t="shared" si="52"/>
        <v>0.15031776283121759</v>
      </c>
      <c r="AW413" s="1">
        <f t="shared" si="53"/>
        <v>9.1921603768942026E-2</v>
      </c>
    </row>
    <row r="414" spans="1:49" x14ac:dyDescent="0.2">
      <c r="A414">
        <v>412</v>
      </c>
      <c r="B414" t="s">
        <v>3835</v>
      </c>
      <c r="C414" t="s">
        <v>3834</v>
      </c>
      <c r="F414" t="s">
        <v>3833</v>
      </c>
      <c r="G414" t="s">
        <v>14</v>
      </c>
      <c r="H414" t="s">
        <v>13</v>
      </c>
      <c r="I414" t="s">
        <v>3832</v>
      </c>
      <c r="J414">
        <v>60001247</v>
      </c>
      <c r="K414" t="s">
        <v>655</v>
      </c>
      <c r="M414" t="s">
        <v>9</v>
      </c>
      <c r="N414">
        <v>2</v>
      </c>
      <c r="O414" t="s">
        <v>3831</v>
      </c>
      <c r="P414" t="s">
        <v>3830</v>
      </c>
      <c r="Q414" t="s">
        <v>3829</v>
      </c>
      <c r="R414" s="7">
        <v>31778</v>
      </c>
      <c r="S414" s="8">
        <f t="shared" si="48"/>
        <v>1987</v>
      </c>
      <c r="T414" s="8">
        <v>1987</v>
      </c>
      <c r="U414" s="8">
        <f t="shared" si="49"/>
        <v>35</v>
      </c>
      <c r="V414" s="7">
        <v>31959</v>
      </c>
      <c r="W414" t="s">
        <v>3828</v>
      </c>
      <c r="X414" s="2">
        <v>1.159</v>
      </c>
      <c r="Y414" s="6">
        <f t="shared" si="54"/>
        <v>3.093884306345266E-2</v>
      </c>
      <c r="AA414">
        <v>8853010</v>
      </c>
      <c r="AB414">
        <v>12998</v>
      </c>
      <c r="AD414" t="s">
        <v>4</v>
      </c>
      <c r="AE414">
        <v>34</v>
      </c>
      <c r="AF414">
        <v>4</v>
      </c>
      <c r="AH414" t="s">
        <v>3827</v>
      </c>
      <c r="AI414" t="s">
        <v>3826</v>
      </c>
      <c r="AK414" t="s">
        <v>3825</v>
      </c>
      <c r="AL414">
        <v>1</v>
      </c>
      <c r="AM414" s="5">
        <f t="shared" si="50"/>
        <v>2.8571428571428571E-2</v>
      </c>
      <c r="AN414" s="4">
        <f t="shared" si="55"/>
        <v>4.32736517552875E-5</v>
      </c>
      <c r="AO414" s="3"/>
      <c r="AP414">
        <v>0</v>
      </c>
      <c r="AR414" t="s">
        <v>0</v>
      </c>
      <c r="AT414" s="2" t="s">
        <v>32</v>
      </c>
      <c r="AU414" s="1">
        <f t="shared" si="51"/>
        <v>2.1670172239943444</v>
      </c>
      <c r="AV414" s="1">
        <f t="shared" si="52"/>
        <v>1.5491058357603975</v>
      </c>
      <c r="AW414" s="1">
        <f t="shared" si="53"/>
        <v>0.93119444752645009</v>
      </c>
    </row>
    <row r="415" spans="1:49" x14ac:dyDescent="0.2">
      <c r="A415">
        <v>413</v>
      </c>
      <c r="B415" t="s">
        <v>3824</v>
      </c>
      <c r="C415" t="s">
        <v>3823</v>
      </c>
      <c r="F415" t="s">
        <v>3822</v>
      </c>
      <c r="G415" t="s">
        <v>14</v>
      </c>
      <c r="H415" t="s">
        <v>13</v>
      </c>
      <c r="I415" t="s">
        <v>3821</v>
      </c>
      <c r="J415" t="s">
        <v>3820</v>
      </c>
      <c r="K415" t="s">
        <v>3819</v>
      </c>
      <c r="L415" t="s">
        <v>3818</v>
      </c>
      <c r="M415" t="s">
        <v>392</v>
      </c>
      <c r="N415">
        <v>4</v>
      </c>
      <c r="O415" t="s">
        <v>3817</v>
      </c>
      <c r="P415" t="s">
        <v>3816</v>
      </c>
      <c r="Q415" t="s">
        <v>3815</v>
      </c>
      <c r="R415" s="7">
        <v>31778</v>
      </c>
      <c r="S415" s="8">
        <f t="shared" si="48"/>
        <v>1987</v>
      </c>
      <c r="T415" s="8">
        <v>1987</v>
      </c>
      <c r="U415" s="8">
        <f t="shared" si="49"/>
        <v>35</v>
      </c>
      <c r="V415" s="7">
        <v>31959</v>
      </c>
      <c r="W415" t="s">
        <v>1016</v>
      </c>
      <c r="X415" s="2">
        <v>0.371</v>
      </c>
      <c r="Y415" s="6">
        <f t="shared" si="54"/>
        <v>9.9036331117695747E-3</v>
      </c>
      <c r="AA415">
        <v>214922</v>
      </c>
      <c r="AB415">
        <v>130262</v>
      </c>
      <c r="AC415">
        <v>13474065</v>
      </c>
      <c r="AD415" t="s">
        <v>4</v>
      </c>
      <c r="AE415">
        <v>26</v>
      </c>
      <c r="AF415" t="s">
        <v>3814</v>
      </c>
      <c r="AH415" t="s">
        <v>3813</v>
      </c>
      <c r="AI415" t="s">
        <v>3812</v>
      </c>
      <c r="AK415" t="s">
        <v>3811</v>
      </c>
      <c r="AL415">
        <v>11</v>
      </c>
      <c r="AM415" s="5">
        <f t="shared" si="50"/>
        <v>0.31428571428571428</v>
      </c>
      <c r="AN415" s="4">
        <f t="shared" si="55"/>
        <v>4.7601016930816251E-4</v>
      </c>
      <c r="AO415" s="3"/>
      <c r="AP415">
        <v>0</v>
      </c>
      <c r="AR415" t="s">
        <v>0</v>
      </c>
      <c r="AT415" s="2">
        <v>1.48</v>
      </c>
      <c r="AU415" s="1">
        <f t="shared" si="51"/>
        <v>0.70753462290311508</v>
      </c>
      <c r="AV415" s="1">
        <f t="shared" si="52"/>
        <v>0.51898216405388686</v>
      </c>
      <c r="AW415" s="1">
        <f t="shared" si="53"/>
        <v>0.33042970520465859</v>
      </c>
    </row>
    <row r="416" spans="1:49" x14ac:dyDescent="0.2">
      <c r="A416">
        <v>414</v>
      </c>
      <c r="B416" t="s">
        <v>3810</v>
      </c>
      <c r="C416" t="s">
        <v>3809</v>
      </c>
      <c r="F416" t="s">
        <v>3808</v>
      </c>
      <c r="G416" t="s">
        <v>14</v>
      </c>
      <c r="H416" t="s">
        <v>13</v>
      </c>
      <c r="I416" t="s">
        <v>3807</v>
      </c>
      <c r="J416" t="s">
        <v>3806</v>
      </c>
      <c r="K416" t="s">
        <v>3805</v>
      </c>
      <c r="L416" t="s">
        <v>3804</v>
      </c>
      <c r="M416" t="s">
        <v>2601</v>
      </c>
      <c r="N416">
        <v>3</v>
      </c>
      <c r="O416" t="s">
        <v>3803</v>
      </c>
      <c r="P416" t="s">
        <v>3802</v>
      </c>
      <c r="Q416" t="s">
        <v>3801</v>
      </c>
      <c r="R416" s="7">
        <v>31778</v>
      </c>
      <c r="S416" s="8">
        <f t="shared" si="48"/>
        <v>1987</v>
      </c>
      <c r="T416" s="8">
        <v>1987</v>
      </c>
      <c r="U416" s="8">
        <f t="shared" si="49"/>
        <v>35</v>
      </c>
      <c r="V416" s="7">
        <v>31959</v>
      </c>
      <c r="W416" t="s">
        <v>3535</v>
      </c>
      <c r="X416" s="2" t="s">
        <v>32</v>
      </c>
      <c r="Y416" s="6" t="e">
        <f t="shared" si="54"/>
        <v>#VALUE!</v>
      </c>
      <c r="AA416">
        <v>984094</v>
      </c>
      <c r="AB416">
        <v>40260</v>
      </c>
      <c r="AD416" t="s">
        <v>4</v>
      </c>
      <c r="AE416">
        <v>34</v>
      </c>
      <c r="AF416">
        <v>7</v>
      </c>
      <c r="AH416" t="s">
        <v>3800</v>
      </c>
      <c r="AI416" t="s">
        <v>3799</v>
      </c>
      <c r="AK416" t="s">
        <v>3798</v>
      </c>
      <c r="AL416">
        <v>6</v>
      </c>
      <c r="AM416" s="5">
        <f t="shared" si="50"/>
        <v>0.17142857142857143</v>
      </c>
      <c r="AN416" s="4">
        <f t="shared" si="55"/>
        <v>2.5964191053172501E-4</v>
      </c>
      <c r="AO416" s="3"/>
      <c r="AP416">
        <v>0</v>
      </c>
      <c r="AR416" t="s">
        <v>0</v>
      </c>
      <c r="AT416" s="2" t="s">
        <v>32</v>
      </c>
      <c r="AU416" s="1" t="e">
        <f t="shared" si="51"/>
        <v>#VALUE!</v>
      </c>
      <c r="AV416" s="1" t="e">
        <f t="shared" si="52"/>
        <v>#VALUE!</v>
      </c>
      <c r="AW416" s="1" t="e">
        <f t="shared" si="53"/>
        <v>#VALUE!</v>
      </c>
    </row>
    <row r="417" spans="1:49" x14ac:dyDescent="0.2">
      <c r="A417">
        <v>415</v>
      </c>
      <c r="B417" t="s">
        <v>3797</v>
      </c>
      <c r="C417" t="s">
        <v>3796</v>
      </c>
      <c r="F417" t="s">
        <v>3795</v>
      </c>
      <c r="G417" t="s">
        <v>14</v>
      </c>
      <c r="H417" t="s">
        <v>13</v>
      </c>
      <c r="I417" t="s">
        <v>1410</v>
      </c>
      <c r="J417">
        <v>60021902</v>
      </c>
      <c r="K417" t="s">
        <v>1409</v>
      </c>
      <c r="L417" t="s">
        <v>1408</v>
      </c>
      <c r="M417" t="s">
        <v>1407</v>
      </c>
      <c r="N417">
        <v>1</v>
      </c>
      <c r="O417" t="s">
        <v>1406</v>
      </c>
      <c r="P417">
        <v>57203176700</v>
      </c>
      <c r="Q417">
        <v>60021902</v>
      </c>
      <c r="R417" s="7">
        <v>31778</v>
      </c>
      <c r="S417" s="8">
        <f t="shared" si="48"/>
        <v>1987</v>
      </c>
      <c r="T417" s="8">
        <v>1987</v>
      </c>
      <c r="U417" s="8">
        <f t="shared" si="49"/>
        <v>35</v>
      </c>
      <c r="V417" s="7">
        <v>1987</v>
      </c>
      <c r="W417" t="s">
        <v>429</v>
      </c>
      <c r="X417" s="2">
        <v>0.375</v>
      </c>
      <c r="Y417" s="6">
        <f t="shared" si="54"/>
        <v>1.0010410827260351E-2</v>
      </c>
      <c r="AA417">
        <v>135194</v>
      </c>
      <c r="AB417">
        <v>24918</v>
      </c>
      <c r="AD417" t="s">
        <v>4</v>
      </c>
      <c r="AE417">
        <v>23</v>
      </c>
      <c r="AF417">
        <v>15</v>
      </c>
      <c r="AH417" t="s">
        <v>3794</v>
      </c>
      <c r="AI417" t="s">
        <v>3793</v>
      </c>
      <c r="AJ417" t="s">
        <v>3792</v>
      </c>
      <c r="AK417" t="s">
        <v>3791</v>
      </c>
      <c r="AL417">
        <v>5</v>
      </c>
      <c r="AM417" s="5">
        <f t="shared" si="50"/>
        <v>0.14285714285714285</v>
      </c>
      <c r="AN417" s="4">
        <f t="shared" si="55"/>
        <v>2.1636825877643749E-4</v>
      </c>
      <c r="AO417" s="3"/>
      <c r="AP417">
        <v>0</v>
      </c>
      <c r="AR417" t="s">
        <v>0</v>
      </c>
      <c r="AT417" s="2">
        <v>1.3140000000000001</v>
      </c>
      <c r="AU417" s="1">
        <f t="shared" si="51"/>
        <v>0.70721980567151765</v>
      </c>
      <c r="AV417" s="1">
        <f t="shared" si="52"/>
        <v>0.5113389543018394</v>
      </c>
      <c r="AW417" s="1">
        <f t="shared" si="53"/>
        <v>0.31545810293216114</v>
      </c>
    </row>
    <row r="418" spans="1:49" x14ac:dyDescent="0.2">
      <c r="A418">
        <v>416</v>
      </c>
      <c r="B418" t="s">
        <v>3790</v>
      </c>
      <c r="C418" t="s">
        <v>3789</v>
      </c>
      <c r="F418" t="s">
        <v>3788</v>
      </c>
      <c r="G418" t="s">
        <v>14</v>
      </c>
      <c r="H418" t="s">
        <v>13</v>
      </c>
      <c r="I418" t="s">
        <v>3787</v>
      </c>
      <c r="J418">
        <v>60022195</v>
      </c>
      <c r="K418" t="s">
        <v>311</v>
      </c>
      <c r="L418" t="s">
        <v>310</v>
      </c>
      <c r="M418" t="s">
        <v>9</v>
      </c>
      <c r="N418">
        <v>1</v>
      </c>
      <c r="O418" t="s">
        <v>3786</v>
      </c>
      <c r="P418">
        <v>57220505621</v>
      </c>
      <c r="Q418">
        <v>60022195</v>
      </c>
      <c r="R418" s="7">
        <v>31778</v>
      </c>
      <c r="S418" s="8">
        <f t="shared" si="48"/>
        <v>1987</v>
      </c>
      <c r="T418" s="8">
        <v>1987</v>
      </c>
      <c r="U418" s="8">
        <f t="shared" si="49"/>
        <v>35</v>
      </c>
      <c r="V418" s="7">
        <v>31959</v>
      </c>
      <c r="W418" t="s">
        <v>336</v>
      </c>
      <c r="X418" s="2">
        <v>1.6519999999999999</v>
      </c>
      <c r="Y418" s="6">
        <f t="shared" si="54"/>
        <v>4.409919649769093E-2</v>
      </c>
      <c r="AA418" t="s">
        <v>335</v>
      </c>
      <c r="AB418">
        <v>17337</v>
      </c>
      <c r="AC418">
        <v>15582221</v>
      </c>
      <c r="AD418" t="s">
        <v>4</v>
      </c>
      <c r="AE418">
        <v>35</v>
      </c>
      <c r="AF418">
        <v>7</v>
      </c>
      <c r="AH418" t="s">
        <v>3785</v>
      </c>
      <c r="AI418" t="s">
        <v>3784</v>
      </c>
      <c r="AK418" t="s">
        <v>3783</v>
      </c>
      <c r="AL418">
        <v>0</v>
      </c>
      <c r="AM418" s="5">
        <f t="shared" si="50"/>
        <v>0</v>
      </c>
      <c r="AN418" s="4">
        <f t="shared" si="55"/>
        <v>0</v>
      </c>
      <c r="AO418" s="3"/>
      <c r="AP418">
        <v>0</v>
      </c>
      <c r="AR418" t="s">
        <v>0</v>
      </c>
      <c r="AT418" s="2" t="s">
        <v>32</v>
      </c>
      <c r="AU418" s="1">
        <f t="shared" si="51"/>
        <v>3.0869437548383649</v>
      </c>
      <c r="AV418" s="1">
        <f t="shared" si="52"/>
        <v>2.2049598248845466</v>
      </c>
      <c r="AW418" s="1">
        <f t="shared" si="53"/>
        <v>1.3229758949307278</v>
      </c>
    </row>
    <row r="419" spans="1:49" x14ac:dyDescent="0.2">
      <c r="A419">
        <v>417</v>
      </c>
      <c r="B419" t="s">
        <v>3782</v>
      </c>
      <c r="C419" t="s">
        <v>3781</v>
      </c>
      <c r="F419" t="s">
        <v>3780</v>
      </c>
      <c r="G419" t="s">
        <v>14</v>
      </c>
      <c r="H419" t="s">
        <v>13</v>
      </c>
      <c r="I419" t="s">
        <v>3779</v>
      </c>
      <c r="J419" t="s">
        <v>3778</v>
      </c>
      <c r="K419" t="s">
        <v>3777</v>
      </c>
      <c r="L419" t="s">
        <v>3776</v>
      </c>
      <c r="M419" t="s">
        <v>55</v>
      </c>
      <c r="N419">
        <v>3</v>
      </c>
      <c r="O419" t="s">
        <v>3775</v>
      </c>
      <c r="P419" t="s">
        <v>3774</v>
      </c>
      <c r="Q419" t="s">
        <v>3773</v>
      </c>
      <c r="R419" s="7">
        <v>31778</v>
      </c>
      <c r="S419" s="8">
        <f t="shared" si="48"/>
        <v>1987</v>
      </c>
      <c r="T419" s="8">
        <v>1987</v>
      </c>
      <c r="U419" s="8">
        <f t="shared" si="49"/>
        <v>35</v>
      </c>
      <c r="V419" s="7">
        <v>1987</v>
      </c>
      <c r="W419" t="s">
        <v>429</v>
      </c>
      <c r="X419" s="2">
        <v>0.375</v>
      </c>
      <c r="Y419" s="6">
        <f t="shared" si="54"/>
        <v>1.0010410827260351E-2</v>
      </c>
      <c r="AA419">
        <v>135194</v>
      </c>
      <c r="AB419">
        <v>24918</v>
      </c>
      <c r="AD419" t="s">
        <v>4</v>
      </c>
      <c r="AE419">
        <v>23</v>
      </c>
      <c r="AF419">
        <v>16</v>
      </c>
      <c r="AH419" t="s">
        <v>3772</v>
      </c>
      <c r="AI419" t="s">
        <v>3771</v>
      </c>
      <c r="AJ419" t="s">
        <v>3770</v>
      </c>
      <c r="AK419" t="s">
        <v>3769</v>
      </c>
      <c r="AL419">
        <v>23</v>
      </c>
      <c r="AM419" s="5">
        <f t="shared" si="50"/>
        <v>0.65714285714285714</v>
      </c>
      <c r="AN419" s="4">
        <f t="shared" si="55"/>
        <v>9.9529399037161259E-4</v>
      </c>
      <c r="AO419" s="3"/>
      <c r="AP419">
        <v>0</v>
      </c>
      <c r="AR419" t="s">
        <v>0</v>
      </c>
      <c r="AT419" s="2">
        <v>1.3140000000000001</v>
      </c>
      <c r="AU419" s="1">
        <f t="shared" si="51"/>
        <v>0.73058757761937299</v>
      </c>
      <c r="AV419" s="1">
        <f t="shared" si="52"/>
        <v>0.55028524088159814</v>
      </c>
      <c r="AW419" s="1">
        <f t="shared" si="53"/>
        <v>0.3699829041438234</v>
      </c>
    </row>
    <row r="420" spans="1:49" x14ac:dyDescent="0.2">
      <c r="A420">
        <v>418</v>
      </c>
      <c r="B420" t="s">
        <v>3768</v>
      </c>
      <c r="C420" t="s">
        <v>3767</v>
      </c>
      <c r="F420" t="s">
        <v>3766</v>
      </c>
      <c r="G420" t="s">
        <v>14</v>
      </c>
      <c r="H420" t="s">
        <v>13</v>
      </c>
      <c r="I420" t="s">
        <v>3765</v>
      </c>
      <c r="J420">
        <v>60025225</v>
      </c>
      <c r="K420" t="s">
        <v>3764</v>
      </c>
      <c r="L420" t="s">
        <v>3763</v>
      </c>
      <c r="M420" t="s">
        <v>586</v>
      </c>
      <c r="N420">
        <v>1</v>
      </c>
      <c r="O420" t="s">
        <v>3762</v>
      </c>
      <c r="P420">
        <v>7005229420</v>
      </c>
      <c r="Q420">
        <v>60025225</v>
      </c>
      <c r="R420" s="7">
        <v>31778</v>
      </c>
      <c r="S420" s="8">
        <f t="shared" si="48"/>
        <v>1987</v>
      </c>
      <c r="T420" s="8">
        <v>1987</v>
      </c>
      <c r="U420" s="8">
        <f t="shared" si="49"/>
        <v>35</v>
      </c>
      <c r="V420" s="7" t="s">
        <v>3372</v>
      </c>
      <c r="W420" s="11" t="s">
        <v>3761</v>
      </c>
      <c r="X420" s="2">
        <v>2.383</v>
      </c>
      <c r="Y420" s="6">
        <f t="shared" si="54"/>
        <v>6.3612824003630442E-2</v>
      </c>
      <c r="AA420">
        <v>1437070</v>
      </c>
      <c r="AB420">
        <v>39742</v>
      </c>
      <c r="AD420" t="s">
        <v>4</v>
      </c>
      <c r="AE420">
        <v>134</v>
      </c>
      <c r="AF420">
        <v>4</v>
      </c>
      <c r="AI420" t="s">
        <v>3760</v>
      </c>
      <c r="AK420" t="s">
        <v>3759</v>
      </c>
      <c r="AL420">
        <v>5</v>
      </c>
      <c r="AM420" s="5">
        <f t="shared" si="50"/>
        <v>0.14285714285714285</v>
      </c>
      <c r="AN420" s="4">
        <f t="shared" si="55"/>
        <v>2.1636825877643749E-4</v>
      </c>
      <c r="AO420" s="3"/>
      <c r="AP420">
        <v>0</v>
      </c>
      <c r="AR420" t="s">
        <v>0</v>
      </c>
      <c r="AT420" s="2" t="s">
        <v>32</v>
      </c>
      <c r="AU420" s="1">
        <f t="shared" si="51"/>
        <v>4.4593887280174247</v>
      </c>
      <c r="AV420" s="1">
        <f t="shared" si="52"/>
        <v>3.1914596131203439</v>
      </c>
      <c r="AW420" s="1">
        <f t="shared" si="53"/>
        <v>1.9235304982232637</v>
      </c>
    </row>
    <row r="421" spans="1:49" x14ac:dyDescent="0.2">
      <c r="A421">
        <v>419</v>
      </c>
      <c r="B421" t="s">
        <v>3758</v>
      </c>
      <c r="C421" t="s">
        <v>3757</v>
      </c>
      <c r="F421" t="s">
        <v>3756</v>
      </c>
      <c r="G421" t="s">
        <v>14</v>
      </c>
      <c r="H421" t="s">
        <v>13</v>
      </c>
      <c r="I421" t="s">
        <v>3755</v>
      </c>
      <c r="J421" t="s">
        <v>3754</v>
      </c>
      <c r="K421" t="s">
        <v>3753</v>
      </c>
      <c r="L421" t="s">
        <v>3752</v>
      </c>
      <c r="M421" t="s">
        <v>55</v>
      </c>
      <c r="N421">
        <v>1</v>
      </c>
      <c r="O421" t="s">
        <v>3751</v>
      </c>
      <c r="P421">
        <v>7102734848</v>
      </c>
      <c r="Q421" t="s">
        <v>3750</v>
      </c>
      <c r="R421" s="7">
        <v>31778</v>
      </c>
      <c r="S421" s="8">
        <f t="shared" si="48"/>
        <v>1987</v>
      </c>
      <c r="T421" s="8">
        <v>1987</v>
      </c>
      <c r="U421" s="8">
        <f t="shared" si="49"/>
        <v>35</v>
      </c>
      <c r="V421" s="7">
        <v>31959</v>
      </c>
      <c r="W421" t="s">
        <v>3749</v>
      </c>
      <c r="X421" s="2">
        <v>0.61499999999999999</v>
      </c>
      <c r="Y421" s="6">
        <f t="shared" si="54"/>
        <v>1.6417073756706976E-2</v>
      </c>
      <c r="AA421">
        <v>1959271</v>
      </c>
      <c r="AB421">
        <v>12141</v>
      </c>
      <c r="AC421">
        <v>15729559</v>
      </c>
      <c r="AD421" t="s">
        <v>4</v>
      </c>
      <c r="AE421">
        <v>8</v>
      </c>
      <c r="AF421">
        <v>7</v>
      </c>
      <c r="AH421" t="s">
        <v>3662</v>
      </c>
      <c r="AI421" t="s">
        <v>3748</v>
      </c>
      <c r="AK421" t="s">
        <v>3747</v>
      </c>
      <c r="AL421">
        <v>21</v>
      </c>
      <c r="AM421" s="5">
        <f t="shared" si="50"/>
        <v>0.6</v>
      </c>
      <c r="AN421" s="4">
        <f t="shared" si="55"/>
        <v>9.0874668686103744E-4</v>
      </c>
      <c r="AO421" s="3"/>
      <c r="AP421">
        <v>0</v>
      </c>
      <c r="AR421" t="s">
        <v>0</v>
      </c>
      <c r="AT421" s="2" t="s">
        <v>32</v>
      </c>
      <c r="AU421" s="1">
        <f t="shared" si="51"/>
        <v>1.1764575635753192</v>
      </c>
      <c r="AV421" s="1">
        <f t="shared" si="52"/>
        <v>0.8662910221784007</v>
      </c>
      <c r="AW421" s="1">
        <f t="shared" si="53"/>
        <v>0.5561244807814818</v>
      </c>
    </row>
    <row r="422" spans="1:49" x14ac:dyDescent="0.2">
      <c r="A422">
        <v>420</v>
      </c>
      <c r="B422" t="s">
        <v>3746</v>
      </c>
      <c r="C422" t="s">
        <v>3745</v>
      </c>
      <c r="F422" t="s">
        <v>3744</v>
      </c>
      <c r="G422" t="s">
        <v>14</v>
      </c>
      <c r="H422" t="s">
        <v>13</v>
      </c>
      <c r="I422" t="s">
        <v>688</v>
      </c>
      <c r="J422">
        <v>60016983</v>
      </c>
      <c r="K422" t="s">
        <v>687</v>
      </c>
      <c r="L422" t="s">
        <v>686</v>
      </c>
      <c r="M422" t="s">
        <v>685</v>
      </c>
      <c r="N422">
        <v>2</v>
      </c>
      <c r="O422" t="s">
        <v>684</v>
      </c>
      <c r="P422" t="s">
        <v>683</v>
      </c>
      <c r="Q422" t="s">
        <v>682</v>
      </c>
      <c r="R422" s="7">
        <v>31778</v>
      </c>
      <c r="S422" s="8">
        <f t="shared" si="48"/>
        <v>1987</v>
      </c>
      <c r="T422" s="8">
        <v>1987</v>
      </c>
      <c r="U422" s="8">
        <f t="shared" si="49"/>
        <v>35</v>
      </c>
      <c r="V422" s="7" t="s">
        <v>3372</v>
      </c>
      <c r="W422" t="s">
        <v>681</v>
      </c>
      <c r="X422" s="2" t="s">
        <v>32</v>
      </c>
      <c r="Y422" s="6" t="e">
        <f t="shared" si="54"/>
        <v>#VALUE!</v>
      </c>
      <c r="AA422">
        <v>7009216</v>
      </c>
      <c r="AB422">
        <v>39801</v>
      </c>
      <c r="AD422" t="s">
        <v>4</v>
      </c>
      <c r="AE422">
        <v>12</v>
      </c>
      <c r="AF422">
        <v>3</v>
      </c>
      <c r="AH422" t="s">
        <v>3743</v>
      </c>
      <c r="AI422" t="s">
        <v>3742</v>
      </c>
      <c r="AK422" t="s">
        <v>3741</v>
      </c>
      <c r="AL422">
        <v>1</v>
      </c>
      <c r="AM422" s="5">
        <f t="shared" si="50"/>
        <v>2.8571428571428571E-2</v>
      </c>
      <c r="AN422" s="4">
        <f t="shared" si="55"/>
        <v>4.32736517552875E-5</v>
      </c>
      <c r="AO422" s="3"/>
      <c r="AP422">
        <v>0</v>
      </c>
      <c r="AR422" t="s">
        <v>0</v>
      </c>
      <c r="AT422" s="2" t="s">
        <v>32</v>
      </c>
      <c r="AU422" s="1" t="e">
        <f t="shared" si="51"/>
        <v>#VALUE!</v>
      </c>
      <c r="AV422" s="1" t="e">
        <f t="shared" si="52"/>
        <v>#VALUE!</v>
      </c>
      <c r="AW422" s="1" t="e">
        <f t="shared" si="53"/>
        <v>#VALUE!</v>
      </c>
    </row>
    <row r="423" spans="1:49" x14ac:dyDescent="0.2">
      <c r="A423">
        <v>421</v>
      </c>
      <c r="B423" t="s">
        <v>3740</v>
      </c>
      <c r="C423" t="s">
        <v>3739</v>
      </c>
      <c r="F423" t="s">
        <v>3738</v>
      </c>
      <c r="G423" t="s">
        <v>14</v>
      </c>
      <c r="H423" t="s">
        <v>13</v>
      </c>
      <c r="I423" t="s">
        <v>3737</v>
      </c>
      <c r="J423">
        <v>60020661</v>
      </c>
      <c r="K423" t="s">
        <v>3736</v>
      </c>
      <c r="L423" t="s">
        <v>3735</v>
      </c>
      <c r="M423" t="s">
        <v>586</v>
      </c>
      <c r="N423">
        <v>1</v>
      </c>
      <c r="O423" t="s">
        <v>3734</v>
      </c>
      <c r="P423">
        <v>7101618795</v>
      </c>
      <c r="Q423">
        <v>60020661</v>
      </c>
      <c r="R423" s="7">
        <v>31778</v>
      </c>
      <c r="S423" s="8">
        <f t="shared" ref="S423:S486" si="56">YEAR(R423)</f>
        <v>1987</v>
      </c>
      <c r="T423" s="8">
        <v>1987</v>
      </c>
      <c r="U423" s="8">
        <f t="shared" ref="U423:U486" si="57">2022-T423</f>
        <v>35</v>
      </c>
      <c r="V423" s="7" t="s">
        <v>3481</v>
      </c>
      <c r="W423" t="s">
        <v>3690</v>
      </c>
      <c r="X423" s="2" t="s">
        <v>32</v>
      </c>
      <c r="Y423" s="6" t="e">
        <f t="shared" si="54"/>
        <v>#VALUE!</v>
      </c>
      <c r="AA423">
        <v>2671689</v>
      </c>
      <c r="AB423">
        <v>87645</v>
      </c>
      <c r="AD423" t="s">
        <v>4</v>
      </c>
      <c r="AE423">
        <v>57</v>
      </c>
      <c r="AF423">
        <v>4</v>
      </c>
      <c r="AH423" t="s">
        <v>3733</v>
      </c>
      <c r="AI423" t="s">
        <v>3732</v>
      </c>
      <c r="AK423" t="s">
        <v>3731</v>
      </c>
      <c r="AL423">
        <v>0</v>
      </c>
      <c r="AM423" s="5">
        <f t="shared" ref="AM423:AM486" si="58">AL423/U423</f>
        <v>0</v>
      </c>
      <c r="AN423" s="4">
        <f t="shared" si="55"/>
        <v>0</v>
      </c>
      <c r="AO423" s="3"/>
      <c r="AP423">
        <v>0</v>
      </c>
      <c r="AR423" t="s">
        <v>0</v>
      </c>
      <c r="AT423" s="2" t="s">
        <v>32</v>
      </c>
      <c r="AU423" s="1" t="e">
        <f t="shared" ref="AU423:AU486" si="59">(Y423*0.7+AN423*0.3)*100</f>
        <v>#VALUE!</v>
      </c>
      <c r="AV423" s="1" t="e">
        <f t="shared" ref="AV423:AV486" si="60">(Y423*0.5+AN423*0.5)*100</f>
        <v>#VALUE!</v>
      </c>
      <c r="AW423" s="1" t="e">
        <f t="shared" ref="AW423:AW486" si="61">(Y423*0.3+AN423*0.7)*100</f>
        <v>#VALUE!</v>
      </c>
    </row>
    <row r="424" spans="1:49" x14ac:dyDescent="0.2">
      <c r="A424">
        <v>422</v>
      </c>
      <c r="B424" t="s">
        <v>3730</v>
      </c>
      <c r="C424" t="s">
        <v>3729</v>
      </c>
      <c r="F424" t="s">
        <v>3728</v>
      </c>
      <c r="G424" t="s">
        <v>14</v>
      </c>
      <c r="H424" t="s">
        <v>13</v>
      </c>
      <c r="I424" t="s">
        <v>3727</v>
      </c>
      <c r="J424">
        <v>60009615</v>
      </c>
      <c r="K424" t="s">
        <v>3726</v>
      </c>
      <c r="L424" t="s">
        <v>3725</v>
      </c>
      <c r="M424" t="s">
        <v>1068</v>
      </c>
      <c r="N424">
        <v>2</v>
      </c>
      <c r="O424" t="s">
        <v>3724</v>
      </c>
      <c r="P424" t="s">
        <v>3723</v>
      </c>
      <c r="Q424" t="s">
        <v>3722</v>
      </c>
      <c r="R424" s="7">
        <v>31778</v>
      </c>
      <c r="S424" s="8">
        <f t="shared" si="56"/>
        <v>1987</v>
      </c>
      <c r="T424" s="8">
        <v>1987</v>
      </c>
      <c r="U424" s="8">
        <f t="shared" si="57"/>
        <v>35</v>
      </c>
      <c r="V424" s="7">
        <v>31959</v>
      </c>
      <c r="W424" t="s">
        <v>372</v>
      </c>
      <c r="X424" s="2">
        <v>2.141</v>
      </c>
      <c r="Y424" s="6">
        <f t="shared" si="54"/>
        <v>5.7152772216438434E-2</v>
      </c>
      <c r="AA424">
        <v>1962892</v>
      </c>
      <c r="AB424">
        <v>17360</v>
      </c>
      <c r="AC424">
        <v>15580644</v>
      </c>
      <c r="AD424" t="s">
        <v>4</v>
      </c>
      <c r="AE424" t="s">
        <v>371</v>
      </c>
      <c r="AF424">
        <v>4</v>
      </c>
      <c r="AH424" t="s">
        <v>3721</v>
      </c>
      <c r="AI424" t="s">
        <v>3720</v>
      </c>
      <c r="AK424" t="s">
        <v>3719</v>
      </c>
      <c r="AL424">
        <v>1</v>
      </c>
      <c r="AM424" s="5">
        <f t="shared" si="58"/>
        <v>2.8571428571428571E-2</v>
      </c>
      <c r="AN424" s="4">
        <f t="shared" si="55"/>
        <v>4.32736517552875E-5</v>
      </c>
      <c r="AO424" s="3"/>
      <c r="AP424">
        <v>0</v>
      </c>
      <c r="AR424" t="s">
        <v>0</v>
      </c>
      <c r="AT424" s="2" t="s">
        <v>32</v>
      </c>
      <c r="AU424" s="1">
        <f t="shared" si="59"/>
        <v>4.0019922647033486</v>
      </c>
      <c r="AV424" s="1">
        <f t="shared" si="60"/>
        <v>2.8598022934096861</v>
      </c>
      <c r="AW424" s="1">
        <f t="shared" si="61"/>
        <v>1.7176123221160231</v>
      </c>
    </row>
    <row r="425" spans="1:49" x14ac:dyDescent="0.2">
      <c r="A425">
        <v>423</v>
      </c>
      <c r="B425" t="s">
        <v>3718</v>
      </c>
      <c r="C425" t="s">
        <v>3717</v>
      </c>
      <c r="F425" t="s">
        <v>3716</v>
      </c>
      <c r="G425" t="s">
        <v>14</v>
      </c>
      <c r="H425" t="s">
        <v>13</v>
      </c>
      <c r="I425" t="s">
        <v>3715</v>
      </c>
      <c r="N425">
        <v>1</v>
      </c>
      <c r="O425" t="s">
        <v>3714</v>
      </c>
      <c r="P425">
        <v>23054052500</v>
      </c>
      <c r="R425" s="7">
        <v>31778</v>
      </c>
      <c r="S425" s="8">
        <f t="shared" si="56"/>
        <v>1987</v>
      </c>
      <c r="T425" s="8">
        <v>1987</v>
      </c>
      <c r="U425" s="8">
        <f t="shared" si="57"/>
        <v>35</v>
      </c>
      <c r="V425" s="7" t="s">
        <v>3493</v>
      </c>
      <c r="W425" t="s">
        <v>472</v>
      </c>
      <c r="X425" s="2">
        <v>0.371</v>
      </c>
      <c r="Y425" s="6">
        <f t="shared" si="54"/>
        <v>9.9036331117695747E-3</v>
      </c>
      <c r="AA425">
        <v>486604</v>
      </c>
      <c r="AB425">
        <v>28580</v>
      </c>
      <c r="AC425" t="s">
        <v>471</v>
      </c>
      <c r="AD425" t="s">
        <v>4</v>
      </c>
      <c r="AE425">
        <v>22</v>
      </c>
      <c r="AF425">
        <v>4</v>
      </c>
      <c r="AH425" t="s">
        <v>3713</v>
      </c>
      <c r="AI425" t="s">
        <v>3712</v>
      </c>
      <c r="AK425" t="s">
        <v>3711</v>
      </c>
      <c r="AL425">
        <v>2</v>
      </c>
      <c r="AM425" s="5">
        <f t="shared" si="58"/>
        <v>5.7142857142857141E-2</v>
      </c>
      <c r="AN425" s="4">
        <f t="shared" si="55"/>
        <v>8.6547303510575E-5</v>
      </c>
      <c r="AO425" s="3"/>
      <c r="AP425">
        <v>0</v>
      </c>
      <c r="AR425" t="s">
        <v>0</v>
      </c>
      <c r="AT425" s="2">
        <v>1.431</v>
      </c>
      <c r="AU425" s="1">
        <f t="shared" si="59"/>
        <v>0.69585073692918742</v>
      </c>
      <c r="AV425" s="1">
        <f t="shared" si="60"/>
        <v>0.49950902076400749</v>
      </c>
      <c r="AW425" s="1">
        <f t="shared" si="61"/>
        <v>0.30316730459882751</v>
      </c>
    </row>
    <row r="426" spans="1:49" x14ac:dyDescent="0.2">
      <c r="A426">
        <v>424</v>
      </c>
      <c r="B426" t="s">
        <v>3710</v>
      </c>
      <c r="C426" t="s">
        <v>3709</v>
      </c>
      <c r="F426" t="s">
        <v>3708</v>
      </c>
      <c r="G426" t="s">
        <v>14</v>
      </c>
      <c r="H426" t="s">
        <v>13</v>
      </c>
      <c r="I426" t="s">
        <v>3707</v>
      </c>
      <c r="J426">
        <v>60032503</v>
      </c>
      <c r="K426" t="s">
        <v>3706</v>
      </c>
      <c r="L426" t="s">
        <v>3705</v>
      </c>
      <c r="M426" t="s">
        <v>9</v>
      </c>
      <c r="N426">
        <v>1</v>
      </c>
      <c r="O426" t="s">
        <v>3704</v>
      </c>
      <c r="P426">
        <v>6603956870</v>
      </c>
      <c r="Q426">
        <v>60032503</v>
      </c>
      <c r="R426" s="7">
        <v>31778</v>
      </c>
      <c r="S426" s="8">
        <f t="shared" si="56"/>
        <v>1987</v>
      </c>
      <c r="T426" s="8">
        <v>1987</v>
      </c>
      <c r="U426" s="8">
        <f t="shared" si="57"/>
        <v>35</v>
      </c>
      <c r="V426" s="7">
        <v>31959</v>
      </c>
      <c r="W426" t="s">
        <v>336</v>
      </c>
      <c r="X426" s="2">
        <v>1.6519999999999999</v>
      </c>
      <c r="Y426" s="6">
        <f t="shared" si="54"/>
        <v>4.409919649769093E-2</v>
      </c>
      <c r="AA426" t="s">
        <v>335</v>
      </c>
      <c r="AB426">
        <v>17337</v>
      </c>
      <c r="AC426">
        <v>15582221</v>
      </c>
      <c r="AD426" t="s">
        <v>4</v>
      </c>
      <c r="AE426">
        <v>35</v>
      </c>
      <c r="AF426">
        <v>7</v>
      </c>
      <c r="AH426" t="s">
        <v>3703</v>
      </c>
      <c r="AI426" t="s">
        <v>3702</v>
      </c>
      <c r="AK426" t="s">
        <v>3701</v>
      </c>
      <c r="AL426">
        <v>0</v>
      </c>
      <c r="AM426" s="5">
        <f t="shared" si="58"/>
        <v>0</v>
      </c>
      <c r="AN426" s="4">
        <f t="shared" si="55"/>
        <v>0</v>
      </c>
      <c r="AO426" s="3"/>
      <c r="AP426">
        <v>0</v>
      </c>
      <c r="AR426" t="s">
        <v>0</v>
      </c>
      <c r="AT426" s="2" t="s">
        <v>32</v>
      </c>
      <c r="AU426" s="1">
        <f t="shared" si="59"/>
        <v>3.0869437548383649</v>
      </c>
      <c r="AV426" s="1">
        <f t="shared" si="60"/>
        <v>2.2049598248845466</v>
      </c>
      <c r="AW426" s="1">
        <f t="shared" si="61"/>
        <v>1.3229758949307278</v>
      </c>
    </row>
    <row r="427" spans="1:49" x14ac:dyDescent="0.2">
      <c r="A427">
        <v>425</v>
      </c>
      <c r="B427" t="s">
        <v>3700</v>
      </c>
      <c r="C427" t="s">
        <v>3699</v>
      </c>
      <c r="F427" t="s">
        <v>3698</v>
      </c>
      <c r="G427" t="s">
        <v>14</v>
      </c>
      <c r="H427" t="s">
        <v>13</v>
      </c>
      <c r="I427" t="s">
        <v>3697</v>
      </c>
      <c r="J427">
        <v>60017293</v>
      </c>
      <c r="K427" t="s">
        <v>3696</v>
      </c>
      <c r="L427" t="s">
        <v>3695</v>
      </c>
      <c r="M427" t="s">
        <v>3694</v>
      </c>
      <c r="N427">
        <v>3</v>
      </c>
      <c r="O427" t="s">
        <v>3693</v>
      </c>
      <c r="P427" t="s">
        <v>3692</v>
      </c>
      <c r="Q427" t="s">
        <v>3691</v>
      </c>
      <c r="R427" s="7">
        <v>31778</v>
      </c>
      <c r="S427" s="8">
        <f t="shared" si="56"/>
        <v>1987</v>
      </c>
      <c r="T427" s="8">
        <v>1987</v>
      </c>
      <c r="U427" s="8">
        <f t="shared" si="57"/>
        <v>35</v>
      </c>
      <c r="V427" s="7" t="s">
        <v>3481</v>
      </c>
      <c r="W427" t="s">
        <v>3690</v>
      </c>
      <c r="X427" s="2" t="s">
        <v>32</v>
      </c>
      <c r="Y427" s="6" t="e">
        <f t="shared" si="54"/>
        <v>#VALUE!</v>
      </c>
      <c r="AA427">
        <v>2671689</v>
      </c>
      <c r="AB427">
        <v>87645</v>
      </c>
      <c r="AD427" t="s">
        <v>4</v>
      </c>
      <c r="AE427">
        <v>57</v>
      </c>
      <c r="AF427">
        <v>4</v>
      </c>
      <c r="AH427" t="s">
        <v>3689</v>
      </c>
      <c r="AI427" t="s">
        <v>3688</v>
      </c>
      <c r="AK427" t="s">
        <v>3687</v>
      </c>
      <c r="AL427">
        <v>14</v>
      </c>
      <c r="AM427" s="5">
        <f t="shared" si="58"/>
        <v>0.4</v>
      </c>
      <c r="AN427" s="4">
        <f t="shared" si="55"/>
        <v>6.0583112457402507E-4</v>
      </c>
      <c r="AO427" s="3"/>
      <c r="AP427">
        <v>0</v>
      </c>
      <c r="AR427" t="s">
        <v>0</v>
      </c>
      <c r="AT427" s="2" t="s">
        <v>32</v>
      </c>
      <c r="AU427" s="1" t="e">
        <f t="shared" si="59"/>
        <v>#VALUE!</v>
      </c>
      <c r="AV427" s="1" t="e">
        <f t="shared" si="60"/>
        <v>#VALUE!</v>
      </c>
      <c r="AW427" s="1" t="e">
        <f t="shared" si="61"/>
        <v>#VALUE!</v>
      </c>
    </row>
    <row r="428" spans="1:49" x14ac:dyDescent="0.2">
      <c r="A428">
        <v>426</v>
      </c>
      <c r="B428" t="s">
        <v>3686</v>
      </c>
      <c r="C428" t="s">
        <v>3685</v>
      </c>
      <c r="F428" t="s">
        <v>3684</v>
      </c>
      <c r="G428" t="s">
        <v>14</v>
      </c>
      <c r="H428" t="s">
        <v>13</v>
      </c>
      <c r="I428" t="s">
        <v>3683</v>
      </c>
      <c r="J428">
        <v>60029470</v>
      </c>
      <c r="K428" t="s">
        <v>2346</v>
      </c>
      <c r="L428" t="s">
        <v>2345</v>
      </c>
      <c r="M428" t="s">
        <v>40</v>
      </c>
      <c r="N428">
        <v>1</v>
      </c>
      <c r="O428" t="s">
        <v>3682</v>
      </c>
      <c r="P428">
        <v>7101875340</v>
      </c>
      <c r="Q428">
        <v>60029470</v>
      </c>
      <c r="R428" s="7">
        <v>31778</v>
      </c>
      <c r="S428" s="8">
        <f t="shared" si="56"/>
        <v>1987</v>
      </c>
      <c r="T428" s="8">
        <v>1987</v>
      </c>
      <c r="U428" s="8">
        <f t="shared" si="57"/>
        <v>35</v>
      </c>
      <c r="V428" s="7">
        <v>1987</v>
      </c>
      <c r="W428" t="s">
        <v>429</v>
      </c>
      <c r="X428" s="2">
        <v>0.375</v>
      </c>
      <c r="Y428" s="6">
        <f t="shared" si="54"/>
        <v>1.0010410827260351E-2</v>
      </c>
      <c r="AA428">
        <v>135194</v>
      </c>
      <c r="AB428">
        <v>24918</v>
      </c>
      <c r="AD428" t="s">
        <v>4</v>
      </c>
      <c r="AE428">
        <v>23</v>
      </c>
      <c r="AF428">
        <v>15</v>
      </c>
      <c r="AH428" t="s">
        <v>3681</v>
      </c>
      <c r="AI428" t="s">
        <v>3680</v>
      </c>
      <c r="AJ428" t="s">
        <v>3679</v>
      </c>
      <c r="AK428" t="s">
        <v>3678</v>
      </c>
      <c r="AL428">
        <v>5</v>
      </c>
      <c r="AM428" s="5">
        <f t="shared" si="58"/>
        <v>0.14285714285714285</v>
      </c>
      <c r="AN428" s="4">
        <f t="shared" si="55"/>
        <v>2.1636825877643749E-4</v>
      </c>
      <c r="AO428" s="3"/>
      <c r="AP428">
        <v>0</v>
      </c>
      <c r="AR428" t="s">
        <v>0</v>
      </c>
      <c r="AT428" s="2">
        <v>1.3140000000000001</v>
      </c>
      <c r="AU428" s="1">
        <f t="shared" si="59"/>
        <v>0.70721980567151765</v>
      </c>
      <c r="AV428" s="1">
        <f t="shared" si="60"/>
        <v>0.5113389543018394</v>
      </c>
      <c r="AW428" s="1">
        <f t="shared" si="61"/>
        <v>0.31545810293216114</v>
      </c>
    </row>
    <row r="429" spans="1:49" x14ac:dyDescent="0.2">
      <c r="A429">
        <v>427</v>
      </c>
      <c r="B429" t="s">
        <v>3677</v>
      </c>
      <c r="C429" t="s">
        <v>3676</v>
      </c>
      <c r="F429" t="s">
        <v>3675</v>
      </c>
      <c r="G429" t="s">
        <v>14</v>
      </c>
      <c r="H429" t="s">
        <v>13</v>
      </c>
      <c r="I429" t="s">
        <v>3674</v>
      </c>
      <c r="J429">
        <v>60023053</v>
      </c>
      <c r="K429" t="s">
        <v>1165</v>
      </c>
      <c r="L429" t="s">
        <v>1164</v>
      </c>
      <c r="M429" t="s">
        <v>9</v>
      </c>
      <c r="N429">
        <v>2</v>
      </c>
      <c r="O429" t="s">
        <v>3673</v>
      </c>
      <c r="P429" t="s">
        <v>3672</v>
      </c>
      <c r="Q429" t="s">
        <v>1161</v>
      </c>
      <c r="R429" s="7">
        <v>31778</v>
      </c>
      <c r="S429" s="8">
        <f t="shared" si="56"/>
        <v>1987</v>
      </c>
      <c r="T429" s="8">
        <v>1987</v>
      </c>
      <c r="U429" s="8">
        <f t="shared" si="57"/>
        <v>35</v>
      </c>
      <c r="V429" s="7" t="s">
        <v>3372</v>
      </c>
      <c r="W429" t="s">
        <v>372</v>
      </c>
      <c r="X429" s="2">
        <v>2.141</v>
      </c>
      <c r="Y429" s="6">
        <f t="shared" si="54"/>
        <v>5.7152772216438434E-2</v>
      </c>
      <c r="AA429">
        <v>1962892</v>
      </c>
      <c r="AB429">
        <v>17360</v>
      </c>
      <c r="AD429" t="s">
        <v>4</v>
      </c>
      <c r="AE429" t="s">
        <v>371</v>
      </c>
      <c r="AF429">
        <v>4</v>
      </c>
      <c r="AH429" t="s">
        <v>3671</v>
      </c>
      <c r="AI429" t="s">
        <v>3670</v>
      </c>
      <c r="AK429" t="s">
        <v>3669</v>
      </c>
      <c r="AL429">
        <v>9</v>
      </c>
      <c r="AM429" s="5">
        <f t="shared" si="58"/>
        <v>0.25714285714285712</v>
      </c>
      <c r="AN429" s="4">
        <f t="shared" si="55"/>
        <v>3.8946286579758747E-4</v>
      </c>
      <c r="AO429" s="3"/>
      <c r="AP429">
        <v>0</v>
      </c>
      <c r="AR429" t="s">
        <v>0</v>
      </c>
      <c r="AT429" s="2" t="s">
        <v>32</v>
      </c>
      <c r="AU429" s="1">
        <f t="shared" si="59"/>
        <v>4.0123779411246172</v>
      </c>
      <c r="AV429" s="1">
        <f t="shared" si="60"/>
        <v>2.8771117541118012</v>
      </c>
      <c r="AW429" s="1">
        <f t="shared" si="61"/>
        <v>1.7418455670989843</v>
      </c>
    </row>
    <row r="430" spans="1:49" x14ac:dyDescent="0.2">
      <c r="A430">
        <v>428</v>
      </c>
      <c r="B430" t="s">
        <v>3668</v>
      </c>
      <c r="C430" t="s">
        <v>3667</v>
      </c>
      <c r="F430" t="s">
        <v>3666</v>
      </c>
      <c r="G430" t="s">
        <v>14</v>
      </c>
      <c r="H430" t="s">
        <v>13</v>
      </c>
      <c r="I430" t="s">
        <v>3665</v>
      </c>
      <c r="J430">
        <v>60014313</v>
      </c>
      <c r="K430" t="s">
        <v>1583</v>
      </c>
      <c r="L430" t="s">
        <v>1582</v>
      </c>
      <c r="M430" t="s">
        <v>9</v>
      </c>
      <c r="N430">
        <v>2</v>
      </c>
      <c r="O430" t="s">
        <v>3664</v>
      </c>
      <c r="P430" t="s">
        <v>3663</v>
      </c>
      <c r="Q430" t="s">
        <v>1579</v>
      </c>
      <c r="R430" s="7">
        <v>31778</v>
      </c>
      <c r="S430" s="8">
        <f t="shared" si="56"/>
        <v>1987</v>
      </c>
      <c r="T430" s="8">
        <v>1987</v>
      </c>
      <c r="U430" s="8">
        <f t="shared" si="57"/>
        <v>35</v>
      </c>
      <c r="V430" s="7">
        <v>31959</v>
      </c>
      <c r="W430" t="s">
        <v>336</v>
      </c>
      <c r="X430" s="2">
        <v>1.6519999999999999</v>
      </c>
      <c r="Y430" s="6">
        <f t="shared" si="54"/>
        <v>4.409919649769093E-2</v>
      </c>
      <c r="AA430" t="s">
        <v>335</v>
      </c>
      <c r="AB430">
        <v>17337</v>
      </c>
      <c r="AC430">
        <v>15582221</v>
      </c>
      <c r="AD430" t="s">
        <v>4</v>
      </c>
      <c r="AE430">
        <v>35</v>
      </c>
      <c r="AF430">
        <v>7</v>
      </c>
      <c r="AH430" t="s">
        <v>3662</v>
      </c>
      <c r="AI430" t="s">
        <v>3661</v>
      </c>
      <c r="AK430" t="s">
        <v>3660</v>
      </c>
      <c r="AL430">
        <v>60</v>
      </c>
      <c r="AM430" s="5">
        <f t="shared" si="58"/>
        <v>1.7142857142857142</v>
      </c>
      <c r="AN430" s="4">
        <f t="shared" si="55"/>
        <v>2.5964191053172497E-3</v>
      </c>
      <c r="AO430" s="3"/>
      <c r="AP430">
        <v>0</v>
      </c>
      <c r="AR430" t="s">
        <v>3659</v>
      </c>
      <c r="AT430" s="2" t="s">
        <v>32</v>
      </c>
      <c r="AU430" s="1">
        <f t="shared" si="59"/>
        <v>3.1648363279978824</v>
      </c>
      <c r="AV430" s="1">
        <f t="shared" si="60"/>
        <v>2.334780780150409</v>
      </c>
      <c r="AW430" s="1">
        <f t="shared" si="61"/>
        <v>1.5047252323029352</v>
      </c>
    </row>
    <row r="431" spans="1:49" x14ac:dyDescent="0.2">
      <c r="A431">
        <v>429</v>
      </c>
      <c r="B431" t="s">
        <v>3658</v>
      </c>
      <c r="C431" t="s">
        <v>3657</v>
      </c>
      <c r="F431" t="s">
        <v>3656</v>
      </c>
      <c r="G431" t="s">
        <v>14</v>
      </c>
      <c r="H431" t="s">
        <v>13</v>
      </c>
      <c r="I431" t="s">
        <v>3655</v>
      </c>
      <c r="J431">
        <v>60022193</v>
      </c>
      <c r="K431" t="s">
        <v>3654</v>
      </c>
      <c r="L431" t="s">
        <v>3653</v>
      </c>
      <c r="M431" t="s">
        <v>40</v>
      </c>
      <c r="N431">
        <v>1</v>
      </c>
      <c r="O431" t="s">
        <v>3652</v>
      </c>
      <c r="P431">
        <v>7003446625</v>
      </c>
      <c r="Q431">
        <v>60022193</v>
      </c>
      <c r="R431" s="7">
        <v>31778</v>
      </c>
      <c r="S431" s="8">
        <f t="shared" si="56"/>
        <v>1987</v>
      </c>
      <c r="T431" s="8">
        <v>1987</v>
      </c>
      <c r="U431" s="8">
        <f t="shared" si="57"/>
        <v>35</v>
      </c>
      <c r="V431" s="7">
        <v>31959</v>
      </c>
      <c r="W431" t="s">
        <v>3535</v>
      </c>
      <c r="X431" s="2" t="s">
        <v>32</v>
      </c>
      <c r="Y431" s="6" t="e">
        <f t="shared" si="54"/>
        <v>#VALUE!</v>
      </c>
      <c r="AA431">
        <v>984094</v>
      </c>
      <c r="AB431">
        <v>40260</v>
      </c>
      <c r="AD431" t="s">
        <v>4</v>
      </c>
      <c r="AE431">
        <v>34</v>
      </c>
      <c r="AF431">
        <v>7</v>
      </c>
      <c r="AH431" t="s">
        <v>3651</v>
      </c>
      <c r="AI431" t="s">
        <v>3650</v>
      </c>
      <c r="AK431" t="s">
        <v>3649</v>
      </c>
      <c r="AL431">
        <v>26</v>
      </c>
      <c r="AM431" s="5">
        <f t="shared" si="58"/>
        <v>0.74285714285714288</v>
      </c>
      <c r="AN431" s="4">
        <f t="shared" si="55"/>
        <v>1.125114945637475E-3</v>
      </c>
      <c r="AO431" s="3"/>
      <c r="AP431">
        <v>0</v>
      </c>
      <c r="AR431" t="s">
        <v>0</v>
      </c>
      <c r="AT431" s="2" t="s">
        <v>32</v>
      </c>
      <c r="AU431" s="1" t="e">
        <f t="shared" si="59"/>
        <v>#VALUE!</v>
      </c>
      <c r="AV431" s="1" t="e">
        <f t="shared" si="60"/>
        <v>#VALUE!</v>
      </c>
      <c r="AW431" s="1" t="e">
        <f t="shared" si="61"/>
        <v>#VALUE!</v>
      </c>
    </row>
    <row r="432" spans="1:49" x14ac:dyDescent="0.2">
      <c r="A432">
        <v>430</v>
      </c>
      <c r="B432" t="s">
        <v>3648</v>
      </c>
      <c r="C432" t="s">
        <v>3647</v>
      </c>
      <c r="F432" t="s">
        <v>3646</v>
      </c>
      <c r="G432" t="s">
        <v>14</v>
      </c>
      <c r="H432" t="s">
        <v>13</v>
      </c>
      <c r="I432" t="s">
        <v>3645</v>
      </c>
      <c r="J432">
        <v>60024784</v>
      </c>
      <c r="K432" t="s">
        <v>3644</v>
      </c>
      <c r="L432" t="s">
        <v>3643</v>
      </c>
      <c r="M432" t="s">
        <v>524</v>
      </c>
      <c r="N432">
        <v>3</v>
      </c>
      <c r="O432" t="s">
        <v>3642</v>
      </c>
      <c r="P432" t="s">
        <v>3641</v>
      </c>
      <c r="Q432" t="s">
        <v>3640</v>
      </c>
      <c r="R432" s="7">
        <v>31778</v>
      </c>
      <c r="S432" s="8">
        <f t="shared" si="56"/>
        <v>1987</v>
      </c>
      <c r="T432" s="8">
        <v>1987</v>
      </c>
      <c r="U432" s="8">
        <f t="shared" si="57"/>
        <v>35</v>
      </c>
      <c r="V432" s="7">
        <v>31959</v>
      </c>
      <c r="W432" t="s">
        <v>2203</v>
      </c>
      <c r="X432" s="2">
        <v>1.3460000000000001</v>
      </c>
      <c r="Y432" s="6">
        <f t="shared" si="54"/>
        <v>3.593070126264649E-2</v>
      </c>
      <c r="AA432">
        <v>7338724</v>
      </c>
      <c r="AB432">
        <v>12178</v>
      </c>
      <c r="AC432">
        <v>15582213</v>
      </c>
      <c r="AD432" t="s">
        <v>4</v>
      </c>
      <c r="AE432">
        <v>5</v>
      </c>
      <c r="AF432">
        <v>7</v>
      </c>
      <c r="AH432" t="s">
        <v>3639</v>
      </c>
      <c r="AI432" t="s">
        <v>3638</v>
      </c>
      <c r="AK432" t="s">
        <v>3637</v>
      </c>
      <c r="AL432">
        <v>2</v>
      </c>
      <c r="AM432" s="5">
        <f t="shared" si="58"/>
        <v>5.7142857142857141E-2</v>
      </c>
      <c r="AN432" s="4">
        <f t="shared" si="55"/>
        <v>8.6547303510575E-5</v>
      </c>
      <c r="AO432" s="3"/>
      <c r="AP432">
        <v>0</v>
      </c>
      <c r="AR432" t="s">
        <v>0</v>
      </c>
      <c r="AT432" s="2">
        <v>4.1420000000000003</v>
      </c>
      <c r="AU432" s="1">
        <f t="shared" si="59"/>
        <v>2.5177455074905715</v>
      </c>
      <c r="AV432" s="1">
        <f t="shared" si="60"/>
        <v>1.8008624283078534</v>
      </c>
      <c r="AW432" s="1">
        <f t="shared" si="61"/>
        <v>1.0839793491251348</v>
      </c>
    </row>
    <row r="433" spans="1:49" x14ac:dyDescent="0.2">
      <c r="A433">
        <v>431</v>
      </c>
      <c r="B433" t="s">
        <v>3636</v>
      </c>
      <c r="C433" t="s">
        <v>3635</v>
      </c>
      <c r="F433" t="s">
        <v>3634</v>
      </c>
      <c r="G433" t="s">
        <v>14</v>
      </c>
      <c r="H433" t="s">
        <v>13</v>
      </c>
      <c r="I433" t="s">
        <v>3633</v>
      </c>
      <c r="J433">
        <v>60002306</v>
      </c>
      <c r="K433" t="s">
        <v>3632</v>
      </c>
      <c r="L433" t="s">
        <v>3631</v>
      </c>
      <c r="M433" t="s">
        <v>685</v>
      </c>
      <c r="N433">
        <v>3</v>
      </c>
      <c r="O433" t="s">
        <v>3630</v>
      </c>
      <c r="P433" t="s">
        <v>3629</v>
      </c>
      <c r="Q433" t="s">
        <v>3628</v>
      </c>
      <c r="R433" s="7">
        <v>31778</v>
      </c>
      <c r="S433" s="8">
        <f t="shared" si="56"/>
        <v>1987</v>
      </c>
      <c r="T433" s="8">
        <v>1987</v>
      </c>
      <c r="U433" s="8">
        <f t="shared" si="57"/>
        <v>35</v>
      </c>
      <c r="V433" s="7">
        <v>31959</v>
      </c>
      <c r="W433" t="s">
        <v>372</v>
      </c>
      <c r="X433" s="2">
        <v>2.141</v>
      </c>
      <c r="Y433" s="6">
        <f t="shared" si="54"/>
        <v>5.7152772216438434E-2</v>
      </c>
      <c r="AA433">
        <v>1962892</v>
      </c>
      <c r="AB433">
        <v>17360</v>
      </c>
      <c r="AC433">
        <v>15580644</v>
      </c>
      <c r="AD433" t="s">
        <v>4</v>
      </c>
      <c r="AE433" t="s">
        <v>371</v>
      </c>
      <c r="AF433">
        <v>4</v>
      </c>
      <c r="AH433" t="s">
        <v>3627</v>
      </c>
      <c r="AI433" t="s">
        <v>3626</v>
      </c>
      <c r="AK433" t="s">
        <v>3625</v>
      </c>
      <c r="AL433">
        <v>13</v>
      </c>
      <c r="AM433" s="5">
        <f t="shared" si="58"/>
        <v>0.37142857142857144</v>
      </c>
      <c r="AN433" s="4">
        <f t="shared" si="55"/>
        <v>5.6255747281873749E-4</v>
      </c>
      <c r="AO433" s="3"/>
      <c r="AP433">
        <v>0</v>
      </c>
      <c r="AR433" t="s">
        <v>0</v>
      </c>
      <c r="AT433" s="2" t="s">
        <v>32</v>
      </c>
      <c r="AU433" s="1">
        <f t="shared" si="59"/>
        <v>4.0175707793352524</v>
      </c>
      <c r="AV433" s="1">
        <f t="shared" si="60"/>
        <v>2.8857664844628585</v>
      </c>
      <c r="AW433" s="1">
        <f t="shared" si="61"/>
        <v>1.7539621895904647</v>
      </c>
    </row>
    <row r="434" spans="1:49" x14ac:dyDescent="0.2">
      <c r="A434">
        <v>432</v>
      </c>
      <c r="B434" t="s">
        <v>3624</v>
      </c>
      <c r="C434" t="s">
        <v>3623</v>
      </c>
      <c r="F434" t="s">
        <v>3622</v>
      </c>
      <c r="G434" t="s">
        <v>14</v>
      </c>
      <c r="H434" t="s">
        <v>13</v>
      </c>
      <c r="I434" t="s">
        <v>998</v>
      </c>
      <c r="J434">
        <v>60003500</v>
      </c>
      <c r="K434" t="s">
        <v>1097</v>
      </c>
      <c r="L434" t="s">
        <v>1096</v>
      </c>
      <c r="M434" t="s">
        <v>9</v>
      </c>
      <c r="N434">
        <v>1</v>
      </c>
      <c r="O434" t="s">
        <v>3621</v>
      </c>
      <c r="P434">
        <v>7203066664</v>
      </c>
      <c r="Q434">
        <v>60003500</v>
      </c>
      <c r="R434" s="7">
        <v>31778</v>
      </c>
      <c r="S434" s="8">
        <f t="shared" si="56"/>
        <v>1987</v>
      </c>
      <c r="T434" s="8">
        <v>1987</v>
      </c>
      <c r="U434" s="8">
        <f t="shared" si="57"/>
        <v>35</v>
      </c>
      <c r="V434" s="7">
        <v>31959</v>
      </c>
      <c r="W434" t="s">
        <v>336</v>
      </c>
      <c r="X434" s="2">
        <v>1.6519999999999999</v>
      </c>
      <c r="Y434" s="6">
        <f t="shared" si="54"/>
        <v>4.409919649769093E-2</v>
      </c>
      <c r="AA434" t="s">
        <v>335</v>
      </c>
      <c r="AB434">
        <v>17337</v>
      </c>
      <c r="AC434">
        <v>15582221</v>
      </c>
      <c r="AD434" t="s">
        <v>4</v>
      </c>
      <c r="AE434">
        <v>35</v>
      </c>
      <c r="AF434">
        <v>7</v>
      </c>
      <c r="AH434" t="s">
        <v>3620</v>
      </c>
      <c r="AI434" t="s">
        <v>3619</v>
      </c>
      <c r="AK434" t="s">
        <v>3618</v>
      </c>
      <c r="AL434">
        <v>3</v>
      </c>
      <c r="AM434" s="5">
        <f t="shared" si="58"/>
        <v>8.5714285714285715E-2</v>
      </c>
      <c r="AN434" s="4">
        <f t="shared" si="55"/>
        <v>1.2982095526586251E-4</v>
      </c>
      <c r="AO434" s="3"/>
      <c r="AP434">
        <v>0</v>
      </c>
      <c r="AR434" t="s">
        <v>0</v>
      </c>
      <c r="AT434" s="2" t="s">
        <v>32</v>
      </c>
      <c r="AU434" s="1">
        <f t="shared" si="59"/>
        <v>3.0908383834963407</v>
      </c>
      <c r="AV434" s="1">
        <f t="shared" si="60"/>
        <v>2.2114508726478395</v>
      </c>
      <c r="AW434" s="1">
        <f t="shared" si="61"/>
        <v>1.3320633617993383</v>
      </c>
    </row>
    <row r="435" spans="1:49" x14ac:dyDescent="0.2">
      <c r="A435">
        <v>433</v>
      </c>
      <c r="B435" t="s">
        <v>3617</v>
      </c>
      <c r="C435" t="s">
        <v>3616</v>
      </c>
      <c r="F435" t="s">
        <v>3615</v>
      </c>
      <c r="G435" t="s">
        <v>14</v>
      </c>
      <c r="H435" t="s">
        <v>13</v>
      </c>
      <c r="I435" t="s">
        <v>3614</v>
      </c>
      <c r="N435">
        <v>3</v>
      </c>
      <c r="O435" t="s">
        <v>3613</v>
      </c>
      <c r="P435" t="s">
        <v>3612</v>
      </c>
      <c r="Q435" t="s">
        <v>171</v>
      </c>
      <c r="R435" s="7">
        <v>31778</v>
      </c>
      <c r="S435" s="8">
        <f t="shared" si="56"/>
        <v>1987</v>
      </c>
      <c r="T435" s="8">
        <v>1987</v>
      </c>
      <c r="U435" s="8">
        <f t="shared" si="57"/>
        <v>35</v>
      </c>
      <c r="V435" s="7" t="s">
        <v>3493</v>
      </c>
      <c r="W435" t="s">
        <v>472</v>
      </c>
      <c r="X435" s="2">
        <v>0.371</v>
      </c>
      <c r="Y435" s="6">
        <f t="shared" si="54"/>
        <v>9.9036331117695747E-3</v>
      </c>
      <c r="AA435">
        <v>486604</v>
      </c>
      <c r="AB435">
        <v>28580</v>
      </c>
      <c r="AC435" t="s">
        <v>471</v>
      </c>
      <c r="AD435" t="s">
        <v>4</v>
      </c>
      <c r="AE435">
        <v>22</v>
      </c>
      <c r="AF435">
        <v>4</v>
      </c>
      <c r="AH435" t="s">
        <v>3611</v>
      </c>
      <c r="AI435" t="s">
        <v>3610</v>
      </c>
      <c r="AK435" t="s">
        <v>3609</v>
      </c>
      <c r="AL435">
        <v>370</v>
      </c>
      <c r="AM435" s="5">
        <f t="shared" si="58"/>
        <v>10.571428571428571</v>
      </c>
      <c r="AN435" s="4">
        <f t="shared" si="55"/>
        <v>1.6011251149456375E-2</v>
      </c>
      <c r="AO435" s="3"/>
      <c r="AP435">
        <v>0</v>
      </c>
      <c r="AR435" t="s">
        <v>0</v>
      </c>
      <c r="AT435" s="2">
        <v>1.431</v>
      </c>
      <c r="AU435" s="1">
        <f t="shared" si="59"/>
        <v>1.1735918523075615</v>
      </c>
      <c r="AV435" s="1">
        <f t="shared" si="60"/>
        <v>1.2957442130612975</v>
      </c>
      <c r="AW435" s="1">
        <f t="shared" si="61"/>
        <v>1.4178965738150335</v>
      </c>
    </row>
    <row r="436" spans="1:49" x14ac:dyDescent="0.2">
      <c r="A436">
        <v>434</v>
      </c>
      <c r="B436" t="s">
        <v>3608</v>
      </c>
      <c r="C436" t="s">
        <v>3607</v>
      </c>
      <c r="F436" t="s">
        <v>3606</v>
      </c>
      <c r="G436" t="s">
        <v>14</v>
      </c>
      <c r="H436" t="s">
        <v>13</v>
      </c>
      <c r="I436" t="s">
        <v>3605</v>
      </c>
      <c r="J436">
        <v>60005049</v>
      </c>
      <c r="K436" t="s">
        <v>3604</v>
      </c>
      <c r="L436" t="s">
        <v>3603</v>
      </c>
      <c r="M436" t="s">
        <v>299</v>
      </c>
      <c r="N436">
        <v>3</v>
      </c>
      <c r="O436" t="s">
        <v>3602</v>
      </c>
      <c r="P436" t="s">
        <v>3601</v>
      </c>
      <c r="Q436" t="s">
        <v>3600</v>
      </c>
      <c r="R436" s="7">
        <v>31778</v>
      </c>
      <c r="S436" s="8">
        <f t="shared" si="56"/>
        <v>1987</v>
      </c>
      <c r="T436" s="8">
        <v>1987</v>
      </c>
      <c r="U436" s="8">
        <f t="shared" si="57"/>
        <v>35</v>
      </c>
      <c r="V436" s="7">
        <v>1987</v>
      </c>
      <c r="W436" t="s">
        <v>429</v>
      </c>
      <c r="X436" s="2">
        <v>0.375</v>
      </c>
      <c r="Y436" s="6">
        <f t="shared" si="54"/>
        <v>1.0010410827260351E-2</v>
      </c>
      <c r="AA436">
        <v>135194</v>
      </c>
      <c r="AB436">
        <v>24918</v>
      </c>
      <c r="AD436" t="s">
        <v>4</v>
      </c>
      <c r="AE436">
        <v>23</v>
      </c>
      <c r="AF436">
        <v>16</v>
      </c>
      <c r="AH436" t="s">
        <v>3599</v>
      </c>
      <c r="AI436" t="s">
        <v>3598</v>
      </c>
      <c r="AJ436" t="s">
        <v>3597</v>
      </c>
      <c r="AK436" t="s">
        <v>3596</v>
      </c>
      <c r="AL436">
        <v>6</v>
      </c>
      <c r="AM436" s="5">
        <f t="shared" si="58"/>
        <v>0.17142857142857143</v>
      </c>
      <c r="AN436" s="4">
        <f t="shared" si="55"/>
        <v>2.5964191053172501E-4</v>
      </c>
      <c r="AO436" s="3"/>
      <c r="AP436">
        <v>0</v>
      </c>
      <c r="AR436" t="s">
        <v>0</v>
      </c>
      <c r="AT436" s="2">
        <v>1.3140000000000001</v>
      </c>
      <c r="AU436" s="1">
        <f t="shared" si="59"/>
        <v>0.70851801522417635</v>
      </c>
      <c r="AV436" s="1">
        <f t="shared" si="60"/>
        <v>0.51350263688960374</v>
      </c>
      <c r="AW436" s="1">
        <f t="shared" si="61"/>
        <v>0.31848725855503129</v>
      </c>
    </row>
    <row r="437" spans="1:49" x14ac:dyDescent="0.2">
      <c r="A437">
        <v>435</v>
      </c>
      <c r="B437" t="s">
        <v>3595</v>
      </c>
      <c r="C437" t="s">
        <v>3594</v>
      </c>
      <c r="F437" t="s">
        <v>3593</v>
      </c>
      <c r="G437" t="s">
        <v>14</v>
      </c>
      <c r="H437" t="s">
        <v>13</v>
      </c>
      <c r="I437" t="s">
        <v>3592</v>
      </c>
      <c r="J437">
        <v>60005837</v>
      </c>
      <c r="K437" t="s">
        <v>3591</v>
      </c>
      <c r="L437" t="s">
        <v>3590</v>
      </c>
      <c r="M437" t="s">
        <v>9</v>
      </c>
      <c r="N437">
        <v>3</v>
      </c>
      <c r="O437" t="s">
        <v>3589</v>
      </c>
      <c r="P437" t="s">
        <v>3588</v>
      </c>
      <c r="Q437" t="s">
        <v>3587</v>
      </c>
      <c r="R437" s="7">
        <v>31778</v>
      </c>
      <c r="S437" s="8">
        <f t="shared" si="56"/>
        <v>1987</v>
      </c>
      <c r="T437" s="8">
        <v>1987</v>
      </c>
      <c r="U437" s="8">
        <f t="shared" si="57"/>
        <v>35</v>
      </c>
      <c r="V437" s="7">
        <v>31959</v>
      </c>
      <c r="W437" t="s">
        <v>336</v>
      </c>
      <c r="X437" s="2">
        <v>1.6519999999999999</v>
      </c>
      <c r="Y437" s="6">
        <f t="shared" si="54"/>
        <v>4.409919649769093E-2</v>
      </c>
      <c r="AA437" t="s">
        <v>335</v>
      </c>
      <c r="AB437">
        <v>17337</v>
      </c>
      <c r="AC437">
        <v>15582221</v>
      </c>
      <c r="AD437" t="s">
        <v>4</v>
      </c>
      <c r="AE437">
        <v>35</v>
      </c>
      <c r="AF437">
        <v>7</v>
      </c>
      <c r="AH437" t="s">
        <v>3586</v>
      </c>
      <c r="AI437" t="s">
        <v>3585</v>
      </c>
      <c r="AK437" t="s">
        <v>3584</v>
      </c>
      <c r="AL437">
        <v>26</v>
      </c>
      <c r="AM437" s="5">
        <f t="shared" si="58"/>
        <v>0.74285714285714288</v>
      </c>
      <c r="AN437" s="4">
        <f t="shared" si="55"/>
        <v>1.125114945637475E-3</v>
      </c>
      <c r="AO437" s="3"/>
      <c r="AP437">
        <v>0</v>
      </c>
      <c r="AR437" t="s">
        <v>3583</v>
      </c>
      <c r="AT437" s="2" t="s">
        <v>32</v>
      </c>
      <c r="AU437" s="1">
        <f t="shared" si="59"/>
        <v>3.1206972032074893</v>
      </c>
      <c r="AV437" s="1">
        <f t="shared" si="60"/>
        <v>2.2612155721664204</v>
      </c>
      <c r="AW437" s="1">
        <f t="shared" si="61"/>
        <v>1.4017339411253511</v>
      </c>
    </row>
    <row r="438" spans="1:49" x14ac:dyDescent="0.2">
      <c r="A438">
        <v>436</v>
      </c>
      <c r="B438" t="s">
        <v>3582</v>
      </c>
      <c r="C438" t="s">
        <v>3581</v>
      </c>
      <c r="F438" t="s">
        <v>3580</v>
      </c>
      <c r="G438" t="s">
        <v>14</v>
      </c>
      <c r="H438" t="s">
        <v>13</v>
      </c>
      <c r="I438" t="s">
        <v>3579</v>
      </c>
      <c r="J438">
        <v>60027550</v>
      </c>
      <c r="K438" t="s">
        <v>3578</v>
      </c>
      <c r="L438" t="s">
        <v>3577</v>
      </c>
      <c r="M438" t="s">
        <v>9</v>
      </c>
      <c r="N438">
        <v>2</v>
      </c>
      <c r="O438" t="s">
        <v>3576</v>
      </c>
      <c r="P438" t="s">
        <v>3575</v>
      </c>
      <c r="Q438" t="s">
        <v>3574</v>
      </c>
      <c r="R438" s="7">
        <v>31778</v>
      </c>
      <c r="S438" s="8">
        <f t="shared" si="56"/>
        <v>1987</v>
      </c>
      <c r="T438" s="8">
        <v>1987</v>
      </c>
      <c r="U438" s="8">
        <f t="shared" si="57"/>
        <v>35</v>
      </c>
      <c r="V438" s="7">
        <v>31959</v>
      </c>
      <c r="W438" t="s">
        <v>336</v>
      </c>
      <c r="X438" s="2">
        <v>1.6519999999999999</v>
      </c>
      <c r="Y438" s="6">
        <f t="shared" si="54"/>
        <v>4.409919649769093E-2</v>
      </c>
      <c r="AA438" t="s">
        <v>335</v>
      </c>
      <c r="AB438">
        <v>17337</v>
      </c>
      <c r="AC438">
        <v>15582221</v>
      </c>
      <c r="AD438" t="s">
        <v>4</v>
      </c>
      <c r="AE438">
        <v>35</v>
      </c>
      <c r="AF438">
        <v>7</v>
      </c>
      <c r="AH438" t="s">
        <v>3573</v>
      </c>
      <c r="AI438" t="s">
        <v>3572</v>
      </c>
      <c r="AK438" t="s">
        <v>3571</v>
      </c>
      <c r="AL438">
        <v>246</v>
      </c>
      <c r="AM438" s="5">
        <f t="shared" si="58"/>
        <v>7.0285714285714285</v>
      </c>
      <c r="AN438" s="4">
        <f t="shared" si="55"/>
        <v>1.0645318331800725E-2</v>
      </c>
      <c r="AO438" s="3"/>
      <c r="AP438">
        <v>0</v>
      </c>
      <c r="AR438" t="s">
        <v>3570</v>
      </c>
      <c r="AT438" s="2" t="s">
        <v>32</v>
      </c>
      <c r="AU438" s="1">
        <f t="shared" si="59"/>
        <v>3.4063033047923867</v>
      </c>
      <c r="AV438" s="1">
        <f t="shared" si="60"/>
        <v>2.7372257414745826</v>
      </c>
      <c r="AW438" s="1">
        <f t="shared" si="61"/>
        <v>2.0681481781567785</v>
      </c>
    </row>
    <row r="439" spans="1:49" x14ac:dyDescent="0.2">
      <c r="A439">
        <v>437</v>
      </c>
      <c r="B439" t="s">
        <v>3569</v>
      </c>
      <c r="C439" t="s">
        <v>3568</v>
      </c>
      <c r="F439" t="s">
        <v>3567</v>
      </c>
      <c r="G439" t="s">
        <v>14</v>
      </c>
      <c r="H439" t="s">
        <v>13</v>
      </c>
      <c r="I439" t="s">
        <v>3566</v>
      </c>
      <c r="J439">
        <v>60026415</v>
      </c>
      <c r="K439" t="s">
        <v>3565</v>
      </c>
      <c r="L439" t="s">
        <v>3564</v>
      </c>
      <c r="M439" t="s">
        <v>9</v>
      </c>
      <c r="N439">
        <v>3</v>
      </c>
      <c r="O439" t="s">
        <v>3563</v>
      </c>
      <c r="P439" t="s">
        <v>3562</v>
      </c>
      <c r="Q439" t="s">
        <v>3561</v>
      </c>
      <c r="R439" s="7">
        <v>31778</v>
      </c>
      <c r="S439" s="8">
        <f t="shared" si="56"/>
        <v>1987</v>
      </c>
      <c r="T439" s="8">
        <v>1987</v>
      </c>
      <c r="U439" s="8">
        <f t="shared" si="57"/>
        <v>35</v>
      </c>
      <c r="V439" s="7">
        <v>31959</v>
      </c>
      <c r="W439" t="s">
        <v>336</v>
      </c>
      <c r="X439" s="2">
        <v>1.6519999999999999</v>
      </c>
      <c r="Y439" s="6">
        <f t="shared" si="54"/>
        <v>4.409919649769093E-2</v>
      </c>
      <c r="AA439" t="s">
        <v>335</v>
      </c>
      <c r="AB439">
        <v>17337</v>
      </c>
      <c r="AC439">
        <v>15582221</v>
      </c>
      <c r="AD439" t="s">
        <v>4</v>
      </c>
      <c r="AE439">
        <v>35</v>
      </c>
      <c r="AF439">
        <v>7</v>
      </c>
      <c r="AH439" t="s">
        <v>3560</v>
      </c>
      <c r="AI439" t="s">
        <v>3559</v>
      </c>
      <c r="AK439" t="s">
        <v>3558</v>
      </c>
      <c r="AL439">
        <v>5</v>
      </c>
      <c r="AM439" s="5">
        <f t="shared" si="58"/>
        <v>0.14285714285714285</v>
      </c>
      <c r="AN439" s="4">
        <f t="shared" si="55"/>
        <v>2.1636825877643749E-4</v>
      </c>
      <c r="AO439" s="3"/>
      <c r="AP439">
        <v>0</v>
      </c>
      <c r="AR439" t="s">
        <v>0</v>
      </c>
      <c r="AT439" s="2" t="s">
        <v>32</v>
      </c>
      <c r="AU439" s="1">
        <f t="shared" si="59"/>
        <v>3.0934348026016583</v>
      </c>
      <c r="AV439" s="1">
        <f t="shared" si="60"/>
        <v>2.2157782378233684</v>
      </c>
      <c r="AW439" s="1">
        <f t="shared" si="61"/>
        <v>1.3381216730450785</v>
      </c>
    </row>
    <row r="440" spans="1:49" x14ac:dyDescent="0.2">
      <c r="A440">
        <v>438</v>
      </c>
      <c r="B440" t="s">
        <v>3557</v>
      </c>
      <c r="C440" t="s">
        <v>3556</v>
      </c>
      <c r="F440" t="s">
        <v>3555</v>
      </c>
      <c r="G440" t="s">
        <v>14</v>
      </c>
      <c r="H440" t="s">
        <v>13</v>
      </c>
      <c r="I440" t="s">
        <v>3554</v>
      </c>
      <c r="J440">
        <v>60009037</v>
      </c>
      <c r="K440" t="s">
        <v>600</v>
      </c>
      <c r="L440" t="s">
        <v>599</v>
      </c>
      <c r="M440" t="s">
        <v>9</v>
      </c>
      <c r="N440">
        <v>3</v>
      </c>
      <c r="O440" t="s">
        <v>3553</v>
      </c>
      <c r="P440" t="s">
        <v>3552</v>
      </c>
      <c r="Q440" t="s">
        <v>3360</v>
      </c>
      <c r="R440" s="7">
        <v>31778</v>
      </c>
      <c r="S440" s="8">
        <f t="shared" si="56"/>
        <v>1987</v>
      </c>
      <c r="T440" s="8">
        <v>1987</v>
      </c>
      <c r="U440" s="8">
        <f t="shared" si="57"/>
        <v>35</v>
      </c>
      <c r="V440" s="7">
        <v>31959</v>
      </c>
      <c r="W440" t="s">
        <v>336</v>
      </c>
      <c r="X440" s="2">
        <v>1.6519999999999999</v>
      </c>
      <c r="Y440" s="6">
        <f t="shared" si="54"/>
        <v>4.409919649769093E-2</v>
      </c>
      <c r="AA440" t="s">
        <v>335</v>
      </c>
      <c r="AB440">
        <v>17337</v>
      </c>
      <c r="AC440">
        <v>15582221</v>
      </c>
      <c r="AD440" t="s">
        <v>4</v>
      </c>
      <c r="AE440">
        <v>35</v>
      </c>
      <c r="AF440">
        <v>7</v>
      </c>
      <c r="AH440" t="s">
        <v>3551</v>
      </c>
      <c r="AI440" t="s">
        <v>3550</v>
      </c>
      <c r="AK440" t="s">
        <v>3549</v>
      </c>
      <c r="AL440">
        <v>3</v>
      </c>
      <c r="AM440" s="5">
        <f t="shared" si="58"/>
        <v>8.5714285714285715E-2</v>
      </c>
      <c r="AN440" s="4">
        <f t="shared" si="55"/>
        <v>1.2982095526586251E-4</v>
      </c>
      <c r="AO440" s="3"/>
      <c r="AP440">
        <v>0</v>
      </c>
      <c r="AR440" t="s">
        <v>0</v>
      </c>
      <c r="AT440" s="2" t="s">
        <v>32</v>
      </c>
      <c r="AU440" s="1">
        <f t="shared" si="59"/>
        <v>3.0908383834963407</v>
      </c>
      <c r="AV440" s="1">
        <f t="shared" si="60"/>
        <v>2.2114508726478395</v>
      </c>
      <c r="AW440" s="1">
        <f t="shared" si="61"/>
        <v>1.3320633617993383</v>
      </c>
    </row>
    <row r="441" spans="1:49" x14ac:dyDescent="0.2">
      <c r="A441">
        <v>439</v>
      </c>
      <c r="B441" t="s">
        <v>3548</v>
      </c>
      <c r="C441" t="s">
        <v>3547</v>
      </c>
      <c r="F441" t="s">
        <v>3546</v>
      </c>
      <c r="G441" t="s">
        <v>14</v>
      </c>
      <c r="H441" t="s">
        <v>13</v>
      </c>
      <c r="I441" t="s">
        <v>3545</v>
      </c>
      <c r="J441">
        <v>60028442</v>
      </c>
      <c r="K441" t="s">
        <v>2256</v>
      </c>
      <c r="L441" t="s">
        <v>2255</v>
      </c>
      <c r="M441" t="s">
        <v>2254</v>
      </c>
      <c r="N441">
        <v>1</v>
      </c>
      <c r="O441" t="s">
        <v>3544</v>
      </c>
      <c r="P441">
        <v>57220192155</v>
      </c>
      <c r="Q441">
        <v>60028442</v>
      </c>
      <c r="R441" s="7">
        <v>31778</v>
      </c>
      <c r="S441" s="8">
        <f t="shared" si="56"/>
        <v>1987</v>
      </c>
      <c r="T441" s="8">
        <v>1987</v>
      </c>
      <c r="U441" s="8">
        <f t="shared" si="57"/>
        <v>35</v>
      </c>
      <c r="V441" s="7">
        <v>31959</v>
      </c>
      <c r="W441" t="s">
        <v>336</v>
      </c>
      <c r="X441" s="2">
        <v>1.6519999999999999</v>
      </c>
      <c r="Y441" s="6">
        <f t="shared" si="54"/>
        <v>4.409919649769093E-2</v>
      </c>
      <c r="AA441" t="s">
        <v>335</v>
      </c>
      <c r="AB441">
        <v>17337</v>
      </c>
      <c r="AC441">
        <v>15582221</v>
      </c>
      <c r="AD441" t="s">
        <v>4</v>
      </c>
      <c r="AE441">
        <v>35</v>
      </c>
      <c r="AF441">
        <v>7</v>
      </c>
      <c r="AH441" t="s">
        <v>3543</v>
      </c>
      <c r="AI441" t="s">
        <v>3542</v>
      </c>
      <c r="AK441" t="s">
        <v>3541</v>
      </c>
      <c r="AL441">
        <v>5</v>
      </c>
      <c r="AM441" s="5">
        <f t="shared" si="58"/>
        <v>0.14285714285714285</v>
      </c>
      <c r="AN441" s="4">
        <f t="shared" si="55"/>
        <v>2.1636825877643749E-4</v>
      </c>
      <c r="AO441" s="3"/>
      <c r="AP441">
        <v>0</v>
      </c>
      <c r="AQ441" t="s">
        <v>1994</v>
      </c>
      <c r="AR441" t="s">
        <v>0</v>
      </c>
      <c r="AS441" t="s">
        <v>1993</v>
      </c>
      <c r="AT441" s="2" t="s">
        <v>32</v>
      </c>
      <c r="AU441" s="1">
        <f t="shared" si="59"/>
        <v>3.0934348026016583</v>
      </c>
      <c r="AV441" s="1">
        <f t="shared" si="60"/>
        <v>2.2157782378233684</v>
      </c>
      <c r="AW441" s="1">
        <f t="shared" si="61"/>
        <v>1.3381216730450785</v>
      </c>
    </row>
    <row r="442" spans="1:49" x14ac:dyDescent="0.2">
      <c r="A442">
        <v>440</v>
      </c>
      <c r="B442" t="s">
        <v>3540</v>
      </c>
      <c r="C442" t="s">
        <v>3539</v>
      </c>
      <c r="F442" t="s">
        <v>3538</v>
      </c>
      <c r="G442" t="s">
        <v>14</v>
      </c>
      <c r="H442" t="s">
        <v>13</v>
      </c>
      <c r="I442" t="s">
        <v>3537</v>
      </c>
      <c r="J442">
        <v>60012708</v>
      </c>
      <c r="K442" t="s">
        <v>100</v>
      </c>
      <c r="L442" t="s">
        <v>99</v>
      </c>
      <c r="M442" t="s">
        <v>9</v>
      </c>
      <c r="N442">
        <v>1</v>
      </c>
      <c r="O442" t="s">
        <v>3536</v>
      </c>
      <c r="P442">
        <v>6602465952</v>
      </c>
      <c r="Q442">
        <v>60012708</v>
      </c>
      <c r="R442" s="7">
        <v>31778</v>
      </c>
      <c r="S442" s="8">
        <f t="shared" si="56"/>
        <v>1987</v>
      </c>
      <c r="T442" s="8">
        <v>1987</v>
      </c>
      <c r="U442" s="8">
        <f t="shared" si="57"/>
        <v>35</v>
      </c>
      <c r="V442" s="7">
        <v>31959</v>
      </c>
      <c r="W442" t="s">
        <v>3535</v>
      </c>
      <c r="X442" s="2" t="s">
        <v>32</v>
      </c>
      <c r="Y442" s="6" t="e">
        <f t="shared" si="54"/>
        <v>#VALUE!</v>
      </c>
      <c r="AA442">
        <v>984094</v>
      </c>
      <c r="AB442">
        <v>40260</v>
      </c>
      <c r="AD442" t="s">
        <v>4</v>
      </c>
      <c r="AE442">
        <v>34</v>
      </c>
      <c r="AF442">
        <v>7</v>
      </c>
      <c r="AH442" t="s">
        <v>3534</v>
      </c>
      <c r="AI442" t="s">
        <v>3533</v>
      </c>
      <c r="AK442" t="s">
        <v>3532</v>
      </c>
      <c r="AL442">
        <v>7</v>
      </c>
      <c r="AM442" s="5">
        <f t="shared" si="58"/>
        <v>0.2</v>
      </c>
      <c r="AN442" s="4">
        <f t="shared" si="55"/>
        <v>3.0291556228701253E-4</v>
      </c>
      <c r="AO442" s="3"/>
      <c r="AP442">
        <v>0</v>
      </c>
      <c r="AR442" t="s">
        <v>0</v>
      </c>
      <c r="AT442" s="2" t="s">
        <v>32</v>
      </c>
      <c r="AU442" s="1" t="e">
        <f t="shared" si="59"/>
        <v>#VALUE!</v>
      </c>
      <c r="AV442" s="1" t="e">
        <f t="shared" si="60"/>
        <v>#VALUE!</v>
      </c>
      <c r="AW442" s="1" t="e">
        <f t="shared" si="61"/>
        <v>#VALUE!</v>
      </c>
    </row>
    <row r="443" spans="1:49" x14ac:dyDescent="0.2">
      <c r="A443">
        <v>441</v>
      </c>
      <c r="B443" t="s">
        <v>3531</v>
      </c>
      <c r="C443" t="s">
        <v>3530</v>
      </c>
      <c r="F443" t="s">
        <v>3529</v>
      </c>
      <c r="G443" t="s">
        <v>14</v>
      </c>
      <c r="H443" t="s">
        <v>13</v>
      </c>
      <c r="I443" t="s">
        <v>3528</v>
      </c>
      <c r="J443" t="s">
        <v>3527</v>
      </c>
      <c r="K443" t="s">
        <v>3526</v>
      </c>
      <c r="L443" t="s">
        <v>3525</v>
      </c>
      <c r="M443" t="s">
        <v>55</v>
      </c>
      <c r="N443">
        <v>3</v>
      </c>
      <c r="O443" t="s">
        <v>3524</v>
      </c>
      <c r="P443" t="s">
        <v>3523</v>
      </c>
      <c r="Q443" t="s">
        <v>3522</v>
      </c>
      <c r="R443" s="7">
        <v>31778</v>
      </c>
      <c r="S443" s="8">
        <f t="shared" si="56"/>
        <v>1987</v>
      </c>
      <c r="T443" s="8">
        <v>1987</v>
      </c>
      <c r="U443" s="8">
        <f t="shared" si="57"/>
        <v>35</v>
      </c>
      <c r="V443" s="7">
        <v>31959</v>
      </c>
      <c r="W443" t="s">
        <v>336</v>
      </c>
      <c r="X443" s="2">
        <v>1.6519999999999999</v>
      </c>
      <c r="Y443" s="6">
        <f t="shared" si="54"/>
        <v>4.409919649769093E-2</v>
      </c>
      <c r="AA443" t="s">
        <v>335</v>
      </c>
      <c r="AB443">
        <v>17337</v>
      </c>
      <c r="AC443">
        <v>15582221</v>
      </c>
      <c r="AD443" t="s">
        <v>4</v>
      </c>
      <c r="AE443">
        <v>35</v>
      </c>
      <c r="AF443">
        <v>7</v>
      </c>
      <c r="AH443" t="s">
        <v>3521</v>
      </c>
      <c r="AI443" t="s">
        <v>3520</v>
      </c>
      <c r="AK443" t="s">
        <v>3519</v>
      </c>
      <c r="AL443">
        <v>88</v>
      </c>
      <c r="AM443" s="5">
        <f t="shared" si="58"/>
        <v>2.5142857142857142</v>
      </c>
      <c r="AN443" s="4">
        <f t="shared" si="55"/>
        <v>3.8080813544653E-3</v>
      </c>
      <c r="AO443" s="3"/>
      <c r="AP443">
        <v>0</v>
      </c>
      <c r="AQ443" t="s">
        <v>3356</v>
      </c>
      <c r="AR443" t="s">
        <v>0</v>
      </c>
      <c r="AS443" t="s">
        <v>512</v>
      </c>
      <c r="AT443" s="2" t="s">
        <v>32</v>
      </c>
      <c r="AU443" s="1">
        <f t="shared" si="59"/>
        <v>3.201186195472324</v>
      </c>
      <c r="AV443" s="1">
        <f t="shared" si="60"/>
        <v>2.3953638926078118</v>
      </c>
      <c r="AW443" s="1">
        <f t="shared" si="61"/>
        <v>1.589541589743299</v>
      </c>
    </row>
    <row r="444" spans="1:49" x14ac:dyDescent="0.2">
      <c r="A444">
        <v>442</v>
      </c>
      <c r="B444" t="s">
        <v>3518</v>
      </c>
      <c r="C444" t="s">
        <v>3517</v>
      </c>
      <c r="F444" t="s">
        <v>3516</v>
      </c>
      <c r="G444" t="s">
        <v>14</v>
      </c>
      <c r="H444" t="s">
        <v>13</v>
      </c>
      <c r="I444" t="s">
        <v>3515</v>
      </c>
      <c r="J444">
        <v>60014652</v>
      </c>
      <c r="K444" t="s">
        <v>1344</v>
      </c>
      <c r="L444" t="s">
        <v>1343</v>
      </c>
      <c r="M444" t="s">
        <v>524</v>
      </c>
      <c r="N444">
        <v>3</v>
      </c>
      <c r="O444" t="s">
        <v>3514</v>
      </c>
      <c r="P444" t="s">
        <v>3513</v>
      </c>
      <c r="Q444" t="s">
        <v>1340</v>
      </c>
      <c r="R444" s="7">
        <v>31778</v>
      </c>
      <c r="S444" s="8">
        <f t="shared" si="56"/>
        <v>1987</v>
      </c>
      <c r="T444" s="8">
        <v>1987</v>
      </c>
      <c r="U444" s="8">
        <f t="shared" si="57"/>
        <v>35</v>
      </c>
      <c r="V444" s="7">
        <v>1987</v>
      </c>
      <c r="W444" t="s">
        <v>1909</v>
      </c>
      <c r="X444" s="2">
        <v>0.111</v>
      </c>
      <c r="Y444" s="6">
        <f t="shared" si="54"/>
        <v>2.9630816048690639E-3</v>
      </c>
      <c r="AA444">
        <v>87566621</v>
      </c>
      <c r="AB444">
        <v>24890</v>
      </c>
      <c r="AC444">
        <v>15206424</v>
      </c>
      <c r="AD444" t="s">
        <v>4</v>
      </c>
      <c r="AE444">
        <v>70</v>
      </c>
      <c r="AF444">
        <v>7</v>
      </c>
      <c r="AH444" t="s">
        <v>3512</v>
      </c>
      <c r="AI444" t="s">
        <v>3511</v>
      </c>
      <c r="AK444" t="s">
        <v>3510</v>
      </c>
      <c r="AL444">
        <v>0</v>
      </c>
      <c r="AM444" s="5">
        <f t="shared" si="58"/>
        <v>0</v>
      </c>
      <c r="AN444" s="4">
        <f t="shared" si="55"/>
        <v>0</v>
      </c>
      <c r="AO444" s="3"/>
      <c r="AP444">
        <v>0</v>
      </c>
      <c r="AR444" t="s">
        <v>0</v>
      </c>
      <c r="AT444" s="2" t="s">
        <v>32</v>
      </c>
      <c r="AU444" s="1">
        <f t="shared" si="59"/>
        <v>0.20741571234083445</v>
      </c>
      <c r="AV444" s="1">
        <f t="shared" si="60"/>
        <v>0.1481540802434532</v>
      </c>
      <c r="AW444" s="1">
        <f t="shared" si="61"/>
        <v>8.8892448146071903E-2</v>
      </c>
    </row>
    <row r="445" spans="1:49" x14ac:dyDescent="0.2">
      <c r="A445">
        <v>443</v>
      </c>
      <c r="B445" t="s">
        <v>3509</v>
      </c>
      <c r="C445" t="s">
        <v>3508</v>
      </c>
      <c r="F445" t="s">
        <v>3507</v>
      </c>
      <c r="G445" t="s">
        <v>14</v>
      </c>
      <c r="H445" t="s">
        <v>13</v>
      </c>
      <c r="I445" t="s">
        <v>3506</v>
      </c>
      <c r="J445">
        <v>60009697</v>
      </c>
      <c r="K445" t="s">
        <v>1573</v>
      </c>
      <c r="L445" t="s">
        <v>1572</v>
      </c>
      <c r="M445" t="s">
        <v>685</v>
      </c>
      <c r="N445">
        <v>3</v>
      </c>
      <c r="O445" t="s">
        <v>3505</v>
      </c>
      <c r="P445" t="s">
        <v>3504</v>
      </c>
      <c r="Q445" t="s">
        <v>3503</v>
      </c>
      <c r="R445" s="7">
        <v>31778</v>
      </c>
      <c r="S445" s="8">
        <f t="shared" si="56"/>
        <v>1987</v>
      </c>
      <c r="T445" s="8">
        <v>1987</v>
      </c>
      <c r="U445" s="8">
        <f t="shared" si="57"/>
        <v>35</v>
      </c>
      <c r="V445" s="7" t="s">
        <v>3372</v>
      </c>
      <c r="W445" t="s">
        <v>681</v>
      </c>
      <c r="X445" s="2" t="s">
        <v>32</v>
      </c>
      <c r="Y445" s="6" t="e">
        <f t="shared" si="54"/>
        <v>#VALUE!</v>
      </c>
      <c r="AA445">
        <v>7009216</v>
      </c>
      <c r="AB445">
        <v>39801</v>
      </c>
      <c r="AD445" t="s">
        <v>4</v>
      </c>
      <c r="AE445">
        <v>12</v>
      </c>
      <c r="AF445">
        <v>3</v>
      </c>
      <c r="AH445" t="s">
        <v>3502</v>
      </c>
      <c r="AI445" t="s">
        <v>3501</v>
      </c>
      <c r="AK445" t="s">
        <v>3500</v>
      </c>
      <c r="AL445">
        <v>1</v>
      </c>
      <c r="AM445" s="5">
        <f t="shared" si="58"/>
        <v>2.8571428571428571E-2</v>
      </c>
      <c r="AN445" s="4">
        <f t="shared" si="55"/>
        <v>4.32736517552875E-5</v>
      </c>
      <c r="AO445" s="3"/>
      <c r="AP445">
        <v>0</v>
      </c>
      <c r="AR445" t="s">
        <v>0</v>
      </c>
      <c r="AT445" s="2" t="s">
        <v>32</v>
      </c>
      <c r="AU445" s="1" t="e">
        <f t="shared" si="59"/>
        <v>#VALUE!</v>
      </c>
      <c r="AV445" s="1" t="e">
        <f t="shared" si="60"/>
        <v>#VALUE!</v>
      </c>
      <c r="AW445" s="1" t="e">
        <f t="shared" si="61"/>
        <v>#VALUE!</v>
      </c>
    </row>
    <row r="446" spans="1:49" x14ac:dyDescent="0.2">
      <c r="A446">
        <v>444</v>
      </c>
      <c r="B446" t="s">
        <v>3499</v>
      </c>
      <c r="C446" t="s">
        <v>3498</v>
      </c>
      <c r="F446" t="s">
        <v>3497</v>
      </c>
      <c r="G446" t="s">
        <v>14</v>
      </c>
      <c r="H446" t="s">
        <v>13</v>
      </c>
      <c r="I446" t="s">
        <v>3496</v>
      </c>
      <c r="N446">
        <v>3</v>
      </c>
      <c r="O446" t="s">
        <v>3495</v>
      </c>
      <c r="P446" t="s">
        <v>3494</v>
      </c>
      <c r="Q446" t="s">
        <v>171</v>
      </c>
      <c r="R446" s="7">
        <v>31778</v>
      </c>
      <c r="S446" s="8">
        <f t="shared" si="56"/>
        <v>1987</v>
      </c>
      <c r="T446" s="8">
        <v>1987</v>
      </c>
      <c r="U446" s="8">
        <f t="shared" si="57"/>
        <v>35</v>
      </c>
      <c r="V446" s="7" t="s">
        <v>3493</v>
      </c>
      <c r="W446" t="s">
        <v>472</v>
      </c>
      <c r="X446" s="2">
        <v>0.371</v>
      </c>
      <c r="Y446" s="6">
        <f t="shared" si="54"/>
        <v>9.9036331117695747E-3</v>
      </c>
      <c r="AA446">
        <v>486604</v>
      </c>
      <c r="AB446">
        <v>28580</v>
      </c>
      <c r="AC446" t="s">
        <v>471</v>
      </c>
      <c r="AD446" t="s">
        <v>4</v>
      </c>
      <c r="AE446">
        <v>22</v>
      </c>
      <c r="AF446">
        <v>4</v>
      </c>
      <c r="AH446" t="s">
        <v>3492</v>
      </c>
      <c r="AI446" t="s">
        <v>3491</v>
      </c>
      <c r="AK446" t="s">
        <v>3490</v>
      </c>
      <c r="AL446">
        <v>1</v>
      </c>
      <c r="AM446" s="5">
        <f t="shared" si="58"/>
        <v>2.8571428571428571E-2</v>
      </c>
      <c r="AN446" s="4">
        <f t="shared" si="55"/>
        <v>4.32736517552875E-5</v>
      </c>
      <c r="AO446" s="3"/>
      <c r="AP446">
        <v>0</v>
      </c>
      <c r="AR446" t="s">
        <v>0</v>
      </c>
      <c r="AT446" s="2">
        <v>1.431</v>
      </c>
      <c r="AU446" s="1">
        <f t="shared" si="59"/>
        <v>0.69455252737652884</v>
      </c>
      <c r="AV446" s="1">
        <f t="shared" si="60"/>
        <v>0.4973453381762431</v>
      </c>
      <c r="AW446" s="1">
        <f t="shared" si="61"/>
        <v>0.30013814897595736</v>
      </c>
    </row>
    <row r="447" spans="1:49" x14ac:dyDescent="0.2">
      <c r="A447">
        <v>445</v>
      </c>
      <c r="B447" t="s">
        <v>3489</v>
      </c>
      <c r="C447" t="s">
        <v>3488</v>
      </c>
      <c r="F447" t="s">
        <v>3487</v>
      </c>
      <c r="G447" t="s">
        <v>14</v>
      </c>
      <c r="H447" t="s">
        <v>13</v>
      </c>
      <c r="I447" t="s">
        <v>3486</v>
      </c>
      <c r="J447">
        <v>100349921</v>
      </c>
      <c r="K447" t="s">
        <v>3485</v>
      </c>
      <c r="L447" t="s">
        <v>2616</v>
      </c>
      <c r="M447" t="s">
        <v>1068</v>
      </c>
      <c r="N447">
        <v>3</v>
      </c>
      <c r="O447" t="s">
        <v>3484</v>
      </c>
      <c r="P447" t="s">
        <v>3483</v>
      </c>
      <c r="Q447" t="s">
        <v>3482</v>
      </c>
      <c r="R447" s="7">
        <v>31778</v>
      </c>
      <c r="S447" s="8">
        <f t="shared" si="56"/>
        <v>1987</v>
      </c>
      <c r="T447" s="8">
        <v>1987</v>
      </c>
      <c r="U447" s="8">
        <f t="shared" si="57"/>
        <v>35</v>
      </c>
      <c r="V447" s="7" t="s">
        <v>3481</v>
      </c>
      <c r="W447" t="s">
        <v>928</v>
      </c>
      <c r="X447" s="2">
        <v>0.218</v>
      </c>
      <c r="Y447" s="6">
        <f t="shared" si="54"/>
        <v>5.8193854942473512E-3</v>
      </c>
      <c r="AA447">
        <v>3772063</v>
      </c>
      <c r="AB447">
        <v>130012</v>
      </c>
      <c r="AD447" t="s">
        <v>4</v>
      </c>
      <c r="AE447">
        <v>33</v>
      </c>
      <c r="AF447">
        <v>4</v>
      </c>
      <c r="AH447" t="s">
        <v>3480</v>
      </c>
      <c r="AI447" t="s">
        <v>3479</v>
      </c>
      <c r="AK447" t="s">
        <v>3478</v>
      </c>
      <c r="AL447">
        <v>3</v>
      </c>
      <c r="AM447" s="5">
        <f t="shared" si="58"/>
        <v>8.5714285714285715E-2</v>
      </c>
      <c r="AN447" s="4">
        <f t="shared" si="55"/>
        <v>1.2982095526586251E-4</v>
      </c>
      <c r="AO447" s="3"/>
      <c r="AP447">
        <v>0</v>
      </c>
      <c r="AR447" t="s">
        <v>0</v>
      </c>
      <c r="AT447" s="2">
        <v>2.3330000000000002</v>
      </c>
      <c r="AU447" s="1">
        <f t="shared" si="59"/>
        <v>0.41125161325529047</v>
      </c>
      <c r="AV447" s="1">
        <f t="shared" si="60"/>
        <v>0.29746032247566068</v>
      </c>
      <c r="AW447" s="1">
        <f t="shared" si="61"/>
        <v>0.18366903169603091</v>
      </c>
    </row>
    <row r="448" spans="1:49" x14ac:dyDescent="0.2">
      <c r="A448">
        <v>446</v>
      </c>
      <c r="B448" t="s">
        <v>3477</v>
      </c>
      <c r="C448" t="s">
        <v>3476</v>
      </c>
      <c r="F448" t="s">
        <v>3475</v>
      </c>
      <c r="G448" t="s">
        <v>14</v>
      </c>
      <c r="H448" t="s">
        <v>13</v>
      </c>
      <c r="I448" t="s">
        <v>3474</v>
      </c>
      <c r="J448" t="s">
        <v>3469</v>
      </c>
      <c r="K448" t="s">
        <v>3473</v>
      </c>
      <c r="L448" t="s">
        <v>3472</v>
      </c>
      <c r="M448" t="s">
        <v>55</v>
      </c>
      <c r="N448">
        <v>2</v>
      </c>
      <c r="O448" t="s">
        <v>3471</v>
      </c>
      <c r="P448" t="s">
        <v>3470</v>
      </c>
      <c r="Q448" t="s">
        <v>3469</v>
      </c>
      <c r="R448" s="7">
        <v>31778</v>
      </c>
      <c r="S448" s="8">
        <f t="shared" si="56"/>
        <v>1987</v>
      </c>
      <c r="T448" s="8">
        <v>1987</v>
      </c>
      <c r="U448" s="8">
        <f t="shared" si="57"/>
        <v>35</v>
      </c>
      <c r="V448" s="7">
        <v>31959</v>
      </c>
      <c r="W448" t="s">
        <v>1040</v>
      </c>
      <c r="X448" s="2">
        <v>1.137</v>
      </c>
      <c r="Y448" s="6">
        <f t="shared" si="54"/>
        <v>3.0351565628253384E-2</v>
      </c>
      <c r="AA448">
        <v>189251</v>
      </c>
      <c r="AB448">
        <v>17336</v>
      </c>
      <c r="AD448" t="s">
        <v>4</v>
      </c>
      <c r="AE448" t="s">
        <v>1039</v>
      </c>
      <c r="AF448">
        <v>4</v>
      </c>
      <c r="AH448" t="s">
        <v>3468</v>
      </c>
      <c r="AI448" t="s">
        <v>3467</v>
      </c>
      <c r="AK448" t="s">
        <v>3466</v>
      </c>
      <c r="AL448">
        <v>19</v>
      </c>
      <c r="AM448" s="5">
        <f t="shared" si="58"/>
        <v>0.54285714285714282</v>
      </c>
      <c r="AN448" s="4">
        <f t="shared" si="55"/>
        <v>8.221993833504624E-4</v>
      </c>
      <c r="AO448" s="3"/>
      <c r="AP448">
        <v>0</v>
      </c>
      <c r="AR448" t="s">
        <v>0</v>
      </c>
      <c r="AT448" s="2" t="s">
        <v>32</v>
      </c>
      <c r="AU448" s="1">
        <f t="shared" si="59"/>
        <v>2.1492755754782507</v>
      </c>
      <c r="AV448" s="1">
        <f t="shared" si="60"/>
        <v>1.5586882505801922</v>
      </c>
      <c r="AW448" s="1">
        <f t="shared" si="61"/>
        <v>0.96810092568213391</v>
      </c>
    </row>
    <row r="449" spans="1:49" x14ac:dyDescent="0.2">
      <c r="A449">
        <v>447</v>
      </c>
      <c r="B449" t="s">
        <v>3465</v>
      </c>
      <c r="C449" t="s">
        <v>3464</v>
      </c>
      <c r="F449" t="s">
        <v>3463</v>
      </c>
      <c r="G449" t="s">
        <v>14</v>
      </c>
      <c r="H449" t="s">
        <v>13</v>
      </c>
      <c r="I449" t="s">
        <v>3462</v>
      </c>
      <c r="J449" t="s">
        <v>3456</v>
      </c>
      <c r="K449" t="s">
        <v>3461</v>
      </c>
      <c r="L449" t="s">
        <v>3460</v>
      </c>
      <c r="M449" t="s">
        <v>3459</v>
      </c>
      <c r="N449">
        <v>2</v>
      </c>
      <c r="O449" t="s">
        <v>3458</v>
      </c>
      <c r="P449" t="s">
        <v>3457</v>
      </c>
      <c r="Q449" t="s">
        <v>3456</v>
      </c>
      <c r="R449" s="7">
        <v>31778</v>
      </c>
      <c r="S449" s="8">
        <f t="shared" si="56"/>
        <v>1987</v>
      </c>
      <c r="T449" s="8">
        <v>1987</v>
      </c>
      <c r="U449" s="8">
        <f t="shared" si="57"/>
        <v>35</v>
      </c>
      <c r="V449" s="7">
        <v>31959</v>
      </c>
      <c r="W449" t="s">
        <v>1040</v>
      </c>
      <c r="X449" s="2">
        <v>1.137</v>
      </c>
      <c r="Y449" s="6">
        <f t="shared" si="54"/>
        <v>3.0351565628253384E-2</v>
      </c>
      <c r="AA449">
        <v>189251</v>
      </c>
      <c r="AB449">
        <v>17336</v>
      </c>
      <c r="AD449" t="s">
        <v>4</v>
      </c>
      <c r="AE449" t="s">
        <v>1039</v>
      </c>
      <c r="AF449">
        <v>4</v>
      </c>
      <c r="AH449" t="s">
        <v>3455</v>
      </c>
      <c r="AI449" t="s">
        <v>3454</v>
      </c>
      <c r="AK449" t="s">
        <v>3453</v>
      </c>
      <c r="AL449">
        <v>4</v>
      </c>
      <c r="AM449" s="5">
        <f t="shared" si="58"/>
        <v>0.11428571428571428</v>
      </c>
      <c r="AN449" s="4">
        <f t="shared" si="55"/>
        <v>1.7309460702115E-4</v>
      </c>
      <c r="AO449" s="3"/>
      <c r="AP449">
        <v>0</v>
      </c>
      <c r="AR449" t="s">
        <v>0</v>
      </c>
      <c r="AT449" s="2" t="s">
        <v>32</v>
      </c>
      <c r="AU449" s="1">
        <f t="shared" si="59"/>
        <v>2.1298024321883711</v>
      </c>
      <c r="AV449" s="1">
        <f t="shared" si="60"/>
        <v>1.5262330117637268</v>
      </c>
      <c r="AW449" s="1">
        <f t="shared" si="61"/>
        <v>0.92266359133908205</v>
      </c>
    </row>
    <row r="450" spans="1:49" x14ac:dyDescent="0.2">
      <c r="A450">
        <v>448</v>
      </c>
      <c r="B450" t="s">
        <v>3452</v>
      </c>
      <c r="C450" t="s">
        <v>3451</v>
      </c>
      <c r="F450" t="s">
        <v>3450</v>
      </c>
      <c r="G450" t="s">
        <v>14</v>
      </c>
      <c r="H450" t="s">
        <v>13</v>
      </c>
      <c r="I450" t="s">
        <v>3449</v>
      </c>
      <c r="J450" t="s">
        <v>3448</v>
      </c>
      <c r="K450" t="s">
        <v>3447</v>
      </c>
      <c r="L450" t="s">
        <v>3446</v>
      </c>
      <c r="M450" t="s">
        <v>3445</v>
      </c>
      <c r="N450">
        <v>2</v>
      </c>
      <c r="O450" t="s">
        <v>3444</v>
      </c>
      <c r="P450" t="s">
        <v>3443</v>
      </c>
      <c r="Q450" t="s">
        <v>3442</v>
      </c>
      <c r="R450" s="7">
        <v>31778</v>
      </c>
      <c r="S450" s="8">
        <f t="shared" si="56"/>
        <v>1987</v>
      </c>
      <c r="T450" s="8">
        <v>1987</v>
      </c>
      <c r="U450" s="8">
        <f t="shared" si="57"/>
        <v>35</v>
      </c>
      <c r="V450" s="7">
        <v>31959</v>
      </c>
      <c r="W450" t="s">
        <v>908</v>
      </c>
      <c r="X450" s="2">
        <v>1.774</v>
      </c>
      <c r="Y450" s="6">
        <f t="shared" ref="Y450:Y513" si="62">(X450-$Z$4)/($Z$3-$Z$4)</f>
        <v>4.7355916820159633E-2</v>
      </c>
      <c r="AA450">
        <v>295515</v>
      </c>
      <c r="AB450">
        <v>29066</v>
      </c>
      <c r="AC450">
        <v>17414326</v>
      </c>
      <c r="AD450" t="s">
        <v>4</v>
      </c>
      <c r="AE450">
        <v>27</v>
      </c>
      <c r="AF450">
        <v>7</v>
      </c>
      <c r="AH450" t="s">
        <v>3441</v>
      </c>
      <c r="AI450" t="s">
        <v>3440</v>
      </c>
      <c r="AK450" t="s">
        <v>3439</v>
      </c>
      <c r="AL450">
        <v>5</v>
      </c>
      <c r="AM450" s="5">
        <f t="shared" si="58"/>
        <v>0.14285714285714285</v>
      </c>
      <c r="AN450" s="4">
        <f t="shared" ref="AN450:AN513" si="63">(AM450-$AO$4)/($AO$3-$AO$4)</f>
        <v>2.1636825877643749E-4</v>
      </c>
      <c r="AO450" s="3"/>
      <c r="AP450">
        <v>0</v>
      </c>
      <c r="AR450" t="s">
        <v>0</v>
      </c>
      <c r="AT450" s="2">
        <v>3.1789999999999998</v>
      </c>
      <c r="AU450" s="1">
        <f t="shared" si="59"/>
        <v>3.3214052251744675</v>
      </c>
      <c r="AV450" s="1">
        <f t="shared" si="60"/>
        <v>2.3786142539468038</v>
      </c>
      <c r="AW450" s="1">
        <f t="shared" si="61"/>
        <v>1.4358232827191395</v>
      </c>
    </row>
    <row r="451" spans="1:49" x14ac:dyDescent="0.2">
      <c r="A451">
        <v>449</v>
      </c>
      <c r="B451" t="s">
        <v>3438</v>
      </c>
      <c r="C451" t="s">
        <v>3437</v>
      </c>
      <c r="F451" t="s">
        <v>3436</v>
      </c>
      <c r="G451" t="s">
        <v>14</v>
      </c>
      <c r="H451" t="s">
        <v>13</v>
      </c>
      <c r="I451" t="s">
        <v>1765</v>
      </c>
      <c r="J451">
        <v>60026838</v>
      </c>
      <c r="K451" t="s">
        <v>1764</v>
      </c>
      <c r="L451" t="s">
        <v>1763</v>
      </c>
      <c r="M451" t="s">
        <v>112</v>
      </c>
      <c r="N451">
        <v>1</v>
      </c>
      <c r="O451" t="s">
        <v>1762</v>
      </c>
      <c r="P451">
        <v>55106411800</v>
      </c>
      <c r="Q451">
        <v>60026838</v>
      </c>
      <c r="R451" s="7">
        <v>31778</v>
      </c>
      <c r="S451" s="8">
        <f t="shared" si="56"/>
        <v>1987</v>
      </c>
      <c r="T451" s="8">
        <v>1987</v>
      </c>
      <c r="U451" s="8">
        <f t="shared" si="57"/>
        <v>35</v>
      </c>
      <c r="V451" s="7">
        <v>31959</v>
      </c>
      <c r="W451" t="s">
        <v>908</v>
      </c>
      <c r="X451" s="2">
        <v>1.774</v>
      </c>
      <c r="Y451" s="6">
        <f t="shared" si="62"/>
        <v>4.7355916820159633E-2</v>
      </c>
      <c r="AA451">
        <v>295515</v>
      </c>
      <c r="AB451">
        <v>29066</v>
      </c>
      <c r="AC451">
        <v>17414326</v>
      </c>
      <c r="AD451" t="s">
        <v>4</v>
      </c>
      <c r="AE451">
        <v>27</v>
      </c>
      <c r="AF451">
        <v>7</v>
      </c>
      <c r="AH451" t="s">
        <v>3435</v>
      </c>
      <c r="AI451" t="s">
        <v>3434</v>
      </c>
      <c r="AK451" t="s">
        <v>3433</v>
      </c>
      <c r="AL451">
        <v>6</v>
      </c>
      <c r="AM451" s="5">
        <f t="shared" si="58"/>
        <v>0.17142857142857143</v>
      </c>
      <c r="AN451" s="4">
        <f t="shared" si="63"/>
        <v>2.5964191053172501E-4</v>
      </c>
      <c r="AO451" s="3"/>
      <c r="AP451">
        <v>0</v>
      </c>
      <c r="AR451" t="s">
        <v>0</v>
      </c>
      <c r="AT451" s="2">
        <v>3.1789999999999998</v>
      </c>
      <c r="AU451" s="1">
        <f t="shared" si="59"/>
        <v>3.3227034347271256</v>
      </c>
      <c r="AV451" s="1">
        <f t="shared" si="60"/>
        <v>2.3807779365345678</v>
      </c>
      <c r="AW451" s="1">
        <f t="shared" si="61"/>
        <v>1.4388524383420096</v>
      </c>
    </row>
    <row r="452" spans="1:49" x14ac:dyDescent="0.2">
      <c r="A452">
        <v>450</v>
      </c>
      <c r="B452" t="s">
        <v>3432</v>
      </c>
      <c r="C452" t="s">
        <v>3431</v>
      </c>
      <c r="F452" t="s">
        <v>3430</v>
      </c>
      <c r="G452" t="s">
        <v>14</v>
      </c>
      <c r="H452" t="s">
        <v>13</v>
      </c>
      <c r="I452" t="s">
        <v>3429</v>
      </c>
      <c r="J452" t="s">
        <v>3428</v>
      </c>
      <c r="K452" t="s">
        <v>3427</v>
      </c>
      <c r="L452" t="s">
        <v>3426</v>
      </c>
      <c r="M452" t="s">
        <v>1260</v>
      </c>
      <c r="N452">
        <v>1</v>
      </c>
      <c r="O452" t="s">
        <v>3425</v>
      </c>
      <c r="P452">
        <v>7202877999</v>
      </c>
      <c r="Q452" t="s">
        <v>3424</v>
      </c>
      <c r="R452" s="7">
        <v>31778</v>
      </c>
      <c r="S452" s="8">
        <f t="shared" si="56"/>
        <v>1987</v>
      </c>
      <c r="T452" s="8">
        <v>1987</v>
      </c>
      <c r="U452" s="8">
        <f t="shared" si="57"/>
        <v>35</v>
      </c>
      <c r="V452" s="7">
        <v>31959</v>
      </c>
      <c r="W452" t="s">
        <v>1040</v>
      </c>
      <c r="X452" s="2">
        <v>1.137</v>
      </c>
      <c r="Y452" s="6">
        <f t="shared" si="62"/>
        <v>3.0351565628253384E-2</v>
      </c>
      <c r="AA452">
        <v>189251</v>
      </c>
      <c r="AB452">
        <v>17336</v>
      </c>
      <c r="AD452" t="s">
        <v>4</v>
      </c>
      <c r="AE452" t="s">
        <v>1039</v>
      </c>
      <c r="AF452">
        <v>4</v>
      </c>
      <c r="AH452" t="s">
        <v>3423</v>
      </c>
      <c r="AI452" t="s">
        <v>3422</v>
      </c>
      <c r="AK452" t="s">
        <v>3421</v>
      </c>
      <c r="AL452">
        <v>2</v>
      </c>
      <c r="AM452" s="5">
        <f t="shared" si="58"/>
        <v>5.7142857142857141E-2</v>
      </c>
      <c r="AN452" s="4">
        <f t="shared" si="63"/>
        <v>8.6547303510575E-5</v>
      </c>
      <c r="AO452" s="3"/>
      <c r="AP452">
        <v>0</v>
      </c>
      <c r="AR452" t="s">
        <v>0</v>
      </c>
      <c r="AT452" s="2" t="s">
        <v>32</v>
      </c>
      <c r="AU452" s="1">
        <f t="shared" si="59"/>
        <v>2.1272060130830539</v>
      </c>
      <c r="AV452" s="1">
        <f t="shared" si="60"/>
        <v>1.5219056465881979</v>
      </c>
      <c r="AW452" s="1">
        <f t="shared" si="61"/>
        <v>0.91660528009334175</v>
      </c>
    </row>
    <row r="453" spans="1:49" x14ac:dyDescent="0.2">
      <c r="A453">
        <v>451</v>
      </c>
      <c r="B453" t="s">
        <v>3420</v>
      </c>
      <c r="C453" t="s">
        <v>3419</v>
      </c>
      <c r="F453" t="s">
        <v>3418</v>
      </c>
      <c r="G453" t="s">
        <v>14</v>
      </c>
      <c r="H453" t="s">
        <v>13</v>
      </c>
      <c r="I453" t="s">
        <v>3417</v>
      </c>
      <c r="J453">
        <v>60005304</v>
      </c>
      <c r="K453" t="s">
        <v>664</v>
      </c>
      <c r="L453" t="s">
        <v>663</v>
      </c>
      <c r="M453" t="s">
        <v>9</v>
      </c>
      <c r="N453">
        <v>2</v>
      </c>
      <c r="O453" t="s">
        <v>3416</v>
      </c>
      <c r="P453" t="s">
        <v>3415</v>
      </c>
      <c r="Q453" t="s">
        <v>739</v>
      </c>
      <c r="R453" s="7">
        <v>31778</v>
      </c>
      <c r="S453" s="8">
        <f t="shared" si="56"/>
        <v>1987</v>
      </c>
      <c r="T453" s="8">
        <v>1987</v>
      </c>
      <c r="U453" s="8">
        <f t="shared" si="57"/>
        <v>35</v>
      </c>
      <c r="V453" s="7">
        <v>31959</v>
      </c>
      <c r="W453" t="s">
        <v>1040</v>
      </c>
      <c r="X453" s="2">
        <v>1.137</v>
      </c>
      <c r="Y453" s="6">
        <f t="shared" si="62"/>
        <v>3.0351565628253384E-2</v>
      </c>
      <c r="AA453">
        <v>189251</v>
      </c>
      <c r="AB453">
        <v>17336</v>
      </c>
      <c r="AD453" t="s">
        <v>4</v>
      </c>
      <c r="AE453" t="s">
        <v>1039</v>
      </c>
      <c r="AF453">
        <v>4</v>
      </c>
      <c r="AH453" t="s">
        <v>3414</v>
      </c>
      <c r="AI453" t="s">
        <v>3413</v>
      </c>
      <c r="AK453" t="s">
        <v>3412</v>
      </c>
      <c r="AL453">
        <v>1</v>
      </c>
      <c r="AM453" s="5">
        <f t="shared" si="58"/>
        <v>2.8571428571428571E-2</v>
      </c>
      <c r="AN453" s="4">
        <f t="shared" si="63"/>
        <v>4.32736517552875E-5</v>
      </c>
      <c r="AO453" s="3"/>
      <c r="AP453">
        <v>0</v>
      </c>
      <c r="AR453" t="s">
        <v>0</v>
      </c>
      <c r="AT453" s="2" t="s">
        <v>32</v>
      </c>
      <c r="AU453" s="1">
        <f t="shared" si="59"/>
        <v>2.1259078035303953</v>
      </c>
      <c r="AV453" s="1">
        <f t="shared" si="60"/>
        <v>1.5197419640004337</v>
      </c>
      <c r="AW453" s="1">
        <f t="shared" si="61"/>
        <v>0.91357612447047176</v>
      </c>
    </row>
    <row r="454" spans="1:49" x14ac:dyDescent="0.2">
      <c r="A454">
        <v>452</v>
      </c>
      <c r="B454" t="s">
        <v>3411</v>
      </c>
      <c r="C454" t="s">
        <v>3410</v>
      </c>
      <c r="F454" t="s">
        <v>3409</v>
      </c>
      <c r="G454" t="s">
        <v>14</v>
      </c>
      <c r="H454" t="s">
        <v>13</v>
      </c>
      <c r="I454" t="s">
        <v>3408</v>
      </c>
      <c r="N454">
        <v>1</v>
      </c>
      <c r="O454" t="s">
        <v>3407</v>
      </c>
      <c r="P454">
        <v>7201745320</v>
      </c>
      <c r="R454" s="7">
        <v>31778</v>
      </c>
      <c r="S454" s="8">
        <f t="shared" si="56"/>
        <v>1987</v>
      </c>
      <c r="T454" s="8">
        <v>1987</v>
      </c>
      <c r="U454" s="8">
        <f t="shared" si="57"/>
        <v>35</v>
      </c>
      <c r="V454" s="7" t="s">
        <v>3372</v>
      </c>
      <c r="W454" t="s">
        <v>3406</v>
      </c>
      <c r="X454" s="2" t="s">
        <v>32</v>
      </c>
      <c r="Y454" s="6" t="e">
        <f t="shared" si="62"/>
        <v>#VALUE!</v>
      </c>
      <c r="AA454">
        <v>2559609</v>
      </c>
      <c r="AB454">
        <v>18958</v>
      </c>
      <c r="AD454" t="s">
        <v>4</v>
      </c>
      <c r="AE454">
        <v>4</v>
      </c>
      <c r="AF454">
        <v>7</v>
      </c>
      <c r="AH454" t="s">
        <v>3405</v>
      </c>
      <c r="AI454" t="s">
        <v>3404</v>
      </c>
      <c r="AK454" t="s">
        <v>3403</v>
      </c>
      <c r="AL454">
        <v>1</v>
      </c>
      <c r="AM454" s="5">
        <f t="shared" si="58"/>
        <v>2.8571428571428571E-2</v>
      </c>
      <c r="AN454" s="4">
        <f t="shared" si="63"/>
        <v>4.32736517552875E-5</v>
      </c>
      <c r="AO454" s="3"/>
      <c r="AP454">
        <v>0</v>
      </c>
      <c r="AR454" t="s">
        <v>0</v>
      </c>
      <c r="AT454" s="2" t="s">
        <v>32</v>
      </c>
      <c r="AU454" s="1" t="e">
        <f t="shared" si="59"/>
        <v>#VALUE!</v>
      </c>
      <c r="AV454" s="1" t="e">
        <f t="shared" si="60"/>
        <v>#VALUE!</v>
      </c>
      <c r="AW454" s="1" t="e">
        <f t="shared" si="61"/>
        <v>#VALUE!</v>
      </c>
    </row>
    <row r="455" spans="1:49" x14ac:dyDescent="0.2">
      <c r="A455">
        <v>453</v>
      </c>
      <c r="B455" t="s">
        <v>3402</v>
      </c>
      <c r="C455" t="s">
        <v>3401</v>
      </c>
      <c r="F455" t="s">
        <v>3400</v>
      </c>
      <c r="G455" t="s">
        <v>14</v>
      </c>
      <c r="H455" t="s">
        <v>13</v>
      </c>
      <c r="I455" t="s">
        <v>3399</v>
      </c>
      <c r="J455">
        <v>60005304</v>
      </c>
      <c r="K455" t="s">
        <v>664</v>
      </c>
      <c r="L455" t="s">
        <v>663</v>
      </c>
      <c r="M455" t="s">
        <v>9</v>
      </c>
      <c r="N455">
        <v>1</v>
      </c>
      <c r="O455" t="s">
        <v>3398</v>
      </c>
      <c r="P455">
        <v>7004942669</v>
      </c>
      <c r="Q455">
        <v>60005304</v>
      </c>
      <c r="R455" s="7">
        <v>31778</v>
      </c>
      <c r="S455" s="8">
        <f t="shared" si="56"/>
        <v>1987</v>
      </c>
      <c r="T455" s="8">
        <v>1987</v>
      </c>
      <c r="U455" s="8">
        <f t="shared" si="57"/>
        <v>35</v>
      </c>
      <c r="V455" s="7">
        <v>31959</v>
      </c>
      <c r="W455" t="s">
        <v>1040</v>
      </c>
      <c r="X455" s="2">
        <v>1.137</v>
      </c>
      <c r="Y455" s="6">
        <f t="shared" si="62"/>
        <v>3.0351565628253384E-2</v>
      </c>
      <c r="AA455">
        <v>189251</v>
      </c>
      <c r="AB455">
        <v>17336</v>
      </c>
      <c r="AD455" t="s">
        <v>4</v>
      </c>
      <c r="AE455" t="s">
        <v>1039</v>
      </c>
      <c r="AF455">
        <v>4</v>
      </c>
      <c r="AH455" t="s">
        <v>3397</v>
      </c>
      <c r="AI455" t="s">
        <v>3396</v>
      </c>
      <c r="AK455" t="s">
        <v>3395</v>
      </c>
      <c r="AL455">
        <v>8</v>
      </c>
      <c r="AM455" s="5">
        <f t="shared" si="58"/>
        <v>0.22857142857142856</v>
      </c>
      <c r="AN455" s="4">
        <f t="shared" si="63"/>
        <v>3.461892140423E-4</v>
      </c>
      <c r="AO455" s="3"/>
      <c r="AP455">
        <v>0</v>
      </c>
      <c r="AR455" t="s">
        <v>0</v>
      </c>
      <c r="AT455" s="2" t="s">
        <v>32</v>
      </c>
      <c r="AU455" s="1">
        <f t="shared" si="59"/>
        <v>2.1349952703990054</v>
      </c>
      <c r="AV455" s="1">
        <f t="shared" si="60"/>
        <v>1.5348877421147842</v>
      </c>
      <c r="AW455" s="1">
        <f t="shared" si="61"/>
        <v>0.93478021383056265</v>
      </c>
    </row>
    <row r="456" spans="1:49" x14ac:dyDescent="0.2">
      <c r="A456">
        <v>454</v>
      </c>
      <c r="B456" t="s">
        <v>3394</v>
      </c>
      <c r="C456" t="s">
        <v>3393</v>
      </c>
      <c r="F456" t="s">
        <v>3392</v>
      </c>
      <c r="G456" t="s">
        <v>14</v>
      </c>
      <c r="H456" t="s">
        <v>13</v>
      </c>
      <c r="I456" t="s">
        <v>3391</v>
      </c>
      <c r="J456" t="s">
        <v>3386</v>
      </c>
      <c r="K456" t="s">
        <v>3390</v>
      </c>
      <c r="L456" t="s">
        <v>3389</v>
      </c>
      <c r="M456" t="s">
        <v>55</v>
      </c>
      <c r="N456">
        <v>2</v>
      </c>
      <c r="O456" t="s">
        <v>3388</v>
      </c>
      <c r="P456" t="s">
        <v>3387</v>
      </c>
      <c r="Q456" t="s">
        <v>3386</v>
      </c>
      <c r="R456" s="7">
        <v>31778</v>
      </c>
      <c r="S456" s="8">
        <f t="shared" si="56"/>
        <v>1987</v>
      </c>
      <c r="T456" s="8">
        <v>1987</v>
      </c>
      <c r="U456" s="8">
        <f t="shared" si="57"/>
        <v>35</v>
      </c>
      <c r="V456" s="7">
        <v>31959</v>
      </c>
      <c r="W456" t="s">
        <v>1040</v>
      </c>
      <c r="X456" s="2">
        <v>1.137</v>
      </c>
      <c r="Y456" s="6">
        <f t="shared" si="62"/>
        <v>3.0351565628253384E-2</v>
      </c>
      <c r="AA456">
        <v>189251</v>
      </c>
      <c r="AB456">
        <v>17336</v>
      </c>
      <c r="AD456" t="s">
        <v>4</v>
      </c>
      <c r="AE456" t="s">
        <v>1039</v>
      </c>
      <c r="AF456">
        <v>4</v>
      </c>
      <c r="AH456" t="s">
        <v>3385</v>
      </c>
      <c r="AI456" t="s">
        <v>3384</v>
      </c>
      <c r="AK456" t="s">
        <v>3383</v>
      </c>
      <c r="AL456">
        <v>7</v>
      </c>
      <c r="AM456" s="5">
        <f t="shared" si="58"/>
        <v>0.2</v>
      </c>
      <c r="AN456" s="4">
        <f t="shared" si="63"/>
        <v>3.0291556228701253E-4</v>
      </c>
      <c r="AO456" s="3"/>
      <c r="AP456">
        <v>0</v>
      </c>
      <c r="AQ456" t="s">
        <v>3382</v>
      </c>
      <c r="AR456" t="s">
        <v>3381</v>
      </c>
      <c r="AS456" t="s">
        <v>3380</v>
      </c>
      <c r="AT456" s="2" t="s">
        <v>32</v>
      </c>
      <c r="AU456" s="1">
        <f t="shared" si="59"/>
        <v>2.1336970608463472</v>
      </c>
      <c r="AV456" s="1">
        <f t="shared" si="60"/>
        <v>1.5327240595270197</v>
      </c>
      <c r="AW456" s="1">
        <f t="shared" si="61"/>
        <v>0.93175105820769244</v>
      </c>
    </row>
    <row r="457" spans="1:49" x14ac:dyDescent="0.2">
      <c r="A457">
        <v>455</v>
      </c>
      <c r="B457" t="s">
        <v>3379</v>
      </c>
      <c r="C457" t="s">
        <v>3378</v>
      </c>
      <c r="F457" t="s">
        <v>3377</v>
      </c>
      <c r="G457" t="s">
        <v>14</v>
      </c>
      <c r="H457" t="s">
        <v>13</v>
      </c>
      <c r="I457" t="s">
        <v>3376</v>
      </c>
      <c r="J457">
        <v>60015465</v>
      </c>
      <c r="K457" t="s">
        <v>3375</v>
      </c>
      <c r="L457" t="s">
        <v>3374</v>
      </c>
      <c r="M457" t="s">
        <v>1068</v>
      </c>
      <c r="N457">
        <v>1</v>
      </c>
      <c r="O457" t="s">
        <v>3373</v>
      </c>
      <c r="P457">
        <v>57220955471</v>
      </c>
      <c r="Q457">
        <v>60015465</v>
      </c>
      <c r="R457" s="7">
        <v>31778</v>
      </c>
      <c r="S457" s="8">
        <f t="shared" si="56"/>
        <v>1987</v>
      </c>
      <c r="T457" s="8">
        <v>1987</v>
      </c>
      <c r="U457" s="8">
        <f t="shared" si="57"/>
        <v>35</v>
      </c>
      <c r="V457" s="7" t="s">
        <v>3372</v>
      </c>
      <c r="W457" t="s">
        <v>3371</v>
      </c>
      <c r="X457" s="2">
        <v>0.19800000000000001</v>
      </c>
      <c r="Y457" s="6">
        <f t="shared" si="62"/>
        <v>5.2854969167934656E-3</v>
      </c>
      <c r="AA457" t="s">
        <v>3370</v>
      </c>
      <c r="AB457">
        <v>17294</v>
      </c>
      <c r="AD457" t="s">
        <v>4</v>
      </c>
      <c r="AE457">
        <v>37</v>
      </c>
      <c r="AF457">
        <v>3</v>
      </c>
      <c r="AH457" t="s">
        <v>3369</v>
      </c>
      <c r="AI457" t="s">
        <v>3368</v>
      </c>
      <c r="AK457" t="s">
        <v>3367</v>
      </c>
      <c r="AL457">
        <v>0</v>
      </c>
      <c r="AM457" s="5">
        <f t="shared" si="58"/>
        <v>0</v>
      </c>
      <c r="AN457" s="4">
        <f t="shared" si="63"/>
        <v>0</v>
      </c>
      <c r="AO457" s="3"/>
      <c r="AP457">
        <v>0</v>
      </c>
      <c r="AR457" t="s">
        <v>0</v>
      </c>
      <c r="AT457" s="2">
        <v>0.70699999999999996</v>
      </c>
      <c r="AU457" s="1">
        <f t="shared" si="59"/>
        <v>0.36998478417554259</v>
      </c>
      <c r="AV457" s="1">
        <f t="shared" si="60"/>
        <v>0.26427484583967326</v>
      </c>
      <c r="AW457" s="1">
        <f t="shared" si="61"/>
        <v>0.15856490750380395</v>
      </c>
    </row>
    <row r="458" spans="1:49" x14ac:dyDescent="0.2">
      <c r="A458">
        <v>456</v>
      </c>
      <c r="B458" t="s">
        <v>3366</v>
      </c>
      <c r="C458" t="s">
        <v>3365</v>
      </c>
      <c r="F458" t="s">
        <v>3364</v>
      </c>
      <c r="G458" t="s">
        <v>14</v>
      </c>
      <c r="H458" t="s">
        <v>13</v>
      </c>
      <c r="I458" t="s">
        <v>3363</v>
      </c>
      <c r="J458">
        <v>60009037</v>
      </c>
      <c r="K458" t="s">
        <v>600</v>
      </c>
      <c r="L458" t="s">
        <v>599</v>
      </c>
      <c r="M458" t="s">
        <v>9</v>
      </c>
      <c r="N458">
        <v>3</v>
      </c>
      <c r="O458" t="s">
        <v>3362</v>
      </c>
      <c r="P458" t="s">
        <v>3361</v>
      </c>
      <c r="Q458" t="s">
        <v>3360</v>
      </c>
      <c r="R458" s="7">
        <v>31778</v>
      </c>
      <c r="S458" s="8">
        <f t="shared" si="56"/>
        <v>1987</v>
      </c>
      <c r="T458" s="8">
        <v>1987</v>
      </c>
      <c r="U458" s="8">
        <f t="shared" si="57"/>
        <v>35</v>
      </c>
      <c r="V458" s="7">
        <v>31959</v>
      </c>
      <c r="W458" t="s">
        <v>1040</v>
      </c>
      <c r="X458" s="2">
        <v>1.137</v>
      </c>
      <c r="Y458" s="6">
        <f t="shared" si="62"/>
        <v>3.0351565628253384E-2</v>
      </c>
      <c r="AA458">
        <v>189251</v>
      </c>
      <c r="AB458">
        <v>17336</v>
      </c>
      <c r="AD458" t="s">
        <v>4</v>
      </c>
      <c r="AE458" t="s">
        <v>1039</v>
      </c>
      <c r="AF458">
        <v>4</v>
      </c>
      <c r="AH458" t="s">
        <v>3359</v>
      </c>
      <c r="AI458" t="s">
        <v>3358</v>
      </c>
      <c r="AK458" t="s">
        <v>3357</v>
      </c>
      <c r="AL458">
        <v>99</v>
      </c>
      <c r="AM458" s="5">
        <f t="shared" si="58"/>
        <v>2.8285714285714287</v>
      </c>
      <c r="AN458" s="4">
        <f t="shared" si="63"/>
        <v>4.2840915237734624E-3</v>
      </c>
      <c r="AO458" s="3"/>
      <c r="AP458">
        <v>0</v>
      </c>
      <c r="AQ458" t="s">
        <v>3356</v>
      </c>
      <c r="AR458" t="s">
        <v>3355</v>
      </c>
      <c r="AS458" t="s">
        <v>512</v>
      </c>
      <c r="AT458" s="2" t="s">
        <v>32</v>
      </c>
      <c r="AU458" s="1">
        <f t="shared" si="59"/>
        <v>2.2531323396909406</v>
      </c>
      <c r="AV458" s="1">
        <f t="shared" si="60"/>
        <v>1.7317828576013425</v>
      </c>
      <c r="AW458" s="1">
        <f t="shared" si="61"/>
        <v>1.210433375511744</v>
      </c>
    </row>
    <row r="459" spans="1:49" x14ac:dyDescent="0.2">
      <c r="A459">
        <v>457</v>
      </c>
      <c r="B459" t="s">
        <v>3354</v>
      </c>
      <c r="C459" t="s">
        <v>3353</v>
      </c>
      <c r="F459" t="s">
        <v>3352</v>
      </c>
      <c r="G459" t="s">
        <v>14</v>
      </c>
      <c r="H459" t="s">
        <v>13</v>
      </c>
      <c r="I459" t="s">
        <v>3351</v>
      </c>
      <c r="J459">
        <v>60023456</v>
      </c>
      <c r="K459" t="s">
        <v>2242</v>
      </c>
      <c r="L459" t="s">
        <v>2241</v>
      </c>
      <c r="M459" t="s">
        <v>9</v>
      </c>
      <c r="N459">
        <v>1</v>
      </c>
      <c r="O459" t="s">
        <v>2240</v>
      </c>
      <c r="P459">
        <v>6603864754</v>
      </c>
      <c r="Q459">
        <v>60023456</v>
      </c>
      <c r="R459" s="7">
        <v>31778</v>
      </c>
      <c r="S459" s="8">
        <f t="shared" si="56"/>
        <v>1987</v>
      </c>
      <c r="T459" s="8">
        <v>1987</v>
      </c>
      <c r="U459" s="8">
        <f t="shared" si="57"/>
        <v>35</v>
      </c>
      <c r="V459" s="7">
        <v>31929</v>
      </c>
      <c r="W459" t="s">
        <v>1394</v>
      </c>
      <c r="X459" s="2">
        <v>2.9860000000000002</v>
      </c>
      <c r="Y459" s="6">
        <f t="shared" si="62"/>
        <v>7.9709564613865094E-2</v>
      </c>
      <c r="AA459">
        <v>7338716</v>
      </c>
      <c r="AB459">
        <v>18902</v>
      </c>
      <c r="AD459" t="s">
        <v>4</v>
      </c>
      <c r="AE459">
        <v>5</v>
      </c>
      <c r="AF459">
        <v>5</v>
      </c>
      <c r="AH459" t="s">
        <v>3350</v>
      </c>
      <c r="AI459" t="s">
        <v>3349</v>
      </c>
      <c r="AK459" t="s">
        <v>3348</v>
      </c>
      <c r="AL459">
        <v>17</v>
      </c>
      <c r="AM459" s="5">
        <f t="shared" si="58"/>
        <v>0.48571428571428571</v>
      </c>
      <c r="AN459" s="4">
        <f t="shared" si="63"/>
        <v>7.3565207983988746E-4</v>
      </c>
      <c r="AO459" s="3"/>
      <c r="AP459">
        <v>0</v>
      </c>
      <c r="AR459" t="s">
        <v>0</v>
      </c>
      <c r="AT459" s="2" t="s">
        <v>32</v>
      </c>
      <c r="AU459" s="1">
        <f t="shared" si="59"/>
        <v>5.6017390853657529</v>
      </c>
      <c r="AV459" s="1">
        <f t="shared" si="60"/>
        <v>4.0222608346852491</v>
      </c>
      <c r="AW459" s="1">
        <f t="shared" si="61"/>
        <v>2.4427825840047448</v>
      </c>
    </row>
    <row r="460" spans="1:49" x14ac:dyDescent="0.2">
      <c r="A460">
        <v>458</v>
      </c>
      <c r="B460" t="s">
        <v>3347</v>
      </c>
      <c r="C460" t="s">
        <v>3346</v>
      </c>
      <c r="F460" t="s">
        <v>3345</v>
      </c>
      <c r="G460" t="s">
        <v>14</v>
      </c>
      <c r="H460" t="s">
        <v>13</v>
      </c>
      <c r="I460" t="s">
        <v>3344</v>
      </c>
      <c r="J460">
        <v>60011132</v>
      </c>
      <c r="K460" t="s">
        <v>3343</v>
      </c>
      <c r="L460" t="s">
        <v>3342</v>
      </c>
      <c r="M460" t="s">
        <v>9</v>
      </c>
      <c r="N460">
        <v>1</v>
      </c>
      <c r="O460" t="s">
        <v>3341</v>
      </c>
      <c r="P460">
        <v>7003514705</v>
      </c>
      <c r="Q460">
        <v>60011132</v>
      </c>
      <c r="R460" s="7">
        <v>31778</v>
      </c>
      <c r="S460" s="8">
        <f t="shared" si="56"/>
        <v>1987</v>
      </c>
      <c r="T460" s="8">
        <v>1987</v>
      </c>
      <c r="U460" s="8">
        <f t="shared" si="57"/>
        <v>35</v>
      </c>
      <c r="V460" s="7">
        <v>31929</v>
      </c>
      <c r="W460" t="s">
        <v>2219</v>
      </c>
      <c r="X460" s="2">
        <v>0.78200000000000003</v>
      </c>
      <c r="Y460" s="6">
        <f t="shared" si="62"/>
        <v>2.0875043378446919E-2</v>
      </c>
      <c r="AA460">
        <v>189316</v>
      </c>
      <c r="AB460">
        <v>19901</v>
      </c>
      <c r="AC460">
        <v>15579611</v>
      </c>
      <c r="AD460" t="s">
        <v>4</v>
      </c>
      <c r="AE460" t="s">
        <v>2218</v>
      </c>
      <c r="AF460">
        <v>2</v>
      </c>
      <c r="AH460" t="s">
        <v>801</v>
      </c>
      <c r="AI460" t="s">
        <v>3340</v>
      </c>
      <c r="AK460" t="s">
        <v>3339</v>
      </c>
      <c r="AL460">
        <v>2</v>
      </c>
      <c r="AM460" s="5">
        <f t="shared" si="58"/>
        <v>5.7142857142857141E-2</v>
      </c>
      <c r="AN460" s="4">
        <f t="shared" si="63"/>
        <v>8.6547303510575E-5</v>
      </c>
      <c r="AO460" s="3"/>
      <c r="AP460">
        <v>0</v>
      </c>
      <c r="AR460" t="s">
        <v>0</v>
      </c>
      <c r="AT460" s="2">
        <v>3.863</v>
      </c>
      <c r="AU460" s="1">
        <f t="shared" si="59"/>
        <v>1.4638494555966015</v>
      </c>
      <c r="AV460" s="1">
        <f t="shared" si="60"/>
        <v>1.0480795340978746</v>
      </c>
      <c r="AW460" s="1">
        <f t="shared" si="61"/>
        <v>0.63230961259914775</v>
      </c>
    </row>
    <row r="461" spans="1:49" x14ac:dyDescent="0.2">
      <c r="A461">
        <v>459</v>
      </c>
      <c r="B461" t="s">
        <v>3338</v>
      </c>
      <c r="C461" t="s">
        <v>3337</v>
      </c>
      <c r="F461" t="s">
        <v>3336</v>
      </c>
      <c r="G461" t="s">
        <v>14</v>
      </c>
      <c r="H461" t="s">
        <v>13</v>
      </c>
      <c r="I461" t="s">
        <v>2798</v>
      </c>
      <c r="J461">
        <v>60003537</v>
      </c>
      <c r="K461" t="s">
        <v>2172</v>
      </c>
      <c r="L461" t="s">
        <v>2171</v>
      </c>
      <c r="M461" t="s">
        <v>9</v>
      </c>
      <c r="N461">
        <v>1</v>
      </c>
      <c r="O461" t="s">
        <v>3335</v>
      </c>
      <c r="P461">
        <v>7102497136</v>
      </c>
      <c r="Q461">
        <v>60003537</v>
      </c>
      <c r="R461" s="7">
        <v>31778</v>
      </c>
      <c r="S461" s="8">
        <f t="shared" si="56"/>
        <v>1987</v>
      </c>
      <c r="T461" s="8">
        <v>1987</v>
      </c>
      <c r="U461" s="8">
        <f t="shared" si="57"/>
        <v>35</v>
      </c>
      <c r="V461" s="7">
        <v>1987</v>
      </c>
      <c r="W461" t="s">
        <v>429</v>
      </c>
      <c r="X461" s="2">
        <v>0.375</v>
      </c>
      <c r="Y461" s="6">
        <f t="shared" si="62"/>
        <v>1.0010410827260351E-2</v>
      </c>
      <c r="AA461">
        <v>135194</v>
      </c>
      <c r="AB461">
        <v>24918</v>
      </c>
      <c r="AD461" t="s">
        <v>4</v>
      </c>
      <c r="AE461">
        <v>23</v>
      </c>
      <c r="AF461">
        <v>13</v>
      </c>
      <c r="AH461" t="s">
        <v>3334</v>
      </c>
      <c r="AI461" t="s">
        <v>3333</v>
      </c>
      <c r="AJ461" t="s">
        <v>3332</v>
      </c>
      <c r="AK461" t="s">
        <v>3331</v>
      </c>
      <c r="AL461">
        <v>9</v>
      </c>
      <c r="AM461" s="5">
        <f t="shared" si="58"/>
        <v>0.25714285714285712</v>
      </c>
      <c r="AN461" s="4">
        <f t="shared" si="63"/>
        <v>3.8946286579758747E-4</v>
      </c>
      <c r="AO461" s="3"/>
      <c r="AP461">
        <v>0</v>
      </c>
      <c r="AR461" t="s">
        <v>0</v>
      </c>
      <c r="AT461" s="2">
        <v>1.3140000000000001</v>
      </c>
      <c r="AU461" s="1">
        <f t="shared" si="59"/>
        <v>0.7124126438821522</v>
      </c>
      <c r="AV461" s="1">
        <f t="shared" si="60"/>
        <v>0.51999368465289697</v>
      </c>
      <c r="AW461" s="1">
        <f t="shared" si="61"/>
        <v>0.32757472542364163</v>
      </c>
    </row>
    <row r="462" spans="1:49" x14ac:dyDescent="0.2">
      <c r="A462">
        <v>460</v>
      </c>
      <c r="B462" t="s">
        <v>3330</v>
      </c>
      <c r="C462" t="s">
        <v>3329</v>
      </c>
      <c r="F462" t="s">
        <v>3328</v>
      </c>
      <c r="G462" t="s">
        <v>14</v>
      </c>
      <c r="H462" t="s">
        <v>13</v>
      </c>
      <c r="I462" t="s">
        <v>3327</v>
      </c>
      <c r="J462">
        <v>60009697</v>
      </c>
      <c r="K462" t="s">
        <v>1573</v>
      </c>
      <c r="L462" t="s">
        <v>1572</v>
      </c>
      <c r="M462" t="s">
        <v>685</v>
      </c>
      <c r="N462">
        <v>2</v>
      </c>
      <c r="O462" t="s">
        <v>3326</v>
      </c>
      <c r="P462" t="s">
        <v>3325</v>
      </c>
      <c r="Q462" t="s">
        <v>1569</v>
      </c>
      <c r="R462" s="7">
        <v>31778</v>
      </c>
      <c r="S462" s="8">
        <f t="shared" si="56"/>
        <v>1987</v>
      </c>
      <c r="T462" s="8">
        <v>1987</v>
      </c>
      <c r="U462" s="8">
        <f t="shared" si="57"/>
        <v>35</v>
      </c>
      <c r="V462" s="7">
        <v>31929</v>
      </c>
      <c r="W462" t="s">
        <v>336</v>
      </c>
      <c r="X462" s="2">
        <v>1.6519999999999999</v>
      </c>
      <c r="Y462" s="6">
        <f t="shared" si="62"/>
        <v>4.409919649769093E-2</v>
      </c>
      <c r="AA462" t="s">
        <v>335</v>
      </c>
      <c r="AB462">
        <v>17337</v>
      </c>
      <c r="AC462">
        <v>15582221</v>
      </c>
      <c r="AD462" t="s">
        <v>4</v>
      </c>
      <c r="AE462">
        <v>35</v>
      </c>
      <c r="AF462">
        <v>6</v>
      </c>
      <c r="AH462" t="s">
        <v>3324</v>
      </c>
      <c r="AI462" t="s">
        <v>3323</v>
      </c>
      <c r="AK462" t="s">
        <v>3322</v>
      </c>
      <c r="AL462">
        <v>1</v>
      </c>
      <c r="AM462" s="5">
        <f t="shared" si="58"/>
        <v>2.8571428571428571E-2</v>
      </c>
      <c r="AN462" s="4">
        <f t="shared" si="63"/>
        <v>4.32736517552875E-5</v>
      </c>
      <c r="AO462" s="3"/>
      <c r="AP462">
        <v>0</v>
      </c>
      <c r="AR462" t="s">
        <v>0</v>
      </c>
      <c r="AT462" s="2" t="s">
        <v>32</v>
      </c>
      <c r="AU462" s="1">
        <f t="shared" si="59"/>
        <v>3.0882419643910235</v>
      </c>
      <c r="AV462" s="1">
        <f t="shared" si="60"/>
        <v>2.2071235074723106</v>
      </c>
      <c r="AW462" s="1">
        <f t="shared" si="61"/>
        <v>1.3260050505535981</v>
      </c>
    </row>
    <row r="463" spans="1:49" x14ac:dyDescent="0.2">
      <c r="A463">
        <v>461</v>
      </c>
      <c r="B463" t="s">
        <v>3321</v>
      </c>
      <c r="C463" t="s">
        <v>3320</v>
      </c>
      <c r="F463" t="s">
        <v>3319</v>
      </c>
      <c r="G463" t="s">
        <v>14</v>
      </c>
      <c r="H463" t="s">
        <v>13</v>
      </c>
      <c r="I463" t="s">
        <v>3318</v>
      </c>
      <c r="J463">
        <v>60009658</v>
      </c>
      <c r="K463" t="s">
        <v>2449</v>
      </c>
      <c r="L463" t="s">
        <v>2448</v>
      </c>
      <c r="M463" t="s">
        <v>586</v>
      </c>
      <c r="N463">
        <v>3</v>
      </c>
      <c r="O463" t="s">
        <v>3317</v>
      </c>
      <c r="P463" t="s">
        <v>3316</v>
      </c>
      <c r="Q463" t="s">
        <v>3315</v>
      </c>
      <c r="R463" s="7">
        <v>31778</v>
      </c>
      <c r="S463" s="8">
        <f t="shared" si="56"/>
        <v>1987</v>
      </c>
      <c r="T463" s="8">
        <v>1987</v>
      </c>
      <c r="U463" s="8">
        <f t="shared" si="57"/>
        <v>35</v>
      </c>
      <c r="V463" s="7" t="s">
        <v>2985</v>
      </c>
      <c r="W463" s="11" t="s">
        <v>1382</v>
      </c>
      <c r="X463" s="2">
        <v>2.383</v>
      </c>
      <c r="Y463" s="6">
        <f t="shared" si="62"/>
        <v>6.3612824003630442E-2</v>
      </c>
      <c r="AA463" t="s">
        <v>1381</v>
      </c>
      <c r="AB463">
        <v>101151</v>
      </c>
      <c r="AD463" t="s">
        <v>4</v>
      </c>
      <c r="AE463">
        <v>134</v>
      </c>
      <c r="AF463">
        <v>3</v>
      </c>
      <c r="AH463" t="s">
        <v>3314</v>
      </c>
      <c r="AI463" t="s">
        <v>3313</v>
      </c>
      <c r="AK463" t="s">
        <v>3312</v>
      </c>
      <c r="AL463">
        <v>3</v>
      </c>
      <c r="AM463" s="5">
        <f t="shared" si="58"/>
        <v>8.5714285714285715E-2</v>
      </c>
      <c r="AN463" s="4">
        <f t="shared" si="63"/>
        <v>1.2982095526586251E-4</v>
      </c>
      <c r="AO463" s="3"/>
      <c r="AP463">
        <v>0</v>
      </c>
      <c r="AR463" t="s">
        <v>0</v>
      </c>
      <c r="AT463" s="2" t="s">
        <v>32</v>
      </c>
      <c r="AU463" s="1">
        <f t="shared" si="59"/>
        <v>4.4567923089121066</v>
      </c>
      <c r="AV463" s="1">
        <f t="shared" si="60"/>
        <v>3.1871322479448154</v>
      </c>
      <c r="AW463" s="1">
        <f t="shared" si="61"/>
        <v>1.9174721869775238</v>
      </c>
    </row>
    <row r="464" spans="1:49" x14ac:dyDescent="0.2">
      <c r="A464">
        <v>462</v>
      </c>
      <c r="B464" t="s">
        <v>3311</v>
      </c>
      <c r="C464" t="s">
        <v>3310</v>
      </c>
      <c r="F464" t="s">
        <v>3309</v>
      </c>
      <c r="G464" t="s">
        <v>14</v>
      </c>
      <c r="H464" t="s">
        <v>13</v>
      </c>
      <c r="I464" t="s">
        <v>932</v>
      </c>
      <c r="J464">
        <v>60014097</v>
      </c>
      <c r="K464" t="s">
        <v>2758</v>
      </c>
      <c r="L464" t="s">
        <v>2757</v>
      </c>
      <c r="M464" t="s">
        <v>1068</v>
      </c>
      <c r="N464">
        <v>3</v>
      </c>
      <c r="O464" t="s">
        <v>931</v>
      </c>
      <c r="P464" t="s">
        <v>930</v>
      </c>
      <c r="Q464" t="s">
        <v>2754</v>
      </c>
      <c r="R464" s="7">
        <v>31778</v>
      </c>
      <c r="S464" s="8">
        <f t="shared" si="56"/>
        <v>1987</v>
      </c>
      <c r="T464" s="8">
        <v>1987</v>
      </c>
      <c r="U464" s="8">
        <f t="shared" si="57"/>
        <v>35</v>
      </c>
      <c r="V464" s="7" t="s">
        <v>2985</v>
      </c>
      <c r="W464" s="11" t="s">
        <v>1382</v>
      </c>
      <c r="X464" s="2">
        <v>2.383</v>
      </c>
      <c r="Y464" s="6">
        <f t="shared" si="62"/>
        <v>6.3612824003630442E-2</v>
      </c>
      <c r="AA464" t="s">
        <v>1381</v>
      </c>
      <c r="AB464">
        <v>101151</v>
      </c>
      <c r="AD464" t="s">
        <v>4</v>
      </c>
      <c r="AE464">
        <v>134</v>
      </c>
      <c r="AF464">
        <v>3</v>
      </c>
      <c r="AH464" t="s">
        <v>3308</v>
      </c>
      <c r="AI464" t="s">
        <v>3307</v>
      </c>
      <c r="AK464" t="s">
        <v>3306</v>
      </c>
      <c r="AL464">
        <v>6</v>
      </c>
      <c r="AM464" s="5">
        <f t="shared" si="58"/>
        <v>0.17142857142857143</v>
      </c>
      <c r="AN464" s="4">
        <f t="shared" si="63"/>
        <v>2.5964191053172501E-4</v>
      </c>
      <c r="AO464" s="3"/>
      <c r="AP464">
        <v>0</v>
      </c>
      <c r="AR464" t="s">
        <v>0</v>
      </c>
      <c r="AT464" s="2" t="s">
        <v>32</v>
      </c>
      <c r="AU464" s="1">
        <f t="shared" si="59"/>
        <v>4.4606869375700828</v>
      </c>
      <c r="AV464" s="1">
        <f t="shared" si="60"/>
        <v>3.1936232957081083</v>
      </c>
      <c r="AW464" s="1">
        <f t="shared" si="61"/>
        <v>1.926559653846134</v>
      </c>
    </row>
    <row r="465" spans="1:49" x14ac:dyDescent="0.2">
      <c r="A465">
        <v>463</v>
      </c>
      <c r="B465" t="s">
        <v>3305</v>
      </c>
      <c r="C465" t="s">
        <v>3304</v>
      </c>
      <c r="F465" t="s">
        <v>3303</v>
      </c>
      <c r="G465" t="s">
        <v>14</v>
      </c>
      <c r="H465" t="s">
        <v>13</v>
      </c>
      <c r="I465" t="s">
        <v>2898</v>
      </c>
      <c r="J465">
        <v>60019656</v>
      </c>
      <c r="K465" t="s">
        <v>2897</v>
      </c>
      <c r="L465" t="s">
        <v>2896</v>
      </c>
      <c r="M465" t="s">
        <v>586</v>
      </c>
      <c r="N465">
        <v>2</v>
      </c>
      <c r="O465" t="s">
        <v>2895</v>
      </c>
      <c r="P465" t="s">
        <v>2894</v>
      </c>
      <c r="Q465" t="s">
        <v>2893</v>
      </c>
      <c r="R465" s="7">
        <v>31778</v>
      </c>
      <c r="S465" s="8">
        <f t="shared" si="56"/>
        <v>1987</v>
      </c>
      <c r="T465" s="8">
        <v>1987</v>
      </c>
      <c r="U465" s="8">
        <f t="shared" si="57"/>
        <v>35</v>
      </c>
      <c r="V465" s="7" t="s">
        <v>2985</v>
      </c>
      <c r="W465" s="11" t="s">
        <v>1382</v>
      </c>
      <c r="X465" s="2">
        <v>2.383</v>
      </c>
      <c r="Y465" s="6">
        <f t="shared" si="62"/>
        <v>6.3612824003630442E-2</v>
      </c>
      <c r="AA465" t="s">
        <v>1381</v>
      </c>
      <c r="AB465">
        <v>101151</v>
      </c>
      <c r="AD465" t="s">
        <v>4</v>
      </c>
      <c r="AE465">
        <v>134</v>
      </c>
      <c r="AF465">
        <v>3</v>
      </c>
      <c r="AH465" t="s">
        <v>3302</v>
      </c>
      <c r="AI465" t="s">
        <v>3301</v>
      </c>
      <c r="AK465" t="s">
        <v>3300</v>
      </c>
      <c r="AL465">
        <v>10</v>
      </c>
      <c r="AM465" s="5">
        <f t="shared" si="58"/>
        <v>0.2857142857142857</v>
      </c>
      <c r="AN465" s="4">
        <f t="shared" si="63"/>
        <v>4.3273651755287499E-4</v>
      </c>
      <c r="AO465" s="3"/>
      <c r="AP465">
        <v>0</v>
      </c>
      <c r="AR465" t="s">
        <v>0</v>
      </c>
      <c r="AT465" s="2" t="s">
        <v>32</v>
      </c>
      <c r="AU465" s="1">
        <f t="shared" si="59"/>
        <v>4.4658797757807172</v>
      </c>
      <c r="AV465" s="1">
        <f t="shared" si="60"/>
        <v>3.2022780260591661</v>
      </c>
      <c r="AW465" s="1">
        <f t="shared" si="61"/>
        <v>1.9386762763376146</v>
      </c>
    </row>
    <row r="466" spans="1:49" x14ac:dyDescent="0.2">
      <c r="A466">
        <v>464</v>
      </c>
      <c r="B466" t="s">
        <v>3299</v>
      </c>
      <c r="C466" t="s">
        <v>3298</v>
      </c>
      <c r="F466" t="s">
        <v>3297</v>
      </c>
      <c r="G466" t="s">
        <v>14</v>
      </c>
      <c r="H466" t="s">
        <v>13</v>
      </c>
      <c r="I466" t="s">
        <v>3296</v>
      </c>
      <c r="J466">
        <v>60013506</v>
      </c>
      <c r="K466" t="s">
        <v>1419</v>
      </c>
      <c r="L466" t="s">
        <v>1418</v>
      </c>
      <c r="M466" t="s">
        <v>685</v>
      </c>
      <c r="N466">
        <v>2</v>
      </c>
      <c r="O466" t="s">
        <v>3295</v>
      </c>
      <c r="P466" t="s">
        <v>3294</v>
      </c>
      <c r="Q466" t="s">
        <v>2378</v>
      </c>
      <c r="R466" s="7">
        <v>31778</v>
      </c>
      <c r="S466" s="8">
        <f t="shared" si="56"/>
        <v>1987</v>
      </c>
      <c r="T466" s="8">
        <v>1987</v>
      </c>
      <c r="U466" s="8">
        <f t="shared" si="57"/>
        <v>35</v>
      </c>
      <c r="V466" s="7">
        <v>31929</v>
      </c>
      <c r="W466" t="s">
        <v>336</v>
      </c>
      <c r="X466" s="2">
        <v>1.6519999999999999</v>
      </c>
      <c r="Y466" s="6">
        <f t="shared" si="62"/>
        <v>4.409919649769093E-2</v>
      </c>
      <c r="AA466" t="s">
        <v>335</v>
      </c>
      <c r="AB466">
        <v>17337</v>
      </c>
      <c r="AC466">
        <v>15582221</v>
      </c>
      <c r="AD466" t="s">
        <v>4</v>
      </c>
      <c r="AE466">
        <v>35</v>
      </c>
      <c r="AF466">
        <v>6</v>
      </c>
      <c r="AH466" t="s">
        <v>3293</v>
      </c>
      <c r="AI466" t="s">
        <v>3292</v>
      </c>
      <c r="AK466" t="s">
        <v>3291</v>
      </c>
      <c r="AL466">
        <v>8</v>
      </c>
      <c r="AM466" s="5">
        <f t="shared" si="58"/>
        <v>0.22857142857142856</v>
      </c>
      <c r="AN466" s="4">
        <f t="shared" si="63"/>
        <v>3.461892140423E-4</v>
      </c>
      <c r="AO466" s="3"/>
      <c r="AP466">
        <v>0</v>
      </c>
      <c r="AR466" t="s">
        <v>3290</v>
      </c>
      <c r="AT466" s="2" t="s">
        <v>32</v>
      </c>
      <c r="AU466" s="1">
        <f t="shared" si="59"/>
        <v>3.097329431259634</v>
      </c>
      <c r="AV466" s="1">
        <f t="shared" si="60"/>
        <v>2.2222692855866617</v>
      </c>
      <c r="AW466" s="1">
        <f t="shared" si="61"/>
        <v>1.347209139913689</v>
      </c>
    </row>
    <row r="467" spans="1:49" x14ac:dyDescent="0.2">
      <c r="A467">
        <v>465</v>
      </c>
      <c r="B467" t="s">
        <v>3289</v>
      </c>
      <c r="C467" t="s">
        <v>3288</v>
      </c>
      <c r="F467" t="s">
        <v>3287</v>
      </c>
      <c r="G467" t="s">
        <v>14</v>
      </c>
      <c r="H467" t="s">
        <v>13</v>
      </c>
      <c r="I467" t="s">
        <v>3286</v>
      </c>
      <c r="J467">
        <v>60022148</v>
      </c>
      <c r="K467" t="s">
        <v>3285</v>
      </c>
      <c r="L467" t="s">
        <v>587</v>
      </c>
      <c r="M467" t="s">
        <v>586</v>
      </c>
      <c r="N467">
        <v>1</v>
      </c>
      <c r="O467" t="s">
        <v>3284</v>
      </c>
      <c r="P467">
        <v>7005651378</v>
      </c>
      <c r="Q467">
        <v>60022148</v>
      </c>
      <c r="R467" s="7">
        <v>31778</v>
      </c>
      <c r="S467" s="8">
        <f t="shared" si="56"/>
        <v>1987</v>
      </c>
      <c r="T467" s="8">
        <v>1987</v>
      </c>
      <c r="U467" s="8">
        <f t="shared" si="57"/>
        <v>35</v>
      </c>
      <c r="V467" s="7" t="s">
        <v>2985</v>
      </c>
      <c r="W467" s="11" t="s">
        <v>1382</v>
      </c>
      <c r="X467" s="2">
        <v>2.383</v>
      </c>
      <c r="Y467" s="6">
        <f t="shared" si="62"/>
        <v>6.3612824003630442E-2</v>
      </c>
      <c r="AA467" t="s">
        <v>1381</v>
      </c>
      <c r="AB467">
        <v>101151</v>
      </c>
      <c r="AD467" t="s">
        <v>4</v>
      </c>
      <c r="AE467">
        <v>134</v>
      </c>
      <c r="AF467">
        <v>3</v>
      </c>
      <c r="AH467" t="s">
        <v>3283</v>
      </c>
      <c r="AI467" t="s">
        <v>3282</v>
      </c>
      <c r="AK467" t="s">
        <v>3281</v>
      </c>
      <c r="AL467">
        <v>14</v>
      </c>
      <c r="AM467" s="5">
        <f t="shared" si="58"/>
        <v>0.4</v>
      </c>
      <c r="AN467" s="4">
        <f t="shared" si="63"/>
        <v>6.0583112457402507E-4</v>
      </c>
      <c r="AO467" s="3"/>
      <c r="AP467">
        <v>0</v>
      </c>
      <c r="AR467" t="s">
        <v>0</v>
      </c>
      <c r="AT467" s="2" t="s">
        <v>32</v>
      </c>
      <c r="AU467" s="1">
        <f t="shared" si="59"/>
        <v>4.4710726139913515</v>
      </c>
      <c r="AV467" s="1">
        <f t="shared" si="60"/>
        <v>3.210932756410223</v>
      </c>
      <c r="AW467" s="1">
        <f t="shared" si="61"/>
        <v>1.950792898829095</v>
      </c>
    </row>
    <row r="468" spans="1:49" x14ac:dyDescent="0.2">
      <c r="A468">
        <v>466</v>
      </c>
      <c r="B468" t="s">
        <v>3280</v>
      </c>
      <c r="C468" t="s">
        <v>3279</v>
      </c>
      <c r="F468" t="s">
        <v>3278</v>
      </c>
      <c r="G468" t="s">
        <v>14</v>
      </c>
      <c r="H468" t="s">
        <v>13</v>
      </c>
      <c r="I468" t="s">
        <v>3277</v>
      </c>
      <c r="J468" t="s">
        <v>3276</v>
      </c>
      <c r="K468" t="s">
        <v>3275</v>
      </c>
      <c r="L468" t="s">
        <v>3274</v>
      </c>
      <c r="M468" t="s">
        <v>55</v>
      </c>
      <c r="N468">
        <v>3</v>
      </c>
      <c r="O468" t="s">
        <v>3273</v>
      </c>
      <c r="P468" t="s">
        <v>3272</v>
      </c>
      <c r="Q468" t="s">
        <v>3271</v>
      </c>
      <c r="R468" s="7">
        <v>31778</v>
      </c>
      <c r="S468" s="8">
        <f t="shared" si="56"/>
        <v>1987</v>
      </c>
      <c r="T468" s="8">
        <v>1987</v>
      </c>
      <c r="U468" s="8">
        <f t="shared" si="57"/>
        <v>35</v>
      </c>
      <c r="V468" s="7">
        <v>31929</v>
      </c>
      <c r="W468" t="s">
        <v>1702</v>
      </c>
      <c r="X468" s="2">
        <v>0.46</v>
      </c>
      <c r="Y468" s="6">
        <f t="shared" si="62"/>
        <v>1.2279437281439364E-2</v>
      </c>
      <c r="AA468">
        <v>933813</v>
      </c>
      <c r="AB468">
        <v>28031</v>
      </c>
      <c r="AC468">
        <v>19399375</v>
      </c>
      <c r="AD468" t="s">
        <v>4</v>
      </c>
      <c r="AE468">
        <v>15</v>
      </c>
      <c r="AF468">
        <v>3</v>
      </c>
      <c r="AH468" t="s">
        <v>3270</v>
      </c>
      <c r="AI468" t="s">
        <v>3269</v>
      </c>
      <c r="AK468" t="s">
        <v>3268</v>
      </c>
      <c r="AL468">
        <v>9</v>
      </c>
      <c r="AM468" s="5">
        <f t="shared" si="58"/>
        <v>0.25714285714285712</v>
      </c>
      <c r="AN468" s="4">
        <f t="shared" si="63"/>
        <v>3.8946286579758747E-4</v>
      </c>
      <c r="AO468" s="3"/>
      <c r="AP468">
        <v>0</v>
      </c>
      <c r="AR468" t="s">
        <v>0</v>
      </c>
      <c r="AT468" s="2">
        <v>1.222</v>
      </c>
      <c r="AU468" s="1">
        <f t="shared" si="59"/>
        <v>0.87124449567468287</v>
      </c>
      <c r="AV468" s="1">
        <f t="shared" si="60"/>
        <v>0.63344500736184761</v>
      </c>
      <c r="AW468" s="1">
        <f t="shared" si="61"/>
        <v>0.39564551904901202</v>
      </c>
    </row>
    <row r="469" spans="1:49" x14ac:dyDescent="0.2">
      <c r="A469">
        <v>467</v>
      </c>
      <c r="B469" t="s">
        <v>3267</v>
      </c>
      <c r="C469" t="s">
        <v>3266</v>
      </c>
      <c r="F469" t="s">
        <v>3265</v>
      </c>
      <c r="G469" t="s">
        <v>14</v>
      </c>
      <c r="H469" t="s">
        <v>13</v>
      </c>
      <c r="I469" t="s">
        <v>3264</v>
      </c>
      <c r="J469">
        <v>100331141</v>
      </c>
      <c r="K469" t="s">
        <v>3263</v>
      </c>
      <c r="L469" t="s">
        <v>3262</v>
      </c>
      <c r="M469" t="s">
        <v>9</v>
      </c>
      <c r="N469">
        <v>1</v>
      </c>
      <c r="O469" t="s">
        <v>3261</v>
      </c>
      <c r="P469">
        <v>7006382417</v>
      </c>
      <c r="Q469">
        <v>100331141</v>
      </c>
      <c r="R469" s="7">
        <v>31778</v>
      </c>
      <c r="S469" s="8">
        <f t="shared" si="56"/>
        <v>1987</v>
      </c>
      <c r="T469" s="8">
        <v>1987</v>
      </c>
      <c r="U469" s="8">
        <f t="shared" si="57"/>
        <v>35</v>
      </c>
      <c r="V469" s="7">
        <v>31929</v>
      </c>
      <c r="W469" t="s">
        <v>336</v>
      </c>
      <c r="X469" s="2">
        <v>1.6519999999999999</v>
      </c>
      <c r="Y469" s="6">
        <f t="shared" si="62"/>
        <v>4.409919649769093E-2</v>
      </c>
      <c r="AA469" t="s">
        <v>335</v>
      </c>
      <c r="AB469">
        <v>17337</v>
      </c>
      <c r="AC469">
        <v>15582221</v>
      </c>
      <c r="AD469" t="s">
        <v>4</v>
      </c>
      <c r="AE469">
        <v>35</v>
      </c>
      <c r="AF469">
        <v>6</v>
      </c>
      <c r="AH469" t="s">
        <v>3260</v>
      </c>
      <c r="AI469" t="s">
        <v>3259</v>
      </c>
      <c r="AK469" t="s">
        <v>3258</v>
      </c>
      <c r="AL469">
        <v>49</v>
      </c>
      <c r="AM469" s="5">
        <f t="shared" si="58"/>
        <v>1.4</v>
      </c>
      <c r="AN469" s="4">
        <f t="shared" si="63"/>
        <v>2.1204089360090874E-3</v>
      </c>
      <c r="AO469" s="3"/>
      <c r="AP469">
        <v>0</v>
      </c>
      <c r="AR469" t="s">
        <v>0</v>
      </c>
      <c r="AT469" s="2" t="s">
        <v>32</v>
      </c>
      <c r="AU469" s="1">
        <f t="shared" si="59"/>
        <v>3.150556022918638</v>
      </c>
      <c r="AV469" s="1">
        <f t="shared" si="60"/>
        <v>2.310980271685001</v>
      </c>
      <c r="AW469" s="1">
        <f t="shared" si="61"/>
        <v>1.4714045204513639</v>
      </c>
    </row>
    <row r="470" spans="1:49" x14ac:dyDescent="0.2">
      <c r="A470">
        <v>468</v>
      </c>
      <c r="B470" t="s">
        <v>3257</v>
      </c>
      <c r="C470" t="s">
        <v>3256</v>
      </c>
      <c r="F470" t="s">
        <v>3255</v>
      </c>
      <c r="G470" t="s">
        <v>14</v>
      </c>
      <c r="H470" t="s">
        <v>13</v>
      </c>
      <c r="I470" t="s">
        <v>3254</v>
      </c>
      <c r="J470">
        <v>60018829</v>
      </c>
      <c r="K470" t="s">
        <v>3253</v>
      </c>
      <c r="L470" t="s">
        <v>3252</v>
      </c>
      <c r="M470" t="s">
        <v>586</v>
      </c>
      <c r="N470">
        <v>1</v>
      </c>
      <c r="O470" t="s">
        <v>3251</v>
      </c>
      <c r="P470">
        <v>8266831600</v>
      </c>
      <c r="Q470">
        <v>60018829</v>
      </c>
      <c r="R470" s="7">
        <v>31778</v>
      </c>
      <c r="S470" s="8">
        <f t="shared" si="56"/>
        <v>1987</v>
      </c>
      <c r="T470" s="8">
        <v>1987</v>
      </c>
      <c r="U470" s="8">
        <f t="shared" si="57"/>
        <v>35</v>
      </c>
      <c r="V470" s="7">
        <v>31929</v>
      </c>
      <c r="W470" t="s">
        <v>336</v>
      </c>
      <c r="X470" s="2">
        <v>1.6519999999999999</v>
      </c>
      <c r="Y470" s="6">
        <f t="shared" si="62"/>
        <v>4.409919649769093E-2</v>
      </c>
      <c r="AA470" t="s">
        <v>335</v>
      </c>
      <c r="AB470">
        <v>17337</v>
      </c>
      <c r="AC470">
        <v>15582221</v>
      </c>
      <c r="AD470" t="s">
        <v>4</v>
      </c>
      <c r="AE470">
        <v>35</v>
      </c>
      <c r="AF470">
        <v>6</v>
      </c>
      <c r="AH470" t="s">
        <v>3250</v>
      </c>
      <c r="AI470" t="s">
        <v>3249</v>
      </c>
      <c r="AK470" t="s">
        <v>3248</v>
      </c>
      <c r="AL470">
        <v>6</v>
      </c>
      <c r="AM470" s="5">
        <f t="shared" si="58"/>
        <v>0.17142857142857143</v>
      </c>
      <c r="AN470" s="4">
        <f t="shared" si="63"/>
        <v>2.5964191053172501E-4</v>
      </c>
      <c r="AO470" s="3"/>
      <c r="AP470">
        <v>0</v>
      </c>
      <c r="AR470" t="s">
        <v>0</v>
      </c>
      <c r="AT470" s="2" t="s">
        <v>32</v>
      </c>
      <c r="AU470" s="1">
        <f t="shared" si="59"/>
        <v>3.0947330121543168</v>
      </c>
      <c r="AV470" s="1">
        <f t="shared" si="60"/>
        <v>2.2179419204111328</v>
      </c>
      <c r="AW470" s="1">
        <f t="shared" si="61"/>
        <v>1.3411508286679485</v>
      </c>
    </row>
    <row r="471" spans="1:49" x14ac:dyDescent="0.2">
      <c r="A471">
        <v>469</v>
      </c>
      <c r="B471" t="s">
        <v>3247</v>
      </c>
      <c r="C471" t="s">
        <v>3246</v>
      </c>
      <c r="F471" t="s">
        <v>3245</v>
      </c>
      <c r="G471" t="s">
        <v>14</v>
      </c>
      <c r="H471" t="s">
        <v>13</v>
      </c>
      <c r="I471" t="s">
        <v>3244</v>
      </c>
      <c r="J471">
        <v>60033284</v>
      </c>
      <c r="K471" t="s">
        <v>3243</v>
      </c>
      <c r="L471" t="s">
        <v>3242</v>
      </c>
      <c r="M471" t="s">
        <v>2254</v>
      </c>
      <c r="N471">
        <v>2</v>
      </c>
      <c r="O471" t="s">
        <v>3241</v>
      </c>
      <c r="P471" t="s">
        <v>3240</v>
      </c>
      <c r="Q471" t="s">
        <v>3239</v>
      </c>
      <c r="R471" s="7">
        <v>31778</v>
      </c>
      <c r="S471" s="8">
        <f t="shared" si="56"/>
        <v>1987</v>
      </c>
      <c r="T471" s="8">
        <v>1987</v>
      </c>
      <c r="U471" s="8">
        <f t="shared" si="57"/>
        <v>35</v>
      </c>
      <c r="V471" s="7" t="s">
        <v>2985</v>
      </c>
      <c r="W471" s="11" t="s">
        <v>1382</v>
      </c>
      <c r="X471" s="2">
        <v>2.383</v>
      </c>
      <c r="Y471" s="6">
        <f t="shared" si="62"/>
        <v>6.3612824003630442E-2</v>
      </c>
      <c r="AA471" t="s">
        <v>1381</v>
      </c>
      <c r="AB471">
        <v>101151</v>
      </c>
      <c r="AD471" t="s">
        <v>4</v>
      </c>
      <c r="AE471">
        <v>134</v>
      </c>
      <c r="AF471">
        <v>3</v>
      </c>
      <c r="AH471" t="s">
        <v>3238</v>
      </c>
      <c r="AI471" t="s">
        <v>3237</v>
      </c>
      <c r="AK471" t="s">
        <v>3236</v>
      </c>
      <c r="AL471">
        <v>9</v>
      </c>
      <c r="AM471" s="5">
        <f t="shared" si="58"/>
        <v>0.25714285714285712</v>
      </c>
      <c r="AN471" s="4">
        <f t="shared" si="63"/>
        <v>3.8946286579758747E-4</v>
      </c>
      <c r="AO471" s="3"/>
      <c r="AP471">
        <v>0</v>
      </c>
      <c r="AR471" t="s">
        <v>0</v>
      </c>
      <c r="AT471" s="2" t="s">
        <v>32</v>
      </c>
      <c r="AU471" s="1">
        <f t="shared" si="59"/>
        <v>4.4645815662280581</v>
      </c>
      <c r="AV471" s="1">
        <f t="shared" si="60"/>
        <v>3.2001143434714017</v>
      </c>
      <c r="AW471" s="1">
        <f t="shared" si="61"/>
        <v>1.9356471207147445</v>
      </c>
    </row>
    <row r="472" spans="1:49" x14ac:dyDescent="0.2">
      <c r="A472">
        <v>470</v>
      </c>
      <c r="B472" t="s">
        <v>3235</v>
      </c>
      <c r="C472" t="s">
        <v>3234</v>
      </c>
      <c r="F472" t="s">
        <v>3233</v>
      </c>
      <c r="G472" t="s">
        <v>14</v>
      </c>
      <c r="H472" t="s">
        <v>13</v>
      </c>
      <c r="I472" t="s">
        <v>3232</v>
      </c>
      <c r="J472">
        <v>60007592</v>
      </c>
      <c r="K472" t="s">
        <v>3231</v>
      </c>
      <c r="L472" t="s">
        <v>3230</v>
      </c>
      <c r="M472" t="s">
        <v>2254</v>
      </c>
      <c r="N472">
        <v>4</v>
      </c>
      <c r="O472" t="s">
        <v>3229</v>
      </c>
      <c r="P472" t="s">
        <v>3228</v>
      </c>
      <c r="Q472" t="s">
        <v>3227</v>
      </c>
      <c r="R472" s="7">
        <v>31778</v>
      </c>
      <c r="S472" s="8">
        <f t="shared" si="56"/>
        <v>1987</v>
      </c>
      <c r="T472" s="8">
        <v>1987</v>
      </c>
      <c r="U472" s="8">
        <f t="shared" si="57"/>
        <v>35</v>
      </c>
      <c r="V472" s="7" t="s">
        <v>2985</v>
      </c>
      <c r="W472" s="11" t="s">
        <v>1382</v>
      </c>
      <c r="X472" s="2">
        <v>2.383</v>
      </c>
      <c r="Y472" s="6">
        <f t="shared" si="62"/>
        <v>6.3612824003630442E-2</v>
      </c>
      <c r="AA472" t="s">
        <v>1381</v>
      </c>
      <c r="AB472">
        <v>101151</v>
      </c>
      <c r="AD472" t="s">
        <v>4</v>
      </c>
      <c r="AE472">
        <v>134</v>
      </c>
      <c r="AF472">
        <v>3</v>
      </c>
      <c r="AH472" t="s">
        <v>3226</v>
      </c>
      <c r="AI472" t="s">
        <v>3225</v>
      </c>
      <c r="AK472" t="s">
        <v>3224</v>
      </c>
      <c r="AL472">
        <v>11</v>
      </c>
      <c r="AM472" s="5">
        <f t="shared" si="58"/>
        <v>0.31428571428571428</v>
      </c>
      <c r="AN472" s="4">
        <f t="shared" si="63"/>
        <v>4.7601016930816251E-4</v>
      </c>
      <c r="AO472" s="3"/>
      <c r="AP472">
        <v>0</v>
      </c>
      <c r="AR472" t="s">
        <v>0</v>
      </c>
      <c r="AT472" s="2" t="s">
        <v>32</v>
      </c>
      <c r="AU472" s="1">
        <f t="shared" si="59"/>
        <v>4.4671779853333762</v>
      </c>
      <c r="AV472" s="1">
        <f t="shared" si="60"/>
        <v>3.2044417086469301</v>
      </c>
      <c r="AW472" s="1">
        <f t="shared" si="61"/>
        <v>1.9417054319604845</v>
      </c>
    </row>
    <row r="473" spans="1:49" x14ac:dyDescent="0.2">
      <c r="A473">
        <v>471</v>
      </c>
      <c r="B473" t="s">
        <v>3223</v>
      </c>
      <c r="C473" t="s">
        <v>3222</v>
      </c>
      <c r="F473" t="s">
        <v>3221</v>
      </c>
      <c r="G473" t="s">
        <v>14</v>
      </c>
      <c r="H473" t="s">
        <v>13</v>
      </c>
      <c r="I473" t="s">
        <v>3220</v>
      </c>
      <c r="J473">
        <v>60103653</v>
      </c>
      <c r="K473" t="s">
        <v>3219</v>
      </c>
      <c r="L473" t="s">
        <v>3218</v>
      </c>
      <c r="M473" t="s">
        <v>3217</v>
      </c>
      <c r="N473">
        <v>1</v>
      </c>
      <c r="O473" t="s">
        <v>3216</v>
      </c>
      <c r="P473">
        <v>7102492958</v>
      </c>
      <c r="Q473">
        <v>60103653</v>
      </c>
      <c r="R473" s="7">
        <v>31778</v>
      </c>
      <c r="S473" s="8">
        <f t="shared" si="56"/>
        <v>1987</v>
      </c>
      <c r="T473" s="8">
        <v>1987</v>
      </c>
      <c r="U473" s="8">
        <f t="shared" si="57"/>
        <v>35</v>
      </c>
      <c r="V473" s="7">
        <v>31929</v>
      </c>
      <c r="W473" t="s">
        <v>336</v>
      </c>
      <c r="X473" s="2">
        <v>1.6519999999999999</v>
      </c>
      <c r="Y473" s="6">
        <f t="shared" si="62"/>
        <v>4.409919649769093E-2</v>
      </c>
      <c r="AA473" t="s">
        <v>335</v>
      </c>
      <c r="AB473">
        <v>17337</v>
      </c>
      <c r="AC473">
        <v>15582221</v>
      </c>
      <c r="AD473" t="s">
        <v>4</v>
      </c>
      <c r="AE473">
        <v>35</v>
      </c>
      <c r="AF473">
        <v>6</v>
      </c>
      <c r="AH473" t="s">
        <v>3215</v>
      </c>
      <c r="AI473" t="s">
        <v>3214</v>
      </c>
      <c r="AK473" t="s">
        <v>3213</v>
      </c>
      <c r="AL473">
        <v>9</v>
      </c>
      <c r="AM473" s="5">
        <f t="shared" si="58"/>
        <v>0.25714285714285712</v>
      </c>
      <c r="AN473" s="4">
        <f t="shared" si="63"/>
        <v>3.8946286579758747E-4</v>
      </c>
      <c r="AO473" s="3"/>
      <c r="AP473">
        <v>0</v>
      </c>
      <c r="AR473" t="s">
        <v>0</v>
      </c>
      <c r="AT473" s="2" t="s">
        <v>32</v>
      </c>
      <c r="AU473" s="1">
        <f t="shared" si="59"/>
        <v>3.0986276408122926</v>
      </c>
      <c r="AV473" s="1">
        <f t="shared" si="60"/>
        <v>2.2244329681744257</v>
      </c>
      <c r="AW473" s="1">
        <f t="shared" si="61"/>
        <v>1.3502382955365588</v>
      </c>
    </row>
    <row r="474" spans="1:49" x14ac:dyDescent="0.2">
      <c r="A474">
        <v>472</v>
      </c>
      <c r="B474" t="s">
        <v>3212</v>
      </c>
      <c r="C474" t="s">
        <v>3211</v>
      </c>
      <c r="F474" t="s">
        <v>3210</v>
      </c>
      <c r="G474" t="s">
        <v>14</v>
      </c>
      <c r="H474" t="s">
        <v>13</v>
      </c>
      <c r="I474" t="s">
        <v>3209</v>
      </c>
      <c r="J474">
        <v>60015763</v>
      </c>
      <c r="K474" t="s">
        <v>3208</v>
      </c>
      <c r="L474" t="s">
        <v>3207</v>
      </c>
      <c r="M474" t="s">
        <v>3206</v>
      </c>
      <c r="N474">
        <v>1</v>
      </c>
      <c r="O474" t="s">
        <v>3205</v>
      </c>
      <c r="P474">
        <v>24281167000</v>
      </c>
      <c r="Q474">
        <v>60015763</v>
      </c>
      <c r="R474" s="7">
        <v>31778</v>
      </c>
      <c r="S474" s="8">
        <f t="shared" si="56"/>
        <v>1987</v>
      </c>
      <c r="T474" s="8">
        <v>1987</v>
      </c>
      <c r="U474" s="8">
        <f t="shared" si="57"/>
        <v>35</v>
      </c>
      <c r="V474" s="7" t="s">
        <v>2985</v>
      </c>
      <c r="W474" s="11" t="s">
        <v>1382</v>
      </c>
      <c r="X474" s="2">
        <v>2.383</v>
      </c>
      <c r="Y474" s="6">
        <f t="shared" si="62"/>
        <v>6.3612824003630442E-2</v>
      </c>
      <c r="AA474" t="s">
        <v>1381</v>
      </c>
      <c r="AB474">
        <v>101151</v>
      </c>
      <c r="AD474" t="s">
        <v>4</v>
      </c>
      <c r="AE474">
        <v>134</v>
      </c>
      <c r="AF474">
        <v>3</v>
      </c>
      <c r="AH474" t="s">
        <v>3204</v>
      </c>
      <c r="AI474" t="s">
        <v>3203</v>
      </c>
      <c r="AK474" t="s">
        <v>3202</v>
      </c>
      <c r="AL474">
        <v>3</v>
      </c>
      <c r="AM474" s="5">
        <f t="shared" si="58"/>
        <v>8.5714285714285715E-2</v>
      </c>
      <c r="AN474" s="4">
        <f t="shared" si="63"/>
        <v>1.2982095526586251E-4</v>
      </c>
      <c r="AO474" s="3"/>
      <c r="AP474">
        <v>0</v>
      </c>
      <c r="AR474" t="s">
        <v>0</v>
      </c>
      <c r="AT474" s="2" t="s">
        <v>32</v>
      </c>
      <c r="AU474" s="1">
        <f t="shared" si="59"/>
        <v>4.4567923089121066</v>
      </c>
      <c r="AV474" s="1">
        <f t="shared" si="60"/>
        <v>3.1871322479448154</v>
      </c>
      <c r="AW474" s="1">
        <f t="shared" si="61"/>
        <v>1.9174721869775238</v>
      </c>
    </row>
    <row r="475" spans="1:49" x14ac:dyDescent="0.2">
      <c r="A475">
        <v>473</v>
      </c>
      <c r="B475" t="s">
        <v>3201</v>
      </c>
      <c r="C475" t="s">
        <v>3200</v>
      </c>
      <c r="F475" t="s">
        <v>3199</v>
      </c>
      <c r="G475" t="s">
        <v>14</v>
      </c>
      <c r="H475" t="s">
        <v>13</v>
      </c>
      <c r="I475" t="s">
        <v>3198</v>
      </c>
      <c r="J475">
        <v>60097343</v>
      </c>
      <c r="K475" t="s">
        <v>3197</v>
      </c>
      <c r="L475" t="s">
        <v>3196</v>
      </c>
      <c r="M475" t="s">
        <v>586</v>
      </c>
      <c r="N475">
        <v>1</v>
      </c>
      <c r="O475" t="s">
        <v>3195</v>
      </c>
      <c r="P475">
        <v>6603032716</v>
      </c>
      <c r="Q475">
        <v>60097343</v>
      </c>
      <c r="R475" s="7">
        <v>31778</v>
      </c>
      <c r="S475" s="8">
        <f t="shared" si="56"/>
        <v>1987</v>
      </c>
      <c r="T475" s="8">
        <v>1987</v>
      </c>
      <c r="U475" s="8">
        <f t="shared" si="57"/>
        <v>35</v>
      </c>
      <c r="V475" s="7" t="s">
        <v>2985</v>
      </c>
      <c r="W475" s="11" t="s">
        <v>1382</v>
      </c>
      <c r="X475" s="2">
        <v>2.383</v>
      </c>
      <c r="Y475" s="6">
        <f t="shared" si="62"/>
        <v>6.3612824003630442E-2</v>
      </c>
      <c r="AA475" t="s">
        <v>1381</v>
      </c>
      <c r="AB475">
        <v>101151</v>
      </c>
      <c r="AD475" t="s">
        <v>4</v>
      </c>
      <c r="AE475">
        <v>134</v>
      </c>
      <c r="AF475">
        <v>3</v>
      </c>
      <c r="AH475" t="s">
        <v>3194</v>
      </c>
      <c r="AI475" t="s">
        <v>3193</v>
      </c>
      <c r="AK475" t="s">
        <v>3192</v>
      </c>
      <c r="AL475">
        <v>5</v>
      </c>
      <c r="AM475" s="5">
        <f t="shared" si="58"/>
        <v>0.14285714285714285</v>
      </c>
      <c r="AN475" s="4">
        <f t="shared" si="63"/>
        <v>2.1636825877643749E-4</v>
      </c>
      <c r="AO475" s="3"/>
      <c r="AP475">
        <v>0</v>
      </c>
      <c r="AR475" t="s">
        <v>0</v>
      </c>
      <c r="AT475" s="2" t="s">
        <v>32</v>
      </c>
      <c r="AU475" s="1">
        <f t="shared" si="59"/>
        <v>4.4593887280174247</v>
      </c>
      <c r="AV475" s="1">
        <f t="shared" si="60"/>
        <v>3.1914596131203439</v>
      </c>
      <c r="AW475" s="1">
        <f t="shared" si="61"/>
        <v>1.9235304982232637</v>
      </c>
    </row>
    <row r="476" spans="1:49" x14ac:dyDescent="0.2">
      <c r="A476">
        <v>474</v>
      </c>
      <c r="B476" t="s">
        <v>3191</v>
      </c>
      <c r="C476" t="s">
        <v>3190</v>
      </c>
      <c r="F476" t="s">
        <v>3189</v>
      </c>
      <c r="G476" t="s">
        <v>14</v>
      </c>
      <c r="H476" t="s">
        <v>13</v>
      </c>
      <c r="I476" t="s">
        <v>3188</v>
      </c>
      <c r="J476">
        <v>60005322</v>
      </c>
      <c r="K476" t="s">
        <v>3187</v>
      </c>
      <c r="L476" t="s">
        <v>3186</v>
      </c>
      <c r="M476" t="s">
        <v>112</v>
      </c>
      <c r="N476">
        <v>1</v>
      </c>
      <c r="O476" t="s">
        <v>3185</v>
      </c>
      <c r="P476">
        <v>56196059900</v>
      </c>
      <c r="Q476">
        <v>60005322</v>
      </c>
      <c r="R476" s="7">
        <v>31778</v>
      </c>
      <c r="S476" s="8">
        <f t="shared" si="56"/>
        <v>1987</v>
      </c>
      <c r="T476" s="8">
        <v>1987</v>
      </c>
      <c r="U476" s="8">
        <f t="shared" si="57"/>
        <v>35</v>
      </c>
      <c r="V476" s="7" t="s">
        <v>2985</v>
      </c>
      <c r="W476" s="11" t="s">
        <v>1382</v>
      </c>
      <c r="X476" s="2">
        <v>2.383</v>
      </c>
      <c r="Y476" s="6">
        <f t="shared" si="62"/>
        <v>6.3612824003630442E-2</v>
      </c>
      <c r="AA476" t="s">
        <v>1381</v>
      </c>
      <c r="AB476">
        <v>101151</v>
      </c>
      <c r="AD476" t="s">
        <v>4</v>
      </c>
      <c r="AE476">
        <v>134</v>
      </c>
      <c r="AF476">
        <v>3</v>
      </c>
      <c r="AH476" t="s">
        <v>1358</v>
      </c>
      <c r="AI476" t="s">
        <v>3184</v>
      </c>
      <c r="AK476" t="s">
        <v>3183</v>
      </c>
      <c r="AL476">
        <v>4</v>
      </c>
      <c r="AM476" s="5">
        <f t="shared" si="58"/>
        <v>0.11428571428571428</v>
      </c>
      <c r="AN476" s="4">
        <f t="shared" si="63"/>
        <v>1.7309460702115E-4</v>
      </c>
      <c r="AO476" s="3"/>
      <c r="AP476">
        <v>0</v>
      </c>
      <c r="AR476" t="s">
        <v>0</v>
      </c>
      <c r="AT476" s="2" t="s">
        <v>32</v>
      </c>
      <c r="AU476" s="1">
        <f t="shared" si="59"/>
        <v>4.4580905184647657</v>
      </c>
      <c r="AV476" s="1">
        <f t="shared" si="60"/>
        <v>3.1892959305325799</v>
      </c>
      <c r="AW476" s="1">
        <f t="shared" si="61"/>
        <v>1.9205013426003936</v>
      </c>
    </row>
    <row r="477" spans="1:49" x14ac:dyDescent="0.2">
      <c r="A477">
        <v>475</v>
      </c>
      <c r="B477" t="s">
        <v>3182</v>
      </c>
      <c r="C477" t="s">
        <v>3181</v>
      </c>
      <c r="F477" t="s">
        <v>3180</v>
      </c>
      <c r="G477" t="s">
        <v>14</v>
      </c>
      <c r="H477" t="s">
        <v>13</v>
      </c>
      <c r="I477" t="s">
        <v>3052</v>
      </c>
      <c r="J477">
        <v>60014313</v>
      </c>
      <c r="K477" t="s">
        <v>1583</v>
      </c>
      <c r="L477" t="s">
        <v>1582</v>
      </c>
      <c r="M477" t="s">
        <v>9</v>
      </c>
      <c r="N477">
        <v>1</v>
      </c>
      <c r="O477" t="s">
        <v>3179</v>
      </c>
      <c r="P477">
        <v>7006061921</v>
      </c>
      <c r="Q477">
        <v>60014313</v>
      </c>
      <c r="R477" s="7">
        <v>31778</v>
      </c>
      <c r="S477" s="8">
        <f t="shared" si="56"/>
        <v>1987</v>
      </c>
      <c r="T477" s="8">
        <v>1987</v>
      </c>
      <c r="U477" s="8">
        <f t="shared" si="57"/>
        <v>35</v>
      </c>
      <c r="V477" s="7">
        <v>31929</v>
      </c>
      <c r="W477" t="s">
        <v>336</v>
      </c>
      <c r="X477" s="2">
        <v>1.6519999999999999</v>
      </c>
      <c r="Y477" s="6">
        <f t="shared" si="62"/>
        <v>4.409919649769093E-2</v>
      </c>
      <c r="AA477" t="s">
        <v>335</v>
      </c>
      <c r="AB477">
        <v>17337</v>
      </c>
      <c r="AC477">
        <v>15582221</v>
      </c>
      <c r="AD477" t="s">
        <v>4</v>
      </c>
      <c r="AE477">
        <v>35</v>
      </c>
      <c r="AF477">
        <v>6</v>
      </c>
      <c r="AH477" t="s">
        <v>3178</v>
      </c>
      <c r="AI477" t="s">
        <v>3177</v>
      </c>
      <c r="AK477" t="s">
        <v>3176</v>
      </c>
      <c r="AL477">
        <v>296</v>
      </c>
      <c r="AM477" s="5">
        <f t="shared" si="58"/>
        <v>8.4571428571428573</v>
      </c>
      <c r="AN477" s="4">
        <f t="shared" si="63"/>
        <v>1.28090009195651E-2</v>
      </c>
      <c r="AO477" s="3"/>
      <c r="AP477">
        <v>0</v>
      </c>
      <c r="AQ477" t="s">
        <v>746</v>
      </c>
      <c r="AR477" t="s">
        <v>0</v>
      </c>
      <c r="AS477" t="s">
        <v>745</v>
      </c>
      <c r="AT477" s="2" t="s">
        <v>32</v>
      </c>
      <c r="AU477" s="1">
        <f t="shared" si="59"/>
        <v>3.4712137824253184</v>
      </c>
      <c r="AV477" s="1">
        <f t="shared" si="60"/>
        <v>2.8454098708628015</v>
      </c>
      <c r="AW477" s="1">
        <f t="shared" si="61"/>
        <v>2.2196059593002846</v>
      </c>
    </row>
    <row r="478" spans="1:49" x14ac:dyDescent="0.2">
      <c r="A478">
        <v>476</v>
      </c>
      <c r="B478" t="s">
        <v>3175</v>
      </c>
      <c r="C478" t="s">
        <v>3174</v>
      </c>
      <c r="F478" t="s">
        <v>3173</v>
      </c>
      <c r="G478" t="s">
        <v>14</v>
      </c>
      <c r="H478" t="s">
        <v>13</v>
      </c>
      <c r="I478" t="s">
        <v>3172</v>
      </c>
      <c r="J478">
        <v>60005304</v>
      </c>
      <c r="K478" t="s">
        <v>664</v>
      </c>
      <c r="L478" t="s">
        <v>663</v>
      </c>
      <c r="M478" t="s">
        <v>9</v>
      </c>
      <c r="N478">
        <v>1</v>
      </c>
      <c r="O478" t="s">
        <v>1624</v>
      </c>
      <c r="P478">
        <v>6602621821</v>
      </c>
      <c r="Q478">
        <v>60005304</v>
      </c>
      <c r="R478" s="7">
        <v>31778</v>
      </c>
      <c r="S478" s="8">
        <f t="shared" si="56"/>
        <v>1987</v>
      </c>
      <c r="T478" s="8">
        <v>1987</v>
      </c>
      <c r="U478" s="8">
        <f t="shared" si="57"/>
        <v>35</v>
      </c>
      <c r="V478" s="7">
        <v>31929</v>
      </c>
      <c r="W478" t="s">
        <v>336</v>
      </c>
      <c r="X478" s="2">
        <v>1.6519999999999999</v>
      </c>
      <c r="Y478" s="6">
        <f t="shared" si="62"/>
        <v>4.409919649769093E-2</v>
      </c>
      <c r="AA478" t="s">
        <v>335</v>
      </c>
      <c r="AB478">
        <v>17337</v>
      </c>
      <c r="AC478">
        <v>15582221</v>
      </c>
      <c r="AD478" t="s">
        <v>4</v>
      </c>
      <c r="AE478">
        <v>35</v>
      </c>
      <c r="AF478">
        <v>6</v>
      </c>
      <c r="AH478" t="s">
        <v>3171</v>
      </c>
      <c r="AI478" t="s">
        <v>3170</v>
      </c>
      <c r="AK478" t="s">
        <v>3169</v>
      </c>
      <c r="AL478">
        <v>0</v>
      </c>
      <c r="AM478" s="5">
        <f t="shared" si="58"/>
        <v>0</v>
      </c>
      <c r="AN478" s="4">
        <f t="shared" si="63"/>
        <v>0</v>
      </c>
      <c r="AO478" s="3"/>
      <c r="AP478">
        <v>0</v>
      </c>
      <c r="AR478" t="s">
        <v>0</v>
      </c>
      <c r="AT478" s="2" t="s">
        <v>32</v>
      </c>
      <c r="AU478" s="1">
        <f t="shared" si="59"/>
        <v>3.0869437548383649</v>
      </c>
      <c r="AV478" s="1">
        <f t="shared" si="60"/>
        <v>2.2049598248845466</v>
      </c>
      <c r="AW478" s="1">
        <f t="shared" si="61"/>
        <v>1.3229758949307278</v>
      </c>
    </row>
    <row r="479" spans="1:49" x14ac:dyDescent="0.2">
      <c r="A479">
        <v>477</v>
      </c>
      <c r="B479" t="s">
        <v>3168</v>
      </c>
      <c r="C479" t="s">
        <v>3167</v>
      </c>
      <c r="F479" t="s">
        <v>3166</v>
      </c>
      <c r="G479" t="s">
        <v>14</v>
      </c>
      <c r="H479" t="s">
        <v>13</v>
      </c>
      <c r="I479" t="s">
        <v>3165</v>
      </c>
      <c r="J479">
        <v>60103092</v>
      </c>
      <c r="K479" t="s">
        <v>3164</v>
      </c>
      <c r="L479" t="s">
        <v>3163</v>
      </c>
      <c r="M479" t="s">
        <v>586</v>
      </c>
      <c r="N479">
        <v>1</v>
      </c>
      <c r="O479" t="s">
        <v>3162</v>
      </c>
      <c r="P479">
        <v>6603820020</v>
      </c>
      <c r="Q479">
        <v>60103092</v>
      </c>
      <c r="R479" s="7">
        <v>31778</v>
      </c>
      <c r="S479" s="8">
        <f t="shared" si="56"/>
        <v>1987</v>
      </c>
      <c r="T479" s="8">
        <v>1987</v>
      </c>
      <c r="U479" s="8">
        <f t="shared" si="57"/>
        <v>35</v>
      </c>
      <c r="V479" s="7" t="s">
        <v>2985</v>
      </c>
      <c r="W479" s="11" t="s">
        <v>1382</v>
      </c>
      <c r="X479" s="2">
        <v>2.383</v>
      </c>
      <c r="Y479" s="6">
        <f t="shared" si="62"/>
        <v>6.3612824003630442E-2</v>
      </c>
      <c r="AA479" t="s">
        <v>1381</v>
      </c>
      <c r="AB479">
        <v>101151</v>
      </c>
      <c r="AD479" t="s">
        <v>4</v>
      </c>
      <c r="AE479">
        <v>134</v>
      </c>
      <c r="AF479">
        <v>3</v>
      </c>
      <c r="AH479" t="s">
        <v>3161</v>
      </c>
      <c r="AI479" t="s">
        <v>3160</v>
      </c>
      <c r="AK479" t="s">
        <v>3159</v>
      </c>
      <c r="AL479">
        <v>15</v>
      </c>
      <c r="AM479" s="5">
        <f t="shared" si="58"/>
        <v>0.42857142857142855</v>
      </c>
      <c r="AN479" s="4">
        <f t="shared" si="63"/>
        <v>6.4910477632931242E-4</v>
      </c>
      <c r="AO479" s="3"/>
      <c r="AP479">
        <v>0</v>
      </c>
      <c r="AR479" t="s">
        <v>0</v>
      </c>
      <c r="AT479" s="2" t="s">
        <v>32</v>
      </c>
      <c r="AU479" s="1">
        <f t="shared" si="59"/>
        <v>4.4723708235440105</v>
      </c>
      <c r="AV479" s="1">
        <f t="shared" si="60"/>
        <v>3.2130964389979879</v>
      </c>
      <c r="AW479" s="1">
        <f t="shared" si="61"/>
        <v>1.9538220544519651</v>
      </c>
    </row>
    <row r="480" spans="1:49" x14ac:dyDescent="0.2">
      <c r="A480">
        <v>478</v>
      </c>
      <c r="B480" t="s">
        <v>3158</v>
      </c>
      <c r="C480" t="s">
        <v>3157</v>
      </c>
      <c r="F480" t="s">
        <v>3156</v>
      </c>
      <c r="G480" t="s">
        <v>14</v>
      </c>
      <c r="H480" t="s">
        <v>13</v>
      </c>
      <c r="I480" t="s">
        <v>3155</v>
      </c>
      <c r="J480">
        <v>60027271</v>
      </c>
      <c r="K480" t="s">
        <v>761</v>
      </c>
      <c r="L480" t="s">
        <v>511</v>
      </c>
      <c r="M480" t="s">
        <v>9</v>
      </c>
      <c r="N480">
        <v>4</v>
      </c>
      <c r="O480" t="s">
        <v>3154</v>
      </c>
      <c r="P480" t="s">
        <v>3153</v>
      </c>
      <c r="Q480" t="s">
        <v>3152</v>
      </c>
      <c r="R480" s="7">
        <v>31778</v>
      </c>
      <c r="S480" s="8">
        <f t="shared" si="56"/>
        <v>1987</v>
      </c>
      <c r="T480" s="8">
        <v>1987</v>
      </c>
      <c r="U480" s="8">
        <f t="shared" si="57"/>
        <v>35</v>
      </c>
      <c r="V480" s="7">
        <v>1987</v>
      </c>
      <c r="W480" t="s">
        <v>429</v>
      </c>
      <c r="X480" s="2">
        <v>0.375</v>
      </c>
      <c r="Y480" s="6">
        <f t="shared" si="62"/>
        <v>1.0010410827260351E-2</v>
      </c>
      <c r="AA480">
        <v>135194</v>
      </c>
      <c r="AB480">
        <v>24918</v>
      </c>
      <c r="AD480" t="s">
        <v>4</v>
      </c>
      <c r="AE480">
        <v>23</v>
      </c>
      <c r="AF480">
        <v>13</v>
      </c>
      <c r="AH480" t="s">
        <v>3151</v>
      </c>
      <c r="AI480" t="s">
        <v>3150</v>
      </c>
      <c r="AK480" t="s">
        <v>3149</v>
      </c>
      <c r="AL480">
        <v>55</v>
      </c>
      <c r="AM480" s="5">
        <f t="shared" si="58"/>
        <v>1.5714285714285714</v>
      </c>
      <c r="AN480" s="4">
        <f t="shared" si="63"/>
        <v>2.3800508465408126E-3</v>
      </c>
      <c r="AO480" s="3"/>
      <c r="AP480">
        <v>0</v>
      </c>
      <c r="AR480" t="s">
        <v>0</v>
      </c>
      <c r="AT480" s="2">
        <v>1.3140000000000001</v>
      </c>
      <c r="AU480" s="1">
        <f t="shared" si="59"/>
        <v>0.77213028330444899</v>
      </c>
      <c r="AV480" s="1">
        <f t="shared" si="60"/>
        <v>0.61952308369005826</v>
      </c>
      <c r="AW480" s="1">
        <f t="shared" si="61"/>
        <v>0.46691588407566742</v>
      </c>
    </row>
    <row r="481" spans="1:49" x14ac:dyDescent="0.2">
      <c r="A481">
        <v>479</v>
      </c>
      <c r="B481" t="s">
        <v>3148</v>
      </c>
      <c r="C481" t="s">
        <v>3147</v>
      </c>
      <c r="F481" t="s">
        <v>3146</v>
      </c>
      <c r="G481" t="s">
        <v>14</v>
      </c>
      <c r="H481" t="s">
        <v>13</v>
      </c>
      <c r="I481" t="s">
        <v>3145</v>
      </c>
      <c r="J481">
        <v>60102562</v>
      </c>
      <c r="K481" t="s">
        <v>3144</v>
      </c>
      <c r="L481" t="s">
        <v>1600</v>
      </c>
      <c r="M481" t="s">
        <v>9</v>
      </c>
      <c r="N481">
        <v>2</v>
      </c>
      <c r="O481" t="s">
        <v>3143</v>
      </c>
      <c r="P481" t="s">
        <v>3142</v>
      </c>
      <c r="Q481" t="s">
        <v>3141</v>
      </c>
      <c r="R481" s="7">
        <v>31778</v>
      </c>
      <c r="S481" s="8">
        <f t="shared" si="56"/>
        <v>1987</v>
      </c>
      <c r="T481" s="8">
        <v>1987</v>
      </c>
      <c r="U481" s="8">
        <f t="shared" si="57"/>
        <v>35</v>
      </c>
      <c r="V481" s="7">
        <v>31929</v>
      </c>
      <c r="W481" t="s">
        <v>695</v>
      </c>
      <c r="X481" s="2">
        <v>2.383</v>
      </c>
      <c r="Y481" s="6">
        <f t="shared" si="62"/>
        <v>6.3612824003630442E-2</v>
      </c>
      <c r="AA481">
        <v>189219</v>
      </c>
      <c r="AB481">
        <v>17915</v>
      </c>
      <c r="AC481">
        <v>15582256</v>
      </c>
      <c r="AD481" t="s">
        <v>4</v>
      </c>
      <c r="AE481">
        <v>75</v>
      </c>
      <c r="AF481">
        <v>6</v>
      </c>
      <c r="AH481" t="s">
        <v>3140</v>
      </c>
      <c r="AI481" t="s">
        <v>3139</v>
      </c>
      <c r="AK481" t="s">
        <v>3138</v>
      </c>
      <c r="AL481">
        <v>11</v>
      </c>
      <c r="AM481" s="5">
        <f t="shared" si="58"/>
        <v>0.31428571428571428</v>
      </c>
      <c r="AN481" s="4">
        <f t="shared" si="63"/>
        <v>4.7601016930816251E-4</v>
      </c>
      <c r="AO481" s="3"/>
      <c r="AP481">
        <v>0</v>
      </c>
      <c r="AR481" t="s">
        <v>0</v>
      </c>
      <c r="AT481" s="2">
        <v>10.961</v>
      </c>
      <c r="AU481" s="1">
        <f t="shared" si="59"/>
        <v>4.4671779853333762</v>
      </c>
      <c r="AV481" s="1">
        <f t="shared" si="60"/>
        <v>3.2044417086469301</v>
      </c>
      <c r="AW481" s="1">
        <f t="shared" si="61"/>
        <v>1.9417054319604845</v>
      </c>
    </row>
    <row r="482" spans="1:49" x14ac:dyDescent="0.2">
      <c r="A482">
        <v>480</v>
      </c>
      <c r="B482" t="s">
        <v>3137</v>
      </c>
      <c r="C482" t="s">
        <v>3136</v>
      </c>
      <c r="F482" t="s">
        <v>3135</v>
      </c>
      <c r="G482" t="s">
        <v>14</v>
      </c>
      <c r="H482" t="s">
        <v>13</v>
      </c>
      <c r="I482" t="s">
        <v>3134</v>
      </c>
      <c r="J482">
        <v>60021378</v>
      </c>
      <c r="K482" t="s">
        <v>1785</v>
      </c>
      <c r="L482" t="s">
        <v>1784</v>
      </c>
      <c r="M482" t="s">
        <v>9</v>
      </c>
      <c r="N482">
        <v>1</v>
      </c>
      <c r="O482" t="s">
        <v>3133</v>
      </c>
      <c r="P482">
        <v>7102662778</v>
      </c>
      <c r="Q482">
        <v>60021378</v>
      </c>
      <c r="R482" s="7">
        <v>31778</v>
      </c>
      <c r="S482" s="8">
        <f t="shared" si="56"/>
        <v>1987</v>
      </c>
      <c r="T482" s="8">
        <v>1987</v>
      </c>
      <c r="U482" s="8">
        <f t="shared" si="57"/>
        <v>35</v>
      </c>
      <c r="V482" s="7">
        <v>31929</v>
      </c>
      <c r="W482" t="s">
        <v>1394</v>
      </c>
      <c r="X482" s="2">
        <v>2.9860000000000002</v>
      </c>
      <c r="Y482" s="6">
        <f t="shared" si="62"/>
        <v>7.9709564613865094E-2</v>
      </c>
      <c r="AA482">
        <v>7338716</v>
      </c>
      <c r="AB482">
        <v>18902</v>
      </c>
      <c r="AD482" t="s">
        <v>4</v>
      </c>
      <c r="AE482">
        <v>5</v>
      </c>
      <c r="AF482">
        <v>5</v>
      </c>
      <c r="AH482" t="s">
        <v>3132</v>
      </c>
      <c r="AI482" t="s">
        <v>3131</v>
      </c>
      <c r="AK482" t="s">
        <v>3130</v>
      </c>
      <c r="AL482">
        <v>629</v>
      </c>
      <c r="AM482" s="5">
        <f t="shared" si="58"/>
        <v>17.971428571428572</v>
      </c>
      <c r="AN482" s="4">
        <f t="shared" si="63"/>
        <v>2.7219126954075839E-2</v>
      </c>
      <c r="AO482" s="3"/>
      <c r="AP482">
        <v>0</v>
      </c>
      <c r="AR482" t="s">
        <v>0</v>
      </c>
      <c r="AT482" s="2" t="s">
        <v>32</v>
      </c>
      <c r="AU482" s="1">
        <f t="shared" si="59"/>
        <v>6.3962433315928306</v>
      </c>
      <c r="AV482" s="1">
        <f t="shared" si="60"/>
        <v>5.3464345783970471</v>
      </c>
      <c r="AW482" s="1">
        <f t="shared" si="61"/>
        <v>4.2966258252012608</v>
      </c>
    </row>
    <row r="483" spans="1:49" x14ac:dyDescent="0.2">
      <c r="A483">
        <v>481</v>
      </c>
      <c r="B483" t="s">
        <v>3129</v>
      </c>
      <c r="C483" t="s">
        <v>3128</v>
      </c>
      <c r="F483" t="s">
        <v>3127</v>
      </c>
      <c r="G483" t="s">
        <v>14</v>
      </c>
      <c r="H483" t="s">
        <v>13</v>
      </c>
      <c r="I483" t="s">
        <v>3126</v>
      </c>
      <c r="J483">
        <v>60017605</v>
      </c>
      <c r="K483" t="s">
        <v>1694</v>
      </c>
      <c r="L483" t="s">
        <v>1693</v>
      </c>
      <c r="M483" t="s">
        <v>1384</v>
      </c>
      <c r="N483">
        <v>2</v>
      </c>
      <c r="O483" t="s">
        <v>3125</v>
      </c>
      <c r="P483" t="s">
        <v>3124</v>
      </c>
      <c r="Q483" t="s">
        <v>1690</v>
      </c>
      <c r="R483" s="7">
        <v>31778</v>
      </c>
      <c r="S483" s="8">
        <f t="shared" si="56"/>
        <v>1987</v>
      </c>
      <c r="T483" s="8">
        <v>1987</v>
      </c>
      <c r="U483" s="8">
        <f t="shared" si="57"/>
        <v>35</v>
      </c>
      <c r="V483" s="7">
        <v>1987</v>
      </c>
      <c r="W483" t="s">
        <v>429</v>
      </c>
      <c r="X483" s="2">
        <v>0.375</v>
      </c>
      <c r="Y483" s="6">
        <f t="shared" si="62"/>
        <v>1.0010410827260351E-2</v>
      </c>
      <c r="AA483">
        <v>135194</v>
      </c>
      <c r="AB483">
        <v>24918</v>
      </c>
      <c r="AD483" t="s">
        <v>4</v>
      </c>
      <c r="AE483">
        <v>23</v>
      </c>
      <c r="AF483">
        <v>13</v>
      </c>
      <c r="AH483" t="s">
        <v>3123</v>
      </c>
      <c r="AI483" t="s">
        <v>3122</v>
      </c>
      <c r="AJ483" t="s">
        <v>3121</v>
      </c>
      <c r="AK483" t="s">
        <v>3120</v>
      </c>
      <c r="AL483">
        <v>3</v>
      </c>
      <c r="AM483" s="5">
        <f t="shared" si="58"/>
        <v>8.5714285714285715E-2</v>
      </c>
      <c r="AN483" s="4">
        <f t="shared" si="63"/>
        <v>1.2982095526586251E-4</v>
      </c>
      <c r="AO483" s="3"/>
      <c r="AP483">
        <v>0</v>
      </c>
      <c r="AR483" t="s">
        <v>0</v>
      </c>
      <c r="AT483" s="2">
        <v>1.3140000000000001</v>
      </c>
      <c r="AU483" s="1">
        <f t="shared" si="59"/>
        <v>0.70462338656620049</v>
      </c>
      <c r="AV483" s="1">
        <f t="shared" si="60"/>
        <v>0.50701158912631072</v>
      </c>
      <c r="AW483" s="1">
        <f t="shared" si="61"/>
        <v>0.3093997916864209</v>
      </c>
    </row>
    <row r="484" spans="1:49" x14ac:dyDescent="0.2">
      <c r="A484">
        <v>482</v>
      </c>
      <c r="B484" t="s">
        <v>3119</v>
      </c>
      <c r="C484" t="s">
        <v>3118</v>
      </c>
      <c r="F484" t="s">
        <v>3117</v>
      </c>
      <c r="G484" t="s">
        <v>14</v>
      </c>
      <c r="H484" t="s">
        <v>13</v>
      </c>
      <c r="I484" t="s">
        <v>3116</v>
      </c>
      <c r="J484">
        <v>60020547</v>
      </c>
      <c r="K484" t="s">
        <v>1032</v>
      </c>
      <c r="L484" t="s">
        <v>1031</v>
      </c>
      <c r="M484" t="s">
        <v>9</v>
      </c>
      <c r="N484">
        <v>2</v>
      </c>
      <c r="O484" t="s">
        <v>3115</v>
      </c>
      <c r="P484" t="s">
        <v>3114</v>
      </c>
      <c r="Q484" t="s">
        <v>3113</v>
      </c>
      <c r="R484" s="7">
        <v>31778</v>
      </c>
      <c r="S484" s="8">
        <f t="shared" si="56"/>
        <v>1987</v>
      </c>
      <c r="T484" s="8">
        <v>1987</v>
      </c>
      <c r="U484" s="8">
        <f t="shared" si="57"/>
        <v>35</v>
      </c>
      <c r="V484" s="7">
        <v>1987</v>
      </c>
      <c r="W484" t="s">
        <v>429</v>
      </c>
      <c r="X484" s="2">
        <v>0.375</v>
      </c>
      <c r="Y484" s="6">
        <f t="shared" si="62"/>
        <v>1.0010410827260351E-2</v>
      </c>
      <c r="AA484">
        <v>135194</v>
      </c>
      <c r="AB484">
        <v>24918</v>
      </c>
      <c r="AD484" t="s">
        <v>4</v>
      </c>
      <c r="AE484">
        <v>23</v>
      </c>
      <c r="AF484">
        <v>13</v>
      </c>
      <c r="AH484" t="s">
        <v>3112</v>
      </c>
      <c r="AI484" t="s">
        <v>3111</v>
      </c>
      <c r="AJ484" t="s">
        <v>3110</v>
      </c>
      <c r="AK484" t="s">
        <v>3109</v>
      </c>
      <c r="AL484">
        <v>2</v>
      </c>
      <c r="AM484" s="5">
        <f t="shared" si="58"/>
        <v>5.7142857142857141E-2</v>
      </c>
      <c r="AN484" s="4">
        <f t="shared" si="63"/>
        <v>8.6547303510575E-5</v>
      </c>
      <c r="AO484" s="3"/>
      <c r="AP484">
        <v>0</v>
      </c>
      <c r="AR484" t="s">
        <v>0</v>
      </c>
      <c r="AT484" s="2">
        <v>1.3140000000000001</v>
      </c>
      <c r="AU484" s="1">
        <f t="shared" si="59"/>
        <v>0.7033251770135418</v>
      </c>
      <c r="AV484" s="1">
        <f t="shared" si="60"/>
        <v>0.50484790653854639</v>
      </c>
      <c r="AW484" s="1">
        <f t="shared" si="61"/>
        <v>0.30637063606355081</v>
      </c>
    </row>
    <row r="485" spans="1:49" x14ac:dyDescent="0.2">
      <c r="A485">
        <v>483</v>
      </c>
      <c r="B485" t="s">
        <v>3108</v>
      </c>
      <c r="C485" t="s">
        <v>3107</v>
      </c>
      <c r="F485" t="s">
        <v>3106</v>
      </c>
      <c r="G485" t="s">
        <v>14</v>
      </c>
      <c r="H485" t="s">
        <v>13</v>
      </c>
      <c r="I485" t="s">
        <v>3105</v>
      </c>
      <c r="J485">
        <v>60021378</v>
      </c>
      <c r="K485" t="s">
        <v>1785</v>
      </c>
      <c r="L485" t="s">
        <v>1784</v>
      </c>
      <c r="M485" t="s">
        <v>9</v>
      </c>
      <c r="N485">
        <v>2</v>
      </c>
      <c r="O485" t="s">
        <v>3104</v>
      </c>
      <c r="P485" t="s">
        <v>3103</v>
      </c>
      <c r="Q485" t="s">
        <v>3102</v>
      </c>
      <c r="R485" s="7">
        <v>31778</v>
      </c>
      <c r="S485" s="8">
        <f t="shared" si="56"/>
        <v>1987</v>
      </c>
      <c r="T485" s="8">
        <v>1987</v>
      </c>
      <c r="U485" s="8">
        <f t="shared" si="57"/>
        <v>35</v>
      </c>
      <c r="V485" s="7">
        <v>31929</v>
      </c>
      <c r="W485" t="s">
        <v>1394</v>
      </c>
      <c r="X485" s="2">
        <v>2.9860000000000002</v>
      </c>
      <c r="Y485" s="6">
        <f t="shared" si="62"/>
        <v>7.9709564613865094E-2</v>
      </c>
      <c r="AA485">
        <v>7338716</v>
      </c>
      <c r="AB485">
        <v>18902</v>
      </c>
      <c r="AD485" t="s">
        <v>4</v>
      </c>
      <c r="AE485">
        <v>5</v>
      </c>
      <c r="AF485">
        <v>5</v>
      </c>
      <c r="AH485" t="s">
        <v>3101</v>
      </c>
      <c r="AI485" t="s">
        <v>3100</v>
      </c>
      <c r="AK485" t="s">
        <v>3099</v>
      </c>
      <c r="AL485">
        <v>26</v>
      </c>
      <c r="AM485" s="5">
        <f t="shared" si="58"/>
        <v>0.74285714285714288</v>
      </c>
      <c r="AN485" s="4">
        <f t="shared" si="63"/>
        <v>1.125114945637475E-3</v>
      </c>
      <c r="AO485" s="3"/>
      <c r="AP485">
        <v>0</v>
      </c>
      <c r="AR485" t="s">
        <v>0</v>
      </c>
      <c r="AT485" s="2" t="s">
        <v>32</v>
      </c>
      <c r="AU485" s="1">
        <f t="shared" si="59"/>
        <v>5.6134229713396797</v>
      </c>
      <c r="AV485" s="1">
        <f t="shared" si="60"/>
        <v>4.0417339779751291</v>
      </c>
      <c r="AW485" s="1">
        <f t="shared" si="61"/>
        <v>2.4700449846105759</v>
      </c>
    </row>
    <row r="486" spans="1:49" x14ac:dyDescent="0.2">
      <c r="A486">
        <v>484</v>
      </c>
      <c r="B486" t="s">
        <v>3098</v>
      </c>
      <c r="C486" t="s">
        <v>3097</v>
      </c>
      <c r="F486" t="s">
        <v>3096</v>
      </c>
      <c r="G486" t="s">
        <v>14</v>
      </c>
      <c r="H486" t="s">
        <v>13</v>
      </c>
      <c r="I486" t="s">
        <v>1198</v>
      </c>
      <c r="J486">
        <v>60025555</v>
      </c>
      <c r="K486" t="s">
        <v>550</v>
      </c>
      <c r="L486" t="s">
        <v>549</v>
      </c>
      <c r="M486" t="s">
        <v>524</v>
      </c>
      <c r="N486">
        <v>2</v>
      </c>
      <c r="O486" t="s">
        <v>3095</v>
      </c>
      <c r="P486" t="s">
        <v>3094</v>
      </c>
      <c r="Q486" t="s">
        <v>1811</v>
      </c>
      <c r="R486" s="7">
        <v>31778</v>
      </c>
      <c r="S486" s="8">
        <f t="shared" si="56"/>
        <v>1987</v>
      </c>
      <c r="T486" s="8">
        <v>1987</v>
      </c>
      <c r="U486" s="8">
        <f t="shared" si="57"/>
        <v>35</v>
      </c>
      <c r="V486" s="7">
        <v>31929</v>
      </c>
      <c r="W486" t="s">
        <v>1394</v>
      </c>
      <c r="X486" s="2">
        <v>2.9860000000000002</v>
      </c>
      <c r="Y486" s="6">
        <f t="shared" si="62"/>
        <v>7.9709564613865094E-2</v>
      </c>
      <c r="AA486">
        <v>7338716</v>
      </c>
      <c r="AB486">
        <v>18902</v>
      </c>
      <c r="AD486" t="s">
        <v>4</v>
      </c>
      <c r="AE486">
        <v>5</v>
      </c>
      <c r="AF486">
        <v>5</v>
      </c>
      <c r="AH486" t="s">
        <v>3093</v>
      </c>
      <c r="AI486" t="s">
        <v>3092</v>
      </c>
      <c r="AK486" t="s">
        <v>3091</v>
      </c>
      <c r="AL486">
        <v>192</v>
      </c>
      <c r="AM486" s="5">
        <f t="shared" si="58"/>
        <v>5.4857142857142858</v>
      </c>
      <c r="AN486" s="4">
        <f t="shared" si="63"/>
        <v>8.3085411370152004E-3</v>
      </c>
      <c r="AO486" s="3"/>
      <c r="AP486">
        <v>0</v>
      </c>
      <c r="AR486" t="s">
        <v>0</v>
      </c>
      <c r="AT486" s="2" t="s">
        <v>32</v>
      </c>
      <c r="AU486" s="1">
        <f t="shared" si="59"/>
        <v>5.828925757081012</v>
      </c>
      <c r="AV486" s="1">
        <f t="shared" si="60"/>
        <v>4.4009052875440142</v>
      </c>
      <c r="AW486" s="1">
        <f t="shared" si="61"/>
        <v>2.9728848180070164</v>
      </c>
    </row>
    <row r="487" spans="1:49" x14ac:dyDescent="0.2">
      <c r="A487">
        <v>485</v>
      </c>
      <c r="B487" t="s">
        <v>3090</v>
      </c>
      <c r="C487" t="s">
        <v>3089</v>
      </c>
      <c r="F487" t="s">
        <v>3088</v>
      </c>
      <c r="G487" t="s">
        <v>14</v>
      </c>
      <c r="H487" t="s">
        <v>13</v>
      </c>
      <c r="I487" t="s">
        <v>3087</v>
      </c>
      <c r="J487" t="s">
        <v>3081</v>
      </c>
      <c r="K487" t="s">
        <v>3086</v>
      </c>
      <c r="L487" t="s">
        <v>3085</v>
      </c>
      <c r="M487" t="s">
        <v>3084</v>
      </c>
      <c r="N487">
        <v>2</v>
      </c>
      <c r="O487" t="s">
        <v>3083</v>
      </c>
      <c r="P487" t="s">
        <v>3082</v>
      </c>
      <c r="Q487" t="s">
        <v>3081</v>
      </c>
      <c r="R487" s="7">
        <v>31778</v>
      </c>
      <c r="S487" s="8">
        <f t="shared" ref="S487:S550" si="64">YEAR(R487)</f>
        <v>1987</v>
      </c>
      <c r="T487" s="8">
        <v>1987</v>
      </c>
      <c r="U487" s="8">
        <f t="shared" ref="U487:U550" si="65">2022-T487</f>
        <v>35</v>
      </c>
      <c r="V487" s="7">
        <v>31929</v>
      </c>
      <c r="W487" t="s">
        <v>336</v>
      </c>
      <c r="X487" s="2">
        <v>1.6519999999999999</v>
      </c>
      <c r="Y487" s="6">
        <f t="shared" si="62"/>
        <v>4.409919649769093E-2</v>
      </c>
      <c r="AA487" t="s">
        <v>335</v>
      </c>
      <c r="AB487">
        <v>17337</v>
      </c>
      <c r="AC487">
        <v>15582221</v>
      </c>
      <c r="AD487" t="s">
        <v>4</v>
      </c>
      <c r="AE487">
        <v>35</v>
      </c>
      <c r="AF487">
        <v>6</v>
      </c>
      <c r="AH487" t="s">
        <v>3080</v>
      </c>
      <c r="AI487" t="s">
        <v>3079</v>
      </c>
      <c r="AK487" t="s">
        <v>3078</v>
      </c>
      <c r="AL487">
        <v>5</v>
      </c>
      <c r="AM487" s="5">
        <f t="shared" ref="AM487:AM550" si="66">AL487/U487</f>
        <v>0.14285714285714285</v>
      </c>
      <c r="AN487" s="4">
        <f t="shared" si="63"/>
        <v>2.1636825877643749E-4</v>
      </c>
      <c r="AO487" s="3"/>
      <c r="AP487">
        <v>0</v>
      </c>
      <c r="AR487" t="s">
        <v>0</v>
      </c>
      <c r="AT487" s="2" t="s">
        <v>32</v>
      </c>
      <c r="AU487" s="1">
        <f t="shared" ref="AU487:AU550" si="67">(Y487*0.7+AN487*0.3)*100</f>
        <v>3.0934348026016583</v>
      </c>
      <c r="AV487" s="1">
        <f t="shared" ref="AV487:AV550" si="68">(Y487*0.5+AN487*0.5)*100</f>
        <v>2.2157782378233684</v>
      </c>
      <c r="AW487" s="1">
        <f t="shared" ref="AW487:AW550" si="69">(Y487*0.3+AN487*0.7)*100</f>
        <v>1.3381216730450785</v>
      </c>
    </row>
    <row r="488" spans="1:49" x14ac:dyDescent="0.2">
      <c r="A488">
        <v>486</v>
      </c>
      <c r="B488" t="s">
        <v>3077</v>
      </c>
      <c r="C488" t="s">
        <v>3076</v>
      </c>
      <c r="F488" t="s">
        <v>3075</v>
      </c>
      <c r="G488" t="s">
        <v>14</v>
      </c>
      <c r="H488" t="s">
        <v>13</v>
      </c>
      <c r="I488" t="s">
        <v>3074</v>
      </c>
      <c r="J488">
        <v>60025555</v>
      </c>
      <c r="K488" t="s">
        <v>550</v>
      </c>
      <c r="L488" t="s">
        <v>549</v>
      </c>
      <c r="M488" t="s">
        <v>524</v>
      </c>
      <c r="N488">
        <v>3</v>
      </c>
      <c r="O488" t="s">
        <v>3073</v>
      </c>
      <c r="P488" t="s">
        <v>3072</v>
      </c>
      <c r="Q488" t="s">
        <v>546</v>
      </c>
      <c r="R488" s="7">
        <v>31778</v>
      </c>
      <c r="S488" s="8">
        <f t="shared" si="64"/>
        <v>1987</v>
      </c>
      <c r="T488" s="8">
        <v>1987</v>
      </c>
      <c r="U488" s="8">
        <f t="shared" si="65"/>
        <v>35</v>
      </c>
      <c r="V488" s="7">
        <v>1987</v>
      </c>
      <c r="W488" t="s">
        <v>1943</v>
      </c>
      <c r="X488" s="2">
        <v>0.13900000000000001</v>
      </c>
      <c r="Y488" s="6">
        <f t="shared" si="62"/>
        <v>3.7105256133045036E-3</v>
      </c>
      <c r="AA488" t="s">
        <v>1942</v>
      </c>
      <c r="AB488">
        <v>24891</v>
      </c>
      <c r="AC488">
        <v>15206432</v>
      </c>
      <c r="AD488" t="s">
        <v>4</v>
      </c>
      <c r="AE488">
        <v>70</v>
      </c>
      <c r="AF488">
        <v>6</v>
      </c>
      <c r="AH488" s="10">
        <v>43374</v>
      </c>
      <c r="AI488" t="s">
        <v>3071</v>
      </c>
      <c r="AK488" t="s">
        <v>3070</v>
      </c>
      <c r="AL488">
        <v>0</v>
      </c>
      <c r="AM488" s="5">
        <f t="shared" si="66"/>
        <v>0</v>
      </c>
      <c r="AN488" s="4">
        <f t="shared" si="63"/>
        <v>0</v>
      </c>
      <c r="AO488" s="3"/>
      <c r="AP488">
        <v>0</v>
      </c>
      <c r="AR488" t="s">
        <v>0</v>
      </c>
      <c r="AT488" s="2" t="s">
        <v>32</v>
      </c>
      <c r="AU488" s="1">
        <f t="shared" si="67"/>
        <v>0.25973679293131524</v>
      </c>
      <c r="AV488" s="1">
        <f t="shared" si="68"/>
        <v>0.1855262806652252</v>
      </c>
      <c r="AW488" s="1">
        <f t="shared" si="69"/>
        <v>0.1113157683991351</v>
      </c>
    </row>
    <row r="489" spans="1:49" x14ac:dyDescent="0.2">
      <c r="A489">
        <v>487</v>
      </c>
      <c r="B489" t="s">
        <v>3069</v>
      </c>
      <c r="C489" t="s">
        <v>3068</v>
      </c>
      <c r="F489" t="s">
        <v>3067</v>
      </c>
      <c r="G489" t="s">
        <v>14</v>
      </c>
      <c r="H489" t="s">
        <v>13</v>
      </c>
      <c r="I489" t="s">
        <v>3066</v>
      </c>
      <c r="J489" t="s">
        <v>3065</v>
      </c>
      <c r="K489" t="s">
        <v>3064</v>
      </c>
      <c r="L489" t="s">
        <v>3063</v>
      </c>
      <c r="M489" t="s">
        <v>3062</v>
      </c>
      <c r="N489">
        <v>6</v>
      </c>
      <c r="O489" t="s">
        <v>3061</v>
      </c>
      <c r="P489" t="s">
        <v>3060</v>
      </c>
      <c r="Q489" t="s">
        <v>3059</v>
      </c>
      <c r="R489" s="7">
        <v>31778</v>
      </c>
      <c r="S489" s="8">
        <f t="shared" si="64"/>
        <v>1987</v>
      </c>
      <c r="T489" s="8">
        <v>1987</v>
      </c>
      <c r="U489" s="8">
        <f t="shared" si="65"/>
        <v>35</v>
      </c>
      <c r="V489" s="7">
        <v>31929</v>
      </c>
      <c r="W489" t="s">
        <v>336</v>
      </c>
      <c r="X489" s="2">
        <v>1.6519999999999999</v>
      </c>
      <c r="Y489" s="6">
        <f t="shared" si="62"/>
        <v>4.409919649769093E-2</v>
      </c>
      <c r="AA489" t="s">
        <v>335</v>
      </c>
      <c r="AB489">
        <v>17337</v>
      </c>
      <c r="AC489">
        <v>15582221</v>
      </c>
      <c r="AD489" t="s">
        <v>4</v>
      </c>
      <c r="AE489">
        <v>35</v>
      </c>
      <c r="AF489">
        <v>6</v>
      </c>
      <c r="AH489" t="s">
        <v>3058</v>
      </c>
      <c r="AI489" t="s">
        <v>3057</v>
      </c>
      <c r="AK489" t="s">
        <v>3056</v>
      </c>
      <c r="AL489">
        <v>134</v>
      </c>
      <c r="AM489" s="5">
        <f t="shared" si="66"/>
        <v>3.8285714285714287</v>
      </c>
      <c r="AN489" s="4">
        <f t="shared" si="63"/>
        <v>5.7986693352085252E-3</v>
      </c>
      <c r="AO489" s="3"/>
      <c r="AP489">
        <v>0</v>
      </c>
      <c r="AR489" t="s">
        <v>0</v>
      </c>
      <c r="AT489" s="2" t="s">
        <v>32</v>
      </c>
      <c r="AU489" s="1">
        <f t="shared" si="67"/>
        <v>3.2609038348946204</v>
      </c>
      <c r="AV489" s="1">
        <f t="shared" si="68"/>
        <v>2.4948932916449729</v>
      </c>
      <c r="AW489" s="1">
        <f t="shared" si="69"/>
        <v>1.7288827483953244</v>
      </c>
    </row>
    <row r="490" spans="1:49" x14ac:dyDescent="0.2">
      <c r="A490">
        <v>488</v>
      </c>
      <c r="B490" t="s">
        <v>3055</v>
      </c>
      <c r="C490" t="s">
        <v>3054</v>
      </c>
      <c r="F490" t="s">
        <v>3053</v>
      </c>
      <c r="G490" t="s">
        <v>14</v>
      </c>
      <c r="H490" t="s">
        <v>13</v>
      </c>
      <c r="I490" t="s">
        <v>3052</v>
      </c>
      <c r="J490">
        <v>60014313</v>
      </c>
      <c r="K490" t="s">
        <v>1583</v>
      </c>
      <c r="L490" t="s">
        <v>1582</v>
      </c>
      <c r="M490" t="s">
        <v>9</v>
      </c>
      <c r="N490">
        <v>2</v>
      </c>
      <c r="O490" t="s">
        <v>3051</v>
      </c>
      <c r="P490" t="s">
        <v>3050</v>
      </c>
      <c r="Q490" t="s">
        <v>1579</v>
      </c>
      <c r="R490" s="7">
        <v>31778</v>
      </c>
      <c r="S490" s="8">
        <f t="shared" si="64"/>
        <v>1987</v>
      </c>
      <c r="T490" s="8">
        <v>1987</v>
      </c>
      <c r="U490" s="8">
        <f t="shared" si="65"/>
        <v>35</v>
      </c>
      <c r="V490" s="7">
        <v>31929</v>
      </c>
      <c r="W490" t="s">
        <v>336</v>
      </c>
      <c r="X490" s="2">
        <v>1.6519999999999999</v>
      </c>
      <c r="Y490" s="6">
        <f t="shared" si="62"/>
        <v>4.409919649769093E-2</v>
      </c>
      <c r="AA490" t="s">
        <v>335</v>
      </c>
      <c r="AB490">
        <v>17337</v>
      </c>
      <c r="AC490">
        <v>15582221</v>
      </c>
      <c r="AD490" t="s">
        <v>4</v>
      </c>
      <c r="AE490">
        <v>35</v>
      </c>
      <c r="AF490">
        <v>6</v>
      </c>
      <c r="AH490" t="s">
        <v>3049</v>
      </c>
      <c r="AI490" t="s">
        <v>3048</v>
      </c>
      <c r="AK490" t="s">
        <v>3047</v>
      </c>
      <c r="AL490">
        <v>33</v>
      </c>
      <c r="AM490" s="5">
        <f t="shared" si="66"/>
        <v>0.94285714285714284</v>
      </c>
      <c r="AN490" s="4">
        <f t="shared" si="63"/>
        <v>1.4280305079244875E-3</v>
      </c>
      <c r="AO490" s="3"/>
      <c r="AP490">
        <v>0</v>
      </c>
      <c r="AR490" t="s">
        <v>0</v>
      </c>
      <c r="AT490" s="2" t="s">
        <v>32</v>
      </c>
      <c r="AU490" s="1">
        <f t="shared" si="67"/>
        <v>3.1297846700760994</v>
      </c>
      <c r="AV490" s="1">
        <f t="shared" si="68"/>
        <v>2.2763613502807707</v>
      </c>
      <c r="AW490" s="1">
        <f t="shared" si="69"/>
        <v>1.422938030485442</v>
      </c>
    </row>
    <row r="491" spans="1:49" x14ac:dyDescent="0.2">
      <c r="A491">
        <v>489</v>
      </c>
      <c r="B491" t="s">
        <v>3046</v>
      </c>
      <c r="C491" t="s">
        <v>3045</v>
      </c>
      <c r="F491" t="s">
        <v>3044</v>
      </c>
      <c r="G491" t="s">
        <v>14</v>
      </c>
      <c r="H491" t="s">
        <v>13</v>
      </c>
      <c r="I491" t="s">
        <v>3043</v>
      </c>
      <c r="J491" t="s">
        <v>3042</v>
      </c>
      <c r="K491" t="s">
        <v>3041</v>
      </c>
      <c r="L491" t="s">
        <v>3040</v>
      </c>
      <c r="M491" t="s">
        <v>55</v>
      </c>
      <c r="N491">
        <v>2</v>
      </c>
      <c r="O491" t="s">
        <v>3039</v>
      </c>
      <c r="P491" t="s">
        <v>3038</v>
      </c>
      <c r="Q491" t="s">
        <v>3037</v>
      </c>
      <c r="R491" s="7">
        <v>31778</v>
      </c>
      <c r="S491" s="8">
        <f t="shared" si="64"/>
        <v>1987</v>
      </c>
      <c r="T491" s="8">
        <v>1987</v>
      </c>
      <c r="U491" s="8">
        <f t="shared" si="65"/>
        <v>35</v>
      </c>
      <c r="V491" s="7">
        <v>31929</v>
      </c>
      <c r="W491" t="s">
        <v>1702</v>
      </c>
      <c r="X491" s="2">
        <v>0.46</v>
      </c>
      <c r="Y491" s="6">
        <f t="shared" si="62"/>
        <v>1.2279437281439364E-2</v>
      </c>
      <c r="AA491">
        <v>933813</v>
      </c>
      <c r="AB491">
        <v>28031</v>
      </c>
      <c r="AC491">
        <v>19399375</v>
      </c>
      <c r="AD491" t="s">
        <v>4</v>
      </c>
      <c r="AE491">
        <v>15</v>
      </c>
      <c r="AF491">
        <v>3</v>
      </c>
      <c r="AH491" t="s">
        <v>3036</v>
      </c>
      <c r="AI491" t="s">
        <v>3035</v>
      </c>
      <c r="AK491" t="s">
        <v>3034</v>
      </c>
      <c r="AL491">
        <v>10</v>
      </c>
      <c r="AM491" s="5">
        <f t="shared" si="66"/>
        <v>0.2857142857142857</v>
      </c>
      <c r="AN491" s="4">
        <f t="shared" si="63"/>
        <v>4.3273651755287499E-4</v>
      </c>
      <c r="AO491" s="3"/>
      <c r="AP491">
        <v>0</v>
      </c>
      <c r="AR491" t="s">
        <v>0</v>
      </c>
      <c r="AT491" s="2">
        <v>1.222</v>
      </c>
      <c r="AU491" s="1">
        <f t="shared" si="67"/>
        <v>0.87254270522734156</v>
      </c>
      <c r="AV491" s="1">
        <f t="shared" si="68"/>
        <v>0.63560868994961195</v>
      </c>
      <c r="AW491" s="1">
        <f t="shared" si="69"/>
        <v>0.39867467467188217</v>
      </c>
    </row>
    <row r="492" spans="1:49" x14ac:dyDescent="0.2">
      <c r="A492">
        <v>490</v>
      </c>
      <c r="B492" t="s">
        <v>3033</v>
      </c>
      <c r="C492" t="s">
        <v>3032</v>
      </c>
      <c r="F492" t="s">
        <v>3031</v>
      </c>
      <c r="G492" t="s">
        <v>14</v>
      </c>
      <c r="H492" t="s">
        <v>13</v>
      </c>
      <c r="I492" t="s">
        <v>3030</v>
      </c>
      <c r="N492">
        <v>1</v>
      </c>
      <c r="O492" t="s">
        <v>3029</v>
      </c>
      <c r="P492">
        <v>24512080300</v>
      </c>
      <c r="R492" s="7">
        <v>31778</v>
      </c>
      <c r="S492" s="8">
        <f t="shared" si="64"/>
        <v>1987</v>
      </c>
      <c r="T492" s="8">
        <v>1987</v>
      </c>
      <c r="U492" s="8">
        <f t="shared" si="65"/>
        <v>35</v>
      </c>
      <c r="V492" s="7">
        <v>31929</v>
      </c>
      <c r="W492" t="s">
        <v>336</v>
      </c>
      <c r="X492" s="2">
        <v>1.6519999999999999</v>
      </c>
      <c r="Y492" s="6">
        <f t="shared" si="62"/>
        <v>4.409919649769093E-2</v>
      </c>
      <c r="AA492" t="s">
        <v>335</v>
      </c>
      <c r="AB492">
        <v>17337</v>
      </c>
      <c r="AC492">
        <v>15582221</v>
      </c>
      <c r="AD492" t="s">
        <v>4</v>
      </c>
      <c r="AE492">
        <v>35</v>
      </c>
      <c r="AF492">
        <v>6</v>
      </c>
      <c r="AH492" t="s">
        <v>3028</v>
      </c>
      <c r="AI492" t="s">
        <v>3027</v>
      </c>
      <c r="AK492" t="s">
        <v>3026</v>
      </c>
      <c r="AL492">
        <v>37</v>
      </c>
      <c r="AM492" s="5">
        <f t="shared" si="66"/>
        <v>1.0571428571428572</v>
      </c>
      <c r="AN492" s="4">
        <f t="shared" si="63"/>
        <v>1.6011251149456375E-3</v>
      </c>
      <c r="AO492" s="3"/>
      <c r="AP492">
        <v>0</v>
      </c>
      <c r="AR492" t="s">
        <v>0</v>
      </c>
      <c r="AT492" s="2" t="s">
        <v>32</v>
      </c>
      <c r="AU492" s="1">
        <f t="shared" si="67"/>
        <v>3.1349775082867342</v>
      </c>
      <c r="AV492" s="1">
        <f t="shared" si="68"/>
        <v>2.2850160806318285</v>
      </c>
      <c r="AW492" s="1">
        <f t="shared" si="69"/>
        <v>1.4350546529769224</v>
      </c>
    </row>
    <row r="493" spans="1:49" x14ac:dyDescent="0.2">
      <c r="A493">
        <v>491</v>
      </c>
      <c r="B493" t="s">
        <v>3025</v>
      </c>
      <c r="C493" t="s">
        <v>3024</v>
      </c>
      <c r="F493" t="s">
        <v>3023</v>
      </c>
      <c r="G493" t="s">
        <v>14</v>
      </c>
      <c r="H493" t="s">
        <v>13</v>
      </c>
      <c r="I493" t="s">
        <v>3022</v>
      </c>
      <c r="J493">
        <v>60026340</v>
      </c>
      <c r="K493" t="s">
        <v>3021</v>
      </c>
      <c r="L493" t="s">
        <v>3020</v>
      </c>
      <c r="M493" t="s">
        <v>2940</v>
      </c>
      <c r="N493">
        <v>2</v>
      </c>
      <c r="O493" t="s">
        <v>3019</v>
      </c>
      <c r="P493" t="s">
        <v>3018</v>
      </c>
      <c r="Q493" t="s">
        <v>3017</v>
      </c>
      <c r="R493" s="7">
        <v>31778</v>
      </c>
      <c r="S493" s="8">
        <f t="shared" si="64"/>
        <v>1987</v>
      </c>
      <c r="T493" s="8">
        <v>1987</v>
      </c>
      <c r="U493" s="8">
        <f t="shared" si="65"/>
        <v>35</v>
      </c>
      <c r="V493" s="7" t="s">
        <v>2985</v>
      </c>
      <c r="W493" s="11" t="s">
        <v>1382</v>
      </c>
      <c r="X493" s="2">
        <v>2.383</v>
      </c>
      <c r="Y493" s="6">
        <f t="shared" si="62"/>
        <v>6.3612824003630442E-2</v>
      </c>
      <c r="AA493" t="s">
        <v>1381</v>
      </c>
      <c r="AB493">
        <v>101151</v>
      </c>
      <c r="AD493" t="s">
        <v>4</v>
      </c>
      <c r="AE493">
        <v>134</v>
      </c>
      <c r="AF493">
        <v>3</v>
      </c>
      <c r="AH493" t="s">
        <v>3016</v>
      </c>
      <c r="AI493" t="s">
        <v>3015</v>
      </c>
      <c r="AK493" t="s">
        <v>3014</v>
      </c>
      <c r="AL493">
        <v>0</v>
      </c>
      <c r="AM493" s="5">
        <f t="shared" si="66"/>
        <v>0</v>
      </c>
      <c r="AN493" s="4">
        <f t="shared" si="63"/>
        <v>0</v>
      </c>
      <c r="AO493" s="3"/>
      <c r="AP493">
        <v>0</v>
      </c>
      <c r="AR493" t="s">
        <v>0</v>
      </c>
      <c r="AT493" s="2" t="s">
        <v>32</v>
      </c>
      <c r="AU493" s="1">
        <f t="shared" si="67"/>
        <v>4.4528976802541305</v>
      </c>
      <c r="AV493" s="1">
        <f t="shared" si="68"/>
        <v>3.1806412001815221</v>
      </c>
      <c r="AW493" s="1">
        <f t="shared" si="69"/>
        <v>1.9083847201089132</v>
      </c>
    </row>
    <row r="494" spans="1:49" x14ac:dyDescent="0.2">
      <c r="A494">
        <v>492</v>
      </c>
      <c r="B494" t="s">
        <v>3013</v>
      </c>
      <c r="C494" t="s">
        <v>3012</v>
      </c>
      <c r="F494" t="s">
        <v>3011</v>
      </c>
      <c r="G494" t="s">
        <v>14</v>
      </c>
      <c r="H494" t="s">
        <v>13</v>
      </c>
      <c r="I494" t="s">
        <v>3010</v>
      </c>
      <c r="J494">
        <v>60004554</v>
      </c>
      <c r="K494" t="s">
        <v>3009</v>
      </c>
      <c r="L494" t="s">
        <v>3008</v>
      </c>
      <c r="M494" t="s">
        <v>3007</v>
      </c>
      <c r="N494">
        <v>2</v>
      </c>
      <c r="O494" t="s">
        <v>3006</v>
      </c>
      <c r="P494" t="s">
        <v>3005</v>
      </c>
      <c r="Q494" t="s">
        <v>3004</v>
      </c>
      <c r="R494" s="7">
        <v>31778</v>
      </c>
      <c r="S494" s="8">
        <f t="shared" si="64"/>
        <v>1987</v>
      </c>
      <c r="T494" s="8">
        <v>1987</v>
      </c>
      <c r="U494" s="8">
        <f t="shared" si="65"/>
        <v>35</v>
      </c>
      <c r="V494" s="7" t="s">
        <v>2985</v>
      </c>
      <c r="W494" s="11" t="s">
        <v>1382</v>
      </c>
      <c r="X494" s="2">
        <v>2.383</v>
      </c>
      <c r="Y494" s="6">
        <f t="shared" si="62"/>
        <v>6.3612824003630442E-2</v>
      </c>
      <c r="AA494" t="s">
        <v>1381</v>
      </c>
      <c r="AB494">
        <v>101151</v>
      </c>
      <c r="AD494" t="s">
        <v>4</v>
      </c>
      <c r="AE494">
        <v>134</v>
      </c>
      <c r="AF494">
        <v>3</v>
      </c>
      <c r="AH494" t="s">
        <v>3003</v>
      </c>
      <c r="AI494" t="s">
        <v>3002</v>
      </c>
      <c r="AK494" t="s">
        <v>3001</v>
      </c>
      <c r="AL494">
        <v>6</v>
      </c>
      <c r="AM494" s="5">
        <f t="shared" si="66"/>
        <v>0.17142857142857143</v>
      </c>
      <c r="AN494" s="4">
        <f t="shared" si="63"/>
        <v>2.5964191053172501E-4</v>
      </c>
      <c r="AO494" s="3"/>
      <c r="AP494">
        <v>0</v>
      </c>
      <c r="AR494" t="s">
        <v>0</v>
      </c>
      <c r="AT494" s="2" t="s">
        <v>32</v>
      </c>
      <c r="AU494" s="1">
        <f t="shared" si="67"/>
        <v>4.4606869375700828</v>
      </c>
      <c r="AV494" s="1">
        <f t="shared" si="68"/>
        <v>3.1936232957081083</v>
      </c>
      <c r="AW494" s="1">
        <f t="shared" si="69"/>
        <v>1.926559653846134</v>
      </c>
    </row>
    <row r="495" spans="1:49" x14ac:dyDescent="0.2">
      <c r="A495">
        <v>493</v>
      </c>
      <c r="B495" t="s">
        <v>3000</v>
      </c>
      <c r="C495" t="s">
        <v>2999</v>
      </c>
      <c r="F495" t="s">
        <v>2998</v>
      </c>
      <c r="G495" t="s">
        <v>14</v>
      </c>
      <c r="H495" t="s">
        <v>13</v>
      </c>
      <c r="I495" t="s">
        <v>2997</v>
      </c>
      <c r="J495">
        <v>60032882</v>
      </c>
      <c r="K495" t="s">
        <v>2996</v>
      </c>
      <c r="L495" t="s">
        <v>2995</v>
      </c>
      <c r="M495" t="s">
        <v>271</v>
      </c>
      <c r="N495">
        <v>1</v>
      </c>
      <c r="O495" t="s">
        <v>2994</v>
      </c>
      <c r="P495">
        <v>7007183627</v>
      </c>
      <c r="Q495">
        <v>60032882</v>
      </c>
      <c r="R495" s="7">
        <v>31778</v>
      </c>
      <c r="S495" s="8">
        <f t="shared" si="64"/>
        <v>1987</v>
      </c>
      <c r="T495" s="8">
        <v>1987</v>
      </c>
      <c r="U495" s="8">
        <f t="shared" si="65"/>
        <v>35</v>
      </c>
      <c r="V495" s="7" t="s">
        <v>2985</v>
      </c>
      <c r="W495" s="11" t="s">
        <v>1382</v>
      </c>
      <c r="X495" s="2">
        <v>2.383</v>
      </c>
      <c r="Y495" s="6">
        <f t="shared" si="62"/>
        <v>6.3612824003630442E-2</v>
      </c>
      <c r="AA495" t="s">
        <v>1381</v>
      </c>
      <c r="AB495">
        <v>101151</v>
      </c>
      <c r="AD495" t="s">
        <v>4</v>
      </c>
      <c r="AE495">
        <v>134</v>
      </c>
      <c r="AF495">
        <v>3</v>
      </c>
      <c r="AH495" t="s">
        <v>2993</v>
      </c>
      <c r="AI495" t="s">
        <v>2992</v>
      </c>
      <c r="AK495" t="s">
        <v>2991</v>
      </c>
      <c r="AL495">
        <v>2</v>
      </c>
      <c r="AM495" s="5">
        <f t="shared" si="66"/>
        <v>5.7142857142857141E-2</v>
      </c>
      <c r="AN495" s="4">
        <f t="shared" si="63"/>
        <v>8.6547303510575E-5</v>
      </c>
      <c r="AO495" s="3"/>
      <c r="AP495">
        <v>0</v>
      </c>
      <c r="AR495" t="s">
        <v>0</v>
      </c>
      <c r="AT495" s="2" t="s">
        <v>32</v>
      </c>
      <c r="AU495" s="1">
        <f t="shared" si="67"/>
        <v>4.4554940993594476</v>
      </c>
      <c r="AV495" s="1">
        <f t="shared" si="68"/>
        <v>3.1849685653570505</v>
      </c>
      <c r="AW495" s="1">
        <f t="shared" si="69"/>
        <v>1.9144430313546537</v>
      </c>
    </row>
    <row r="496" spans="1:49" x14ac:dyDescent="0.2">
      <c r="A496">
        <v>494</v>
      </c>
      <c r="B496" t="s">
        <v>2990</v>
      </c>
      <c r="C496" t="s">
        <v>2989</v>
      </c>
      <c r="F496" t="s">
        <v>2988</v>
      </c>
      <c r="G496" t="s">
        <v>14</v>
      </c>
      <c r="H496" t="s">
        <v>13</v>
      </c>
      <c r="I496" t="s">
        <v>2987</v>
      </c>
      <c r="J496">
        <v>60029470</v>
      </c>
      <c r="K496" t="s">
        <v>2346</v>
      </c>
      <c r="L496" t="s">
        <v>2345</v>
      </c>
      <c r="M496" t="s">
        <v>40</v>
      </c>
      <c r="N496">
        <v>1</v>
      </c>
      <c r="O496" t="s">
        <v>2986</v>
      </c>
      <c r="P496">
        <v>57199847517</v>
      </c>
      <c r="Q496">
        <v>60029470</v>
      </c>
      <c r="R496" s="7">
        <v>31778</v>
      </c>
      <c r="S496" s="8">
        <f t="shared" si="64"/>
        <v>1987</v>
      </c>
      <c r="T496" s="8">
        <v>1987</v>
      </c>
      <c r="U496" s="8">
        <f t="shared" si="65"/>
        <v>35</v>
      </c>
      <c r="V496" s="7" t="s">
        <v>2985</v>
      </c>
      <c r="W496" s="11" t="s">
        <v>1382</v>
      </c>
      <c r="X496" s="2">
        <v>2.383</v>
      </c>
      <c r="Y496" s="6">
        <f t="shared" si="62"/>
        <v>6.3612824003630442E-2</v>
      </c>
      <c r="AA496" t="s">
        <v>1381</v>
      </c>
      <c r="AB496">
        <v>101151</v>
      </c>
      <c r="AD496" t="s">
        <v>4</v>
      </c>
      <c r="AE496">
        <v>134</v>
      </c>
      <c r="AF496">
        <v>3</v>
      </c>
      <c r="AH496" t="s">
        <v>2984</v>
      </c>
      <c r="AI496" t="s">
        <v>2983</v>
      </c>
      <c r="AK496" t="s">
        <v>2982</v>
      </c>
      <c r="AL496">
        <v>0</v>
      </c>
      <c r="AM496" s="5">
        <f t="shared" si="66"/>
        <v>0</v>
      </c>
      <c r="AN496" s="4">
        <f t="shared" si="63"/>
        <v>0</v>
      </c>
      <c r="AO496" s="3"/>
      <c r="AP496">
        <v>0</v>
      </c>
      <c r="AR496" t="s">
        <v>0</v>
      </c>
      <c r="AT496" s="2" t="s">
        <v>32</v>
      </c>
      <c r="AU496" s="1">
        <f t="shared" si="67"/>
        <v>4.4528976802541305</v>
      </c>
      <c r="AV496" s="1">
        <f t="shared" si="68"/>
        <v>3.1806412001815221</v>
      </c>
      <c r="AW496" s="1">
        <f t="shared" si="69"/>
        <v>1.9083847201089132</v>
      </c>
    </row>
    <row r="497" spans="1:49" x14ac:dyDescent="0.2">
      <c r="A497">
        <v>495</v>
      </c>
      <c r="B497" t="s">
        <v>2981</v>
      </c>
      <c r="C497" t="s">
        <v>2980</v>
      </c>
      <c r="F497" t="s">
        <v>2979</v>
      </c>
      <c r="G497" t="s">
        <v>14</v>
      </c>
      <c r="H497" t="s">
        <v>13</v>
      </c>
      <c r="I497" t="s">
        <v>2978</v>
      </c>
      <c r="J497">
        <v>60025556</v>
      </c>
      <c r="K497" t="s">
        <v>2977</v>
      </c>
      <c r="L497" t="s">
        <v>2976</v>
      </c>
      <c r="M497" t="s">
        <v>524</v>
      </c>
      <c r="N497">
        <v>4</v>
      </c>
      <c r="O497" t="s">
        <v>2975</v>
      </c>
      <c r="P497" t="s">
        <v>2974</v>
      </c>
      <c r="Q497" t="s">
        <v>2973</v>
      </c>
      <c r="R497" s="7">
        <v>31778</v>
      </c>
      <c r="S497" s="8">
        <f t="shared" si="64"/>
        <v>1987</v>
      </c>
      <c r="T497" s="8">
        <v>1987</v>
      </c>
      <c r="U497" s="8">
        <f t="shared" si="65"/>
        <v>35</v>
      </c>
      <c r="V497" s="7">
        <v>31929</v>
      </c>
      <c r="W497" t="s">
        <v>1931</v>
      </c>
      <c r="X497" s="2">
        <v>1.468</v>
      </c>
      <c r="Y497" s="6">
        <f t="shared" si="62"/>
        <v>3.9187421585115186E-2</v>
      </c>
      <c r="AA497">
        <v>906778</v>
      </c>
      <c r="AB497">
        <v>18931</v>
      </c>
      <c r="AD497" t="s">
        <v>4</v>
      </c>
      <c r="AE497">
        <v>35</v>
      </c>
      <c r="AF497">
        <v>6</v>
      </c>
      <c r="AH497" t="s">
        <v>2972</v>
      </c>
      <c r="AI497" t="s">
        <v>2971</v>
      </c>
      <c r="AK497" t="s">
        <v>2970</v>
      </c>
      <c r="AL497">
        <v>21</v>
      </c>
      <c r="AM497" s="5">
        <f t="shared" si="66"/>
        <v>0.6</v>
      </c>
      <c r="AN497" s="4">
        <f t="shared" si="63"/>
        <v>9.0874668686103744E-4</v>
      </c>
      <c r="AO497" s="3"/>
      <c r="AP497">
        <v>0</v>
      </c>
      <c r="AR497" t="s">
        <v>0</v>
      </c>
      <c r="AT497" s="2">
        <v>5.0830000000000002</v>
      </c>
      <c r="AU497" s="1">
        <f t="shared" si="67"/>
        <v>2.7703819115638941</v>
      </c>
      <c r="AV497" s="1">
        <f t="shared" si="68"/>
        <v>2.0048084135988109</v>
      </c>
      <c r="AW497" s="1">
        <f t="shared" si="69"/>
        <v>1.2392349156337281</v>
      </c>
    </row>
    <row r="498" spans="1:49" x14ac:dyDescent="0.2">
      <c r="A498">
        <v>496</v>
      </c>
      <c r="B498" t="s">
        <v>2969</v>
      </c>
      <c r="C498" t="s">
        <v>2968</v>
      </c>
      <c r="F498" t="s">
        <v>2967</v>
      </c>
      <c r="G498" t="s">
        <v>14</v>
      </c>
      <c r="H498" t="s">
        <v>13</v>
      </c>
      <c r="I498" t="s">
        <v>2966</v>
      </c>
      <c r="J498">
        <v>60011047</v>
      </c>
      <c r="K498" t="s">
        <v>2965</v>
      </c>
      <c r="L498" t="s">
        <v>2964</v>
      </c>
      <c r="M498" t="s">
        <v>524</v>
      </c>
      <c r="N498">
        <v>3</v>
      </c>
      <c r="O498" t="s">
        <v>2963</v>
      </c>
      <c r="P498" t="s">
        <v>2962</v>
      </c>
      <c r="Q498" t="s">
        <v>2961</v>
      </c>
      <c r="R498" s="7">
        <v>31778</v>
      </c>
      <c r="S498" s="8">
        <f t="shared" si="64"/>
        <v>1987</v>
      </c>
      <c r="T498" s="8">
        <v>1987</v>
      </c>
      <c r="U498" s="8">
        <f t="shared" si="65"/>
        <v>35</v>
      </c>
      <c r="V498" s="7">
        <v>1987</v>
      </c>
      <c r="W498" t="s">
        <v>1909</v>
      </c>
      <c r="X498" s="2">
        <v>0.111</v>
      </c>
      <c r="Y498" s="6">
        <f t="shared" si="62"/>
        <v>2.9630816048690639E-3</v>
      </c>
      <c r="AA498">
        <v>87566621</v>
      </c>
      <c r="AB498">
        <v>24890</v>
      </c>
      <c r="AC498">
        <v>15206424</v>
      </c>
      <c r="AD498" t="s">
        <v>4</v>
      </c>
      <c r="AE498">
        <v>70</v>
      </c>
      <c r="AF498">
        <v>6</v>
      </c>
      <c r="AH498" t="s">
        <v>2960</v>
      </c>
      <c r="AI498" t="s">
        <v>2959</v>
      </c>
      <c r="AK498" t="s">
        <v>2958</v>
      </c>
      <c r="AL498">
        <v>0</v>
      </c>
      <c r="AM498" s="5">
        <f t="shared" si="66"/>
        <v>0</v>
      </c>
      <c r="AN498" s="4">
        <f t="shared" si="63"/>
        <v>0</v>
      </c>
      <c r="AO498" s="3"/>
      <c r="AP498">
        <v>0</v>
      </c>
      <c r="AR498" t="s">
        <v>0</v>
      </c>
      <c r="AT498" s="2" t="s">
        <v>32</v>
      </c>
      <c r="AU498" s="1">
        <f t="shared" si="67"/>
        <v>0.20741571234083445</v>
      </c>
      <c r="AV498" s="1">
        <f t="shared" si="68"/>
        <v>0.1481540802434532</v>
      </c>
      <c r="AW498" s="1">
        <f t="shared" si="69"/>
        <v>8.8892448146071903E-2</v>
      </c>
    </row>
    <row r="499" spans="1:49" x14ac:dyDescent="0.2">
      <c r="A499">
        <v>497</v>
      </c>
      <c r="B499" t="s">
        <v>2957</v>
      </c>
      <c r="C499" t="s">
        <v>2956</v>
      </c>
      <c r="F499" t="s">
        <v>2955</v>
      </c>
      <c r="G499" t="s">
        <v>14</v>
      </c>
      <c r="H499" t="s">
        <v>13</v>
      </c>
      <c r="I499" t="s">
        <v>2954</v>
      </c>
      <c r="J499">
        <v>60109153</v>
      </c>
      <c r="K499" t="s">
        <v>2953</v>
      </c>
      <c r="L499" t="s">
        <v>587</v>
      </c>
      <c r="M499" t="s">
        <v>586</v>
      </c>
      <c r="N499">
        <v>1</v>
      </c>
      <c r="O499" t="s">
        <v>2952</v>
      </c>
      <c r="P499">
        <v>55472309200</v>
      </c>
      <c r="Q499">
        <v>60109153</v>
      </c>
      <c r="R499" s="7">
        <v>31778</v>
      </c>
      <c r="S499" s="8">
        <f t="shared" si="64"/>
        <v>1987</v>
      </c>
      <c r="T499" s="8">
        <v>1987</v>
      </c>
      <c r="U499" s="8">
        <f t="shared" si="65"/>
        <v>35</v>
      </c>
      <c r="V499" s="7" t="s">
        <v>2951</v>
      </c>
      <c r="W499" t="s">
        <v>2950</v>
      </c>
      <c r="X499" s="2" t="s">
        <v>32</v>
      </c>
      <c r="Y499" s="6" t="e">
        <f t="shared" si="62"/>
        <v>#VALUE!</v>
      </c>
      <c r="AA499">
        <v>281522</v>
      </c>
      <c r="AB499">
        <v>12174</v>
      </c>
      <c r="AC499">
        <v>21614296</v>
      </c>
      <c r="AD499" t="s">
        <v>4</v>
      </c>
      <c r="AE499">
        <v>34</v>
      </c>
      <c r="AF499">
        <v>2</v>
      </c>
      <c r="AH499" t="s">
        <v>2949</v>
      </c>
      <c r="AI499" t="s">
        <v>2948</v>
      </c>
      <c r="AK499" t="s">
        <v>2947</v>
      </c>
      <c r="AL499">
        <v>0</v>
      </c>
      <c r="AM499" s="5">
        <f t="shared" si="66"/>
        <v>0</v>
      </c>
      <c r="AN499" s="4">
        <f t="shared" si="63"/>
        <v>0</v>
      </c>
      <c r="AO499" s="3"/>
      <c r="AP499">
        <v>0</v>
      </c>
      <c r="AR499" t="s">
        <v>0</v>
      </c>
      <c r="AT499" s="2" t="s">
        <v>32</v>
      </c>
      <c r="AU499" s="1" t="e">
        <f t="shared" si="67"/>
        <v>#VALUE!</v>
      </c>
      <c r="AV499" s="1" t="e">
        <f t="shared" si="68"/>
        <v>#VALUE!</v>
      </c>
      <c r="AW499" s="1" t="e">
        <f t="shared" si="69"/>
        <v>#VALUE!</v>
      </c>
    </row>
    <row r="500" spans="1:49" x14ac:dyDescent="0.2">
      <c r="A500">
        <v>498</v>
      </c>
      <c r="B500" t="s">
        <v>2946</v>
      </c>
      <c r="C500" t="s">
        <v>2945</v>
      </c>
      <c r="E500">
        <v>2439331</v>
      </c>
      <c r="F500" t="s">
        <v>2944</v>
      </c>
      <c r="G500" t="s">
        <v>14</v>
      </c>
      <c r="H500" t="s">
        <v>13</v>
      </c>
      <c r="I500" t="s">
        <v>2943</v>
      </c>
      <c r="J500">
        <v>60017563</v>
      </c>
      <c r="K500" t="s">
        <v>2942</v>
      </c>
      <c r="L500" t="s">
        <v>2941</v>
      </c>
      <c r="M500" t="s">
        <v>2940</v>
      </c>
      <c r="N500">
        <v>1</v>
      </c>
      <c r="O500" t="s">
        <v>2939</v>
      </c>
      <c r="P500">
        <v>7103036998</v>
      </c>
      <c r="Q500">
        <v>60017563</v>
      </c>
      <c r="R500" s="7">
        <v>31778</v>
      </c>
      <c r="S500" s="8">
        <f t="shared" si="64"/>
        <v>1987</v>
      </c>
      <c r="T500" s="8">
        <v>1987</v>
      </c>
      <c r="U500" s="8">
        <f t="shared" si="65"/>
        <v>35</v>
      </c>
      <c r="V500" s="7">
        <v>31929</v>
      </c>
      <c r="W500" t="s">
        <v>2938</v>
      </c>
      <c r="X500" s="2">
        <v>1.9810000000000001</v>
      </c>
      <c r="Y500" s="6">
        <f t="shared" si="62"/>
        <v>5.2881663596807349E-2</v>
      </c>
      <c r="AA500">
        <v>142956</v>
      </c>
      <c r="AB500">
        <v>39034</v>
      </c>
      <c r="AC500">
        <v>14321033</v>
      </c>
      <c r="AD500" t="s">
        <v>4</v>
      </c>
      <c r="AE500">
        <v>165</v>
      </c>
      <c r="AF500">
        <v>2</v>
      </c>
      <c r="AH500" t="s">
        <v>2937</v>
      </c>
      <c r="AI500" t="s">
        <v>2936</v>
      </c>
      <c r="AK500" t="s">
        <v>2935</v>
      </c>
      <c r="AL500">
        <v>21</v>
      </c>
      <c r="AM500" s="5">
        <f t="shared" si="66"/>
        <v>0.6</v>
      </c>
      <c r="AN500" s="4">
        <f t="shared" si="63"/>
        <v>9.0874668686103744E-4</v>
      </c>
      <c r="AO500" s="3"/>
      <c r="AP500">
        <v>1</v>
      </c>
      <c r="AR500" t="s">
        <v>0</v>
      </c>
      <c r="AT500" s="2" t="s">
        <v>32</v>
      </c>
      <c r="AU500" s="1">
        <f t="shared" si="67"/>
        <v>3.7289788523823453</v>
      </c>
      <c r="AV500" s="1">
        <f t="shared" si="68"/>
        <v>2.6895205141834193</v>
      </c>
      <c r="AW500" s="1">
        <f t="shared" si="69"/>
        <v>1.6500621759844929</v>
      </c>
    </row>
    <row r="501" spans="1:49" x14ac:dyDescent="0.2">
      <c r="A501">
        <v>499</v>
      </c>
      <c r="B501" t="s">
        <v>2934</v>
      </c>
      <c r="C501" t="s">
        <v>2933</v>
      </c>
      <c r="F501" t="s">
        <v>2932</v>
      </c>
      <c r="G501" t="s">
        <v>14</v>
      </c>
      <c r="H501" t="s">
        <v>13</v>
      </c>
      <c r="I501" t="s">
        <v>2931</v>
      </c>
      <c r="J501">
        <v>60026175</v>
      </c>
      <c r="K501" t="s">
        <v>1901</v>
      </c>
      <c r="L501" t="s">
        <v>1900</v>
      </c>
      <c r="M501" t="s">
        <v>9</v>
      </c>
      <c r="N501">
        <v>6</v>
      </c>
      <c r="O501" t="s">
        <v>2930</v>
      </c>
      <c r="P501" t="s">
        <v>2929</v>
      </c>
      <c r="Q501" t="s">
        <v>2928</v>
      </c>
      <c r="R501" s="7">
        <v>31778</v>
      </c>
      <c r="S501" s="8">
        <f t="shared" si="64"/>
        <v>1987</v>
      </c>
      <c r="T501" s="8">
        <v>1987</v>
      </c>
      <c r="U501" s="8">
        <f t="shared" si="65"/>
        <v>35</v>
      </c>
      <c r="V501" s="7">
        <v>31898</v>
      </c>
      <c r="W501" t="s">
        <v>1530</v>
      </c>
      <c r="X501" s="2">
        <v>0.65500000000000003</v>
      </c>
      <c r="Y501" s="6">
        <f t="shared" si="62"/>
        <v>1.7484850911614749E-2</v>
      </c>
      <c r="AA501">
        <v>189375</v>
      </c>
      <c r="AB501">
        <v>26051</v>
      </c>
      <c r="AC501" t="s">
        <v>1529</v>
      </c>
      <c r="AD501" t="s">
        <v>4</v>
      </c>
      <c r="AE501" t="s">
        <v>1528</v>
      </c>
      <c r="AF501">
        <v>2</v>
      </c>
      <c r="AH501" t="s">
        <v>2927</v>
      </c>
      <c r="AI501" t="s">
        <v>2926</v>
      </c>
      <c r="AK501" t="s">
        <v>2925</v>
      </c>
      <c r="AL501">
        <v>4</v>
      </c>
      <c r="AM501" s="5">
        <f t="shared" si="66"/>
        <v>0.11428571428571428</v>
      </c>
      <c r="AN501" s="4">
        <f t="shared" si="63"/>
        <v>1.7309460702115E-4</v>
      </c>
      <c r="AO501" s="3"/>
      <c r="AP501">
        <v>0</v>
      </c>
      <c r="AR501" t="s">
        <v>0</v>
      </c>
      <c r="AT501" s="2" t="s">
        <v>32</v>
      </c>
      <c r="AU501" s="1">
        <f t="shared" si="67"/>
        <v>1.2291324020236667</v>
      </c>
      <c r="AV501" s="1">
        <f t="shared" si="68"/>
        <v>0.88289727593179501</v>
      </c>
      <c r="AW501" s="1">
        <f t="shared" si="69"/>
        <v>0.536662149839923</v>
      </c>
    </row>
    <row r="502" spans="1:49" x14ac:dyDescent="0.2">
      <c r="A502">
        <v>500</v>
      </c>
      <c r="B502" t="s">
        <v>2924</v>
      </c>
      <c r="C502" t="s">
        <v>2923</v>
      </c>
      <c r="F502" t="s">
        <v>2922</v>
      </c>
      <c r="G502" t="s">
        <v>14</v>
      </c>
      <c r="H502" t="s">
        <v>13</v>
      </c>
      <c r="I502" t="s">
        <v>2921</v>
      </c>
      <c r="J502" t="s">
        <v>2920</v>
      </c>
      <c r="K502" t="s">
        <v>2919</v>
      </c>
      <c r="L502" t="s">
        <v>2918</v>
      </c>
      <c r="M502" t="s">
        <v>376</v>
      </c>
      <c r="N502">
        <v>4</v>
      </c>
      <c r="O502" t="s">
        <v>2917</v>
      </c>
      <c r="P502" t="s">
        <v>2916</v>
      </c>
      <c r="Q502" t="s">
        <v>2915</v>
      </c>
      <c r="R502" s="7">
        <v>31778</v>
      </c>
      <c r="S502" s="8">
        <f t="shared" si="64"/>
        <v>1987</v>
      </c>
      <c r="T502" s="8">
        <v>1987</v>
      </c>
      <c r="U502" s="8">
        <f t="shared" si="65"/>
        <v>35</v>
      </c>
      <c r="V502" s="7">
        <v>1987</v>
      </c>
      <c r="W502" t="s">
        <v>1909</v>
      </c>
      <c r="X502" s="2">
        <v>0.111</v>
      </c>
      <c r="Y502" s="6">
        <f t="shared" si="62"/>
        <v>2.9630816048690639E-3</v>
      </c>
      <c r="AA502">
        <v>87566621</v>
      </c>
      <c r="AB502">
        <v>24890</v>
      </c>
      <c r="AC502">
        <v>15206424</v>
      </c>
      <c r="AD502" t="s">
        <v>4</v>
      </c>
      <c r="AE502">
        <v>70</v>
      </c>
      <c r="AF502">
        <v>5</v>
      </c>
      <c r="AH502" t="s">
        <v>2914</v>
      </c>
      <c r="AI502" t="s">
        <v>2913</v>
      </c>
      <c r="AK502" t="s">
        <v>2912</v>
      </c>
      <c r="AL502">
        <v>0</v>
      </c>
      <c r="AM502" s="5">
        <f t="shared" si="66"/>
        <v>0</v>
      </c>
      <c r="AN502" s="4">
        <f t="shared" si="63"/>
        <v>0</v>
      </c>
      <c r="AO502" s="3"/>
      <c r="AP502">
        <v>0</v>
      </c>
      <c r="AR502" t="s">
        <v>0</v>
      </c>
      <c r="AT502" s="2" t="s">
        <v>32</v>
      </c>
      <c r="AU502" s="1">
        <f t="shared" si="67"/>
        <v>0.20741571234083445</v>
      </c>
      <c r="AV502" s="1">
        <f t="shared" si="68"/>
        <v>0.1481540802434532</v>
      </c>
      <c r="AW502" s="1">
        <f t="shared" si="69"/>
        <v>8.8892448146071903E-2</v>
      </c>
    </row>
    <row r="503" spans="1:49" x14ac:dyDescent="0.2">
      <c r="A503">
        <v>501</v>
      </c>
      <c r="B503" t="s">
        <v>2911</v>
      </c>
      <c r="C503" t="s">
        <v>2910</v>
      </c>
      <c r="F503" t="s">
        <v>2909</v>
      </c>
      <c r="G503" t="s">
        <v>14</v>
      </c>
      <c r="H503" t="s">
        <v>13</v>
      </c>
      <c r="I503" t="s">
        <v>2908</v>
      </c>
      <c r="J503">
        <v>60021378</v>
      </c>
      <c r="K503" t="s">
        <v>1785</v>
      </c>
      <c r="L503" t="s">
        <v>1784</v>
      </c>
      <c r="M503" t="s">
        <v>9</v>
      </c>
      <c r="N503">
        <v>3</v>
      </c>
      <c r="O503" t="s">
        <v>2907</v>
      </c>
      <c r="P503" t="s">
        <v>2906</v>
      </c>
      <c r="Q503" t="s">
        <v>2905</v>
      </c>
      <c r="R503" s="7">
        <v>31778</v>
      </c>
      <c r="S503" s="8">
        <f t="shared" si="64"/>
        <v>1987</v>
      </c>
      <c r="T503" s="8">
        <v>1987</v>
      </c>
      <c r="U503" s="8">
        <f t="shared" si="65"/>
        <v>35</v>
      </c>
      <c r="V503" s="7">
        <v>31898</v>
      </c>
      <c r="W503" t="s">
        <v>1530</v>
      </c>
      <c r="X503" s="2">
        <v>0.65500000000000003</v>
      </c>
      <c r="Y503" s="6">
        <f t="shared" si="62"/>
        <v>1.7484850911614749E-2</v>
      </c>
      <c r="AA503">
        <v>189375</v>
      </c>
      <c r="AB503">
        <v>26051</v>
      </c>
      <c r="AC503" t="s">
        <v>1529</v>
      </c>
      <c r="AD503" t="s">
        <v>4</v>
      </c>
      <c r="AE503" t="s">
        <v>1528</v>
      </c>
      <c r="AF503">
        <v>2</v>
      </c>
      <c r="AH503" t="s">
        <v>2904</v>
      </c>
      <c r="AI503" t="s">
        <v>2903</v>
      </c>
      <c r="AK503" t="s">
        <v>2902</v>
      </c>
      <c r="AL503">
        <v>0</v>
      </c>
      <c r="AM503" s="5">
        <f t="shared" si="66"/>
        <v>0</v>
      </c>
      <c r="AN503" s="4">
        <f t="shared" si="63"/>
        <v>0</v>
      </c>
      <c r="AO503" s="3"/>
      <c r="AP503">
        <v>0</v>
      </c>
      <c r="AR503" t="s">
        <v>0</v>
      </c>
      <c r="AT503" s="2" t="s">
        <v>32</v>
      </c>
      <c r="AU503" s="1">
        <f t="shared" si="67"/>
        <v>1.2239395638130324</v>
      </c>
      <c r="AV503" s="1">
        <f t="shared" si="68"/>
        <v>0.87424254558073744</v>
      </c>
      <c r="AW503" s="1">
        <f t="shared" si="69"/>
        <v>0.52454552734844251</v>
      </c>
    </row>
    <row r="504" spans="1:49" x14ac:dyDescent="0.2">
      <c r="A504">
        <v>502</v>
      </c>
      <c r="B504" t="s">
        <v>2901</v>
      </c>
      <c r="C504" t="s">
        <v>2900</v>
      </c>
      <c r="F504" t="s">
        <v>2899</v>
      </c>
      <c r="G504" t="s">
        <v>14</v>
      </c>
      <c r="H504" t="s">
        <v>13</v>
      </c>
      <c r="I504" t="s">
        <v>2898</v>
      </c>
      <c r="J504">
        <v>60019656</v>
      </c>
      <c r="K504" t="s">
        <v>2897</v>
      </c>
      <c r="L504" t="s">
        <v>2896</v>
      </c>
      <c r="M504" t="s">
        <v>586</v>
      </c>
      <c r="N504">
        <v>2</v>
      </c>
      <c r="O504" t="s">
        <v>2895</v>
      </c>
      <c r="P504" t="s">
        <v>2894</v>
      </c>
      <c r="Q504" t="s">
        <v>2893</v>
      </c>
      <c r="R504" s="7">
        <v>31778</v>
      </c>
      <c r="S504" s="8">
        <f t="shared" si="64"/>
        <v>1987</v>
      </c>
      <c r="T504" s="8">
        <v>1987</v>
      </c>
      <c r="U504" s="8">
        <f t="shared" si="65"/>
        <v>35</v>
      </c>
      <c r="V504" s="7">
        <v>31898</v>
      </c>
      <c r="W504" t="s">
        <v>2543</v>
      </c>
      <c r="X504" s="2">
        <v>0.251</v>
      </c>
      <c r="Y504" s="6">
        <f t="shared" si="62"/>
        <v>6.7003016470462617E-3</v>
      </c>
      <c r="AA504">
        <v>207217</v>
      </c>
      <c r="AB504">
        <v>26145</v>
      </c>
      <c r="AC504">
        <v>13623060</v>
      </c>
      <c r="AD504" t="s">
        <v>4</v>
      </c>
      <c r="AE504">
        <v>62</v>
      </c>
      <c r="AF504">
        <v>5</v>
      </c>
      <c r="AH504" t="s">
        <v>2892</v>
      </c>
      <c r="AI504" t="s">
        <v>2891</v>
      </c>
      <c r="AK504" t="s">
        <v>2890</v>
      </c>
      <c r="AL504">
        <v>2</v>
      </c>
      <c r="AM504" s="5">
        <f t="shared" si="66"/>
        <v>5.7142857142857141E-2</v>
      </c>
      <c r="AN504" s="4">
        <f t="shared" si="63"/>
        <v>8.6547303510575E-5</v>
      </c>
      <c r="AO504" s="3"/>
      <c r="AP504">
        <v>0</v>
      </c>
      <c r="AR504" t="s">
        <v>0</v>
      </c>
      <c r="AT504" s="2">
        <v>1.3360000000000001</v>
      </c>
      <c r="AU504" s="1">
        <f t="shared" si="67"/>
        <v>0.47161753439855547</v>
      </c>
      <c r="AV504" s="1">
        <f t="shared" si="68"/>
        <v>0.33934244752784187</v>
      </c>
      <c r="AW504" s="1">
        <f t="shared" si="69"/>
        <v>0.20706736065712808</v>
      </c>
    </row>
    <row r="505" spans="1:49" x14ac:dyDescent="0.2">
      <c r="A505">
        <v>503</v>
      </c>
      <c r="B505" t="s">
        <v>2889</v>
      </c>
      <c r="C505" t="s">
        <v>2888</v>
      </c>
      <c r="F505" t="s">
        <v>2887</v>
      </c>
      <c r="G505" t="s">
        <v>14</v>
      </c>
      <c r="H505" t="s">
        <v>13</v>
      </c>
      <c r="I505" t="s">
        <v>2450</v>
      </c>
      <c r="J505">
        <v>60009658</v>
      </c>
      <c r="K505" t="s">
        <v>2449</v>
      </c>
      <c r="L505" t="s">
        <v>2448</v>
      </c>
      <c r="M505" t="s">
        <v>586</v>
      </c>
      <c r="N505">
        <v>1</v>
      </c>
      <c r="O505" t="s">
        <v>2886</v>
      </c>
      <c r="P505">
        <v>57213425197</v>
      </c>
      <c r="Q505">
        <v>60009658</v>
      </c>
      <c r="R505" s="7">
        <v>31778</v>
      </c>
      <c r="S505" s="8">
        <f t="shared" si="64"/>
        <v>1987</v>
      </c>
      <c r="T505" s="8">
        <v>1987</v>
      </c>
      <c r="U505" s="8">
        <f t="shared" si="65"/>
        <v>35</v>
      </c>
      <c r="V505" s="7">
        <v>1987</v>
      </c>
      <c r="W505" t="s">
        <v>429</v>
      </c>
      <c r="X505" s="2">
        <v>0.375</v>
      </c>
      <c r="Y505" s="6">
        <f t="shared" si="62"/>
        <v>1.0010410827260351E-2</v>
      </c>
      <c r="AA505">
        <v>135194</v>
      </c>
      <c r="AB505">
        <v>24918</v>
      </c>
      <c r="AD505" t="s">
        <v>4</v>
      </c>
      <c r="AE505">
        <v>23</v>
      </c>
      <c r="AF505">
        <v>11</v>
      </c>
      <c r="AH505" t="s">
        <v>2885</v>
      </c>
      <c r="AI505" t="s">
        <v>2884</v>
      </c>
      <c r="AJ505" t="s">
        <v>2304</v>
      </c>
      <c r="AK505" t="s">
        <v>2883</v>
      </c>
      <c r="AL505">
        <v>181</v>
      </c>
      <c r="AM505" s="5">
        <f t="shared" si="66"/>
        <v>5.1714285714285717</v>
      </c>
      <c r="AN505" s="4">
        <f t="shared" si="63"/>
        <v>7.8325309677070385E-3</v>
      </c>
      <c r="AO505" s="3"/>
      <c r="AP505">
        <v>0</v>
      </c>
      <c r="AR505" t="s">
        <v>0</v>
      </c>
      <c r="AT505" s="2">
        <v>1.3140000000000001</v>
      </c>
      <c r="AU505" s="1">
        <f t="shared" si="67"/>
        <v>0.93570468693943576</v>
      </c>
      <c r="AV505" s="1">
        <f t="shared" si="68"/>
        <v>0.89214708974836954</v>
      </c>
      <c r="AW505" s="1">
        <f t="shared" si="69"/>
        <v>0.8485894925573032</v>
      </c>
    </row>
    <row r="506" spans="1:49" x14ac:dyDescent="0.2">
      <c r="A506">
        <v>504</v>
      </c>
      <c r="B506" t="s">
        <v>2882</v>
      </c>
      <c r="C506" t="s">
        <v>2881</v>
      </c>
      <c r="F506" t="s">
        <v>2880</v>
      </c>
      <c r="G506" t="s">
        <v>14</v>
      </c>
      <c r="H506" t="s">
        <v>13</v>
      </c>
      <c r="I506" t="s">
        <v>2879</v>
      </c>
      <c r="J506">
        <v>60004541</v>
      </c>
      <c r="K506" t="s">
        <v>2878</v>
      </c>
      <c r="L506" t="s">
        <v>511</v>
      </c>
      <c r="M506" t="s">
        <v>9</v>
      </c>
      <c r="N506">
        <v>2</v>
      </c>
      <c r="O506" t="s">
        <v>2877</v>
      </c>
      <c r="P506" t="s">
        <v>2876</v>
      </c>
      <c r="Q506" t="s">
        <v>2875</v>
      </c>
      <c r="R506" s="7">
        <v>31778</v>
      </c>
      <c r="S506" s="8">
        <f t="shared" si="64"/>
        <v>1987</v>
      </c>
      <c r="T506" s="8">
        <v>1987</v>
      </c>
      <c r="U506" s="8">
        <f t="shared" si="65"/>
        <v>35</v>
      </c>
      <c r="V506" s="7">
        <v>31898</v>
      </c>
      <c r="W506" t="s">
        <v>1394</v>
      </c>
      <c r="X506" s="2">
        <v>2.9860000000000002</v>
      </c>
      <c r="Y506" s="6">
        <f t="shared" si="62"/>
        <v>7.9709564613865094E-2</v>
      </c>
      <c r="AA506">
        <v>7338716</v>
      </c>
      <c r="AB506">
        <v>18902</v>
      </c>
      <c r="AD506" t="s">
        <v>4</v>
      </c>
      <c r="AE506">
        <v>5</v>
      </c>
      <c r="AF506">
        <v>4</v>
      </c>
      <c r="AH506" t="s">
        <v>2874</v>
      </c>
      <c r="AI506" t="s">
        <v>2873</v>
      </c>
      <c r="AK506" t="s">
        <v>2872</v>
      </c>
      <c r="AL506">
        <v>9</v>
      </c>
      <c r="AM506" s="5">
        <f t="shared" si="66"/>
        <v>0.25714285714285712</v>
      </c>
      <c r="AN506" s="4">
        <f t="shared" si="63"/>
        <v>3.8946286579758747E-4</v>
      </c>
      <c r="AO506" s="3"/>
      <c r="AP506">
        <v>0</v>
      </c>
      <c r="AR506" t="s">
        <v>0</v>
      </c>
      <c r="AT506" s="2" t="s">
        <v>32</v>
      </c>
      <c r="AU506" s="1">
        <f t="shared" si="67"/>
        <v>5.5913534089444834</v>
      </c>
      <c r="AV506" s="1">
        <f t="shared" si="68"/>
        <v>4.0049513739831344</v>
      </c>
      <c r="AW506" s="1">
        <f t="shared" si="69"/>
        <v>2.418549339021784</v>
      </c>
    </row>
    <row r="507" spans="1:49" x14ac:dyDescent="0.2">
      <c r="A507">
        <v>505</v>
      </c>
      <c r="B507" t="s">
        <v>2871</v>
      </c>
      <c r="C507" t="s">
        <v>2870</v>
      </c>
      <c r="F507" t="s">
        <v>2869</v>
      </c>
      <c r="G507" t="s">
        <v>14</v>
      </c>
      <c r="H507" t="s">
        <v>13</v>
      </c>
      <c r="I507" t="s">
        <v>2868</v>
      </c>
      <c r="J507">
        <v>60007798</v>
      </c>
      <c r="K507" t="s">
        <v>2867</v>
      </c>
      <c r="L507" t="s">
        <v>2866</v>
      </c>
      <c r="M507" t="s">
        <v>112</v>
      </c>
      <c r="N507">
        <v>5</v>
      </c>
      <c r="O507" t="s">
        <v>2865</v>
      </c>
      <c r="P507" t="s">
        <v>2864</v>
      </c>
      <c r="Q507" t="s">
        <v>2863</v>
      </c>
      <c r="R507" s="7">
        <v>31778</v>
      </c>
      <c r="S507" s="8">
        <f t="shared" si="64"/>
        <v>1987</v>
      </c>
      <c r="T507" s="8">
        <v>1987</v>
      </c>
      <c r="U507" s="8">
        <f t="shared" si="65"/>
        <v>35</v>
      </c>
      <c r="V507" s="7">
        <v>31898</v>
      </c>
      <c r="W507" t="s">
        <v>1394</v>
      </c>
      <c r="X507" s="2">
        <v>2.9860000000000002</v>
      </c>
      <c r="Y507" s="6">
        <f t="shared" si="62"/>
        <v>7.9709564613865094E-2</v>
      </c>
      <c r="AA507">
        <v>7338716</v>
      </c>
      <c r="AB507">
        <v>18902</v>
      </c>
      <c r="AD507" t="s">
        <v>4</v>
      </c>
      <c r="AE507">
        <v>5</v>
      </c>
      <c r="AF507">
        <v>4</v>
      </c>
      <c r="AH507" t="s">
        <v>2862</v>
      </c>
      <c r="AI507" t="s">
        <v>2861</v>
      </c>
      <c r="AK507" t="s">
        <v>2860</v>
      </c>
      <c r="AL507">
        <v>31</v>
      </c>
      <c r="AM507" s="5">
        <f t="shared" si="66"/>
        <v>0.88571428571428568</v>
      </c>
      <c r="AN507" s="4">
        <f t="shared" si="63"/>
        <v>1.3414832044139123E-3</v>
      </c>
      <c r="AO507" s="3"/>
      <c r="AP507">
        <v>0</v>
      </c>
      <c r="AR507" t="s">
        <v>0</v>
      </c>
      <c r="AT507" s="2" t="s">
        <v>32</v>
      </c>
      <c r="AU507" s="1">
        <f t="shared" si="67"/>
        <v>5.6199140191029739</v>
      </c>
      <c r="AV507" s="1">
        <f t="shared" si="68"/>
        <v>4.0525523909139505</v>
      </c>
      <c r="AW507" s="1">
        <f t="shared" si="69"/>
        <v>2.4851907627249266</v>
      </c>
    </row>
    <row r="508" spans="1:49" x14ac:dyDescent="0.2">
      <c r="A508">
        <v>506</v>
      </c>
      <c r="B508" t="s">
        <v>2859</v>
      </c>
      <c r="C508" t="s">
        <v>2858</v>
      </c>
      <c r="F508" t="s">
        <v>2857</v>
      </c>
      <c r="G508" t="s">
        <v>14</v>
      </c>
      <c r="H508" t="s">
        <v>13</v>
      </c>
      <c r="I508" t="s">
        <v>2856</v>
      </c>
      <c r="J508">
        <v>100469915</v>
      </c>
      <c r="K508" t="s">
        <v>2855</v>
      </c>
      <c r="L508" t="s">
        <v>2854</v>
      </c>
      <c r="M508" t="s">
        <v>2853</v>
      </c>
      <c r="N508">
        <v>4</v>
      </c>
      <c r="O508" t="s">
        <v>2852</v>
      </c>
      <c r="P508" t="s">
        <v>2851</v>
      </c>
      <c r="Q508" t="s">
        <v>2850</v>
      </c>
      <c r="R508" s="7">
        <v>31778</v>
      </c>
      <c r="S508" s="8">
        <f t="shared" si="64"/>
        <v>1987</v>
      </c>
      <c r="T508" s="8">
        <v>1987</v>
      </c>
      <c r="U508" s="8">
        <f t="shared" si="65"/>
        <v>35</v>
      </c>
      <c r="V508" s="7">
        <v>31898</v>
      </c>
      <c r="W508" t="s">
        <v>1530</v>
      </c>
      <c r="X508" s="2">
        <v>0.65500000000000003</v>
      </c>
      <c r="Y508" s="6">
        <f t="shared" si="62"/>
        <v>1.7484850911614749E-2</v>
      </c>
      <c r="AA508">
        <v>189375</v>
      </c>
      <c r="AB508">
        <v>26051</v>
      </c>
      <c r="AC508" t="s">
        <v>1529</v>
      </c>
      <c r="AD508" t="s">
        <v>4</v>
      </c>
      <c r="AE508" t="s">
        <v>1528</v>
      </c>
      <c r="AF508">
        <v>2</v>
      </c>
      <c r="AH508" t="s">
        <v>2849</v>
      </c>
      <c r="AI508" t="s">
        <v>2848</v>
      </c>
      <c r="AK508" t="s">
        <v>2847</v>
      </c>
      <c r="AL508">
        <v>0</v>
      </c>
      <c r="AM508" s="5">
        <f t="shared" si="66"/>
        <v>0</v>
      </c>
      <c r="AN508" s="4">
        <f t="shared" si="63"/>
        <v>0</v>
      </c>
      <c r="AO508" s="3"/>
      <c r="AP508">
        <v>0</v>
      </c>
      <c r="AR508" t="s">
        <v>0</v>
      </c>
      <c r="AT508" s="2" t="s">
        <v>32</v>
      </c>
      <c r="AU508" s="1">
        <f t="shared" si="67"/>
        <v>1.2239395638130324</v>
      </c>
      <c r="AV508" s="1">
        <f t="shared" si="68"/>
        <v>0.87424254558073744</v>
      </c>
      <c r="AW508" s="1">
        <f t="shared" si="69"/>
        <v>0.52454552734844251</v>
      </c>
    </row>
    <row r="509" spans="1:49" x14ac:dyDescent="0.2">
      <c r="A509">
        <v>507</v>
      </c>
      <c r="B509" t="s">
        <v>2846</v>
      </c>
      <c r="C509" t="s">
        <v>2845</v>
      </c>
      <c r="F509" t="s">
        <v>2844</v>
      </c>
      <c r="G509" t="s">
        <v>14</v>
      </c>
      <c r="H509" t="s">
        <v>13</v>
      </c>
      <c r="I509" t="s">
        <v>2843</v>
      </c>
      <c r="J509">
        <v>60014655</v>
      </c>
      <c r="K509" t="s">
        <v>2842</v>
      </c>
      <c r="L509" t="s">
        <v>2841</v>
      </c>
      <c r="M509" t="s">
        <v>2254</v>
      </c>
      <c r="N509">
        <v>3</v>
      </c>
      <c r="O509" t="s">
        <v>2840</v>
      </c>
      <c r="P509" t="s">
        <v>2839</v>
      </c>
      <c r="Q509" t="s">
        <v>2838</v>
      </c>
      <c r="R509" s="7">
        <v>31778</v>
      </c>
      <c r="S509" s="8">
        <f t="shared" si="64"/>
        <v>1987</v>
      </c>
      <c r="T509" s="8">
        <v>1987</v>
      </c>
      <c r="U509" s="8">
        <f t="shared" si="65"/>
        <v>35</v>
      </c>
      <c r="V509" s="7">
        <v>31898</v>
      </c>
      <c r="W509" t="s">
        <v>1530</v>
      </c>
      <c r="X509" s="2">
        <v>0.65500000000000003</v>
      </c>
      <c r="Y509" s="6">
        <f t="shared" si="62"/>
        <v>1.7484850911614749E-2</v>
      </c>
      <c r="AA509">
        <v>189375</v>
      </c>
      <c r="AB509">
        <v>26051</v>
      </c>
      <c r="AC509" t="s">
        <v>1529</v>
      </c>
      <c r="AD509" t="s">
        <v>4</v>
      </c>
      <c r="AE509" t="s">
        <v>1528</v>
      </c>
      <c r="AF509">
        <v>2</v>
      </c>
      <c r="AH509" t="s">
        <v>2837</v>
      </c>
      <c r="AI509" t="s">
        <v>2836</v>
      </c>
      <c r="AK509" t="s">
        <v>2835</v>
      </c>
      <c r="AL509">
        <v>6</v>
      </c>
      <c r="AM509" s="5">
        <f t="shared" si="66"/>
        <v>0.17142857142857143</v>
      </c>
      <c r="AN509" s="4">
        <f t="shared" si="63"/>
        <v>2.5964191053172501E-4</v>
      </c>
      <c r="AO509" s="3"/>
      <c r="AP509">
        <v>0</v>
      </c>
      <c r="AR509" t="s">
        <v>0</v>
      </c>
      <c r="AT509" s="2" t="s">
        <v>32</v>
      </c>
      <c r="AU509" s="1">
        <f t="shared" si="67"/>
        <v>1.2317288211289841</v>
      </c>
      <c r="AV509" s="1">
        <f t="shared" si="68"/>
        <v>0.88722464110732369</v>
      </c>
      <c r="AW509" s="1">
        <f t="shared" si="69"/>
        <v>0.54272046108566319</v>
      </c>
    </row>
    <row r="510" spans="1:49" x14ac:dyDescent="0.2">
      <c r="A510">
        <v>508</v>
      </c>
      <c r="B510" t="s">
        <v>2834</v>
      </c>
      <c r="C510" t="s">
        <v>2833</v>
      </c>
      <c r="F510" t="s">
        <v>2832</v>
      </c>
      <c r="G510" t="s">
        <v>14</v>
      </c>
      <c r="H510" t="s">
        <v>13</v>
      </c>
      <c r="I510" t="s">
        <v>2831</v>
      </c>
      <c r="J510">
        <v>60007742</v>
      </c>
      <c r="K510" t="s">
        <v>2830</v>
      </c>
      <c r="L510" t="s">
        <v>2829</v>
      </c>
      <c r="M510" t="s">
        <v>9</v>
      </c>
      <c r="N510">
        <v>3</v>
      </c>
      <c r="O510" t="s">
        <v>2828</v>
      </c>
      <c r="P510" t="s">
        <v>2827</v>
      </c>
      <c r="Q510" t="s">
        <v>2826</v>
      </c>
      <c r="R510" s="7">
        <v>31778</v>
      </c>
      <c r="S510" s="8">
        <f t="shared" si="64"/>
        <v>1987</v>
      </c>
      <c r="T510" s="8">
        <v>1987</v>
      </c>
      <c r="U510" s="8">
        <f t="shared" si="65"/>
        <v>35</v>
      </c>
      <c r="V510" s="7">
        <v>31898</v>
      </c>
      <c r="W510" t="s">
        <v>1394</v>
      </c>
      <c r="X510" s="2">
        <v>2.9860000000000002</v>
      </c>
      <c r="Y510" s="6">
        <f t="shared" si="62"/>
        <v>7.9709564613865094E-2</v>
      </c>
      <c r="AA510">
        <v>7338716</v>
      </c>
      <c r="AB510">
        <v>18902</v>
      </c>
      <c r="AD510" t="s">
        <v>4</v>
      </c>
      <c r="AE510">
        <v>5</v>
      </c>
      <c r="AF510">
        <v>4</v>
      </c>
      <c r="AH510" t="s">
        <v>2825</v>
      </c>
      <c r="AI510" t="s">
        <v>2824</v>
      </c>
      <c r="AK510" t="s">
        <v>2823</v>
      </c>
      <c r="AL510">
        <v>6</v>
      </c>
      <c r="AM510" s="5">
        <f t="shared" si="66"/>
        <v>0.17142857142857143</v>
      </c>
      <c r="AN510" s="4">
        <f t="shared" si="63"/>
        <v>2.5964191053172501E-4</v>
      </c>
      <c r="AO510" s="3"/>
      <c r="AP510">
        <v>0</v>
      </c>
      <c r="AR510" t="s">
        <v>0</v>
      </c>
      <c r="AT510" s="2" t="s">
        <v>32</v>
      </c>
      <c r="AU510" s="1">
        <f t="shared" si="67"/>
        <v>5.5874587802865072</v>
      </c>
      <c r="AV510" s="1">
        <f t="shared" si="68"/>
        <v>3.998460326219841</v>
      </c>
      <c r="AW510" s="1">
        <f t="shared" si="69"/>
        <v>2.4094618721531735</v>
      </c>
    </row>
    <row r="511" spans="1:49" x14ac:dyDescent="0.2">
      <c r="A511">
        <v>509</v>
      </c>
      <c r="B511" t="s">
        <v>2822</v>
      </c>
      <c r="C511" t="s">
        <v>2821</v>
      </c>
      <c r="F511" t="s">
        <v>2820</v>
      </c>
      <c r="G511" t="s">
        <v>14</v>
      </c>
      <c r="H511" t="s">
        <v>13</v>
      </c>
      <c r="I511" t="s">
        <v>2819</v>
      </c>
      <c r="J511">
        <v>60007843</v>
      </c>
      <c r="K511" t="s">
        <v>2777</v>
      </c>
      <c r="L511" t="s">
        <v>2776</v>
      </c>
      <c r="M511" t="s">
        <v>9</v>
      </c>
      <c r="N511">
        <v>2</v>
      </c>
      <c r="O511" t="s">
        <v>2818</v>
      </c>
      <c r="P511" t="s">
        <v>2817</v>
      </c>
      <c r="Q511" t="s">
        <v>2816</v>
      </c>
      <c r="R511" s="7">
        <v>31778</v>
      </c>
      <c r="S511" s="8">
        <f t="shared" si="64"/>
        <v>1987</v>
      </c>
      <c r="T511" s="8">
        <v>1987</v>
      </c>
      <c r="U511" s="8">
        <f t="shared" si="65"/>
        <v>35</v>
      </c>
      <c r="V511" s="7">
        <v>1987</v>
      </c>
      <c r="W511" t="s">
        <v>2815</v>
      </c>
      <c r="X511" s="2">
        <v>1.1779999999999999</v>
      </c>
      <c r="Y511" s="6">
        <f t="shared" si="62"/>
        <v>3.1446037212033845E-2</v>
      </c>
      <c r="AA511">
        <v>168033</v>
      </c>
      <c r="AB511">
        <v>27965</v>
      </c>
      <c r="AC511">
        <v>19422156</v>
      </c>
      <c r="AD511" t="s">
        <v>4</v>
      </c>
      <c r="AE511">
        <v>52</v>
      </c>
      <c r="AF511">
        <v>5</v>
      </c>
      <c r="AH511" t="s">
        <v>2814</v>
      </c>
      <c r="AI511" t="s">
        <v>2813</v>
      </c>
      <c r="AK511" t="s">
        <v>2812</v>
      </c>
      <c r="AL511">
        <v>61</v>
      </c>
      <c r="AM511" s="5">
        <f t="shared" si="66"/>
        <v>1.7428571428571429</v>
      </c>
      <c r="AN511" s="4">
        <f t="shared" si="63"/>
        <v>2.6396927570725374E-3</v>
      </c>
      <c r="AO511" s="3"/>
      <c r="AP511">
        <v>0</v>
      </c>
      <c r="AR511" t="s">
        <v>0</v>
      </c>
      <c r="AT511" s="2">
        <v>2.9279999999999999</v>
      </c>
      <c r="AU511" s="1">
        <f t="shared" si="67"/>
        <v>2.2804133875545451</v>
      </c>
      <c r="AV511" s="1">
        <f t="shared" si="68"/>
        <v>1.704286498455319</v>
      </c>
      <c r="AW511" s="1">
        <f t="shared" si="69"/>
        <v>1.1281596093560931</v>
      </c>
    </row>
    <row r="512" spans="1:49" x14ac:dyDescent="0.2">
      <c r="A512">
        <v>510</v>
      </c>
      <c r="B512" t="s">
        <v>2811</v>
      </c>
      <c r="C512" t="s">
        <v>2810</v>
      </c>
      <c r="F512" t="s">
        <v>2809</v>
      </c>
      <c r="G512" t="s">
        <v>14</v>
      </c>
      <c r="H512" t="s">
        <v>13</v>
      </c>
      <c r="I512" t="s">
        <v>2808</v>
      </c>
      <c r="J512">
        <v>60014256</v>
      </c>
      <c r="K512" t="s">
        <v>2277</v>
      </c>
      <c r="L512" t="s">
        <v>2276</v>
      </c>
      <c r="M512" t="s">
        <v>524</v>
      </c>
      <c r="N512">
        <v>3</v>
      </c>
      <c r="O512" t="s">
        <v>2807</v>
      </c>
      <c r="P512" t="s">
        <v>2806</v>
      </c>
      <c r="Q512" t="s">
        <v>2273</v>
      </c>
      <c r="R512" s="7">
        <v>31778</v>
      </c>
      <c r="S512" s="8">
        <f t="shared" si="64"/>
        <v>1987</v>
      </c>
      <c r="T512" s="8">
        <v>1987</v>
      </c>
      <c r="U512" s="8">
        <f t="shared" si="65"/>
        <v>35</v>
      </c>
      <c r="V512" s="7">
        <v>1987</v>
      </c>
      <c r="W512" t="s">
        <v>2805</v>
      </c>
      <c r="X512" s="2">
        <v>1.365</v>
      </c>
      <c r="Y512" s="6">
        <f t="shared" si="62"/>
        <v>3.6437895411227675E-2</v>
      </c>
      <c r="AA512">
        <v>189545</v>
      </c>
      <c r="AB512">
        <v>17393</v>
      </c>
      <c r="AC512">
        <v>19399359</v>
      </c>
      <c r="AD512" t="s">
        <v>4</v>
      </c>
      <c r="AE512">
        <v>36</v>
      </c>
      <c r="AF512">
        <v>2</v>
      </c>
      <c r="AH512" t="s">
        <v>2804</v>
      </c>
      <c r="AI512" t="s">
        <v>2803</v>
      </c>
      <c r="AK512" t="s">
        <v>2802</v>
      </c>
      <c r="AL512">
        <v>8</v>
      </c>
      <c r="AM512" s="5">
        <f t="shared" si="66"/>
        <v>0.22857142857142856</v>
      </c>
      <c r="AN512" s="4">
        <f t="shared" si="63"/>
        <v>3.461892140423E-4</v>
      </c>
      <c r="AO512" s="3"/>
      <c r="AP512">
        <v>0</v>
      </c>
      <c r="AR512" t="s">
        <v>0</v>
      </c>
      <c r="AT512" s="2" t="s">
        <v>32</v>
      </c>
      <c r="AU512" s="1">
        <f t="shared" si="67"/>
        <v>2.5610383552072058</v>
      </c>
      <c r="AV512" s="1">
        <f t="shared" si="68"/>
        <v>1.8392042312634989</v>
      </c>
      <c r="AW512" s="1">
        <f t="shared" si="69"/>
        <v>1.1173701073197913</v>
      </c>
    </row>
    <row r="513" spans="1:49" x14ac:dyDescent="0.2">
      <c r="A513">
        <v>511</v>
      </c>
      <c r="B513" t="s">
        <v>2801</v>
      </c>
      <c r="C513" t="s">
        <v>2800</v>
      </c>
      <c r="F513" t="s">
        <v>2799</v>
      </c>
      <c r="G513" t="s">
        <v>14</v>
      </c>
      <c r="H513" t="s">
        <v>13</v>
      </c>
      <c r="I513" t="s">
        <v>2798</v>
      </c>
      <c r="J513">
        <v>60003537</v>
      </c>
      <c r="K513" t="s">
        <v>2172</v>
      </c>
      <c r="L513" t="s">
        <v>2171</v>
      </c>
      <c r="M513" t="s">
        <v>9</v>
      </c>
      <c r="N513">
        <v>1</v>
      </c>
      <c r="O513" t="s">
        <v>2797</v>
      </c>
      <c r="P513">
        <v>7102497136</v>
      </c>
      <c r="Q513">
        <v>60003537</v>
      </c>
      <c r="R513" s="7">
        <v>31778</v>
      </c>
      <c r="S513" s="8">
        <f t="shared" si="64"/>
        <v>1987</v>
      </c>
      <c r="T513" s="8">
        <v>1987</v>
      </c>
      <c r="U513" s="8">
        <f t="shared" si="65"/>
        <v>35</v>
      </c>
      <c r="V513" s="7" t="s">
        <v>2726</v>
      </c>
      <c r="W513" t="s">
        <v>2796</v>
      </c>
      <c r="X513" s="2">
        <v>0.22600000000000001</v>
      </c>
      <c r="Y513" s="6">
        <f t="shared" si="62"/>
        <v>6.0329409252289053E-3</v>
      </c>
      <c r="AA513">
        <v>2786648</v>
      </c>
      <c r="AB513">
        <v>17299</v>
      </c>
      <c r="AD513" t="s">
        <v>4</v>
      </c>
      <c r="AE513">
        <v>6</v>
      </c>
      <c r="AF513">
        <v>2</v>
      </c>
      <c r="AH513" t="s">
        <v>2795</v>
      </c>
      <c r="AI513" t="s">
        <v>2794</v>
      </c>
      <c r="AK513" t="s">
        <v>2793</v>
      </c>
      <c r="AL513">
        <v>1</v>
      </c>
      <c r="AM513" s="5">
        <f t="shared" si="66"/>
        <v>2.8571428571428571E-2</v>
      </c>
      <c r="AN513" s="4">
        <f t="shared" si="63"/>
        <v>4.32736517552875E-5</v>
      </c>
      <c r="AO513" s="3"/>
      <c r="AP513">
        <v>0</v>
      </c>
      <c r="AR513" t="s">
        <v>0</v>
      </c>
      <c r="AT513" s="2" t="s">
        <v>32</v>
      </c>
      <c r="AU513" s="1">
        <f t="shared" si="67"/>
        <v>0.42360407431868202</v>
      </c>
      <c r="AV513" s="1">
        <f t="shared" si="68"/>
        <v>0.30381072884920968</v>
      </c>
      <c r="AW513" s="1">
        <f t="shared" si="69"/>
        <v>0.18401738337973728</v>
      </c>
    </row>
    <row r="514" spans="1:49" x14ac:dyDescent="0.2">
      <c r="A514">
        <v>512</v>
      </c>
      <c r="B514" t="s">
        <v>2792</v>
      </c>
      <c r="C514" t="s">
        <v>2791</v>
      </c>
      <c r="F514" t="s">
        <v>2790</v>
      </c>
      <c r="G514" t="s">
        <v>14</v>
      </c>
      <c r="H514" t="s">
        <v>13</v>
      </c>
      <c r="I514" t="s">
        <v>2789</v>
      </c>
      <c r="N514">
        <v>4</v>
      </c>
      <c r="O514" t="s">
        <v>2788</v>
      </c>
      <c r="P514" t="s">
        <v>2787</v>
      </c>
      <c r="Q514" t="s">
        <v>609</v>
      </c>
      <c r="R514" s="7">
        <v>31778</v>
      </c>
      <c r="S514" s="8">
        <f t="shared" si="64"/>
        <v>1987</v>
      </c>
      <c r="T514" s="8">
        <v>1987</v>
      </c>
      <c r="U514" s="8">
        <f t="shared" si="65"/>
        <v>35</v>
      </c>
      <c r="V514" s="7">
        <v>1987</v>
      </c>
      <c r="W514" t="s">
        <v>2786</v>
      </c>
      <c r="X514" s="2" t="s">
        <v>32</v>
      </c>
      <c r="Y514" s="6" t="e">
        <f t="shared" ref="Y514:Y577" si="70">(X514-$Z$4)/($Z$3-$Z$4)</f>
        <v>#VALUE!</v>
      </c>
      <c r="AA514">
        <v>3875024</v>
      </c>
      <c r="AB514">
        <v>110132</v>
      </c>
      <c r="AD514" t="s">
        <v>4</v>
      </c>
      <c r="AE514">
        <v>53</v>
      </c>
      <c r="AF514">
        <v>489</v>
      </c>
      <c r="AH514" t="s">
        <v>2785</v>
      </c>
      <c r="AI514" t="s">
        <v>2784</v>
      </c>
      <c r="AJ514" t="s">
        <v>2783</v>
      </c>
      <c r="AK514" t="s">
        <v>2782</v>
      </c>
      <c r="AL514">
        <v>1</v>
      </c>
      <c r="AM514" s="5">
        <f t="shared" si="66"/>
        <v>2.8571428571428571E-2</v>
      </c>
      <c r="AN514" s="4">
        <f t="shared" ref="AN514:AN577" si="71">(AM514-$AO$4)/($AO$3-$AO$4)</f>
        <v>4.32736517552875E-5</v>
      </c>
      <c r="AO514" s="3"/>
      <c r="AP514">
        <v>1</v>
      </c>
      <c r="AR514" t="s">
        <v>0</v>
      </c>
      <c r="AT514" s="2" t="s">
        <v>32</v>
      </c>
      <c r="AU514" s="1" t="e">
        <f t="shared" si="67"/>
        <v>#VALUE!</v>
      </c>
      <c r="AV514" s="1" t="e">
        <f t="shared" si="68"/>
        <v>#VALUE!</v>
      </c>
      <c r="AW514" s="1" t="e">
        <f t="shared" si="69"/>
        <v>#VALUE!</v>
      </c>
    </row>
    <row r="515" spans="1:49" x14ac:dyDescent="0.2">
      <c r="A515">
        <v>513</v>
      </c>
      <c r="B515" t="s">
        <v>2781</v>
      </c>
      <c r="C515" t="s">
        <v>2780</v>
      </c>
      <c r="F515" t="s">
        <v>2779</v>
      </c>
      <c r="G515" t="s">
        <v>14</v>
      </c>
      <c r="H515" t="s">
        <v>13</v>
      </c>
      <c r="I515" t="s">
        <v>2778</v>
      </c>
      <c r="J515">
        <v>60007843</v>
      </c>
      <c r="K515" t="s">
        <v>2777</v>
      </c>
      <c r="L515" t="s">
        <v>2776</v>
      </c>
      <c r="M515" t="s">
        <v>9</v>
      </c>
      <c r="N515">
        <v>1</v>
      </c>
      <c r="O515" t="s">
        <v>2775</v>
      </c>
      <c r="P515">
        <v>7410237435</v>
      </c>
      <c r="Q515">
        <v>60007843</v>
      </c>
      <c r="R515" s="7">
        <v>31778</v>
      </c>
      <c r="S515" s="8">
        <f t="shared" si="64"/>
        <v>1987</v>
      </c>
      <c r="T515" s="8">
        <v>1987</v>
      </c>
      <c r="U515" s="8">
        <f t="shared" si="65"/>
        <v>35</v>
      </c>
      <c r="V515" s="7">
        <v>31898</v>
      </c>
      <c r="W515" t="s">
        <v>336</v>
      </c>
      <c r="X515" s="2">
        <v>1.6519999999999999</v>
      </c>
      <c r="Y515" s="6">
        <f t="shared" si="70"/>
        <v>4.409919649769093E-2</v>
      </c>
      <c r="AA515" t="s">
        <v>335</v>
      </c>
      <c r="AB515">
        <v>17337</v>
      </c>
      <c r="AC515">
        <v>15582221</v>
      </c>
      <c r="AD515" t="s">
        <v>4</v>
      </c>
      <c r="AE515">
        <v>35</v>
      </c>
      <c r="AF515">
        <v>5</v>
      </c>
      <c r="AH515" t="s">
        <v>2774</v>
      </c>
      <c r="AI515" t="s">
        <v>2773</v>
      </c>
      <c r="AK515" t="s">
        <v>2772</v>
      </c>
      <c r="AL515">
        <v>14</v>
      </c>
      <c r="AM515" s="5">
        <f t="shared" si="66"/>
        <v>0.4</v>
      </c>
      <c r="AN515" s="4">
        <f t="shared" si="71"/>
        <v>6.0583112457402507E-4</v>
      </c>
      <c r="AO515" s="3"/>
      <c r="AP515">
        <v>0</v>
      </c>
      <c r="AR515" t="s">
        <v>0</v>
      </c>
      <c r="AT515" s="2" t="s">
        <v>32</v>
      </c>
      <c r="AU515" s="1">
        <f t="shared" si="67"/>
        <v>3.1051186885755859</v>
      </c>
      <c r="AV515" s="1">
        <f t="shared" si="68"/>
        <v>2.2352513811132479</v>
      </c>
      <c r="AW515" s="1">
        <f t="shared" si="69"/>
        <v>1.3653840736509095</v>
      </c>
    </row>
    <row r="516" spans="1:49" x14ac:dyDescent="0.2">
      <c r="A516">
        <v>514</v>
      </c>
      <c r="B516" t="s">
        <v>2771</v>
      </c>
      <c r="C516" t="s">
        <v>2770</v>
      </c>
      <c r="F516" t="s">
        <v>2769</v>
      </c>
      <c r="G516" t="s">
        <v>14</v>
      </c>
      <c r="H516" t="s">
        <v>13</v>
      </c>
      <c r="I516" t="s">
        <v>2768</v>
      </c>
      <c r="J516">
        <v>60027863</v>
      </c>
      <c r="K516" t="s">
        <v>2767</v>
      </c>
      <c r="L516" t="s">
        <v>2562</v>
      </c>
      <c r="M516" t="s">
        <v>685</v>
      </c>
      <c r="N516">
        <v>1</v>
      </c>
      <c r="O516" t="s">
        <v>2766</v>
      </c>
      <c r="P516">
        <v>55310729700</v>
      </c>
      <c r="Q516">
        <v>60027863</v>
      </c>
      <c r="R516" s="7">
        <v>31778</v>
      </c>
      <c r="S516" s="8">
        <f t="shared" si="64"/>
        <v>1987</v>
      </c>
      <c r="T516" s="8">
        <v>1987</v>
      </c>
      <c r="U516" s="8">
        <f t="shared" si="65"/>
        <v>35</v>
      </c>
      <c r="V516" s="7">
        <v>31898</v>
      </c>
      <c r="W516" t="s">
        <v>1530</v>
      </c>
      <c r="X516" s="2">
        <v>0.65500000000000003</v>
      </c>
      <c r="Y516" s="6">
        <f t="shared" si="70"/>
        <v>1.7484850911614749E-2</v>
      </c>
      <c r="AA516">
        <v>189375</v>
      </c>
      <c r="AB516">
        <v>26051</v>
      </c>
      <c r="AC516" t="s">
        <v>1529</v>
      </c>
      <c r="AD516" t="s">
        <v>4</v>
      </c>
      <c r="AE516" t="s">
        <v>1528</v>
      </c>
      <c r="AF516">
        <v>2</v>
      </c>
      <c r="AH516" t="s">
        <v>2765</v>
      </c>
      <c r="AI516" t="s">
        <v>2764</v>
      </c>
      <c r="AK516" t="s">
        <v>2763</v>
      </c>
      <c r="AL516">
        <v>7</v>
      </c>
      <c r="AM516" s="5">
        <f t="shared" si="66"/>
        <v>0.2</v>
      </c>
      <c r="AN516" s="4">
        <f t="shared" si="71"/>
        <v>3.0291556228701253E-4</v>
      </c>
      <c r="AO516" s="3"/>
      <c r="AP516">
        <v>0</v>
      </c>
      <c r="AR516" t="s">
        <v>0</v>
      </c>
      <c r="AT516" s="2" t="s">
        <v>32</v>
      </c>
      <c r="AU516" s="1">
        <f t="shared" si="67"/>
        <v>1.2330270306816427</v>
      </c>
      <c r="AV516" s="1">
        <f t="shared" si="68"/>
        <v>0.88938832369508813</v>
      </c>
      <c r="AW516" s="1">
        <f t="shared" si="69"/>
        <v>0.54574961670853339</v>
      </c>
    </row>
    <row r="517" spans="1:49" x14ac:dyDescent="0.2">
      <c r="A517">
        <v>515</v>
      </c>
      <c r="B517" t="s">
        <v>2762</v>
      </c>
      <c r="C517" t="s">
        <v>2761</v>
      </c>
      <c r="F517" t="s">
        <v>2760</v>
      </c>
      <c r="G517" t="s">
        <v>14</v>
      </c>
      <c r="H517" t="s">
        <v>13</v>
      </c>
      <c r="I517" t="s">
        <v>2759</v>
      </c>
      <c r="J517">
        <v>60014097</v>
      </c>
      <c r="K517" t="s">
        <v>2758</v>
      </c>
      <c r="L517" t="s">
        <v>2757</v>
      </c>
      <c r="M517" t="s">
        <v>1068</v>
      </c>
      <c r="N517">
        <v>3</v>
      </c>
      <c r="O517" t="s">
        <v>2756</v>
      </c>
      <c r="P517" t="s">
        <v>2755</v>
      </c>
      <c r="Q517" t="s">
        <v>2754</v>
      </c>
      <c r="R517" s="7">
        <v>31778</v>
      </c>
      <c r="S517" s="8">
        <f t="shared" si="64"/>
        <v>1987</v>
      </c>
      <c r="T517" s="8">
        <v>1987</v>
      </c>
      <c r="U517" s="8">
        <f t="shared" si="65"/>
        <v>35</v>
      </c>
      <c r="V517" s="7">
        <v>1987</v>
      </c>
      <c r="W517" t="s">
        <v>429</v>
      </c>
      <c r="X517" s="2">
        <v>0.375</v>
      </c>
      <c r="Y517" s="6">
        <f t="shared" si="70"/>
        <v>1.0010410827260351E-2</v>
      </c>
      <c r="AA517">
        <v>135194</v>
      </c>
      <c r="AB517">
        <v>24918</v>
      </c>
      <c r="AD517" t="s">
        <v>4</v>
      </c>
      <c r="AE517">
        <v>23</v>
      </c>
      <c r="AF517">
        <v>11</v>
      </c>
      <c r="AH517">
        <v>583</v>
      </c>
      <c r="AI517" t="s">
        <v>2753</v>
      </c>
      <c r="AJ517" t="s">
        <v>2752</v>
      </c>
      <c r="AK517" t="s">
        <v>2751</v>
      </c>
      <c r="AL517">
        <v>10</v>
      </c>
      <c r="AM517" s="5">
        <f t="shared" si="66"/>
        <v>0.2857142857142857</v>
      </c>
      <c r="AN517" s="4">
        <f t="shared" si="71"/>
        <v>4.3273651755287499E-4</v>
      </c>
      <c r="AO517" s="3"/>
      <c r="AP517">
        <v>0</v>
      </c>
      <c r="AR517" t="s">
        <v>0</v>
      </c>
      <c r="AT517" s="2">
        <v>1.3140000000000001</v>
      </c>
      <c r="AU517" s="1">
        <f t="shared" si="67"/>
        <v>0.71371085343481078</v>
      </c>
      <c r="AV517" s="1">
        <f t="shared" si="68"/>
        <v>0.52215736724066131</v>
      </c>
      <c r="AW517" s="1">
        <f t="shared" si="69"/>
        <v>0.33060388104651178</v>
      </c>
    </row>
    <row r="518" spans="1:49" x14ac:dyDescent="0.2">
      <c r="A518">
        <v>516</v>
      </c>
      <c r="B518" t="s">
        <v>2750</v>
      </c>
      <c r="C518" t="s">
        <v>2749</v>
      </c>
      <c r="F518" t="s">
        <v>2748</v>
      </c>
      <c r="G518" t="s">
        <v>14</v>
      </c>
      <c r="H518" t="s">
        <v>13</v>
      </c>
      <c r="I518" t="s">
        <v>2747</v>
      </c>
      <c r="J518">
        <v>60031159</v>
      </c>
      <c r="K518" t="s">
        <v>2746</v>
      </c>
      <c r="L518" t="s">
        <v>2745</v>
      </c>
      <c r="M518" t="s">
        <v>271</v>
      </c>
      <c r="N518">
        <v>1</v>
      </c>
      <c r="O518" t="s">
        <v>2744</v>
      </c>
      <c r="P518">
        <v>6701596006</v>
      </c>
      <c r="Q518">
        <v>60031159</v>
      </c>
      <c r="R518" s="7">
        <v>31778</v>
      </c>
      <c r="S518" s="8">
        <f t="shared" si="64"/>
        <v>1987</v>
      </c>
      <c r="T518" s="8">
        <v>1987</v>
      </c>
      <c r="U518" s="8">
        <f t="shared" si="65"/>
        <v>35</v>
      </c>
      <c r="V518" s="7">
        <v>31898</v>
      </c>
      <c r="W518" t="s">
        <v>1394</v>
      </c>
      <c r="X518" s="2">
        <v>2.9860000000000002</v>
      </c>
      <c r="Y518" s="6">
        <f t="shared" si="70"/>
        <v>7.9709564613865094E-2</v>
      </c>
      <c r="AA518">
        <v>7338716</v>
      </c>
      <c r="AB518">
        <v>18902</v>
      </c>
      <c r="AD518" t="s">
        <v>4</v>
      </c>
      <c r="AE518">
        <v>5</v>
      </c>
      <c r="AF518">
        <v>4</v>
      </c>
      <c r="AH518" t="s">
        <v>2743</v>
      </c>
      <c r="AI518" t="s">
        <v>2742</v>
      </c>
      <c r="AK518" t="s">
        <v>2741</v>
      </c>
      <c r="AL518">
        <v>3</v>
      </c>
      <c r="AM518" s="5">
        <f t="shared" si="66"/>
        <v>8.5714285714285715E-2</v>
      </c>
      <c r="AN518" s="4">
        <f t="shared" si="71"/>
        <v>1.2982095526586251E-4</v>
      </c>
      <c r="AO518" s="3"/>
      <c r="AP518">
        <v>0</v>
      </c>
      <c r="AR518" t="s">
        <v>0</v>
      </c>
      <c r="AT518" s="2" t="s">
        <v>32</v>
      </c>
      <c r="AU518" s="1">
        <f t="shared" si="67"/>
        <v>5.5835641516285319</v>
      </c>
      <c r="AV518" s="1">
        <f t="shared" si="68"/>
        <v>3.9919692784565481</v>
      </c>
      <c r="AW518" s="1">
        <f t="shared" si="69"/>
        <v>2.400374405284563</v>
      </c>
    </row>
    <row r="519" spans="1:49" x14ac:dyDescent="0.2">
      <c r="A519">
        <v>517</v>
      </c>
      <c r="B519" t="s">
        <v>2740</v>
      </c>
      <c r="C519" t="s">
        <v>2739</v>
      </c>
      <c r="F519" t="s">
        <v>2738</v>
      </c>
      <c r="G519" t="s">
        <v>14</v>
      </c>
      <c r="H519" t="s">
        <v>13</v>
      </c>
      <c r="I519" t="s">
        <v>1189</v>
      </c>
      <c r="J519" t="s">
        <v>2737</v>
      </c>
      <c r="K519" t="s">
        <v>2736</v>
      </c>
      <c r="L519" t="s">
        <v>2735</v>
      </c>
      <c r="M519" t="s">
        <v>55</v>
      </c>
      <c r="N519">
        <v>2</v>
      </c>
      <c r="O519" t="s">
        <v>1186</v>
      </c>
      <c r="P519" t="s">
        <v>1185</v>
      </c>
      <c r="Q519" t="s">
        <v>2734</v>
      </c>
      <c r="R519" s="7">
        <v>31778</v>
      </c>
      <c r="S519" s="8">
        <f t="shared" si="64"/>
        <v>1987</v>
      </c>
      <c r="T519" s="8">
        <v>1987</v>
      </c>
      <c r="U519" s="8">
        <f t="shared" si="65"/>
        <v>35</v>
      </c>
      <c r="V519" s="7">
        <v>31898</v>
      </c>
      <c r="W519" t="s">
        <v>1530</v>
      </c>
      <c r="X519" s="2">
        <v>0.65500000000000003</v>
      </c>
      <c r="Y519" s="6">
        <f t="shared" si="70"/>
        <v>1.7484850911614749E-2</v>
      </c>
      <c r="AA519">
        <v>189375</v>
      </c>
      <c r="AB519">
        <v>26051</v>
      </c>
      <c r="AC519" t="s">
        <v>1529</v>
      </c>
      <c r="AD519" t="s">
        <v>4</v>
      </c>
      <c r="AE519" t="s">
        <v>1528</v>
      </c>
      <c r="AF519">
        <v>2</v>
      </c>
      <c r="AH519" t="s">
        <v>2733</v>
      </c>
      <c r="AI519" t="s">
        <v>2732</v>
      </c>
      <c r="AK519" t="s">
        <v>2731</v>
      </c>
      <c r="AL519">
        <v>12</v>
      </c>
      <c r="AM519" s="5">
        <f t="shared" si="66"/>
        <v>0.34285714285714286</v>
      </c>
      <c r="AN519" s="4">
        <f t="shared" si="71"/>
        <v>5.1928382106345003E-4</v>
      </c>
      <c r="AO519" s="3"/>
      <c r="AP519">
        <v>0</v>
      </c>
      <c r="AR519" t="s">
        <v>0</v>
      </c>
      <c r="AT519" s="2" t="s">
        <v>32</v>
      </c>
      <c r="AU519" s="1">
        <f t="shared" si="67"/>
        <v>1.2395180784449358</v>
      </c>
      <c r="AV519" s="1">
        <f t="shared" si="68"/>
        <v>0.90020673663390982</v>
      </c>
      <c r="AW519" s="1">
        <f t="shared" si="69"/>
        <v>0.56089539482288397</v>
      </c>
    </row>
    <row r="520" spans="1:49" x14ac:dyDescent="0.2">
      <c r="A520">
        <v>518</v>
      </c>
      <c r="B520" t="s">
        <v>2730</v>
      </c>
      <c r="C520" t="s">
        <v>2729</v>
      </c>
      <c r="F520" t="s">
        <v>2728</v>
      </c>
      <c r="G520" t="s">
        <v>14</v>
      </c>
      <c r="H520" t="s">
        <v>13</v>
      </c>
      <c r="I520" t="s">
        <v>1574</v>
      </c>
      <c r="J520">
        <v>60009697</v>
      </c>
      <c r="K520" t="s">
        <v>1573</v>
      </c>
      <c r="L520" t="s">
        <v>1572</v>
      </c>
      <c r="M520" t="s">
        <v>685</v>
      </c>
      <c r="N520">
        <v>2</v>
      </c>
      <c r="O520" t="s">
        <v>2727</v>
      </c>
      <c r="P520" t="s">
        <v>1570</v>
      </c>
      <c r="Q520" t="s">
        <v>1569</v>
      </c>
      <c r="R520" s="7">
        <v>31778</v>
      </c>
      <c r="S520" s="8">
        <f t="shared" si="64"/>
        <v>1987</v>
      </c>
      <c r="T520" s="8">
        <v>1987</v>
      </c>
      <c r="U520" s="8">
        <f t="shared" si="65"/>
        <v>35</v>
      </c>
      <c r="V520" s="7" t="s">
        <v>2726</v>
      </c>
      <c r="W520" t="s">
        <v>1866</v>
      </c>
      <c r="X520" s="2" t="s">
        <v>32</v>
      </c>
      <c r="Y520" s="6" t="e">
        <f t="shared" si="70"/>
        <v>#VALUE!</v>
      </c>
      <c r="AA520">
        <v>84204</v>
      </c>
      <c r="AB520">
        <v>27420</v>
      </c>
      <c r="AD520" t="s">
        <v>4</v>
      </c>
      <c r="AE520">
        <v>65</v>
      </c>
      <c r="AF520">
        <v>5</v>
      </c>
      <c r="AH520" t="s">
        <v>2725</v>
      </c>
      <c r="AI520" t="s">
        <v>2724</v>
      </c>
      <c r="AK520" t="s">
        <v>2723</v>
      </c>
      <c r="AL520">
        <v>0</v>
      </c>
      <c r="AM520" s="5">
        <f t="shared" si="66"/>
        <v>0</v>
      </c>
      <c r="AN520" s="4">
        <f t="shared" si="71"/>
        <v>0</v>
      </c>
      <c r="AO520" s="3"/>
      <c r="AP520">
        <v>0</v>
      </c>
      <c r="AR520" t="s">
        <v>0</v>
      </c>
      <c r="AT520" s="2">
        <v>1.24</v>
      </c>
      <c r="AU520" s="1" t="e">
        <f t="shared" si="67"/>
        <v>#VALUE!</v>
      </c>
      <c r="AV520" s="1" t="e">
        <f t="shared" si="68"/>
        <v>#VALUE!</v>
      </c>
      <c r="AW520" s="1" t="e">
        <f t="shared" si="69"/>
        <v>#VALUE!</v>
      </c>
    </row>
    <row r="521" spans="1:49" x14ac:dyDescent="0.2">
      <c r="A521">
        <v>519</v>
      </c>
      <c r="B521" t="s">
        <v>2722</v>
      </c>
      <c r="C521" t="s">
        <v>2721</v>
      </c>
      <c r="F521" t="s">
        <v>2720</v>
      </c>
      <c r="G521" t="s">
        <v>14</v>
      </c>
      <c r="H521" t="s">
        <v>13</v>
      </c>
      <c r="I521" t="s">
        <v>2719</v>
      </c>
      <c r="N521">
        <v>3</v>
      </c>
      <c r="O521" t="s">
        <v>2718</v>
      </c>
      <c r="P521" t="s">
        <v>2717</v>
      </c>
      <c r="Q521" t="s">
        <v>171</v>
      </c>
      <c r="R521" s="7">
        <v>31778</v>
      </c>
      <c r="S521" s="8">
        <f t="shared" si="64"/>
        <v>1987</v>
      </c>
      <c r="T521" s="8">
        <v>1987</v>
      </c>
      <c r="U521" s="8">
        <f t="shared" si="65"/>
        <v>35</v>
      </c>
      <c r="V521" s="7" t="s">
        <v>2716</v>
      </c>
      <c r="W521" t="s">
        <v>472</v>
      </c>
      <c r="X521" s="2">
        <v>0.371</v>
      </c>
      <c r="Y521" s="6">
        <f t="shared" si="70"/>
        <v>9.9036331117695747E-3</v>
      </c>
      <c r="AA521">
        <v>486604</v>
      </c>
      <c r="AB521">
        <v>28580</v>
      </c>
      <c r="AC521" t="s">
        <v>471</v>
      </c>
      <c r="AD521" t="s">
        <v>4</v>
      </c>
      <c r="AE521">
        <v>22</v>
      </c>
      <c r="AF521">
        <v>3</v>
      </c>
      <c r="AH521" t="s">
        <v>2715</v>
      </c>
      <c r="AI521" t="s">
        <v>2714</v>
      </c>
      <c r="AK521" t="s">
        <v>2713</v>
      </c>
      <c r="AL521">
        <v>2</v>
      </c>
      <c r="AM521" s="5">
        <f t="shared" si="66"/>
        <v>5.7142857142857141E-2</v>
      </c>
      <c r="AN521" s="4">
        <f t="shared" si="71"/>
        <v>8.6547303510575E-5</v>
      </c>
      <c r="AO521" s="3"/>
      <c r="AP521">
        <v>0</v>
      </c>
      <c r="AR521" t="s">
        <v>0</v>
      </c>
      <c r="AT521" s="2">
        <v>1.431</v>
      </c>
      <c r="AU521" s="1">
        <f t="shared" si="67"/>
        <v>0.69585073692918742</v>
      </c>
      <c r="AV521" s="1">
        <f t="shared" si="68"/>
        <v>0.49950902076400749</v>
      </c>
      <c r="AW521" s="1">
        <f t="shared" si="69"/>
        <v>0.30316730459882751</v>
      </c>
    </row>
    <row r="522" spans="1:49" x14ac:dyDescent="0.2">
      <c r="A522">
        <v>520</v>
      </c>
      <c r="B522" t="s">
        <v>2712</v>
      </c>
      <c r="C522" t="s">
        <v>2711</v>
      </c>
      <c r="F522" t="s">
        <v>2710</v>
      </c>
      <c r="G522" t="s">
        <v>14</v>
      </c>
      <c r="H522" t="s">
        <v>13</v>
      </c>
      <c r="I522" t="s">
        <v>1047</v>
      </c>
      <c r="J522" t="s">
        <v>2708</v>
      </c>
      <c r="K522" t="s">
        <v>2709</v>
      </c>
      <c r="L522" t="s">
        <v>433</v>
      </c>
      <c r="M522" t="s">
        <v>392</v>
      </c>
      <c r="N522">
        <v>2</v>
      </c>
      <c r="O522" t="s">
        <v>1043</v>
      </c>
      <c r="P522" t="s">
        <v>1042</v>
      </c>
      <c r="Q522" t="s">
        <v>2708</v>
      </c>
      <c r="R522" s="7">
        <v>31778</v>
      </c>
      <c r="S522" s="8">
        <f t="shared" si="64"/>
        <v>1987</v>
      </c>
      <c r="T522" s="8">
        <v>1987</v>
      </c>
      <c r="U522" s="8">
        <f t="shared" si="65"/>
        <v>35</v>
      </c>
      <c r="V522" s="7">
        <v>31898</v>
      </c>
      <c r="W522" t="s">
        <v>1394</v>
      </c>
      <c r="X522" s="2">
        <v>2.9860000000000002</v>
      </c>
      <c r="Y522" s="6">
        <f t="shared" si="70"/>
        <v>7.9709564613865094E-2</v>
      </c>
      <c r="AA522">
        <v>7338716</v>
      </c>
      <c r="AB522">
        <v>18902</v>
      </c>
      <c r="AD522" t="s">
        <v>4</v>
      </c>
      <c r="AE522">
        <v>5</v>
      </c>
      <c r="AF522">
        <v>4</v>
      </c>
      <c r="AH522" t="s">
        <v>2707</v>
      </c>
      <c r="AI522" t="s">
        <v>2706</v>
      </c>
      <c r="AK522" t="s">
        <v>2705</v>
      </c>
      <c r="AL522">
        <v>73</v>
      </c>
      <c r="AM522" s="5">
        <f t="shared" si="66"/>
        <v>2.0857142857142859</v>
      </c>
      <c r="AN522" s="4">
        <f t="shared" si="71"/>
        <v>3.1589765781359878E-3</v>
      </c>
      <c r="AO522" s="3"/>
      <c r="AP522">
        <v>0</v>
      </c>
      <c r="AR522" t="s">
        <v>0</v>
      </c>
      <c r="AT522" s="2" t="s">
        <v>32</v>
      </c>
      <c r="AU522" s="1">
        <f t="shared" si="67"/>
        <v>5.6744388203146352</v>
      </c>
      <c r="AV522" s="1">
        <f t="shared" si="68"/>
        <v>4.1434270596000546</v>
      </c>
      <c r="AW522" s="1">
        <f t="shared" si="69"/>
        <v>2.6124152988854719</v>
      </c>
    </row>
    <row r="523" spans="1:49" x14ac:dyDescent="0.2">
      <c r="A523">
        <v>521</v>
      </c>
      <c r="B523" t="s">
        <v>2704</v>
      </c>
      <c r="C523" t="s">
        <v>2703</v>
      </c>
      <c r="F523" t="s">
        <v>2702</v>
      </c>
      <c r="G523" t="s">
        <v>14</v>
      </c>
      <c r="H523" t="s">
        <v>13</v>
      </c>
      <c r="I523" t="s">
        <v>2701</v>
      </c>
      <c r="J523">
        <v>60026175</v>
      </c>
      <c r="K523" t="s">
        <v>1901</v>
      </c>
      <c r="L523" t="s">
        <v>1900</v>
      </c>
      <c r="M523" t="s">
        <v>9</v>
      </c>
      <c r="N523">
        <v>2</v>
      </c>
      <c r="O523" t="s">
        <v>2700</v>
      </c>
      <c r="P523" t="s">
        <v>2699</v>
      </c>
      <c r="Q523" t="s">
        <v>2698</v>
      </c>
      <c r="R523" s="7">
        <v>31778</v>
      </c>
      <c r="S523" s="8">
        <f t="shared" si="64"/>
        <v>1987</v>
      </c>
      <c r="T523" s="8">
        <v>1987</v>
      </c>
      <c r="U523" s="8">
        <f t="shared" si="65"/>
        <v>35</v>
      </c>
      <c r="V523" s="7">
        <v>31898</v>
      </c>
      <c r="W523" t="s">
        <v>336</v>
      </c>
      <c r="X523" s="2">
        <v>1.6519999999999999</v>
      </c>
      <c r="Y523" s="6">
        <f t="shared" si="70"/>
        <v>4.409919649769093E-2</v>
      </c>
      <c r="AA523" t="s">
        <v>335</v>
      </c>
      <c r="AB523">
        <v>17337</v>
      </c>
      <c r="AC523">
        <v>15582221</v>
      </c>
      <c r="AD523" t="s">
        <v>4</v>
      </c>
      <c r="AE523">
        <v>35</v>
      </c>
      <c r="AF523">
        <v>5</v>
      </c>
      <c r="AH523" t="s">
        <v>2697</v>
      </c>
      <c r="AI523" t="s">
        <v>2696</v>
      </c>
      <c r="AK523" t="s">
        <v>2695</v>
      </c>
      <c r="AL523">
        <v>91</v>
      </c>
      <c r="AM523" s="5">
        <f t="shared" si="66"/>
        <v>2.6</v>
      </c>
      <c r="AN523" s="4">
        <f t="shared" si="71"/>
        <v>3.9379023097311627E-3</v>
      </c>
      <c r="AO523" s="3"/>
      <c r="AP523">
        <v>0</v>
      </c>
      <c r="AQ523" t="s">
        <v>2694</v>
      </c>
      <c r="AR523" t="s">
        <v>2693</v>
      </c>
      <c r="AS523" t="s">
        <v>2692</v>
      </c>
      <c r="AT523" s="2" t="s">
        <v>32</v>
      </c>
      <c r="AU523" s="1">
        <f t="shared" si="67"/>
        <v>3.2050808241302997</v>
      </c>
      <c r="AV523" s="1">
        <f t="shared" si="68"/>
        <v>2.4018549403711047</v>
      </c>
      <c r="AW523" s="1">
        <f t="shared" si="69"/>
        <v>1.5986290566119092</v>
      </c>
    </row>
    <row r="524" spans="1:49" x14ac:dyDescent="0.2">
      <c r="A524">
        <v>522</v>
      </c>
      <c r="B524" t="s">
        <v>2691</v>
      </c>
      <c r="C524" t="s">
        <v>2690</v>
      </c>
      <c r="F524" t="s">
        <v>2689</v>
      </c>
      <c r="G524" t="s">
        <v>14</v>
      </c>
      <c r="H524" t="s">
        <v>13</v>
      </c>
      <c r="I524" t="s">
        <v>2688</v>
      </c>
      <c r="J524">
        <v>60030551</v>
      </c>
      <c r="K524" t="s">
        <v>2687</v>
      </c>
      <c r="L524" t="s">
        <v>2686</v>
      </c>
      <c r="M524" t="s">
        <v>9</v>
      </c>
      <c r="N524">
        <v>5</v>
      </c>
      <c r="O524" t="s">
        <v>2685</v>
      </c>
      <c r="P524" t="s">
        <v>2684</v>
      </c>
      <c r="Q524" t="s">
        <v>2683</v>
      </c>
      <c r="R524" s="7">
        <v>31778</v>
      </c>
      <c r="S524" s="8">
        <f t="shared" si="64"/>
        <v>1987</v>
      </c>
      <c r="T524" s="8">
        <v>1987</v>
      </c>
      <c r="U524" s="8">
        <f t="shared" si="65"/>
        <v>35</v>
      </c>
      <c r="V524" s="7">
        <v>31898</v>
      </c>
      <c r="W524" t="s">
        <v>1530</v>
      </c>
      <c r="X524" s="2">
        <v>0.65500000000000003</v>
      </c>
      <c r="Y524" s="6">
        <f t="shared" si="70"/>
        <v>1.7484850911614749E-2</v>
      </c>
      <c r="AA524">
        <v>189375</v>
      </c>
      <c r="AB524">
        <v>26051</v>
      </c>
      <c r="AC524" t="s">
        <v>1529</v>
      </c>
      <c r="AD524" t="s">
        <v>4</v>
      </c>
      <c r="AE524" t="s">
        <v>1528</v>
      </c>
      <c r="AF524">
        <v>2</v>
      </c>
      <c r="AH524" t="s">
        <v>2682</v>
      </c>
      <c r="AI524" t="s">
        <v>2681</v>
      </c>
      <c r="AK524" t="s">
        <v>2680</v>
      </c>
      <c r="AL524">
        <v>6</v>
      </c>
      <c r="AM524" s="5">
        <f t="shared" si="66"/>
        <v>0.17142857142857143</v>
      </c>
      <c r="AN524" s="4">
        <f t="shared" si="71"/>
        <v>2.5964191053172501E-4</v>
      </c>
      <c r="AO524" s="3"/>
      <c r="AP524">
        <v>0</v>
      </c>
      <c r="AR524" t="s">
        <v>0</v>
      </c>
      <c r="AT524" s="2" t="s">
        <v>32</v>
      </c>
      <c r="AU524" s="1">
        <f t="shared" si="67"/>
        <v>1.2317288211289841</v>
      </c>
      <c r="AV524" s="1">
        <f t="shared" si="68"/>
        <v>0.88722464110732369</v>
      </c>
      <c r="AW524" s="1">
        <f t="shared" si="69"/>
        <v>0.54272046108566319</v>
      </c>
    </row>
    <row r="525" spans="1:49" x14ac:dyDescent="0.2">
      <c r="A525">
        <v>523</v>
      </c>
      <c r="B525" t="s">
        <v>2679</v>
      </c>
      <c r="C525" t="s">
        <v>2678</v>
      </c>
      <c r="F525" t="s">
        <v>2677</v>
      </c>
      <c r="G525" t="s">
        <v>14</v>
      </c>
      <c r="H525" t="s">
        <v>13</v>
      </c>
      <c r="I525" t="s">
        <v>2676</v>
      </c>
      <c r="J525" t="s">
        <v>2675</v>
      </c>
      <c r="K525" t="s">
        <v>2674</v>
      </c>
      <c r="L525" t="s">
        <v>2673</v>
      </c>
      <c r="M525" t="s">
        <v>55</v>
      </c>
      <c r="N525">
        <v>2</v>
      </c>
      <c r="O525" t="s">
        <v>2672</v>
      </c>
      <c r="P525" t="s">
        <v>2671</v>
      </c>
      <c r="Q525" t="s">
        <v>2670</v>
      </c>
      <c r="R525" s="7">
        <v>31778</v>
      </c>
      <c r="S525" s="8">
        <f t="shared" si="64"/>
        <v>1987</v>
      </c>
      <c r="T525" s="8">
        <v>1987</v>
      </c>
      <c r="U525" s="8">
        <f t="shared" si="65"/>
        <v>35</v>
      </c>
      <c r="V525" s="7">
        <v>31898</v>
      </c>
      <c r="W525" t="s">
        <v>336</v>
      </c>
      <c r="X525" s="2">
        <v>1.6519999999999999</v>
      </c>
      <c r="Y525" s="6">
        <f t="shared" si="70"/>
        <v>4.409919649769093E-2</v>
      </c>
      <c r="AA525" t="s">
        <v>335</v>
      </c>
      <c r="AB525">
        <v>17337</v>
      </c>
      <c r="AC525">
        <v>15582221</v>
      </c>
      <c r="AD525" t="s">
        <v>4</v>
      </c>
      <c r="AE525">
        <v>35</v>
      </c>
      <c r="AF525">
        <v>5</v>
      </c>
      <c r="AH525" t="s">
        <v>2669</v>
      </c>
      <c r="AI525" t="s">
        <v>2668</v>
      </c>
      <c r="AK525" t="s">
        <v>2667</v>
      </c>
      <c r="AL525">
        <v>4</v>
      </c>
      <c r="AM525" s="5">
        <f t="shared" si="66"/>
        <v>0.11428571428571428</v>
      </c>
      <c r="AN525" s="4">
        <f t="shared" si="71"/>
        <v>1.7309460702115E-4</v>
      </c>
      <c r="AO525" s="3"/>
      <c r="AP525">
        <v>0</v>
      </c>
      <c r="AQ525" t="s">
        <v>2666</v>
      </c>
      <c r="AR525" t="s">
        <v>2665</v>
      </c>
      <c r="AS525" t="s">
        <v>2664</v>
      </c>
      <c r="AT525" s="2" t="s">
        <v>32</v>
      </c>
      <c r="AU525" s="1">
        <f t="shared" si="67"/>
        <v>3.0921365930489997</v>
      </c>
      <c r="AV525" s="1">
        <f t="shared" si="68"/>
        <v>2.2136145552356039</v>
      </c>
      <c r="AW525" s="1">
        <f t="shared" si="69"/>
        <v>1.3350925174222084</v>
      </c>
    </row>
    <row r="526" spans="1:49" x14ac:dyDescent="0.2">
      <c r="A526">
        <v>524</v>
      </c>
      <c r="B526" t="s">
        <v>2663</v>
      </c>
      <c r="C526" t="s">
        <v>2662</v>
      </c>
      <c r="F526" t="s">
        <v>2661</v>
      </c>
      <c r="G526" t="s">
        <v>14</v>
      </c>
      <c r="H526" t="s">
        <v>13</v>
      </c>
      <c r="I526" t="s">
        <v>2660</v>
      </c>
      <c r="J526">
        <v>105341226</v>
      </c>
      <c r="K526" t="s">
        <v>2659</v>
      </c>
      <c r="M526" t="s">
        <v>9</v>
      </c>
      <c r="N526">
        <v>1</v>
      </c>
      <c r="O526" t="s">
        <v>2658</v>
      </c>
      <c r="P526">
        <v>55951888900</v>
      </c>
      <c r="Q526">
        <v>105341226</v>
      </c>
      <c r="R526" s="7">
        <v>31778</v>
      </c>
      <c r="S526" s="8">
        <f t="shared" si="64"/>
        <v>1987</v>
      </c>
      <c r="T526" s="8">
        <v>1987</v>
      </c>
      <c r="U526" s="8">
        <f t="shared" si="65"/>
        <v>35</v>
      </c>
      <c r="V526" s="7">
        <v>31898</v>
      </c>
      <c r="W526" t="s">
        <v>336</v>
      </c>
      <c r="X526" s="2">
        <v>1.6519999999999999</v>
      </c>
      <c r="Y526" s="6">
        <f t="shared" si="70"/>
        <v>4.409919649769093E-2</v>
      </c>
      <c r="AA526" t="s">
        <v>335</v>
      </c>
      <c r="AB526">
        <v>17337</v>
      </c>
      <c r="AC526">
        <v>15582221</v>
      </c>
      <c r="AD526" t="s">
        <v>4</v>
      </c>
      <c r="AE526">
        <v>35</v>
      </c>
      <c r="AF526">
        <v>5</v>
      </c>
      <c r="AH526" t="s">
        <v>2657</v>
      </c>
      <c r="AI526" t="s">
        <v>2656</v>
      </c>
      <c r="AK526" t="s">
        <v>2655</v>
      </c>
      <c r="AL526">
        <v>43</v>
      </c>
      <c r="AM526" s="5">
        <f t="shared" si="66"/>
        <v>1.2285714285714286</v>
      </c>
      <c r="AN526" s="4">
        <f t="shared" si="71"/>
        <v>1.8607670254773626E-3</v>
      </c>
      <c r="AO526" s="3"/>
      <c r="AP526">
        <v>0</v>
      </c>
      <c r="AR526" t="s">
        <v>0</v>
      </c>
      <c r="AT526" s="2" t="s">
        <v>32</v>
      </c>
      <c r="AU526" s="1">
        <f t="shared" si="67"/>
        <v>3.1427667656026856</v>
      </c>
      <c r="AV526" s="1">
        <f t="shared" si="68"/>
        <v>2.2979981761584147</v>
      </c>
      <c r="AW526" s="1">
        <f t="shared" si="69"/>
        <v>1.4532295867141432</v>
      </c>
    </row>
    <row r="527" spans="1:49" x14ac:dyDescent="0.2">
      <c r="A527">
        <v>525</v>
      </c>
      <c r="B527" t="s">
        <v>2654</v>
      </c>
      <c r="C527" t="s">
        <v>2653</v>
      </c>
      <c r="F527" t="s">
        <v>2652</v>
      </c>
      <c r="G527" t="s">
        <v>14</v>
      </c>
      <c r="H527" t="s">
        <v>13</v>
      </c>
      <c r="I527" t="s">
        <v>2651</v>
      </c>
      <c r="J527">
        <v>60016296</v>
      </c>
      <c r="K527" t="s">
        <v>512</v>
      </c>
      <c r="L527" t="s">
        <v>511</v>
      </c>
      <c r="M527" t="s">
        <v>9</v>
      </c>
      <c r="N527">
        <v>3</v>
      </c>
      <c r="O527" t="s">
        <v>2650</v>
      </c>
      <c r="P527" t="s">
        <v>2649</v>
      </c>
      <c r="Q527" t="s">
        <v>2648</v>
      </c>
      <c r="R527" s="7">
        <v>31778</v>
      </c>
      <c r="S527" s="8">
        <f t="shared" si="64"/>
        <v>1987</v>
      </c>
      <c r="T527" s="8">
        <v>1987</v>
      </c>
      <c r="U527" s="8">
        <f t="shared" si="65"/>
        <v>35</v>
      </c>
      <c r="V527" s="7">
        <v>31898</v>
      </c>
      <c r="W527" t="s">
        <v>1394</v>
      </c>
      <c r="X527" s="2">
        <v>2.9860000000000002</v>
      </c>
      <c r="Y527" s="6">
        <f t="shared" si="70"/>
        <v>7.9709564613865094E-2</v>
      </c>
      <c r="AA527">
        <v>7338716</v>
      </c>
      <c r="AB527">
        <v>18902</v>
      </c>
      <c r="AD527" t="s">
        <v>4</v>
      </c>
      <c r="AE527">
        <v>5</v>
      </c>
      <c r="AF527">
        <v>4</v>
      </c>
      <c r="AH527" t="s">
        <v>2647</v>
      </c>
      <c r="AI527" t="s">
        <v>2646</v>
      </c>
      <c r="AK527" t="s">
        <v>2645</v>
      </c>
      <c r="AL527">
        <v>3</v>
      </c>
      <c r="AM527" s="5">
        <f t="shared" si="66"/>
        <v>8.5714285714285715E-2</v>
      </c>
      <c r="AN527" s="4">
        <f t="shared" si="71"/>
        <v>1.2982095526586251E-4</v>
      </c>
      <c r="AO527" s="3"/>
      <c r="AP527">
        <v>0</v>
      </c>
      <c r="AR527" t="s">
        <v>0</v>
      </c>
      <c r="AT527" s="2" t="s">
        <v>32</v>
      </c>
      <c r="AU527" s="1">
        <f t="shared" si="67"/>
        <v>5.5835641516285319</v>
      </c>
      <c r="AV527" s="1">
        <f t="shared" si="68"/>
        <v>3.9919692784565481</v>
      </c>
      <c r="AW527" s="1">
        <f t="shared" si="69"/>
        <v>2.400374405284563</v>
      </c>
    </row>
    <row r="528" spans="1:49" x14ac:dyDescent="0.2">
      <c r="A528">
        <v>526</v>
      </c>
      <c r="B528" t="s">
        <v>2644</v>
      </c>
      <c r="C528" t="s">
        <v>2643</v>
      </c>
      <c r="F528" t="s">
        <v>2642</v>
      </c>
      <c r="G528" t="s">
        <v>14</v>
      </c>
      <c r="H528" t="s">
        <v>13</v>
      </c>
      <c r="I528" t="s">
        <v>2641</v>
      </c>
      <c r="J528">
        <v>60026610</v>
      </c>
      <c r="K528" t="s">
        <v>2640</v>
      </c>
      <c r="L528" t="s">
        <v>2639</v>
      </c>
      <c r="M528" t="s">
        <v>9</v>
      </c>
      <c r="N528">
        <v>2</v>
      </c>
      <c r="O528" t="s">
        <v>2638</v>
      </c>
      <c r="P528" t="s">
        <v>2637</v>
      </c>
      <c r="Q528" t="s">
        <v>2636</v>
      </c>
      <c r="R528" s="7">
        <v>31778</v>
      </c>
      <c r="S528" s="8">
        <f t="shared" si="64"/>
        <v>1987</v>
      </c>
      <c r="T528" s="8">
        <v>1987</v>
      </c>
      <c r="U528" s="8">
        <f t="shared" si="65"/>
        <v>35</v>
      </c>
      <c r="V528" s="7">
        <v>31898</v>
      </c>
      <c r="W528" t="s">
        <v>336</v>
      </c>
      <c r="X528" s="2">
        <v>1.6519999999999999</v>
      </c>
      <c r="Y528" s="6">
        <f t="shared" si="70"/>
        <v>4.409919649769093E-2</v>
      </c>
      <c r="AA528" t="s">
        <v>335</v>
      </c>
      <c r="AB528">
        <v>17337</v>
      </c>
      <c r="AC528">
        <v>15582221</v>
      </c>
      <c r="AD528" t="s">
        <v>4</v>
      </c>
      <c r="AE528">
        <v>35</v>
      </c>
      <c r="AF528">
        <v>5</v>
      </c>
      <c r="AH528" t="s">
        <v>2635</v>
      </c>
      <c r="AI528" t="s">
        <v>2634</v>
      </c>
      <c r="AK528" t="s">
        <v>2633</v>
      </c>
      <c r="AL528">
        <v>41</v>
      </c>
      <c r="AM528" s="5">
        <f t="shared" si="66"/>
        <v>1.1714285714285715</v>
      </c>
      <c r="AN528" s="4">
        <f t="shared" si="71"/>
        <v>1.7742197219667876E-3</v>
      </c>
      <c r="AO528" s="3"/>
      <c r="AP528">
        <v>0</v>
      </c>
      <c r="AQ528" t="s">
        <v>331</v>
      </c>
      <c r="AR528" t="s">
        <v>2632</v>
      </c>
      <c r="AS528" t="s">
        <v>329</v>
      </c>
      <c r="AT528" s="2" t="s">
        <v>32</v>
      </c>
      <c r="AU528" s="1">
        <f t="shared" si="67"/>
        <v>3.1401703464973689</v>
      </c>
      <c r="AV528" s="1">
        <f t="shared" si="68"/>
        <v>2.2936708109828858</v>
      </c>
      <c r="AW528" s="1">
        <f t="shared" si="69"/>
        <v>1.447171275468403</v>
      </c>
    </row>
    <row r="529" spans="1:49" x14ac:dyDescent="0.2">
      <c r="A529">
        <v>527</v>
      </c>
      <c r="B529" t="s">
        <v>2631</v>
      </c>
      <c r="C529" t="s">
        <v>2630</v>
      </c>
      <c r="F529" t="s">
        <v>2629</v>
      </c>
      <c r="G529" t="s">
        <v>14</v>
      </c>
      <c r="H529" t="s">
        <v>13</v>
      </c>
      <c r="I529" t="s">
        <v>2628</v>
      </c>
      <c r="J529">
        <v>60012564</v>
      </c>
      <c r="K529" t="s">
        <v>1934</v>
      </c>
      <c r="L529" t="s">
        <v>1933</v>
      </c>
      <c r="M529" t="s">
        <v>9</v>
      </c>
      <c r="N529">
        <v>1</v>
      </c>
      <c r="O529" t="s">
        <v>2627</v>
      </c>
      <c r="P529">
        <v>7402253651</v>
      </c>
      <c r="Q529">
        <v>60012564</v>
      </c>
      <c r="R529" s="7">
        <v>31778</v>
      </c>
      <c r="S529" s="8">
        <f t="shared" si="64"/>
        <v>1987</v>
      </c>
      <c r="T529" s="8">
        <v>1987</v>
      </c>
      <c r="U529" s="8">
        <f t="shared" si="65"/>
        <v>35</v>
      </c>
      <c r="V529" s="7">
        <v>31898</v>
      </c>
      <c r="W529" t="s">
        <v>336</v>
      </c>
      <c r="X529" s="2">
        <v>1.6519999999999999</v>
      </c>
      <c r="Y529" s="6">
        <f t="shared" si="70"/>
        <v>4.409919649769093E-2</v>
      </c>
      <c r="AA529" t="s">
        <v>335</v>
      </c>
      <c r="AB529">
        <v>17337</v>
      </c>
      <c r="AC529">
        <v>15582221</v>
      </c>
      <c r="AD529" t="s">
        <v>4</v>
      </c>
      <c r="AE529">
        <v>35</v>
      </c>
      <c r="AF529">
        <v>5</v>
      </c>
      <c r="AH529" t="s">
        <v>2626</v>
      </c>
      <c r="AI529" t="s">
        <v>2625</v>
      </c>
      <c r="AK529" t="s">
        <v>2624</v>
      </c>
      <c r="AL529">
        <v>25</v>
      </c>
      <c r="AM529" s="5">
        <f t="shared" si="66"/>
        <v>0.7142857142857143</v>
      </c>
      <c r="AN529" s="4">
        <f t="shared" si="71"/>
        <v>1.0818412938821875E-3</v>
      </c>
      <c r="AO529" s="3"/>
      <c r="AP529">
        <v>0</v>
      </c>
      <c r="AQ529" t="s">
        <v>2623</v>
      </c>
      <c r="AR529" t="s">
        <v>0</v>
      </c>
      <c r="AS529" t="s">
        <v>2622</v>
      </c>
      <c r="AT529" s="2" t="s">
        <v>32</v>
      </c>
      <c r="AU529" s="1">
        <f t="shared" si="67"/>
        <v>3.1193989936548308</v>
      </c>
      <c r="AV529" s="1">
        <f t="shared" si="68"/>
        <v>2.259051889578656</v>
      </c>
      <c r="AW529" s="1">
        <f t="shared" si="69"/>
        <v>1.3987047855024808</v>
      </c>
    </row>
    <row r="530" spans="1:49" x14ac:dyDescent="0.2">
      <c r="A530">
        <v>528</v>
      </c>
      <c r="B530" t="s">
        <v>2621</v>
      </c>
      <c r="C530" t="s">
        <v>2620</v>
      </c>
      <c r="F530" t="s">
        <v>2619</v>
      </c>
      <c r="G530" t="s">
        <v>14</v>
      </c>
      <c r="H530" t="s">
        <v>13</v>
      </c>
      <c r="I530" t="s">
        <v>2618</v>
      </c>
      <c r="J530">
        <v>60017757</v>
      </c>
      <c r="K530" t="s">
        <v>2617</v>
      </c>
      <c r="L530" t="s">
        <v>2616</v>
      </c>
      <c r="M530" t="s">
        <v>1068</v>
      </c>
      <c r="N530">
        <v>3</v>
      </c>
      <c r="O530" t="s">
        <v>2615</v>
      </c>
      <c r="P530" t="s">
        <v>2614</v>
      </c>
      <c r="Q530" t="s">
        <v>2613</v>
      </c>
      <c r="R530" s="7">
        <v>31778</v>
      </c>
      <c r="S530" s="8">
        <f t="shared" si="64"/>
        <v>1987</v>
      </c>
      <c r="T530" s="8">
        <v>1987</v>
      </c>
      <c r="U530" s="8">
        <f t="shared" si="65"/>
        <v>35</v>
      </c>
      <c r="V530" s="7" t="s">
        <v>2612</v>
      </c>
      <c r="W530" t="s">
        <v>928</v>
      </c>
      <c r="X530" s="2">
        <v>0.218</v>
      </c>
      <c r="Y530" s="6">
        <f t="shared" si="70"/>
        <v>5.8193854942473512E-3</v>
      </c>
      <c r="AA530">
        <v>3772063</v>
      </c>
      <c r="AB530">
        <v>130012</v>
      </c>
      <c r="AD530" t="s">
        <v>4</v>
      </c>
      <c r="AE530">
        <v>33</v>
      </c>
      <c r="AF530">
        <v>3</v>
      </c>
      <c r="AH530" t="s">
        <v>2611</v>
      </c>
      <c r="AI530" t="s">
        <v>2610</v>
      </c>
      <c r="AK530" t="s">
        <v>2609</v>
      </c>
      <c r="AL530">
        <v>0</v>
      </c>
      <c r="AM530" s="5">
        <f t="shared" si="66"/>
        <v>0</v>
      </c>
      <c r="AN530" s="4">
        <f t="shared" si="71"/>
        <v>0</v>
      </c>
      <c r="AO530" s="3"/>
      <c r="AP530">
        <v>0</v>
      </c>
      <c r="AR530" t="s">
        <v>0</v>
      </c>
      <c r="AT530" s="2">
        <v>2.3330000000000002</v>
      </c>
      <c r="AU530" s="1">
        <f t="shared" si="67"/>
        <v>0.40735698459731456</v>
      </c>
      <c r="AV530" s="1">
        <f t="shared" si="68"/>
        <v>0.29096927471236755</v>
      </c>
      <c r="AW530" s="1">
        <f t="shared" si="69"/>
        <v>0.17458156482742054</v>
      </c>
    </row>
    <row r="531" spans="1:49" x14ac:dyDescent="0.2">
      <c r="A531">
        <v>529</v>
      </c>
      <c r="B531" t="s">
        <v>2608</v>
      </c>
      <c r="C531" t="s">
        <v>2607</v>
      </c>
      <c r="E531">
        <v>3611715</v>
      </c>
      <c r="F531" t="s">
        <v>2606</v>
      </c>
      <c r="G531" t="s">
        <v>14</v>
      </c>
      <c r="H531" t="s">
        <v>13</v>
      </c>
      <c r="I531" t="s">
        <v>2605</v>
      </c>
      <c r="J531" t="s">
        <v>2604</v>
      </c>
      <c r="K531" t="s">
        <v>2603</v>
      </c>
      <c r="L531" t="s">
        <v>2602</v>
      </c>
      <c r="M531" t="s">
        <v>2601</v>
      </c>
      <c r="N531">
        <v>3</v>
      </c>
      <c r="O531" t="s">
        <v>2600</v>
      </c>
      <c r="P531" t="s">
        <v>2599</v>
      </c>
      <c r="Q531" t="s">
        <v>2598</v>
      </c>
      <c r="R531" s="7">
        <v>31778</v>
      </c>
      <c r="S531" s="8">
        <f t="shared" si="64"/>
        <v>1987</v>
      </c>
      <c r="T531" s="8">
        <v>1987</v>
      </c>
      <c r="U531" s="8">
        <f t="shared" si="65"/>
        <v>35</v>
      </c>
      <c r="V531" s="7" t="s">
        <v>2597</v>
      </c>
      <c r="W531" t="s">
        <v>2596</v>
      </c>
      <c r="X531" s="2">
        <v>0.99</v>
      </c>
      <c r="Y531" s="6">
        <f t="shared" si="70"/>
        <v>2.6427484583967327E-2</v>
      </c>
      <c r="AA531">
        <v>221503</v>
      </c>
      <c r="AB531">
        <v>18926</v>
      </c>
      <c r="AD531" t="s">
        <v>4</v>
      </c>
      <c r="AE531">
        <v>78</v>
      </c>
      <c r="AF531">
        <v>3</v>
      </c>
      <c r="AH531" t="s">
        <v>2595</v>
      </c>
      <c r="AI531" t="s">
        <v>2594</v>
      </c>
      <c r="AK531" t="s">
        <v>2593</v>
      </c>
      <c r="AL531">
        <v>0</v>
      </c>
      <c r="AM531" s="5">
        <f t="shared" si="66"/>
        <v>0</v>
      </c>
      <c r="AN531" s="4">
        <f t="shared" si="71"/>
        <v>0</v>
      </c>
      <c r="AO531" s="3"/>
      <c r="AP531">
        <v>0</v>
      </c>
      <c r="AQ531" t="s">
        <v>2592</v>
      </c>
      <c r="AR531" t="s">
        <v>0</v>
      </c>
      <c r="AS531" t="s">
        <v>2591</v>
      </c>
      <c r="AT531" s="2">
        <v>2.645</v>
      </c>
      <c r="AU531" s="1">
        <f t="shared" si="67"/>
        <v>1.8499239208777127</v>
      </c>
      <c r="AV531" s="1">
        <f t="shared" si="68"/>
        <v>1.3213742291983663</v>
      </c>
      <c r="AW531" s="1">
        <f t="shared" si="69"/>
        <v>0.79282453751901971</v>
      </c>
    </row>
    <row r="532" spans="1:49" x14ac:dyDescent="0.2">
      <c r="A532">
        <v>530</v>
      </c>
      <c r="B532" t="s">
        <v>2590</v>
      </c>
      <c r="C532" t="s">
        <v>2589</v>
      </c>
      <c r="E532">
        <v>3610962</v>
      </c>
      <c r="F532" t="s">
        <v>2588</v>
      </c>
      <c r="G532" t="s">
        <v>14</v>
      </c>
      <c r="H532" t="s">
        <v>13</v>
      </c>
      <c r="I532" t="s">
        <v>2587</v>
      </c>
      <c r="N532">
        <v>1</v>
      </c>
      <c r="O532" t="s">
        <v>2586</v>
      </c>
      <c r="P532">
        <v>56231734600</v>
      </c>
      <c r="R532" s="7">
        <v>31778</v>
      </c>
      <c r="S532" s="8">
        <f t="shared" si="64"/>
        <v>1987</v>
      </c>
      <c r="T532" s="8">
        <v>1987</v>
      </c>
      <c r="U532" s="8">
        <f t="shared" si="65"/>
        <v>35</v>
      </c>
      <c r="V532" s="7" t="s">
        <v>2585</v>
      </c>
      <c r="W532" t="s">
        <v>2584</v>
      </c>
      <c r="X532" s="2" t="s">
        <v>32</v>
      </c>
      <c r="Y532" s="6" t="e">
        <f t="shared" si="70"/>
        <v>#VALUE!</v>
      </c>
      <c r="AA532">
        <v>45756</v>
      </c>
      <c r="AB532">
        <v>34181</v>
      </c>
      <c r="AD532" t="s">
        <v>4</v>
      </c>
      <c r="AE532">
        <v>70</v>
      </c>
      <c r="AF532">
        <v>3</v>
      </c>
      <c r="AH532" t="s">
        <v>2583</v>
      </c>
      <c r="AI532" t="s">
        <v>2582</v>
      </c>
      <c r="AK532" t="s">
        <v>2581</v>
      </c>
      <c r="AL532">
        <v>2</v>
      </c>
      <c r="AM532" s="5">
        <f t="shared" si="66"/>
        <v>5.7142857142857141E-2</v>
      </c>
      <c r="AN532" s="4">
        <f t="shared" si="71"/>
        <v>8.6547303510575E-5</v>
      </c>
      <c r="AO532" s="3"/>
      <c r="AP532">
        <v>0</v>
      </c>
      <c r="AR532" t="s">
        <v>0</v>
      </c>
      <c r="AT532" s="2" t="s">
        <v>32</v>
      </c>
      <c r="AU532" s="1" t="e">
        <f t="shared" si="67"/>
        <v>#VALUE!</v>
      </c>
      <c r="AV532" s="1" t="e">
        <f t="shared" si="68"/>
        <v>#VALUE!</v>
      </c>
      <c r="AW532" s="1" t="e">
        <f t="shared" si="69"/>
        <v>#VALUE!</v>
      </c>
    </row>
    <row r="533" spans="1:49" x14ac:dyDescent="0.2">
      <c r="A533">
        <v>531</v>
      </c>
      <c r="B533" t="s">
        <v>2580</v>
      </c>
      <c r="C533" t="s">
        <v>2579</v>
      </c>
      <c r="F533" t="s">
        <v>2578</v>
      </c>
      <c r="G533" t="s">
        <v>14</v>
      </c>
      <c r="H533" t="s">
        <v>13</v>
      </c>
      <c r="I533" t="s">
        <v>2577</v>
      </c>
      <c r="J533">
        <v>60068815</v>
      </c>
      <c r="K533" t="s">
        <v>2576</v>
      </c>
      <c r="L533" t="s">
        <v>2575</v>
      </c>
      <c r="M533" t="s">
        <v>2574</v>
      </c>
      <c r="N533">
        <v>2</v>
      </c>
      <c r="O533" t="s">
        <v>2573</v>
      </c>
      <c r="P533" t="s">
        <v>2572</v>
      </c>
      <c r="Q533" t="s">
        <v>2571</v>
      </c>
      <c r="R533" s="7">
        <v>31778</v>
      </c>
      <c r="S533" s="8">
        <f t="shared" si="64"/>
        <v>1987</v>
      </c>
      <c r="T533" s="8">
        <v>1987</v>
      </c>
      <c r="U533" s="8">
        <f t="shared" si="65"/>
        <v>35</v>
      </c>
      <c r="V533" s="7" t="s">
        <v>2343</v>
      </c>
      <c r="W533" s="11" t="s">
        <v>1382</v>
      </c>
      <c r="X533" s="2">
        <v>2.383</v>
      </c>
      <c r="Y533" s="6">
        <f t="shared" si="70"/>
        <v>6.3612824003630442E-2</v>
      </c>
      <c r="AA533" t="s">
        <v>1381</v>
      </c>
      <c r="AB533">
        <v>101151</v>
      </c>
      <c r="AD533" t="s">
        <v>4</v>
      </c>
      <c r="AE533">
        <v>134</v>
      </c>
      <c r="AF533">
        <v>2</v>
      </c>
      <c r="AH533" t="s">
        <v>2570</v>
      </c>
      <c r="AI533" t="s">
        <v>2569</v>
      </c>
      <c r="AK533" t="s">
        <v>2568</v>
      </c>
      <c r="AL533">
        <v>0</v>
      </c>
      <c r="AM533" s="5">
        <f t="shared" si="66"/>
        <v>0</v>
      </c>
      <c r="AN533" s="4">
        <f t="shared" si="71"/>
        <v>0</v>
      </c>
      <c r="AO533" s="3"/>
      <c r="AP533">
        <v>0</v>
      </c>
      <c r="AR533" t="s">
        <v>0</v>
      </c>
      <c r="AT533" s="2" t="s">
        <v>32</v>
      </c>
      <c r="AU533" s="1">
        <f t="shared" si="67"/>
        <v>4.4528976802541305</v>
      </c>
      <c r="AV533" s="1">
        <f t="shared" si="68"/>
        <v>3.1806412001815221</v>
      </c>
      <c r="AW533" s="1">
        <f t="shared" si="69"/>
        <v>1.9083847201089132</v>
      </c>
    </row>
    <row r="534" spans="1:49" x14ac:dyDescent="0.2">
      <c r="A534">
        <v>532</v>
      </c>
      <c r="B534" t="s">
        <v>2567</v>
      </c>
      <c r="C534" t="s">
        <v>2566</v>
      </c>
      <c r="F534" t="s">
        <v>2565</v>
      </c>
      <c r="G534" t="s">
        <v>14</v>
      </c>
      <c r="H534" t="s">
        <v>13</v>
      </c>
      <c r="I534" t="s">
        <v>2564</v>
      </c>
      <c r="J534">
        <v>60033154</v>
      </c>
      <c r="K534" t="s">
        <v>2563</v>
      </c>
      <c r="L534" t="s">
        <v>2562</v>
      </c>
      <c r="M534" t="s">
        <v>685</v>
      </c>
      <c r="N534">
        <v>1</v>
      </c>
      <c r="O534" t="s">
        <v>2561</v>
      </c>
      <c r="P534">
        <v>7004584615</v>
      </c>
      <c r="Q534">
        <v>60033154</v>
      </c>
      <c r="R534" s="7">
        <v>31778</v>
      </c>
      <c r="S534" s="8">
        <f t="shared" si="64"/>
        <v>1987</v>
      </c>
      <c r="T534" s="8">
        <v>1987</v>
      </c>
      <c r="U534" s="8">
        <f t="shared" si="65"/>
        <v>35</v>
      </c>
      <c r="V534" s="7">
        <v>31868</v>
      </c>
      <c r="W534" t="s">
        <v>2543</v>
      </c>
      <c r="X534" s="2">
        <v>0.251</v>
      </c>
      <c r="Y534" s="6">
        <f t="shared" si="70"/>
        <v>6.7003016470462617E-3</v>
      </c>
      <c r="AA534">
        <v>207217</v>
      </c>
      <c r="AB534">
        <v>26145</v>
      </c>
      <c r="AC534">
        <v>13623060</v>
      </c>
      <c r="AD534" t="s">
        <v>4</v>
      </c>
      <c r="AE534">
        <v>62</v>
      </c>
      <c r="AF534">
        <v>4</v>
      </c>
      <c r="AH534" t="s">
        <v>2560</v>
      </c>
      <c r="AI534" t="s">
        <v>2559</v>
      </c>
      <c r="AK534" t="s">
        <v>2558</v>
      </c>
      <c r="AL534">
        <v>2</v>
      </c>
      <c r="AM534" s="5">
        <f t="shared" si="66"/>
        <v>5.7142857142857141E-2</v>
      </c>
      <c r="AN534" s="4">
        <f t="shared" si="71"/>
        <v>8.6547303510575E-5</v>
      </c>
      <c r="AO534" s="3"/>
      <c r="AP534">
        <v>1</v>
      </c>
      <c r="AR534" t="s">
        <v>0</v>
      </c>
      <c r="AT534" s="2">
        <v>1.3360000000000001</v>
      </c>
      <c r="AU534" s="1">
        <f t="shared" si="67"/>
        <v>0.47161753439855547</v>
      </c>
      <c r="AV534" s="1">
        <f t="shared" si="68"/>
        <v>0.33934244752784187</v>
      </c>
      <c r="AW534" s="1">
        <f t="shared" si="69"/>
        <v>0.20706736065712808</v>
      </c>
    </row>
    <row r="535" spans="1:49" x14ac:dyDescent="0.2">
      <c r="A535">
        <v>533</v>
      </c>
      <c r="B535" t="s">
        <v>2557</v>
      </c>
      <c r="C535" t="s">
        <v>2556</v>
      </c>
      <c r="F535" t="s">
        <v>2555</v>
      </c>
      <c r="G535" t="s">
        <v>14</v>
      </c>
      <c r="H535" t="s">
        <v>13</v>
      </c>
      <c r="I535" t="s">
        <v>2554</v>
      </c>
      <c r="J535">
        <v>60029575</v>
      </c>
      <c r="K535" t="s">
        <v>2553</v>
      </c>
      <c r="L535" t="s">
        <v>2552</v>
      </c>
      <c r="M535" t="s">
        <v>9</v>
      </c>
      <c r="N535">
        <v>1</v>
      </c>
      <c r="O535" t="s">
        <v>2551</v>
      </c>
      <c r="P535">
        <v>24608497200</v>
      </c>
      <c r="Q535">
        <v>60029575</v>
      </c>
      <c r="R535" s="7">
        <v>31778</v>
      </c>
      <c r="S535" s="8">
        <f t="shared" si="64"/>
        <v>1987</v>
      </c>
      <c r="T535" s="8">
        <v>1987</v>
      </c>
      <c r="U535" s="8">
        <f t="shared" si="65"/>
        <v>35</v>
      </c>
      <c r="V535" s="7">
        <v>1987</v>
      </c>
      <c r="W535" s="11" t="s">
        <v>1483</v>
      </c>
      <c r="X535" s="2">
        <v>2.383</v>
      </c>
      <c r="Y535" s="6">
        <f t="shared" si="70"/>
        <v>6.3612824003630442E-2</v>
      </c>
      <c r="AA535">
        <v>1437070</v>
      </c>
      <c r="AB535">
        <v>39742</v>
      </c>
      <c r="AD535" t="s">
        <v>4</v>
      </c>
      <c r="AE535">
        <v>134</v>
      </c>
      <c r="AF535">
        <v>2</v>
      </c>
      <c r="AH535" t="s">
        <v>2550</v>
      </c>
      <c r="AI535" t="s">
        <v>2549</v>
      </c>
      <c r="AJ535" t="s">
        <v>2548</v>
      </c>
      <c r="AK535" t="s">
        <v>2547</v>
      </c>
      <c r="AL535">
        <v>2</v>
      </c>
      <c r="AM535" s="5">
        <f t="shared" si="66"/>
        <v>5.7142857142857141E-2</v>
      </c>
      <c r="AN535" s="4">
        <f t="shared" si="71"/>
        <v>8.6547303510575E-5</v>
      </c>
      <c r="AO535" s="3"/>
      <c r="AP535">
        <v>0</v>
      </c>
      <c r="AR535" t="s">
        <v>0</v>
      </c>
      <c r="AT535" s="2" t="s">
        <v>32</v>
      </c>
      <c r="AU535" s="1">
        <f t="shared" si="67"/>
        <v>4.4554940993594476</v>
      </c>
      <c r="AV535" s="1">
        <f t="shared" si="68"/>
        <v>3.1849685653570505</v>
      </c>
      <c r="AW535" s="1">
        <f t="shared" si="69"/>
        <v>1.9144430313546537</v>
      </c>
    </row>
    <row r="536" spans="1:49" x14ac:dyDescent="0.2">
      <c r="A536">
        <v>534</v>
      </c>
      <c r="B536" t="s">
        <v>2546</v>
      </c>
      <c r="C536" t="s">
        <v>2545</v>
      </c>
      <c r="F536" t="s">
        <v>2544</v>
      </c>
      <c r="G536" t="s">
        <v>14</v>
      </c>
      <c r="H536" t="s">
        <v>13</v>
      </c>
      <c r="I536" t="s">
        <v>1420</v>
      </c>
      <c r="J536">
        <v>60013506</v>
      </c>
      <c r="K536" t="s">
        <v>1419</v>
      </c>
      <c r="L536" t="s">
        <v>1418</v>
      </c>
      <c r="M536" t="s">
        <v>685</v>
      </c>
      <c r="N536">
        <v>1</v>
      </c>
      <c r="O536" t="s">
        <v>1417</v>
      </c>
      <c r="P536">
        <v>7406623160</v>
      </c>
      <c r="Q536">
        <v>60013506</v>
      </c>
      <c r="R536" s="7">
        <v>31778</v>
      </c>
      <c r="S536" s="8">
        <f t="shared" si="64"/>
        <v>1987</v>
      </c>
      <c r="T536" s="8">
        <v>1987</v>
      </c>
      <c r="U536" s="8">
        <f t="shared" si="65"/>
        <v>35</v>
      </c>
      <c r="V536" s="7">
        <v>31868</v>
      </c>
      <c r="W536" t="s">
        <v>2543</v>
      </c>
      <c r="X536" s="2">
        <v>0.251</v>
      </c>
      <c r="Y536" s="6">
        <f t="shared" si="70"/>
        <v>6.7003016470462617E-3</v>
      </c>
      <c r="AA536">
        <v>207217</v>
      </c>
      <c r="AB536">
        <v>26145</v>
      </c>
      <c r="AC536">
        <v>13623060</v>
      </c>
      <c r="AD536" t="s">
        <v>4</v>
      </c>
      <c r="AE536">
        <v>62</v>
      </c>
      <c r="AF536">
        <v>4</v>
      </c>
      <c r="AH536" t="s">
        <v>2542</v>
      </c>
      <c r="AI536" t="s">
        <v>2541</v>
      </c>
      <c r="AK536" t="s">
        <v>2540</v>
      </c>
      <c r="AL536">
        <v>1</v>
      </c>
      <c r="AM536" s="5">
        <f t="shared" si="66"/>
        <v>2.8571428571428571E-2</v>
      </c>
      <c r="AN536" s="4">
        <f t="shared" si="71"/>
        <v>4.32736517552875E-5</v>
      </c>
      <c r="AO536" s="3"/>
      <c r="AP536">
        <v>0</v>
      </c>
      <c r="AR536" t="s">
        <v>0</v>
      </c>
      <c r="AT536" s="2">
        <v>1.3360000000000001</v>
      </c>
      <c r="AU536" s="1">
        <f t="shared" si="67"/>
        <v>0.47031932484589689</v>
      </c>
      <c r="AV536" s="1">
        <f t="shared" si="68"/>
        <v>0.33717876494007748</v>
      </c>
      <c r="AW536" s="1">
        <f t="shared" si="69"/>
        <v>0.20403820503425793</v>
      </c>
    </row>
    <row r="537" spans="1:49" x14ac:dyDescent="0.2">
      <c r="A537">
        <v>535</v>
      </c>
      <c r="B537" t="s">
        <v>2539</v>
      </c>
      <c r="C537" t="s">
        <v>2538</v>
      </c>
      <c r="F537" t="s">
        <v>2537</v>
      </c>
      <c r="G537" t="s">
        <v>14</v>
      </c>
      <c r="H537" t="s">
        <v>13</v>
      </c>
      <c r="I537" t="s">
        <v>2536</v>
      </c>
      <c r="J537">
        <v>60009064</v>
      </c>
      <c r="K537" t="s">
        <v>2535</v>
      </c>
      <c r="L537" t="s">
        <v>2534</v>
      </c>
      <c r="M537" t="s">
        <v>524</v>
      </c>
      <c r="N537">
        <v>1</v>
      </c>
      <c r="O537" t="s">
        <v>2533</v>
      </c>
      <c r="P537">
        <v>22975091200</v>
      </c>
      <c r="Q537">
        <v>60009064</v>
      </c>
      <c r="R537" s="7">
        <v>31778</v>
      </c>
      <c r="S537" s="8">
        <f t="shared" si="64"/>
        <v>1987</v>
      </c>
      <c r="T537" s="8">
        <v>1987</v>
      </c>
      <c r="U537" s="8">
        <f t="shared" si="65"/>
        <v>35</v>
      </c>
      <c r="V537" s="7">
        <v>31868</v>
      </c>
      <c r="W537" t="s">
        <v>336</v>
      </c>
      <c r="X537" s="2">
        <v>1.6519999999999999</v>
      </c>
      <c r="Y537" s="6">
        <f t="shared" si="70"/>
        <v>4.409919649769093E-2</v>
      </c>
      <c r="AA537" t="s">
        <v>335</v>
      </c>
      <c r="AB537">
        <v>17337</v>
      </c>
      <c r="AC537">
        <v>15582221</v>
      </c>
      <c r="AD537" t="s">
        <v>4</v>
      </c>
      <c r="AE537">
        <v>35</v>
      </c>
      <c r="AF537">
        <v>4</v>
      </c>
      <c r="AH537" t="s">
        <v>2532</v>
      </c>
      <c r="AI537" t="s">
        <v>2531</v>
      </c>
      <c r="AK537" t="s">
        <v>2530</v>
      </c>
      <c r="AL537">
        <v>0</v>
      </c>
      <c r="AM537" s="5">
        <f t="shared" si="66"/>
        <v>0</v>
      </c>
      <c r="AN537" s="4">
        <f t="shared" si="71"/>
        <v>0</v>
      </c>
      <c r="AO537" s="3"/>
      <c r="AP537">
        <v>0</v>
      </c>
      <c r="AR537" t="s">
        <v>0</v>
      </c>
      <c r="AT537" s="2" t="s">
        <v>32</v>
      </c>
      <c r="AU537" s="1">
        <f t="shared" si="67"/>
        <v>3.0869437548383649</v>
      </c>
      <c r="AV537" s="1">
        <f t="shared" si="68"/>
        <v>2.2049598248845466</v>
      </c>
      <c r="AW537" s="1">
        <f t="shared" si="69"/>
        <v>1.3229758949307278</v>
      </c>
    </row>
    <row r="538" spans="1:49" x14ac:dyDescent="0.2">
      <c r="A538">
        <v>536</v>
      </c>
      <c r="B538" t="s">
        <v>2529</v>
      </c>
      <c r="C538" t="s">
        <v>2528</v>
      </c>
      <c r="F538" t="s">
        <v>2527</v>
      </c>
      <c r="G538" t="s">
        <v>14</v>
      </c>
      <c r="H538" t="s">
        <v>13</v>
      </c>
      <c r="I538" t="s">
        <v>2526</v>
      </c>
      <c r="J538">
        <v>60023456</v>
      </c>
      <c r="K538" t="s">
        <v>2242</v>
      </c>
      <c r="L538" t="s">
        <v>2241</v>
      </c>
      <c r="M538" t="s">
        <v>9</v>
      </c>
      <c r="N538">
        <v>1</v>
      </c>
      <c r="O538" t="s">
        <v>2525</v>
      </c>
      <c r="P538">
        <v>7403241218</v>
      </c>
      <c r="Q538">
        <v>60023456</v>
      </c>
      <c r="R538" s="7">
        <v>31778</v>
      </c>
      <c r="S538" s="8">
        <f t="shared" si="64"/>
        <v>1987</v>
      </c>
      <c r="T538" s="8">
        <v>1987</v>
      </c>
      <c r="U538" s="8">
        <f t="shared" si="65"/>
        <v>35</v>
      </c>
      <c r="V538" s="7">
        <v>31868</v>
      </c>
      <c r="W538" t="s">
        <v>695</v>
      </c>
      <c r="X538" s="2">
        <v>2.383</v>
      </c>
      <c r="Y538" s="6">
        <f t="shared" si="70"/>
        <v>6.3612824003630442E-2</v>
      </c>
      <c r="AA538">
        <v>189219</v>
      </c>
      <c r="AB538">
        <v>17915</v>
      </c>
      <c r="AC538">
        <v>15582256</v>
      </c>
      <c r="AD538" t="s">
        <v>4</v>
      </c>
      <c r="AE538">
        <v>75</v>
      </c>
      <c r="AF538">
        <v>4</v>
      </c>
      <c r="AH538" t="s">
        <v>2524</v>
      </c>
      <c r="AI538" t="s">
        <v>2523</v>
      </c>
      <c r="AK538" t="s">
        <v>2522</v>
      </c>
      <c r="AL538">
        <v>155</v>
      </c>
      <c r="AM538" s="5">
        <f t="shared" si="66"/>
        <v>4.4285714285714288</v>
      </c>
      <c r="AN538" s="4">
        <f t="shared" si="71"/>
        <v>6.7074160220695631E-3</v>
      </c>
      <c r="AO538" s="3"/>
      <c r="AP538">
        <v>0</v>
      </c>
      <c r="AR538" t="s">
        <v>0</v>
      </c>
      <c r="AT538" s="2">
        <v>10.961</v>
      </c>
      <c r="AU538" s="1">
        <f t="shared" si="67"/>
        <v>4.6541201609162179</v>
      </c>
      <c r="AV538" s="1">
        <f t="shared" si="68"/>
        <v>3.516012001285</v>
      </c>
      <c r="AW538" s="1">
        <f t="shared" si="69"/>
        <v>2.3779038416537825</v>
      </c>
    </row>
    <row r="539" spans="1:49" x14ac:dyDescent="0.2">
      <c r="A539">
        <v>537</v>
      </c>
      <c r="B539" t="s">
        <v>2521</v>
      </c>
      <c r="C539" t="s">
        <v>2520</v>
      </c>
      <c r="F539" t="s">
        <v>2519</v>
      </c>
      <c r="G539" t="s">
        <v>14</v>
      </c>
      <c r="H539" t="s">
        <v>13</v>
      </c>
      <c r="I539" t="s">
        <v>2518</v>
      </c>
      <c r="J539">
        <v>60033387</v>
      </c>
      <c r="K539" t="s">
        <v>2517</v>
      </c>
      <c r="L539" t="s">
        <v>587</v>
      </c>
      <c r="M539" t="s">
        <v>586</v>
      </c>
      <c r="N539">
        <v>3</v>
      </c>
      <c r="O539" t="s">
        <v>2516</v>
      </c>
      <c r="P539" t="s">
        <v>2515</v>
      </c>
      <c r="Q539" t="s">
        <v>2514</v>
      </c>
      <c r="R539" s="7">
        <v>31778</v>
      </c>
      <c r="S539" s="8">
        <f t="shared" si="64"/>
        <v>1987</v>
      </c>
      <c r="T539" s="8">
        <v>1987</v>
      </c>
      <c r="U539" s="8">
        <f t="shared" si="65"/>
        <v>35</v>
      </c>
      <c r="V539" s="7" t="s">
        <v>2343</v>
      </c>
      <c r="W539" s="11" t="s">
        <v>1382</v>
      </c>
      <c r="X539" s="2">
        <v>2.383</v>
      </c>
      <c r="Y539" s="6">
        <f t="shared" si="70"/>
        <v>6.3612824003630442E-2</v>
      </c>
      <c r="AA539" t="s">
        <v>1381</v>
      </c>
      <c r="AB539">
        <v>101151</v>
      </c>
      <c r="AD539" t="s">
        <v>4</v>
      </c>
      <c r="AE539">
        <v>134</v>
      </c>
      <c r="AF539">
        <v>2</v>
      </c>
      <c r="AH539" t="s">
        <v>2513</v>
      </c>
      <c r="AI539" t="s">
        <v>2512</v>
      </c>
      <c r="AK539" t="s">
        <v>2511</v>
      </c>
      <c r="AL539">
        <v>1</v>
      </c>
      <c r="AM539" s="5">
        <f t="shared" si="66"/>
        <v>2.8571428571428571E-2</v>
      </c>
      <c r="AN539" s="4">
        <f t="shared" si="71"/>
        <v>4.32736517552875E-5</v>
      </c>
      <c r="AO539" s="3"/>
      <c r="AP539">
        <v>0</v>
      </c>
      <c r="AR539" t="s">
        <v>0</v>
      </c>
      <c r="AT539" s="2" t="s">
        <v>32</v>
      </c>
      <c r="AU539" s="1">
        <f t="shared" si="67"/>
        <v>4.4541958898067895</v>
      </c>
      <c r="AV539" s="1">
        <f t="shared" si="68"/>
        <v>3.1828048827692865</v>
      </c>
      <c r="AW539" s="1">
        <f t="shared" si="69"/>
        <v>1.9114138757317833</v>
      </c>
    </row>
    <row r="540" spans="1:49" x14ac:dyDescent="0.2">
      <c r="A540">
        <v>538</v>
      </c>
      <c r="B540" t="s">
        <v>2510</v>
      </c>
      <c r="C540" t="s">
        <v>2509</v>
      </c>
      <c r="F540" t="s">
        <v>2508</v>
      </c>
      <c r="G540" t="s">
        <v>14</v>
      </c>
      <c r="H540" t="s">
        <v>13</v>
      </c>
      <c r="I540" t="s">
        <v>2507</v>
      </c>
      <c r="J540" t="s">
        <v>2506</v>
      </c>
      <c r="K540" t="s">
        <v>2505</v>
      </c>
      <c r="L540" t="s">
        <v>2504</v>
      </c>
      <c r="M540" t="s">
        <v>2503</v>
      </c>
      <c r="N540">
        <v>5</v>
      </c>
      <c r="O540" t="s">
        <v>2502</v>
      </c>
      <c r="P540" t="s">
        <v>2501</v>
      </c>
      <c r="Q540" t="s">
        <v>2500</v>
      </c>
      <c r="R540" s="7">
        <v>31778</v>
      </c>
      <c r="S540" s="8">
        <f t="shared" si="64"/>
        <v>1987</v>
      </c>
      <c r="T540" s="8">
        <v>1987</v>
      </c>
      <c r="U540" s="8">
        <f t="shared" si="65"/>
        <v>35</v>
      </c>
      <c r="V540" s="7">
        <v>31868</v>
      </c>
      <c r="W540" t="s">
        <v>908</v>
      </c>
      <c r="X540" s="2">
        <v>1.774</v>
      </c>
      <c r="Y540" s="6">
        <f t="shared" si="70"/>
        <v>4.7355916820159633E-2</v>
      </c>
      <c r="AA540">
        <v>295515</v>
      </c>
      <c r="AB540">
        <v>29066</v>
      </c>
      <c r="AC540">
        <v>17414326</v>
      </c>
      <c r="AD540" t="s">
        <v>4</v>
      </c>
      <c r="AE540">
        <v>27</v>
      </c>
      <c r="AF540">
        <v>4</v>
      </c>
      <c r="AH540" t="s">
        <v>2499</v>
      </c>
      <c r="AI540" t="s">
        <v>2498</v>
      </c>
      <c r="AK540" t="s">
        <v>2497</v>
      </c>
      <c r="AL540">
        <v>2</v>
      </c>
      <c r="AM540" s="5">
        <f t="shared" si="66"/>
        <v>5.7142857142857141E-2</v>
      </c>
      <c r="AN540" s="4">
        <f t="shared" si="71"/>
        <v>8.6547303510575E-5</v>
      </c>
      <c r="AO540" s="3"/>
      <c r="AP540">
        <v>0</v>
      </c>
      <c r="AR540" t="s">
        <v>0</v>
      </c>
      <c r="AT540" s="2">
        <v>3.1789999999999998</v>
      </c>
      <c r="AU540" s="1">
        <f t="shared" si="67"/>
        <v>3.3175105965164908</v>
      </c>
      <c r="AV540" s="1">
        <f t="shared" si="68"/>
        <v>2.3721232061835105</v>
      </c>
      <c r="AW540" s="1">
        <f t="shared" si="69"/>
        <v>1.4267358158505292</v>
      </c>
    </row>
    <row r="541" spans="1:49" x14ac:dyDescent="0.2">
      <c r="A541">
        <v>539</v>
      </c>
      <c r="B541" t="s">
        <v>2496</v>
      </c>
      <c r="C541" t="s">
        <v>2495</v>
      </c>
      <c r="F541" t="s">
        <v>2494</v>
      </c>
      <c r="G541" t="s">
        <v>14</v>
      </c>
      <c r="H541" t="s">
        <v>13</v>
      </c>
      <c r="I541" t="s">
        <v>2493</v>
      </c>
      <c r="J541">
        <v>60016908</v>
      </c>
      <c r="K541" t="s">
        <v>2492</v>
      </c>
      <c r="L541" t="s">
        <v>2491</v>
      </c>
      <c r="M541" t="s">
        <v>112</v>
      </c>
      <c r="N541">
        <v>6</v>
      </c>
      <c r="O541" t="s">
        <v>2490</v>
      </c>
      <c r="P541" t="s">
        <v>2489</v>
      </c>
      <c r="Q541" t="s">
        <v>2488</v>
      </c>
      <c r="R541" s="7">
        <v>31778</v>
      </c>
      <c r="S541" s="8">
        <f t="shared" si="64"/>
        <v>1987</v>
      </c>
      <c r="T541" s="8">
        <v>1987</v>
      </c>
      <c r="U541" s="8">
        <f t="shared" si="65"/>
        <v>35</v>
      </c>
      <c r="V541" s="7">
        <v>1987</v>
      </c>
      <c r="W541" t="s">
        <v>2487</v>
      </c>
      <c r="X541" s="2" t="s">
        <v>32</v>
      </c>
      <c r="Y541" s="6" t="e">
        <f t="shared" si="70"/>
        <v>#VALUE!</v>
      </c>
      <c r="AA541">
        <v>223735</v>
      </c>
      <c r="AB541">
        <v>32471</v>
      </c>
      <c r="AD541" t="s">
        <v>4</v>
      </c>
      <c r="AE541">
        <v>20</v>
      </c>
      <c r="AF541">
        <v>4</v>
      </c>
      <c r="AG541">
        <v>12</v>
      </c>
      <c r="AH541" t="s">
        <v>2486</v>
      </c>
      <c r="AI541" t="s">
        <v>2485</v>
      </c>
      <c r="AK541" t="s">
        <v>2484</v>
      </c>
      <c r="AL541">
        <v>5</v>
      </c>
      <c r="AM541" s="5">
        <f t="shared" si="66"/>
        <v>0.14285714285714285</v>
      </c>
      <c r="AN541" s="4">
        <f t="shared" si="71"/>
        <v>2.1636825877643749E-4</v>
      </c>
      <c r="AO541" s="3"/>
      <c r="AP541">
        <v>0</v>
      </c>
      <c r="AR541" t="s">
        <v>0</v>
      </c>
      <c r="AT541" s="2" t="s">
        <v>32</v>
      </c>
      <c r="AU541" s="1" t="e">
        <f t="shared" si="67"/>
        <v>#VALUE!</v>
      </c>
      <c r="AV541" s="1" t="e">
        <f t="shared" si="68"/>
        <v>#VALUE!</v>
      </c>
      <c r="AW541" s="1" t="e">
        <f t="shared" si="69"/>
        <v>#VALUE!</v>
      </c>
    </row>
    <row r="542" spans="1:49" x14ac:dyDescent="0.2">
      <c r="A542">
        <v>540</v>
      </c>
      <c r="B542" t="s">
        <v>2483</v>
      </c>
      <c r="C542" t="s">
        <v>2482</v>
      </c>
      <c r="F542" t="s">
        <v>2481</v>
      </c>
      <c r="G542" t="s">
        <v>14</v>
      </c>
      <c r="H542" t="s">
        <v>13</v>
      </c>
      <c r="I542" t="s">
        <v>2480</v>
      </c>
      <c r="J542">
        <v>60000891</v>
      </c>
      <c r="K542" t="s">
        <v>2479</v>
      </c>
      <c r="L542" t="s">
        <v>2478</v>
      </c>
      <c r="M542" t="s">
        <v>586</v>
      </c>
      <c r="N542">
        <v>1</v>
      </c>
      <c r="O542" t="s">
        <v>2477</v>
      </c>
      <c r="P542">
        <v>7402565933</v>
      </c>
      <c r="Q542">
        <v>60000891</v>
      </c>
      <c r="R542" s="7">
        <v>31778</v>
      </c>
      <c r="S542" s="8">
        <f t="shared" si="64"/>
        <v>1987</v>
      </c>
      <c r="T542" s="8">
        <v>1987</v>
      </c>
      <c r="U542" s="8">
        <f t="shared" si="65"/>
        <v>35</v>
      </c>
      <c r="V542" s="7" t="s">
        <v>2343</v>
      </c>
      <c r="W542" s="11" t="s">
        <v>1382</v>
      </c>
      <c r="X542" s="2">
        <v>2.383</v>
      </c>
      <c r="Y542" s="6">
        <f t="shared" si="70"/>
        <v>6.3612824003630442E-2</v>
      </c>
      <c r="AA542" t="s">
        <v>1381</v>
      </c>
      <c r="AB542">
        <v>101151</v>
      </c>
      <c r="AD542" t="s">
        <v>4</v>
      </c>
      <c r="AE542">
        <v>134</v>
      </c>
      <c r="AF542">
        <v>2</v>
      </c>
      <c r="AH542" t="s">
        <v>2476</v>
      </c>
      <c r="AI542" t="s">
        <v>2475</v>
      </c>
      <c r="AK542" t="s">
        <v>2474</v>
      </c>
      <c r="AL542">
        <v>0</v>
      </c>
      <c r="AM542" s="5">
        <f t="shared" si="66"/>
        <v>0</v>
      </c>
      <c r="AN542" s="4">
        <f t="shared" si="71"/>
        <v>0</v>
      </c>
      <c r="AO542" s="3"/>
      <c r="AP542">
        <v>0</v>
      </c>
      <c r="AR542" t="s">
        <v>0</v>
      </c>
      <c r="AT542" s="2" t="s">
        <v>32</v>
      </c>
      <c r="AU542" s="1">
        <f t="shared" si="67"/>
        <v>4.4528976802541305</v>
      </c>
      <c r="AV542" s="1">
        <f t="shared" si="68"/>
        <v>3.1806412001815221</v>
      </c>
      <c r="AW542" s="1">
        <f t="shared" si="69"/>
        <v>1.9083847201089132</v>
      </c>
    </row>
    <row r="543" spans="1:49" x14ac:dyDescent="0.2">
      <c r="A543">
        <v>541</v>
      </c>
      <c r="B543" t="s">
        <v>2473</v>
      </c>
      <c r="C543" t="s">
        <v>2472</v>
      </c>
      <c r="F543" t="s">
        <v>2471</v>
      </c>
      <c r="G543" t="s">
        <v>14</v>
      </c>
      <c r="H543" t="s">
        <v>13</v>
      </c>
      <c r="I543" t="s">
        <v>2470</v>
      </c>
      <c r="J543">
        <v>60018735</v>
      </c>
      <c r="K543" t="s">
        <v>2469</v>
      </c>
      <c r="L543" t="s">
        <v>549</v>
      </c>
      <c r="M543" t="s">
        <v>524</v>
      </c>
      <c r="N543">
        <v>3</v>
      </c>
      <c r="O543" t="s">
        <v>2468</v>
      </c>
      <c r="P543" t="s">
        <v>2467</v>
      </c>
      <c r="Q543" t="s">
        <v>2466</v>
      </c>
      <c r="R543" s="7">
        <v>31778</v>
      </c>
      <c r="S543" s="8">
        <f t="shared" si="64"/>
        <v>1987</v>
      </c>
      <c r="T543" s="8">
        <v>1987</v>
      </c>
      <c r="U543" s="8">
        <f t="shared" si="65"/>
        <v>35</v>
      </c>
      <c r="V543" s="7" t="s">
        <v>2343</v>
      </c>
      <c r="W543" s="11" t="s">
        <v>1382</v>
      </c>
      <c r="X543" s="2">
        <v>2.383</v>
      </c>
      <c r="Y543" s="6">
        <f t="shared" si="70"/>
        <v>6.3612824003630442E-2</v>
      </c>
      <c r="AA543" t="s">
        <v>1381</v>
      </c>
      <c r="AB543">
        <v>101151</v>
      </c>
      <c r="AD543" t="s">
        <v>4</v>
      </c>
      <c r="AE543">
        <v>134</v>
      </c>
      <c r="AF543">
        <v>2</v>
      </c>
      <c r="AH543" t="s">
        <v>2465</v>
      </c>
      <c r="AI543" t="s">
        <v>2464</v>
      </c>
      <c r="AK543" t="s">
        <v>2463</v>
      </c>
      <c r="AL543">
        <v>54</v>
      </c>
      <c r="AM543" s="5">
        <f t="shared" si="66"/>
        <v>1.5428571428571429</v>
      </c>
      <c r="AN543" s="4">
        <f t="shared" si="71"/>
        <v>2.3367771947855249E-3</v>
      </c>
      <c r="AO543" s="3"/>
      <c r="AP543">
        <v>0</v>
      </c>
      <c r="AR543" t="s">
        <v>0</v>
      </c>
      <c r="AT543" s="2" t="s">
        <v>32</v>
      </c>
      <c r="AU543" s="1">
        <f t="shared" si="67"/>
        <v>4.5230009960976965</v>
      </c>
      <c r="AV543" s="1">
        <f t="shared" si="68"/>
        <v>3.2974800599207978</v>
      </c>
      <c r="AW543" s="1">
        <f t="shared" si="69"/>
        <v>2.0719591237439001</v>
      </c>
    </row>
    <row r="544" spans="1:49" x14ac:dyDescent="0.2">
      <c r="A544">
        <v>542</v>
      </c>
      <c r="B544" t="s">
        <v>2462</v>
      </c>
      <c r="C544" t="s">
        <v>2461</v>
      </c>
      <c r="F544" t="s">
        <v>2460</v>
      </c>
      <c r="G544" t="s">
        <v>14</v>
      </c>
      <c r="H544" t="s">
        <v>13</v>
      </c>
      <c r="I544" t="s">
        <v>2459</v>
      </c>
      <c r="J544">
        <v>60013506</v>
      </c>
      <c r="K544" t="s">
        <v>1419</v>
      </c>
      <c r="L544" t="s">
        <v>1418</v>
      </c>
      <c r="M544" t="s">
        <v>685</v>
      </c>
      <c r="N544">
        <v>2</v>
      </c>
      <c r="O544" t="s">
        <v>2458</v>
      </c>
      <c r="P544" t="s">
        <v>2457</v>
      </c>
      <c r="Q544" t="s">
        <v>2378</v>
      </c>
      <c r="R544" s="7">
        <v>31778</v>
      </c>
      <c r="S544" s="8">
        <f t="shared" si="64"/>
        <v>1987</v>
      </c>
      <c r="T544" s="8">
        <v>1987</v>
      </c>
      <c r="U544" s="8">
        <f t="shared" si="65"/>
        <v>35</v>
      </c>
      <c r="V544" s="7">
        <v>31868</v>
      </c>
      <c r="W544" t="s">
        <v>336</v>
      </c>
      <c r="X544" s="2">
        <v>1.6519999999999999</v>
      </c>
      <c r="Y544" s="6">
        <f t="shared" si="70"/>
        <v>4.409919649769093E-2</v>
      </c>
      <c r="AA544" t="s">
        <v>335</v>
      </c>
      <c r="AB544">
        <v>17337</v>
      </c>
      <c r="AC544">
        <v>15582221</v>
      </c>
      <c r="AD544" t="s">
        <v>4</v>
      </c>
      <c r="AE544">
        <v>35</v>
      </c>
      <c r="AF544">
        <v>4</v>
      </c>
      <c r="AH544" t="s">
        <v>2456</v>
      </c>
      <c r="AI544" t="s">
        <v>2455</v>
      </c>
      <c r="AK544" t="s">
        <v>2454</v>
      </c>
      <c r="AL544">
        <v>10</v>
      </c>
      <c r="AM544" s="5">
        <f t="shared" si="66"/>
        <v>0.2857142857142857</v>
      </c>
      <c r="AN544" s="4">
        <f t="shared" si="71"/>
        <v>4.3273651755287499E-4</v>
      </c>
      <c r="AO544" s="3"/>
      <c r="AP544">
        <v>0</v>
      </c>
      <c r="AR544" t="s">
        <v>0</v>
      </c>
      <c r="AT544" s="2" t="s">
        <v>32</v>
      </c>
      <c r="AU544" s="1">
        <f t="shared" si="67"/>
        <v>3.0999258503649512</v>
      </c>
      <c r="AV544" s="1">
        <f t="shared" si="68"/>
        <v>2.2265966507621902</v>
      </c>
      <c r="AW544" s="1">
        <f t="shared" si="69"/>
        <v>1.3532674511594291</v>
      </c>
    </row>
    <row r="545" spans="1:49" x14ac:dyDescent="0.2">
      <c r="A545">
        <v>543</v>
      </c>
      <c r="B545" t="s">
        <v>2453</v>
      </c>
      <c r="C545" t="s">
        <v>2452</v>
      </c>
      <c r="F545" t="s">
        <v>2451</v>
      </c>
      <c r="G545" t="s">
        <v>14</v>
      </c>
      <c r="H545" t="s">
        <v>13</v>
      </c>
      <c r="I545" t="s">
        <v>2450</v>
      </c>
      <c r="J545">
        <v>60009658</v>
      </c>
      <c r="K545" t="s">
        <v>2449</v>
      </c>
      <c r="L545" t="s">
        <v>2448</v>
      </c>
      <c r="M545" t="s">
        <v>586</v>
      </c>
      <c r="N545">
        <v>2</v>
      </c>
      <c r="O545" t="s">
        <v>2447</v>
      </c>
      <c r="P545" t="s">
        <v>2446</v>
      </c>
      <c r="Q545" t="s">
        <v>2445</v>
      </c>
      <c r="R545" s="7">
        <v>31778</v>
      </c>
      <c r="S545" s="8">
        <f t="shared" si="64"/>
        <v>1987</v>
      </c>
      <c r="T545" s="8">
        <v>1987</v>
      </c>
      <c r="U545" s="8">
        <f t="shared" si="65"/>
        <v>35</v>
      </c>
      <c r="V545" s="7" t="s">
        <v>2343</v>
      </c>
      <c r="W545" s="11" t="s">
        <v>1382</v>
      </c>
      <c r="X545" s="2">
        <v>2.383</v>
      </c>
      <c r="Y545" s="6">
        <f t="shared" si="70"/>
        <v>6.3612824003630442E-2</v>
      </c>
      <c r="AA545" t="s">
        <v>1381</v>
      </c>
      <c r="AB545">
        <v>101151</v>
      </c>
      <c r="AD545" t="s">
        <v>4</v>
      </c>
      <c r="AE545">
        <v>134</v>
      </c>
      <c r="AF545">
        <v>2</v>
      </c>
      <c r="AH545" t="s">
        <v>2444</v>
      </c>
      <c r="AI545" t="s">
        <v>2443</v>
      </c>
      <c r="AK545" t="s">
        <v>2442</v>
      </c>
      <c r="AL545">
        <v>8</v>
      </c>
      <c r="AM545" s="5">
        <f t="shared" si="66"/>
        <v>0.22857142857142856</v>
      </c>
      <c r="AN545" s="4">
        <f t="shared" si="71"/>
        <v>3.461892140423E-4</v>
      </c>
      <c r="AO545" s="3"/>
      <c r="AP545">
        <v>0</v>
      </c>
      <c r="AR545" t="s">
        <v>0</v>
      </c>
      <c r="AT545" s="2" t="s">
        <v>32</v>
      </c>
      <c r="AU545" s="1">
        <f t="shared" si="67"/>
        <v>4.4632833566754</v>
      </c>
      <c r="AV545" s="1">
        <f t="shared" si="68"/>
        <v>3.1979506608836368</v>
      </c>
      <c r="AW545" s="1">
        <f t="shared" si="69"/>
        <v>1.9326179650918742</v>
      </c>
    </row>
    <row r="546" spans="1:49" x14ac:dyDescent="0.2">
      <c r="A546">
        <v>544</v>
      </c>
      <c r="B546" t="s">
        <v>2441</v>
      </c>
      <c r="F546" t="s">
        <v>2440</v>
      </c>
      <c r="G546" t="s">
        <v>14</v>
      </c>
      <c r="H546" t="s">
        <v>13</v>
      </c>
      <c r="I546" t="s">
        <v>2439</v>
      </c>
      <c r="N546">
        <v>1</v>
      </c>
      <c r="O546" t="s">
        <v>2438</v>
      </c>
      <c r="P546">
        <v>6603633558</v>
      </c>
      <c r="R546" s="7">
        <v>31778</v>
      </c>
      <c r="S546" s="8">
        <f t="shared" si="64"/>
        <v>1987</v>
      </c>
      <c r="T546" s="8">
        <v>1987</v>
      </c>
      <c r="U546" s="8">
        <f t="shared" si="65"/>
        <v>35</v>
      </c>
      <c r="V546" s="7">
        <v>1987</v>
      </c>
      <c r="W546" t="s">
        <v>2437</v>
      </c>
      <c r="X546" s="2">
        <v>0.128</v>
      </c>
      <c r="Y546" s="6">
        <f t="shared" si="70"/>
        <v>3.4168868957048667E-3</v>
      </c>
      <c r="AA546">
        <v>8834989</v>
      </c>
      <c r="AB546">
        <v>62520</v>
      </c>
      <c r="AD546" t="s">
        <v>4</v>
      </c>
      <c r="AE546">
        <v>60</v>
      </c>
      <c r="AF546">
        <v>8</v>
      </c>
      <c r="AH546" t="s">
        <v>2436</v>
      </c>
      <c r="AI546" t="s">
        <v>2435</v>
      </c>
      <c r="AK546" t="s">
        <v>2434</v>
      </c>
      <c r="AL546">
        <v>1</v>
      </c>
      <c r="AM546" s="5">
        <f t="shared" si="66"/>
        <v>2.8571428571428571E-2</v>
      </c>
      <c r="AN546" s="4">
        <f t="shared" si="71"/>
        <v>4.32736517552875E-5</v>
      </c>
      <c r="AO546" s="3"/>
      <c r="AP546">
        <v>0</v>
      </c>
      <c r="AR546" t="s">
        <v>0</v>
      </c>
      <c r="AT546" s="2">
        <v>2.3969999999999998</v>
      </c>
      <c r="AU546" s="1">
        <f t="shared" si="67"/>
        <v>0.24048029225199929</v>
      </c>
      <c r="AV546" s="1">
        <f t="shared" si="68"/>
        <v>0.17300802737300772</v>
      </c>
      <c r="AW546" s="1">
        <f t="shared" si="69"/>
        <v>0.10553576249401612</v>
      </c>
    </row>
    <row r="547" spans="1:49" x14ac:dyDescent="0.2">
      <c r="A547">
        <v>545</v>
      </c>
      <c r="B547" t="s">
        <v>2433</v>
      </c>
      <c r="C547" t="s">
        <v>2432</v>
      </c>
      <c r="F547" t="s">
        <v>2431</v>
      </c>
      <c r="G547" t="s">
        <v>14</v>
      </c>
      <c r="H547" t="s">
        <v>13</v>
      </c>
      <c r="I547" t="s">
        <v>2430</v>
      </c>
      <c r="J547">
        <v>60031101</v>
      </c>
      <c r="K547" t="s">
        <v>2429</v>
      </c>
      <c r="L547" t="s">
        <v>310</v>
      </c>
      <c r="M547" t="s">
        <v>586</v>
      </c>
      <c r="N547">
        <v>2</v>
      </c>
      <c r="O547" t="s">
        <v>2428</v>
      </c>
      <c r="P547" t="s">
        <v>2427</v>
      </c>
      <c r="Q547" t="s">
        <v>2426</v>
      </c>
      <c r="R547" s="7">
        <v>31778</v>
      </c>
      <c r="S547" s="8">
        <f t="shared" si="64"/>
        <v>1987</v>
      </c>
      <c r="T547" s="8">
        <v>1987</v>
      </c>
      <c r="U547" s="8">
        <f t="shared" si="65"/>
        <v>35</v>
      </c>
      <c r="V547" s="7" t="s">
        <v>2343</v>
      </c>
      <c r="W547" s="11" t="s">
        <v>1382</v>
      </c>
      <c r="X547" s="2">
        <v>2.383</v>
      </c>
      <c r="Y547" s="6">
        <f t="shared" si="70"/>
        <v>6.3612824003630442E-2</v>
      </c>
      <c r="AA547" t="s">
        <v>1381</v>
      </c>
      <c r="AB547">
        <v>101151</v>
      </c>
      <c r="AD547" t="s">
        <v>4</v>
      </c>
      <c r="AE547">
        <v>134</v>
      </c>
      <c r="AF547">
        <v>2</v>
      </c>
      <c r="AH547" t="s">
        <v>2425</v>
      </c>
      <c r="AI547" t="s">
        <v>2424</v>
      </c>
      <c r="AK547" t="s">
        <v>2423</v>
      </c>
      <c r="AL547">
        <v>1</v>
      </c>
      <c r="AM547" s="5">
        <f t="shared" si="66"/>
        <v>2.8571428571428571E-2</v>
      </c>
      <c r="AN547" s="4">
        <f t="shared" si="71"/>
        <v>4.32736517552875E-5</v>
      </c>
      <c r="AO547" s="3"/>
      <c r="AP547">
        <v>0</v>
      </c>
      <c r="AR547" t="s">
        <v>0</v>
      </c>
      <c r="AT547" s="2" t="s">
        <v>32</v>
      </c>
      <c r="AU547" s="1">
        <f t="shared" si="67"/>
        <v>4.4541958898067895</v>
      </c>
      <c r="AV547" s="1">
        <f t="shared" si="68"/>
        <v>3.1828048827692865</v>
      </c>
      <c r="AW547" s="1">
        <f t="shared" si="69"/>
        <v>1.9114138757317833</v>
      </c>
    </row>
    <row r="548" spans="1:49" x14ac:dyDescent="0.2">
      <c r="A548">
        <v>546</v>
      </c>
      <c r="B548" t="s">
        <v>2422</v>
      </c>
      <c r="C548" t="s">
        <v>2421</v>
      </c>
      <c r="F548" t="s">
        <v>2420</v>
      </c>
      <c r="G548" t="s">
        <v>14</v>
      </c>
      <c r="H548" t="s">
        <v>13</v>
      </c>
      <c r="I548" t="s">
        <v>2419</v>
      </c>
      <c r="J548">
        <v>60092258</v>
      </c>
      <c r="K548" t="s">
        <v>526</v>
      </c>
      <c r="L548" t="s">
        <v>525</v>
      </c>
      <c r="M548" t="s">
        <v>524</v>
      </c>
      <c r="N548">
        <v>3</v>
      </c>
      <c r="O548" t="s">
        <v>2418</v>
      </c>
      <c r="P548" t="s">
        <v>2417</v>
      </c>
      <c r="Q548" t="s">
        <v>2416</v>
      </c>
      <c r="R548" s="7">
        <v>31778</v>
      </c>
      <c r="S548" s="8">
        <f t="shared" si="64"/>
        <v>1987</v>
      </c>
      <c r="T548" s="8">
        <v>1987</v>
      </c>
      <c r="U548" s="8">
        <f t="shared" si="65"/>
        <v>35</v>
      </c>
      <c r="V548" s="7">
        <v>31868</v>
      </c>
      <c r="W548" t="s">
        <v>336</v>
      </c>
      <c r="X548" s="2">
        <v>1.6519999999999999</v>
      </c>
      <c r="Y548" s="6">
        <f t="shared" si="70"/>
        <v>4.409919649769093E-2</v>
      </c>
      <c r="AA548" t="s">
        <v>335</v>
      </c>
      <c r="AB548">
        <v>17337</v>
      </c>
      <c r="AC548">
        <v>15582221</v>
      </c>
      <c r="AD548" t="s">
        <v>4</v>
      </c>
      <c r="AE548">
        <v>35</v>
      </c>
      <c r="AF548">
        <v>4</v>
      </c>
      <c r="AH548" t="s">
        <v>2415</v>
      </c>
      <c r="AI548" t="s">
        <v>2414</v>
      </c>
      <c r="AK548" t="s">
        <v>2413</v>
      </c>
      <c r="AL548">
        <v>0</v>
      </c>
      <c r="AM548" s="5">
        <f t="shared" si="66"/>
        <v>0</v>
      </c>
      <c r="AN548" s="4">
        <f t="shared" si="71"/>
        <v>0</v>
      </c>
      <c r="AO548" s="3"/>
      <c r="AP548">
        <v>0</v>
      </c>
      <c r="AR548" t="s">
        <v>0</v>
      </c>
      <c r="AT548" s="2" t="s">
        <v>32</v>
      </c>
      <c r="AU548" s="1">
        <f t="shared" si="67"/>
        <v>3.0869437548383649</v>
      </c>
      <c r="AV548" s="1">
        <f t="shared" si="68"/>
        <v>2.2049598248845466</v>
      </c>
      <c r="AW548" s="1">
        <f t="shared" si="69"/>
        <v>1.3229758949307278</v>
      </c>
    </row>
    <row r="549" spans="1:49" x14ac:dyDescent="0.2">
      <c r="A549">
        <v>547</v>
      </c>
      <c r="B549" t="s">
        <v>2412</v>
      </c>
      <c r="C549" t="s">
        <v>2411</v>
      </c>
      <c r="F549" t="s">
        <v>2410</v>
      </c>
      <c r="G549" t="s">
        <v>14</v>
      </c>
      <c r="H549" t="s">
        <v>13</v>
      </c>
      <c r="I549" t="s">
        <v>2409</v>
      </c>
      <c r="J549">
        <v>60028673</v>
      </c>
      <c r="K549" t="s">
        <v>1240</v>
      </c>
      <c r="L549" t="s">
        <v>1137</v>
      </c>
      <c r="M549" t="s">
        <v>112</v>
      </c>
      <c r="N549">
        <v>1</v>
      </c>
      <c r="O549" t="s">
        <v>2408</v>
      </c>
      <c r="P549">
        <v>7102498423</v>
      </c>
      <c r="Q549">
        <v>60028673</v>
      </c>
      <c r="R549" s="7">
        <v>31778</v>
      </c>
      <c r="S549" s="8">
        <f t="shared" si="64"/>
        <v>1987</v>
      </c>
      <c r="T549" s="8">
        <v>1987</v>
      </c>
      <c r="U549" s="8">
        <f t="shared" si="65"/>
        <v>35</v>
      </c>
      <c r="V549" s="7">
        <v>31868</v>
      </c>
      <c r="W549" t="s">
        <v>1394</v>
      </c>
      <c r="X549" s="2">
        <v>2.9860000000000002</v>
      </c>
      <c r="Y549" s="6">
        <f t="shared" si="70"/>
        <v>7.9709564613865094E-2</v>
      </c>
      <c r="AA549">
        <v>7338716</v>
      </c>
      <c r="AB549">
        <v>18902</v>
      </c>
      <c r="AD549" t="s">
        <v>4</v>
      </c>
      <c r="AE549">
        <v>5</v>
      </c>
      <c r="AF549">
        <v>3</v>
      </c>
      <c r="AH549" t="s">
        <v>2407</v>
      </c>
      <c r="AI549" t="s">
        <v>2406</v>
      </c>
      <c r="AK549" t="s">
        <v>2405</v>
      </c>
      <c r="AL549">
        <v>1</v>
      </c>
      <c r="AM549" s="5">
        <f t="shared" si="66"/>
        <v>2.8571428571428571E-2</v>
      </c>
      <c r="AN549" s="4">
        <f t="shared" si="71"/>
        <v>4.32736517552875E-5</v>
      </c>
      <c r="AO549" s="3"/>
      <c r="AP549">
        <v>0</v>
      </c>
      <c r="AR549" t="s">
        <v>0</v>
      </c>
      <c r="AT549" s="2" t="s">
        <v>32</v>
      </c>
      <c r="AU549" s="1">
        <f t="shared" si="67"/>
        <v>5.5809677325232148</v>
      </c>
      <c r="AV549" s="1">
        <f t="shared" si="68"/>
        <v>3.9876419132810188</v>
      </c>
      <c r="AW549" s="1">
        <f t="shared" si="69"/>
        <v>2.3943160940388228</v>
      </c>
    </row>
    <row r="550" spans="1:49" x14ac:dyDescent="0.2">
      <c r="A550">
        <v>548</v>
      </c>
      <c r="B550" t="s">
        <v>2404</v>
      </c>
      <c r="C550" t="s">
        <v>2403</v>
      </c>
      <c r="F550" t="s">
        <v>2402</v>
      </c>
      <c r="G550" t="s">
        <v>14</v>
      </c>
      <c r="H550" t="s">
        <v>13</v>
      </c>
      <c r="I550" t="s">
        <v>2401</v>
      </c>
      <c r="J550">
        <v>60021080</v>
      </c>
      <c r="K550" t="s">
        <v>2400</v>
      </c>
      <c r="L550" t="s">
        <v>2399</v>
      </c>
      <c r="M550" t="s">
        <v>9</v>
      </c>
      <c r="N550">
        <v>1</v>
      </c>
      <c r="O550" t="s">
        <v>2398</v>
      </c>
      <c r="P550">
        <v>6701843222</v>
      </c>
      <c r="Q550">
        <v>60021080</v>
      </c>
      <c r="R550" s="7">
        <v>31778</v>
      </c>
      <c r="S550" s="8">
        <f t="shared" si="64"/>
        <v>1987</v>
      </c>
      <c r="T550" s="8">
        <v>1987</v>
      </c>
      <c r="U550" s="8">
        <f t="shared" si="65"/>
        <v>35</v>
      </c>
      <c r="V550" s="7">
        <v>31868</v>
      </c>
      <c r="W550" t="s">
        <v>336</v>
      </c>
      <c r="X550" s="2">
        <v>1.6519999999999999</v>
      </c>
      <c r="Y550" s="6">
        <f t="shared" si="70"/>
        <v>4.409919649769093E-2</v>
      </c>
      <c r="AA550" t="s">
        <v>335</v>
      </c>
      <c r="AB550">
        <v>17337</v>
      </c>
      <c r="AC550">
        <v>15582221</v>
      </c>
      <c r="AD550" t="s">
        <v>4</v>
      </c>
      <c r="AE550">
        <v>35</v>
      </c>
      <c r="AF550">
        <v>4</v>
      </c>
      <c r="AH550" t="s">
        <v>2397</v>
      </c>
      <c r="AI550" t="s">
        <v>2396</v>
      </c>
      <c r="AK550" t="s">
        <v>2395</v>
      </c>
      <c r="AL550">
        <v>10</v>
      </c>
      <c r="AM550" s="5">
        <f t="shared" si="66"/>
        <v>0.2857142857142857</v>
      </c>
      <c r="AN550" s="4">
        <f t="shared" si="71"/>
        <v>4.3273651755287499E-4</v>
      </c>
      <c r="AO550" s="3"/>
      <c r="AP550">
        <v>0</v>
      </c>
      <c r="AR550" t="s">
        <v>0</v>
      </c>
      <c r="AT550" s="2" t="s">
        <v>32</v>
      </c>
      <c r="AU550" s="1">
        <f t="shared" si="67"/>
        <v>3.0999258503649512</v>
      </c>
      <c r="AV550" s="1">
        <f t="shared" si="68"/>
        <v>2.2265966507621902</v>
      </c>
      <c r="AW550" s="1">
        <f t="shared" si="69"/>
        <v>1.3532674511594291</v>
      </c>
    </row>
    <row r="551" spans="1:49" x14ac:dyDescent="0.2">
      <c r="A551">
        <v>549</v>
      </c>
      <c r="B551" t="s">
        <v>2394</v>
      </c>
      <c r="C551" t="s">
        <v>2393</v>
      </c>
      <c r="F551" t="s">
        <v>2392</v>
      </c>
      <c r="G551" t="s">
        <v>14</v>
      </c>
      <c r="H551" t="s">
        <v>13</v>
      </c>
      <c r="I551" t="s">
        <v>2391</v>
      </c>
      <c r="J551" t="s">
        <v>2097</v>
      </c>
      <c r="K551" t="s">
        <v>2096</v>
      </c>
      <c r="L551" t="s">
        <v>2095</v>
      </c>
      <c r="M551" t="s">
        <v>376</v>
      </c>
      <c r="N551">
        <v>3</v>
      </c>
      <c r="O551" t="s">
        <v>2390</v>
      </c>
      <c r="P551" t="s">
        <v>2389</v>
      </c>
      <c r="Q551" t="s">
        <v>2388</v>
      </c>
      <c r="R551" s="7">
        <v>31778</v>
      </c>
      <c r="S551" s="8">
        <f t="shared" ref="S551:S614" si="72">YEAR(R551)</f>
        <v>1987</v>
      </c>
      <c r="T551" s="8">
        <v>1987</v>
      </c>
      <c r="U551" s="8">
        <f t="shared" ref="U551:U614" si="73">2022-T551</f>
        <v>35</v>
      </c>
      <c r="V551" s="7">
        <v>1987</v>
      </c>
      <c r="W551" t="s">
        <v>1909</v>
      </c>
      <c r="X551" s="2">
        <v>0.111</v>
      </c>
      <c r="Y551" s="6">
        <f t="shared" si="70"/>
        <v>2.9630816048690639E-3</v>
      </c>
      <c r="AA551">
        <v>87566621</v>
      </c>
      <c r="AB551">
        <v>24890</v>
      </c>
      <c r="AC551">
        <v>15206424</v>
      </c>
      <c r="AD551" t="s">
        <v>4</v>
      </c>
      <c r="AE551">
        <v>70</v>
      </c>
      <c r="AF551">
        <v>4</v>
      </c>
      <c r="AH551" t="s">
        <v>2387</v>
      </c>
      <c r="AI551" t="s">
        <v>2386</v>
      </c>
      <c r="AK551" t="s">
        <v>2385</v>
      </c>
      <c r="AL551">
        <v>0</v>
      </c>
      <c r="AM551" s="5">
        <f t="shared" ref="AM551:AM614" si="74">AL551/U551</f>
        <v>0</v>
      </c>
      <c r="AN551" s="4">
        <f t="shared" si="71"/>
        <v>0</v>
      </c>
      <c r="AO551" s="3"/>
      <c r="AP551">
        <v>0</v>
      </c>
      <c r="AR551" t="s">
        <v>0</v>
      </c>
      <c r="AT551" s="2" t="s">
        <v>32</v>
      </c>
      <c r="AU551" s="1">
        <f t="shared" ref="AU551:AU614" si="75">(Y551*0.7+AN551*0.3)*100</f>
        <v>0.20741571234083445</v>
      </c>
      <c r="AV551" s="1">
        <f t="shared" ref="AV551:AV614" si="76">(Y551*0.5+AN551*0.5)*100</f>
        <v>0.1481540802434532</v>
      </c>
      <c r="AW551" s="1">
        <f t="shared" ref="AW551:AW614" si="77">(Y551*0.3+AN551*0.7)*100</f>
        <v>8.8892448146071903E-2</v>
      </c>
    </row>
    <row r="552" spans="1:49" x14ac:dyDescent="0.2">
      <c r="A552">
        <v>550</v>
      </c>
      <c r="B552" t="s">
        <v>2384</v>
      </c>
      <c r="C552" t="s">
        <v>2383</v>
      </c>
      <c r="F552" t="s">
        <v>2382</v>
      </c>
      <c r="G552" t="s">
        <v>14</v>
      </c>
      <c r="H552" t="s">
        <v>13</v>
      </c>
      <c r="I552" t="s">
        <v>2381</v>
      </c>
      <c r="J552">
        <v>60013506</v>
      </c>
      <c r="K552" t="s">
        <v>1419</v>
      </c>
      <c r="L552" t="s">
        <v>1418</v>
      </c>
      <c r="M552" t="s">
        <v>685</v>
      </c>
      <c r="N552">
        <v>2</v>
      </c>
      <c r="O552" t="s">
        <v>2380</v>
      </c>
      <c r="P552" t="s">
        <v>2379</v>
      </c>
      <c r="Q552" t="s">
        <v>2378</v>
      </c>
      <c r="R552" s="7">
        <v>31778</v>
      </c>
      <c r="S552" s="8">
        <f t="shared" si="72"/>
        <v>1987</v>
      </c>
      <c r="T552" s="8">
        <v>1987</v>
      </c>
      <c r="U552" s="8">
        <f t="shared" si="73"/>
        <v>35</v>
      </c>
      <c r="V552" s="7" t="s">
        <v>2343</v>
      </c>
      <c r="W552" t="s">
        <v>2377</v>
      </c>
      <c r="X552" s="2" t="s">
        <v>32</v>
      </c>
      <c r="Y552" s="6" t="e">
        <f t="shared" si="70"/>
        <v>#VALUE!</v>
      </c>
      <c r="AA552">
        <v>7009216</v>
      </c>
      <c r="AB552">
        <v>39801</v>
      </c>
      <c r="AD552" t="s">
        <v>4</v>
      </c>
      <c r="AE552">
        <v>12</v>
      </c>
      <c r="AF552">
        <v>2</v>
      </c>
      <c r="AH552" t="s">
        <v>2376</v>
      </c>
      <c r="AL552">
        <v>1</v>
      </c>
      <c r="AM552" s="5">
        <f t="shared" si="74"/>
        <v>2.8571428571428571E-2</v>
      </c>
      <c r="AN552" s="4">
        <f t="shared" si="71"/>
        <v>4.32736517552875E-5</v>
      </c>
      <c r="AO552" s="3"/>
      <c r="AP552">
        <v>0</v>
      </c>
      <c r="AR552" t="s">
        <v>0</v>
      </c>
      <c r="AT552" s="2" t="s">
        <v>32</v>
      </c>
      <c r="AU552" s="1" t="e">
        <f t="shared" si="75"/>
        <v>#VALUE!</v>
      </c>
      <c r="AV552" s="1" t="e">
        <f t="shared" si="76"/>
        <v>#VALUE!</v>
      </c>
      <c r="AW552" s="1" t="e">
        <f t="shared" si="77"/>
        <v>#VALUE!</v>
      </c>
    </row>
    <row r="553" spans="1:49" x14ac:dyDescent="0.2">
      <c r="A553">
        <v>551</v>
      </c>
      <c r="B553" t="s">
        <v>2375</v>
      </c>
      <c r="C553" t="s">
        <v>2374</v>
      </c>
      <c r="F553" t="s">
        <v>2373</v>
      </c>
      <c r="G553" t="s">
        <v>14</v>
      </c>
      <c r="H553" t="s">
        <v>13</v>
      </c>
      <c r="I553" t="s">
        <v>2372</v>
      </c>
      <c r="J553">
        <v>60018714</v>
      </c>
      <c r="K553" t="s">
        <v>1500</v>
      </c>
      <c r="L553" t="s">
        <v>1499</v>
      </c>
      <c r="M553" t="s">
        <v>685</v>
      </c>
      <c r="N553">
        <v>1</v>
      </c>
      <c r="O553" t="s">
        <v>2371</v>
      </c>
      <c r="P553">
        <v>7006562937</v>
      </c>
      <c r="Q553">
        <v>60018714</v>
      </c>
      <c r="R553" s="7">
        <v>31778</v>
      </c>
      <c r="S553" s="8">
        <f t="shared" si="72"/>
        <v>1987</v>
      </c>
      <c r="T553" s="8">
        <v>1987</v>
      </c>
      <c r="U553" s="8">
        <f t="shared" si="73"/>
        <v>35</v>
      </c>
      <c r="V553" s="7">
        <v>31868</v>
      </c>
      <c r="W553" t="s">
        <v>336</v>
      </c>
      <c r="X553" s="2">
        <v>1.6519999999999999</v>
      </c>
      <c r="Y553" s="6">
        <f t="shared" si="70"/>
        <v>4.409919649769093E-2</v>
      </c>
      <c r="AA553" t="s">
        <v>335</v>
      </c>
      <c r="AB553">
        <v>17337</v>
      </c>
      <c r="AC553">
        <v>15582221</v>
      </c>
      <c r="AD553" t="s">
        <v>4</v>
      </c>
      <c r="AE553">
        <v>35</v>
      </c>
      <c r="AF553">
        <v>4</v>
      </c>
      <c r="AH553" t="s">
        <v>2370</v>
      </c>
      <c r="AI553" t="s">
        <v>2369</v>
      </c>
      <c r="AK553" t="s">
        <v>2368</v>
      </c>
      <c r="AL553">
        <v>4</v>
      </c>
      <c r="AM553" s="5">
        <f t="shared" si="74"/>
        <v>0.11428571428571428</v>
      </c>
      <c r="AN553" s="4">
        <f t="shared" si="71"/>
        <v>1.7309460702115E-4</v>
      </c>
      <c r="AO553" s="3"/>
      <c r="AP553">
        <v>0</v>
      </c>
      <c r="AR553" t="s">
        <v>0</v>
      </c>
      <c r="AT553" s="2" t="s">
        <v>32</v>
      </c>
      <c r="AU553" s="1">
        <f t="shared" si="75"/>
        <v>3.0921365930489997</v>
      </c>
      <c r="AV553" s="1">
        <f t="shared" si="76"/>
        <v>2.2136145552356039</v>
      </c>
      <c r="AW553" s="1">
        <f t="shared" si="77"/>
        <v>1.3350925174222084</v>
      </c>
    </row>
    <row r="554" spans="1:49" x14ac:dyDescent="0.2">
      <c r="A554">
        <v>552</v>
      </c>
      <c r="B554" t="s">
        <v>2367</v>
      </c>
      <c r="C554" t="s">
        <v>2366</v>
      </c>
      <c r="F554" t="s">
        <v>2365</v>
      </c>
      <c r="G554" t="s">
        <v>14</v>
      </c>
      <c r="H554" t="s">
        <v>13</v>
      </c>
      <c r="I554" t="s">
        <v>1722</v>
      </c>
      <c r="J554">
        <v>60001439</v>
      </c>
      <c r="K554" t="s">
        <v>1721</v>
      </c>
      <c r="L554" t="s">
        <v>1720</v>
      </c>
      <c r="M554" t="s">
        <v>9</v>
      </c>
      <c r="N554">
        <v>3</v>
      </c>
      <c r="O554" t="s">
        <v>1719</v>
      </c>
      <c r="P554" t="s">
        <v>1718</v>
      </c>
      <c r="Q554" t="s">
        <v>1717</v>
      </c>
      <c r="R554" s="7">
        <v>31778</v>
      </c>
      <c r="S554" s="8">
        <f t="shared" si="72"/>
        <v>1987</v>
      </c>
      <c r="T554" s="8">
        <v>1987</v>
      </c>
      <c r="U554" s="8">
        <f t="shared" si="73"/>
        <v>35</v>
      </c>
      <c r="V554" s="7">
        <v>31868</v>
      </c>
      <c r="W554" t="s">
        <v>336</v>
      </c>
      <c r="X554" s="2">
        <v>1.6519999999999999</v>
      </c>
      <c r="Y554" s="6">
        <f t="shared" si="70"/>
        <v>4.409919649769093E-2</v>
      </c>
      <c r="AA554" t="s">
        <v>335</v>
      </c>
      <c r="AB554">
        <v>17337</v>
      </c>
      <c r="AC554">
        <v>15582221</v>
      </c>
      <c r="AD554" t="s">
        <v>4</v>
      </c>
      <c r="AE554">
        <v>35</v>
      </c>
      <c r="AF554">
        <v>4</v>
      </c>
      <c r="AH554" t="s">
        <v>2364</v>
      </c>
      <c r="AI554" t="s">
        <v>2363</v>
      </c>
      <c r="AK554" t="s">
        <v>2362</v>
      </c>
      <c r="AL554">
        <v>5</v>
      </c>
      <c r="AM554" s="5">
        <f t="shared" si="74"/>
        <v>0.14285714285714285</v>
      </c>
      <c r="AN554" s="4">
        <f t="shared" si="71"/>
        <v>2.1636825877643749E-4</v>
      </c>
      <c r="AO554" s="3"/>
      <c r="AP554">
        <v>0</v>
      </c>
      <c r="AR554" t="s">
        <v>0</v>
      </c>
      <c r="AT554" s="2" t="s">
        <v>32</v>
      </c>
      <c r="AU554" s="1">
        <f t="shared" si="75"/>
        <v>3.0934348026016583</v>
      </c>
      <c r="AV554" s="1">
        <f t="shared" si="76"/>
        <v>2.2157782378233684</v>
      </c>
      <c r="AW554" s="1">
        <f t="shared" si="77"/>
        <v>1.3381216730450785</v>
      </c>
    </row>
    <row r="555" spans="1:49" x14ac:dyDescent="0.2">
      <c r="A555">
        <v>553</v>
      </c>
      <c r="B555" t="s">
        <v>2361</v>
      </c>
      <c r="C555" t="s">
        <v>2360</v>
      </c>
      <c r="F555" t="s">
        <v>2359</v>
      </c>
      <c r="G555" t="s">
        <v>14</v>
      </c>
      <c r="H555" t="s">
        <v>13</v>
      </c>
      <c r="I555" t="s">
        <v>2358</v>
      </c>
      <c r="J555">
        <v>60031126</v>
      </c>
      <c r="K555" t="s">
        <v>2357</v>
      </c>
      <c r="L555" t="s">
        <v>549</v>
      </c>
      <c r="M555" t="s">
        <v>524</v>
      </c>
      <c r="N555">
        <v>2</v>
      </c>
      <c r="O555" t="s">
        <v>2356</v>
      </c>
      <c r="P555" t="s">
        <v>2355</v>
      </c>
      <c r="Q555" t="s">
        <v>2354</v>
      </c>
      <c r="R555" s="7">
        <v>31778</v>
      </c>
      <c r="S555" s="8">
        <f t="shared" si="72"/>
        <v>1987</v>
      </c>
      <c r="T555" s="8">
        <v>1987</v>
      </c>
      <c r="U555" s="8">
        <f t="shared" si="73"/>
        <v>35</v>
      </c>
      <c r="V555" s="7">
        <v>31868</v>
      </c>
      <c r="W555" t="s">
        <v>336</v>
      </c>
      <c r="X555" s="2">
        <v>1.6519999999999999</v>
      </c>
      <c r="Y555" s="6">
        <f t="shared" si="70"/>
        <v>4.409919649769093E-2</v>
      </c>
      <c r="AA555" t="s">
        <v>335</v>
      </c>
      <c r="AB555">
        <v>17337</v>
      </c>
      <c r="AC555">
        <v>15582221</v>
      </c>
      <c r="AD555" t="s">
        <v>4</v>
      </c>
      <c r="AE555">
        <v>35</v>
      </c>
      <c r="AF555">
        <v>4</v>
      </c>
      <c r="AH555" t="s">
        <v>2353</v>
      </c>
      <c r="AI555" t="s">
        <v>2352</v>
      </c>
      <c r="AK555" t="s">
        <v>2351</v>
      </c>
      <c r="AL555">
        <v>23</v>
      </c>
      <c r="AM555" s="5">
        <f t="shared" si="74"/>
        <v>0.65714285714285714</v>
      </c>
      <c r="AN555" s="4">
        <f t="shared" si="71"/>
        <v>9.9529399037161259E-4</v>
      </c>
      <c r="AO555" s="3"/>
      <c r="AP555">
        <v>0</v>
      </c>
      <c r="AR555" t="s">
        <v>0</v>
      </c>
      <c r="AT555" s="2" t="s">
        <v>32</v>
      </c>
      <c r="AU555" s="1">
        <f t="shared" si="75"/>
        <v>3.1168025745495131</v>
      </c>
      <c r="AV555" s="1">
        <f t="shared" si="76"/>
        <v>2.2547245244031271</v>
      </c>
      <c r="AW555" s="1">
        <f t="shared" si="77"/>
        <v>1.3926464742567406</v>
      </c>
    </row>
    <row r="556" spans="1:49" x14ac:dyDescent="0.2">
      <c r="A556">
        <v>554</v>
      </c>
      <c r="B556" t="s">
        <v>2350</v>
      </c>
      <c r="C556" t="s">
        <v>2349</v>
      </c>
      <c r="F556" t="s">
        <v>2348</v>
      </c>
      <c r="G556" t="s">
        <v>14</v>
      </c>
      <c r="H556" t="s">
        <v>13</v>
      </c>
      <c r="I556" t="s">
        <v>2347</v>
      </c>
      <c r="J556">
        <v>60029470</v>
      </c>
      <c r="K556" t="s">
        <v>2346</v>
      </c>
      <c r="L556" t="s">
        <v>2345</v>
      </c>
      <c r="M556" t="s">
        <v>40</v>
      </c>
      <c r="N556">
        <v>1</v>
      </c>
      <c r="O556" t="s">
        <v>2344</v>
      </c>
      <c r="P556">
        <v>7201399131</v>
      </c>
      <c r="Q556">
        <v>60029470</v>
      </c>
      <c r="R556" s="7">
        <v>31778</v>
      </c>
      <c r="S556" s="8">
        <f t="shared" si="72"/>
        <v>1987</v>
      </c>
      <c r="T556" s="8">
        <v>1987</v>
      </c>
      <c r="U556" s="8">
        <f t="shared" si="73"/>
        <v>35</v>
      </c>
      <c r="V556" s="7" t="s">
        <v>2343</v>
      </c>
      <c r="W556" s="11" t="s">
        <v>1382</v>
      </c>
      <c r="X556" s="2">
        <v>2.383</v>
      </c>
      <c r="Y556" s="6">
        <f t="shared" si="70"/>
        <v>6.3612824003630442E-2</v>
      </c>
      <c r="AA556" t="s">
        <v>1381</v>
      </c>
      <c r="AB556">
        <v>101151</v>
      </c>
      <c r="AD556" t="s">
        <v>4</v>
      </c>
      <c r="AE556">
        <v>134</v>
      </c>
      <c r="AF556">
        <v>2</v>
      </c>
      <c r="AH556" t="s">
        <v>2342</v>
      </c>
      <c r="AI556" t="s">
        <v>2341</v>
      </c>
      <c r="AK556" t="s">
        <v>2340</v>
      </c>
      <c r="AL556">
        <v>8</v>
      </c>
      <c r="AM556" s="5">
        <f t="shared" si="74"/>
        <v>0.22857142857142856</v>
      </c>
      <c r="AN556" s="4">
        <f t="shared" si="71"/>
        <v>3.461892140423E-4</v>
      </c>
      <c r="AO556" s="3"/>
      <c r="AP556">
        <v>0</v>
      </c>
      <c r="AR556" t="s">
        <v>0</v>
      </c>
      <c r="AT556" s="2" t="s">
        <v>32</v>
      </c>
      <c r="AU556" s="1">
        <f t="shared" si="75"/>
        <v>4.4632833566754</v>
      </c>
      <c r="AV556" s="1">
        <f t="shared" si="76"/>
        <v>3.1979506608836368</v>
      </c>
      <c r="AW556" s="1">
        <f t="shared" si="77"/>
        <v>1.9326179650918742</v>
      </c>
    </row>
    <row r="557" spans="1:49" x14ac:dyDescent="0.2">
      <c r="A557">
        <v>555</v>
      </c>
      <c r="B557" t="s">
        <v>2339</v>
      </c>
      <c r="C557" t="s">
        <v>2338</v>
      </c>
      <c r="F557" t="s">
        <v>2337</v>
      </c>
      <c r="G557" t="s">
        <v>14</v>
      </c>
      <c r="H557" t="s">
        <v>13</v>
      </c>
      <c r="I557" t="s">
        <v>2336</v>
      </c>
      <c r="J557">
        <v>60004176</v>
      </c>
      <c r="K557" t="s">
        <v>2335</v>
      </c>
      <c r="L557" t="s">
        <v>2334</v>
      </c>
      <c r="M557" t="s">
        <v>524</v>
      </c>
      <c r="N557">
        <v>2</v>
      </c>
      <c r="O557" t="s">
        <v>2333</v>
      </c>
      <c r="P557" t="s">
        <v>2332</v>
      </c>
      <c r="Q557" t="s">
        <v>2331</v>
      </c>
      <c r="R557" s="7">
        <v>31778</v>
      </c>
      <c r="S557" s="8">
        <f t="shared" si="72"/>
        <v>1987</v>
      </c>
      <c r="T557" s="8">
        <v>1987</v>
      </c>
      <c r="U557" s="8">
        <f t="shared" si="73"/>
        <v>35</v>
      </c>
      <c r="V557" s="7">
        <v>31868</v>
      </c>
      <c r="W557" t="s">
        <v>1016</v>
      </c>
      <c r="X557" s="2">
        <v>0.371</v>
      </c>
      <c r="Y557" s="6">
        <f t="shared" si="70"/>
        <v>9.9036331117695747E-3</v>
      </c>
      <c r="AA557">
        <v>214922</v>
      </c>
      <c r="AB557">
        <v>130262</v>
      </c>
      <c r="AC557">
        <v>13474065</v>
      </c>
      <c r="AD557" t="s">
        <v>4</v>
      </c>
      <c r="AE557">
        <v>26</v>
      </c>
      <c r="AF557" t="s">
        <v>2330</v>
      </c>
      <c r="AH557" t="s">
        <v>2329</v>
      </c>
      <c r="AI557" t="s">
        <v>2328</v>
      </c>
      <c r="AK557" t="s">
        <v>2327</v>
      </c>
      <c r="AL557">
        <v>6</v>
      </c>
      <c r="AM557" s="5">
        <f t="shared" si="74"/>
        <v>0.17142857142857143</v>
      </c>
      <c r="AN557" s="4">
        <f t="shared" si="71"/>
        <v>2.5964191053172501E-4</v>
      </c>
      <c r="AO557" s="3"/>
      <c r="AP557">
        <v>0</v>
      </c>
      <c r="AR557" t="s">
        <v>0</v>
      </c>
      <c r="AT557" s="2">
        <v>1.48</v>
      </c>
      <c r="AU557" s="1">
        <f t="shared" si="75"/>
        <v>0.70104357513982196</v>
      </c>
      <c r="AV557" s="1">
        <f t="shared" si="76"/>
        <v>0.50816375111506495</v>
      </c>
      <c r="AW557" s="1">
        <f t="shared" si="77"/>
        <v>0.315283927090308</v>
      </c>
    </row>
    <row r="558" spans="1:49" x14ac:dyDescent="0.2">
      <c r="A558">
        <v>556</v>
      </c>
      <c r="B558" t="s">
        <v>2326</v>
      </c>
      <c r="C558" t="s">
        <v>2325</v>
      </c>
      <c r="F558" t="s">
        <v>2324</v>
      </c>
      <c r="G558" t="s">
        <v>14</v>
      </c>
      <c r="H558" t="s">
        <v>13</v>
      </c>
      <c r="I558" t="s">
        <v>2323</v>
      </c>
      <c r="J558">
        <v>60104081</v>
      </c>
      <c r="K558" t="s">
        <v>2322</v>
      </c>
      <c r="L558" t="s">
        <v>2321</v>
      </c>
      <c r="M558" t="s">
        <v>299</v>
      </c>
      <c r="N558">
        <v>1</v>
      </c>
      <c r="O558" t="s">
        <v>2320</v>
      </c>
      <c r="P558">
        <v>6602365761</v>
      </c>
      <c r="Q558">
        <v>60104081</v>
      </c>
      <c r="R558" s="7">
        <v>31778</v>
      </c>
      <c r="S558" s="8">
        <f t="shared" si="72"/>
        <v>1987</v>
      </c>
      <c r="T558" s="8">
        <v>1987</v>
      </c>
      <c r="U558" s="8">
        <f t="shared" si="73"/>
        <v>35</v>
      </c>
      <c r="V558" s="7">
        <v>31868</v>
      </c>
      <c r="W558" t="s">
        <v>1394</v>
      </c>
      <c r="X558" s="2">
        <v>2.9860000000000002</v>
      </c>
      <c r="Y558" s="6">
        <f t="shared" si="70"/>
        <v>7.9709564613865094E-2</v>
      </c>
      <c r="AA558">
        <v>7338716</v>
      </c>
      <c r="AB558">
        <v>18902</v>
      </c>
      <c r="AD558" t="s">
        <v>4</v>
      </c>
      <c r="AE558">
        <v>5</v>
      </c>
      <c r="AF558">
        <v>3</v>
      </c>
      <c r="AH558" t="s">
        <v>2319</v>
      </c>
      <c r="AI558" t="s">
        <v>2318</v>
      </c>
      <c r="AK558" t="s">
        <v>2317</v>
      </c>
      <c r="AL558">
        <v>5</v>
      </c>
      <c r="AM558" s="5">
        <f t="shared" si="74"/>
        <v>0.14285714285714285</v>
      </c>
      <c r="AN558" s="4">
        <f t="shared" si="71"/>
        <v>2.1636825877643749E-4</v>
      </c>
      <c r="AO558" s="3"/>
      <c r="AP558">
        <v>0</v>
      </c>
      <c r="AR558" t="s">
        <v>0</v>
      </c>
      <c r="AT558" s="2" t="s">
        <v>32</v>
      </c>
      <c r="AU558" s="1">
        <f t="shared" si="75"/>
        <v>5.5861605707338491</v>
      </c>
      <c r="AV558" s="1">
        <f t="shared" si="76"/>
        <v>3.9962966436320766</v>
      </c>
      <c r="AW558" s="1">
        <f t="shared" si="77"/>
        <v>2.4064327165303032</v>
      </c>
    </row>
    <row r="559" spans="1:49" x14ac:dyDescent="0.2">
      <c r="A559">
        <v>557</v>
      </c>
      <c r="B559" t="s">
        <v>2316</v>
      </c>
      <c r="C559" t="s">
        <v>2315</v>
      </c>
      <c r="F559" t="s">
        <v>2314</v>
      </c>
      <c r="G559" t="s">
        <v>14</v>
      </c>
      <c r="H559" t="s">
        <v>13</v>
      </c>
      <c r="I559" t="s">
        <v>2313</v>
      </c>
      <c r="J559" t="s">
        <v>2312</v>
      </c>
      <c r="K559" t="s">
        <v>2311</v>
      </c>
      <c r="L559" t="s">
        <v>2310</v>
      </c>
      <c r="M559" t="s">
        <v>55</v>
      </c>
      <c r="N559">
        <v>3</v>
      </c>
      <c r="O559" t="s">
        <v>2309</v>
      </c>
      <c r="P559" t="s">
        <v>2308</v>
      </c>
      <c r="Q559" t="s">
        <v>2307</v>
      </c>
      <c r="R559" s="7">
        <v>31778</v>
      </c>
      <c r="S559" s="8">
        <f t="shared" si="72"/>
        <v>1987</v>
      </c>
      <c r="T559" s="8">
        <v>1987</v>
      </c>
      <c r="U559" s="8">
        <f t="shared" si="73"/>
        <v>35</v>
      </c>
      <c r="V559" s="7">
        <v>1987</v>
      </c>
      <c r="W559" t="s">
        <v>429</v>
      </c>
      <c r="X559" s="2">
        <v>0.375</v>
      </c>
      <c r="Y559" s="6">
        <f t="shared" si="70"/>
        <v>1.0010410827260351E-2</v>
      </c>
      <c r="AA559">
        <v>135194</v>
      </c>
      <c r="AB559">
        <v>24918</v>
      </c>
      <c r="AD559" t="s">
        <v>4</v>
      </c>
      <c r="AE559">
        <v>23</v>
      </c>
      <c r="AF559">
        <v>9</v>
      </c>
      <c r="AH559" t="s">
        <v>2306</v>
      </c>
      <c r="AI559" t="s">
        <v>2305</v>
      </c>
      <c r="AJ559" t="s">
        <v>2304</v>
      </c>
      <c r="AK559" t="s">
        <v>2303</v>
      </c>
      <c r="AL559">
        <v>45</v>
      </c>
      <c r="AM559" s="5">
        <f t="shared" si="74"/>
        <v>1.2857142857142858</v>
      </c>
      <c r="AN559" s="4">
        <f t="shared" si="71"/>
        <v>1.9473143289879377E-3</v>
      </c>
      <c r="AO559" s="3"/>
      <c r="AP559">
        <v>0</v>
      </c>
      <c r="AR559" t="s">
        <v>0</v>
      </c>
      <c r="AT559" s="2">
        <v>1.3140000000000001</v>
      </c>
      <c r="AU559" s="1">
        <f t="shared" si="75"/>
        <v>0.75914818777786275</v>
      </c>
      <c r="AV559" s="1">
        <f t="shared" si="76"/>
        <v>0.59788625781241445</v>
      </c>
      <c r="AW559" s="1">
        <f t="shared" si="77"/>
        <v>0.43662432784696609</v>
      </c>
    </row>
    <row r="560" spans="1:49" x14ac:dyDescent="0.2">
      <c r="A560">
        <v>558</v>
      </c>
      <c r="B560" t="s">
        <v>2302</v>
      </c>
      <c r="C560" t="s">
        <v>2301</v>
      </c>
      <c r="F560" t="s">
        <v>2300</v>
      </c>
      <c r="G560" t="s">
        <v>14</v>
      </c>
      <c r="H560" t="s">
        <v>13</v>
      </c>
      <c r="I560" t="s">
        <v>2299</v>
      </c>
      <c r="J560">
        <v>60025555</v>
      </c>
      <c r="K560" t="s">
        <v>550</v>
      </c>
      <c r="L560" t="s">
        <v>549</v>
      </c>
      <c r="M560" t="s">
        <v>524</v>
      </c>
      <c r="N560">
        <v>2</v>
      </c>
      <c r="O560" t="s">
        <v>2298</v>
      </c>
      <c r="P560" t="s">
        <v>2297</v>
      </c>
      <c r="Q560" t="s">
        <v>1811</v>
      </c>
      <c r="R560" s="7">
        <v>31778</v>
      </c>
      <c r="S560" s="8">
        <f t="shared" si="72"/>
        <v>1987</v>
      </c>
      <c r="T560" s="8">
        <v>1987</v>
      </c>
      <c r="U560" s="8">
        <f t="shared" si="73"/>
        <v>35</v>
      </c>
      <c r="V560" s="7">
        <v>31868</v>
      </c>
      <c r="W560" t="s">
        <v>2296</v>
      </c>
      <c r="X560" s="2" t="s">
        <v>32</v>
      </c>
      <c r="Y560" s="6" t="e">
        <f t="shared" si="70"/>
        <v>#VALUE!</v>
      </c>
      <c r="AA560">
        <v>5698197</v>
      </c>
      <c r="AB560">
        <v>32570</v>
      </c>
      <c r="AD560" t="s">
        <v>4</v>
      </c>
      <c r="AE560">
        <v>30</v>
      </c>
      <c r="AF560">
        <v>2</v>
      </c>
      <c r="AH560" t="s">
        <v>2295</v>
      </c>
      <c r="AL560">
        <v>21</v>
      </c>
      <c r="AM560" s="5">
        <f t="shared" si="74"/>
        <v>0.6</v>
      </c>
      <c r="AN560" s="4">
        <f t="shared" si="71"/>
        <v>9.0874668686103744E-4</v>
      </c>
      <c r="AO560" s="3"/>
      <c r="AP560">
        <v>0</v>
      </c>
      <c r="AR560" t="s">
        <v>0</v>
      </c>
      <c r="AT560" s="2" t="s">
        <v>32</v>
      </c>
      <c r="AU560" s="1" t="e">
        <f t="shared" si="75"/>
        <v>#VALUE!</v>
      </c>
      <c r="AV560" s="1" t="e">
        <f t="shared" si="76"/>
        <v>#VALUE!</v>
      </c>
      <c r="AW560" s="1" t="e">
        <f t="shared" si="77"/>
        <v>#VALUE!</v>
      </c>
    </row>
    <row r="561" spans="1:49" x14ac:dyDescent="0.2">
      <c r="A561">
        <v>559</v>
      </c>
      <c r="B561" t="s">
        <v>2294</v>
      </c>
      <c r="C561" t="s">
        <v>2293</v>
      </c>
      <c r="D561" t="s">
        <v>2292</v>
      </c>
      <c r="E561">
        <v>3034345</v>
      </c>
      <c r="F561" t="s">
        <v>2291</v>
      </c>
      <c r="G561" t="s">
        <v>14</v>
      </c>
      <c r="H561" t="s">
        <v>13</v>
      </c>
      <c r="I561" t="s">
        <v>2290</v>
      </c>
      <c r="N561">
        <v>2</v>
      </c>
      <c r="O561" t="s">
        <v>2289</v>
      </c>
      <c r="P561" t="s">
        <v>2288</v>
      </c>
      <c r="Q561" t="s">
        <v>349</v>
      </c>
      <c r="R561" s="7">
        <v>31778</v>
      </c>
      <c r="S561" s="8">
        <f t="shared" si="72"/>
        <v>1987</v>
      </c>
      <c r="T561" s="8">
        <v>1987</v>
      </c>
      <c r="U561" s="8">
        <f t="shared" si="73"/>
        <v>35</v>
      </c>
      <c r="V561" s="7">
        <v>1987</v>
      </c>
      <c r="W561" t="s">
        <v>170</v>
      </c>
      <c r="X561" s="2">
        <v>1.7130000000000001</v>
      </c>
      <c r="Y561" s="6">
        <f t="shared" si="70"/>
        <v>4.5727556658925285E-2</v>
      </c>
      <c r="AA561">
        <v>63495</v>
      </c>
      <c r="AB561">
        <v>14859</v>
      </c>
      <c r="AD561" t="s">
        <v>4</v>
      </c>
      <c r="AE561">
        <v>51</v>
      </c>
      <c r="AF561">
        <v>4</v>
      </c>
      <c r="AH561" t="s">
        <v>2287</v>
      </c>
      <c r="AI561" t="s">
        <v>2286</v>
      </c>
      <c r="AK561" t="s">
        <v>2285</v>
      </c>
      <c r="AL561">
        <v>24</v>
      </c>
      <c r="AM561" s="5">
        <f t="shared" si="74"/>
        <v>0.68571428571428572</v>
      </c>
      <c r="AN561" s="4">
        <f t="shared" si="71"/>
        <v>1.0385676421269001E-3</v>
      </c>
      <c r="AO561" s="3"/>
      <c r="AP561">
        <v>1</v>
      </c>
      <c r="AQ561" t="s">
        <v>2284</v>
      </c>
      <c r="AR561" t="s">
        <v>2283</v>
      </c>
      <c r="AS561" t="s">
        <v>2282</v>
      </c>
      <c r="AT561" s="2">
        <v>4.0330000000000004</v>
      </c>
      <c r="AU561" s="1">
        <f t="shared" si="75"/>
        <v>3.232085995388577</v>
      </c>
      <c r="AV561" s="1">
        <f t="shared" si="76"/>
        <v>2.3383062150526093</v>
      </c>
      <c r="AW561" s="1">
        <f t="shared" si="77"/>
        <v>1.4445264347166415</v>
      </c>
    </row>
    <row r="562" spans="1:49" x14ac:dyDescent="0.2">
      <c r="A562">
        <v>560</v>
      </c>
      <c r="B562" t="s">
        <v>2281</v>
      </c>
      <c r="C562" t="s">
        <v>2280</v>
      </c>
      <c r="F562" t="s">
        <v>2279</v>
      </c>
      <c r="G562" t="s">
        <v>14</v>
      </c>
      <c r="H562" t="s">
        <v>13</v>
      </c>
      <c r="I562" t="s">
        <v>2278</v>
      </c>
      <c r="J562">
        <v>60014256</v>
      </c>
      <c r="K562" t="s">
        <v>2277</v>
      </c>
      <c r="L562" t="s">
        <v>2276</v>
      </c>
      <c r="M562" t="s">
        <v>524</v>
      </c>
      <c r="N562">
        <v>3</v>
      </c>
      <c r="O562" t="s">
        <v>2275</v>
      </c>
      <c r="P562" t="s">
        <v>2274</v>
      </c>
      <c r="Q562" t="s">
        <v>2273</v>
      </c>
      <c r="R562" s="7">
        <v>31778</v>
      </c>
      <c r="S562" s="8">
        <f t="shared" si="72"/>
        <v>1987</v>
      </c>
      <c r="T562" s="8">
        <v>1987</v>
      </c>
      <c r="U562" s="8">
        <f t="shared" si="73"/>
        <v>35</v>
      </c>
      <c r="V562" s="7">
        <v>31837</v>
      </c>
      <c r="W562" t="s">
        <v>336</v>
      </c>
      <c r="X562" s="2">
        <v>1.6519999999999999</v>
      </c>
      <c r="Y562" s="6">
        <f t="shared" si="70"/>
        <v>4.409919649769093E-2</v>
      </c>
      <c r="AA562" t="s">
        <v>335</v>
      </c>
      <c r="AB562">
        <v>17337</v>
      </c>
      <c r="AC562">
        <v>15582221</v>
      </c>
      <c r="AD562" t="s">
        <v>4</v>
      </c>
      <c r="AE562">
        <v>35</v>
      </c>
      <c r="AF562">
        <v>3</v>
      </c>
      <c r="AH562" t="s">
        <v>2272</v>
      </c>
      <c r="AI562" t="s">
        <v>2271</v>
      </c>
      <c r="AK562" t="s">
        <v>2270</v>
      </c>
      <c r="AL562">
        <v>13</v>
      </c>
      <c r="AM562" s="5">
        <f t="shared" si="74"/>
        <v>0.37142857142857144</v>
      </c>
      <c r="AN562" s="4">
        <f t="shared" si="71"/>
        <v>5.6255747281873749E-4</v>
      </c>
      <c r="AO562" s="3"/>
      <c r="AP562">
        <v>0</v>
      </c>
      <c r="AR562" t="s">
        <v>0</v>
      </c>
      <c r="AT562" s="2" t="s">
        <v>32</v>
      </c>
      <c r="AU562" s="1">
        <f t="shared" si="75"/>
        <v>3.1038204790229269</v>
      </c>
      <c r="AV562" s="1">
        <f t="shared" si="76"/>
        <v>2.2330876985254835</v>
      </c>
      <c r="AW562" s="1">
        <f t="shared" si="77"/>
        <v>1.3623549180280394</v>
      </c>
    </row>
    <row r="563" spans="1:49" x14ac:dyDescent="0.2">
      <c r="A563">
        <v>561</v>
      </c>
      <c r="B563" t="s">
        <v>2269</v>
      </c>
      <c r="C563" t="s">
        <v>2268</v>
      </c>
      <c r="F563" t="s">
        <v>2267</v>
      </c>
      <c r="G563" t="s">
        <v>14</v>
      </c>
      <c r="H563" t="s">
        <v>13</v>
      </c>
      <c r="I563" t="s">
        <v>2266</v>
      </c>
      <c r="J563">
        <v>60003500</v>
      </c>
      <c r="K563" t="s">
        <v>1097</v>
      </c>
      <c r="L563" t="s">
        <v>1096</v>
      </c>
      <c r="M563" t="s">
        <v>9</v>
      </c>
      <c r="N563">
        <v>2</v>
      </c>
      <c r="O563" t="s">
        <v>2265</v>
      </c>
      <c r="P563" t="s">
        <v>2264</v>
      </c>
      <c r="Q563" t="s">
        <v>2107</v>
      </c>
      <c r="R563" s="7">
        <v>31778</v>
      </c>
      <c r="S563" s="8">
        <f t="shared" si="72"/>
        <v>1987</v>
      </c>
      <c r="T563" s="8">
        <v>1987</v>
      </c>
      <c r="U563" s="8">
        <f t="shared" si="73"/>
        <v>35</v>
      </c>
      <c r="V563" s="7">
        <v>31837</v>
      </c>
      <c r="W563" t="s">
        <v>336</v>
      </c>
      <c r="X563" s="2">
        <v>1.6519999999999999</v>
      </c>
      <c r="Y563" s="6">
        <f t="shared" si="70"/>
        <v>4.409919649769093E-2</v>
      </c>
      <c r="AA563" t="s">
        <v>335</v>
      </c>
      <c r="AB563">
        <v>17337</v>
      </c>
      <c r="AC563">
        <v>15582221</v>
      </c>
      <c r="AD563" t="s">
        <v>4</v>
      </c>
      <c r="AE563">
        <v>35</v>
      </c>
      <c r="AF563">
        <v>3</v>
      </c>
      <c r="AH563" t="s">
        <v>2263</v>
      </c>
      <c r="AI563" t="s">
        <v>2262</v>
      </c>
      <c r="AK563" t="s">
        <v>2261</v>
      </c>
      <c r="AL563">
        <v>17</v>
      </c>
      <c r="AM563" s="5">
        <f t="shared" si="74"/>
        <v>0.48571428571428571</v>
      </c>
      <c r="AN563" s="4">
        <f t="shared" si="71"/>
        <v>7.3565207983988746E-4</v>
      </c>
      <c r="AO563" s="3"/>
      <c r="AP563">
        <v>0</v>
      </c>
      <c r="AR563" t="s">
        <v>0</v>
      </c>
      <c r="AT563" s="2" t="s">
        <v>32</v>
      </c>
      <c r="AU563" s="1">
        <f t="shared" si="75"/>
        <v>3.1090133172335617</v>
      </c>
      <c r="AV563" s="1">
        <f t="shared" si="76"/>
        <v>2.2417424288765408</v>
      </c>
      <c r="AW563" s="1">
        <f t="shared" si="77"/>
        <v>1.37447154051952</v>
      </c>
    </row>
    <row r="564" spans="1:49" x14ac:dyDescent="0.2">
      <c r="A564">
        <v>562</v>
      </c>
      <c r="B564" t="s">
        <v>2260</v>
      </c>
      <c r="C564" t="s">
        <v>2259</v>
      </c>
      <c r="F564" t="s">
        <v>2258</v>
      </c>
      <c r="G564" t="s">
        <v>14</v>
      </c>
      <c r="H564" t="s">
        <v>13</v>
      </c>
      <c r="I564" t="s">
        <v>2257</v>
      </c>
      <c r="J564">
        <v>60028442</v>
      </c>
      <c r="K564" t="s">
        <v>2256</v>
      </c>
      <c r="L564" t="s">
        <v>2255</v>
      </c>
      <c r="M564" t="s">
        <v>2254</v>
      </c>
      <c r="N564">
        <v>2</v>
      </c>
      <c r="O564" t="s">
        <v>2253</v>
      </c>
      <c r="P564" t="s">
        <v>2252</v>
      </c>
      <c r="Q564" t="s">
        <v>2251</v>
      </c>
      <c r="R564" s="7">
        <v>31778</v>
      </c>
      <c r="S564" s="8">
        <f t="shared" si="72"/>
        <v>1987</v>
      </c>
      <c r="T564" s="8">
        <v>1987</v>
      </c>
      <c r="U564" s="8">
        <f t="shared" si="73"/>
        <v>35</v>
      </c>
      <c r="V564" s="7">
        <v>31837</v>
      </c>
      <c r="W564" t="s">
        <v>336</v>
      </c>
      <c r="X564" s="2">
        <v>1.6519999999999999</v>
      </c>
      <c r="Y564" s="6">
        <f t="shared" si="70"/>
        <v>4.409919649769093E-2</v>
      </c>
      <c r="AA564" t="s">
        <v>335</v>
      </c>
      <c r="AB564">
        <v>17337</v>
      </c>
      <c r="AC564">
        <v>15582221</v>
      </c>
      <c r="AD564" t="s">
        <v>4</v>
      </c>
      <c r="AE564">
        <v>35</v>
      </c>
      <c r="AF564">
        <v>3</v>
      </c>
      <c r="AH564" t="s">
        <v>2250</v>
      </c>
      <c r="AI564" t="s">
        <v>2249</v>
      </c>
      <c r="AK564" t="s">
        <v>2248</v>
      </c>
      <c r="AL564">
        <v>14</v>
      </c>
      <c r="AM564" s="5">
        <f t="shared" si="74"/>
        <v>0.4</v>
      </c>
      <c r="AN564" s="4">
        <f t="shared" si="71"/>
        <v>6.0583112457402507E-4</v>
      </c>
      <c r="AO564" s="3"/>
      <c r="AP564">
        <v>0</v>
      </c>
      <c r="AR564" t="s">
        <v>2247</v>
      </c>
      <c r="AT564" s="2" t="s">
        <v>32</v>
      </c>
      <c r="AU564" s="1">
        <f t="shared" si="75"/>
        <v>3.1051186885755859</v>
      </c>
      <c r="AV564" s="1">
        <f t="shared" si="76"/>
        <v>2.2352513811132479</v>
      </c>
      <c r="AW564" s="1">
        <f t="shared" si="77"/>
        <v>1.3653840736509095</v>
      </c>
    </row>
    <row r="565" spans="1:49" x14ac:dyDescent="0.2">
      <c r="A565">
        <v>563</v>
      </c>
      <c r="B565" t="s">
        <v>2246</v>
      </c>
      <c r="C565" t="s">
        <v>2245</v>
      </c>
      <c r="F565" t="s">
        <v>2244</v>
      </c>
      <c r="G565" t="s">
        <v>14</v>
      </c>
      <c r="H565" t="s">
        <v>13</v>
      </c>
      <c r="I565" t="s">
        <v>2243</v>
      </c>
      <c r="J565">
        <v>60023456</v>
      </c>
      <c r="K565" t="s">
        <v>2242</v>
      </c>
      <c r="L565" t="s">
        <v>2241</v>
      </c>
      <c r="M565" t="s">
        <v>9</v>
      </c>
      <c r="N565">
        <v>1</v>
      </c>
      <c r="O565" t="s">
        <v>2240</v>
      </c>
      <c r="P565">
        <v>6603864754</v>
      </c>
      <c r="Q565">
        <v>60023456</v>
      </c>
      <c r="R565" s="7">
        <v>31778</v>
      </c>
      <c r="S565" s="8">
        <f t="shared" si="72"/>
        <v>1987</v>
      </c>
      <c r="T565" s="8">
        <v>1987</v>
      </c>
      <c r="U565" s="8">
        <f t="shared" si="73"/>
        <v>35</v>
      </c>
      <c r="V565" s="7">
        <v>31837</v>
      </c>
      <c r="W565" t="s">
        <v>336</v>
      </c>
      <c r="X565" s="2">
        <v>1.6519999999999999</v>
      </c>
      <c r="Y565" s="6">
        <f t="shared" si="70"/>
        <v>4.409919649769093E-2</v>
      </c>
      <c r="AA565" t="s">
        <v>335</v>
      </c>
      <c r="AB565">
        <v>17337</v>
      </c>
      <c r="AC565">
        <v>15582221</v>
      </c>
      <c r="AD565" t="s">
        <v>4</v>
      </c>
      <c r="AE565">
        <v>35</v>
      </c>
      <c r="AF565">
        <v>3</v>
      </c>
      <c r="AH565" t="s">
        <v>2239</v>
      </c>
      <c r="AI565" t="s">
        <v>2238</v>
      </c>
      <c r="AK565" t="s">
        <v>2237</v>
      </c>
      <c r="AL565">
        <v>58</v>
      </c>
      <c r="AM565" s="5">
        <f t="shared" si="74"/>
        <v>1.6571428571428573</v>
      </c>
      <c r="AN565" s="4">
        <f t="shared" si="71"/>
        <v>2.5098718018066752E-3</v>
      </c>
      <c r="AO565" s="3"/>
      <c r="AP565">
        <v>0</v>
      </c>
      <c r="AR565" t="s">
        <v>0</v>
      </c>
      <c r="AT565" s="2" t="s">
        <v>32</v>
      </c>
      <c r="AU565" s="1">
        <f t="shared" si="75"/>
        <v>3.1622399088925652</v>
      </c>
      <c r="AV565" s="1">
        <f t="shared" si="76"/>
        <v>2.3304534149748801</v>
      </c>
      <c r="AW565" s="1">
        <f t="shared" si="77"/>
        <v>1.498666921057195</v>
      </c>
    </row>
    <row r="566" spans="1:49" x14ac:dyDescent="0.2">
      <c r="A566">
        <v>564</v>
      </c>
      <c r="B566" t="s">
        <v>2236</v>
      </c>
      <c r="C566" t="s">
        <v>2235</v>
      </c>
      <c r="D566">
        <v>94576587900154</v>
      </c>
      <c r="F566" t="s">
        <v>2234</v>
      </c>
      <c r="G566" t="s">
        <v>14</v>
      </c>
      <c r="H566" t="s">
        <v>13</v>
      </c>
      <c r="I566" t="s">
        <v>1112</v>
      </c>
      <c r="J566" t="s">
        <v>1111</v>
      </c>
      <c r="K566" t="s">
        <v>1110</v>
      </c>
      <c r="L566" t="s">
        <v>1109</v>
      </c>
      <c r="M566" t="s">
        <v>1108</v>
      </c>
      <c r="N566">
        <v>4</v>
      </c>
      <c r="O566" t="s">
        <v>2233</v>
      </c>
      <c r="P566" t="s">
        <v>2232</v>
      </c>
      <c r="Q566" t="s">
        <v>2231</v>
      </c>
      <c r="R566" s="7">
        <v>31778</v>
      </c>
      <c r="S566" s="8">
        <f t="shared" si="72"/>
        <v>1987</v>
      </c>
      <c r="T566" s="8">
        <v>1987</v>
      </c>
      <c r="U566" s="8">
        <f t="shared" si="73"/>
        <v>35</v>
      </c>
      <c r="V566" s="7">
        <v>31837</v>
      </c>
      <c r="W566" t="s">
        <v>509</v>
      </c>
      <c r="X566" s="2">
        <v>1.1339999999999999</v>
      </c>
      <c r="Y566" s="6">
        <f t="shared" si="70"/>
        <v>3.0271482341635299E-2</v>
      </c>
      <c r="AA566">
        <v>945765</v>
      </c>
      <c r="AB566">
        <v>12372</v>
      </c>
      <c r="AD566" t="s">
        <v>4</v>
      </c>
      <c r="AE566">
        <v>15</v>
      </c>
      <c r="AF566">
        <v>3</v>
      </c>
      <c r="AH566" t="s">
        <v>2230</v>
      </c>
      <c r="AI566" t="s">
        <v>2229</v>
      </c>
      <c r="AK566" t="s">
        <v>2228</v>
      </c>
      <c r="AL566">
        <v>1</v>
      </c>
      <c r="AM566" s="5">
        <f t="shared" si="74"/>
        <v>2.8571428571428571E-2</v>
      </c>
      <c r="AN566" s="4">
        <f t="shared" si="71"/>
        <v>4.32736517552875E-5</v>
      </c>
      <c r="AO566" s="3"/>
      <c r="AP566">
        <v>0</v>
      </c>
      <c r="AQ566" t="s">
        <v>2227</v>
      </c>
      <c r="AR566" t="s">
        <v>0</v>
      </c>
      <c r="AS566" t="s">
        <v>2226</v>
      </c>
      <c r="AT566" s="2">
        <v>2.4129999999999998</v>
      </c>
      <c r="AU566" s="1">
        <f t="shared" si="75"/>
        <v>2.1203019734671291</v>
      </c>
      <c r="AV566" s="1">
        <f t="shared" si="76"/>
        <v>1.5157377996695294</v>
      </c>
      <c r="AW566" s="1">
        <f t="shared" si="77"/>
        <v>0.91117362587192918</v>
      </c>
    </row>
    <row r="567" spans="1:49" x14ac:dyDescent="0.2">
      <c r="A567">
        <v>565</v>
      </c>
      <c r="B567" t="s">
        <v>2225</v>
      </c>
      <c r="C567" t="s">
        <v>2224</v>
      </c>
      <c r="F567" t="s">
        <v>2223</v>
      </c>
      <c r="G567" t="s">
        <v>14</v>
      </c>
      <c r="H567" t="s">
        <v>13</v>
      </c>
      <c r="I567" t="s">
        <v>2222</v>
      </c>
      <c r="J567">
        <v>60005304</v>
      </c>
      <c r="K567" t="s">
        <v>664</v>
      </c>
      <c r="L567" t="s">
        <v>663</v>
      </c>
      <c r="M567" t="s">
        <v>9</v>
      </c>
      <c r="N567">
        <v>2</v>
      </c>
      <c r="O567" t="s">
        <v>2221</v>
      </c>
      <c r="P567" t="s">
        <v>2220</v>
      </c>
      <c r="Q567" t="s">
        <v>739</v>
      </c>
      <c r="R567" s="7">
        <v>31778</v>
      </c>
      <c r="S567" s="8">
        <f t="shared" si="72"/>
        <v>1987</v>
      </c>
      <c r="T567" s="8">
        <v>1987</v>
      </c>
      <c r="U567" s="8">
        <f t="shared" si="73"/>
        <v>35</v>
      </c>
      <c r="V567" s="7">
        <v>31837</v>
      </c>
      <c r="W567" t="s">
        <v>2219</v>
      </c>
      <c r="X567" s="2">
        <v>0.78200000000000003</v>
      </c>
      <c r="Y567" s="6">
        <f t="shared" si="70"/>
        <v>2.0875043378446919E-2</v>
      </c>
      <c r="AA567">
        <v>189316</v>
      </c>
      <c r="AB567">
        <v>19901</v>
      </c>
      <c r="AC567">
        <v>15579611</v>
      </c>
      <c r="AD567" t="s">
        <v>4</v>
      </c>
      <c r="AE567" t="s">
        <v>2218</v>
      </c>
      <c r="AF567">
        <v>1</v>
      </c>
      <c r="AH567" t="s">
        <v>2217</v>
      </c>
      <c r="AI567" t="s">
        <v>2216</v>
      </c>
      <c r="AK567" t="s">
        <v>2215</v>
      </c>
      <c r="AL567">
        <v>2</v>
      </c>
      <c r="AM567" s="5">
        <f t="shared" si="74"/>
        <v>5.7142857142857141E-2</v>
      </c>
      <c r="AN567" s="4">
        <f t="shared" si="71"/>
        <v>8.6547303510575E-5</v>
      </c>
      <c r="AO567" s="3"/>
      <c r="AP567">
        <v>0</v>
      </c>
      <c r="AR567" t="s">
        <v>0</v>
      </c>
      <c r="AT567" s="2">
        <v>3.863</v>
      </c>
      <c r="AU567" s="1">
        <f t="shared" si="75"/>
        <v>1.4638494555966015</v>
      </c>
      <c r="AV567" s="1">
        <f t="shared" si="76"/>
        <v>1.0480795340978746</v>
      </c>
      <c r="AW567" s="1">
        <f t="shared" si="77"/>
        <v>0.63230961259914775</v>
      </c>
    </row>
    <row r="568" spans="1:49" x14ac:dyDescent="0.2">
      <c r="A568">
        <v>566</v>
      </c>
      <c r="B568" t="s">
        <v>2214</v>
      </c>
      <c r="C568" t="s">
        <v>2213</v>
      </c>
      <c r="F568" t="s">
        <v>2212</v>
      </c>
      <c r="G568" t="s">
        <v>14</v>
      </c>
      <c r="H568" t="s">
        <v>13</v>
      </c>
      <c r="I568" t="s">
        <v>2211</v>
      </c>
      <c r="J568" t="s">
        <v>2210</v>
      </c>
      <c r="K568" t="s">
        <v>2209</v>
      </c>
      <c r="L568" t="s">
        <v>2208</v>
      </c>
      <c r="M568" t="s">
        <v>2207</v>
      </c>
      <c r="N568">
        <v>8</v>
      </c>
      <c r="O568" t="s">
        <v>2206</v>
      </c>
      <c r="P568" t="s">
        <v>2205</v>
      </c>
      <c r="Q568" t="s">
        <v>2204</v>
      </c>
      <c r="R568" s="7">
        <v>31778</v>
      </c>
      <c r="S568" s="8">
        <f t="shared" si="72"/>
        <v>1987</v>
      </c>
      <c r="T568" s="8">
        <v>1987</v>
      </c>
      <c r="U568" s="8">
        <f t="shared" si="73"/>
        <v>35</v>
      </c>
      <c r="V568" s="7">
        <v>31837</v>
      </c>
      <c r="W568" t="s">
        <v>2203</v>
      </c>
      <c r="X568" s="2">
        <v>1.3460000000000001</v>
      </c>
      <c r="Y568" s="6">
        <f t="shared" si="70"/>
        <v>3.593070126264649E-2</v>
      </c>
      <c r="AA568">
        <v>7338724</v>
      </c>
      <c r="AB568">
        <v>12178</v>
      </c>
      <c r="AC568">
        <v>15582213</v>
      </c>
      <c r="AD568" t="s">
        <v>4</v>
      </c>
      <c r="AE568">
        <v>5</v>
      </c>
      <c r="AF568">
        <v>3</v>
      </c>
      <c r="AH568" t="s">
        <v>2202</v>
      </c>
      <c r="AI568" t="s">
        <v>2201</v>
      </c>
      <c r="AK568" t="s">
        <v>2200</v>
      </c>
      <c r="AL568">
        <v>5</v>
      </c>
      <c r="AM568" s="5">
        <f t="shared" si="74"/>
        <v>0.14285714285714285</v>
      </c>
      <c r="AN568" s="4">
        <f t="shared" si="71"/>
        <v>2.1636825877643749E-4</v>
      </c>
      <c r="AO568" s="3"/>
      <c r="AP568">
        <v>0</v>
      </c>
      <c r="AR568" t="s">
        <v>0</v>
      </c>
      <c r="AT568" s="2">
        <v>4.1420000000000003</v>
      </c>
      <c r="AU568" s="1">
        <f t="shared" si="75"/>
        <v>2.5216401361485472</v>
      </c>
      <c r="AV568" s="1">
        <f t="shared" si="76"/>
        <v>1.8073534760711465</v>
      </c>
      <c r="AW568" s="1">
        <f t="shared" si="77"/>
        <v>1.0930668159937453</v>
      </c>
    </row>
    <row r="569" spans="1:49" x14ac:dyDescent="0.2">
      <c r="A569">
        <v>567</v>
      </c>
      <c r="B569" t="s">
        <v>2199</v>
      </c>
      <c r="C569" t="s">
        <v>2198</v>
      </c>
      <c r="F569" t="s">
        <v>2197</v>
      </c>
      <c r="G569" t="s">
        <v>14</v>
      </c>
      <c r="H569" t="s">
        <v>13</v>
      </c>
      <c r="I569" t="s">
        <v>2196</v>
      </c>
      <c r="J569" t="s">
        <v>2195</v>
      </c>
      <c r="K569" t="s">
        <v>2194</v>
      </c>
      <c r="L569" t="s">
        <v>2193</v>
      </c>
      <c r="M569" t="s">
        <v>55</v>
      </c>
      <c r="N569">
        <v>2</v>
      </c>
      <c r="O569" t="s">
        <v>2192</v>
      </c>
      <c r="P569" t="s">
        <v>2191</v>
      </c>
      <c r="Q569" t="s">
        <v>2190</v>
      </c>
      <c r="R569" s="7">
        <v>31778</v>
      </c>
      <c r="S569" s="8">
        <f t="shared" si="72"/>
        <v>1987</v>
      </c>
      <c r="T569" s="8">
        <v>1987</v>
      </c>
      <c r="U569" s="8">
        <f t="shared" si="73"/>
        <v>35</v>
      </c>
      <c r="V569" s="7">
        <v>31837</v>
      </c>
      <c r="W569" t="s">
        <v>336</v>
      </c>
      <c r="X569" s="2">
        <v>1.6519999999999999</v>
      </c>
      <c r="Y569" s="6">
        <f t="shared" si="70"/>
        <v>4.409919649769093E-2</v>
      </c>
      <c r="AA569" t="s">
        <v>335</v>
      </c>
      <c r="AB569">
        <v>17337</v>
      </c>
      <c r="AC569">
        <v>15582221</v>
      </c>
      <c r="AD569" t="s">
        <v>4</v>
      </c>
      <c r="AE569">
        <v>35</v>
      </c>
      <c r="AF569">
        <v>3</v>
      </c>
      <c r="AH569" t="s">
        <v>2189</v>
      </c>
      <c r="AI569" t="s">
        <v>2188</v>
      </c>
      <c r="AK569" t="s">
        <v>2187</v>
      </c>
      <c r="AL569">
        <v>13</v>
      </c>
      <c r="AM569" s="5">
        <f t="shared" si="74"/>
        <v>0.37142857142857144</v>
      </c>
      <c r="AN569" s="4">
        <f t="shared" si="71"/>
        <v>5.6255747281873749E-4</v>
      </c>
      <c r="AO569" s="3"/>
      <c r="AP569">
        <v>0</v>
      </c>
      <c r="AR569" t="s">
        <v>0</v>
      </c>
      <c r="AT569" s="2" t="s">
        <v>32</v>
      </c>
      <c r="AU569" s="1">
        <f t="shared" si="75"/>
        <v>3.1038204790229269</v>
      </c>
      <c r="AV569" s="1">
        <f t="shared" si="76"/>
        <v>2.2330876985254835</v>
      </c>
      <c r="AW569" s="1">
        <f t="shared" si="77"/>
        <v>1.3623549180280394</v>
      </c>
    </row>
    <row r="570" spans="1:49" x14ac:dyDescent="0.2">
      <c r="A570">
        <v>568</v>
      </c>
      <c r="B570" t="s">
        <v>2186</v>
      </c>
      <c r="C570" t="s">
        <v>2185</v>
      </c>
      <c r="F570" t="s">
        <v>2184</v>
      </c>
      <c r="G570" t="s">
        <v>14</v>
      </c>
      <c r="H570" t="s">
        <v>13</v>
      </c>
      <c r="I570" t="s">
        <v>2183</v>
      </c>
      <c r="J570">
        <v>60009037</v>
      </c>
      <c r="K570" t="s">
        <v>600</v>
      </c>
      <c r="L570" t="s">
        <v>599</v>
      </c>
      <c r="M570" t="s">
        <v>9</v>
      </c>
      <c r="N570">
        <v>2</v>
      </c>
      <c r="O570" t="s">
        <v>2182</v>
      </c>
      <c r="P570" t="s">
        <v>2181</v>
      </c>
      <c r="Q570" t="s">
        <v>2180</v>
      </c>
      <c r="R570" s="7">
        <v>31778</v>
      </c>
      <c r="S570" s="8">
        <f t="shared" si="72"/>
        <v>1987</v>
      </c>
      <c r="T570" s="8">
        <v>1987</v>
      </c>
      <c r="U570" s="8">
        <f t="shared" si="73"/>
        <v>35</v>
      </c>
      <c r="V570" s="7">
        <v>31837</v>
      </c>
      <c r="W570" t="s">
        <v>336</v>
      </c>
      <c r="X570" s="2">
        <v>1.6519999999999999</v>
      </c>
      <c r="Y570" s="6">
        <f t="shared" si="70"/>
        <v>4.409919649769093E-2</v>
      </c>
      <c r="AA570" t="s">
        <v>335</v>
      </c>
      <c r="AB570">
        <v>17337</v>
      </c>
      <c r="AC570">
        <v>15582221</v>
      </c>
      <c r="AD570" t="s">
        <v>4</v>
      </c>
      <c r="AE570">
        <v>35</v>
      </c>
      <c r="AF570">
        <v>3</v>
      </c>
      <c r="AH570" t="s">
        <v>2179</v>
      </c>
      <c r="AI570" t="s">
        <v>2178</v>
      </c>
      <c r="AK570" t="s">
        <v>2177</v>
      </c>
      <c r="AL570">
        <v>25</v>
      </c>
      <c r="AM570" s="5">
        <f t="shared" si="74"/>
        <v>0.7142857142857143</v>
      </c>
      <c r="AN570" s="4">
        <f t="shared" si="71"/>
        <v>1.0818412938821875E-3</v>
      </c>
      <c r="AO570" s="3"/>
      <c r="AP570">
        <v>0</v>
      </c>
      <c r="AR570" t="s">
        <v>0</v>
      </c>
      <c r="AT570" s="2" t="s">
        <v>32</v>
      </c>
      <c r="AU570" s="1">
        <f t="shared" si="75"/>
        <v>3.1193989936548308</v>
      </c>
      <c r="AV570" s="1">
        <f t="shared" si="76"/>
        <v>2.259051889578656</v>
      </c>
      <c r="AW570" s="1">
        <f t="shared" si="77"/>
        <v>1.3987047855024808</v>
      </c>
    </row>
    <row r="571" spans="1:49" x14ac:dyDescent="0.2">
      <c r="A571">
        <v>569</v>
      </c>
      <c r="B571" t="s">
        <v>2176</v>
      </c>
      <c r="C571" t="s">
        <v>2175</v>
      </c>
      <c r="F571" t="s">
        <v>2174</v>
      </c>
      <c r="G571" t="s">
        <v>14</v>
      </c>
      <c r="H571" t="s">
        <v>13</v>
      </c>
      <c r="I571" t="s">
        <v>2173</v>
      </c>
      <c r="J571">
        <v>60003537</v>
      </c>
      <c r="K571" t="s">
        <v>2172</v>
      </c>
      <c r="L571" t="s">
        <v>2171</v>
      </c>
      <c r="M571" t="s">
        <v>9</v>
      </c>
      <c r="N571">
        <v>1</v>
      </c>
      <c r="O571" t="s">
        <v>2170</v>
      </c>
      <c r="P571">
        <v>6603925088</v>
      </c>
      <c r="Q571">
        <v>60003537</v>
      </c>
      <c r="R571" s="7">
        <v>31778</v>
      </c>
      <c r="S571" s="8">
        <f t="shared" si="72"/>
        <v>1987</v>
      </c>
      <c r="T571" s="8">
        <v>1987</v>
      </c>
      <c r="U571" s="8">
        <f t="shared" si="73"/>
        <v>35</v>
      </c>
      <c r="V571" s="7">
        <v>31837</v>
      </c>
      <c r="W571" t="s">
        <v>336</v>
      </c>
      <c r="X571" s="2">
        <v>1.6519999999999999</v>
      </c>
      <c r="Y571" s="6">
        <f t="shared" si="70"/>
        <v>4.409919649769093E-2</v>
      </c>
      <c r="AA571" t="s">
        <v>335</v>
      </c>
      <c r="AB571">
        <v>17337</v>
      </c>
      <c r="AC571">
        <v>15582221</v>
      </c>
      <c r="AD571" t="s">
        <v>4</v>
      </c>
      <c r="AE571">
        <v>35</v>
      </c>
      <c r="AF571">
        <v>3</v>
      </c>
      <c r="AH571" t="s">
        <v>2169</v>
      </c>
      <c r="AI571" t="s">
        <v>2168</v>
      </c>
      <c r="AK571" t="s">
        <v>2167</v>
      </c>
      <c r="AL571">
        <v>8</v>
      </c>
      <c r="AM571" s="5">
        <f t="shared" si="74"/>
        <v>0.22857142857142856</v>
      </c>
      <c r="AN571" s="4">
        <f t="shared" si="71"/>
        <v>3.461892140423E-4</v>
      </c>
      <c r="AO571" s="3"/>
      <c r="AP571">
        <v>0</v>
      </c>
      <c r="AR571" t="s">
        <v>0</v>
      </c>
      <c r="AT571" s="2" t="s">
        <v>32</v>
      </c>
      <c r="AU571" s="1">
        <f t="shared" si="75"/>
        <v>3.097329431259634</v>
      </c>
      <c r="AV571" s="1">
        <f t="shared" si="76"/>
        <v>2.2222692855866617</v>
      </c>
      <c r="AW571" s="1">
        <f t="shared" si="77"/>
        <v>1.347209139913689</v>
      </c>
    </row>
    <row r="572" spans="1:49" x14ac:dyDescent="0.2">
      <c r="A572">
        <v>570</v>
      </c>
      <c r="B572" t="s">
        <v>2166</v>
      </c>
      <c r="C572" t="s">
        <v>2165</v>
      </c>
      <c r="F572" t="s">
        <v>2164</v>
      </c>
      <c r="G572" t="s">
        <v>14</v>
      </c>
      <c r="H572" t="s">
        <v>13</v>
      </c>
      <c r="I572" t="s">
        <v>2163</v>
      </c>
      <c r="J572">
        <v>60018429</v>
      </c>
      <c r="K572" t="s">
        <v>2162</v>
      </c>
      <c r="L572" t="s">
        <v>2161</v>
      </c>
      <c r="M572" t="s">
        <v>524</v>
      </c>
      <c r="N572">
        <v>3</v>
      </c>
      <c r="O572" t="s">
        <v>2160</v>
      </c>
      <c r="P572" t="s">
        <v>2159</v>
      </c>
      <c r="Q572" t="s">
        <v>2158</v>
      </c>
      <c r="R572" s="7">
        <v>31778</v>
      </c>
      <c r="S572" s="8">
        <f t="shared" si="72"/>
        <v>1987</v>
      </c>
      <c r="T572" s="8">
        <v>1987</v>
      </c>
      <c r="U572" s="8">
        <f t="shared" si="73"/>
        <v>35</v>
      </c>
      <c r="V572" s="7">
        <v>1987</v>
      </c>
      <c r="W572" t="s">
        <v>1909</v>
      </c>
      <c r="X572" s="2">
        <v>0.111</v>
      </c>
      <c r="Y572" s="6">
        <f t="shared" si="70"/>
        <v>2.9630816048690639E-3</v>
      </c>
      <c r="AA572">
        <v>87566621</v>
      </c>
      <c r="AB572">
        <v>24890</v>
      </c>
      <c r="AC572">
        <v>15206424</v>
      </c>
      <c r="AD572" t="s">
        <v>4</v>
      </c>
      <c r="AE572">
        <v>70</v>
      </c>
      <c r="AF572">
        <v>3</v>
      </c>
      <c r="AH572" t="s">
        <v>2157</v>
      </c>
      <c r="AI572" t="s">
        <v>2156</v>
      </c>
      <c r="AK572" t="s">
        <v>2155</v>
      </c>
      <c r="AL572">
        <v>0</v>
      </c>
      <c r="AM572" s="5">
        <f t="shared" si="74"/>
        <v>0</v>
      </c>
      <c r="AN572" s="4">
        <f t="shared" si="71"/>
        <v>0</v>
      </c>
      <c r="AO572" s="3"/>
      <c r="AP572">
        <v>0</v>
      </c>
      <c r="AR572" t="s">
        <v>0</v>
      </c>
      <c r="AT572" s="2" t="s">
        <v>32</v>
      </c>
      <c r="AU572" s="1">
        <f t="shared" si="75"/>
        <v>0.20741571234083445</v>
      </c>
      <c r="AV572" s="1">
        <f t="shared" si="76"/>
        <v>0.1481540802434532</v>
      </c>
      <c r="AW572" s="1">
        <f t="shared" si="77"/>
        <v>8.8892448146071903E-2</v>
      </c>
    </row>
    <row r="573" spans="1:49" x14ac:dyDescent="0.2">
      <c r="A573">
        <v>571</v>
      </c>
      <c r="B573" t="s">
        <v>2154</v>
      </c>
      <c r="C573" t="s">
        <v>2153</v>
      </c>
      <c r="F573" t="s">
        <v>2152</v>
      </c>
      <c r="G573" t="s">
        <v>14</v>
      </c>
      <c r="H573" t="s">
        <v>13</v>
      </c>
      <c r="I573" t="s">
        <v>972</v>
      </c>
      <c r="J573">
        <v>60020484</v>
      </c>
      <c r="K573" t="s">
        <v>2151</v>
      </c>
      <c r="L573" t="s">
        <v>2150</v>
      </c>
      <c r="M573" t="s">
        <v>2149</v>
      </c>
      <c r="N573">
        <v>1</v>
      </c>
      <c r="O573" t="s">
        <v>2148</v>
      </c>
      <c r="P573">
        <v>7003893885</v>
      </c>
      <c r="Q573">
        <v>60020484</v>
      </c>
      <c r="R573" s="7">
        <v>31778</v>
      </c>
      <c r="S573" s="8">
        <f t="shared" si="72"/>
        <v>1987</v>
      </c>
      <c r="T573" s="8">
        <v>1987</v>
      </c>
      <c r="U573" s="8">
        <f t="shared" si="73"/>
        <v>35</v>
      </c>
      <c r="V573" s="7">
        <v>31837</v>
      </c>
      <c r="W573" t="s">
        <v>336</v>
      </c>
      <c r="X573" s="2">
        <v>1.6519999999999999</v>
      </c>
      <c r="Y573" s="6">
        <f t="shared" si="70"/>
        <v>4.409919649769093E-2</v>
      </c>
      <c r="AA573" t="s">
        <v>335</v>
      </c>
      <c r="AB573">
        <v>17337</v>
      </c>
      <c r="AC573">
        <v>15582221</v>
      </c>
      <c r="AD573" t="s">
        <v>4</v>
      </c>
      <c r="AE573">
        <v>35</v>
      </c>
      <c r="AF573">
        <v>3</v>
      </c>
      <c r="AH573" t="s">
        <v>2147</v>
      </c>
      <c r="AI573" t="s">
        <v>2146</v>
      </c>
      <c r="AK573" t="s">
        <v>2145</v>
      </c>
      <c r="AL573">
        <v>2</v>
      </c>
      <c r="AM573" s="5">
        <f t="shared" si="74"/>
        <v>5.7142857142857141E-2</v>
      </c>
      <c r="AN573" s="4">
        <f t="shared" si="71"/>
        <v>8.6547303510575E-5</v>
      </c>
      <c r="AO573" s="3"/>
      <c r="AP573">
        <v>0</v>
      </c>
      <c r="AR573" t="s">
        <v>0</v>
      </c>
      <c r="AT573" s="2" t="s">
        <v>32</v>
      </c>
      <c r="AU573" s="1">
        <f t="shared" si="75"/>
        <v>3.0895401739436825</v>
      </c>
      <c r="AV573" s="1">
        <f t="shared" si="76"/>
        <v>2.2092871900600755</v>
      </c>
      <c r="AW573" s="1">
        <f t="shared" si="77"/>
        <v>1.3290342061764679</v>
      </c>
    </row>
    <row r="574" spans="1:49" x14ac:dyDescent="0.2">
      <c r="A574">
        <v>572</v>
      </c>
      <c r="B574" t="s">
        <v>2144</v>
      </c>
      <c r="C574" t="s">
        <v>2143</v>
      </c>
      <c r="F574" t="s">
        <v>2142</v>
      </c>
      <c r="G574" t="s">
        <v>14</v>
      </c>
      <c r="H574" t="s">
        <v>13</v>
      </c>
      <c r="I574" t="s">
        <v>2141</v>
      </c>
      <c r="J574" t="s">
        <v>2140</v>
      </c>
      <c r="K574" t="s">
        <v>2139</v>
      </c>
      <c r="L574" t="s">
        <v>2138</v>
      </c>
      <c r="M574" t="s">
        <v>55</v>
      </c>
      <c r="N574">
        <v>4</v>
      </c>
      <c r="O574" t="s">
        <v>2137</v>
      </c>
      <c r="P574" t="s">
        <v>2136</v>
      </c>
      <c r="Q574" t="s">
        <v>2135</v>
      </c>
      <c r="R574" s="7">
        <v>31778</v>
      </c>
      <c r="S574" s="8">
        <f t="shared" si="72"/>
        <v>1987</v>
      </c>
      <c r="T574" s="8">
        <v>1987</v>
      </c>
      <c r="U574" s="8">
        <f t="shared" si="73"/>
        <v>35</v>
      </c>
      <c r="V574" s="7">
        <v>31837</v>
      </c>
      <c r="W574" t="s">
        <v>336</v>
      </c>
      <c r="X574" s="2">
        <v>1.6519999999999999</v>
      </c>
      <c r="Y574" s="6">
        <f t="shared" si="70"/>
        <v>4.409919649769093E-2</v>
      </c>
      <c r="AA574" t="s">
        <v>335</v>
      </c>
      <c r="AB574">
        <v>17337</v>
      </c>
      <c r="AC574">
        <v>15582221</v>
      </c>
      <c r="AD574" t="s">
        <v>4</v>
      </c>
      <c r="AE574">
        <v>35</v>
      </c>
      <c r="AF574">
        <v>3</v>
      </c>
      <c r="AH574" t="s">
        <v>2134</v>
      </c>
      <c r="AI574" t="s">
        <v>2133</v>
      </c>
      <c r="AK574" t="s">
        <v>2132</v>
      </c>
      <c r="AL574">
        <v>1</v>
      </c>
      <c r="AM574" s="5">
        <f t="shared" si="74"/>
        <v>2.8571428571428571E-2</v>
      </c>
      <c r="AN574" s="4">
        <f t="shared" si="71"/>
        <v>4.32736517552875E-5</v>
      </c>
      <c r="AO574" s="3"/>
      <c r="AP574">
        <v>0</v>
      </c>
      <c r="AQ574" t="s">
        <v>2131</v>
      </c>
      <c r="AR574" t="s">
        <v>0</v>
      </c>
      <c r="AS574" t="s">
        <v>2130</v>
      </c>
      <c r="AT574" s="2" t="s">
        <v>32</v>
      </c>
      <c r="AU574" s="1">
        <f t="shared" si="75"/>
        <v>3.0882419643910235</v>
      </c>
      <c r="AV574" s="1">
        <f t="shared" si="76"/>
        <v>2.2071235074723106</v>
      </c>
      <c r="AW574" s="1">
        <f t="shared" si="77"/>
        <v>1.3260050505535981</v>
      </c>
    </row>
    <row r="575" spans="1:49" x14ac:dyDescent="0.2">
      <c r="A575">
        <v>573</v>
      </c>
      <c r="B575" t="s">
        <v>2129</v>
      </c>
      <c r="C575" t="s">
        <v>2128</v>
      </c>
      <c r="F575" t="s">
        <v>2127</v>
      </c>
      <c r="G575" t="s">
        <v>14</v>
      </c>
      <c r="H575" t="s">
        <v>13</v>
      </c>
      <c r="I575" t="s">
        <v>1869</v>
      </c>
      <c r="J575">
        <v>60009697</v>
      </c>
      <c r="K575" t="s">
        <v>1573</v>
      </c>
      <c r="L575" t="s">
        <v>1572</v>
      </c>
      <c r="M575" t="s">
        <v>685</v>
      </c>
      <c r="N575">
        <v>2</v>
      </c>
      <c r="O575" t="s">
        <v>2126</v>
      </c>
      <c r="P575" t="s">
        <v>1867</v>
      </c>
      <c r="Q575" t="s">
        <v>1569</v>
      </c>
      <c r="R575" s="7">
        <v>31778</v>
      </c>
      <c r="S575" s="8">
        <f t="shared" si="72"/>
        <v>1987</v>
      </c>
      <c r="T575" s="8">
        <v>1987</v>
      </c>
      <c r="U575" s="8">
        <f t="shared" si="73"/>
        <v>35</v>
      </c>
      <c r="V575" s="7">
        <v>31837</v>
      </c>
      <c r="W575" t="s">
        <v>336</v>
      </c>
      <c r="X575" s="2">
        <v>1.6519999999999999</v>
      </c>
      <c r="Y575" s="6">
        <f t="shared" si="70"/>
        <v>4.409919649769093E-2</v>
      </c>
      <c r="AA575" t="s">
        <v>335</v>
      </c>
      <c r="AB575">
        <v>17337</v>
      </c>
      <c r="AC575">
        <v>15582221</v>
      </c>
      <c r="AD575" t="s">
        <v>4</v>
      </c>
      <c r="AE575">
        <v>35</v>
      </c>
      <c r="AF575">
        <v>3</v>
      </c>
      <c r="AH575" t="s">
        <v>2125</v>
      </c>
      <c r="AI575" t="s">
        <v>2124</v>
      </c>
      <c r="AK575" t="s">
        <v>2123</v>
      </c>
      <c r="AL575">
        <v>14</v>
      </c>
      <c r="AM575" s="5">
        <f t="shared" si="74"/>
        <v>0.4</v>
      </c>
      <c r="AN575" s="4">
        <f t="shared" si="71"/>
        <v>6.0583112457402507E-4</v>
      </c>
      <c r="AO575" s="3"/>
      <c r="AP575">
        <v>0</v>
      </c>
      <c r="AR575" t="s">
        <v>0</v>
      </c>
      <c r="AT575" s="2" t="s">
        <v>32</v>
      </c>
      <c r="AU575" s="1">
        <f t="shared" si="75"/>
        <v>3.1051186885755859</v>
      </c>
      <c r="AV575" s="1">
        <f t="shared" si="76"/>
        <v>2.2352513811132479</v>
      </c>
      <c r="AW575" s="1">
        <f t="shared" si="77"/>
        <v>1.3653840736509095</v>
      </c>
    </row>
    <row r="576" spans="1:49" x14ac:dyDescent="0.2">
      <c r="A576">
        <v>574</v>
      </c>
      <c r="B576" t="s">
        <v>2122</v>
      </c>
      <c r="C576" t="s">
        <v>2121</v>
      </c>
      <c r="F576" t="s">
        <v>2120</v>
      </c>
      <c r="G576" t="s">
        <v>14</v>
      </c>
      <c r="H576" t="s">
        <v>13</v>
      </c>
      <c r="I576" t="s">
        <v>2119</v>
      </c>
      <c r="J576">
        <v>60014300</v>
      </c>
      <c r="K576" t="s">
        <v>2118</v>
      </c>
      <c r="L576" t="s">
        <v>2117</v>
      </c>
      <c r="M576" t="s">
        <v>9</v>
      </c>
      <c r="N576">
        <v>1</v>
      </c>
      <c r="O576" t="s">
        <v>2116</v>
      </c>
      <c r="P576">
        <v>7005699797</v>
      </c>
      <c r="Q576">
        <v>60014300</v>
      </c>
      <c r="R576" s="7">
        <v>31778</v>
      </c>
      <c r="S576" s="8">
        <f t="shared" si="72"/>
        <v>1987</v>
      </c>
      <c r="T576" s="8">
        <v>1987</v>
      </c>
      <c r="U576" s="8">
        <f t="shared" si="73"/>
        <v>35</v>
      </c>
      <c r="V576" s="7">
        <v>31837</v>
      </c>
      <c r="W576" t="s">
        <v>336</v>
      </c>
      <c r="X576" s="2">
        <v>1.6519999999999999</v>
      </c>
      <c r="Y576" s="6">
        <f t="shared" si="70"/>
        <v>4.409919649769093E-2</v>
      </c>
      <c r="AA576" t="s">
        <v>335</v>
      </c>
      <c r="AB576">
        <v>17337</v>
      </c>
      <c r="AC576">
        <v>15582221</v>
      </c>
      <c r="AD576" t="s">
        <v>4</v>
      </c>
      <c r="AE576">
        <v>35</v>
      </c>
      <c r="AF576">
        <v>3</v>
      </c>
      <c r="AH576" t="s">
        <v>2115</v>
      </c>
      <c r="AI576" t="s">
        <v>2114</v>
      </c>
      <c r="AK576" t="s">
        <v>2113</v>
      </c>
      <c r="AL576">
        <v>2</v>
      </c>
      <c r="AM576" s="5">
        <f t="shared" si="74"/>
        <v>5.7142857142857141E-2</v>
      </c>
      <c r="AN576" s="4">
        <f t="shared" si="71"/>
        <v>8.6547303510575E-5</v>
      </c>
      <c r="AO576" s="3"/>
      <c r="AP576">
        <v>0</v>
      </c>
      <c r="AR576" t="s">
        <v>0</v>
      </c>
      <c r="AT576" s="2" t="s">
        <v>32</v>
      </c>
      <c r="AU576" s="1">
        <f t="shared" si="75"/>
        <v>3.0895401739436825</v>
      </c>
      <c r="AV576" s="1">
        <f t="shared" si="76"/>
        <v>2.2092871900600755</v>
      </c>
      <c r="AW576" s="1">
        <f t="shared" si="77"/>
        <v>1.3290342061764679</v>
      </c>
    </row>
    <row r="577" spans="1:49" x14ac:dyDescent="0.2">
      <c r="A577">
        <v>575</v>
      </c>
      <c r="B577" t="s">
        <v>2112</v>
      </c>
      <c r="C577" t="s">
        <v>2111</v>
      </c>
      <c r="F577" t="s">
        <v>2110</v>
      </c>
      <c r="G577" t="s">
        <v>14</v>
      </c>
      <c r="H577" t="s">
        <v>13</v>
      </c>
      <c r="I577" t="s">
        <v>998</v>
      </c>
      <c r="J577">
        <v>60003500</v>
      </c>
      <c r="K577" t="s">
        <v>1097</v>
      </c>
      <c r="L577" t="s">
        <v>1096</v>
      </c>
      <c r="M577" t="s">
        <v>9</v>
      </c>
      <c r="N577">
        <v>2</v>
      </c>
      <c r="O577" t="s">
        <v>2109</v>
      </c>
      <c r="P577" t="s">
        <v>2108</v>
      </c>
      <c r="Q577" t="s">
        <v>2107</v>
      </c>
      <c r="R577" s="7">
        <v>31778</v>
      </c>
      <c r="S577" s="8">
        <f t="shared" si="72"/>
        <v>1987</v>
      </c>
      <c r="T577" s="8">
        <v>1987</v>
      </c>
      <c r="U577" s="8">
        <f t="shared" si="73"/>
        <v>35</v>
      </c>
      <c r="V577" s="7">
        <v>31837</v>
      </c>
      <c r="W577" t="s">
        <v>336</v>
      </c>
      <c r="X577" s="2">
        <v>1.6519999999999999</v>
      </c>
      <c r="Y577" s="6">
        <f t="shared" si="70"/>
        <v>4.409919649769093E-2</v>
      </c>
      <c r="AA577" t="s">
        <v>335</v>
      </c>
      <c r="AB577">
        <v>17337</v>
      </c>
      <c r="AC577">
        <v>15582221</v>
      </c>
      <c r="AD577" t="s">
        <v>4</v>
      </c>
      <c r="AE577">
        <v>35</v>
      </c>
      <c r="AF577">
        <v>3</v>
      </c>
      <c r="AH577" t="s">
        <v>2106</v>
      </c>
      <c r="AI577" t="s">
        <v>2105</v>
      </c>
      <c r="AK577" t="s">
        <v>2104</v>
      </c>
      <c r="AL577">
        <v>148</v>
      </c>
      <c r="AM577" s="5">
        <f t="shared" si="74"/>
        <v>4.2285714285714286</v>
      </c>
      <c r="AN577" s="4">
        <f t="shared" si="71"/>
        <v>6.4045004597825502E-3</v>
      </c>
      <c r="AO577" s="3"/>
      <c r="AP577">
        <v>0</v>
      </c>
      <c r="AQ577" t="s">
        <v>2103</v>
      </c>
      <c r="AR577" t="s">
        <v>0</v>
      </c>
      <c r="AS577" t="s">
        <v>2102</v>
      </c>
      <c r="AT577" s="2" t="s">
        <v>32</v>
      </c>
      <c r="AU577" s="1">
        <f t="shared" si="75"/>
        <v>3.2790787686318414</v>
      </c>
      <c r="AV577" s="1">
        <f t="shared" si="76"/>
        <v>2.5251848478736743</v>
      </c>
      <c r="AW577" s="1">
        <f t="shared" si="77"/>
        <v>1.7712909271155062</v>
      </c>
    </row>
    <row r="578" spans="1:49" x14ac:dyDescent="0.2">
      <c r="A578">
        <v>576</v>
      </c>
      <c r="B578" t="s">
        <v>2101</v>
      </c>
      <c r="C578" t="s">
        <v>2100</v>
      </c>
      <c r="F578" t="s">
        <v>2099</v>
      </c>
      <c r="G578" t="s">
        <v>14</v>
      </c>
      <c r="H578" t="s">
        <v>13</v>
      </c>
      <c r="I578" t="s">
        <v>2098</v>
      </c>
      <c r="J578" t="s">
        <v>2097</v>
      </c>
      <c r="K578" t="s">
        <v>2096</v>
      </c>
      <c r="L578" t="s">
        <v>2095</v>
      </c>
      <c r="M578" t="s">
        <v>376</v>
      </c>
      <c r="N578">
        <v>4</v>
      </c>
      <c r="O578" t="s">
        <v>2094</v>
      </c>
      <c r="P578" t="s">
        <v>2093</v>
      </c>
      <c r="Q578" t="s">
        <v>2092</v>
      </c>
      <c r="R578" s="7">
        <v>31778</v>
      </c>
      <c r="S578" s="8">
        <f t="shared" si="72"/>
        <v>1987</v>
      </c>
      <c r="T578" s="8">
        <v>1987</v>
      </c>
      <c r="U578" s="8">
        <f t="shared" si="73"/>
        <v>35</v>
      </c>
      <c r="V578" s="7">
        <v>1987</v>
      </c>
      <c r="W578" t="s">
        <v>1909</v>
      </c>
      <c r="X578" s="2">
        <v>0.111</v>
      </c>
      <c r="Y578" s="6">
        <f t="shared" ref="Y578:Y641" si="78">(X578-$Z$4)/($Z$3-$Z$4)</f>
        <v>2.9630816048690639E-3</v>
      </c>
      <c r="AA578">
        <v>87566621</v>
      </c>
      <c r="AB578">
        <v>24890</v>
      </c>
      <c r="AC578">
        <v>15206424</v>
      </c>
      <c r="AD578" t="s">
        <v>4</v>
      </c>
      <c r="AE578">
        <v>70</v>
      </c>
      <c r="AF578">
        <v>3</v>
      </c>
      <c r="AH578" t="s">
        <v>2091</v>
      </c>
      <c r="AI578" t="s">
        <v>2090</v>
      </c>
      <c r="AK578" t="s">
        <v>2089</v>
      </c>
      <c r="AL578">
        <v>0</v>
      </c>
      <c r="AM578" s="5">
        <f t="shared" si="74"/>
        <v>0</v>
      </c>
      <c r="AN578" s="4">
        <f t="shared" ref="AN578:AN641" si="79">(AM578-$AO$4)/($AO$3-$AO$4)</f>
        <v>0</v>
      </c>
      <c r="AO578" s="3"/>
      <c r="AP578">
        <v>0</v>
      </c>
      <c r="AR578" t="s">
        <v>0</v>
      </c>
      <c r="AT578" s="2" t="s">
        <v>32</v>
      </c>
      <c r="AU578" s="1">
        <f t="shared" si="75"/>
        <v>0.20741571234083445</v>
      </c>
      <c r="AV578" s="1">
        <f t="shared" si="76"/>
        <v>0.1481540802434532</v>
      </c>
      <c r="AW578" s="1">
        <f t="shared" si="77"/>
        <v>8.8892448146071903E-2</v>
      </c>
    </row>
    <row r="579" spans="1:49" x14ac:dyDescent="0.2">
      <c r="A579">
        <v>577</v>
      </c>
      <c r="B579" t="s">
        <v>2088</v>
      </c>
      <c r="C579" t="s">
        <v>2087</v>
      </c>
      <c r="D579" t="s">
        <v>2086</v>
      </c>
      <c r="F579" t="s">
        <v>2085</v>
      </c>
      <c r="G579" t="s">
        <v>14</v>
      </c>
      <c r="H579" t="s">
        <v>13</v>
      </c>
      <c r="I579" t="s">
        <v>2084</v>
      </c>
      <c r="J579" t="s">
        <v>2079</v>
      </c>
      <c r="K579" t="s">
        <v>2083</v>
      </c>
      <c r="L579" t="s">
        <v>2082</v>
      </c>
      <c r="M579" t="s">
        <v>55</v>
      </c>
      <c r="N579">
        <v>2</v>
      </c>
      <c r="O579" t="s">
        <v>2081</v>
      </c>
      <c r="P579" t="s">
        <v>2080</v>
      </c>
      <c r="Q579" t="s">
        <v>2079</v>
      </c>
      <c r="R579" s="7">
        <v>31778</v>
      </c>
      <c r="S579" s="8">
        <f t="shared" si="72"/>
        <v>1987</v>
      </c>
      <c r="T579" s="8">
        <v>1987</v>
      </c>
      <c r="U579" s="8">
        <f t="shared" si="73"/>
        <v>35</v>
      </c>
      <c r="V579" s="7">
        <v>31837</v>
      </c>
      <c r="W579" t="s">
        <v>2078</v>
      </c>
      <c r="X579" s="2">
        <v>3.1320000000000001</v>
      </c>
      <c r="Y579" s="6">
        <f t="shared" si="78"/>
        <v>8.3606951229278456E-2</v>
      </c>
      <c r="AA579">
        <v>51098</v>
      </c>
      <c r="AB579">
        <v>24909</v>
      </c>
      <c r="AD579" t="s">
        <v>4</v>
      </c>
      <c r="AE579">
        <v>23</v>
      </c>
      <c r="AF579">
        <v>2</v>
      </c>
      <c r="AH579" t="s">
        <v>2077</v>
      </c>
      <c r="AI579" t="s">
        <v>2076</v>
      </c>
      <c r="AJ579" t="s">
        <v>2075</v>
      </c>
      <c r="AK579" t="s">
        <v>2074</v>
      </c>
      <c r="AL579">
        <v>1</v>
      </c>
      <c r="AM579" s="5">
        <f t="shared" si="74"/>
        <v>2.8571428571428571E-2</v>
      </c>
      <c r="AN579" s="4">
        <f t="shared" si="79"/>
        <v>4.32736517552875E-5</v>
      </c>
      <c r="AO579" s="3"/>
      <c r="AP579">
        <v>0</v>
      </c>
      <c r="AR579" t="s">
        <v>0</v>
      </c>
      <c r="AT579" s="2">
        <v>5.944</v>
      </c>
      <c r="AU579" s="1">
        <f t="shared" si="75"/>
        <v>5.8537847956021505</v>
      </c>
      <c r="AV579" s="1">
        <f t="shared" si="76"/>
        <v>4.1825112440516872</v>
      </c>
      <c r="AW579" s="1">
        <f t="shared" si="77"/>
        <v>2.5112376925012234</v>
      </c>
    </row>
    <row r="580" spans="1:49" x14ac:dyDescent="0.2">
      <c r="A580">
        <v>578</v>
      </c>
      <c r="B580" t="s">
        <v>2073</v>
      </c>
      <c r="C580" t="s">
        <v>2072</v>
      </c>
      <c r="F580" t="s">
        <v>2071</v>
      </c>
      <c r="G580" t="s">
        <v>14</v>
      </c>
      <c r="H580" t="s">
        <v>13</v>
      </c>
      <c r="I580" t="s">
        <v>2070</v>
      </c>
      <c r="J580" t="s">
        <v>2069</v>
      </c>
      <c r="K580" t="s">
        <v>2068</v>
      </c>
      <c r="L580" t="s">
        <v>2067</v>
      </c>
      <c r="M580" t="s">
        <v>55</v>
      </c>
      <c r="N580">
        <v>3</v>
      </c>
      <c r="O580" t="s">
        <v>2066</v>
      </c>
      <c r="P580" t="s">
        <v>2065</v>
      </c>
      <c r="Q580" t="s">
        <v>2064</v>
      </c>
      <c r="R580" s="7">
        <v>31778</v>
      </c>
      <c r="S580" s="8">
        <f t="shared" si="72"/>
        <v>1987</v>
      </c>
      <c r="T580" s="8">
        <v>1987</v>
      </c>
      <c r="U580" s="8">
        <f t="shared" si="73"/>
        <v>35</v>
      </c>
      <c r="V580" s="7">
        <v>31837</v>
      </c>
      <c r="W580" t="s">
        <v>336</v>
      </c>
      <c r="X580" s="2">
        <v>1.6519999999999999</v>
      </c>
      <c r="Y580" s="6">
        <f t="shared" si="78"/>
        <v>4.409919649769093E-2</v>
      </c>
      <c r="AA580" t="s">
        <v>335</v>
      </c>
      <c r="AB580">
        <v>17337</v>
      </c>
      <c r="AC580">
        <v>15582221</v>
      </c>
      <c r="AD580" t="s">
        <v>4</v>
      </c>
      <c r="AE580">
        <v>35</v>
      </c>
      <c r="AF580">
        <v>3</v>
      </c>
      <c r="AH580" t="s">
        <v>2063</v>
      </c>
      <c r="AI580" t="s">
        <v>2062</v>
      </c>
      <c r="AK580" t="s">
        <v>2061</v>
      </c>
      <c r="AL580">
        <v>25</v>
      </c>
      <c r="AM580" s="5">
        <f t="shared" si="74"/>
        <v>0.7142857142857143</v>
      </c>
      <c r="AN580" s="4">
        <f t="shared" si="79"/>
        <v>1.0818412938821875E-3</v>
      </c>
      <c r="AO580" s="3"/>
      <c r="AP580">
        <v>0</v>
      </c>
      <c r="AR580" t="s">
        <v>0</v>
      </c>
      <c r="AT580" s="2" t="s">
        <v>32</v>
      </c>
      <c r="AU580" s="1">
        <f t="shared" si="75"/>
        <v>3.1193989936548308</v>
      </c>
      <c r="AV580" s="1">
        <f t="shared" si="76"/>
        <v>2.259051889578656</v>
      </c>
      <c r="AW580" s="1">
        <f t="shared" si="77"/>
        <v>1.3987047855024808</v>
      </c>
    </row>
    <row r="581" spans="1:49" x14ac:dyDescent="0.2">
      <c r="A581">
        <v>579</v>
      </c>
      <c r="B581" t="s">
        <v>2060</v>
      </c>
      <c r="C581" t="s">
        <v>2059</v>
      </c>
      <c r="F581" t="s">
        <v>2058</v>
      </c>
      <c r="G581" t="s">
        <v>14</v>
      </c>
      <c r="H581" t="s">
        <v>13</v>
      </c>
      <c r="I581" t="s">
        <v>1682</v>
      </c>
      <c r="J581">
        <v>60011373</v>
      </c>
      <c r="K581" t="s">
        <v>1681</v>
      </c>
      <c r="L581" t="s">
        <v>1680</v>
      </c>
      <c r="M581" t="s">
        <v>1679</v>
      </c>
      <c r="N581">
        <v>1</v>
      </c>
      <c r="O581" t="s">
        <v>2057</v>
      </c>
      <c r="P581">
        <v>7102334844</v>
      </c>
      <c r="Q581">
        <v>60011373</v>
      </c>
      <c r="R581" s="7">
        <v>31778</v>
      </c>
      <c r="S581" s="8">
        <f t="shared" si="72"/>
        <v>1987</v>
      </c>
      <c r="T581" s="8">
        <v>1987</v>
      </c>
      <c r="U581" s="8">
        <f t="shared" si="73"/>
        <v>35</v>
      </c>
      <c r="V581" s="7">
        <v>31837</v>
      </c>
      <c r="W581" t="s">
        <v>336</v>
      </c>
      <c r="X581" s="2">
        <v>1.6519999999999999</v>
      </c>
      <c r="Y581" s="6">
        <f t="shared" si="78"/>
        <v>4.409919649769093E-2</v>
      </c>
      <c r="AA581" t="s">
        <v>335</v>
      </c>
      <c r="AB581">
        <v>17337</v>
      </c>
      <c r="AC581">
        <v>15582221</v>
      </c>
      <c r="AD581" t="s">
        <v>4</v>
      </c>
      <c r="AE581">
        <v>35</v>
      </c>
      <c r="AF581">
        <v>3</v>
      </c>
      <c r="AH581" t="s">
        <v>2056</v>
      </c>
      <c r="AI581" t="s">
        <v>2055</v>
      </c>
      <c r="AK581" t="s">
        <v>2054</v>
      </c>
      <c r="AL581">
        <v>0</v>
      </c>
      <c r="AM581" s="5">
        <f t="shared" si="74"/>
        <v>0</v>
      </c>
      <c r="AN581" s="4">
        <f t="shared" si="79"/>
        <v>0</v>
      </c>
      <c r="AO581" s="3"/>
      <c r="AP581">
        <v>0</v>
      </c>
      <c r="AR581" t="s">
        <v>0</v>
      </c>
      <c r="AT581" s="2" t="s">
        <v>32</v>
      </c>
      <c r="AU581" s="1">
        <f t="shared" si="75"/>
        <v>3.0869437548383649</v>
      </c>
      <c r="AV581" s="1">
        <f t="shared" si="76"/>
        <v>2.2049598248845466</v>
      </c>
      <c r="AW581" s="1">
        <f t="shared" si="77"/>
        <v>1.3229758949307278</v>
      </c>
    </row>
    <row r="582" spans="1:49" x14ac:dyDescent="0.2">
      <c r="A582">
        <v>580</v>
      </c>
      <c r="B582" t="s">
        <v>2053</v>
      </c>
      <c r="C582" t="s">
        <v>2052</v>
      </c>
      <c r="F582" t="s">
        <v>2051</v>
      </c>
      <c r="G582" t="s">
        <v>14</v>
      </c>
      <c r="H582" t="s">
        <v>13</v>
      </c>
      <c r="I582" t="s">
        <v>2050</v>
      </c>
      <c r="J582">
        <v>60013141</v>
      </c>
      <c r="K582" t="s">
        <v>2049</v>
      </c>
      <c r="L582" t="s">
        <v>2048</v>
      </c>
      <c r="M582" t="s">
        <v>2047</v>
      </c>
      <c r="N582">
        <v>1</v>
      </c>
      <c r="O582" t="s">
        <v>2046</v>
      </c>
      <c r="P582">
        <v>55884538900</v>
      </c>
      <c r="Q582">
        <v>60013141</v>
      </c>
      <c r="R582" s="7">
        <v>31778</v>
      </c>
      <c r="S582" s="8">
        <f t="shared" si="72"/>
        <v>1987</v>
      </c>
      <c r="T582" s="8">
        <v>1987</v>
      </c>
      <c r="U582" s="8">
        <f t="shared" si="73"/>
        <v>35</v>
      </c>
      <c r="V582" s="7">
        <v>31837</v>
      </c>
      <c r="W582" t="s">
        <v>336</v>
      </c>
      <c r="X582" s="2">
        <v>1.6519999999999999</v>
      </c>
      <c r="Y582" s="6">
        <f t="shared" si="78"/>
        <v>4.409919649769093E-2</v>
      </c>
      <c r="AA582" t="s">
        <v>335</v>
      </c>
      <c r="AB582">
        <v>17337</v>
      </c>
      <c r="AC582">
        <v>15582221</v>
      </c>
      <c r="AD582" t="s">
        <v>4</v>
      </c>
      <c r="AE582">
        <v>35</v>
      </c>
      <c r="AF582">
        <v>3</v>
      </c>
      <c r="AH582" t="s">
        <v>2045</v>
      </c>
      <c r="AI582" t="s">
        <v>2044</v>
      </c>
      <c r="AK582" t="s">
        <v>2043</v>
      </c>
      <c r="AL582">
        <v>3</v>
      </c>
      <c r="AM582" s="5">
        <f t="shared" si="74"/>
        <v>8.5714285714285715E-2</v>
      </c>
      <c r="AN582" s="4">
        <f t="shared" si="79"/>
        <v>1.2982095526586251E-4</v>
      </c>
      <c r="AO582" s="3"/>
      <c r="AP582">
        <v>0</v>
      </c>
      <c r="AR582" t="s">
        <v>0</v>
      </c>
      <c r="AT582" s="2" t="s">
        <v>32</v>
      </c>
      <c r="AU582" s="1">
        <f t="shared" si="75"/>
        <v>3.0908383834963407</v>
      </c>
      <c r="AV582" s="1">
        <f t="shared" si="76"/>
        <v>2.2114508726478395</v>
      </c>
      <c r="AW582" s="1">
        <f t="shared" si="77"/>
        <v>1.3320633617993383</v>
      </c>
    </row>
    <row r="583" spans="1:49" x14ac:dyDescent="0.2">
      <c r="A583">
        <v>581</v>
      </c>
      <c r="B583" t="s">
        <v>2042</v>
      </c>
      <c r="C583" t="s">
        <v>2041</v>
      </c>
      <c r="F583" t="s">
        <v>2040</v>
      </c>
      <c r="G583" t="s">
        <v>14</v>
      </c>
      <c r="H583" t="s">
        <v>13</v>
      </c>
      <c r="I583" t="s">
        <v>1826</v>
      </c>
      <c r="J583">
        <v>60022109</v>
      </c>
      <c r="K583" t="s">
        <v>1825</v>
      </c>
      <c r="L583" t="s">
        <v>587</v>
      </c>
      <c r="M583" t="s">
        <v>586</v>
      </c>
      <c r="N583">
        <v>1</v>
      </c>
      <c r="O583" t="s">
        <v>2039</v>
      </c>
      <c r="P583">
        <v>57197192970</v>
      </c>
      <c r="Q583">
        <v>60022109</v>
      </c>
      <c r="R583" s="7">
        <v>31778</v>
      </c>
      <c r="S583" s="8">
        <f t="shared" si="72"/>
        <v>1987</v>
      </c>
      <c r="T583" s="8">
        <v>1987</v>
      </c>
      <c r="U583" s="8">
        <f t="shared" si="73"/>
        <v>35</v>
      </c>
      <c r="V583" s="7">
        <v>1987</v>
      </c>
      <c r="W583" t="s">
        <v>429</v>
      </c>
      <c r="X583" s="2">
        <v>0.375</v>
      </c>
      <c r="Y583" s="6">
        <f t="shared" si="78"/>
        <v>1.0010410827260351E-2</v>
      </c>
      <c r="AA583">
        <v>135194</v>
      </c>
      <c r="AB583">
        <v>24918</v>
      </c>
      <c r="AD583" t="s">
        <v>4</v>
      </c>
      <c r="AE583">
        <v>23</v>
      </c>
      <c r="AF583">
        <v>6</v>
      </c>
      <c r="AH583" t="s">
        <v>2038</v>
      </c>
      <c r="AI583" t="s">
        <v>2037</v>
      </c>
      <c r="AJ583" t="s">
        <v>2036</v>
      </c>
      <c r="AK583" t="s">
        <v>2035</v>
      </c>
      <c r="AL583">
        <v>2</v>
      </c>
      <c r="AM583" s="5">
        <f t="shared" si="74"/>
        <v>5.7142857142857141E-2</v>
      </c>
      <c r="AN583" s="4">
        <f t="shared" si="79"/>
        <v>8.6547303510575E-5</v>
      </c>
      <c r="AO583" s="3"/>
      <c r="AP583">
        <v>0</v>
      </c>
      <c r="AR583" t="s">
        <v>0</v>
      </c>
      <c r="AT583" s="2">
        <v>1.3140000000000001</v>
      </c>
      <c r="AU583" s="1">
        <f t="shared" si="75"/>
        <v>0.7033251770135418</v>
      </c>
      <c r="AV583" s="1">
        <f t="shared" si="76"/>
        <v>0.50484790653854639</v>
      </c>
      <c r="AW583" s="1">
        <f t="shared" si="77"/>
        <v>0.30637063606355081</v>
      </c>
    </row>
    <row r="584" spans="1:49" x14ac:dyDescent="0.2">
      <c r="A584">
        <v>582</v>
      </c>
      <c r="B584" t="s">
        <v>2034</v>
      </c>
      <c r="C584" t="s">
        <v>2033</v>
      </c>
      <c r="F584" t="s">
        <v>2032</v>
      </c>
      <c r="G584" t="s">
        <v>14</v>
      </c>
      <c r="H584" t="s">
        <v>13</v>
      </c>
      <c r="I584" t="s">
        <v>1755</v>
      </c>
      <c r="J584" t="s">
        <v>2031</v>
      </c>
      <c r="K584" t="s">
        <v>2030</v>
      </c>
      <c r="L584" t="s">
        <v>2029</v>
      </c>
      <c r="M584" t="s">
        <v>55</v>
      </c>
      <c r="N584">
        <v>4</v>
      </c>
      <c r="O584" t="s">
        <v>2028</v>
      </c>
      <c r="P584" t="s">
        <v>2027</v>
      </c>
      <c r="Q584" t="s">
        <v>2026</v>
      </c>
      <c r="R584" s="7">
        <v>31778</v>
      </c>
      <c r="S584" s="8">
        <f t="shared" si="72"/>
        <v>1987</v>
      </c>
      <c r="T584" s="8">
        <v>1987</v>
      </c>
      <c r="U584" s="8">
        <f t="shared" si="73"/>
        <v>35</v>
      </c>
      <c r="V584" s="7">
        <v>31837</v>
      </c>
      <c r="W584" t="s">
        <v>336</v>
      </c>
      <c r="X584" s="2">
        <v>1.6519999999999999</v>
      </c>
      <c r="Y584" s="6">
        <f t="shared" si="78"/>
        <v>4.409919649769093E-2</v>
      </c>
      <c r="AA584" t="s">
        <v>335</v>
      </c>
      <c r="AB584">
        <v>17337</v>
      </c>
      <c r="AC584">
        <v>15582221</v>
      </c>
      <c r="AD584" t="s">
        <v>4</v>
      </c>
      <c r="AE584">
        <v>35</v>
      </c>
      <c r="AF584">
        <v>3</v>
      </c>
      <c r="AH584" t="s">
        <v>2025</v>
      </c>
      <c r="AI584" t="s">
        <v>2024</v>
      </c>
      <c r="AK584" t="s">
        <v>2023</v>
      </c>
      <c r="AL584">
        <v>21</v>
      </c>
      <c r="AM584" s="5">
        <f t="shared" si="74"/>
        <v>0.6</v>
      </c>
      <c r="AN584" s="4">
        <f t="shared" si="79"/>
        <v>9.0874668686103744E-4</v>
      </c>
      <c r="AO584" s="3"/>
      <c r="AP584">
        <v>0</v>
      </c>
      <c r="AQ584" t="s">
        <v>331</v>
      </c>
      <c r="AR584" t="s">
        <v>2022</v>
      </c>
      <c r="AS584" t="s">
        <v>329</v>
      </c>
      <c r="AT584" s="2" t="s">
        <v>32</v>
      </c>
      <c r="AU584" s="1">
        <f t="shared" si="75"/>
        <v>3.1142061554441964</v>
      </c>
      <c r="AV584" s="1">
        <f t="shared" si="76"/>
        <v>2.2503971592275982</v>
      </c>
      <c r="AW584" s="1">
        <f t="shared" si="77"/>
        <v>1.3865881630110004</v>
      </c>
    </row>
    <row r="585" spans="1:49" x14ac:dyDescent="0.2">
      <c r="A585">
        <v>583</v>
      </c>
      <c r="B585" t="s">
        <v>2021</v>
      </c>
      <c r="C585" t="s">
        <v>2020</v>
      </c>
      <c r="F585" t="s">
        <v>2019</v>
      </c>
      <c r="G585" t="s">
        <v>14</v>
      </c>
      <c r="H585" t="s">
        <v>13</v>
      </c>
      <c r="I585" t="s">
        <v>2018</v>
      </c>
      <c r="J585">
        <v>60016218</v>
      </c>
      <c r="K585" t="s">
        <v>2017</v>
      </c>
      <c r="L585" t="s">
        <v>2016</v>
      </c>
      <c r="M585" t="s">
        <v>1407</v>
      </c>
      <c r="N585">
        <v>2</v>
      </c>
      <c r="O585" t="s">
        <v>2015</v>
      </c>
      <c r="P585" t="s">
        <v>2014</v>
      </c>
      <c r="Q585" t="s">
        <v>2013</v>
      </c>
      <c r="R585" s="7">
        <v>31778</v>
      </c>
      <c r="S585" s="8">
        <f t="shared" si="72"/>
        <v>1987</v>
      </c>
      <c r="T585" s="8">
        <v>1987</v>
      </c>
      <c r="U585" s="8">
        <f t="shared" si="73"/>
        <v>35</v>
      </c>
      <c r="V585" s="7">
        <v>1987</v>
      </c>
      <c r="W585" t="s">
        <v>429</v>
      </c>
      <c r="X585" s="2">
        <v>0.375</v>
      </c>
      <c r="Y585" s="6">
        <f t="shared" si="78"/>
        <v>1.0010410827260351E-2</v>
      </c>
      <c r="AA585">
        <v>135194</v>
      </c>
      <c r="AB585">
        <v>24918</v>
      </c>
      <c r="AD585" t="s">
        <v>4</v>
      </c>
      <c r="AE585">
        <v>23</v>
      </c>
      <c r="AF585">
        <v>6</v>
      </c>
      <c r="AH585" t="s">
        <v>2012</v>
      </c>
      <c r="AI585" t="s">
        <v>2011</v>
      </c>
      <c r="AJ585" t="s">
        <v>2010</v>
      </c>
      <c r="AK585" t="s">
        <v>2009</v>
      </c>
      <c r="AL585">
        <v>2</v>
      </c>
      <c r="AM585" s="5">
        <f t="shared" si="74"/>
        <v>5.7142857142857141E-2</v>
      </c>
      <c r="AN585" s="4">
        <f t="shared" si="79"/>
        <v>8.6547303510575E-5</v>
      </c>
      <c r="AO585" s="3"/>
      <c r="AP585">
        <v>0</v>
      </c>
      <c r="AR585" t="s">
        <v>0</v>
      </c>
      <c r="AT585" s="2">
        <v>1.3140000000000001</v>
      </c>
      <c r="AU585" s="1">
        <f t="shared" si="75"/>
        <v>0.7033251770135418</v>
      </c>
      <c r="AV585" s="1">
        <f t="shared" si="76"/>
        <v>0.50484790653854639</v>
      </c>
      <c r="AW585" s="1">
        <f t="shared" si="77"/>
        <v>0.30637063606355081</v>
      </c>
    </row>
    <row r="586" spans="1:49" x14ac:dyDescent="0.2">
      <c r="A586">
        <v>584</v>
      </c>
      <c r="B586" t="s">
        <v>2008</v>
      </c>
      <c r="C586" t="s">
        <v>2007</v>
      </c>
      <c r="D586" t="s">
        <v>2006</v>
      </c>
      <c r="F586" t="s">
        <v>2005</v>
      </c>
      <c r="G586" t="s">
        <v>14</v>
      </c>
      <c r="H586" t="s">
        <v>13</v>
      </c>
      <c r="I586" t="s">
        <v>2004</v>
      </c>
      <c r="J586" t="s">
        <v>1998</v>
      </c>
      <c r="K586" t="s">
        <v>2003</v>
      </c>
      <c r="L586" t="s">
        <v>2002</v>
      </c>
      <c r="M586" t="s">
        <v>2001</v>
      </c>
      <c r="N586">
        <v>2</v>
      </c>
      <c r="O586" t="s">
        <v>2000</v>
      </c>
      <c r="P586" t="s">
        <v>1999</v>
      </c>
      <c r="Q586" t="s">
        <v>1998</v>
      </c>
      <c r="R586" s="7">
        <v>31778</v>
      </c>
      <c r="S586" s="8">
        <f t="shared" si="72"/>
        <v>1987</v>
      </c>
      <c r="T586" s="8">
        <v>1987</v>
      </c>
      <c r="U586" s="8">
        <f t="shared" si="73"/>
        <v>35</v>
      </c>
      <c r="V586" s="7">
        <v>31837</v>
      </c>
      <c r="W586" t="s">
        <v>509</v>
      </c>
      <c r="X586" s="2">
        <v>1.1339999999999999</v>
      </c>
      <c r="Y586" s="6">
        <f t="shared" si="78"/>
        <v>3.0271482341635299E-2</v>
      </c>
      <c r="AA586">
        <v>945765</v>
      </c>
      <c r="AB586">
        <v>12372</v>
      </c>
      <c r="AD586" t="s">
        <v>4</v>
      </c>
      <c r="AE586">
        <v>15</v>
      </c>
      <c r="AF586">
        <v>3</v>
      </c>
      <c r="AH586" t="s">
        <v>1997</v>
      </c>
      <c r="AI586" t="s">
        <v>1996</v>
      </c>
      <c r="AK586" t="s">
        <v>1995</v>
      </c>
      <c r="AL586">
        <v>7</v>
      </c>
      <c r="AM586" s="5">
        <f t="shared" si="74"/>
        <v>0.2</v>
      </c>
      <c r="AN586" s="4">
        <f t="shared" si="79"/>
        <v>3.0291556228701253E-4</v>
      </c>
      <c r="AO586" s="3"/>
      <c r="AP586">
        <v>0</v>
      </c>
      <c r="AQ586" t="s">
        <v>1994</v>
      </c>
      <c r="AR586" t="s">
        <v>0</v>
      </c>
      <c r="AS586" t="s">
        <v>1993</v>
      </c>
      <c r="AT586" s="2">
        <v>2.4129999999999998</v>
      </c>
      <c r="AU586" s="1">
        <f t="shared" si="75"/>
        <v>2.128091230783081</v>
      </c>
      <c r="AV586" s="1">
        <f t="shared" si="76"/>
        <v>1.5287198951961156</v>
      </c>
      <c r="AW586" s="1">
        <f t="shared" si="77"/>
        <v>0.92934855960914975</v>
      </c>
    </row>
    <row r="587" spans="1:49" x14ac:dyDescent="0.2">
      <c r="A587">
        <v>585</v>
      </c>
      <c r="B587" t="s">
        <v>1992</v>
      </c>
      <c r="C587" t="s">
        <v>1991</v>
      </c>
      <c r="F587" t="s">
        <v>1990</v>
      </c>
      <c r="G587" t="s">
        <v>14</v>
      </c>
      <c r="H587" t="s">
        <v>13</v>
      </c>
      <c r="I587" t="s">
        <v>1989</v>
      </c>
      <c r="J587" t="s">
        <v>1988</v>
      </c>
      <c r="K587" t="s">
        <v>1987</v>
      </c>
      <c r="L587" t="s">
        <v>1986</v>
      </c>
      <c r="M587" t="s">
        <v>55</v>
      </c>
      <c r="N587">
        <v>3</v>
      </c>
      <c r="O587" t="s">
        <v>1985</v>
      </c>
      <c r="P587" t="s">
        <v>1984</v>
      </c>
      <c r="Q587" t="s">
        <v>1983</v>
      </c>
      <c r="R587" s="7">
        <v>31778</v>
      </c>
      <c r="S587" s="8">
        <f t="shared" si="72"/>
        <v>1987</v>
      </c>
      <c r="T587" s="8">
        <v>1987</v>
      </c>
      <c r="U587" s="8">
        <f t="shared" si="73"/>
        <v>35</v>
      </c>
      <c r="V587" s="7" t="s">
        <v>1968</v>
      </c>
      <c r="W587" t="s">
        <v>596</v>
      </c>
      <c r="X587" s="2">
        <v>1.573</v>
      </c>
      <c r="Y587" s="6">
        <f t="shared" si="78"/>
        <v>4.1990336616748086E-2</v>
      </c>
      <c r="AA587">
        <v>7315090</v>
      </c>
      <c r="AB587">
        <v>29586</v>
      </c>
      <c r="AD587" t="s">
        <v>4</v>
      </c>
      <c r="AE587">
        <v>10</v>
      </c>
      <c r="AF587">
        <v>2</v>
      </c>
      <c r="AH587" t="s">
        <v>1982</v>
      </c>
      <c r="AI587" t="s">
        <v>1981</v>
      </c>
      <c r="AK587" t="s">
        <v>1980</v>
      </c>
      <c r="AL587">
        <v>737</v>
      </c>
      <c r="AM587" s="5">
        <f t="shared" si="74"/>
        <v>21.057142857142857</v>
      </c>
      <c r="AN587" s="4">
        <f t="shared" si="79"/>
        <v>3.1892681343646888E-2</v>
      </c>
      <c r="AO587" s="3"/>
      <c r="AP587">
        <v>0</v>
      </c>
      <c r="AR587" t="s">
        <v>0</v>
      </c>
      <c r="AT587" s="2" t="s">
        <v>32</v>
      </c>
      <c r="AU587" s="1">
        <f t="shared" si="75"/>
        <v>3.8961040034817729</v>
      </c>
      <c r="AV587" s="1">
        <f t="shared" si="76"/>
        <v>3.6941508980197488</v>
      </c>
      <c r="AW587" s="1">
        <f t="shared" si="77"/>
        <v>3.4921977925577248</v>
      </c>
    </row>
    <row r="588" spans="1:49" x14ac:dyDescent="0.2">
      <c r="A588">
        <v>586</v>
      </c>
      <c r="B588" t="s">
        <v>1979</v>
      </c>
      <c r="C588" t="s">
        <v>1978</v>
      </c>
      <c r="F588" t="s">
        <v>1977</v>
      </c>
      <c r="G588" t="s">
        <v>14</v>
      </c>
      <c r="H588" t="s">
        <v>13</v>
      </c>
      <c r="I588" t="s">
        <v>1976</v>
      </c>
      <c r="J588" t="s">
        <v>1975</v>
      </c>
      <c r="K588" t="s">
        <v>1974</v>
      </c>
      <c r="L588" t="s">
        <v>1973</v>
      </c>
      <c r="M588" t="s">
        <v>1972</v>
      </c>
      <c r="N588">
        <v>3</v>
      </c>
      <c r="O588" t="s">
        <v>1971</v>
      </c>
      <c r="P588" t="s">
        <v>1970</v>
      </c>
      <c r="Q588" t="s">
        <v>1969</v>
      </c>
      <c r="R588" s="7">
        <v>31778</v>
      </c>
      <c r="S588" s="8">
        <f t="shared" si="72"/>
        <v>1987</v>
      </c>
      <c r="T588" s="8">
        <v>1987</v>
      </c>
      <c r="U588" s="8">
        <f t="shared" si="73"/>
        <v>35</v>
      </c>
      <c r="V588" s="7" t="s">
        <v>1968</v>
      </c>
      <c r="W588" t="s">
        <v>596</v>
      </c>
      <c r="X588" s="2">
        <v>1.573</v>
      </c>
      <c r="Y588" s="6">
        <f t="shared" si="78"/>
        <v>4.1990336616748086E-2</v>
      </c>
      <c r="AA588">
        <v>7315090</v>
      </c>
      <c r="AB588">
        <v>29586</v>
      </c>
      <c r="AD588" t="s">
        <v>4</v>
      </c>
      <c r="AE588">
        <v>10</v>
      </c>
      <c r="AF588">
        <v>2</v>
      </c>
      <c r="AH588" t="s">
        <v>1967</v>
      </c>
      <c r="AI588" t="s">
        <v>1966</v>
      </c>
      <c r="AK588" t="s">
        <v>1965</v>
      </c>
      <c r="AL588">
        <v>8</v>
      </c>
      <c r="AM588" s="5">
        <f t="shared" si="74"/>
        <v>0.22857142857142856</v>
      </c>
      <c r="AN588" s="4">
        <f t="shared" si="79"/>
        <v>3.461892140423E-4</v>
      </c>
      <c r="AO588" s="3"/>
      <c r="AP588">
        <v>0</v>
      </c>
      <c r="AR588" t="s">
        <v>0</v>
      </c>
      <c r="AT588" s="2" t="s">
        <v>32</v>
      </c>
      <c r="AU588" s="1">
        <f t="shared" si="75"/>
        <v>2.9497092395936351</v>
      </c>
      <c r="AV588" s="1">
        <f t="shared" si="76"/>
        <v>2.1168262915395193</v>
      </c>
      <c r="AW588" s="1">
        <f t="shared" si="77"/>
        <v>1.2839433434854035</v>
      </c>
    </row>
    <row r="589" spans="1:49" x14ac:dyDescent="0.2">
      <c r="A589">
        <v>587</v>
      </c>
      <c r="B589" t="s">
        <v>1964</v>
      </c>
      <c r="C589" t="s">
        <v>1963</v>
      </c>
      <c r="E589">
        <v>3550793</v>
      </c>
      <c r="F589" t="s">
        <v>1962</v>
      </c>
      <c r="G589" t="s">
        <v>14</v>
      </c>
      <c r="H589" t="s">
        <v>13</v>
      </c>
      <c r="I589" t="s">
        <v>1961</v>
      </c>
      <c r="J589">
        <v>60008185</v>
      </c>
      <c r="K589" t="s">
        <v>1960</v>
      </c>
      <c r="L589" t="s">
        <v>340</v>
      </c>
      <c r="M589" t="s">
        <v>9</v>
      </c>
      <c r="N589">
        <v>3</v>
      </c>
      <c r="O589" t="s">
        <v>1959</v>
      </c>
      <c r="P589" t="s">
        <v>1958</v>
      </c>
      <c r="Q589" t="s">
        <v>1957</v>
      </c>
      <c r="R589" s="7">
        <v>31778</v>
      </c>
      <c r="S589" s="8">
        <f t="shared" si="72"/>
        <v>1987</v>
      </c>
      <c r="T589" s="8">
        <v>1987</v>
      </c>
      <c r="U589" s="8">
        <f t="shared" si="73"/>
        <v>35</v>
      </c>
      <c r="V589" s="7">
        <v>1987</v>
      </c>
      <c r="W589" t="s">
        <v>1956</v>
      </c>
      <c r="X589" s="2">
        <v>5.0110000000000001</v>
      </c>
      <c r="Y589" s="6">
        <f t="shared" si="78"/>
        <v>0.13376578308107098</v>
      </c>
      <c r="AA589">
        <v>278424</v>
      </c>
      <c r="AB589">
        <v>21121</v>
      </c>
      <c r="AD589" t="s">
        <v>4</v>
      </c>
      <c r="AE589">
        <v>84</v>
      </c>
      <c r="AF589">
        <v>6</v>
      </c>
      <c r="AH589" t="s">
        <v>1955</v>
      </c>
      <c r="AI589" t="s">
        <v>1954</v>
      </c>
      <c r="AK589" t="s">
        <v>1953</v>
      </c>
      <c r="AL589">
        <v>104</v>
      </c>
      <c r="AM589" s="5">
        <f t="shared" si="74"/>
        <v>2.9714285714285715</v>
      </c>
      <c r="AN589" s="4">
        <f t="shared" si="79"/>
        <v>4.5004597825498999E-3</v>
      </c>
      <c r="AO589" s="3"/>
      <c r="AP589">
        <v>0</v>
      </c>
      <c r="AR589" t="s">
        <v>0</v>
      </c>
      <c r="AT589" s="2" t="s">
        <v>32</v>
      </c>
      <c r="AU589" s="1">
        <f t="shared" si="75"/>
        <v>9.4986186091514657</v>
      </c>
      <c r="AV589" s="1">
        <f t="shared" si="76"/>
        <v>6.9133121431810443</v>
      </c>
      <c r="AW589" s="1">
        <f t="shared" si="77"/>
        <v>4.3280056772106228</v>
      </c>
    </row>
    <row r="590" spans="1:49" x14ac:dyDescent="0.2">
      <c r="A590">
        <v>588</v>
      </c>
      <c r="B590" t="s">
        <v>1952</v>
      </c>
      <c r="C590" t="s">
        <v>1951</v>
      </c>
      <c r="F590" t="s">
        <v>1950</v>
      </c>
      <c r="G590" t="s">
        <v>14</v>
      </c>
      <c r="H590" t="s">
        <v>13</v>
      </c>
      <c r="I590" t="s">
        <v>1949</v>
      </c>
      <c r="J590">
        <v>60024322</v>
      </c>
      <c r="K590" t="s">
        <v>1948</v>
      </c>
      <c r="L590" t="s">
        <v>1947</v>
      </c>
      <c r="M590" t="s">
        <v>524</v>
      </c>
      <c r="N590">
        <v>3</v>
      </c>
      <c r="O590" t="s">
        <v>1946</v>
      </c>
      <c r="P590" t="s">
        <v>1945</v>
      </c>
      <c r="Q590" t="s">
        <v>1944</v>
      </c>
      <c r="R590" s="7">
        <v>31778</v>
      </c>
      <c r="S590" s="8">
        <f t="shared" si="72"/>
        <v>1987</v>
      </c>
      <c r="T590" s="8">
        <v>1987</v>
      </c>
      <c r="U590" s="8">
        <f t="shared" si="73"/>
        <v>35</v>
      </c>
      <c r="V590" s="7">
        <v>1987</v>
      </c>
      <c r="W590" t="s">
        <v>1943</v>
      </c>
      <c r="X590" s="2">
        <v>0.13900000000000001</v>
      </c>
      <c r="Y590" s="6">
        <f t="shared" si="78"/>
        <v>3.7105256133045036E-3</v>
      </c>
      <c r="AA590" t="s">
        <v>1942</v>
      </c>
      <c r="AB590">
        <v>24891</v>
      </c>
      <c r="AC590">
        <v>15206432</v>
      </c>
      <c r="AD590" t="s">
        <v>4</v>
      </c>
      <c r="AE590">
        <v>70</v>
      </c>
      <c r="AF590">
        <v>2</v>
      </c>
      <c r="AH590" t="s">
        <v>1941</v>
      </c>
      <c r="AI590" t="s">
        <v>1940</v>
      </c>
      <c r="AK590" t="s">
        <v>1939</v>
      </c>
      <c r="AL590">
        <v>0</v>
      </c>
      <c r="AM590" s="5">
        <f t="shared" si="74"/>
        <v>0</v>
      </c>
      <c r="AN590" s="4">
        <f t="shared" si="79"/>
        <v>0</v>
      </c>
      <c r="AO590" s="3"/>
      <c r="AP590">
        <v>0</v>
      </c>
      <c r="AR590" t="s">
        <v>0</v>
      </c>
      <c r="AT590" s="2" t="s">
        <v>32</v>
      </c>
      <c r="AU590" s="1">
        <f t="shared" si="75"/>
        <v>0.25973679293131524</v>
      </c>
      <c r="AV590" s="1">
        <f t="shared" si="76"/>
        <v>0.1855262806652252</v>
      </c>
      <c r="AW590" s="1">
        <f t="shared" si="77"/>
        <v>0.1113157683991351</v>
      </c>
    </row>
    <row r="591" spans="1:49" x14ac:dyDescent="0.2">
      <c r="A591">
        <v>589</v>
      </c>
      <c r="B591" t="s">
        <v>1938</v>
      </c>
      <c r="C591" t="s">
        <v>1937</v>
      </c>
      <c r="F591" t="s">
        <v>1936</v>
      </c>
      <c r="G591" t="s">
        <v>14</v>
      </c>
      <c r="H591" t="s">
        <v>13</v>
      </c>
      <c r="I591" t="s">
        <v>1935</v>
      </c>
      <c r="J591">
        <v>60012564</v>
      </c>
      <c r="K591" t="s">
        <v>1934</v>
      </c>
      <c r="L591" t="s">
        <v>1933</v>
      </c>
      <c r="M591" t="s">
        <v>9</v>
      </c>
      <c r="N591">
        <v>1</v>
      </c>
      <c r="O591" t="s">
        <v>1932</v>
      </c>
      <c r="P591">
        <v>7402435949</v>
      </c>
      <c r="Q591">
        <v>60012564</v>
      </c>
      <c r="R591" s="7">
        <v>31778</v>
      </c>
      <c r="S591" s="8">
        <f t="shared" si="72"/>
        <v>1987</v>
      </c>
      <c r="T591" s="8">
        <v>1987</v>
      </c>
      <c r="U591" s="8">
        <f t="shared" si="73"/>
        <v>35</v>
      </c>
      <c r="V591" s="7">
        <v>31809</v>
      </c>
      <c r="W591" t="s">
        <v>1931</v>
      </c>
      <c r="X591" s="2">
        <v>1.468</v>
      </c>
      <c r="Y591" s="6">
        <f t="shared" si="78"/>
        <v>3.9187421585115186E-2</v>
      </c>
      <c r="AA591">
        <v>906778</v>
      </c>
      <c r="AB591">
        <v>18931</v>
      </c>
      <c r="AD591" t="s">
        <v>4</v>
      </c>
      <c r="AE591">
        <v>35</v>
      </c>
      <c r="AF591">
        <v>2</v>
      </c>
      <c r="AH591" t="s">
        <v>1930</v>
      </c>
      <c r="AI591" t="s">
        <v>1929</v>
      </c>
      <c r="AK591" t="s">
        <v>1928</v>
      </c>
      <c r="AL591">
        <v>3</v>
      </c>
      <c r="AM591" s="5">
        <f t="shared" si="74"/>
        <v>8.5714285714285715E-2</v>
      </c>
      <c r="AN591" s="4">
        <f t="shared" si="79"/>
        <v>1.2982095526586251E-4</v>
      </c>
      <c r="AO591" s="3"/>
      <c r="AP591">
        <v>0</v>
      </c>
      <c r="AR591" t="s">
        <v>0</v>
      </c>
      <c r="AT591" s="2">
        <v>5.0830000000000002</v>
      </c>
      <c r="AU591" s="1">
        <f t="shared" si="75"/>
        <v>2.7470141396160388</v>
      </c>
      <c r="AV591" s="1">
        <f t="shared" si="76"/>
        <v>1.9658621270190524</v>
      </c>
      <c r="AW591" s="1">
        <f t="shared" si="77"/>
        <v>1.184710114422066</v>
      </c>
    </row>
    <row r="592" spans="1:49" x14ac:dyDescent="0.2">
      <c r="A592">
        <v>590</v>
      </c>
      <c r="B592" t="s">
        <v>1927</v>
      </c>
      <c r="C592" t="s">
        <v>1926</v>
      </c>
      <c r="F592" t="s">
        <v>1925</v>
      </c>
      <c r="G592" t="s">
        <v>14</v>
      </c>
      <c r="H592" t="s">
        <v>13</v>
      </c>
      <c r="I592" t="s">
        <v>1924</v>
      </c>
      <c r="J592">
        <v>60010491</v>
      </c>
      <c r="K592" t="s">
        <v>1431</v>
      </c>
      <c r="L592" t="s">
        <v>1430</v>
      </c>
      <c r="M592" t="s">
        <v>9</v>
      </c>
      <c r="N592">
        <v>2</v>
      </c>
      <c r="O592" t="s">
        <v>1923</v>
      </c>
      <c r="P592" t="s">
        <v>1508</v>
      </c>
      <c r="Q592" t="s">
        <v>1427</v>
      </c>
      <c r="R592" s="7">
        <v>31778</v>
      </c>
      <c r="S592" s="8">
        <f t="shared" si="72"/>
        <v>1987</v>
      </c>
      <c r="T592" s="8">
        <v>1987</v>
      </c>
      <c r="U592" s="8">
        <f t="shared" si="73"/>
        <v>35</v>
      </c>
      <c r="V592" s="7" t="s">
        <v>1370</v>
      </c>
      <c r="W592" t="s">
        <v>336</v>
      </c>
      <c r="X592" s="2">
        <v>1.6519999999999999</v>
      </c>
      <c r="Y592" s="6">
        <f t="shared" si="78"/>
        <v>4.409919649769093E-2</v>
      </c>
      <c r="AA592" t="s">
        <v>335</v>
      </c>
      <c r="AB592">
        <v>17337</v>
      </c>
      <c r="AD592" t="s">
        <v>4</v>
      </c>
      <c r="AE592" t="s">
        <v>1653</v>
      </c>
      <c r="AF592">
        <v>2</v>
      </c>
      <c r="AH592" t="s">
        <v>1922</v>
      </c>
      <c r="AI592" t="s">
        <v>1921</v>
      </c>
      <c r="AK592" t="s">
        <v>1920</v>
      </c>
      <c r="AL592">
        <v>18</v>
      </c>
      <c r="AM592" s="5">
        <f t="shared" si="74"/>
        <v>0.51428571428571423</v>
      </c>
      <c r="AN592" s="4">
        <f t="shared" si="79"/>
        <v>7.7892573159517493E-4</v>
      </c>
      <c r="AO592" s="3"/>
      <c r="AP592">
        <v>0</v>
      </c>
      <c r="AR592" t="s">
        <v>0</v>
      </c>
      <c r="AT592" s="2" t="s">
        <v>32</v>
      </c>
      <c r="AU592" s="1">
        <f t="shared" si="75"/>
        <v>3.1103115267862202</v>
      </c>
      <c r="AV592" s="1">
        <f t="shared" si="76"/>
        <v>2.2439061114643053</v>
      </c>
      <c r="AW592" s="1">
        <f t="shared" si="77"/>
        <v>1.3775006961423899</v>
      </c>
    </row>
    <row r="593" spans="1:49" x14ac:dyDescent="0.2">
      <c r="A593">
        <v>591</v>
      </c>
      <c r="B593" t="s">
        <v>1919</v>
      </c>
      <c r="C593" t="s">
        <v>1918</v>
      </c>
      <c r="F593" t="s">
        <v>1917</v>
      </c>
      <c r="G593" t="s">
        <v>14</v>
      </c>
      <c r="H593" t="s">
        <v>13</v>
      </c>
      <c r="I593" t="s">
        <v>1916</v>
      </c>
      <c r="J593" t="s">
        <v>1915</v>
      </c>
      <c r="K593" t="s">
        <v>1914</v>
      </c>
      <c r="L593" t="s">
        <v>1913</v>
      </c>
      <c r="M593" t="s">
        <v>376</v>
      </c>
      <c r="N593">
        <v>4</v>
      </c>
      <c r="O593" t="s">
        <v>1912</v>
      </c>
      <c r="P593" t="s">
        <v>1911</v>
      </c>
      <c r="Q593" t="s">
        <v>1910</v>
      </c>
      <c r="R593" s="7">
        <v>31778</v>
      </c>
      <c r="S593" s="8">
        <f t="shared" si="72"/>
        <v>1987</v>
      </c>
      <c r="T593" s="8">
        <v>1987</v>
      </c>
      <c r="U593" s="8">
        <f t="shared" si="73"/>
        <v>35</v>
      </c>
      <c r="V593" s="7">
        <v>1987</v>
      </c>
      <c r="W593" t="s">
        <v>1909</v>
      </c>
      <c r="X593" s="2">
        <v>0.111</v>
      </c>
      <c r="Y593" s="6">
        <f t="shared" si="78"/>
        <v>2.9630816048690639E-3</v>
      </c>
      <c r="AA593">
        <v>87566621</v>
      </c>
      <c r="AB593">
        <v>24890</v>
      </c>
      <c r="AC593">
        <v>15206424</v>
      </c>
      <c r="AD593" t="s">
        <v>4</v>
      </c>
      <c r="AE593">
        <v>70</v>
      </c>
      <c r="AF593">
        <v>2</v>
      </c>
      <c r="AH593" t="s">
        <v>1908</v>
      </c>
      <c r="AI593" t="s">
        <v>1907</v>
      </c>
      <c r="AK593" t="s">
        <v>1906</v>
      </c>
      <c r="AL593">
        <v>0</v>
      </c>
      <c r="AM593" s="5">
        <f t="shared" si="74"/>
        <v>0</v>
      </c>
      <c r="AN593" s="4">
        <f t="shared" si="79"/>
        <v>0</v>
      </c>
      <c r="AO593" s="3"/>
      <c r="AP593">
        <v>0</v>
      </c>
      <c r="AR593" t="s">
        <v>0</v>
      </c>
      <c r="AT593" s="2" t="s">
        <v>32</v>
      </c>
      <c r="AU593" s="1">
        <f t="shared" si="75"/>
        <v>0.20741571234083445</v>
      </c>
      <c r="AV593" s="1">
        <f t="shared" si="76"/>
        <v>0.1481540802434532</v>
      </c>
      <c r="AW593" s="1">
        <f t="shared" si="77"/>
        <v>8.8892448146071903E-2</v>
      </c>
    </row>
    <row r="594" spans="1:49" x14ac:dyDescent="0.2">
      <c r="A594">
        <v>592</v>
      </c>
      <c r="B594" t="s">
        <v>1905</v>
      </c>
      <c r="C594" t="s">
        <v>1904</v>
      </c>
      <c r="F594" t="s">
        <v>1903</v>
      </c>
      <c r="G594" t="s">
        <v>14</v>
      </c>
      <c r="H594" t="s">
        <v>13</v>
      </c>
      <c r="I594" t="s">
        <v>1902</v>
      </c>
      <c r="J594">
        <v>60026175</v>
      </c>
      <c r="K594" t="s">
        <v>1901</v>
      </c>
      <c r="L594" t="s">
        <v>1900</v>
      </c>
      <c r="M594" t="s">
        <v>9</v>
      </c>
      <c r="N594">
        <v>3</v>
      </c>
      <c r="O594" t="s">
        <v>1899</v>
      </c>
      <c r="P594" t="s">
        <v>1898</v>
      </c>
      <c r="Q594" t="s">
        <v>1897</v>
      </c>
      <c r="R594" s="7">
        <v>31778</v>
      </c>
      <c r="S594" s="8">
        <f t="shared" si="72"/>
        <v>1987</v>
      </c>
      <c r="T594" s="8">
        <v>1987</v>
      </c>
      <c r="U594" s="8">
        <f t="shared" si="73"/>
        <v>35</v>
      </c>
      <c r="V594" s="7">
        <v>31809</v>
      </c>
      <c r="W594" t="s">
        <v>1530</v>
      </c>
      <c r="X594" s="2">
        <v>0.65500000000000003</v>
      </c>
      <c r="Y594" s="6">
        <f t="shared" si="78"/>
        <v>1.7484850911614749E-2</v>
      </c>
      <c r="AA594">
        <v>189375</v>
      </c>
      <c r="AB594">
        <v>26051</v>
      </c>
      <c r="AC594" t="s">
        <v>1529</v>
      </c>
      <c r="AD594" t="s">
        <v>4</v>
      </c>
      <c r="AE594" t="s">
        <v>1528</v>
      </c>
      <c r="AF594">
        <v>1</v>
      </c>
      <c r="AH594" s="10">
        <v>43009</v>
      </c>
      <c r="AI594" t="s">
        <v>1896</v>
      </c>
      <c r="AJ594" t="s">
        <v>1895</v>
      </c>
      <c r="AK594" t="s">
        <v>1894</v>
      </c>
      <c r="AL594">
        <v>1</v>
      </c>
      <c r="AM594" s="5">
        <f t="shared" si="74"/>
        <v>2.8571428571428571E-2</v>
      </c>
      <c r="AN594" s="4">
        <f t="shared" si="79"/>
        <v>4.32736517552875E-5</v>
      </c>
      <c r="AO594" s="3"/>
      <c r="AP594">
        <v>0</v>
      </c>
      <c r="AR594" t="s">
        <v>0</v>
      </c>
      <c r="AT594" s="2" t="s">
        <v>32</v>
      </c>
      <c r="AU594" s="1">
        <f t="shared" si="75"/>
        <v>1.225237773365691</v>
      </c>
      <c r="AV594" s="1">
        <f t="shared" si="76"/>
        <v>0.87640622816850189</v>
      </c>
      <c r="AW594" s="1">
        <f t="shared" si="77"/>
        <v>0.5275746829713126</v>
      </c>
    </row>
    <row r="595" spans="1:49" x14ac:dyDescent="0.2">
      <c r="A595">
        <v>593</v>
      </c>
      <c r="B595" t="s">
        <v>1893</v>
      </c>
      <c r="C595" t="s">
        <v>1892</v>
      </c>
      <c r="F595" t="s">
        <v>1891</v>
      </c>
      <c r="G595" t="s">
        <v>14</v>
      </c>
      <c r="H595" t="s">
        <v>13</v>
      </c>
      <c r="I595" t="s">
        <v>1890</v>
      </c>
      <c r="J595">
        <v>60038812</v>
      </c>
      <c r="K595" t="s">
        <v>1889</v>
      </c>
      <c r="L595" t="s">
        <v>1888</v>
      </c>
      <c r="M595" t="s">
        <v>1887</v>
      </c>
      <c r="N595">
        <v>1</v>
      </c>
      <c r="O595" t="s">
        <v>1886</v>
      </c>
      <c r="P595">
        <v>56222659200</v>
      </c>
      <c r="Q595">
        <v>60038812</v>
      </c>
      <c r="R595" s="7">
        <v>31778</v>
      </c>
      <c r="S595" s="8">
        <f t="shared" si="72"/>
        <v>1987</v>
      </c>
      <c r="T595" s="8">
        <v>1987</v>
      </c>
      <c r="U595" s="8">
        <f t="shared" si="73"/>
        <v>35</v>
      </c>
      <c r="V595" s="7">
        <v>31809</v>
      </c>
      <c r="W595" t="s">
        <v>1530</v>
      </c>
      <c r="X595" s="2">
        <v>0.65500000000000003</v>
      </c>
      <c r="Y595" s="6">
        <f t="shared" si="78"/>
        <v>1.7484850911614749E-2</v>
      </c>
      <c r="AA595">
        <v>189375</v>
      </c>
      <c r="AB595">
        <v>26051</v>
      </c>
      <c r="AC595" t="s">
        <v>1529</v>
      </c>
      <c r="AD595" t="s">
        <v>4</v>
      </c>
      <c r="AE595" t="s">
        <v>1528</v>
      </c>
      <c r="AF595">
        <v>1</v>
      </c>
      <c r="AH595" t="s">
        <v>1885</v>
      </c>
      <c r="AI595" t="s">
        <v>1884</v>
      </c>
      <c r="AJ595" t="s">
        <v>1883</v>
      </c>
      <c r="AK595" t="s">
        <v>1882</v>
      </c>
      <c r="AL595">
        <v>6</v>
      </c>
      <c r="AM595" s="5">
        <f t="shared" si="74"/>
        <v>0.17142857142857143</v>
      </c>
      <c r="AN595" s="4">
        <f t="shared" si="79"/>
        <v>2.5964191053172501E-4</v>
      </c>
      <c r="AO595" s="3"/>
      <c r="AP595">
        <v>0</v>
      </c>
      <c r="AR595" t="s">
        <v>0</v>
      </c>
      <c r="AT595" s="2" t="s">
        <v>32</v>
      </c>
      <c r="AU595" s="1">
        <f t="shared" si="75"/>
        <v>1.2317288211289841</v>
      </c>
      <c r="AV595" s="1">
        <f t="shared" si="76"/>
        <v>0.88722464110732369</v>
      </c>
      <c r="AW595" s="1">
        <f t="shared" si="77"/>
        <v>0.54272046108566319</v>
      </c>
    </row>
    <row r="596" spans="1:49" x14ac:dyDescent="0.2">
      <c r="A596">
        <v>594</v>
      </c>
      <c r="B596" t="s">
        <v>1881</v>
      </c>
      <c r="C596" t="s">
        <v>1880</v>
      </c>
      <c r="F596" t="s">
        <v>1879</v>
      </c>
      <c r="G596" t="s">
        <v>14</v>
      </c>
      <c r="H596" t="s">
        <v>13</v>
      </c>
      <c r="I596" t="s">
        <v>1722</v>
      </c>
      <c r="J596">
        <v>60001439</v>
      </c>
      <c r="K596" t="s">
        <v>1721</v>
      </c>
      <c r="L596" t="s">
        <v>1720</v>
      </c>
      <c r="M596" t="s">
        <v>9</v>
      </c>
      <c r="N596">
        <v>4</v>
      </c>
      <c r="O596" t="s">
        <v>1878</v>
      </c>
      <c r="P596" t="s">
        <v>1877</v>
      </c>
      <c r="Q596" t="s">
        <v>1876</v>
      </c>
      <c r="R596" s="7">
        <v>31778</v>
      </c>
      <c r="S596" s="8">
        <f t="shared" si="72"/>
        <v>1987</v>
      </c>
      <c r="T596" s="8">
        <v>1987</v>
      </c>
      <c r="U596" s="8">
        <f t="shared" si="73"/>
        <v>35</v>
      </c>
      <c r="V596" s="7" t="s">
        <v>1370</v>
      </c>
      <c r="W596" t="s">
        <v>336</v>
      </c>
      <c r="X596" s="2">
        <v>1.6519999999999999</v>
      </c>
      <c r="Y596" s="6">
        <f t="shared" si="78"/>
        <v>4.409919649769093E-2</v>
      </c>
      <c r="AA596" t="s">
        <v>335</v>
      </c>
      <c r="AB596">
        <v>17337</v>
      </c>
      <c r="AD596" t="s">
        <v>4</v>
      </c>
      <c r="AE596" t="s">
        <v>1653</v>
      </c>
      <c r="AF596">
        <v>2</v>
      </c>
      <c r="AH596" t="s">
        <v>1875</v>
      </c>
      <c r="AI596" t="s">
        <v>1874</v>
      </c>
      <c r="AK596" t="s">
        <v>1873</v>
      </c>
      <c r="AL596">
        <v>19</v>
      </c>
      <c r="AM596" s="5">
        <f t="shared" si="74"/>
        <v>0.54285714285714282</v>
      </c>
      <c r="AN596" s="4">
        <f t="shared" si="79"/>
        <v>8.221993833504624E-4</v>
      </c>
      <c r="AO596" s="3"/>
      <c r="AP596">
        <v>0</v>
      </c>
      <c r="AR596" t="s">
        <v>0</v>
      </c>
      <c r="AT596" s="2" t="s">
        <v>32</v>
      </c>
      <c r="AU596" s="1">
        <f t="shared" si="75"/>
        <v>3.1116097363388788</v>
      </c>
      <c r="AV596" s="1">
        <f t="shared" si="76"/>
        <v>2.2460697940520697</v>
      </c>
      <c r="AW596" s="1">
        <f t="shared" si="77"/>
        <v>1.3805298517652602</v>
      </c>
    </row>
    <row r="597" spans="1:49" x14ac:dyDescent="0.2">
      <c r="A597">
        <v>595</v>
      </c>
      <c r="B597" t="s">
        <v>1872</v>
      </c>
      <c r="C597" t="s">
        <v>1871</v>
      </c>
      <c r="F597" t="s">
        <v>1870</v>
      </c>
      <c r="G597" t="s">
        <v>14</v>
      </c>
      <c r="H597" t="s">
        <v>13</v>
      </c>
      <c r="I597" t="s">
        <v>1869</v>
      </c>
      <c r="J597">
        <v>60009697</v>
      </c>
      <c r="K597" t="s">
        <v>1573</v>
      </c>
      <c r="L597" t="s">
        <v>1572</v>
      </c>
      <c r="M597" t="s">
        <v>685</v>
      </c>
      <c r="N597">
        <v>2</v>
      </c>
      <c r="O597" t="s">
        <v>1868</v>
      </c>
      <c r="P597" t="s">
        <v>1867</v>
      </c>
      <c r="Q597" t="s">
        <v>1569</v>
      </c>
      <c r="R597" s="7">
        <v>31778</v>
      </c>
      <c r="S597" s="8">
        <f t="shared" si="72"/>
        <v>1987</v>
      </c>
      <c r="T597" s="8">
        <v>1987</v>
      </c>
      <c r="U597" s="8">
        <f t="shared" si="73"/>
        <v>35</v>
      </c>
      <c r="V597" s="7" t="s">
        <v>1370</v>
      </c>
      <c r="W597" t="s">
        <v>1866</v>
      </c>
      <c r="X597" s="2" t="s">
        <v>32</v>
      </c>
      <c r="Y597" s="6" t="e">
        <f t="shared" si="78"/>
        <v>#VALUE!</v>
      </c>
      <c r="AA597">
        <v>84204</v>
      </c>
      <c r="AB597">
        <v>27420</v>
      </c>
      <c r="AD597" t="s">
        <v>4</v>
      </c>
      <c r="AE597">
        <v>65</v>
      </c>
      <c r="AF597">
        <v>2</v>
      </c>
      <c r="AH597" t="s">
        <v>1865</v>
      </c>
      <c r="AI597" t="s">
        <v>1864</v>
      </c>
      <c r="AK597" t="s">
        <v>1863</v>
      </c>
      <c r="AL597">
        <v>0</v>
      </c>
      <c r="AM597" s="5">
        <f t="shared" si="74"/>
        <v>0</v>
      </c>
      <c r="AN597" s="4">
        <f t="shared" si="79"/>
        <v>0</v>
      </c>
      <c r="AO597" s="3"/>
      <c r="AP597">
        <v>0</v>
      </c>
      <c r="AR597" t="s">
        <v>0</v>
      </c>
      <c r="AT597" s="2">
        <v>1.24</v>
      </c>
      <c r="AU597" s="1" t="e">
        <f t="shared" si="75"/>
        <v>#VALUE!</v>
      </c>
      <c r="AV597" s="1" t="e">
        <f t="shared" si="76"/>
        <v>#VALUE!</v>
      </c>
      <c r="AW597" s="1" t="e">
        <f t="shared" si="77"/>
        <v>#VALUE!</v>
      </c>
    </row>
    <row r="598" spans="1:49" x14ac:dyDescent="0.2">
      <c r="A598">
        <v>596</v>
      </c>
      <c r="B598" t="s">
        <v>1862</v>
      </c>
      <c r="C598" t="s">
        <v>1861</v>
      </c>
      <c r="F598" t="s">
        <v>1860</v>
      </c>
      <c r="G598" t="s">
        <v>14</v>
      </c>
      <c r="H598" t="s">
        <v>13</v>
      </c>
      <c r="I598" t="s">
        <v>1859</v>
      </c>
      <c r="J598" t="s">
        <v>1858</v>
      </c>
      <c r="K598" t="s">
        <v>1857</v>
      </c>
      <c r="L598" t="s">
        <v>1856</v>
      </c>
      <c r="M598" t="s">
        <v>1855</v>
      </c>
      <c r="N598">
        <v>3</v>
      </c>
      <c r="O598" t="s">
        <v>1854</v>
      </c>
      <c r="P598" t="s">
        <v>1853</v>
      </c>
      <c r="Q598" t="s">
        <v>1852</v>
      </c>
      <c r="R598" s="7">
        <v>31778</v>
      </c>
      <c r="S598" s="8">
        <f t="shared" si="72"/>
        <v>1987</v>
      </c>
      <c r="T598" s="8">
        <v>1987</v>
      </c>
      <c r="U598" s="8">
        <f t="shared" si="73"/>
        <v>35</v>
      </c>
      <c r="V598" s="7">
        <v>31809</v>
      </c>
      <c r="W598" t="s">
        <v>1833</v>
      </c>
      <c r="X598" s="2">
        <v>1.3720000000000001</v>
      </c>
      <c r="Y598" s="6">
        <f t="shared" si="78"/>
        <v>3.662475641333654E-2</v>
      </c>
      <c r="AA598">
        <v>189480</v>
      </c>
      <c r="AB598">
        <v>17366</v>
      </c>
      <c r="AC598">
        <v>15579670</v>
      </c>
      <c r="AD598" t="s">
        <v>4</v>
      </c>
      <c r="AE598">
        <v>35</v>
      </c>
      <c r="AF598">
        <v>2</v>
      </c>
      <c r="AH598" t="s">
        <v>1851</v>
      </c>
      <c r="AI598" t="s">
        <v>1850</v>
      </c>
      <c r="AK598" t="s">
        <v>1849</v>
      </c>
      <c r="AL598">
        <v>19</v>
      </c>
      <c r="AM598" s="5">
        <f t="shared" si="74"/>
        <v>0.54285714285714282</v>
      </c>
      <c r="AN598" s="4">
        <f t="shared" si="79"/>
        <v>8.221993833504624E-4</v>
      </c>
      <c r="AO598" s="3"/>
      <c r="AP598">
        <v>0</v>
      </c>
      <c r="AR598" t="s">
        <v>0</v>
      </c>
      <c r="AT598" s="2" t="s">
        <v>32</v>
      </c>
      <c r="AU598" s="1">
        <f t="shared" si="75"/>
        <v>2.5883989304340718</v>
      </c>
      <c r="AV598" s="1">
        <f t="shared" si="76"/>
        <v>1.8723477898343504</v>
      </c>
      <c r="AW598" s="1">
        <f t="shared" si="77"/>
        <v>1.1562966492346287</v>
      </c>
    </row>
    <row r="599" spans="1:49" x14ac:dyDescent="0.2">
      <c r="A599">
        <v>597</v>
      </c>
      <c r="B599" t="s">
        <v>1848</v>
      </c>
      <c r="C599" t="s">
        <v>1847</v>
      </c>
      <c r="F599" t="s">
        <v>1846</v>
      </c>
      <c r="G599" t="s">
        <v>14</v>
      </c>
      <c r="H599" t="s">
        <v>13</v>
      </c>
      <c r="I599" t="s">
        <v>1845</v>
      </c>
      <c r="J599">
        <v>60021097</v>
      </c>
      <c r="K599" t="s">
        <v>1844</v>
      </c>
      <c r="L599" t="s">
        <v>1843</v>
      </c>
      <c r="M599" t="s">
        <v>586</v>
      </c>
      <c r="N599">
        <v>1</v>
      </c>
      <c r="O599" t="s">
        <v>1842</v>
      </c>
      <c r="P599">
        <v>7004675477</v>
      </c>
      <c r="Q599">
        <v>60021097</v>
      </c>
      <c r="R599" s="7">
        <v>31778</v>
      </c>
      <c r="S599" s="8">
        <f t="shared" si="72"/>
        <v>1987</v>
      </c>
      <c r="T599" s="8">
        <v>1987</v>
      </c>
      <c r="U599" s="8">
        <f t="shared" si="73"/>
        <v>35</v>
      </c>
      <c r="V599" s="7">
        <v>1987</v>
      </c>
      <c r="W599" t="s">
        <v>429</v>
      </c>
      <c r="X599" s="2">
        <v>0.375</v>
      </c>
      <c r="Y599" s="6">
        <f t="shared" si="78"/>
        <v>1.0010410827260351E-2</v>
      </c>
      <c r="AA599">
        <v>135194</v>
      </c>
      <c r="AB599">
        <v>24918</v>
      </c>
      <c r="AD599" t="s">
        <v>4</v>
      </c>
      <c r="AE599">
        <v>23</v>
      </c>
      <c r="AF599">
        <v>5</v>
      </c>
      <c r="AH599" t="s">
        <v>1841</v>
      </c>
      <c r="AI599" t="s">
        <v>1840</v>
      </c>
      <c r="AJ599" t="s">
        <v>1437</v>
      </c>
      <c r="AK599" t="s">
        <v>1839</v>
      </c>
      <c r="AL599">
        <v>2</v>
      </c>
      <c r="AM599" s="5">
        <f t="shared" si="74"/>
        <v>5.7142857142857141E-2</v>
      </c>
      <c r="AN599" s="4">
        <f t="shared" si="79"/>
        <v>8.6547303510575E-5</v>
      </c>
      <c r="AO599" s="3"/>
      <c r="AP599">
        <v>0</v>
      </c>
      <c r="AR599" t="s">
        <v>0</v>
      </c>
      <c r="AT599" s="2">
        <v>1.3140000000000001</v>
      </c>
      <c r="AU599" s="1">
        <f t="shared" si="75"/>
        <v>0.7033251770135418</v>
      </c>
      <c r="AV599" s="1">
        <f t="shared" si="76"/>
        <v>0.50484790653854639</v>
      </c>
      <c r="AW599" s="1">
        <f t="shared" si="77"/>
        <v>0.30637063606355081</v>
      </c>
    </row>
    <row r="600" spans="1:49" x14ac:dyDescent="0.2">
      <c r="A600">
        <v>598</v>
      </c>
      <c r="B600" t="s">
        <v>1838</v>
      </c>
      <c r="C600" t="s">
        <v>1837</v>
      </c>
      <c r="F600" t="s">
        <v>1836</v>
      </c>
      <c r="G600" t="s">
        <v>14</v>
      </c>
      <c r="H600" t="s">
        <v>13</v>
      </c>
      <c r="I600" t="s">
        <v>1166</v>
      </c>
      <c r="J600">
        <v>60023053</v>
      </c>
      <c r="K600" t="s">
        <v>1165</v>
      </c>
      <c r="L600" t="s">
        <v>1164</v>
      </c>
      <c r="M600" t="s">
        <v>9</v>
      </c>
      <c r="N600">
        <v>2</v>
      </c>
      <c r="O600" t="s">
        <v>1835</v>
      </c>
      <c r="P600" t="s">
        <v>1834</v>
      </c>
      <c r="Q600" t="s">
        <v>1161</v>
      </c>
      <c r="R600" s="7">
        <v>31778</v>
      </c>
      <c r="S600" s="8">
        <f t="shared" si="72"/>
        <v>1987</v>
      </c>
      <c r="T600" s="8">
        <v>1987</v>
      </c>
      <c r="U600" s="8">
        <f t="shared" si="73"/>
        <v>35</v>
      </c>
      <c r="V600" s="7">
        <v>31809</v>
      </c>
      <c r="W600" t="s">
        <v>1833</v>
      </c>
      <c r="X600" s="2">
        <v>1.3720000000000001</v>
      </c>
      <c r="Y600" s="6">
        <f t="shared" si="78"/>
        <v>3.662475641333654E-2</v>
      </c>
      <c r="AA600">
        <v>189480</v>
      </c>
      <c r="AB600">
        <v>17366</v>
      </c>
      <c r="AC600">
        <v>15579670</v>
      </c>
      <c r="AD600" t="s">
        <v>4</v>
      </c>
      <c r="AE600">
        <v>35</v>
      </c>
      <c r="AF600">
        <v>2</v>
      </c>
      <c r="AH600" t="s">
        <v>1832</v>
      </c>
      <c r="AI600" t="s">
        <v>1831</v>
      </c>
      <c r="AK600" t="s">
        <v>1830</v>
      </c>
      <c r="AL600">
        <v>66</v>
      </c>
      <c r="AM600" s="5">
        <f t="shared" si="74"/>
        <v>1.8857142857142857</v>
      </c>
      <c r="AN600" s="4">
        <f t="shared" si="79"/>
        <v>2.8560610158489749E-3</v>
      </c>
      <c r="AO600" s="3"/>
      <c r="AP600">
        <v>0</v>
      </c>
      <c r="AR600" t="s">
        <v>0</v>
      </c>
      <c r="AT600" s="2" t="s">
        <v>32</v>
      </c>
      <c r="AU600" s="1">
        <f t="shared" si="75"/>
        <v>2.6494147794090268</v>
      </c>
      <c r="AV600" s="1">
        <f t="shared" si="76"/>
        <v>1.9740408714592756</v>
      </c>
      <c r="AW600" s="1">
        <f t="shared" si="77"/>
        <v>1.2986669635095245</v>
      </c>
    </row>
    <row r="601" spans="1:49" x14ac:dyDescent="0.2">
      <c r="A601">
        <v>599</v>
      </c>
      <c r="B601" t="s">
        <v>1829</v>
      </c>
      <c r="C601" t="s">
        <v>1828</v>
      </c>
      <c r="F601" t="s">
        <v>1827</v>
      </c>
      <c r="G601" t="s">
        <v>14</v>
      </c>
      <c r="H601" t="s">
        <v>13</v>
      </c>
      <c r="I601" t="s">
        <v>1826</v>
      </c>
      <c r="J601">
        <v>60022109</v>
      </c>
      <c r="K601" t="s">
        <v>1825</v>
      </c>
      <c r="L601" t="s">
        <v>587</v>
      </c>
      <c r="M601" t="s">
        <v>586</v>
      </c>
      <c r="N601">
        <v>3</v>
      </c>
      <c r="O601" t="s">
        <v>1824</v>
      </c>
      <c r="P601" t="s">
        <v>1823</v>
      </c>
      <c r="Q601" t="s">
        <v>1822</v>
      </c>
      <c r="R601" s="7">
        <v>31778</v>
      </c>
      <c r="S601" s="8">
        <f t="shared" si="72"/>
        <v>1987</v>
      </c>
      <c r="T601" s="8">
        <v>1987</v>
      </c>
      <c r="U601" s="8">
        <f t="shared" si="73"/>
        <v>35</v>
      </c>
      <c r="V601" s="7">
        <v>1987</v>
      </c>
      <c r="W601" t="s">
        <v>429</v>
      </c>
      <c r="X601" s="2">
        <v>0.375</v>
      </c>
      <c r="Y601" s="6">
        <f t="shared" si="78"/>
        <v>1.0010410827260351E-2</v>
      </c>
      <c r="AA601">
        <v>135194</v>
      </c>
      <c r="AB601">
        <v>24918</v>
      </c>
      <c r="AD601" t="s">
        <v>4</v>
      </c>
      <c r="AE601">
        <v>23</v>
      </c>
      <c r="AF601">
        <v>5</v>
      </c>
      <c r="AH601" t="s">
        <v>1821</v>
      </c>
      <c r="AI601" t="s">
        <v>1820</v>
      </c>
      <c r="AJ601" t="s">
        <v>1819</v>
      </c>
      <c r="AK601" t="s">
        <v>1818</v>
      </c>
      <c r="AL601">
        <v>0</v>
      </c>
      <c r="AM601" s="5">
        <f t="shared" si="74"/>
        <v>0</v>
      </c>
      <c r="AN601" s="4">
        <f t="shared" si="79"/>
        <v>0</v>
      </c>
      <c r="AO601" s="3"/>
      <c r="AP601">
        <v>0</v>
      </c>
      <c r="AR601" t="s">
        <v>0</v>
      </c>
      <c r="AT601" s="2">
        <v>1.3140000000000001</v>
      </c>
      <c r="AU601" s="1">
        <f t="shared" si="75"/>
        <v>0.70072875790822453</v>
      </c>
      <c r="AV601" s="1">
        <f t="shared" si="76"/>
        <v>0.5005205413630176</v>
      </c>
      <c r="AW601" s="1">
        <f t="shared" si="77"/>
        <v>0.30031232481781051</v>
      </c>
    </row>
    <row r="602" spans="1:49" x14ac:dyDescent="0.2">
      <c r="A602">
        <v>600</v>
      </c>
      <c r="B602" t="s">
        <v>1817</v>
      </c>
      <c r="C602" t="s">
        <v>1816</v>
      </c>
      <c r="F602" t="s">
        <v>1815</v>
      </c>
      <c r="G602" t="s">
        <v>14</v>
      </c>
      <c r="H602" t="s">
        <v>13</v>
      </c>
      <c r="I602" t="s">
        <v>1814</v>
      </c>
      <c r="J602">
        <v>60025555</v>
      </c>
      <c r="K602" t="s">
        <v>550</v>
      </c>
      <c r="L602" t="s">
        <v>549</v>
      </c>
      <c r="M602" t="s">
        <v>524</v>
      </c>
      <c r="N602">
        <v>2</v>
      </c>
      <c r="O602" t="s">
        <v>1813</v>
      </c>
      <c r="P602" t="s">
        <v>1812</v>
      </c>
      <c r="Q602" t="s">
        <v>1811</v>
      </c>
      <c r="R602" s="7">
        <v>31778</v>
      </c>
      <c r="S602" s="8">
        <f t="shared" si="72"/>
        <v>1987</v>
      </c>
      <c r="T602" s="8">
        <v>1987</v>
      </c>
      <c r="U602" s="8">
        <f t="shared" si="73"/>
        <v>35</v>
      </c>
      <c r="V602" s="7">
        <v>1987</v>
      </c>
      <c r="W602" t="s">
        <v>1810</v>
      </c>
      <c r="X602" s="2">
        <v>2.823</v>
      </c>
      <c r="Y602" s="6">
        <f t="shared" si="78"/>
        <v>7.5358372707615917E-2</v>
      </c>
      <c r="AA602">
        <v>1636804</v>
      </c>
      <c r="AB602">
        <v>17249</v>
      </c>
      <c r="AD602" t="s">
        <v>4</v>
      </c>
      <c r="AE602">
        <v>25</v>
      </c>
      <c r="AF602">
        <v>2</v>
      </c>
      <c r="AH602" t="s">
        <v>1029</v>
      </c>
      <c r="AL602">
        <v>1</v>
      </c>
      <c r="AM602" s="5">
        <f t="shared" si="74"/>
        <v>2.8571428571428571E-2</v>
      </c>
      <c r="AN602" s="4">
        <f t="shared" si="79"/>
        <v>4.32736517552875E-5</v>
      </c>
      <c r="AO602" s="3"/>
      <c r="AP602">
        <v>0</v>
      </c>
      <c r="AR602" t="s">
        <v>0</v>
      </c>
      <c r="AT602" s="2">
        <v>9.6189999999999998</v>
      </c>
      <c r="AU602" s="1">
        <f t="shared" si="75"/>
        <v>5.2763842990857723</v>
      </c>
      <c r="AV602" s="1">
        <f t="shared" si="76"/>
        <v>3.7700823179685603</v>
      </c>
      <c r="AW602" s="1">
        <f t="shared" si="77"/>
        <v>2.2637803368513474</v>
      </c>
    </row>
    <row r="603" spans="1:49" x14ac:dyDescent="0.2">
      <c r="A603">
        <v>601</v>
      </c>
      <c r="B603" t="s">
        <v>1809</v>
      </c>
      <c r="C603" t="s">
        <v>1808</v>
      </c>
      <c r="F603" t="s">
        <v>1807</v>
      </c>
      <c r="G603" t="s">
        <v>14</v>
      </c>
      <c r="H603" t="s">
        <v>13</v>
      </c>
      <c r="I603" t="s">
        <v>1806</v>
      </c>
      <c r="J603">
        <v>60022195</v>
      </c>
      <c r="K603" t="s">
        <v>311</v>
      </c>
      <c r="L603" t="s">
        <v>310</v>
      </c>
      <c r="M603" t="s">
        <v>9</v>
      </c>
      <c r="N603">
        <v>9</v>
      </c>
      <c r="O603" t="s">
        <v>1805</v>
      </c>
      <c r="P603" t="s">
        <v>1804</v>
      </c>
      <c r="Q603" t="s">
        <v>1803</v>
      </c>
      <c r="R603" s="7">
        <v>31778</v>
      </c>
      <c r="S603" s="8">
        <f t="shared" si="72"/>
        <v>1987</v>
      </c>
      <c r="T603" s="8">
        <v>1987</v>
      </c>
      <c r="U603" s="8">
        <f t="shared" si="73"/>
        <v>35</v>
      </c>
      <c r="V603" s="7">
        <v>31809</v>
      </c>
      <c r="W603" t="s">
        <v>908</v>
      </c>
      <c r="X603" s="2">
        <v>1.774</v>
      </c>
      <c r="Y603" s="6">
        <f t="shared" si="78"/>
        <v>4.7355916820159633E-2</v>
      </c>
      <c r="AA603">
        <v>295515</v>
      </c>
      <c r="AB603">
        <v>29066</v>
      </c>
      <c r="AC603">
        <v>17414326</v>
      </c>
      <c r="AD603" t="s">
        <v>4</v>
      </c>
      <c r="AE603">
        <v>27</v>
      </c>
      <c r="AF603">
        <v>2</v>
      </c>
      <c r="AH603" t="s">
        <v>1802</v>
      </c>
      <c r="AI603" t="s">
        <v>1801</v>
      </c>
      <c r="AK603" t="s">
        <v>1800</v>
      </c>
      <c r="AL603">
        <v>21</v>
      </c>
      <c r="AM603" s="5">
        <f t="shared" si="74"/>
        <v>0.6</v>
      </c>
      <c r="AN603" s="4">
        <f t="shared" si="79"/>
        <v>9.0874668686103744E-4</v>
      </c>
      <c r="AO603" s="3"/>
      <c r="AP603">
        <v>0</v>
      </c>
      <c r="AR603" t="s">
        <v>0</v>
      </c>
      <c r="AT603" s="2">
        <v>3.1789999999999998</v>
      </c>
      <c r="AU603" s="1">
        <f t="shared" si="75"/>
        <v>3.3421765780170052</v>
      </c>
      <c r="AV603" s="1">
        <f t="shared" si="76"/>
        <v>2.4132331753510332</v>
      </c>
      <c r="AW603" s="1">
        <f t="shared" si="77"/>
        <v>1.4842897726850615</v>
      </c>
    </row>
    <row r="604" spans="1:49" x14ac:dyDescent="0.2">
      <c r="A604">
        <v>602</v>
      </c>
      <c r="B604" t="s">
        <v>1799</v>
      </c>
      <c r="C604" t="s">
        <v>1798</v>
      </c>
      <c r="F604" t="s">
        <v>1797</v>
      </c>
      <c r="G604" t="s">
        <v>14</v>
      </c>
      <c r="H604" t="s">
        <v>13</v>
      </c>
      <c r="I604" t="s">
        <v>1796</v>
      </c>
      <c r="J604">
        <v>60003500</v>
      </c>
      <c r="K604" t="s">
        <v>1097</v>
      </c>
      <c r="L604" t="s">
        <v>1096</v>
      </c>
      <c r="M604" t="s">
        <v>9</v>
      </c>
      <c r="N604">
        <v>4</v>
      </c>
      <c r="O604" t="s">
        <v>1795</v>
      </c>
      <c r="P604" t="s">
        <v>1794</v>
      </c>
      <c r="Q604" t="s">
        <v>1793</v>
      </c>
      <c r="R604" s="7">
        <v>31778</v>
      </c>
      <c r="S604" s="8">
        <f t="shared" si="72"/>
        <v>1987</v>
      </c>
      <c r="T604" s="8">
        <v>1987</v>
      </c>
      <c r="U604" s="8">
        <f t="shared" si="73"/>
        <v>35</v>
      </c>
      <c r="V604" s="7" t="s">
        <v>1370</v>
      </c>
      <c r="W604" t="s">
        <v>336</v>
      </c>
      <c r="X604" s="2">
        <v>1.6519999999999999</v>
      </c>
      <c r="Y604" s="6">
        <f t="shared" si="78"/>
        <v>4.409919649769093E-2</v>
      </c>
      <c r="AA604" t="s">
        <v>335</v>
      </c>
      <c r="AB604">
        <v>17337</v>
      </c>
      <c r="AD604" t="s">
        <v>4</v>
      </c>
      <c r="AE604" t="s">
        <v>1653</v>
      </c>
      <c r="AF604">
        <v>2</v>
      </c>
      <c r="AH604" t="s">
        <v>1792</v>
      </c>
      <c r="AI604" t="s">
        <v>1791</v>
      </c>
      <c r="AK604" t="s">
        <v>1790</v>
      </c>
      <c r="AL604">
        <v>30</v>
      </c>
      <c r="AM604" s="5">
        <f t="shared" si="74"/>
        <v>0.8571428571428571</v>
      </c>
      <c r="AN604" s="4">
        <f t="shared" si="79"/>
        <v>1.2982095526586248E-3</v>
      </c>
      <c r="AO604" s="3"/>
      <c r="AP604">
        <v>0</v>
      </c>
      <c r="AR604" t="s">
        <v>0</v>
      </c>
      <c r="AT604" s="2" t="s">
        <v>32</v>
      </c>
      <c r="AU604" s="1">
        <f t="shared" si="75"/>
        <v>3.1258900414181237</v>
      </c>
      <c r="AV604" s="1">
        <f t="shared" si="76"/>
        <v>2.2698703025174778</v>
      </c>
      <c r="AW604" s="1">
        <f t="shared" si="77"/>
        <v>1.4138505636168315</v>
      </c>
    </row>
    <row r="605" spans="1:49" x14ac:dyDescent="0.2">
      <c r="A605">
        <v>603</v>
      </c>
      <c r="B605" t="s">
        <v>1789</v>
      </c>
      <c r="C605" t="s">
        <v>1788</v>
      </c>
      <c r="F605" t="s">
        <v>1787</v>
      </c>
      <c r="G605" t="s">
        <v>14</v>
      </c>
      <c r="H605" t="s">
        <v>13</v>
      </c>
      <c r="I605" t="s">
        <v>1786</v>
      </c>
      <c r="J605">
        <v>60021378</v>
      </c>
      <c r="K605" t="s">
        <v>1785</v>
      </c>
      <c r="L605" t="s">
        <v>1784</v>
      </c>
      <c r="M605" t="s">
        <v>9</v>
      </c>
      <c r="N605">
        <v>4</v>
      </c>
      <c r="O605" t="s">
        <v>1783</v>
      </c>
      <c r="P605" t="s">
        <v>1782</v>
      </c>
      <c r="Q605" t="s">
        <v>1781</v>
      </c>
      <c r="R605" s="7">
        <v>31778</v>
      </c>
      <c r="S605" s="8">
        <f t="shared" si="72"/>
        <v>1987</v>
      </c>
      <c r="T605" s="8">
        <v>1987</v>
      </c>
      <c r="U605" s="8">
        <f t="shared" si="73"/>
        <v>35</v>
      </c>
      <c r="V605" s="7">
        <v>1987</v>
      </c>
      <c r="W605" t="s">
        <v>429</v>
      </c>
      <c r="X605" s="2">
        <v>0.375</v>
      </c>
      <c r="Y605" s="6">
        <f t="shared" si="78"/>
        <v>1.0010410827260351E-2</v>
      </c>
      <c r="AA605">
        <v>135194</v>
      </c>
      <c r="AB605">
        <v>24918</v>
      </c>
      <c r="AD605" t="s">
        <v>4</v>
      </c>
      <c r="AE605">
        <v>23</v>
      </c>
      <c r="AF605">
        <v>5</v>
      </c>
      <c r="AH605" t="s">
        <v>1780</v>
      </c>
      <c r="AI605" t="s">
        <v>1779</v>
      </c>
      <c r="AJ605" t="s">
        <v>1778</v>
      </c>
      <c r="AK605" t="s">
        <v>1777</v>
      </c>
      <c r="AL605">
        <v>9</v>
      </c>
      <c r="AM605" s="5">
        <f t="shared" si="74"/>
        <v>0.25714285714285712</v>
      </c>
      <c r="AN605" s="4">
        <f t="shared" si="79"/>
        <v>3.8946286579758747E-4</v>
      </c>
      <c r="AO605" s="3"/>
      <c r="AP605">
        <v>0</v>
      </c>
      <c r="AR605" t="s">
        <v>0</v>
      </c>
      <c r="AT605" s="2">
        <v>1.3140000000000001</v>
      </c>
      <c r="AU605" s="1">
        <f t="shared" si="75"/>
        <v>0.7124126438821522</v>
      </c>
      <c r="AV605" s="1">
        <f t="shared" si="76"/>
        <v>0.51999368465289697</v>
      </c>
      <c r="AW605" s="1">
        <f t="shared" si="77"/>
        <v>0.32757472542364163</v>
      </c>
    </row>
    <row r="606" spans="1:49" x14ac:dyDescent="0.2">
      <c r="A606">
        <v>604</v>
      </c>
      <c r="B606" t="s">
        <v>1776</v>
      </c>
      <c r="C606" t="s">
        <v>1775</v>
      </c>
      <c r="F606" t="s">
        <v>1774</v>
      </c>
      <c r="G606" t="s">
        <v>14</v>
      </c>
      <c r="H606" t="s">
        <v>13</v>
      </c>
      <c r="I606" t="s">
        <v>1773</v>
      </c>
      <c r="N606">
        <v>1</v>
      </c>
      <c r="O606" t="s">
        <v>1772</v>
      </c>
      <c r="P606">
        <v>24512080300</v>
      </c>
      <c r="R606" s="7">
        <v>31778</v>
      </c>
      <c r="S606" s="8">
        <f t="shared" si="72"/>
        <v>1987</v>
      </c>
      <c r="T606" s="8">
        <v>1987</v>
      </c>
      <c r="U606" s="8">
        <f t="shared" si="73"/>
        <v>35</v>
      </c>
      <c r="V606" s="7" t="s">
        <v>1370</v>
      </c>
      <c r="W606" t="s">
        <v>336</v>
      </c>
      <c r="X606" s="2">
        <v>1.6519999999999999</v>
      </c>
      <c r="Y606" s="6">
        <f t="shared" si="78"/>
        <v>4.409919649769093E-2</v>
      </c>
      <c r="AA606" t="s">
        <v>335</v>
      </c>
      <c r="AB606">
        <v>17337</v>
      </c>
      <c r="AD606" t="s">
        <v>4</v>
      </c>
      <c r="AE606" t="s">
        <v>1653</v>
      </c>
      <c r="AF606">
        <v>2</v>
      </c>
      <c r="AH606" t="s">
        <v>1771</v>
      </c>
      <c r="AI606" t="s">
        <v>1770</v>
      </c>
      <c r="AK606" t="s">
        <v>1769</v>
      </c>
      <c r="AL606">
        <v>2</v>
      </c>
      <c r="AM606" s="5">
        <f t="shared" si="74"/>
        <v>5.7142857142857141E-2</v>
      </c>
      <c r="AN606" s="4">
        <f t="shared" si="79"/>
        <v>8.6547303510575E-5</v>
      </c>
      <c r="AO606" s="3"/>
      <c r="AP606">
        <v>0</v>
      </c>
      <c r="AR606" t="s">
        <v>0</v>
      </c>
      <c r="AT606" s="2" t="s">
        <v>32</v>
      </c>
      <c r="AU606" s="1">
        <f t="shared" si="75"/>
        <v>3.0895401739436825</v>
      </c>
      <c r="AV606" s="1">
        <f t="shared" si="76"/>
        <v>2.2092871900600755</v>
      </c>
      <c r="AW606" s="1">
        <f t="shared" si="77"/>
        <v>1.3290342061764679</v>
      </c>
    </row>
    <row r="607" spans="1:49" x14ac:dyDescent="0.2">
      <c r="A607">
        <v>605</v>
      </c>
      <c r="B607" t="s">
        <v>1768</v>
      </c>
      <c r="C607" t="s">
        <v>1767</v>
      </c>
      <c r="F607" t="s">
        <v>1766</v>
      </c>
      <c r="G607" t="s">
        <v>14</v>
      </c>
      <c r="H607" t="s">
        <v>13</v>
      </c>
      <c r="I607" t="s">
        <v>1765</v>
      </c>
      <c r="J607">
        <v>60026838</v>
      </c>
      <c r="K607" t="s">
        <v>1764</v>
      </c>
      <c r="L607" t="s">
        <v>1763</v>
      </c>
      <c r="M607" t="s">
        <v>112</v>
      </c>
      <c r="N607">
        <v>1</v>
      </c>
      <c r="O607" t="s">
        <v>1762</v>
      </c>
      <c r="P607">
        <v>55106411800</v>
      </c>
      <c r="Q607">
        <v>60026838</v>
      </c>
      <c r="R607" s="7">
        <v>31778</v>
      </c>
      <c r="S607" s="8">
        <f t="shared" si="72"/>
        <v>1987</v>
      </c>
      <c r="T607" s="8">
        <v>1987</v>
      </c>
      <c r="U607" s="8">
        <f t="shared" si="73"/>
        <v>35</v>
      </c>
      <c r="V607" s="7">
        <v>31809</v>
      </c>
      <c r="W607" t="s">
        <v>908</v>
      </c>
      <c r="X607" s="2">
        <v>1.774</v>
      </c>
      <c r="Y607" s="6">
        <f t="shared" si="78"/>
        <v>4.7355916820159633E-2</v>
      </c>
      <c r="AA607">
        <v>295515</v>
      </c>
      <c r="AB607">
        <v>29066</v>
      </c>
      <c r="AC607">
        <v>17414326</v>
      </c>
      <c r="AD607" t="s">
        <v>4</v>
      </c>
      <c r="AE607">
        <v>27</v>
      </c>
      <c r="AF607">
        <v>2</v>
      </c>
      <c r="AH607" t="s">
        <v>1761</v>
      </c>
      <c r="AI607" t="s">
        <v>1760</v>
      </c>
      <c r="AK607" t="s">
        <v>1759</v>
      </c>
      <c r="AL607">
        <v>10</v>
      </c>
      <c r="AM607" s="5">
        <f t="shared" si="74"/>
        <v>0.2857142857142857</v>
      </c>
      <c r="AN607" s="4">
        <f t="shared" si="79"/>
        <v>4.3273651755287499E-4</v>
      </c>
      <c r="AO607" s="3"/>
      <c r="AP607">
        <v>0</v>
      </c>
      <c r="AR607" t="s">
        <v>0</v>
      </c>
      <c r="AT607" s="2">
        <v>3.1789999999999998</v>
      </c>
      <c r="AU607" s="1">
        <f t="shared" si="75"/>
        <v>3.3278962729377604</v>
      </c>
      <c r="AV607" s="1">
        <f t="shared" si="76"/>
        <v>2.3894326668856252</v>
      </c>
      <c r="AW607" s="1">
        <f t="shared" si="77"/>
        <v>1.4509690608334902</v>
      </c>
    </row>
    <row r="608" spans="1:49" x14ac:dyDescent="0.2">
      <c r="A608">
        <v>606</v>
      </c>
      <c r="B608" t="s">
        <v>1758</v>
      </c>
      <c r="C608" t="s">
        <v>1757</v>
      </c>
      <c r="F608" t="s">
        <v>1756</v>
      </c>
      <c r="G608" t="s">
        <v>14</v>
      </c>
      <c r="H608" t="s">
        <v>13</v>
      </c>
      <c r="I608" t="s">
        <v>1755</v>
      </c>
      <c r="J608">
        <v>60068761</v>
      </c>
      <c r="K608" t="s">
        <v>1754</v>
      </c>
      <c r="L608" t="s">
        <v>1753</v>
      </c>
      <c r="M608" t="s">
        <v>1752</v>
      </c>
      <c r="N608">
        <v>4</v>
      </c>
      <c r="O608" t="s">
        <v>1751</v>
      </c>
      <c r="P608" t="s">
        <v>1750</v>
      </c>
      <c r="Q608" t="s">
        <v>1749</v>
      </c>
      <c r="R608" s="7">
        <v>31778</v>
      </c>
      <c r="S608" s="8">
        <f t="shared" si="72"/>
        <v>1987</v>
      </c>
      <c r="T608" s="8">
        <v>1987</v>
      </c>
      <c r="U608" s="8">
        <f t="shared" si="73"/>
        <v>35</v>
      </c>
      <c r="V608" s="7" t="s">
        <v>1370</v>
      </c>
      <c r="W608" t="s">
        <v>336</v>
      </c>
      <c r="X608" s="2">
        <v>1.6519999999999999</v>
      </c>
      <c r="Y608" s="6">
        <f t="shared" si="78"/>
        <v>4.409919649769093E-2</v>
      </c>
      <c r="AA608" t="s">
        <v>335</v>
      </c>
      <c r="AB608">
        <v>17337</v>
      </c>
      <c r="AD608" t="s">
        <v>4</v>
      </c>
      <c r="AE608" t="s">
        <v>1653</v>
      </c>
      <c r="AF608">
        <v>2</v>
      </c>
      <c r="AH608" t="s">
        <v>1748</v>
      </c>
      <c r="AI608" t="s">
        <v>1747</v>
      </c>
      <c r="AK608" t="s">
        <v>1746</v>
      </c>
      <c r="AL608">
        <v>34</v>
      </c>
      <c r="AM608" s="5">
        <f t="shared" si="74"/>
        <v>0.97142857142857142</v>
      </c>
      <c r="AN608" s="4">
        <f t="shared" si="79"/>
        <v>1.4713041596797749E-3</v>
      </c>
      <c r="AO608" s="3"/>
      <c r="AP608">
        <v>0</v>
      </c>
      <c r="AR608" t="s">
        <v>0</v>
      </c>
      <c r="AT608" s="2" t="s">
        <v>32</v>
      </c>
      <c r="AU608" s="1">
        <f t="shared" si="75"/>
        <v>3.1310828796287584</v>
      </c>
      <c r="AV608" s="1">
        <f t="shared" si="76"/>
        <v>2.2785250328685351</v>
      </c>
      <c r="AW608" s="1">
        <f t="shared" si="77"/>
        <v>1.4259671861083119</v>
      </c>
    </row>
    <row r="609" spans="1:49" x14ac:dyDescent="0.2">
      <c r="A609">
        <v>607</v>
      </c>
      <c r="B609" t="s">
        <v>1745</v>
      </c>
      <c r="C609" t="s">
        <v>1744</v>
      </c>
      <c r="F609" t="s">
        <v>1743</v>
      </c>
      <c r="G609" t="s">
        <v>14</v>
      </c>
      <c r="H609" t="s">
        <v>13</v>
      </c>
      <c r="I609" t="s">
        <v>1742</v>
      </c>
      <c r="J609">
        <v>60012070</v>
      </c>
      <c r="K609" t="s">
        <v>1741</v>
      </c>
      <c r="L609" t="s">
        <v>1740</v>
      </c>
      <c r="M609" t="s">
        <v>586</v>
      </c>
      <c r="N609">
        <v>6</v>
      </c>
      <c r="O609" t="s">
        <v>1739</v>
      </c>
      <c r="P609" t="s">
        <v>1738</v>
      </c>
      <c r="Q609" t="s">
        <v>1737</v>
      </c>
      <c r="R609" s="7">
        <v>31778</v>
      </c>
      <c r="S609" s="8">
        <f t="shared" si="72"/>
        <v>1987</v>
      </c>
      <c r="T609" s="8">
        <v>1987</v>
      </c>
      <c r="U609" s="8">
        <f t="shared" si="73"/>
        <v>35</v>
      </c>
      <c r="V609" s="7" t="s">
        <v>1370</v>
      </c>
      <c r="W609" t="s">
        <v>583</v>
      </c>
      <c r="X609" s="2" t="s">
        <v>32</v>
      </c>
      <c r="Y609" s="6" t="e">
        <f t="shared" si="78"/>
        <v>#VALUE!</v>
      </c>
      <c r="AA609" t="s">
        <v>582</v>
      </c>
      <c r="AB609">
        <v>31890</v>
      </c>
      <c r="AD609" t="s">
        <v>4</v>
      </c>
      <c r="AE609">
        <v>134</v>
      </c>
      <c r="AF609">
        <v>2</v>
      </c>
      <c r="AH609" t="s">
        <v>1736</v>
      </c>
      <c r="AI609" t="s">
        <v>1735</v>
      </c>
      <c r="AK609" t="s">
        <v>1734</v>
      </c>
      <c r="AL609">
        <v>6</v>
      </c>
      <c r="AM609" s="5">
        <f t="shared" si="74"/>
        <v>0.17142857142857143</v>
      </c>
      <c r="AN609" s="4">
        <f t="shared" si="79"/>
        <v>2.5964191053172501E-4</v>
      </c>
      <c r="AO609" s="3"/>
      <c r="AP609">
        <v>0</v>
      </c>
      <c r="AR609" t="s">
        <v>0</v>
      </c>
      <c r="AT609" s="2" t="s">
        <v>32</v>
      </c>
      <c r="AU609" s="1" t="e">
        <f t="shared" si="75"/>
        <v>#VALUE!</v>
      </c>
      <c r="AV609" s="1" t="e">
        <f t="shared" si="76"/>
        <v>#VALUE!</v>
      </c>
      <c r="AW609" s="1" t="e">
        <f t="shared" si="77"/>
        <v>#VALUE!</v>
      </c>
    </row>
    <row r="610" spans="1:49" x14ac:dyDescent="0.2">
      <c r="A610">
        <v>608</v>
      </c>
      <c r="B610" t="s">
        <v>1733</v>
      </c>
      <c r="C610" t="s">
        <v>1732</v>
      </c>
      <c r="F610" t="s">
        <v>1731</v>
      </c>
      <c r="G610" t="s">
        <v>14</v>
      </c>
      <c r="H610" t="s">
        <v>13</v>
      </c>
      <c r="I610" t="s">
        <v>1730</v>
      </c>
      <c r="J610">
        <v>60005304</v>
      </c>
      <c r="K610" t="s">
        <v>664</v>
      </c>
      <c r="L610" t="s">
        <v>663</v>
      </c>
      <c r="M610" t="s">
        <v>9</v>
      </c>
      <c r="N610">
        <v>2</v>
      </c>
      <c r="O610" t="s">
        <v>1729</v>
      </c>
      <c r="P610" t="s">
        <v>1728</v>
      </c>
      <c r="Q610" t="s">
        <v>739</v>
      </c>
      <c r="R610" s="7">
        <v>31778</v>
      </c>
      <c r="S610" s="8">
        <f t="shared" si="72"/>
        <v>1987</v>
      </c>
      <c r="T610" s="8">
        <v>1987</v>
      </c>
      <c r="U610" s="8">
        <f t="shared" si="73"/>
        <v>35</v>
      </c>
      <c r="V610" s="7" t="s">
        <v>1370</v>
      </c>
      <c r="W610" t="s">
        <v>336</v>
      </c>
      <c r="X610" s="2">
        <v>1.6519999999999999</v>
      </c>
      <c r="Y610" s="6">
        <f t="shared" si="78"/>
        <v>4.409919649769093E-2</v>
      </c>
      <c r="AA610" t="s">
        <v>335</v>
      </c>
      <c r="AB610">
        <v>17337</v>
      </c>
      <c r="AD610" t="s">
        <v>4</v>
      </c>
      <c r="AE610" t="s">
        <v>1653</v>
      </c>
      <c r="AF610">
        <v>2</v>
      </c>
      <c r="AH610" t="s">
        <v>851</v>
      </c>
      <c r="AI610" t="s">
        <v>1727</v>
      </c>
      <c r="AK610" t="s">
        <v>1726</v>
      </c>
      <c r="AL610">
        <v>7</v>
      </c>
      <c r="AM610" s="5">
        <f t="shared" si="74"/>
        <v>0.2</v>
      </c>
      <c r="AN610" s="4">
        <f t="shared" si="79"/>
        <v>3.0291556228701253E-4</v>
      </c>
      <c r="AO610" s="3"/>
      <c r="AP610">
        <v>0</v>
      </c>
      <c r="AR610" t="s">
        <v>0</v>
      </c>
      <c r="AT610" s="2" t="s">
        <v>32</v>
      </c>
      <c r="AU610" s="1">
        <f t="shared" si="75"/>
        <v>3.0960312217069754</v>
      </c>
      <c r="AV610" s="1">
        <f t="shared" si="76"/>
        <v>2.2201056029988968</v>
      </c>
      <c r="AW610" s="1">
        <f t="shared" si="77"/>
        <v>1.3441799842908186</v>
      </c>
    </row>
    <row r="611" spans="1:49" x14ac:dyDescent="0.2">
      <c r="A611">
        <v>609</v>
      </c>
      <c r="B611" t="s">
        <v>1725</v>
      </c>
      <c r="C611" t="s">
        <v>1724</v>
      </c>
      <c r="F611" t="s">
        <v>1723</v>
      </c>
      <c r="G611" t="s">
        <v>14</v>
      </c>
      <c r="H611" t="s">
        <v>13</v>
      </c>
      <c r="I611" t="s">
        <v>1722</v>
      </c>
      <c r="J611">
        <v>60001439</v>
      </c>
      <c r="K611" t="s">
        <v>1721</v>
      </c>
      <c r="L611" t="s">
        <v>1720</v>
      </c>
      <c r="M611" t="s">
        <v>9</v>
      </c>
      <c r="N611">
        <v>3</v>
      </c>
      <c r="O611" t="s">
        <v>1719</v>
      </c>
      <c r="P611" t="s">
        <v>1718</v>
      </c>
      <c r="Q611" t="s">
        <v>1717</v>
      </c>
      <c r="R611" s="7">
        <v>31778</v>
      </c>
      <c r="S611" s="8">
        <f t="shared" si="72"/>
        <v>1987</v>
      </c>
      <c r="T611" s="8">
        <v>1987</v>
      </c>
      <c r="U611" s="8">
        <f t="shared" si="73"/>
        <v>35</v>
      </c>
      <c r="V611" s="7">
        <v>31809</v>
      </c>
      <c r="W611" t="s">
        <v>1530</v>
      </c>
      <c r="X611" s="2">
        <v>0.65500000000000003</v>
      </c>
      <c r="Y611" s="6">
        <f t="shared" si="78"/>
        <v>1.7484850911614749E-2</v>
      </c>
      <c r="AA611">
        <v>189375</v>
      </c>
      <c r="AB611">
        <v>26051</v>
      </c>
      <c r="AC611" t="s">
        <v>1529</v>
      </c>
      <c r="AD611" t="s">
        <v>4</v>
      </c>
      <c r="AE611" t="s">
        <v>1528</v>
      </c>
      <c r="AF611">
        <v>1</v>
      </c>
      <c r="AH611" t="s">
        <v>1716</v>
      </c>
      <c r="AI611" t="s">
        <v>1715</v>
      </c>
      <c r="AJ611" t="s">
        <v>1714</v>
      </c>
      <c r="AK611" t="s">
        <v>1713</v>
      </c>
      <c r="AL611">
        <v>3</v>
      </c>
      <c r="AM611" s="5">
        <f t="shared" si="74"/>
        <v>8.5714285714285715E-2</v>
      </c>
      <c r="AN611" s="4">
        <f t="shared" si="79"/>
        <v>1.2982095526586251E-4</v>
      </c>
      <c r="AO611" s="3"/>
      <c r="AP611">
        <v>0</v>
      </c>
      <c r="AR611" t="s">
        <v>0</v>
      </c>
      <c r="AT611" s="2" t="s">
        <v>32</v>
      </c>
      <c r="AU611" s="1">
        <f t="shared" si="75"/>
        <v>1.2278341924710081</v>
      </c>
      <c r="AV611" s="1">
        <f t="shared" si="76"/>
        <v>0.88073359334403056</v>
      </c>
      <c r="AW611" s="1">
        <f t="shared" si="77"/>
        <v>0.53363299421705279</v>
      </c>
    </row>
    <row r="612" spans="1:49" x14ac:dyDescent="0.2">
      <c r="A612">
        <v>610</v>
      </c>
      <c r="B612" t="s">
        <v>1712</v>
      </c>
      <c r="C612" t="s">
        <v>1711</v>
      </c>
      <c r="F612" t="s">
        <v>1710</v>
      </c>
      <c r="G612" t="s">
        <v>14</v>
      </c>
      <c r="H612" t="s">
        <v>13</v>
      </c>
      <c r="I612" t="s">
        <v>1709</v>
      </c>
      <c r="J612">
        <v>60004280</v>
      </c>
      <c r="K612" t="s">
        <v>1708</v>
      </c>
      <c r="L612" t="s">
        <v>1707</v>
      </c>
      <c r="M612" t="s">
        <v>1706</v>
      </c>
      <c r="N612">
        <v>3</v>
      </c>
      <c r="O612" t="s">
        <v>1705</v>
      </c>
      <c r="P612" t="s">
        <v>1704</v>
      </c>
      <c r="Q612" t="s">
        <v>1703</v>
      </c>
      <c r="R612" s="7">
        <v>31778</v>
      </c>
      <c r="S612" s="8">
        <f t="shared" si="72"/>
        <v>1987</v>
      </c>
      <c r="T612" s="8">
        <v>1987</v>
      </c>
      <c r="U612" s="8">
        <f t="shared" si="73"/>
        <v>35</v>
      </c>
      <c r="V612" s="7">
        <v>31809</v>
      </c>
      <c r="W612" t="s">
        <v>1702</v>
      </c>
      <c r="X612" s="2">
        <v>0.46</v>
      </c>
      <c r="Y612" s="6">
        <f t="shared" si="78"/>
        <v>1.2279437281439364E-2</v>
      </c>
      <c r="AA612">
        <v>933813</v>
      </c>
      <c r="AB612">
        <v>28031</v>
      </c>
      <c r="AC612">
        <v>19399375</v>
      </c>
      <c r="AD612" t="s">
        <v>4</v>
      </c>
      <c r="AE612">
        <v>15</v>
      </c>
      <c r="AF612">
        <v>1</v>
      </c>
      <c r="AH612" t="s">
        <v>1701</v>
      </c>
      <c r="AI612" t="s">
        <v>1700</v>
      </c>
      <c r="AK612" t="s">
        <v>1699</v>
      </c>
      <c r="AL612">
        <v>4</v>
      </c>
      <c r="AM612" s="5">
        <f t="shared" si="74"/>
        <v>0.11428571428571428</v>
      </c>
      <c r="AN612" s="4">
        <f t="shared" si="79"/>
        <v>1.7309460702115E-4</v>
      </c>
      <c r="AO612" s="3"/>
      <c r="AP612">
        <v>0</v>
      </c>
      <c r="AR612" t="s">
        <v>0</v>
      </c>
      <c r="AT612" s="2">
        <v>1.222</v>
      </c>
      <c r="AU612" s="1">
        <f t="shared" si="75"/>
        <v>0.86475344791138975</v>
      </c>
      <c r="AV612" s="1">
        <f t="shared" si="76"/>
        <v>0.6226265944230257</v>
      </c>
      <c r="AW612" s="1">
        <f t="shared" si="77"/>
        <v>0.38049974093466138</v>
      </c>
    </row>
    <row r="613" spans="1:49" x14ac:dyDescent="0.2">
      <c r="A613">
        <v>611</v>
      </c>
      <c r="B613" t="s">
        <v>1698</v>
      </c>
      <c r="C613" t="s">
        <v>1697</v>
      </c>
      <c r="F613" t="s">
        <v>1696</v>
      </c>
      <c r="G613" t="s">
        <v>14</v>
      </c>
      <c r="H613" t="s">
        <v>13</v>
      </c>
      <c r="I613" t="s">
        <v>1695</v>
      </c>
      <c r="J613">
        <v>60017605</v>
      </c>
      <c r="K613" t="s">
        <v>1694</v>
      </c>
      <c r="L613" t="s">
        <v>1693</v>
      </c>
      <c r="M613" t="s">
        <v>1384</v>
      </c>
      <c r="N613">
        <v>2</v>
      </c>
      <c r="O613" t="s">
        <v>1692</v>
      </c>
      <c r="P613" t="s">
        <v>1691</v>
      </c>
      <c r="Q613" t="s">
        <v>1690</v>
      </c>
      <c r="R613" s="7">
        <v>31778</v>
      </c>
      <c r="S613" s="8">
        <f t="shared" si="72"/>
        <v>1987</v>
      </c>
      <c r="T613" s="8">
        <v>1987</v>
      </c>
      <c r="U613" s="8">
        <f t="shared" si="73"/>
        <v>35</v>
      </c>
      <c r="V613" s="7">
        <v>1987</v>
      </c>
      <c r="W613" t="s">
        <v>429</v>
      </c>
      <c r="X613" s="2">
        <v>0.375</v>
      </c>
      <c r="Y613" s="6">
        <f t="shared" si="78"/>
        <v>1.0010410827260351E-2</v>
      </c>
      <c r="AA613">
        <v>135194</v>
      </c>
      <c r="AB613">
        <v>24918</v>
      </c>
      <c r="AD613" t="s">
        <v>4</v>
      </c>
      <c r="AE613">
        <v>23</v>
      </c>
      <c r="AF613">
        <v>5</v>
      </c>
      <c r="AH613" t="s">
        <v>1689</v>
      </c>
      <c r="AI613" t="s">
        <v>1688</v>
      </c>
      <c r="AJ613" t="s">
        <v>1687</v>
      </c>
      <c r="AK613" t="s">
        <v>1686</v>
      </c>
      <c r="AL613">
        <v>0</v>
      </c>
      <c r="AM613" s="5">
        <f t="shared" si="74"/>
        <v>0</v>
      </c>
      <c r="AN613" s="4">
        <f t="shared" si="79"/>
        <v>0</v>
      </c>
      <c r="AO613" s="3"/>
      <c r="AP613">
        <v>0</v>
      </c>
      <c r="AR613" t="s">
        <v>0</v>
      </c>
      <c r="AT613" s="2">
        <v>1.3140000000000001</v>
      </c>
      <c r="AU613" s="1">
        <f t="shared" si="75"/>
        <v>0.70072875790822453</v>
      </c>
      <c r="AV613" s="1">
        <f t="shared" si="76"/>
        <v>0.5005205413630176</v>
      </c>
      <c r="AW613" s="1">
        <f t="shared" si="77"/>
        <v>0.30031232481781051</v>
      </c>
    </row>
    <row r="614" spans="1:49" x14ac:dyDescent="0.2">
      <c r="A614">
        <v>612</v>
      </c>
      <c r="B614" t="s">
        <v>1685</v>
      </c>
      <c r="C614" t="s">
        <v>1684</v>
      </c>
      <c r="F614" t="s">
        <v>1683</v>
      </c>
      <c r="G614" t="s">
        <v>14</v>
      </c>
      <c r="H614" t="s">
        <v>13</v>
      </c>
      <c r="I614" t="s">
        <v>1682</v>
      </c>
      <c r="J614">
        <v>60011373</v>
      </c>
      <c r="K614" t="s">
        <v>1681</v>
      </c>
      <c r="L614" t="s">
        <v>1680</v>
      </c>
      <c r="M614" t="s">
        <v>1679</v>
      </c>
      <c r="N614">
        <v>2</v>
      </c>
      <c r="O614" t="s">
        <v>1678</v>
      </c>
      <c r="P614" t="s">
        <v>1677</v>
      </c>
      <c r="Q614" t="s">
        <v>1676</v>
      </c>
      <c r="R614" s="7">
        <v>31778</v>
      </c>
      <c r="S614" s="8">
        <f t="shared" si="72"/>
        <v>1987</v>
      </c>
      <c r="T614" s="8">
        <v>1987</v>
      </c>
      <c r="U614" s="8">
        <f t="shared" si="73"/>
        <v>35</v>
      </c>
      <c r="V614" s="7" t="s">
        <v>1370</v>
      </c>
      <c r="W614" t="s">
        <v>336</v>
      </c>
      <c r="X614" s="2">
        <v>1.6519999999999999</v>
      </c>
      <c r="Y614" s="6">
        <f t="shared" si="78"/>
        <v>4.409919649769093E-2</v>
      </c>
      <c r="AA614" t="s">
        <v>335</v>
      </c>
      <c r="AB614">
        <v>17337</v>
      </c>
      <c r="AD614" t="s">
        <v>4</v>
      </c>
      <c r="AE614" t="s">
        <v>1653</v>
      </c>
      <c r="AF614">
        <v>2</v>
      </c>
      <c r="AH614" t="s">
        <v>1675</v>
      </c>
      <c r="AI614" t="s">
        <v>1674</v>
      </c>
      <c r="AK614" t="s">
        <v>1673</v>
      </c>
      <c r="AL614">
        <v>8</v>
      </c>
      <c r="AM614" s="5">
        <f t="shared" si="74"/>
        <v>0.22857142857142856</v>
      </c>
      <c r="AN614" s="4">
        <f t="shared" si="79"/>
        <v>3.461892140423E-4</v>
      </c>
      <c r="AO614" s="3"/>
      <c r="AP614">
        <v>0</v>
      </c>
      <c r="AR614" t="s">
        <v>0</v>
      </c>
      <c r="AT614" s="2" t="s">
        <v>32</v>
      </c>
      <c r="AU614" s="1">
        <f t="shared" si="75"/>
        <v>3.097329431259634</v>
      </c>
      <c r="AV614" s="1">
        <f t="shared" si="76"/>
        <v>2.2222692855866617</v>
      </c>
      <c r="AW614" s="1">
        <f t="shared" si="77"/>
        <v>1.347209139913689</v>
      </c>
    </row>
    <row r="615" spans="1:49" x14ac:dyDescent="0.2">
      <c r="A615">
        <v>613</v>
      </c>
      <c r="B615" t="s">
        <v>1672</v>
      </c>
      <c r="C615" t="s">
        <v>1671</v>
      </c>
      <c r="F615" t="s">
        <v>1670</v>
      </c>
      <c r="G615" t="s">
        <v>14</v>
      </c>
      <c r="H615" t="s">
        <v>13</v>
      </c>
      <c r="I615" t="s">
        <v>1669</v>
      </c>
      <c r="J615">
        <v>60001490</v>
      </c>
      <c r="K615" t="s">
        <v>1668</v>
      </c>
      <c r="L615" t="s">
        <v>1667</v>
      </c>
      <c r="M615" t="s">
        <v>586</v>
      </c>
      <c r="N615">
        <v>1</v>
      </c>
      <c r="O615" t="s">
        <v>1666</v>
      </c>
      <c r="P615">
        <v>7004857239</v>
      </c>
      <c r="Q615">
        <v>60001490</v>
      </c>
      <c r="R615" s="7">
        <v>31778</v>
      </c>
      <c r="S615" s="8">
        <f t="shared" ref="S615:S678" si="80">YEAR(R615)</f>
        <v>1987</v>
      </c>
      <c r="T615" s="8">
        <v>1987</v>
      </c>
      <c r="U615" s="8">
        <f t="shared" ref="U615:U678" si="81">2022-T615</f>
        <v>35</v>
      </c>
      <c r="V615" s="7" t="s">
        <v>1370</v>
      </c>
      <c r="W615" t="s">
        <v>583</v>
      </c>
      <c r="X615" s="2" t="s">
        <v>32</v>
      </c>
      <c r="Y615" s="6" t="e">
        <f t="shared" si="78"/>
        <v>#VALUE!</v>
      </c>
      <c r="AA615" t="s">
        <v>582</v>
      </c>
      <c r="AB615">
        <v>31890</v>
      </c>
      <c r="AD615" t="s">
        <v>4</v>
      </c>
      <c r="AE615">
        <v>134</v>
      </c>
      <c r="AF615">
        <v>2</v>
      </c>
      <c r="AH615" t="s">
        <v>1665</v>
      </c>
      <c r="AI615" t="s">
        <v>1664</v>
      </c>
      <c r="AK615" t="s">
        <v>1663</v>
      </c>
      <c r="AL615">
        <v>29</v>
      </c>
      <c r="AM615" s="5">
        <f t="shared" ref="AM615:AM678" si="82">AL615/U615</f>
        <v>0.82857142857142863</v>
      </c>
      <c r="AN615" s="4">
        <f t="shared" si="79"/>
        <v>1.2549359009033376E-3</v>
      </c>
      <c r="AO615" s="3"/>
      <c r="AP615">
        <v>0</v>
      </c>
      <c r="AR615" t="s">
        <v>0</v>
      </c>
      <c r="AT615" s="2" t="s">
        <v>32</v>
      </c>
      <c r="AU615" s="1" t="e">
        <f t="shared" ref="AU615:AU678" si="83">(Y615*0.7+AN615*0.3)*100</f>
        <v>#VALUE!</v>
      </c>
      <c r="AV615" s="1" t="e">
        <f t="shared" ref="AV615:AV678" si="84">(Y615*0.5+AN615*0.5)*100</f>
        <v>#VALUE!</v>
      </c>
      <c r="AW615" s="1" t="e">
        <f t="shared" ref="AW615:AW678" si="85">(Y615*0.3+AN615*0.7)*100</f>
        <v>#VALUE!</v>
      </c>
    </row>
    <row r="616" spans="1:49" x14ac:dyDescent="0.2">
      <c r="A616">
        <v>614</v>
      </c>
      <c r="B616" t="s">
        <v>1662</v>
      </c>
      <c r="C616" t="s">
        <v>1661</v>
      </c>
      <c r="F616" t="s">
        <v>1660</v>
      </c>
      <c r="G616" t="s">
        <v>14</v>
      </c>
      <c r="H616" t="s">
        <v>13</v>
      </c>
      <c r="I616" t="s">
        <v>1659</v>
      </c>
      <c r="J616">
        <v>60025757</v>
      </c>
      <c r="K616" t="s">
        <v>1658</v>
      </c>
      <c r="L616" t="s">
        <v>1657</v>
      </c>
      <c r="M616" t="s">
        <v>1068</v>
      </c>
      <c r="N616">
        <v>2</v>
      </c>
      <c r="O616" t="s">
        <v>1656</v>
      </c>
      <c r="P616" t="s">
        <v>1655</v>
      </c>
      <c r="Q616" t="s">
        <v>1654</v>
      </c>
      <c r="R616" s="7">
        <v>31778</v>
      </c>
      <c r="S616" s="8">
        <f t="shared" si="80"/>
        <v>1987</v>
      </c>
      <c r="T616" s="8">
        <v>1987</v>
      </c>
      <c r="U616" s="8">
        <f t="shared" si="81"/>
        <v>35</v>
      </c>
      <c r="V616" s="7" t="s">
        <v>1370</v>
      </c>
      <c r="W616" t="s">
        <v>336</v>
      </c>
      <c r="X616" s="2">
        <v>1.6519999999999999</v>
      </c>
      <c r="Y616" s="6">
        <f t="shared" si="78"/>
        <v>4.409919649769093E-2</v>
      </c>
      <c r="AA616" t="s">
        <v>335</v>
      </c>
      <c r="AB616">
        <v>17337</v>
      </c>
      <c r="AD616" t="s">
        <v>4</v>
      </c>
      <c r="AE616" t="s">
        <v>1653</v>
      </c>
      <c r="AF616">
        <v>2</v>
      </c>
      <c r="AH616" t="s">
        <v>1652</v>
      </c>
      <c r="AI616" t="s">
        <v>1651</v>
      </c>
      <c r="AK616" t="s">
        <v>1650</v>
      </c>
      <c r="AL616">
        <v>12</v>
      </c>
      <c r="AM616" s="5">
        <f t="shared" si="82"/>
        <v>0.34285714285714286</v>
      </c>
      <c r="AN616" s="4">
        <f t="shared" si="79"/>
        <v>5.1928382106345003E-4</v>
      </c>
      <c r="AO616" s="3"/>
      <c r="AP616">
        <v>0</v>
      </c>
      <c r="AR616" t="s">
        <v>0</v>
      </c>
      <c r="AT616" s="2" t="s">
        <v>32</v>
      </c>
      <c r="AU616" s="1">
        <f t="shared" si="83"/>
        <v>3.1025222694702688</v>
      </c>
      <c r="AV616" s="1">
        <f t="shared" si="84"/>
        <v>2.2309240159377191</v>
      </c>
      <c r="AW616" s="1">
        <f t="shared" si="85"/>
        <v>1.3593257624051693</v>
      </c>
    </row>
    <row r="617" spans="1:49" x14ac:dyDescent="0.2">
      <c r="A617">
        <v>615</v>
      </c>
      <c r="B617" t="s">
        <v>1649</v>
      </c>
      <c r="F617" t="s">
        <v>1648</v>
      </c>
      <c r="G617" t="s">
        <v>14</v>
      </c>
      <c r="H617" t="s">
        <v>13</v>
      </c>
      <c r="I617" t="s">
        <v>1647</v>
      </c>
      <c r="J617">
        <v>60023053</v>
      </c>
      <c r="K617" t="s">
        <v>1165</v>
      </c>
      <c r="L617" t="s">
        <v>1164</v>
      </c>
      <c r="M617" t="s">
        <v>9</v>
      </c>
      <c r="N617">
        <v>1</v>
      </c>
      <c r="O617" t="s">
        <v>1646</v>
      </c>
      <c r="P617">
        <v>6603599117</v>
      </c>
      <c r="Q617">
        <v>60023053</v>
      </c>
      <c r="R617" s="7">
        <v>31778</v>
      </c>
      <c r="S617" s="8">
        <f t="shared" si="80"/>
        <v>1987</v>
      </c>
      <c r="T617" s="8">
        <v>1987</v>
      </c>
      <c r="U617" s="8">
        <f t="shared" si="81"/>
        <v>35</v>
      </c>
      <c r="V617" s="7" t="s">
        <v>1370</v>
      </c>
      <c r="W617" t="s">
        <v>336</v>
      </c>
      <c r="X617" s="2">
        <v>1.6519999999999999</v>
      </c>
      <c r="Y617" s="6">
        <f t="shared" si="78"/>
        <v>4.409919649769093E-2</v>
      </c>
      <c r="AA617" t="s">
        <v>335</v>
      </c>
      <c r="AB617">
        <v>17337</v>
      </c>
      <c r="AD617" t="s">
        <v>4</v>
      </c>
      <c r="AE617">
        <v>36</v>
      </c>
      <c r="AF617">
        <v>3</v>
      </c>
      <c r="AI617" t="s">
        <v>1645</v>
      </c>
      <c r="AK617" t="s">
        <v>1644</v>
      </c>
      <c r="AL617">
        <v>0</v>
      </c>
      <c r="AM617" s="5">
        <f t="shared" si="82"/>
        <v>0</v>
      </c>
      <c r="AN617" s="4">
        <f t="shared" si="79"/>
        <v>0</v>
      </c>
      <c r="AO617" s="3"/>
      <c r="AP617">
        <v>0</v>
      </c>
      <c r="AR617" t="s">
        <v>0</v>
      </c>
      <c r="AT617" s="2" t="s">
        <v>32</v>
      </c>
      <c r="AU617" s="1">
        <f t="shared" si="83"/>
        <v>3.0869437548383649</v>
      </c>
      <c r="AV617" s="1">
        <f t="shared" si="84"/>
        <v>2.2049598248845466</v>
      </c>
      <c r="AW617" s="1">
        <f t="shared" si="85"/>
        <v>1.3229758949307278</v>
      </c>
    </row>
    <row r="618" spans="1:49" x14ac:dyDescent="0.2">
      <c r="A618">
        <v>616</v>
      </c>
      <c r="B618" t="s">
        <v>1643</v>
      </c>
      <c r="F618" t="s">
        <v>1642</v>
      </c>
      <c r="G618" t="s">
        <v>14</v>
      </c>
      <c r="H618" t="s">
        <v>13</v>
      </c>
      <c r="I618" t="s">
        <v>1641</v>
      </c>
      <c r="J618">
        <v>60032179</v>
      </c>
      <c r="K618" t="s">
        <v>1640</v>
      </c>
      <c r="L618" t="s">
        <v>1639</v>
      </c>
      <c r="M618" t="s">
        <v>9</v>
      </c>
      <c r="N618">
        <v>1</v>
      </c>
      <c r="O618" t="s">
        <v>1638</v>
      </c>
      <c r="P618">
        <v>7006765697</v>
      </c>
      <c r="Q618">
        <v>60032179</v>
      </c>
      <c r="R618" s="7">
        <v>31778</v>
      </c>
      <c r="S618" s="8">
        <f t="shared" si="80"/>
        <v>1987</v>
      </c>
      <c r="T618" s="8">
        <v>1987</v>
      </c>
      <c r="U618" s="8">
        <f t="shared" si="81"/>
        <v>35</v>
      </c>
      <c r="V618" s="7" t="s">
        <v>1370</v>
      </c>
      <c r="W618" t="s">
        <v>336</v>
      </c>
      <c r="X618" s="2">
        <v>1.6519999999999999</v>
      </c>
      <c r="Y618" s="6">
        <f t="shared" si="78"/>
        <v>4.409919649769093E-2</v>
      </c>
      <c r="AA618" t="s">
        <v>335</v>
      </c>
      <c r="AB618">
        <v>17337</v>
      </c>
      <c r="AD618" t="s">
        <v>4</v>
      </c>
      <c r="AE618">
        <v>36</v>
      </c>
      <c r="AF618">
        <v>3</v>
      </c>
      <c r="AI618" t="s">
        <v>1637</v>
      </c>
      <c r="AK618" t="s">
        <v>1636</v>
      </c>
      <c r="AL618">
        <v>9</v>
      </c>
      <c r="AM618" s="5">
        <f t="shared" si="82"/>
        <v>0.25714285714285712</v>
      </c>
      <c r="AN618" s="4">
        <f t="shared" si="79"/>
        <v>3.8946286579758747E-4</v>
      </c>
      <c r="AO618" s="3"/>
      <c r="AP618">
        <v>0</v>
      </c>
      <c r="AR618" t="s">
        <v>0</v>
      </c>
      <c r="AT618" s="2" t="s">
        <v>32</v>
      </c>
      <c r="AU618" s="1">
        <f t="shared" si="83"/>
        <v>3.0986276408122926</v>
      </c>
      <c r="AV618" s="1">
        <f t="shared" si="84"/>
        <v>2.2244329681744257</v>
      </c>
      <c r="AW618" s="1">
        <f t="shared" si="85"/>
        <v>1.3502382955365588</v>
      </c>
    </row>
    <row r="619" spans="1:49" x14ac:dyDescent="0.2">
      <c r="A619">
        <v>617</v>
      </c>
      <c r="B619" t="s">
        <v>1635</v>
      </c>
      <c r="F619" t="s">
        <v>1634</v>
      </c>
      <c r="G619" t="s">
        <v>14</v>
      </c>
      <c r="H619" t="s">
        <v>13</v>
      </c>
      <c r="I619" t="s">
        <v>1633</v>
      </c>
      <c r="J619">
        <v>101238466</v>
      </c>
      <c r="K619" t="s">
        <v>1632</v>
      </c>
      <c r="L619" t="s">
        <v>1631</v>
      </c>
      <c r="M619" t="s">
        <v>9</v>
      </c>
      <c r="N619">
        <v>1</v>
      </c>
      <c r="O619" t="s">
        <v>1630</v>
      </c>
      <c r="P619">
        <v>57193268489</v>
      </c>
      <c r="Q619">
        <v>101238466</v>
      </c>
      <c r="R619" s="7">
        <v>31778</v>
      </c>
      <c r="S619" s="8">
        <f t="shared" si="80"/>
        <v>1987</v>
      </c>
      <c r="T619" s="8">
        <v>1987</v>
      </c>
      <c r="U619" s="8">
        <f t="shared" si="81"/>
        <v>35</v>
      </c>
      <c r="V619" s="7" t="s">
        <v>1370</v>
      </c>
      <c r="W619" t="s">
        <v>336</v>
      </c>
      <c r="X619" s="2">
        <v>1.6519999999999999</v>
      </c>
      <c r="Y619" s="6">
        <f t="shared" si="78"/>
        <v>4.409919649769093E-2</v>
      </c>
      <c r="AA619" t="s">
        <v>335</v>
      </c>
      <c r="AB619">
        <v>17337</v>
      </c>
      <c r="AD619" t="s">
        <v>4</v>
      </c>
      <c r="AE619">
        <v>36</v>
      </c>
      <c r="AF619">
        <v>3</v>
      </c>
      <c r="AI619" t="s">
        <v>1629</v>
      </c>
      <c r="AK619" t="s">
        <v>1628</v>
      </c>
      <c r="AL619">
        <v>1</v>
      </c>
      <c r="AM619" s="5">
        <f t="shared" si="82"/>
        <v>2.8571428571428571E-2</v>
      </c>
      <c r="AN619" s="4">
        <f t="shared" si="79"/>
        <v>4.32736517552875E-5</v>
      </c>
      <c r="AO619" s="3"/>
      <c r="AP619">
        <v>0</v>
      </c>
      <c r="AR619" t="s">
        <v>0</v>
      </c>
      <c r="AT619" s="2" t="s">
        <v>32</v>
      </c>
      <c r="AU619" s="1">
        <f t="shared" si="83"/>
        <v>3.0882419643910235</v>
      </c>
      <c r="AV619" s="1">
        <f t="shared" si="84"/>
        <v>2.2071235074723106</v>
      </c>
      <c r="AW619" s="1">
        <f t="shared" si="85"/>
        <v>1.3260050505535981</v>
      </c>
    </row>
    <row r="620" spans="1:49" x14ac:dyDescent="0.2">
      <c r="A620">
        <v>618</v>
      </c>
      <c r="B620" t="s">
        <v>1627</v>
      </c>
      <c r="F620" t="s">
        <v>1626</v>
      </c>
      <c r="G620" t="s">
        <v>14</v>
      </c>
      <c r="H620" t="s">
        <v>13</v>
      </c>
      <c r="I620" t="s">
        <v>1625</v>
      </c>
      <c r="J620">
        <v>60005304</v>
      </c>
      <c r="K620" t="s">
        <v>664</v>
      </c>
      <c r="L620" t="s">
        <v>663</v>
      </c>
      <c r="M620" t="s">
        <v>9</v>
      </c>
      <c r="N620">
        <v>1</v>
      </c>
      <c r="O620" t="s">
        <v>1624</v>
      </c>
      <c r="P620">
        <v>6602621821</v>
      </c>
      <c r="Q620">
        <v>60005304</v>
      </c>
      <c r="R620" s="7">
        <v>31778</v>
      </c>
      <c r="S620" s="8">
        <f t="shared" si="80"/>
        <v>1987</v>
      </c>
      <c r="T620" s="8">
        <v>1987</v>
      </c>
      <c r="U620" s="8">
        <f t="shared" si="81"/>
        <v>35</v>
      </c>
      <c r="V620" s="7" t="s">
        <v>1370</v>
      </c>
      <c r="W620" t="s">
        <v>336</v>
      </c>
      <c r="X620" s="2">
        <v>1.6519999999999999</v>
      </c>
      <c r="Y620" s="6">
        <f t="shared" si="78"/>
        <v>4.409919649769093E-2</v>
      </c>
      <c r="AA620" t="s">
        <v>335</v>
      </c>
      <c r="AB620">
        <v>17337</v>
      </c>
      <c r="AD620" t="s">
        <v>4</v>
      </c>
      <c r="AE620">
        <v>36</v>
      </c>
      <c r="AF620">
        <v>3</v>
      </c>
      <c r="AI620" t="s">
        <v>1623</v>
      </c>
      <c r="AK620" t="s">
        <v>1622</v>
      </c>
      <c r="AL620">
        <v>0</v>
      </c>
      <c r="AM620" s="5">
        <f t="shared" si="82"/>
        <v>0</v>
      </c>
      <c r="AN620" s="4">
        <f t="shared" si="79"/>
        <v>0</v>
      </c>
      <c r="AO620" s="3"/>
      <c r="AP620">
        <v>0</v>
      </c>
      <c r="AR620" t="s">
        <v>0</v>
      </c>
      <c r="AT620" s="2" t="s">
        <v>32</v>
      </c>
      <c r="AU620" s="1">
        <f t="shared" si="83"/>
        <v>3.0869437548383649</v>
      </c>
      <c r="AV620" s="1">
        <f t="shared" si="84"/>
        <v>2.2049598248845466</v>
      </c>
      <c r="AW620" s="1">
        <f t="shared" si="85"/>
        <v>1.3229758949307278</v>
      </c>
    </row>
    <row r="621" spans="1:49" x14ac:dyDescent="0.2">
      <c r="A621">
        <v>619</v>
      </c>
      <c r="B621" t="s">
        <v>1621</v>
      </c>
      <c r="F621" t="s">
        <v>1620</v>
      </c>
      <c r="G621" t="s">
        <v>14</v>
      </c>
      <c r="H621" t="s">
        <v>13</v>
      </c>
      <c r="I621" t="s">
        <v>1619</v>
      </c>
      <c r="J621">
        <v>60020975</v>
      </c>
      <c r="K621" t="s">
        <v>1618</v>
      </c>
      <c r="L621" t="s">
        <v>1617</v>
      </c>
      <c r="M621" t="s">
        <v>9</v>
      </c>
      <c r="N621">
        <v>2</v>
      </c>
      <c r="O621" t="s">
        <v>1616</v>
      </c>
      <c r="P621" t="s">
        <v>1615</v>
      </c>
      <c r="Q621" t="s">
        <v>1614</v>
      </c>
      <c r="R621" s="7">
        <v>31778</v>
      </c>
      <c r="S621" s="8">
        <f t="shared" si="80"/>
        <v>1987</v>
      </c>
      <c r="T621" s="8">
        <v>1987</v>
      </c>
      <c r="U621" s="8">
        <f t="shared" si="81"/>
        <v>35</v>
      </c>
      <c r="V621" s="7" t="s">
        <v>1370</v>
      </c>
      <c r="W621" t="s">
        <v>336</v>
      </c>
      <c r="X621" s="2">
        <v>1.6519999999999999</v>
      </c>
      <c r="Y621" s="6">
        <f t="shared" si="78"/>
        <v>4.409919649769093E-2</v>
      </c>
      <c r="AA621" t="s">
        <v>335</v>
      </c>
      <c r="AB621">
        <v>17337</v>
      </c>
      <c r="AD621" t="s">
        <v>4</v>
      </c>
      <c r="AE621">
        <v>36</v>
      </c>
      <c r="AF621">
        <v>3</v>
      </c>
      <c r="AI621" t="s">
        <v>1613</v>
      </c>
      <c r="AK621" t="s">
        <v>1612</v>
      </c>
      <c r="AL621">
        <v>0</v>
      </c>
      <c r="AM621" s="5">
        <f t="shared" si="82"/>
        <v>0</v>
      </c>
      <c r="AN621" s="4">
        <f t="shared" si="79"/>
        <v>0</v>
      </c>
      <c r="AO621" s="3"/>
      <c r="AP621">
        <v>0</v>
      </c>
      <c r="AR621" t="s">
        <v>0</v>
      </c>
      <c r="AT621" s="2" t="s">
        <v>32</v>
      </c>
      <c r="AU621" s="1">
        <f t="shared" si="83"/>
        <v>3.0869437548383649</v>
      </c>
      <c r="AV621" s="1">
        <f t="shared" si="84"/>
        <v>2.2049598248845466</v>
      </c>
      <c r="AW621" s="1">
        <f t="shared" si="85"/>
        <v>1.3229758949307278</v>
      </c>
    </row>
    <row r="622" spans="1:49" x14ac:dyDescent="0.2">
      <c r="A622">
        <v>620</v>
      </c>
      <c r="B622" t="s">
        <v>1611</v>
      </c>
      <c r="F622" t="s">
        <v>1610</v>
      </c>
      <c r="G622" t="s">
        <v>14</v>
      </c>
      <c r="H622" t="s">
        <v>13</v>
      </c>
      <c r="I622" t="s">
        <v>1609</v>
      </c>
      <c r="J622">
        <v>60023053</v>
      </c>
      <c r="K622" t="s">
        <v>1165</v>
      </c>
      <c r="L622" t="s">
        <v>1164</v>
      </c>
      <c r="M622" t="s">
        <v>9</v>
      </c>
      <c r="N622">
        <v>2</v>
      </c>
      <c r="O622" t="s">
        <v>1608</v>
      </c>
      <c r="P622" t="s">
        <v>1607</v>
      </c>
      <c r="Q622" t="s">
        <v>1161</v>
      </c>
      <c r="R622" s="7">
        <v>31778</v>
      </c>
      <c r="S622" s="8">
        <f t="shared" si="80"/>
        <v>1987</v>
      </c>
      <c r="T622" s="8">
        <v>1987</v>
      </c>
      <c r="U622" s="8">
        <f t="shared" si="81"/>
        <v>35</v>
      </c>
      <c r="V622" s="7" t="s">
        <v>1370</v>
      </c>
      <c r="W622" t="s">
        <v>336</v>
      </c>
      <c r="X622" s="2">
        <v>1.6519999999999999</v>
      </c>
      <c r="Y622" s="6">
        <f t="shared" si="78"/>
        <v>4.409919649769093E-2</v>
      </c>
      <c r="AA622" t="s">
        <v>335</v>
      </c>
      <c r="AB622">
        <v>17337</v>
      </c>
      <c r="AD622" t="s">
        <v>4</v>
      </c>
      <c r="AE622">
        <v>36</v>
      </c>
      <c r="AF622">
        <v>3</v>
      </c>
      <c r="AI622" t="s">
        <v>1606</v>
      </c>
      <c r="AK622" t="s">
        <v>1605</v>
      </c>
      <c r="AL622">
        <v>0</v>
      </c>
      <c r="AM622" s="5">
        <f t="shared" si="82"/>
        <v>0</v>
      </c>
      <c r="AN622" s="4">
        <f t="shared" si="79"/>
        <v>0</v>
      </c>
      <c r="AO622" s="3"/>
      <c r="AP622">
        <v>0</v>
      </c>
      <c r="AR622" t="s">
        <v>0</v>
      </c>
      <c r="AT622" s="2" t="s">
        <v>32</v>
      </c>
      <c r="AU622" s="1">
        <f t="shared" si="83"/>
        <v>3.0869437548383649</v>
      </c>
      <c r="AV622" s="1">
        <f t="shared" si="84"/>
        <v>2.2049598248845466</v>
      </c>
      <c r="AW622" s="1">
        <f t="shared" si="85"/>
        <v>1.3229758949307278</v>
      </c>
    </row>
    <row r="623" spans="1:49" x14ac:dyDescent="0.2">
      <c r="A623">
        <v>621</v>
      </c>
      <c r="B623" t="s">
        <v>1604</v>
      </c>
      <c r="F623" t="s">
        <v>1603</v>
      </c>
      <c r="G623" t="s">
        <v>14</v>
      </c>
      <c r="H623" t="s">
        <v>13</v>
      </c>
      <c r="I623" t="s">
        <v>1602</v>
      </c>
      <c r="J623">
        <v>60006297</v>
      </c>
      <c r="K623" t="s">
        <v>1601</v>
      </c>
      <c r="L623" t="s">
        <v>1600</v>
      </c>
      <c r="M623" t="s">
        <v>9</v>
      </c>
      <c r="N623">
        <v>2</v>
      </c>
      <c r="O623" t="s">
        <v>1599</v>
      </c>
      <c r="P623" t="s">
        <v>1598</v>
      </c>
      <c r="Q623" t="s">
        <v>1597</v>
      </c>
      <c r="R623" s="7">
        <v>31778</v>
      </c>
      <c r="S623" s="8">
        <f t="shared" si="80"/>
        <v>1987</v>
      </c>
      <c r="T623" s="8">
        <v>1987</v>
      </c>
      <c r="U623" s="8">
        <f t="shared" si="81"/>
        <v>35</v>
      </c>
      <c r="V623" s="7" t="s">
        <v>1370</v>
      </c>
      <c r="W623" t="s">
        <v>336</v>
      </c>
      <c r="X623" s="2">
        <v>1.6519999999999999</v>
      </c>
      <c r="Y623" s="6">
        <f t="shared" si="78"/>
        <v>4.409919649769093E-2</v>
      </c>
      <c r="AA623" t="s">
        <v>335</v>
      </c>
      <c r="AB623">
        <v>17337</v>
      </c>
      <c r="AD623" t="s">
        <v>4</v>
      </c>
      <c r="AE623">
        <v>36</v>
      </c>
      <c r="AF623">
        <v>3</v>
      </c>
      <c r="AI623" t="s">
        <v>1596</v>
      </c>
      <c r="AK623" t="s">
        <v>1595</v>
      </c>
      <c r="AL623">
        <v>0</v>
      </c>
      <c r="AM623" s="5">
        <f t="shared" si="82"/>
        <v>0</v>
      </c>
      <c r="AN623" s="4">
        <f t="shared" si="79"/>
        <v>0</v>
      </c>
      <c r="AO623" s="3"/>
      <c r="AP623">
        <v>0</v>
      </c>
      <c r="AR623" t="s">
        <v>0</v>
      </c>
      <c r="AT623" s="2" t="s">
        <v>32</v>
      </c>
      <c r="AU623" s="1">
        <f t="shared" si="83"/>
        <v>3.0869437548383649</v>
      </c>
      <c r="AV623" s="1">
        <f t="shared" si="84"/>
        <v>2.2049598248845466</v>
      </c>
      <c r="AW623" s="1">
        <f t="shared" si="85"/>
        <v>1.3229758949307278</v>
      </c>
    </row>
    <row r="624" spans="1:49" x14ac:dyDescent="0.2">
      <c r="A624">
        <v>622</v>
      </c>
      <c r="B624" t="s">
        <v>1594</v>
      </c>
      <c r="F624" t="s">
        <v>1593</v>
      </c>
      <c r="G624" t="s">
        <v>14</v>
      </c>
      <c r="H624" t="s">
        <v>13</v>
      </c>
      <c r="I624" t="s">
        <v>1592</v>
      </c>
      <c r="J624">
        <v>60031581</v>
      </c>
      <c r="K624" t="s">
        <v>1563</v>
      </c>
      <c r="L624" t="s">
        <v>599</v>
      </c>
      <c r="M624" t="s">
        <v>9</v>
      </c>
      <c r="N624">
        <v>4</v>
      </c>
      <c r="O624" t="s">
        <v>1591</v>
      </c>
      <c r="P624" t="s">
        <v>1590</v>
      </c>
      <c r="Q624" t="s">
        <v>1589</v>
      </c>
      <c r="R624" s="7">
        <v>31778</v>
      </c>
      <c r="S624" s="8">
        <f t="shared" si="80"/>
        <v>1987</v>
      </c>
      <c r="T624" s="8">
        <v>1987</v>
      </c>
      <c r="U624" s="8">
        <f t="shared" si="81"/>
        <v>35</v>
      </c>
      <c r="V624" s="7" t="s">
        <v>1370</v>
      </c>
      <c r="W624" t="s">
        <v>336</v>
      </c>
      <c r="X624" s="2">
        <v>1.6519999999999999</v>
      </c>
      <c r="Y624" s="6">
        <f t="shared" si="78"/>
        <v>4.409919649769093E-2</v>
      </c>
      <c r="AA624" t="s">
        <v>335</v>
      </c>
      <c r="AB624">
        <v>17337</v>
      </c>
      <c r="AD624" t="s">
        <v>4</v>
      </c>
      <c r="AE624">
        <v>36</v>
      </c>
      <c r="AF624">
        <v>3</v>
      </c>
      <c r="AI624" t="s">
        <v>1588</v>
      </c>
      <c r="AK624" t="s">
        <v>1587</v>
      </c>
      <c r="AL624">
        <v>0</v>
      </c>
      <c r="AM624" s="5">
        <f t="shared" si="82"/>
        <v>0</v>
      </c>
      <c r="AN624" s="4">
        <f t="shared" si="79"/>
        <v>0</v>
      </c>
      <c r="AO624" s="3"/>
      <c r="AP624">
        <v>0</v>
      </c>
      <c r="AR624" t="s">
        <v>0</v>
      </c>
      <c r="AT624" s="2" t="s">
        <v>32</v>
      </c>
      <c r="AU624" s="1">
        <f t="shared" si="83"/>
        <v>3.0869437548383649</v>
      </c>
      <c r="AV624" s="1">
        <f t="shared" si="84"/>
        <v>2.2049598248845466</v>
      </c>
      <c r="AW624" s="1">
        <f t="shared" si="85"/>
        <v>1.3229758949307278</v>
      </c>
    </row>
    <row r="625" spans="1:49" x14ac:dyDescent="0.2">
      <c r="A625">
        <v>623</v>
      </c>
      <c r="B625" t="s">
        <v>1586</v>
      </c>
      <c r="F625" t="s">
        <v>1585</v>
      </c>
      <c r="G625" t="s">
        <v>14</v>
      </c>
      <c r="H625" t="s">
        <v>13</v>
      </c>
      <c r="I625" t="s">
        <v>1584</v>
      </c>
      <c r="J625">
        <v>60014313</v>
      </c>
      <c r="K625" t="s">
        <v>1583</v>
      </c>
      <c r="L625" t="s">
        <v>1582</v>
      </c>
      <c r="M625" t="s">
        <v>9</v>
      </c>
      <c r="N625">
        <v>2</v>
      </c>
      <c r="O625" t="s">
        <v>1581</v>
      </c>
      <c r="P625" t="s">
        <v>1580</v>
      </c>
      <c r="Q625" t="s">
        <v>1579</v>
      </c>
      <c r="R625" s="7">
        <v>31778</v>
      </c>
      <c r="S625" s="8">
        <f t="shared" si="80"/>
        <v>1987</v>
      </c>
      <c r="T625" s="8">
        <v>1987</v>
      </c>
      <c r="U625" s="8">
        <f t="shared" si="81"/>
        <v>35</v>
      </c>
      <c r="V625" s="7" t="s">
        <v>1370</v>
      </c>
      <c r="W625" t="s">
        <v>336</v>
      </c>
      <c r="X625" s="2">
        <v>1.6519999999999999</v>
      </c>
      <c r="Y625" s="6">
        <f t="shared" si="78"/>
        <v>4.409919649769093E-2</v>
      </c>
      <c r="AA625" t="s">
        <v>335</v>
      </c>
      <c r="AB625">
        <v>17337</v>
      </c>
      <c r="AD625" t="s">
        <v>4</v>
      </c>
      <c r="AE625">
        <v>36</v>
      </c>
      <c r="AF625">
        <v>3</v>
      </c>
      <c r="AI625" t="s">
        <v>1578</v>
      </c>
      <c r="AK625" t="s">
        <v>1577</v>
      </c>
      <c r="AL625">
        <v>0</v>
      </c>
      <c r="AM625" s="5">
        <f t="shared" si="82"/>
        <v>0</v>
      </c>
      <c r="AN625" s="4">
        <f t="shared" si="79"/>
        <v>0</v>
      </c>
      <c r="AO625" s="3"/>
      <c r="AP625">
        <v>0</v>
      </c>
      <c r="AR625" t="s">
        <v>0</v>
      </c>
      <c r="AT625" s="2" t="s">
        <v>32</v>
      </c>
      <c r="AU625" s="1">
        <f t="shared" si="83"/>
        <v>3.0869437548383649</v>
      </c>
      <c r="AV625" s="1">
        <f t="shared" si="84"/>
        <v>2.2049598248845466</v>
      </c>
      <c r="AW625" s="1">
        <f t="shared" si="85"/>
        <v>1.3229758949307278</v>
      </c>
    </row>
    <row r="626" spans="1:49" x14ac:dyDescent="0.2">
      <c r="A626">
        <v>624</v>
      </c>
      <c r="B626" t="s">
        <v>1576</v>
      </c>
      <c r="F626" t="s">
        <v>1575</v>
      </c>
      <c r="G626" t="s">
        <v>14</v>
      </c>
      <c r="H626" t="s">
        <v>13</v>
      </c>
      <c r="I626" t="s">
        <v>1574</v>
      </c>
      <c r="J626">
        <v>60009697</v>
      </c>
      <c r="K626" t="s">
        <v>1573</v>
      </c>
      <c r="L626" t="s">
        <v>1572</v>
      </c>
      <c r="M626" t="s">
        <v>685</v>
      </c>
      <c r="N626">
        <v>2</v>
      </c>
      <c r="O626" t="s">
        <v>1571</v>
      </c>
      <c r="P626" t="s">
        <v>1570</v>
      </c>
      <c r="Q626" t="s">
        <v>1569</v>
      </c>
      <c r="R626" s="7">
        <v>31778</v>
      </c>
      <c r="S626" s="8">
        <f t="shared" si="80"/>
        <v>1987</v>
      </c>
      <c r="T626" s="8">
        <v>1987</v>
      </c>
      <c r="U626" s="8">
        <f t="shared" si="81"/>
        <v>35</v>
      </c>
      <c r="V626" s="7" t="s">
        <v>1370</v>
      </c>
      <c r="W626" t="s">
        <v>336</v>
      </c>
      <c r="X626" s="2">
        <v>1.6519999999999999</v>
      </c>
      <c r="Y626" s="6">
        <f t="shared" si="78"/>
        <v>4.409919649769093E-2</v>
      </c>
      <c r="AA626" t="s">
        <v>335</v>
      </c>
      <c r="AB626">
        <v>17337</v>
      </c>
      <c r="AD626" t="s">
        <v>4</v>
      </c>
      <c r="AE626">
        <v>36</v>
      </c>
      <c r="AF626">
        <v>3</v>
      </c>
      <c r="AI626" t="s">
        <v>1568</v>
      </c>
      <c r="AK626" t="s">
        <v>1567</v>
      </c>
      <c r="AL626">
        <v>1</v>
      </c>
      <c r="AM626" s="5">
        <f t="shared" si="82"/>
        <v>2.8571428571428571E-2</v>
      </c>
      <c r="AN626" s="4">
        <f t="shared" si="79"/>
        <v>4.32736517552875E-5</v>
      </c>
      <c r="AO626" s="3"/>
      <c r="AP626">
        <v>0</v>
      </c>
      <c r="AR626" t="s">
        <v>0</v>
      </c>
      <c r="AT626" s="2" t="s">
        <v>32</v>
      </c>
      <c r="AU626" s="1">
        <f t="shared" si="83"/>
        <v>3.0882419643910235</v>
      </c>
      <c r="AV626" s="1">
        <f t="shared" si="84"/>
        <v>2.2071235074723106</v>
      </c>
      <c r="AW626" s="1">
        <f t="shared" si="85"/>
        <v>1.3260050505535981</v>
      </c>
    </row>
    <row r="627" spans="1:49" x14ac:dyDescent="0.2">
      <c r="A627">
        <v>625</v>
      </c>
      <c r="B627" t="s">
        <v>1566</v>
      </c>
      <c r="F627" t="s">
        <v>1565</v>
      </c>
      <c r="G627" t="s">
        <v>14</v>
      </c>
      <c r="H627" t="s">
        <v>13</v>
      </c>
      <c r="I627" t="s">
        <v>1564</v>
      </c>
      <c r="J627">
        <v>60031581</v>
      </c>
      <c r="K627" t="s">
        <v>1563</v>
      </c>
      <c r="L627" t="s">
        <v>599</v>
      </c>
      <c r="M627" t="s">
        <v>9</v>
      </c>
      <c r="N627">
        <v>2</v>
      </c>
      <c r="O627" t="s">
        <v>1562</v>
      </c>
      <c r="P627" t="s">
        <v>1561</v>
      </c>
      <c r="Q627" t="s">
        <v>1560</v>
      </c>
      <c r="R627" s="7">
        <v>31778</v>
      </c>
      <c r="S627" s="8">
        <f t="shared" si="80"/>
        <v>1987</v>
      </c>
      <c r="T627" s="8">
        <v>1987</v>
      </c>
      <c r="U627" s="8">
        <f t="shared" si="81"/>
        <v>35</v>
      </c>
      <c r="V627" s="7" t="s">
        <v>1370</v>
      </c>
      <c r="W627" t="s">
        <v>336</v>
      </c>
      <c r="X627" s="2">
        <v>1.6519999999999999</v>
      </c>
      <c r="Y627" s="6">
        <f t="shared" si="78"/>
        <v>4.409919649769093E-2</v>
      </c>
      <c r="AA627" t="s">
        <v>335</v>
      </c>
      <c r="AB627">
        <v>17337</v>
      </c>
      <c r="AD627" t="s">
        <v>4</v>
      </c>
      <c r="AE627">
        <v>36</v>
      </c>
      <c r="AF627">
        <v>3</v>
      </c>
      <c r="AI627" t="s">
        <v>1559</v>
      </c>
      <c r="AK627" t="s">
        <v>1558</v>
      </c>
      <c r="AL627">
        <v>0</v>
      </c>
      <c r="AM627" s="5">
        <f t="shared" si="82"/>
        <v>0</v>
      </c>
      <c r="AN627" s="4">
        <f t="shared" si="79"/>
        <v>0</v>
      </c>
      <c r="AO627" s="3"/>
      <c r="AP627">
        <v>0</v>
      </c>
      <c r="AR627" t="s">
        <v>0</v>
      </c>
      <c r="AT627" s="2" t="s">
        <v>32</v>
      </c>
      <c r="AU627" s="1">
        <f t="shared" si="83"/>
        <v>3.0869437548383649</v>
      </c>
      <c r="AV627" s="1">
        <f t="shared" si="84"/>
        <v>2.2049598248845466</v>
      </c>
      <c r="AW627" s="1">
        <f t="shared" si="85"/>
        <v>1.3229758949307278</v>
      </c>
    </row>
    <row r="628" spans="1:49" x14ac:dyDescent="0.2">
      <c r="A628">
        <v>626</v>
      </c>
      <c r="B628" t="s">
        <v>1557</v>
      </c>
      <c r="F628" t="s">
        <v>1556</v>
      </c>
      <c r="G628" t="s">
        <v>14</v>
      </c>
      <c r="H628" t="s">
        <v>13</v>
      </c>
      <c r="I628" t="s">
        <v>1555</v>
      </c>
      <c r="J628">
        <v>120118060</v>
      </c>
      <c r="K628" t="s">
        <v>1554</v>
      </c>
      <c r="N628">
        <v>1</v>
      </c>
      <c r="O628" t="s">
        <v>1553</v>
      </c>
      <c r="P628">
        <v>7201481830</v>
      </c>
      <c r="Q628">
        <v>120118060</v>
      </c>
      <c r="R628" s="7">
        <v>31778</v>
      </c>
      <c r="S628" s="8">
        <f t="shared" si="80"/>
        <v>1987</v>
      </c>
      <c r="T628" s="8">
        <v>1987</v>
      </c>
      <c r="U628" s="8">
        <f t="shared" si="81"/>
        <v>35</v>
      </c>
      <c r="V628" s="7" t="s">
        <v>1370</v>
      </c>
      <c r="W628" t="s">
        <v>336</v>
      </c>
      <c r="X628" s="2">
        <v>1.6519999999999999</v>
      </c>
      <c r="Y628" s="6">
        <f t="shared" si="78"/>
        <v>4.409919649769093E-2</v>
      </c>
      <c r="AA628" t="s">
        <v>335</v>
      </c>
      <c r="AB628">
        <v>17337</v>
      </c>
      <c r="AD628" t="s">
        <v>4</v>
      </c>
      <c r="AE628">
        <v>36</v>
      </c>
      <c r="AF628">
        <v>3</v>
      </c>
      <c r="AI628" t="s">
        <v>1552</v>
      </c>
      <c r="AK628" t="s">
        <v>1551</v>
      </c>
      <c r="AL628">
        <v>3</v>
      </c>
      <c r="AM628" s="5">
        <f t="shared" si="82"/>
        <v>8.5714285714285715E-2</v>
      </c>
      <c r="AN628" s="4">
        <f t="shared" si="79"/>
        <v>1.2982095526586251E-4</v>
      </c>
      <c r="AO628" s="3"/>
      <c r="AP628">
        <v>0</v>
      </c>
      <c r="AR628" t="s">
        <v>0</v>
      </c>
      <c r="AT628" s="2" t="s">
        <v>32</v>
      </c>
      <c r="AU628" s="1">
        <f t="shared" si="83"/>
        <v>3.0908383834963407</v>
      </c>
      <c r="AV628" s="1">
        <f t="shared" si="84"/>
        <v>2.2114508726478395</v>
      </c>
      <c r="AW628" s="1">
        <f t="shared" si="85"/>
        <v>1.3320633617993383</v>
      </c>
    </row>
    <row r="629" spans="1:49" x14ac:dyDescent="0.2">
      <c r="A629">
        <v>627</v>
      </c>
      <c r="B629" t="s">
        <v>1550</v>
      </c>
      <c r="C629" t="s">
        <v>1549</v>
      </c>
      <c r="F629" t="s">
        <v>1548</v>
      </c>
      <c r="G629" t="s">
        <v>14</v>
      </c>
      <c r="H629" t="s">
        <v>13</v>
      </c>
      <c r="I629" t="s">
        <v>1547</v>
      </c>
      <c r="J629" t="s">
        <v>1546</v>
      </c>
      <c r="K629" t="s">
        <v>1545</v>
      </c>
      <c r="L629" t="s">
        <v>1544</v>
      </c>
      <c r="M629" t="s">
        <v>1260</v>
      </c>
      <c r="N629">
        <v>5</v>
      </c>
      <c r="O629" t="s">
        <v>1543</v>
      </c>
      <c r="P629" t="s">
        <v>1542</v>
      </c>
      <c r="Q629" t="s">
        <v>1541</v>
      </c>
      <c r="R629" s="7">
        <v>31778</v>
      </c>
      <c r="S629" s="8">
        <f t="shared" si="80"/>
        <v>1987</v>
      </c>
      <c r="T629" s="8">
        <v>1987</v>
      </c>
      <c r="U629" s="8">
        <f t="shared" si="81"/>
        <v>35</v>
      </c>
      <c r="V629" s="7">
        <v>31809</v>
      </c>
      <c r="W629" t="s">
        <v>695</v>
      </c>
      <c r="X629" s="2">
        <v>2.383</v>
      </c>
      <c r="Y629" s="6">
        <f t="shared" si="78"/>
        <v>6.3612824003630442E-2</v>
      </c>
      <c r="AA629">
        <v>189219</v>
      </c>
      <c r="AB629">
        <v>17915</v>
      </c>
      <c r="AC629">
        <v>15582256</v>
      </c>
      <c r="AD629" t="s">
        <v>4</v>
      </c>
      <c r="AE629">
        <v>75</v>
      </c>
      <c r="AF629">
        <v>2</v>
      </c>
      <c r="AH629" t="s">
        <v>1540</v>
      </c>
      <c r="AI629" t="s">
        <v>1539</v>
      </c>
      <c r="AK629" t="s">
        <v>1538</v>
      </c>
      <c r="AL629">
        <v>8</v>
      </c>
      <c r="AM629" s="5">
        <f t="shared" si="82"/>
        <v>0.22857142857142856</v>
      </c>
      <c r="AN629" s="4">
        <f t="shared" si="79"/>
        <v>3.461892140423E-4</v>
      </c>
      <c r="AO629" s="3"/>
      <c r="AP629">
        <v>0</v>
      </c>
      <c r="AR629" t="s">
        <v>0</v>
      </c>
      <c r="AT629" s="2">
        <v>10.961</v>
      </c>
      <c r="AU629" s="1">
        <f t="shared" si="83"/>
        <v>4.4632833566754</v>
      </c>
      <c r="AV629" s="1">
        <f t="shared" si="84"/>
        <v>3.1979506608836368</v>
      </c>
      <c r="AW629" s="1">
        <f t="shared" si="85"/>
        <v>1.9326179650918742</v>
      </c>
    </row>
    <row r="630" spans="1:49" x14ac:dyDescent="0.2">
      <c r="A630">
        <v>628</v>
      </c>
      <c r="B630" t="s">
        <v>1537</v>
      </c>
      <c r="C630" t="s">
        <v>1536</v>
      </c>
      <c r="F630" t="s">
        <v>1535</v>
      </c>
      <c r="G630" t="s">
        <v>14</v>
      </c>
      <c r="H630" t="s">
        <v>13</v>
      </c>
      <c r="I630" t="s">
        <v>1534</v>
      </c>
      <c r="J630">
        <v>60025576</v>
      </c>
      <c r="K630" t="s">
        <v>1533</v>
      </c>
      <c r="L630" t="s">
        <v>1532</v>
      </c>
      <c r="M630" t="s">
        <v>9</v>
      </c>
      <c r="N630">
        <v>1</v>
      </c>
      <c r="O630" t="s">
        <v>1531</v>
      </c>
      <c r="P630">
        <v>57225248649</v>
      </c>
      <c r="Q630">
        <v>60025576</v>
      </c>
      <c r="R630" s="7">
        <v>31778</v>
      </c>
      <c r="S630" s="8">
        <f t="shared" si="80"/>
        <v>1987</v>
      </c>
      <c r="T630" s="8">
        <v>1987</v>
      </c>
      <c r="U630" s="8">
        <f t="shared" si="81"/>
        <v>35</v>
      </c>
      <c r="V630" s="7">
        <v>31809</v>
      </c>
      <c r="W630" t="s">
        <v>1530</v>
      </c>
      <c r="X630" s="2">
        <v>0.65500000000000003</v>
      </c>
      <c r="Y630" s="6">
        <f t="shared" si="78"/>
        <v>1.7484850911614749E-2</v>
      </c>
      <c r="AA630">
        <v>189375</v>
      </c>
      <c r="AB630">
        <v>26051</v>
      </c>
      <c r="AC630" t="s">
        <v>1529</v>
      </c>
      <c r="AD630" t="s">
        <v>4</v>
      </c>
      <c r="AE630" t="s">
        <v>1528</v>
      </c>
      <c r="AF630">
        <v>1</v>
      </c>
      <c r="AH630" t="s">
        <v>1527</v>
      </c>
      <c r="AI630" t="s">
        <v>1526</v>
      </c>
      <c r="AJ630" t="s">
        <v>1525</v>
      </c>
      <c r="AK630" t="s">
        <v>1524</v>
      </c>
      <c r="AL630">
        <v>8</v>
      </c>
      <c r="AM630" s="5">
        <f t="shared" si="82"/>
        <v>0.22857142857142856</v>
      </c>
      <c r="AN630" s="4">
        <f t="shared" si="79"/>
        <v>3.461892140423E-4</v>
      </c>
      <c r="AO630" s="3"/>
      <c r="AP630">
        <v>0</v>
      </c>
      <c r="AR630" t="s">
        <v>0</v>
      </c>
      <c r="AT630" s="2" t="s">
        <v>32</v>
      </c>
      <c r="AU630" s="1">
        <f t="shared" si="83"/>
        <v>1.2343252402343015</v>
      </c>
      <c r="AV630" s="1">
        <f t="shared" si="84"/>
        <v>0.89155200628285247</v>
      </c>
      <c r="AW630" s="1">
        <f t="shared" si="85"/>
        <v>0.54877877233140349</v>
      </c>
    </row>
    <row r="631" spans="1:49" x14ac:dyDescent="0.2">
      <c r="A631">
        <v>629</v>
      </c>
      <c r="B631" t="s">
        <v>1523</v>
      </c>
      <c r="C631" t="s">
        <v>1522</v>
      </c>
      <c r="F631" t="s">
        <v>1521</v>
      </c>
      <c r="G631" t="s">
        <v>14</v>
      </c>
      <c r="H631" t="s">
        <v>13</v>
      </c>
      <c r="I631" t="s">
        <v>1520</v>
      </c>
      <c r="J631">
        <v>100443537</v>
      </c>
      <c r="K631" t="s">
        <v>1519</v>
      </c>
      <c r="L631" t="s">
        <v>1518</v>
      </c>
      <c r="M631" t="s">
        <v>586</v>
      </c>
      <c r="N631">
        <v>1</v>
      </c>
      <c r="O631" t="s">
        <v>1517</v>
      </c>
      <c r="P631">
        <v>6701606046</v>
      </c>
      <c r="Q631">
        <v>100443537</v>
      </c>
      <c r="R631" s="7">
        <v>31778</v>
      </c>
      <c r="S631" s="8">
        <f t="shared" si="80"/>
        <v>1987</v>
      </c>
      <c r="T631" s="8">
        <v>1987</v>
      </c>
      <c r="U631" s="8">
        <f t="shared" si="81"/>
        <v>35</v>
      </c>
      <c r="V631" s="7" t="s">
        <v>1370</v>
      </c>
      <c r="W631" s="11" t="s">
        <v>1382</v>
      </c>
      <c r="X631" s="2">
        <v>2.383</v>
      </c>
      <c r="Y631" s="6">
        <f t="shared" si="78"/>
        <v>6.3612824003630442E-2</v>
      </c>
      <c r="AA631" t="s">
        <v>1381</v>
      </c>
      <c r="AB631">
        <v>101151</v>
      </c>
      <c r="AD631" t="s">
        <v>4</v>
      </c>
      <c r="AE631">
        <v>134</v>
      </c>
      <c r="AF631">
        <v>1</v>
      </c>
      <c r="AH631" t="s">
        <v>1516</v>
      </c>
      <c r="AI631" t="s">
        <v>1515</v>
      </c>
      <c r="AK631" t="s">
        <v>1514</v>
      </c>
      <c r="AL631">
        <v>34</v>
      </c>
      <c r="AM631" s="5">
        <f t="shared" si="82"/>
        <v>0.97142857142857142</v>
      </c>
      <c r="AN631" s="4">
        <f t="shared" si="79"/>
        <v>1.4713041596797749E-3</v>
      </c>
      <c r="AO631" s="3"/>
      <c r="AP631">
        <v>0</v>
      </c>
      <c r="AR631" t="s">
        <v>0</v>
      </c>
      <c r="AT631" s="2" t="s">
        <v>32</v>
      </c>
      <c r="AU631" s="1">
        <f t="shared" si="83"/>
        <v>4.497036805044524</v>
      </c>
      <c r="AV631" s="1">
        <f t="shared" si="84"/>
        <v>3.2542064081655111</v>
      </c>
      <c r="AW631" s="1">
        <f t="shared" si="85"/>
        <v>2.0113760112864973</v>
      </c>
    </row>
    <row r="632" spans="1:49" x14ac:dyDescent="0.2">
      <c r="A632">
        <v>630</v>
      </c>
      <c r="B632" t="s">
        <v>1513</v>
      </c>
      <c r="C632" t="s">
        <v>1512</v>
      </c>
      <c r="F632" t="s">
        <v>1511</v>
      </c>
      <c r="G632" t="s">
        <v>14</v>
      </c>
      <c r="H632" t="s">
        <v>13</v>
      </c>
      <c r="I632" t="s">
        <v>1510</v>
      </c>
      <c r="J632">
        <v>60010491</v>
      </c>
      <c r="K632" t="s">
        <v>1431</v>
      </c>
      <c r="L632" t="s">
        <v>1430</v>
      </c>
      <c r="M632" t="s">
        <v>9</v>
      </c>
      <c r="N632">
        <v>2</v>
      </c>
      <c r="O632" t="s">
        <v>1509</v>
      </c>
      <c r="P632" t="s">
        <v>1508</v>
      </c>
      <c r="Q632" t="s">
        <v>1427</v>
      </c>
      <c r="R632" s="7">
        <v>31778</v>
      </c>
      <c r="S632" s="8">
        <f t="shared" si="80"/>
        <v>1987</v>
      </c>
      <c r="T632" s="8">
        <v>1987</v>
      </c>
      <c r="U632" s="8">
        <f t="shared" si="81"/>
        <v>35</v>
      </c>
      <c r="V632" s="7" t="s">
        <v>1370</v>
      </c>
      <c r="W632" s="11" t="s">
        <v>1382</v>
      </c>
      <c r="X632" s="2">
        <v>2.383</v>
      </c>
      <c r="Y632" s="6">
        <f t="shared" si="78"/>
        <v>6.3612824003630442E-2</v>
      </c>
      <c r="AA632" t="s">
        <v>1381</v>
      </c>
      <c r="AB632">
        <v>101151</v>
      </c>
      <c r="AD632" t="s">
        <v>4</v>
      </c>
      <c r="AE632">
        <v>134</v>
      </c>
      <c r="AF632">
        <v>1</v>
      </c>
      <c r="AH632" t="s">
        <v>1507</v>
      </c>
      <c r="AI632" t="s">
        <v>1506</v>
      </c>
      <c r="AK632" t="s">
        <v>1505</v>
      </c>
      <c r="AL632">
        <v>15</v>
      </c>
      <c r="AM632" s="5">
        <f t="shared" si="82"/>
        <v>0.42857142857142855</v>
      </c>
      <c r="AN632" s="4">
        <f t="shared" si="79"/>
        <v>6.4910477632931242E-4</v>
      </c>
      <c r="AO632" s="3"/>
      <c r="AP632">
        <v>0</v>
      </c>
      <c r="AR632" t="s">
        <v>0</v>
      </c>
      <c r="AT632" s="2" t="s">
        <v>32</v>
      </c>
      <c r="AU632" s="1">
        <f t="shared" si="83"/>
        <v>4.4723708235440105</v>
      </c>
      <c r="AV632" s="1">
        <f t="shared" si="84"/>
        <v>3.2130964389979879</v>
      </c>
      <c r="AW632" s="1">
        <f t="shared" si="85"/>
        <v>1.9538220544519651</v>
      </c>
    </row>
    <row r="633" spans="1:49" x14ac:dyDescent="0.2">
      <c r="A633">
        <v>631</v>
      </c>
      <c r="B633" t="s">
        <v>1504</v>
      </c>
      <c r="C633" t="s">
        <v>1503</v>
      </c>
      <c r="F633" t="s">
        <v>1502</v>
      </c>
      <c r="G633" t="s">
        <v>14</v>
      </c>
      <c r="H633" t="s">
        <v>13</v>
      </c>
      <c r="I633" t="s">
        <v>1501</v>
      </c>
      <c r="J633">
        <v>60018714</v>
      </c>
      <c r="K633" t="s">
        <v>1500</v>
      </c>
      <c r="L633" t="s">
        <v>1499</v>
      </c>
      <c r="M633" t="s">
        <v>685</v>
      </c>
      <c r="N633">
        <v>1</v>
      </c>
      <c r="O633" t="s">
        <v>1498</v>
      </c>
      <c r="P633">
        <v>6603668841</v>
      </c>
      <c r="Q633">
        <v>60018714</v>
      </c>
      <c r="R633" s="7">
        <v>31778</v>
      </c>
      <c r="S633" s="8">
        <f t="shared" si="80"/>
        <v>1987</v>
      </c>
      <c r="T633" s="8">
        <v>1987</v>
      </c>
      <c r="U633" s="8">
        <f t="shared" si="81"/>
        <v>35</v>
      </c>
      <c r="V633" s="7">
        <v>31809</v>
      </c>
      <c r="W633" t="s">
        <v>1394</v>
      </c>
      <c r="X633" s="2">
        <v>2.9860000000000002</v>
      </c>
      <c r="Y633" s="6">
        <f t="shared" si="78"/>
        <v>7.9709564613865094E-2</v>
      </c>
      <c r="AA633">
        <v>7338716</v>
      </c>
      <c r="AB633">
        <v>18902</v>
      </c>
      <c r="AD633" t="s">
        <v>4</v>
      </c>
      <c r="AE633">
        <v>5</v>
      </c>
      <c r="AF633">
        <v>2</v>
      </c>
      <c r="AH633" t="s">
        <v>1497</v>
      </c>
      <c r="AI633" t="s">
        <v>1496</v>
      </c>
      <c r="AK633" t="s">
        <v>1495</v>
      </c>
      <c r="AL633">
        <v>13</v>
      </c>
      <c r="AM633" s="5">
        <f t="shared" si="82"/>
        <v>0.37142857142857144</v>
      </c>
      <c r="AN633" s="4">
        <f t="shared" si="79"/>
        <v>5.6255747281873749E-4</v>
      </c>
      <c r="AO633" s="3"/>
      <c r="AP633">
        <v>0</v>
      </c>
      <c r="AR633" t="s">
        <v>0</v>
      </c>
      <c r="AT633" s="2" t="s">
        <v>32</v>
      </c>
      <c r="AU633" s="1">
        <f t="shared" si="83"/>
        <v>5.5965462471551177</v>
      </c>
      <c r="AV633" s="1">
        <f t="shared" si="84"/>
        <v>4.0136061043341913</v>
      </c>
      <c r="AW633" s="1">
        <f t="shared" si="85"/>
        <v>2.4306659615132644</v>
      </c>
    </row>
    <row r="634" spans="1:49" x14ac:dyDescent="0.2">
      <c r="A634">
        <v>632</v>
      </c>
      <c r="B634" t="s">
        <v>1494</v>
      </c>
      <c r="C634" t="s">
        <v>1493</v>
      </c>
      <c r="F634" t="s">
        <v>1492</v>
      </c>
      <c r="G634" t="s">
        <v>14</v>
      </c>
      <c r="H634" t="s">
        <v>13</v>
      </c>
      <c r="I634" t="s">
        <v>1485</v>
      </c>
      <c r="N634">
        <v>1</v>
      </c>
      <c r="O634" t="s">
        <v>1484</v>
      </c>
      <c r="P634">
        <v>7004196658</v>
      </c>
      <c r="R634" s="7">
        <v>31778</v>
      </c>
      <c r="S634" s="8">
        <f t="shared" si="80"/>
        <v>1987</v>
      </c>
      <c r="T634" s="8">
        <v>1987</v>
      </c>
      <c r="U634" s="8">
        <f t="shared" si="81"/>
        <v>35</v>
      </c>
      <c r="V634" s="7" t="s">
        <v>1370</v>
      </c>
      <c r="W634" s="11" t="s">
        <v>1382</v>
      </c>
      <c r="X634" s="2">
        <v>2.383</v>
      </c>
      <c r="Y634" s="6">
        <f t="shared" si="78"/>
        <v>6.3612824003630442E-2</v>
      </c>
      <c r="AA634" t="s">
        <v>1381</v>
      </c>
      <c r="AB634">
        <v>101151</v>
      </c>
      <c r="AD634" t="s">
        <v>4</v>
      </c>
      <c r="AE634">
        <v>134</v>
      </c>
      <c r="AF634">
        <v>1</v>
      </c>
      <c r="AH634" t="s">
        <v>1491</v>
      </c>
      <c r="AI634" t="s">
        <v>1490</v>
      </c>
      <c r="AK634" t="s">
        <v>1489</v>
      </c>
      <c r="AL634">
        <v>16</v>
      </c>
      <c r="AM634" s="5">
        <f t="shared" si="82"/>
        <v>0.45714285714285713</v>
      </c>
      <c r="AN634" s="4">
        <f t="shared" si="79"/>
        <v>6.923784280846E-4</v>
      </c>
      <c r="AO634" s="3"/>
      <c r="AP634">
        <v>0</v>
      </c>
      <c r="AR634" t="s">
        <v>0</v>
      </c>
      <c r="AT634" s="2" t="s">
        <v>32</v>
      </c>
      <c r="AU634" s="1">
        <f t="shared" si="83"/>
        <v>4.4736690330966686</v>
      </c>
      <c r="AV634" s="1">
        <f t="shared" si="84"/>
        <v>3.2152601215857524</v>
      </c>
      <c r="AW634" s="1">
        <f t="shared" si="85"/>
        <v>1.9568512100748354</v>
      </c>
    </row>
    <row r="635" spans="1:49" x14ac:dyDescent="0.2">
      <c r="A635">
        <v>633</v>
      </c>
      <c r="B635" t="s">
        <v>1488</v>
      </c>
      <c r="C635" t="s">
        <v>1487</v>
      </c>
      <c r="F635" t="s">
        <v>1486</v>
      </c>
      <c r="G635" t="s">
        <v>14</v>
      </c>
      <c r="H635" t="s">
        <v>13</v>
      </c>
      <c r="I635" t="s">
        <v>1485</v>
      </c>
      <c r="J635">
        <v>60005811</v>
      </c>
      <c r="K635" t="s">
        <v>1138</v>
      </c>
      <c r="L635" t="s">
        <v>1137</v>
      </c>
      <c r="M635" t="s">
        <v>112</v>
      </c>
      <c r="N635">
        <v>1</v>
      </c>
      <c r="O635" t="s">
        <v>1484</v>
      </c>
      <c r="P635">
        <v>7004196658</v>
      </c>
      <c r="Q635">
        <v>60005811</v>
      </c>
      <c r="R635" s="7">
        <v>31778</v>
      </c>
      <c r="S635" s="8">
        <f t="shared" si="80"/>
        <v>1987</v>
      </c>
      <c r="T635" s="8">
        <v>1987</v>
      </c>
      <c r="U635" s="8">
        <f t="shared" si="81"/>
        <v>35</v>
      </c>
      <c r="V635" s="7">
        <v>1987</v>
      </c>
      <c r="W635" s="11" t="s">
        <v>1483</v>
      </c>
      <c r="X635" s="2">
        <v>2.383</v>
      </c>
      <c r="Y635" s="6">
        <f t="shared" si="78"/>
        <v>6.3612824003630442E-2</v>
      </c>
      <c r="AA635">
        <v>1437070</v>
      </c>
      <c r="AB635">
        <v>39742</v>
      </c>
      <c r="AD635" t="s">
        <v>4</v>
      </c>
      <c r="AE635">
        <v>134</v>
      </c>
      <c r="AF635">
        <v>1</v>
      </c>
      <c r="AH635" t="s">
        <v>1482</v>
      </c>
      <c r="AL635">
        <v>24</v>
      </c>
      <c r="AM635" s="5">
        <f t="shared" si="82"/>
        <v>0.68571428571428572</v>
      </c>
      <c r="AN635" s="4">
        <f t="shared" si="79"/>
        <v>1.0385676421269001E-3</v>
      </c>
      <c r="AO635" s="3"/>
      <c r="AP635">
        <v>0</v>
      </c>
      <c r="AR635" t="s">
        <v>0</v>
      </c>
      <c r="AT635" s="2" t="s">
        <v>32</v>
      </c>
      <c r="AU635" s="1">
        <f t="shared" si="83"/>
        <v>4.4840547095179382</v>
      </c>
      <c r="AV635" s="1">
        <f t="shared" si="84"/>
        <v>3.2325695822878671</v>
      </c>
      <c r="AW635" s="1">
        <f t="shared" si="85"/>
        <v>1.9810844550577962</v>
      </c>
    </row>
    <row r="636" spans="1:49" x14ac:dyDescent="0.2">
      <c r="A636">
        <v>634</v>
      </c>
      <c r="B636" t="s">
        <v>1481</v>
      </c>
      <c r="C636" t="s">
        <v>1480</v>
      </c>
      <c r="F636" t="s">
        <v>1479</v>
      </c>
      <c r="G636" t="s">
        <v>14</v>
      </c>
      <c r="H636" t="s">
        <v>13</v>
      </c>
      <c r="I636" t="s">
        <v>1478</v>
      </c>
      <c r="J636">
        <v>60031004</v>
      </c>
      <c r="K636" t="s">
        <v>1477</v>
      </c>
      <c r="L636" t="s">
        <v>1476</v>
      </c>
      <c r="M636" t="s">
        <v>40</v>
      </c>
      <c r="N636">
        <v>2</v>
      </c>
      <c r="O636" t="s">
        <v>1475</v>
      </c>
      <c r="P636" t="s">
        <v>1474</v>
      </c>
      <c r="Q636" t="s">
        <v>1473</v>
      </c>
      <c r="R636" s="7">
        <v>31778</v>
      </c>
      <c r="S636" s="8">
        <f t="shared" si="80"/>
        <v>1987</v>
      </c>
      <c r="T636" s="8">
        <v>1987</v>
      </c>
      <c r="U636" s="8">
        <f t="shared" si="81"/>
        <v>35</v>
      </c>
      <c r="V636" s="7" t="s">
        <v>1370</v>
      </c>
      <c r="W636" s="11" t="s">
        <v>1382</v>
      </c>
      <c r="X636" s="2">
        <v>2.383</v>
      </c>
      <c r="Y636" s="6">
        <f t="shared" si="78"/>
        <v>6.3612824003630442E-2</v>
      </c>
      <c r="AA636" t="s">
        <v>1381</v>
      </c>
      <c r="AB636">
        <v>101151</v>
      </c>
      <c r="AD636" t="s">
        <v>4</v>
      </c>
      <c r="AE636">
        <v>134</v>
      </c>
      <c r="AF636">
        <v>1</v>
      </c>
      <c r="AH636" t="s">
        <v>1472</v>
      </c>
      <c r="AI636" t="s">
        <v>1471</v>
      </c>
      <c r="AK636" t="s">
        <v>1470</v>
      </c>
      <c r="AL636">
        <v>0</v>
      </c>
      <c r="AM636" s="5">
        <f t="shared" si="82"/>
        <v>0</v>
      </c>
      <c r="AN636" s="4">
        <f t="shared" si="79"/>
        <v>0</v>
      </c>
      <c r="AO636" s="3"/>
      <c r="AP636">
        <v>0</v>
      </c>
      <c r="AR636" t="s">
        <v>0</v>
      </c>
      <c r="AT636" s="2" t="s">
        <v>32</v>
      </c>
      <c r="AU636" s="1">
        <f t="shared" si="83"/>
        <v>4.4528976802541305</v>
      </c>
      <c r="AV636" s="1">
        <f t="shared" si="84"/>
        <v>3.1806412001815221</v>
      </c>
      <c r="AW636" s="1">
        <f t="shared" si="85"/>
        <v>1.9083847201089132</v>
      </c>
    </row>
    <row r="637" spans="1:49" x14ac:dyDescent="0.2">
      <c r="A637">
        <v>635</v>
      </c>
      <c r="B637" t="s">
        <v>1469</v>
      </c>
      <c r="C637" t="s">
        <v>1468</v>
      </c>
      <c r="F637" t="s">
        <v>1467</v>
      </c>
      <c r="G637" t="s">
        <v>14</v>
      </c>
      <c r="H637" t="s">
        <v>13</v>
      </c>
      <c r="I637" t="s">
        <v>1466</v>
      </c>
      <c r="J637">
        <v>60000990</v>
      </c>
      <c r="K637" t="s">
        <v>1465</v>
      </c>
      <c r="L637" t="s">
        <v>1464</v>
      </c>
      <c r="M637" t="s">
        <v>1463</v>
      </c>
      <c r="N637">
        <v>1</v>
      </c>
      <c r="O637" t="s">
        <v>1462</v>
      </c>
      <c r="P637">
        <v>57188535248</v>
      </c>
      <c r="Q637">
        <v>60000990</v>
      </c>
      <c r="R637" s="7">
        <v>31778</v>
      </c>
      <c r="S637" s="8">
        <f t="shared" si="80"/>
        <v>1987</v>
      </c>
      <c r="T637" s="8">
        <v>1987</v>
      </c>
      <c r="U637" s="8">
        <f t="shared" si="81"/>
        <v>35</v>
      </c>
      <c r="V637" s="7" t="s">
        <v>1370</v>
      </c>
      <c r="W637" s="11" t="s">
        <v>1382</v>
      </c>
      <c r="X637" s="2">
        <v>2.383</v>
      </c>
      <c r="Y637" s="6">
        <f t="shared" si="78"/>
        <v>6.3612824003630442E-2</v>
      </c>
      <c r="AA637" t="s">
        <v>1381</v>
      </c>
      <c r="AB637">
        <v>101151</v>
      </c>
      <c r="AD637" t="s">
        <v>4</v>
      </c>
      <c r="AE637">
        <v>134</v>
      </c>
      <c r="AF637">
        <v>1</v>
      </c>
      <c r="AH637" t="s">
        <v>1461</v>
      </c>
      <c r="AI637" t="s">
        <v>1460</v>
      </c>
      <c r="AK637" t="s">
        <v>1459</v>
      </c>
      <c r="AL637">
        <v>18</v>
      </c>
      <c r="AM637" s="5">
        <f t="shared" si="82"/>
        <v>0.51428571428571423</v>
      </c>
      <c r="AN637" s="4">
        <f t="shared" si="79"/>
        <v>7.7892573159517493E-4</v>
      </c>
      <c r="AO637" s="3"/>
      <c r="AP637">
        <v>0</v>
      </c>
      <c r="AR637" t="s">
        <v>0</v>
      </c>
      <c r="AT637" s="2" t="s">
        <v>32</v>
      </c>
      <c r="AU637" s="1">
        <f t="shared" si="83"/>
        <v>4.4762654522019867</v>
      </c>
      <c r="AV637" s="1">
        <f t="shared" si="84"/>
        <v>3.2195874867612808</v>
      </c>
      <c r="AW637" s="1">
        <f t="shared" si="85"/>
        <v>1.9629095213205754</v>
      </c>
    </row>
    <row r="638" spans="1:49" x14ac:dyDescent="0.2">
      <c r="A638">
        <v>636</v>
      </c>
      <c r="B638" t="s">
        <v>1458</v>
      </c>
      <c r="C638" t="s">
        <v>1457</v>
      </c>
      <c r="F638" t="s">
        <v>1456</v>
      </c>
      <c r="G638" t="s">
        <v>14</v>
      </c>
      <c r="H638" t="s">
        <v>13</v>
      </c>
      <c r="I638" t="s">
        <v>1455</v>
      </c>
      <c r="J638">
        <v>60001881</v>
      </c>
      <c r="K638" t="s">
        <v>1444</v>
      </c>
      <c r="L638" t="s">
        <v>1443</v>
      </c>
      <c r="M638" t="s">
        <v>586</v>
      </c>
      <c r="N638">
        <v>2</v>
      </c>
      <c r="O638" t="s">
        <v>1454</v>
      </c>
      <c r="P638" t="s">
        <v>1453</v>
      </c>
      <c r="Q638" t="s">
        <v>1452</v>
      </c>
      <c r="R638" s="7">
        <v>31778</v>
      </c>
      <c r="S638" s="8">
        <f t="shared" si="80"/>
        <v>1987</v>
      </c>
      <c r="T638" s="8">
        <v>1987</v>
      </c>
      <c r="U638" s="8">
        <f t="shared" si="81"/>
        <v>35</v>
      </c>
      <c r="V638" s="7" t="s">
        <v>1370</v>
      </c>
      <c r="W638" s="11" t="s">
        <v>1382</v>
      </c>
      <c r="X638" s="2">
        <v>2.383</v>
      </c>
      <c r="Y638" s="6">
        <f t="shared" si="78"/>
        <v>6.3612824003630442E-2</v>
      </c>
      <c r="AA638" t="s">
        <v>1381</v>
      </c>
      <c r="AB638">
        <v>101151</v>
      </c>
      <c r="AD638" t="s">
        <v>4</v>
      </c>
      <c r="AE638">
        <v>134</v>
      </c>
      <c r="AF638">
        <v>1</v>
      </c>
      <c r="AH638" t="s">
        <v>1451</v>
      </c>
      <c r="AI638" t="s">
        <v>1450</v>
      </c>
      <c r="AK638" t="s">
        <v>1449</v>
      </c>
      <c r="AL638">
        <v>5</v>
      </c>
      <c r="AM638" s="5">
        <f t="shared" si="82"/>
        <v>0.14285714285714285</v>
      </c>
      <c r="AN638" s="4">
        <f t="shared" si="79"/>
        <v>2.1636825877643749E-4</v>
      </c>
      <c r="AO638" s="3"/>
      <c r="AP638">
        <v>0</v>
      </c>
      <c r="AR638" t="s">
        <v>0</v>
      </c>
      <c r="AT638" s="2" t="s">
        <v>32</v>
      </c>
      <c r="AU638" s="1">
        <f t="shared" si="83"/>
        <v>4.4593887280174247</v>
      </c>
      <c r="AV638" s="1">
        <f t="shared" si="84"/>
        <v>3.1914596131203439</v>
      </c>
      <c r="AW638" s="1">
        <f t="shared" si="85"/>
        <v>1.9235304982232637</v>
      </c>
    </row>
    <row r="639" spans="1:49" x14ac:dyDescent="0.2">
      <c r="A639">
        <v>637</v>
      </c>
      <c r="B639" t="s">
        <v>1448</v>
      </c>
      <c r="C639" t="s">
        <v>1447</v>
      </c>
      <c r="F639" t="s">
        <v>1446</v>
      </c>
      <c r="G639" t="s">
        <v>14</v>
      </c>
      <c r="H639" t="s">
        <v>13</v>
      </c>
      <c r="I639" t="s">
        <v>1445</v>
      </c>
      <c r="J639">
        <v>60001881</v>
      </c>
      <c r="K639" t="s">
        <v>1444</v>
      </c>
      <c r="L639" t="s">
        <v>1443</v>
      </c>
      <c r="M639" t="s">
        <v>586</v>
      </c>
      <c r="N639">
        <v>3</v>
      </c>
      <c r="O639" t="s">
        <v>1442</v>
      </c>
      <c r="P639" t="s">
        <v>1441</v>
      </c>
      <c r="Q639" t="s">
        <v>1440</v>
      </c>
      <c r="R639" s="7">
        <v>31778</v>
      </c>
      <c r="S639" s="8">
        <f t="shared" si="80"/>
        <v>1987</v>
      </c>
      <c r="T639" s="8">
        <v>1987</v>
      </c>
      <c r="U639" s="8">
        <f t="shared" si="81"/>
        <v>35</v>
      </c>
      <c r="V639" s="7">
        <v>1987</v>
      </c>
      <c r="W639" t="s">
        <v>429</v>
      </c>
      <c r="X639" s="2">
        <v>0.375</v>
      </c>
      <c r="Y639" s="6">
        <f t="shared" si="78"/>
        <v>1.0010410827260351E-2</v>
      </c>
      <c r="AA639">
        <v>135194</v>
      </c>
      <c r="AB639">
        <v>24918</v>
      </c>
      <c r="AD639" t="s">
        <v>4</v>
      </c>
      <c r="AE639">
        <v>23</v>
      </c>
      <c r="AF639">
        <v>4</v>
      </c>
      <c r="AH639" t="s">
        <v>1439</v>
      </c>
      <c r="AI639" t="s">
        <v>1438</v>
      </c>
      <c r="AJ639" t="s">
        <v>1437</v>
      </c>
      <c r="AK639" t="s">
        <v>1436</v>
      </c>
      <c r="AL639">
        <v>0</v>
      </c>
      <c r="AM639" s="5">
        <f t="shared" si="82"/>
        <v>0</v>
      </c>
      <c r="AN639" s="4">
        <f t="shared" si="79"/>
        <v>0</v>
      </c>
      <c r="AO639" s="3"/>
      <c r="AP639">
        <v>0</v>
      </c>
      <c r="AR639" t="s">
        <v>0</v>
      </c>
      <c r="AT639" s="2">
        <v>1.3140000000000001</v>
      </c>
      <c r="AU639" s="1">
        <f t="shared" si="83"/>
        <v>0.70072875790822453</v>
      </c>
      <c r="AV639" s="1">
        <f t="shared" si="84"/>
        <v>0.5005205413630176</v>
      </c>
      <c r="AW639" s="1">
        <f t="shared" si="85"/>
        <v>0.30031232481781051</v>
      </c>
    </row>
    <row r="640" spans="1:49" x14ac:dyDescent="0.2">
      <c r="A640">
        <v>638</v>
      </c>
      <c r="B640" t="s">
        <v>1435</v>
      </c>
      <c r="C640" t="s">
        <v>1434</v>
      </c>
      <c r="F640" t="s">
        <v>1433</v>
      </c>
      <c r="G640" t="s">
        <v>14</v>
      </c>
      <c r="H640" t="s">
        <v>13</v>
      </c>
      <c r="I640" t="s">
        <v>1432</v>
      </c>
      <c r="J640">
        <v>60010491</v>
      </c>
      <c r="K640" t="s">
        <v>1431</v>
      </c>
      <c r="L640" t="s">
        <v>1430</v>
      </c>
      <c r="M640" t="s">
        <v>9</v>
      </c>
      <c r="N640">
        <v>2</v>
      </c>
      <c r="O640" t="s">
        <v>1429</v>
      </c>
      <c r="P640" t="s">
        <v>1428</v>
      </c>
      <c r="Q640" t="s">
        <v>1427</v>
      </c>
      <c r="R640" s="7">
        <v>31778</v>
      </c>
      <c r="S640" s="8">
        <f t="shared" si="80"/>
        <v>1987</v>
      </c>
      <c r="T640" s="8">
        <v>1987</v>
      </c>
      <c r="U640" s="8">
        <f t="shared" si="81"/>
        <v>35</v>
      </c>
      <c r="V640" s="7" t="s">
        <v>1370</v>
      </c>
      <c r="W640" s="11" t="s">
        <v>1382</v>
      </c>
      <c r="X640" s="2">
        <v>2.383</v>
      </c>
      <c r="Y640" s="6">
        <f t="shared" si="78"/>
        <v>6.3612824003630442E-2</v>
      </c>
      <c r="AA640" t="s">
        <v>1381</v>
      </c>
      <c r="AB640">
        <v>101151</v>
      </c>
      <c r="AD640" t="s">
        <v>4</v>
      </c>
      <c r="AE640">
        <v>134</v>
      </c>
      <c r="AF640">
        <v>1</v>
      </c>
      <c r="AH640" t="s">
        <v>1426</v>
      </c>
      <c r="AI640" t="s">
        <v>1425</v>
      </c>
      <c r="AK640" t="s">
        <v>1424</v>
      </c>
      <c r="AL640">
        <v>21</v>
      </c>
      <c r="AM640" s="5">
        <f t="shared" si="82"/>
        <v>0.6</v>
      </c>
      <c r="AN640" s="4">
        <f t="shared" si="79"/>
        <v>9.0874668686103744E-4</v>
      </c>
      <c r="AO640" s="3"/>
      <c r="AP640">
        <v>0</v>
      </c>
      <c r="AR640" t="s">
        <v>0</v>
      </c>
      <c r="AT640" s="2" t="s">
        <v>32</v>
      </c>
      <c r="AU640" s="1">
        <f t="shared" si="83"/>
        <v>4.480160080859962</v>
      </c>
      <c r="AV640" s="1">
        <f t="shared" si="84"/>
        <v>3.2260785345245742</v>
      </c>
      <c r="AW640" s="1">
        <f t="shared" si="85"/>
        <v>1.9719969881891859</v>
      </c>
    </row>
    <row r="641" spans="1:49" x14ac:dyDescent="0.2">
      <c r="A641">
        <v>639</v>
      </c>
      <c r="B641" t="s">
        <v>1423</v>
      </c>
      <c r="C641" t="s">
        <v>1422</v>
      </c>
      <c r="F641" t="s">
        <v>1421</v>
      </c>
      <c r="G641" t="s">
        <v>14</v>
      </c>
      <c r="H641" t="s">
        <v>13</v>
      </c>
      <c r="I641" t="s">
        <v>1420</v>
      </c>
      <c r="J641">
        <v>60013506</v>
      </c>
      <c r="K641" t="s">
        <v>1419</v>
      </c>
      <c r="L641" t="s">
        <v>1418</v>
      </c>
      <c r="M641" t="s">
        <v>685</v>
      </c>
      <c r="N641">
        <v>1</v>
      </c>
      <c r="O641" t="s">
        <v>1417</v>
      </c>
      <c r="P641">
        <v>7406623160</v>
      </c>
      <c r="Q641">
        <v>60013506</v>
      </c>
      <c r="R641" s="7">
        <v>31778</v>
      </c>
      <c r="S641" s="8">
        <f t="shared" si="80"/>
        <v>1987</v>
      </c>
      <c r="T641" s="8">
        <v>1987</v>
      </c>
      <c r="U641" s="8">
        <f t="shared" si="81"/>
        <v>35</v>
      </c>
      <c r="V641" s="7" t="s">
        <v>1370</v>
      </c>
      <c r="W641" s="11" t="s">
        <v>1382</v>
      </c>
      <c r="X641" s="2">
        <v>2.383</v>
      </c>
      <c r="Y641" s="6">
        <f t="shared" si="78"/>
        <v>6.3612824003630442E-2</v>
      </c>
      <c r="AA641" t="s">
        <v>1381</v>
      </c>
      <c r="AB641">
        <v>101151</v>
      </c>
      <c r="AD641" t="s">
        <v>4</v>
      </c>
      <c r="AE641">
        <v>134</v>
      </c>
      <c r="AF641">
        <v>1</v>
      </c>
      <c r="AH641" t="s">
        <v>1416</v>
      </c>
      <c r="AI641" t="s">
        <v>1415</v>
      </c>
      <c r="AK641" t="s">
        <v>1414</v>
      </c>
      <c r="AL641">
        <v>5</v>
      </c>
      <c r="AM641" s="5">
        <f t="shared" si="82"/>
        <v>0.14285714285714285</v>
      </c>
      <c r="AN641" s="4">
        <f t="shared" si="79"/>
        <v>2.1636825877643749E-4</v>
      </c>
      <c r="AO641" s="3"/>
      <c r="AP641">
        <v>0</v>
      </c>
      <c r="AR641" t="s">
        <v>0</v>
      </c>
      <c r="AT641" s="2" t="s">
        <v>32</v>
      </c>
      <c r="AU641" s="1">
        <f t="shared" si="83"/>
        <v>4.4593887280174247</v>
      </c>
      <c r="AV641" s="1">
        <f t="shared" si="84"/>
        <v>3.1914596131203439</v>
      </c>
      <c r="AW641" s="1">
        <f t="shared" si="85"/>
        <v>1.9235304982232637</v>
      </c>
    </row>
    <row r="642" spans="1:49" x14ac:dyDescent="0.2">
      <c r="A642">
        <v>640</v>
      </c>
      <c r="B642" t="s">
        <v>1413</v>
      </c>
      <c r="C642" t="s">
        <v>1412</v>
      </c>
      <c r="F642" t="s">
        <v>1411</v>
      </c>
      <c r="G642" t="s">
        <v>14</v>
      </c>
      <c r="H642" t="s">
        <v>13</v>
      </c>
      <c r="I642" t="s">
        <v>1410</v>
      </c>
      <c r="J642">
        <v>60021902</v>
      </c>
      <c r="K642" t="s">
        <v>1409</v>
      </c>
      <c r="L642" t="s">
        <v>1408</v>
      </c>
      <c r="M642" t="s">
        <v>1407</v>
      </c>
      <c r="N642">
        <v>1</v>
      </c>
      <c r="O642" t="s">
        <v>1406</v>
      </c>
      <c r="P642">
        <v>57203176700</v>
      </c>
      <c r="Q642">
        <v>60021902</v>
      </c>
      <c r="R642" s="7">
        <v>31778</v>
      </c>
      <c r="S642" s="8">
        <f t="shared" si="80"/>
        <v>1987</v>
      </c>
      <c r="T642" s="8">
        <v>1987</v>
      </c>
      <c r="U642" s="8">
        <f t="shared" si="81"/>
        <v>35</v>
      </c>
      <c r="V642" s="7">
        <v>1987</v>
      </c>
      <c r="W642" t="s">
        <v>429</v>
      </c>
      <c r="X642" s="2">
        <v>0.375</v>
      </c>
      <c r="Y642" s="6">
        <f t="shared" ref="Y642:Y705" si="86">(X642-$Z$4)/($Z$3-$Z$4)</f>
        <v>1.0010410827260351E-2</v>
      </c>
      <c r="AA642">
        <v>135194</v>
      </c>
      <c r="AB642">
        <v>24918</v>
      </c>
      <c r="AD642" t="s">
        <v>4</v>
      </c>
      <c r="AE642">
        <v>23</v>
      </c>
      <c r="AF642">
        <v>4</v>
      </c>
      <c r="AH642" t="s">
        <v>1405</v>
      </c>
      <c r="AI642" t="s">
        <v>1404</v>
      </c>
      <c r="AJ642" t="s">
        <v>1403</v>
      </c>
      <c r="AK642" t="s">
        <v>1402</v>
      </c>
      <c r="AL642">
        <v>6</v>
      </c>
      <c r="AM642" s="5">
        <f t="shared" si="82"/>
        <v>0.17142857142857143</v>
      </c>
      <c r="AN642" s="4">
        <f t="shared" ref="AN642:AN705" si="87">(AM642-$AO$4)/($AO$3-$AO$4)</f>
        <v>2.5964191053172501E-4</v>
      </c>
      <c r="AO642" s="3"/>
      <c r="AP642">
        <v>0</v>
      </c>
      <c r="AR642" t="s">
        <v>0</v>
      </c>
      <c r="AT642" s="2">
        <v>1.3140000000000001</v>
      </c>
      <c r="AU642" s="1">
        <f t="shared" si="83"/>
        <v>0.70851801522417635</v>
      </c>
      <c r="AV642" s="1">
        <f t="shared" si="84"/>
        <v>0.51350263688960374</v>
      </c>
      <c r="AW642" s="1">
        <f t="shared" si="85"/>
        <v>0.31848725855503129</v>
      </c>
    </row>
    <row r="643" spans="1:49" x14ac:dyDescent="0.2">
      <c r="A643">
        <v>641</v>
      </c>
      <c r="B643" t="s">
        <v>1401</v>
      </c>
      <c r="C643" t="s">
        <v>1400</v>
      </c>
      <c r="F643" t="s">
        <v>1399</v>
      </c>
      <c r="G643" t="s">
        <v>14</v>
      </c>
      <c r="H643" t="s">
        <v>13</v>
      </c>
      <c r="I643" t="s">
        <v>1398</v>
      </c>
      <c r="J643">
        <v>115568950</v>
      </c>
      <c r="K643" t="s">
        <v>1397</v>
      </c>
      <c r="L643" t="s">
        <v>1396</v>
      </c>
      <c r="M643" t="s">
        <v>9</v>
      </c>
      <c r="N643">
        <v>1</v>
      </c>
      <c r="O643" t="s">
        <v>1395</v>
      </c>
      <c r="P643">
        <v>7407085969</v>
      </c>
      <c r="Q643">
        <v>115568950</v>
      </c>
      <c r="R643" s="7">
        <v>31778</v>
      </c>
      <c r="S643" s="8">
        <f t="shared" si="80"/>
        <v>1987</v>
      </c>
      <c r="T643" s="8">
        <v>1987</v>
      </c>
      <c r="U643" s="8">
        <f t="shared" si="81"/>
        <v>35</v>
      </c>
      <c r="V643" s="7">
        <v>31809</v>
      </c>
      <c r="W643" t="s">
        <v>1394</v>
      </c>
      <c r="X643" s="2">
        <v>2.9860000000000002</v>
      </c>
      <c r="Y643" s="6">
        <f t="shared" si="86"/>
        <v>7.9709564613865094E-2</v>
      </c>
      <c r="AA643">
        <v>7338716</v>
      </c>
      <c r="AB643">
        <v>18902</v>
      </c>
      <c r="AD643" t="s">
        <v>4</v>
      </c>
      <c r="AE643">
        <v>5</v>
      </c>
      <c r="AF643">
        <v>2</v>
      </c>
      <c r="AH643" t="s">
        <v>1393</v>
      </c>
      <c r="AI643" t="s">
        <v>1392</v>
      </c>
      <c r="AK643" t="s">
        <v>1391</v>
      </c>
      <c r="AL643">
        <v>1</v>
      </c>
      <c r="AM643" s="5">
        <f t="shared" si="82"/>
        <v>2.8571428571428571E-2</v>
      </c>
      <c r="AN643" s="4">
        <f t="shared" si="87"/>
        <v>4.32736517552875E-5</v>
      </c>
      <c r="AO643" s="3"/>
      <c r="AP643">
        <v>0</v>
      </c>
      <c r="AR643" t="s">
        <v>0</v>
      </c>
      <c r="AT643" s="2" t="s">
        <v>32</v>
      </c>
      <c r="AU643" s="1">
        <f t="shared" si="83"/>
        <v>5.5809677325232148</v>
      </c>
      <c r="AV643" s="1">
        <f t="shared" si="84"/>
        <v>3.9876419132810188</v>
      </c>
      <c r="AW643" s="1">
        <f t="shared" si="85"/>
        <v>2.3943160940388228</v>
      </c>
    </row>
    <row r="644" spans="1:49" x14ac:dyDescent="0.2">
      <c r="A644">
        <v>642</v>
      </c>
      <c r="B644" t="s">
        <v>1390</v>
      </c>
      <c r="C644" t="s">
        <v>1389</v>
      </c>
      <c r="F644" t="s">
        <v>1388</v>
      </c>
      <c r="G644" t="s">
        <v>14</v>
      </c>
      <c r="H644" t="s">
        <v>13</v>
      </c>
      <c r="I644" t="s">
        <v>1387</v>
      </c>
      <c r="J644">
        <v>60005465</v>
      </c>
      <c r="K644" t="s">
        <v>1386</v>
      </c>
      <c r="L644" t="s">
        <v>1385</v>
      </c>
      <c r="M644" t="s">
        <v>1384</v>
      </c>
      <c r="N644">
        <v>1</v>
      </c>
      <c r="O644" t="s">
        <v>1383</v>
      </c>
      <c r="P644">
        <v>7404264663</v>
      </c>
      <c r="Q644">
        <v>60005465</v>
      </c>
      <c r="R644" s="7">
        <v>31778</v>
      </c>
      <c r="S644" s="8">
        <f t="shared" si="80"/>
        <v>1987</v>
      </c>
      <c r="T644" s="8">
        <v>1987</v>
      </c>
      <c r="U644" s="8">
        <f t="shared" si="81"/>
        <v>35</v>
      </c>
      <c r="V644" s="7" t="s">
        <v>1370</v>
      </c>
      <c r="W644" s="11" t="s">
        <v>1382</v>
      </c>
      <c r="X644" s="2">
        <v>2.383</v>
      </c>
      <c r="Y644" s="6">
        <f t="shared" si="86"/>
        <v>6.3612824003630442E-2</v>
      </c>
      <c r="AA644" t="s">
        <v>1381</v>
      </c>
      <c r="AB644">
        <v>101151</v>
      </c>
      <c r="AD644" t="s">
        <v>4</v>
      </c>
      <c r="AE644">
        <v>134</v>
      </c>
      <c r="AF644">
        <v>1</v>
      </c>
      <c r="AH644" t="s">
        <v>1380</v>
      </c>
      <c r="AL644">
        <v>0</v>
      </c>
      <c r="AM644" s="5">
        <f t="shared" si="82"/>
        <v>0</v>
      </c>
      <c r="AN644" s="4">
        <f t="shared" si="87"/>
        <v>0</v>
      </c>
      <c r="AO644" s="3"/>
      <c r="AP644">
        <v>0</v>
      </c>
      <c r="AR644" t="s">
        <v>0</v>
      </c>
      <c r="AT644" s="2" t="s">
        <v>32</v>
      </c>
      <c r="AU644" s="1">
        <f t="shared" si="83"/>
        <v>4.4528976802541305</v>
      </c>
      <c r="AV644" s="1">
        <f t="shared" si="84"/>
        <v>3.1806412001815221</v>
      </c>
      <c r="AW644" s="1">
        <f t="shared" si="85"/>
        <v>1.9083847201089132</v>
      </c>
    </row>
    <row r="645" spans="1:49" x14ac:dyDescent="0.2">
      <c r="A645">
        <v>643</v>
      </c>
      <c r="B645" t="s">
        <v>1379</v>
      </c>
      <c r="C645" t="s">
        <v>1378</v>
      </c>
      <c r="F645" t="s">
        <v>1377</v>
      </c>
      <c r="G645" t="s">
        <v>14</v>
      </c>
      <c r="H645" t="s">
        <v>13</v>
      </c>
      <c r="I645" t="s">
        <v>1376</v>
      </c>
      <c r="J645">
        <v>60022225</v>
      </c>
      <c r="K645" t="s">
        <v>1375</v>
      </c>
      <c r="L645" t="s">
        <v>1374</v>
      </c>
      <c r="M645" t="s">
        <v>9</v>
      </c>
      <c r="N645">
        <v>3</v>
      </c>
      <c r="O645" t="s">
        <v>1373</v>
      </c>
      <c r="P645" t="s">
        <v>1372</v>
      </c>
      <c r="Q645" t="s">
        <v>1371</v>
      </c>
      <c r="R645" s="7">
        <v>31778</v>
      </c>
      <c r="S645" s="8">
        <f t="shared" si="80"/>
        <v>1987</v>
      </c>
      <c r="T645" s="8">
        <v>1987</v>
      </c>
      <c r="U645" s="8">
        <f t="shared" si="81"/>
        <v>35</v>
      </c>
      <c r="V645" s="7" t="s">
        <v>1370</v>
      </c>
      <c r="W645" t="s">
        <v>1369</v>
      </c>
      <c r="X645" s="2">
        <v>0.35699999999999998</v>
      </c>
      <c r="Y645" s="6">
        <f t="shared" si="86"/>
        <v>9.5299111075518531E-3</v>
      </c>
      <c r="AA645">
        <v>913286</v>
      </c>
      <c r="AB645">
        <v>12316</v>
      </c>
      <c r="AD645" t="s">
        <v>4</v>
      </c>
      <c r="AE645">
        <v>26</v>
      </c>
      <c r="AF645">
        <v>2</v>
      </c>
      <c r="AH645" t="s">
        <v>1368</v>
      </c>
      <c r="AI645" t="s">
        <v>1367</v>
      </c>
      <c r="AK645" t="s">
        <v>1366</v>
      </c>
      <c r="AL645">
        <v>2</v>
      </c>
      <c r="AM645" s="5">
        <f t="shared" si="82"/>
        <v>5.7142857142857141E-2</v>
      </c>
      <c r="AN645" s="4">
        <f t="shared" si="87"/>
        <v>8.6547303510575E-5</v>
      </c>
      <c r="AO645" s="3"/>
      <c r="AP645">
        <v>0</v>
      </c>
      <c r="AR645" t="s">
        <v>0</v>
      </c>
      <c r="AT645" s="2">
        <v>1.0840000000000001</v>
      </c>
      <c r="AU645" s="1">
        <f t="shared" si="83"/>
        <v>0.66969019663394691</v>
      </c>
      <c r="AV645" s="1">
        <f t="shared" si="84"/>
        <v>0.48082292055312142</v>
      </c>
      <c r="AW645" s="1">
        <f t="shared" si="85"/>
        <v>0.29195564447229583</v>
      </c>
    </row>
    <row r="646" spans="1:49" x14ac:dyDescent="0.2">
      <c r="A646">
        <v>644</v>
      </c>
      <c r="B646" t="s">
        <v>1365</v>
      </c>
      <c r="E646">
        <v>2888639</v>
      </c>
      <c r="F646" t="s">
        <v>1364</v>
      </c>
      <c r="G646" t="s">
        <v>14</v>
      </c>
      <c r="H646" t="s">
        <v>13</v>
      </c>
      <c r="I646" t="s">
        <v>1363</v>
      </c>
      <c r="J646">
        <v>60022144</v>
      </c>
      <c r="K646" t="s">
        <v>1362</v>
      </c>
      <c r="L646" t="s">
        <v>1361</v>
      </c>
      <c r="M646" t="s">
        <v>9</v>
      </c>
      <c r="N646">
        <v>1</v>
      </c>
      <c r="O646" t="s">
        <v>1360</v>
      </c>
      <c r="P646">
        <v>7006427852</v>
      </c>
      <c r="Q646">
        <v>60022144</v>
      </c>
      <c r="R646" s="7">
        <v>31778</v>
      </c>
      <c r="S646" s="8">
        <f t="shared" si="80"/>
        <v>1987</v>
      </c>
      <c r="T646" s="8">
        <v>1987</v>
      </c>
      <c r="U646" s="8">
        <f t="shared" si="81"/>
        <v>35</v>
      </c>
      <c r="V646" s="7">
        <v>1987</v>
      </c>
      <c r="W646" t="s">
        <v>1359</v>
      </c>
      <c r="X646" s="2">
        <v>0.15</v>
      </c>
      <c r="Y646" s="6">
        <f t="shared" si="86"/>
        <v>4.0041643309041402E-3</v>
      </c>
      <c r="AA646">
        <v>9501991</v>
      </c>
      <c r="AB646">
        <v>14531</v>
      </c>
      <c r="AD646" t="s">
        <v>4</v>
      </c>
      <c r="AE646">
        <v>100</v>
      </c>
      <c r="AF646">
        <v>2</v>
      </c>
      <c r="AH646" t="s">
        <v>1358</v>
      </c>
      <c r="AI646" t="s">
        <v>1357</v>
      </c>
      <c r="AK646" t="s">
        <v>1356</v>
      </c>
      <c r="AL646">
        <v>1</v>
      </c>
      <c r="AM646" s="5">
        <f t="shared" si="82"/>
        <v>2.8571428571428571E-2</v>
      </c>
      <c r="AN646" s="4">
        <f t="shared" si="87"/>
        <v>4.32736517552875E-5</v>
      </c>
      <c r="AO646" s="3"/>
      <c r="AP646">
        <v>0</v>
      </c>
      <c r="AR646" t="s">
        <v>0</v>
      </c>
      <c r="AT646" s="2">
        <v>6.8680000000000003</v>
      </c>
      <c r="AU646" s="1">
        <f t="shared" si="83"/>
        <v>0.2815897127159484</v>
      </c>
      <c r="AV646" s="1">
        <f t="shared" si="84"/>
        <v>0.20237189913297141</v>
      </c>
      <c r="AW646" s="1">
        <f t="shared" si="85"/>
        <v>0.12315408554999434</v>
      </c>
    </row>
    <row r="647" spans="1:49" x14ac:dyDescent="0.2">
      <c r="A647">
        <v>645</v>
      </c>
      <c r="B647" t="s">
        <v>1355</v>
      </c>
      <c r="F647" t="s">
        <v>1354</v>
      </c>
      <c r="G647" t="s">
        <v>14</v>
      </c>
      <c r="H647" t="s">
        <v>13</v>
      </c>
      <c r="I647" t="s">
        <v>1071</v>
      </c>
      <c r="J647">
        <v>60069494</v>
      </c>
      <c r="K647" t="s">
        <v>1070</v>
      </c>
      <c r="L647" t="s">
        <v>1069</v>
      </c>
      <c r="M647" t="s">
        <v>1068</v>
      </c>
      <c r="N647">
        <v>3</v>
      </c>
      <c r="O647" t="s">
        <v>1353</v>
      </c>
      <c r="P647" t="s">
        <v>1352</v>
      </c>
      <c r="Q647" t="s">
        <v>1065</v>
      </c>
      <c r="R647" s="7">
        <v>31778</v>
      </c>
      <c r="S647" s="8">
        <f t="shared" si="80"/>
        <v>1987</v>
      </c>
      <c r="T647" s="8">
        <v>1987</v>
      </c>
      <c r="U647" s="8">
        <f t="shared" si="81"/>
        <v>35</v>
      </c>
      <c r="V647" s="7">
        <v>1987</v>
      </c>
      <c r="W647" t="s">
        <v>1064</v>
      </c>
      <c r="X647" s="2" t="s">
        <v>32</v>
      </c>
      <c r="Y647" s="6" t="e">
        <f t="shared" si="86"/>
        <v>#VALUE!</v>
      </c>
      <c r="AA647">
        <v>7612516</v>
      </c>
      <c r="AB647">
        <v>77451</v>
      </c>
      <c r="AD647" t="s">
        <v>4</v>
      </c>
      <c r="AE647">
        <v>9</v>
      </c>
      <c r="AF647">
        <v>1</v>
      </c>
      <c r="AH647" t="s">
        <v>1351</v>
      </c>
      <c r="AI647" t="s">
        <v>1350</v>
      </c>
      <c r="AK647" t="s">
        <v>1349</v>
      </c>
      <c r="AL647">
        <v>0</v>
      </c>
      <c r="AM647" s="5">
        <f t="shared" si="82"/>
        <v>0</v>
      </c>
      <c r="AN647" s="4">
        <f t="shared" si="87"/>
        <v>0</v>
      </c>
      <c r="AO647" s="3"/>
      <c r="AP647">
        <v>0</v>
      </c>
      <c r="AR647" t="s">
        <v>0</v>
      </c>
      <c r="AT647" s="2" t="s">
        <v>32</v>
      </c>
      <c r="AU647" s="1" t="e">
        <f t="shared" si="83"/>
        <v>#VALUE!</v>
      </c>
      <c r="AV647" s="1" t="e">
        <f t="shared" si="84"/>
        <v>#VALUE!</v>
      </c>
      <c r="AW647" s="1" t="e">
        <f t="shared" si="85"/>
        <v>#VALUE!</v>
      </c>
    </row>
    <row r="648" spans="1:49" x14ac:dyDescent="0.2">
      <c r="A648">
        <v>646</v>
      </c>
      <c r="B648" t="s">
        <v>1348</v>
      </c>
      <c r="C648" t="s">
        <v>1347</v>
      </c>
      <c r="F648" t="s">
        <v>1346</v>
      </c>
      <c r="G648" t="s">
        <v>14</v>
      </c>
      <c r="H648" t="s">
        <v>13</v>
      </c>
      <c r="I648" t="s">
        <v>1345</v>
      </c>
      <c r="J648">
        <v>60014652</v>
      </c>
      <c r="K648" t="s">
        <v>1344</v>
      </c>
      <c r="L648" t="s">
        <v>1343</v>
      </c>
      <c r="M648" t="s">
        <v>524</v>
      </c>
      <c r="N648">
        <v>3</v>
      </c>
      <c r="O648" t="s">
        <v>1342</v>
      </c>
      <c r="P648" t="s">
        <v>1341</v>
      </c>
      <c r="Q648" t="s">
        <v>1340</v>
      </c>
      <c r="R648" s="7">
        <v>31778</v>
      </c>
      <c r="S648" s="8">
        <f t="shared" si="80"/>
        <v>1987</v>
      </c>
      <c r="T648" s="8">
        <v>1987</v>
      </c>
      <c r="U648" s="8">
        <f t="shared" si="81"/>
        <v>35</v>
      </c>
      <c r="V648" s="7">
        <v>31778</v>
      </c>
      <c r="W648" t="s">
        <v>1040</v>
      </c>
      <c r="X648" s="2">
        <v>1.137</v>
      </c>
      <c r="Y648" s="6">
        <f t="shared" si="86"/>
        <v>3.0351565628253384E-2</v>
      </c>
      <c r="AA648">
        <v>189251</v>
      </c>
      <c r="AB648">
        <v>17336</v>
      </c>
      <c r="AD648" t="s">
        <v>4</v>
      </c>
      <c r="AE648" t="s">
        <v>1039</v>
      </c>
      <c r="AF648">
        <v>1</v>
      </c>
      <c r="AH648" t="s">
        <v>1339</v>
      </c>
      <c r="AI648" t="s">
        <v>1338</v>
      </c>
      <c r="AK648" t="s">
        <v>1337</v>
      </c>
      <c r="AL648">
        <v>37</v>
      </c>
      <c r="AM648" s="5">
        <f t="shared" si="82"/>
        <v>1.0571428571428572</v>
      </c>
      <c r="AN648" s="4">
        <f t="shared" si="87"/>
        <v>1.6011251149456375E-3</v>
      </c>
      <c r="AO648" s="3"/>
      <c r="AP648">
        <v>0</v>
      </c>
      <c r="AR648" t="s">
        <v>0</v>
      </c>
      <c r="AT648" s="2" t="s">
        <v>32</v>
      </c>
      <c r="AU648" s="1">
        <f t="shared" si="83"/>
        <v>2.1726433474261055</v>
      </c>
      <c r="AV648" s="1">
        <f t="shared" si="84"/>
        <v>1.5976345371599512</v>
      </c>
      <c r="AW648" s="1">
        <f t="shared" si="85"/>
        <v>1.0226257268937962</v>
      </c>
    </row>
    <row r="649" spans="1:49" x14ac:dyDescent="0.2">
      <c r="A649">
        <v>647</v>
      </c>
      <c r="B649" t="s">
        <v>1336</v>
      </c>
      <c r="C649" t="s">
        <v>1335</v>
      </c>
      <c r="F649" t="s">
        <v>1334</v>
      </c>
      <c r="G649" t="s">
        <v>14</v>
      </c>
      <c r="H649" t="s">
        <v>13</v>
      </c>
      <c r="I649" t="s">
        <v>1333</v>
      </c>
      <c r="J649">
        <v>115486601</v>
      </c>
      <c r="K649" t="s">
        <v>1332</v>
      </c>
      <c r="L649" t="s">
        <v>587</v>
      </c>
      <c r="M649" t="s">
        <v>586</v>
      </c>
      <c r="N649">
        <v>2</v>
      </c>
      <c r="O649" t="s">
        <v>1331</v>
      </c>
      <c r="P649" t="s">
        <v>1330</v>
      </c>
      <c r="Q649" t="s">
        <v>1329</v>
      </c>
      <c r="R649" s="7">
        <v>31778</v>
      </c>
      <c r="S649" s="8">
        <f t="shared" si="80"/>
        <v>1987</v>
      </c>
      <c r="T649" s="8">
        <v>1987</v>
      </c>
      <c r="U649" s="8">
        <f t="shared" si="81"/>
        <v>35</v>
      </c>
      <c r="V649" s="7">
        <v>31778</v>
      </c>
      <c r="W649" t="s">
        <v>1054</v>
      </c>
      <c r="X649" s="2">
        <v>0.752</v>
      </c>
      <c r="Y649" s="6">
        <f t="shared" si="86"/>
        <v>2.0074210512266089E-2</v>
      </c>
      <c r="AA649">
        <v>3649059</v>
      </c>
      <c r="AB649">
        <v>17277</v>
      </c>
      <c r="AC649">
        <v>15581691</v>
      </c>
      <c r="AD649" t="s">
        <v>4</v>
      </c>
      <c r="AE649">
        <v>12</v>
      </c>
      <c r="AF649">
        <v>1</v>
      </c>
      <c r="AH649" t="s">
        <v>1328</v>
      </c>
      <c r="AI649" t="s">
        <v>1327</v>
      </c>
      <c r="AK649" t="s">
        <v>1326</v>
      </c>
      <c r="AL649">
        <v>10</v>
      </c>
      <c r="AM649" s="5">
        <f t="shared" si="82"/>
        <v>0.2857142857142857</v>
      </c>
      <c r="AN649" s="4">
        <f t="shared" si="87"/>
        <v>4.3273651755287499E-4</v>
      </c>
      <c r="AO649" s="3"/>
      <c r="AP649">
        <v>0</v>
      </c>
      <c r="AR649" t="s">
        <v>0</v>
      </c>
      <c r="AT649" s="2">
        <v>3.5539999999999998</v>
      </c>
      <c r="AU649" s="1">
        <f t="shared" si="83"/>
        <v>1.4181768313852123</v>
      </c>
      <c r="AV649" s="1">
        <f t="shared" si="84"/>
        <v>1.0253473514909481</v>
      </c>
      <c r="AW649" s="1">
        <f t="shared" si="85"/>
        <v>0.63251787159668382</v>
      </c>
    </row>
    <row r="650" spans="1:49" x14ac:dyDescent="0.2">
      <c r="A650">
        <v>648</v>
      </c>
      <c r="B650" t="s">
        <v>1325</v>
      </c>
      <c r="C650" t="s">
        <v>1324</v>
      </c>
      <c r="F650" t="s">
        <v>1323</v>
      </c>
      <c r="G650" t="s">
        <v>14</v>
      </c>
      <c r="H650" t="s">
        <v>13</v>
      </c>
      <c r="I650" t="s">
        <v>1322</v>
      </c>
      <c r="J650" t="s">
        <v>1321</v>
      </c>
      <c r="K650" t="s">
        <v>1320</v>
      </c>
      <c r="L650" t="s">
        <v>1319</v>
      </c>
      <c r="M650" t="s">
        <v>1318</v>
      </c>
      <c r="N650">
        <v>2</v>
      </c>
      <c r="O650" t="s">
        <v>1317</v>
      </c>
      <c r="P650" t="s">
        <v>1316</v>
      </c>
      <c r="Q650" t="s">
        <v>1315</v>
      </c>
      <c r="R650" s="7">
        <v>31778</v>
      </c>
      <c r="S650" s="8">
        <f t="shared" si="80"/>
        <v>1987</v>
      </c>
      <c r="T650" s="8">
        <v>1987</v>
      </c>
      <c r="U650" s="8">
        <f t="shared" si="81"/>
        <v>35</v>
      </c>
      <c r="V650" s="7">
        <v>31778</v>
      </c>
      <c r="W650" t="s">
        <v>336</v>
      </c>
      <c r="X650" s="2">
        <v>1.6519999999999999</v>
      </c>
      <c r="Y650" s="6">
        <f t="shared" si="86"/>
        <v>4.409919649769093E-2</v>
      </c>
      <c r="AA650" t="s">
        <v>335</v>
      </c>
      <c r="AB650">
        <v>17337</v>
      </c>
      <c r="AC650">
        <v>15582221</v>
      </c>
      <c r="AD650" t="s">
        <v>4</v>
      </c>
      <c r="AE650">
        <v>35</v>
      </c>
      <c r="AF650">
        <v>1</v>
      </c>
      <c r="AH650" t="s">
        <v>1314</v>
      </c>
      <c r="AI650" t="s">
        <v>1313</v>
      </c>
      <c r="AK650" t="s">
        <v>1312</v>
      </c>
      <c r="AL650">
        <v>90</v>
      </c>
      <c r="AM650" s="5">
        <f t="shared" si="82"/>
        <v>2.5714285714285716</v>
      </c>
      <c r="AN650" s="4">
        <f t="shared" si="87"/>
        <v>3.8946286579758754E-3</v>
      </c>
      <c r="AO650" s="3"/>
      <c r="AP650">
        <v>0</v>
      </c>
      <c r="AR650" t="s">
        <v>0</v>
      </c>
      <c r="AT650" s="2" t="s">
        <v>32</v>
      </c>
      <c r="AU650" s="1">
        <f t="shared" si="83"/>
        <v>3.2037826145776411</v>
      </c>
      <c r="AV650" s="1">
        <f t="shared" si="84"/>
        <v>2.3996912577833402</v>
      </c>
      <c r="AW650" s="1">
        <f t="shared" si="85"/>
        <v>1.5955999009890394</v>
      </c>
    </row>
    <row r="651" spans="1:49" x14ac:dyDescent="0.2">
      <c r="A651">
        <v>649</v>
      </c>
      <c r="B651" t="s">
        <v>1311</v>
      </c>
      <c r="C651" t="s">
        <v>1310</v>
      </c>
      <c r="F651" t="s">
        <v>1309</v>
      </c>
      <c r="G651" t="s">
        <v>14</v>
      </c>
      <c r="H651" t="s">
        <v>13</v>
      </c>
      <c r="I651" t="s">
        <v>1308</v>
      </c>
      <c r="J651">
        <v>60022774</v>
      </c>
      <c r="K651" t="s">
        <v>1307</v>
      </c>
      <c r="L651" t="s">
        <v>1306</v>
      </c>
      <c r="M651" t="s">
        <v>9</v>
      </c>
      <c r="N651">
        <v>1</v>
      </c>
      <c r="O651" t="s">
        <v>1305</v>
      </c>
      <c r="P651">
        <v>22975766400</v>
      </c>
      <c r="Q651">
        <v>60022774</v>
      </c>
      <c r="R651" s="7">
        <v>31778</v>
      </c>
      <c r="S651" s="8">
        <f t="shared" si="80"/>
        <v>1987</v>
      </c>
      <c r="T651" s="8">
        <v>1987</v>
      </c>
      <c r="U651" s="8">
        <f t="shared" si="81"/>
        <v>35</v>
      </c>
      <c r="V651" s="7">
        <v>31778</v>
      </c>
      <c r="W651" t="s">
        <v>336</v>
      </c>
      <c r="X651" s="2">
        <v>1.6519999999999999</v>
      </c>
      <c r="Y651" s="6">
        <f t="shared" si="86"/>
        <v>4.409919649769093E-2</v>
      </c>
      <c r="AA651" t="s">
        <v>335</v>
      </c>
      <c r="AB651">
        <v>17337</v>
      </c>
      <c r="AC651">
        <v>15582221</v>
      </c>
      <c r="AD651" t="s">
        <v>4</v>
      </c>
      <c r="AE651">
        <v>35</v>
      </c>
      <c r="AF651">
        <v>1</v>
      </c>
      <c r="AH651" t="s">
        <v>1304</v>
      </c>
      <c r="AI651" t="s">
        <v>1303</v>
      </c>
      <c r="AK651" t="s">
        <v>1302</v>
      </c>
      <c r="AL651">
        <v>18</v>
      </c>
      <c r="AM651" s="5">
        <f t="shared" si="82"/>
        <v>0.51428571428571423</v>
      </c>
      <c r="AN651" s="4">
        <f t="shared" si="87"/>
        <v>7.7892573159517493E-4</v>
      </c>
      <c r="AO651" s="3"/>
      <c r="AP651">
        <v>0</v>
      </c>
      <c r="AR651" t="s">
        <v>0</v>
      </c>
      <c r="AT651" s="2" t="s">
        <v>32</v>
      </c>
      <c r="AU651" s="1">
        <f t="shared" si="83"/>
        <v>3.1103115267862202</v>
      </c>
      <c r="AV651" s="1">
        <f t="shared" si="84"/>
        <v>2.2439061114643053</v>
      </c>
      <c r="AW651" s="1">
        <f t="shared" si="85"/>
        <v>1.3775006961423899</v>
      </c>
    </row>
    <row r="652" spans="1:49" x14ac:dyDescent="0.2">
      <c r="A652">
        <v>650</v>
      </c>
      <c r="B652" t="s">
        <v>1301</v>
      </c>
      <c r="C652" t="s">
        <v>1300</v>
      </c>
      <c r="F652" t="s">
        <v>1299</v>
      </c>
      <c r="G652" t="s">
        <v>14</v>
      </c>
      <c r="H652" t="s">
        <v>13</v>
      </c>
      <c r="I652" t="s">
        <v>1298</v>
      </c>
      <c r="J652">
        <v>60010884</v>
      </c>
      <c r="K652" t="s">
        <v>1297</v>
      </c>
      <c r="L652" t="s">
        <v>587</v>
      </c>
      <c r="M652" t="s">
        <v>685</v>
      </c>
      <c r="N652">
        <v>2</v>
      </c>
      <c r="O652" t="s">
        <v>1296</v>
      </c>
      <c r="P652" t="s">
        <v>1295</v>
      </c>
      <c r="Q652" t="s">
        <v>1294</v>
      </c>
      <c r="R652" s="7">
        <v>31778</v>
      </c>
      <c r="S652" s="8">
        <f t="shared" si="80"/>
        <v>1987</v>
      </c>
      <c r="T652" s="8">
        <v>1987</v>
      </c>
      <c r="U652" s="8">
        <f t="shared" si="81"/>
        <v>35</v>
      </c>
      <c r="V652" s="7">
        <v>31778</v>
      </c>
      <c r="W652" t="s">
        <v>336</v>
      </c>
      <c r="X652" s="2">
        <v>1.6519999999999999</v>
      </c>
      <c r="Y652" s="6">
        <f t="shared" si="86"/>
        <v>4.409919649769093E-2</v>
      </c>
      <c r="AA652" t="s">
        <v>335</v>
      </c>
      <c r="AB652">
        <v>17337</v>
      </c>
      <c r="AC652">
        <v>15582221</v>
      </c>
      <c r="AD652" t="s">
        <v>4</v>
      </c>
      <c r="AE652">
        <v>35</v>
      </c>
      <c r="AF652">
        <v>1</v>
      </c>
      <c r="AH652" t="s">
        <v>1293</v>
      </c>
      <c r="AI652" t="s">
        <v>1292</v>
      </c>
      <c r="AK652" t="s">
        <v>1291</v>
      </c>
      <c r="AL652">
        <v>15</v>
      </c>
      <c r="AM652" s="5">
        <f t="shared" si="82"/>
        <v>0.42857142857142855</v>
      </c>
      <c r="AN652" s="4">
        <f t="shared" si="87"/>
        <v>6.4910477632931242E-4</v>
      </c>
      <c r="AO652" s="3"/>
      <c r="AP652">
        <v>0</v>
      </c>
      <c r="AR652" t="s">
        <v>0</v>
      </c>
      <c r="AT652" s="2" t="s">
        <v>32</v>
      </c>
      <c r="AU652" s="1">
        <f t="shared" si="83"/>
        <v>3.1064168981282445</v>
      </c>
      <c r="AV652" s="1">
        <f t="shared" si="84"/>
        <v>2.237415063701012</v>
      </c>
      <c r="AW652" s="1">
        <f t="shared" si="85"/>
        <v>1.3684132292737798</v>
      </c>
    </row>
    <row r="653" spans="1:49" x14ac:dyDescent="0.2">
      <c r="A653">
        <v>651</v>
      </c>
      <c r="B653" t="s">
        <v>1290</v>
      </c>
      <c r="F653" t="s">
        <v>1289</v>
      </c>
      <c r="G653" t="s">
        <v>14</v>
      </c>
      <c r="H653" t="s">
        <v>13</v>
      </c>
      <c r="I653" t="s">
        <v>1288</v>
      </c>
      <c r="N653">
        <v>3</v>
      </c>
      <c r="O653" t="s">
        <v>1287</v>
      </c>
      <c r="P653" t="s">
        <v>1286</v>
      </c>
      <c r="Q653" t="s">
        <v>171</v>
      </c>
      <c r="R653" s="7">
        <v>31778</v>
      </c>
      <c r="S653" s="8">
        <f t="shared" si="80"/>
        <v>1987</v>
      </c>
      <c r="T653" s="8">
        <v>1987</v>
      </c>
      <c r="U653" s="8">
        <f t="shared" si="81"/>
        <v>35</v>
      </c>
      <c r="V653" s="7">
        <v>31778</v>
      </c>
      <c r="W653" t="s">
        <v>1195</v>
      </c>
      <c r="X653" s="2" t="s">
        <v>32</v>
      </c>
      <c r="Y653" s="6" t="e">
        <f t="shared" si="86"/>
        <v>#VALUE!</v>
      </c>
      <c r="AA653">
        <v>4186338</v>
      </c>
      <c r="AB653">
        <v>34729</v>
      </c>
      <c r="AD653" t="s">
        <v>4</v>
      </c>
      <c r="AE653">
        <v>35</v>
      </c>
      <c r="AF653">
        <v>1</v>
      </c>
      <c r="AH653" t="s">
        <v>1285</v>
      </c>
      <c r="AI653" t="s">
        <v>1284</v>
      </c>
      <c r="AK653" t="s">
        <v>1283</v>
      </c>
      <c r="AL653">
        <v>0</v>
      </c>
      <c r="AM653" s="5">
        <f t="shared" si="82"/>
        <v>0</v>
      </c>
      <c r="AN653" s="4">
        <f t="shared" si="87"/>
        <v>0</v>
      </c>
      <c r="AO653" s="3"/>
      <c r="AP653">
        <v>0</v>
      </c>
      <c r="AR653" t="s">
        <v>0</v>
      </c>
      <c r="AT653" s="2" t="s">
        <v>32</v>
      </c>
      <c r="AU653" s="1" t="e">
        <f t="shared" si="83"/>
        <v>#VALUE!</v>
      </c>
      <c r="AV653" s="1" t="e">
        <f t="shared" si="84"/>
        <v>#VALUE!</v>
      </c>
      <c r="AW653" s="1" t="e">
        <f t="shared" si="85"/>
        <v>#VALUE!</v>
      </c>
    </row>
    <row r="654" spans="1:49" x14ac:dyDescent="0.2">
      <c r="A654">
        <v>652</v>
      </c>
      <c r="B654" t="s">
        <v>1282</v>
      </c>
      <c r="C654" t="s">
        <v>1281</v>
      </c>
      <c r="D654" t="s">
        <v>1280</v>
      </c>
      <c r="E654">
        <v>3626621</v>
      </c>
      <c r="F654" t="s">
        <v>1279</v>
      </c>
      <c r="G654" t="s">
        <v>14</v>
      </c>
      <c r="H654" t="s">
        <v>13</v>
      </c>
      <c r="I654" t="s">
        <v>1278</v>
      </c>
      <c r="J654">
        <v>60103678</v>
      </c>
      <c r="K654" t="s">
        <v>1277</v>
      </c>
      <c r="L654" t="s">
        <v>1276</v>
      </c>
      <c r="M654" t="s">
        <v>9</v>
      </c>
      <c r="N654">
        <v>3</v>
      </c>
      <c r="O654" t="s">
        <v>1275</v>
      </c>
      <c r="P654" t="s">
        <v>1274</v>
      </c>
      <c r="Q654" t="s">
        <v>1273</v>
      </c>
      <c r="R654" s="7">
        <v>31778</v>
      </c>
      <c r="S654" s="8">
        <f t="shared" si="80"/>
        <v>1987</v>
      </c>
      <c r="T654" s="8">
        <v>1987</v>
      </c>
      <c r="U654" s="8">
        <f t="shared" si="81"/>
        <v>35</v>
      </c>
      <c r="V654" s="7">
        <v>31990</v>
      </c>
      <c r="W654" t="s">
        <v>1272</v>
      </c>
      <c r="X654" s="2">
        <v>0.98099999999999998</v>
      </c>
      <c r="Y654" s="6">
        <f t="shared" si="86"/>
        <v>2.6187234724113079E-2</v>
      </c>
      <c r="AA654">
        <v>1650270</v>
      </c>
      <c r="AB654">
        <v>16765</v>
      </c>
      <c r="AD654" t="s">
        <v>4</v>
      </c>
      <c r="AE654">
        <v>20</v>
      </c>
      <c r="AF654">
        <v>4</v>
      </c>
      <c r="AH654" t="s">
        <v>1271</v>
      </c>
      <c r="AI654" t="s">
        <v>1270</v>
      </c>
      <c r="AJ654" t="s">
        <v>1269</v>
      </c>
      <c r="AK654" t="s">
        <v>1268</v>
      </c>
      <c r="AL654">
        <v>12</v>
      </c>
      <c r="AM654" s="5">
        <f t="shared" si="82"/>
        <v>0.34285714285714286</v>
      </c>
      <c r="AN654" s="4">
        <f t="shared" si="87"/>
        <v>5.1928382106345003E-4</v>
      </c>
      <c r="AO654" s="3"/>
      <c r="AP654">
        <v>0</v>
      </c>
      <c r="AR654" t="s">
        <v>0</v>
      </c>
      <c r="AT654" s="2">
        <v>2.39</v>
      </c>
      <c r="AU654" s="1">
        <f t="shared" si="83"/>
        <v>1.8486849453198191</v>
      </c>
      <c r="AV654" s="1">
        <f t="shared" si="84"/>
        <v>1.3353259272588263</v>
      </c>
      <c r="AW654" s="1">
        <f t="shared" si="85"/>
        <v>0.82196690919783388</v>
      </c>
    </row>
    <row r="655" spans="1:49" x14ac:dyDescent="0.2">
      <c r="A655">
        <v>653</v>
      </c>
      <c r="B655" t="s">
        <v>1267</v>
      </c>
      <c r="C655" t="s">
        <v>1266</v>
      </c>
      <c r="D655" t="s">
        <v>1265</v>
      </c>
      <c r="E655">
        <v>3498231</v>
      </c>
      <c r="F655" t="s">
        <v>1264</v>
      </c>
      <c r="G655" t="s">
        <v>14</v>
      </c>
      <c r="H655" t="s">
        <v>13</v>
      </c>
      <c r="I655" t="s">
        <v>719</v>
      </c>
      <c r="J655" t="s">
        <v>1263</v>
      </c>
      <c r="K655" t="s">
        <v>1262</v>
      </c>
      <c r="L655" t="s">
        <v>1261</v>
      </c>
      <c r="M655" t="s">
        <v>1260</v>
      </c>
      <c r="N655">
        <v>3</v>
      </c>
      <c r="O655" t="s">
        <v>1259</v>
      </c>
      <c r="P655" t="s">
        <v>1258</v>
      </c>
      <c r="Q655" t="s">
        <v>1257</v>
      </c>
      <c r="R655" s="7">
        <v>31778</v>
      </c>
      <c r="S655" s="8">
        <f t="shared" si="80"/>
        <v>1987</v>
      </c>
      <c r="T655" s="8">
        <v>1987</v>
      </c>
      <c r="U655" s="8">
        <f t="shared" si="81"/>
        <v>35</v>
      </c>
      <c r="V655" s="7">
        <v>32051</v>
      </c>
      <c r="W655" t="s">
        <v>713</v>
      </c>
      <c r="X655" s="2" t="s">
        <v>32</v>
      </c>
      <c r="Y655" s="6" t="e">
        <f t="shared" si="86"/>
        <v>#VALUE!</v>
      </c>
      <c r="AA655">
        <v>903019</v>
      </c>
      <c r="AB655">
        <v>19199</v>
      </c>
      <c r="AD655" t="s">
        <v>4</v>
      </c>
      <c r="AE655">
        <v>28</v>
      </c>
      <c r="AF655">
        <v>4</v>
      </c>
      <c r="AH655" t="s">
        <v>1256</v>
      </c>
      <c r="AI655" t="s">
        <v>1255</v>
      </c>
      <c r="AJ655" t="s">
        <v>1254</v>
      </c>
      <c r="AK655" t="s">
        <v>1253</v>
      </c>
      <c r="AL655">
        <v>10</v>
      </c>
      <c r="AM655" s="5">
        <f t="shared" si="82"/>
        <v>0.2857142857142857</v>
      </c>
      <c r="AN655" s="4">
        <f t="shared" si="87"/>
        <v>4.3273651755287499E-4</v>
      </c>
      <c r="AO655" s="3"/>
      <c r="AP655">
        <v>0</v>
      </c>
      <c r="AQ655" t="s">
        <v>708</v>
      </c>
      <c r="AR655" t="s">
        <v>707</v>
      </c>
      <c r="AS655" t="s">
        <v>706</v>
      </c>
      <c r="AT655" s="2" t="s">
        <v>32</v>
      </c>
      <c r="AU655" s="1" t="e">
        <f t="shared" si="83"/>
        <v>#VALUE!</v>
      </c>
      <c r="AV655" s="1" t="e">
        <f t="shared" si="84"/>
        <v>#VALUE!</v>
      </c>
      <c r="AW655" s="1" t="e">
        <f t="shared" si="85"/>
        <v>#VALUE!</v>
      </c>
    </row>
    <row r="656" spans="1:49" x14ac:dyDescent="0.2">
      <c r="A656">
        <v>654</v>
      </c>
      <c r="B656" t="s">
        <v>1252</v>
      </c>
      <c r="F656" t="s">
        <v>1251</v>
      </c>
      <c r="G656" t="s">
        <v>14</v>
      </c>
      <c r="H656" t="s">
        <v>13</v>
      </c>
      <c r="I656" t="s">
        <v>1250</v>
      </c>
      <c r="N656">
        <v>1</v>
      </c>
      <c r="O656" t="s">
        <v>1249</v>
      </c>
      <c r="P656">
        <v>6603648370</v>
      </c>
      <c r="R656" s="7">
        <v>31778</v>
      </c>
      <c r="S656" s="8">
        <f t="shared" si="80"/>
        <v>1987</v>
      </c>
      <c r="T656" s="8">
        <v>1987</v>
      </c>
      <c r="U656" s="8">
        <f t="shared" si="81"/>
        <v>35</v>
      </c>
      <c r="V656" s="7">
        <v>1987</v>
      </c>
      <c r="W656" t="s">
        <v>1248</v>
      </c>
      <c r="X656" s="2" t="s">
        <v>32</v>
      </c>
      <c r="Y656" s="6" t="e">
        <f t="shared" si="86"/>
        <v>#VALUE!</v>
      </c>
      <c r="AA656">
        <v>401471</v>
      </c>
      <c r="AB656">
        <v>30539</v>
      </c>
      <c r="AD656" t="s">
        <v>4</v>
      </c>
      <c r="AE656">
        <v>65</v>
      </c>
      <c r="AF656">
        <v>3</v>
      </c>
      <c r="AH656" t="s">
        <v>1247</v>
      </c>
      <c r="AI656" t="s">
        <v>1246</v>
      </c>
      <c r="AK656" t="s">
        <v>1245</v>
      </c>
      <c r="AL656">
        <v>0</v>
      </c>
      <c r="AM656" s="5">
        <f t="shared" si="82"/>
        <v>0</v>
      </c>
      <c r="AN656" s="4">
        <f t="shared" si="87"/>
        <v>0</v>
      </c>
      <c r="AO656" s="3"/>
      <c r="AP656">
        <v>0</v>
      </c>
      <c r="AR656" t="s">
        <v>0</v>
      </c>
      <c r="AT656" s="2" t="s">
        <v>32</v>
      </c>
      <c r="AU656" s="1" t="e">
        <f t="shared" si="83"/>
        <v>#VALUE!</v>
      </c>
      <c r="AV656" s="1" t="e">
        <f t="shared" si="84"/>
        <v>#VALUE!</v>
      </c>
      <c r="AW656" s="1" t="e">
        <f t="shared" si="85"/>
        <v>#VALUE!</v>
      </c>
    </row>
    <row r="657" spans="1:49" x14ac:dyDescent="0.2">
      <c r="A657">
        <v>655</v>
      </c>
      <c r="B657" t="s">
        <v>1244</v>
      </c>
      <c r="C657" t="s">
        <v>1243</v>
      </c>
      <c r="E657">
        <v>3659389</v>
      </c>
      <c r="F657" t="s">
        <v>1242</v>
      </c>
      <c r="G657" t="s">
        <v>14</v>
      </c>
      <c r="H657" t="s">
        <v>13</v>
      </c>
      <c r="I657" t="s">
        <v>1241</v>
      </c>
      <c r="J657">
        <v>60028673</v>
      </c>
      <c r="K657" t="s">
        <v>1240</v>
      </c>
      <c r="L657" t="s">
        <v>1137</v>
      </c>
      <c r="M657" t="s">
        <v>112</v>
      </c>
      <c r="N657">
        <v>5</v>
      </c>
      <c r="O657" t="s">
        <v>1239</v>
      </c>
      <c r="P657" t="s">
        <v>1238</v>
      </c>
      <c r="Q657" t="s">
        <v>1237</v>
      </c>
      <c r="R657" s="7">
        <v>31778</v>
      </c>
      <c r="S657" s="8">
        <f t="shared" si="80"/>
        <v>1987</v>
      </c>
      <c r="T657" s="8">
        <v>1987</v>
      </c>
      <c r="U657" s="8">
        <f t="shared" si="81"/>
        <v>35</v>
      </c>
      <c r="V657" s="7">
        <v>1987</v>
      </c>
      <c r="W657" t="s">
        <v>1236</v>
      </c>
      <c r="X657" s="2">
        <v>3.1179999999999999</v>
      </c>
      <c r="Y657" s="6">
        <f t="shared" si="86"/>
        <v>8.3233229225060726E-2</v>
      </c>
      <c r="AA657">
        <v>338419</v>
      </c>
      <c r="AB657">
        <v>17864</v>
      </c>
      <c r="AD657" t="s">
        <v>4</v>
      </c>
      <c r="AE657">
        <v>165</v>
      </c>
      <c r="AF657">
        <v>2</v>
      </c>
      <c r="AH657" t="s">
        <v>1235</v>
      </c>
      <c r="AI657" t="s">
        <v>1234</v>
      </c>
      <c r="AK657" t="s">
        <v>1233</v>
      </c>
      <c r="AL657">
        <v>6</v>
      </c>
      <c r="AM657" s="5">
        <f t="shared" si="82"/>
        <v>0.17142857142857143</v>
      </c>
      <c r="AN657" s="4">
        <f t="shared" si="87"/>
        <v>2.5964191053172501E-4</v>
      </c>
      <c r="AO657" s="3"/>
      <c r="AP657">
        <v>0</v>
      </c>
      <c r="AR657" t="s">
        <v>0</v>
      </c>
      <c r="AT657" s="2">
        <v>11.105</v>
      </c>
      <c r="AU657" s="1">
        <f t="shared" si="83"/>
        <v>5.8341153030702015</v>
      </c>
      <c r="AV657" s="1">
        <f t="shared" si="84"/>
        <v>4.174643556779623</v>
      </c>
      <c r="AW657" s="1">
        <f t="shared" si="85"/>
        <v>2.5151718104890426</v>
      </c>
    </row>
    <row r="658" spans="1:49" x14ac:dyDescent="0.2">
      <c r="A658">
        <v>656</v>
      </c>
      <c r="B658" t="s">
        <v>1232</v>
      </c>
      <c r="C658" t="s">
        <v>1231</v>
      </c>
      <c r="F658" t="s">
        <v>1230</v>
      </c>
      <c r="G658" t="s">
        <v>14</v>
      </c>
      <c r="H658" t="s">
        <v>13</v>
      </c>
      <c r="I658" t="s">
        <v>1229</v>
      </c>
      <c r="J658">
        <v>60005304</v>
      </c>
      <c r="K658" t="s">
        <v>664</v>
      </c>
      <c r="L658" t="s">
        <v>663</v>
      </c>
      <c r="M658" t="s">
        <v>9</v>
      </c>
      <c r="N658">
        <v>2</v>
      </c>
      <c r="O658" t="s">
        <v>1228</v>
      </c>
      <c r="P658" t="s">
        <v>1227</v>
      </c>
      <c r="Q658" t="s">
        <v>739</v>
      </c>
      <c r="R658" s="7">
        <v>31778</v>
      </c>
      <c r="S658" s="8">
        <f t="shared" si="80"/>
        <v>1987</v>
      </c>
      <c r="T658" s="8">
        <v>1987</v>
      </c>
      <c r="U658" s="8">
        <f t="shared" si="81"/>
        <v>35</v>
      </c>
      <c r="V658" s="7">
        <v>31778</v>
      </c>
      <c r="W658" t="s">
        <v>336</v>
      </c>
      <c r="X658" s="2">
        <v>1.6519999999999999</v>
      </c>
      <c r="Y658" s="6">
        <f t="shared" si="86"/>
        <v>4.409919649769093E-2</v>
      </c>
      <c r="AA658" t="s">
        <v>335</v>
      </c>
      <c r="AB658">
        <v>17337</v>
      </c>
      <c r="AC658">
        <v>15582221</v>
      </c>
      <c r="AD658" t="s">
        <v>4</v>
      </c>
      <c r="AE658">
        <v>35</v>
      </c>
      <c r="AF658">
        <v>1</v>
      </c>
      <c r="AH658" t="s">
        <v>1226</v>
      </c>
      <c r="AI658" t="s">
        <v>1225</v>
      </c>
      <c r="AK658" t="s">
        <v>1224</v>
      </c>
      <c r="AL658">
        <v>15</v>
      </c>
      <c r="AM658" s="5">
        <f t="shared" si="82"/>
        <v>0.42857142857142855</v>
      </c>
      <c r="AN658" s="4">
        <f t="shared" si="87"/>
        <v>6.4910477632931242E-4</v>
      </c>
      <c r="AO658" s="3"/>
      <c r="AP658">
        <v>0</v>
      </c>
      <c r="AR658" t="s">
        <v>0</v>
      </c>
      <c r="AT658" s="2" t="s">
        <v>32</v>
      </c>
      <c r="AU658" s="1">
        <f t="shared" si="83"/>
        <v>3.1064168981282445</v>
      </c>
      <c r="AV658" s="1">
        <f t="shared" si="84"/>
        <v>2.237415063701012</v>
      </c>
      <c r="AW658" s="1">
        <f t="shared" si="85"/>
        <v>1.3684132292737798</v>
      </c>
    </row>
    <row r="659" spans="1:49" x14ac:dyDescent="0.2">
      <c r="A659">
        <v>657</v>
      </c>
      <c r="B659" t="s">
        <v>1223</v>
      </c>
      <c r="F659" t="s">
        <v>1222</v>
      </c>
      <c r="G659" t="s">
        <v>14</v>
      </c>
      <c r="H659" t="s">
        <v>13</v>
      </c>
      <c r="I659" t="s">
        <v>1221</v>
      </c>
      <c r="N659">
        <v>7</v>
      </c>
      <c r="O659" t="s">
        <v>1220</v>
      </c>
      <c r="P659" t="s">
        <v>1219</v>
      </c>
      <c r="Q659" t="s">
        <v>1218</v>
      </c>
      <c r="R659" s="7">
        <v>31778</v>
      </c>
      <c r="S659" s="8">
        <f t="shared" si="80"/>
        <v>1987</v>
      </c>
      <c r="T659" s="8">
        <v>1987</v>
      </c>
      <c r="U659" s="8">
        <f t="shared" si="81"/>
        <v>35</v>
      </c>
      <c r="V659" s="7">
        <v>31778</v>
      </c>
      <c r="W659" t="s">
        <v>1217</v>
      </c>
      <c r="X659" s="2" t="s">
        <v>32</v>
      </c>
      <c r="Y659" s="6" t="e">
        <f t="shared" si="86"/>
        <v>#VALUE!</v>
      </c>
      <c r="AA659">
        <v>3761207</v>
      </c>
      <c r="AB659">
        <v>30443</v>
      </c>
      <c r="AD659" t="s">
        <v>4</v>
      </c>
      <c r="AF659">
        <v>26</v>
      </c>
      <c r="AH659" t="s">
        <v>1216</v>
      </c>
      <c r="AI659" t="s">
        <v>1215</v>
      </c>
      <c r="AK659" t="s">
        <v>1214</v>
      </c>
      <c r="AL659">
        <v>0</v>
      </c>
      <c r="AM659" s="5">
        <f t="shared" si="82"/>
        <v>0</v>
      </c>
      <c r="AN659" s="4">
        <f t="shared" si="87"/>
        <v>0</v>
      </c>
      <c r="AO659" s="3"/>
      <c r="AP659">
        <v>0</v>
      </c>
      <c r="AR659" t="s">
        <v>0</v>
      </c>
      <c r="AT659" s="2" t="s">
        <v>32</v>
      </c>
      <c r="AU659" s="1" t="e">
        <f t="shared" si="83"/>
        <v>#VALUE!</v>
      </c>
      <c r="AV659" s="1" t="e">
        <f t="shared" si="84"/>
        <v>#VALUE!</v>
      </c>
      <c r="AW659" s="1" t="e">
        <f t="shared" si="85"/>
        <v>#VALUE!</v>
      </c>
    </row>
    <row r="660" spans="1:49" x14ac:dyDescent="0.2">
      <c r="A660">
        <v>658</v>
      </c>
      <c r="B660" t="s">
        <v>1213</v>
      </c>
      <c r="C660" t="s">
        <v>1212</v>
      </c>
      <c r="F660" t="s">
        <v>1211</v>
      </c>
      <c r="G660" t="s">
        <v>14</v>
      </c>
      <c r="H660" t="s">
        <v>13</v>
      </c>
      <c r="I660" t="s">
        <v>1210</v>
      </c>
      <c r="J660" t="s">
        <v>1209</v>
      </c>
      <c r="K660" t="s">
        <v>1208</v>
      </c>
      <c r="L660" t="s">
        <v>1207</v>
      </c>
      <c r="M660" t="s">
        <v>55</v>
      </c>
      <c r="N660">
        <v>3</v>
      </c>
      <c r="O660" t="s">
        <v>1206</v>
      </c>
      <c r="P660" t="s">
        <v>1205</v>
      </c>
      <c r="Q660" t="s">
        <v>1204</v>
      </c>
      <c r="R660" s="7">
        <v>31778</v>
      </c>
      <c r="S660" s="8">
        <f t="shared" si="80"/>
        <v>1987</v>
      </c>
      <c r="T660" s="8">
        <v>1987</v>
      </c>
      <c r="U660" s="8">
        <f t="shared" si="81"/>
        <v>35</v>
      </c>
      <c r="V660" s="7">
        <v>31778</v>
      </c>
      <c r="W660" t="s">
        <v>336</v>
      </c>
      <c r="X660" s="2">
        <v>1.6519999999999999</v>
      </c>
      <c r="Y660" s="6">
        <f t="shared" si="86"/>
        <v>4.409919649769093E-2</v>
      </c>
      <c r="AA660" t="s">
        <v>335</v>
      </c>
      <c r="AB660">
        <v>17337</v>
      </c>
      <c r="AC660">
        <v>15582221</v>
      </c>
      <c r="AD660" t="s">
        <v>4</v>
      </c>
      <c r="AE660">
        <v>35</v>
      </c>
      <c r="AF660">
        <v>1</v>
      </c>
      <c r="AH660" s="9">
        <v>44535</v>
      </c>
      <c r="AI660" t="s">
        <v>1203</v>
      </c>
      <c r="AK660" t="s">
        <v>1202</v>
      </c>
      <c r="AL660">
        <v>35</v>
      </c>
      <c r="AM660" s="5">
        <f t="shared" si="82"/>
        <v>1</v>
      </c>
      <c r="AN660" s="4">
        <f t="shared" si="87"/>
        <v>1.5145778114350624E-3</v>
      </c>
      <c r="AO660" s="3"/>
      <c r="AP660">
        <v>0</v>
      </c>
      <c r="AR660" t="s">
        <v>1201</v>
      </c>
      <c r="AT660" s="2" t="s">
        <v>32</v>
      </c>
      <c r="AU660" s="1">
        <f t="shared" si="83"/>
        <v>3.132381089181417</v>
      </c>
      <c r="AV660" s="1">
        <f t="shared" si="84"/>
        <v>2.2806887154562996</v>
      </c>
      <c r="AW660" s="1">
        <f t="shared" si="85"/>
        <v>1.4289963417311822</v>
      </c>
    </row>
    <row r="661" spans="1:49" x14ac:dyDescent="0.2">
      <c r="A661">
        <v>659</v>
      </c>
      <c r="B661" t="s">
        <v>1200</v>
      </c>
      <c r="F661" t="s">
        <v>1199</v>
      </c>
      <c r="G661" t="s">
        <v>14</v>
      </c>
      <c r="H661" t="s">
        <v>13</v>
      </c>
      <c r="I661" t="s">
        <v>1198</v>
      </c>
      <c r="N661">
        <v>3</v>
      </c>
      <c r="O661" t="s">
        <v>1197</v>
      </c>
      <c r="P661" t="s">
        <v>1196</v>
      </c>
      <c r="Q661" t="s">
        <v>171</v>
      </c>
      <c r="R661" s="7">
        <v>31778</v>
      </c>
      <c r="S661" s="8">
        <f t="shared" si="80"/>
        <v>1987</v>
      </c>
      <c r="T661" s="8">
        <v>1987</v>
      </c>
      <c r="U661" s="8">
        <f t="shared" si="81"/>
        <v>35</v>
      </c>
      <c r="V661" s="7">
        <v>31778</v>
      </c>
      <c r="W661" t="s">
        <v>1195</v>
      </c>
      <c r="X661" s="2" t="s">
        <v>32</v>
      </c>
      <c r="Y661" s="6" t="e">
        <f t="shared" si="86"/>
        <v>#VALUE!</v>
      </c>
      <c r="AA661">
        <v>4186338</v>
      </c>
      <c r="AB661">
        <v>34729</v>
      </c>
      <c r="AD661" t="s">
        <v>4</v>
      </c>
      <c r="AE661">
        <v>35</v>
      </c>
      <c r="AF661">
        <v>1</v>
      </c>
      <c r="AH661" t="s">
        <v>1194</v>
      </c>
      <c r="AI661" t="s">
        <v>1193</v>
      </c>
      <c r="AK661" t="s">
        <v>1192</v>
      </c>
      <c r="AL661">
        <v>3</v>
      </c>
      <c r="AM661" s="5">
        <f t="shared" si="82"/>
        <v>8.5714285714285715E-2</v>
      </c>
      <c r="AN661" s="4">
        <f t="shared" si="87"/>
        <v>1.2982095526586251E-4</v>
      </c>
      <c r="AO661" s="3"/>
      <c r="AP661">
        <v>0</v>
      </c>
      <c r="AR661" t="s">
        <v>0</v>
      </c>
      <c r="AT661" s="2" t="s">
        <v>32</v>
      </c>
      <c r="AU661" s="1" t="e">
        <f t="shared" si="83"/>
        <v>#VALUE!</v>
      </c>
      <c r="AV661" s="1" t="e">
        <f t="shared" si="84"/>
        <v>#VALUE!</v>
      </c>
      <c r="AW661" s="1" t="e">
        <f t="shared" si="85"/>
        <v>#VALUE!</v>
      </c>
    </row>
    <row r="662" spans="1:49" x14ac:dyDescent="0.2">
      <c r="A662">
        <v>660</v>
      </c>
      <c r="B662" t="s">
        <v>1191</v>
      </c>
      <c r="F662" t="s">
        <v>1190</v>
      </c>
      <c r="G662" t="s">
        <v>14</v>
      </c>
      <c r="H662" t="s">
        <v>13</v>
      </c>
      <c r="I662" t="s">
        <v>1189</v>
      </c>
      <c r="J662">
        <v>60001777</v>
      </c>
      <c r="K662" t="s">
        <v>1188</v>
      </c>
      <c r="L662" t="s">
        <v>1187</v>
      </c>
      <c r="M662" t="s">
        <v>9</v>
      </c>
      <c r="N662">
        <v>2</v>
      </c>
      <c r="O662" t="s">
        <v>1186</v>
      </c>
      <c r="P662" t="s">
        <v>1185</v>
      </c>
      <c r="Q662" t="s">
        <v>1184</v>
      </c>
      <c r="R662" s="7">
        <v>31778</v>
      </c>
      <c r="S662" s="8">
        <f t="shared" si="80"/>
        <v>1987</v>
      </c>
      <c r="T662" s="8">
        <v>1987</v>
      </c>
      <c r="U662" s="8">
        <f t="shared" si="81"/>
        <v>35</v>
      </c>
      <c r="V662" s="7">
        <v>31778</v>
      </c>
      <c r="W662" t="s">
        <v>882</v>
      </c>
      <c r="X662" s="2">
        <v>0.54700000000000004</v>
      </c>
      <c r="Y662" s="6">
        <f t="shared" si="86"/>
        <v>1.4601852593363766E-2</v>
      </c>
      <c r="AA662">
        <v>11096</v>
      </c>
      <c r="AB662">
        <v>31211</v>
      </c>
      <c r="AD662" t="s">
        <v>4</v>
      </c>
      <c r="AE662">
        <v>41</v>
      </c>
      <c r="AF662">
        <v>1</v>
      </c>
      <c r="AH662" t="s">
        <v>1183</v>
      </c>
      <c r="AI662" t="s">
        <v>1182</v>
      </c>
      <c r="AK662" t="s">
        <v>1181</v>
      </c>
      <c r="AL662">
        <v>3</v>
      </c>
      <c r="AM662" s="5">
        <f t="shared" si="82"/>
        <v>8.5714285714285715E-2</v>
      </c>
      <c r="AN662" s="4">
        <f t="shared" si="87"/>
        <v>1.2982095526586251E-4</v>
      </c>
      <c r="AO662" s="3"/>
      <c r="AP662">
        <v>0</v>
      </c>
      <c r="AR662" t="s">
        <v>0</v>
      </c>
      <c r="AT662" s="2" t="s">
        <v>32</v>
      </c>
      <c r="AU662" s="1">
        <f t="shared" si="83"/>
        <v>1.0260243101934394</v>
      </c>
      <c r="AV662" s="1">
        <f t="shared" si="84"/>
        <v>0.73658367743148145</v>
      </c>
      <c r="AW662" s="1">
        <f t="shared" si="85"/>
        <v>0.44714304466952332</v>
      </c>
    </row>
    <row r="663" spans="1:49" x14ac:dyDescent="0.2">
      <c r="A663">
        <v>661</v>
      </c>
      <c r="B663" t="s">
        <v>1180</v>
      </c>
      <c r="C663" t="s">
        <v>1179</v>
      </c>
      <c r="F663" t="s">
        <v>1178</v>
      </c>
      <c r="G663" t="s">
        <v>14</v>
      </c>
      <c r="H663" t="s">
        <v>13</v>
      </c>
      <c r="I663" t="s">
        <v>1177</v>
      </c>
      <c r="J663">
        <v>60002784</v>
      </c>
      <c r="K663" t="s">
        <v>1176</v>
      </c>
      <c r="L663" t="s">
        <v>549</v>
      </c>
      <c r="M663" t="s">
        <v>524</v>
      </c>
      <c r="N663">
        <v>2</v>
      </c>
      <c r="O663" t="s">
        <v>1175</v>
      </c>
      <c r="P663" t="s">
        <v>1174</v>
      </c>
      <c r="Q663" t="s">
        <v>1173</v>
      </c>
      <c r="R663" s="7">
        <v>31778</v>
      </c>
      <c r="S663" s="8">
        <f t="shared" si="80"/>
        <v>1987</v>
      </c>
      <c r="T663" s="8">
        <v>1987</v>
      </c>
      <c r="U663" s="8">
        <f t="shared" si="81"/>
        <v>35</v>
      </c>
      <c r="V663" s="7">
        <v>31778</v>
      </c>
      <c r="W663" t="s">
        <v>336</v>
      </c>
      <c r="X663" s="2">
        <v>1.6519999999999999</v>
      </c>
      <c r="Y663" s="6">
        <f t="shared" si="86"/>
        <v>4.409919649769093E-2</v>
      </c>
      <c r="AA663" t="s">
        <v>335</v>
      </c>
      <c r="AB663">
        <v>17337</v>
      </c>
      <c r="AC663">
        <v>15582221</v>
      </c>
      <c r="AD663" t="s">
        <v>4</v>
      </c>
      <c r="AE663">
        <v>35</v>
      </c>
      <c r="AF663">
        <v>1</v>
      </c>
      <c r="AH663" t="s">
        <v>1172</v>
      </c>
      <c r="AI663" t="s">
        <v>1171</v>
      </c>
      <c r="AK663" t="s">
        <v>1170</v>
      </c>
      <c r="AL663">
        <v>30</v>
      </c>
      <c r="AM663" s="5">
        <f t="shared" si="82"/>
        <v>0.8571428571428571</v>
      </c>
      <c r="AN663" s="4">
        <f t="shared" si="87"/>
        <v>1.2982095526586248E-3</v>
      </c>
      <c r="AO663" s="3"/>
      <c r="AP663">
        <v>0</v>
      </c>
      <c r="AR663" t="s">
        <v>0</v>
      </c>
      <c r="AT663" s="2" t="s">
        <v>32</v>
      </c>
      <c r="AU663" s="1">
        <f t="shared" si="83"/>
        <v>3.1258900414181237</v>
      </c>
      <c r="AV663" s="1">
        <f t="shared" si="84"/>
        <v>2.2698703025174778</v>
      </c>
      <c r="AW663" s="1">
        <f t="shared" si="85"/>
        <v>1.4138505636168315</v>
      </c>
    </row>
    <row r="664" spans="1:49" x14ac:dyDescent="0.2">
      <c r="A664">
        <v>662</v>
      </c>
      <c r="B664" t="s">
        <v>1169</v>
      </c>
      <c r="C664" t="s">
        <v>1168</v>
      </c>
      <c r="F664" t="s">
        <v>1167</v>
      </c>
      <c r="G664" t="s">
        <v>14</v>
      </c>
      <c r="H664" t="s">
        <v>13</v>
      </c>
      <c r="I664" t="s">
        <v>1166</v>
      </c>
      <c r="J664">
        <v>60023053</v>
      </c>
      <c r="K664" t="s">
        <v>1165</v>
      </c>
      <c r="L664" t="s">
        <v>1164</v>
      </c>
      <c r="M664" t="s">
        <v>9</v>
      </c>
      <c r="N664">
        <v>2</v>
      </c>
      <c r="O664" t="s">
        <v>1163</v>
      </c>
      <c r="P664" t="s">
        <v>1162</v>
      </c>
      <c r="Q664" t="s">
        <v>1161</v>
      </c>
      <c r="R664" s="7">
        <v>31778</v>
      </c>
      <c r="S664" s="8">
        <f t="shared" si="80"/>
        <v>1987</v>
      </c>
      <c r="T664" s="8">
        <v>1987</v>
      </c>
      <c r="U664" s="8">
        <f t="shared" si="81"/>
        <v>35</v>
      </c>
      <c r="V664" s="7">
        <v>31778</v>
      </c>
      <c r="W664" t="s">
        <v>336</v>
      </c>
      <c r="X664" s="2">
        <v>1.6519999999999999</v>
      </c>
      <c r="Y664" s="6">
        <f t="shared" si="86"/>
        <v>4.409919649769093E-2</v>
      </c>
      <c r="AA664" t="s">
        <v>335</v>
      </c>
      <c r="AB664">
        <v>17337</v>
      </c>
      <c r="AC664">
        <v>15582221</v>
      </c>
      <c r="AD664" t="s">
        <v>4</v>
      </c>
      <c r="AE664">
        <v>35</v>
      </c>
      <c r="AF664">
        <v>1</v>
      </c>
      <c r="AH664" t="s">
        <v>1160</v>
      </c>
      <c r="AI664" t="s">
        <v>1159</v>
      </c>
      <c r="AK664" t="s">
        <v>1158</v>
      </c>
      <c r="AL664">
        <v>20</v>
      </c>
      <c r="AM664" s="5">
        <f t="shared" si="82"/>
        <v>0.5714285714285714</v>
      </c>
      <c r="AN664" s="4">
        <f t="shared" si="87"/>
        <v>8.6547303510574997E-4</v>
      </c>
      <c r="AO664" s="3"/>
      <c r="AP664">
        <v>0</v>
      </c>
      <c r="AR664" t="s">
        <v>0</v>
      </c>
      <c r="AT664" s="2" t="s">
        <v>32</v>
      </c>
      <c r="AU664" s="1">
        <f t="shared" si="83"/>
        <v>3.1129079458915374</v>
      </c>
      <c r="AV664" s="1">
        <f t="shared" si="84"/>
        <v>2.2482334766398342</v>
      </c>
      <c r="AW664" s="1">
        <f t="shared" si="85"/>
        <v>1.3835590073881303</v>
      </c>
    </row>
    <row r="665" spans="1:49" x14ac:dyDescent="0.2">
      <c r="A665">
        <v>663</v>
      </c>
      <c r="B665" t="s">
        <v>1157</v>
      </c>
      <c r="C665" t="s">
        <v>1156</v>
      </c>
      <c r="E665">
        <v>3039128</v>
      </c>
      <c r="F665" t="s">
        <v>1155</v>
      </c>
      <c r="G665" t="s">
        <v>14</v>
      </c>
      <c r="H665" t="s">
        <v>13</v>
      </c>
      <c r="I665" t="s">
        <v>1154</v>
      </c>
      <c r="J665">
        <v>60023324</v>
      </c>
      <c r="K665" t="s">
        <v>1153</v>
      </c>
      <c r="L665" t="s">
        <v>1152</v>
      </c>
      <c r="M665" t="s">
        <v>9</v>
      </c>
      <c r="N665">
        <v>3</v>
      </c>
      <c r="O665" t="s">
        <v>1151</v>
      </c>
      <c r="P665" t="s">
        <v>1150</v>
      </c>
      <c r="Q665" t="s">
        <v>1149</v>
      </c>
      <c r="R665" s="7">
        <v>31778</v>
      </c>
      <c r="S665" s="8">
        <f t="shared" si="80"/>
        <v>1987</v>
      </c>
      <c r="T665" s="8">
        <v>1987</v>
      </c>
      <c r="U665" s="8">
        <f t="shared" si="81"/>
        <v>35</v>
      </c>
      <c r="V665" s="7">
        <v>31778</v>
      </c>
      <c r="W665" t="s">
        <v>136</v>
      </c>
      <c r="X665" s="2">
        <v>0.8</v>
      </c>
      <c r="Y665" s="6">
        <f t="shared" si="86"/>
        <v>2.1355543098155415E-2</v>
      </c>
      <c r="AA665">
        <v>3407594</v>
      </c>
      <c r="AB665">
        <v>23456</v>
      </c>
      <c r="AC665">
        <v>14321351</v>
      </c>
      <c r="AD665" t="s">
        <v>4</v>
      </c>
      <c r="AE665">
        <v>161</v>
      </c>
      <c r="AF665">
        <v>1</v>
      </c>
      <c r="AH665" t="s">
        <v>1148</v>
      </c>
      <c r="AI665" t="s">
        <v>1147</v>
      </c>
      <c r="AK665" t="s">
        <v>1146</v>
      </c>
      <c r="AL665">
        <v>135</v>
      </c>
      <c r="AM665" s="5">
        <f t="shared" si="82"/>
        <v>3.8571428571428572</v>
      </c>
      <c r="AN665" s="4">
        <f t="shared" si="87"/>
        <v>5.8419429869638129E-3</v>
      </c>
      <c r="AO665" s="3"/>
      <c r="AP665">
        <v>0</v>
      </c>
      <c r="AQ665" t="s">
        <v>1145</v>
      </c>
      <c r="AR665" t="s">
        <v>1144</v>
      </c>
      <c r="AS665" t="s">
        <v>1143</v>
      </c>
      <c r="AT665" s="2" t="s">
        <v>32</v>
      </c>
      <c r="AU665" s="1">
        <f t="shared" si="83"/>
        <v>1.6701463064797935</v>
      </c>
      <c r="AV665" s="1">
        <f t="shared" si="84"/>
        <v>1.3598743042559613</v>
      </c>
      <c r="AW665" s="1">
        <f t="shared" si="85"/>
        <v>1.0496023020321292</v>
      </c>
    </row>
    <row r="666" spans="1:49" x14ac:dyDescent="0.2">
      <c r="A666">
        <v>664</v>
      </c>
      <c r="B666" t="s">
        <v>1142</v>
      </c>
      <c r="C666" t="s">
        <v>1141</v>
      </c>
      <c r="F666" t="s">
        <v>1140</v>
      </c>
      <c r="G666" t="s">
        <v>14</v>
      </c>
      <c r="H666" t="s">
        <v>13</v>
      </c>
      <c r="I666" t="s">
        <v>1139</v>
      </c>
      <c r="J666">
        <v>60005811</v>
      </c>
      <c r="K666" t="s">
        <v>1138</v>
      </c>
      <c r="L666" t="s">
        <v>1137</v>
      </c>
      <c r="M666" t="s">
        <v>112</v>
      </c>
      <c r="N666">
        <v>1</v>
      </c>
      <c r="O666" t="s">
        <v>1136</v>
      </c>
      <c r="P666">
        <v>7003265888</v>
      </c>
      <c r="Q666">
        <v>60005811</v>
      </c>
      <c r="R666" s="7">
        <v>31778</v>
      </c>
      <c r="S666" s="8">
        <f t="shared" si="80"/>
        <v>1987</v>
      </c>
      <c r="T666" s="8">
        <v>1987</v>
      </c>
      <c r="U666" s="8">
        <f t="shared" si="81"/>
        <v>35</v>
      </c>
      <c r="V666" s="7">
        <v>31778</v>
      </c>
      <c r="W666" t="s">
        <v>1040</v>
      </c>
      <c r="X666" s="2">
        <v>1.137</v>
      </c>
      <c r="Y666" s="6">
        <f t="shared" si="86"/>
        <v>3.0351565628253384E-2</v>
      </c>
      <c r="AA666">
        <v>189251</v>
      </c>
      <c r="AB666">
        <v>17336</v>
      </c>
      <c r="AD666" t="s">
        <v>4</v>
      </c>
      <c r="AE666" t="s">
        <v>1039</v>
      </c>
      <c r="AF666">
        <v>1</v>
      </c>
      <c r="AH666" t="s">
        <v>1135</v>
      </c>
      <c r="AL666">
        <v>1</v>
      </c>
      <c r="AM666" s="5">
        <f t="shared" si="82"/>
        <v>2.8571428571428571E-2</v>
      </c>
      <c r="AN666" s="4">
        <f t="shared" si="87"/>
        <v>4.32736517552875E-5</v>
      </c>
      <c r="AO666" s="3"/>
      <c r="AP666">
        <v>0</v>
      </c>
      <c r="AR666" t="s">
        <v>0</v>
      </c>
      <c r="AT666" s="2" t="s">
        <v>32</v>
      </c>
      <c r="AU666" s="1">
        <f t="shared" si="83"/>
        <v>2.1259078035303953</v>
      </c>
      <c r="AV666" s="1">
        <f t="shared" si="84"/>
        <v>1.5197419640004337</v>
      </c>
      <c r="AW666" s="1">
        <f t="shared" si="85"/>
        <v>0.91357612447047176</v>
      </c>
    </row>
    <row r="667" spans="1:49" x14ac:dyDescent="0.2">
      <c r="A667">
        <v>665</v>
      </c>
      <c r="B667" t="s">
        <v>1134</v>
      </c>
      <c r="C667" t="s">
        <v>1133</v>
      </c>
      <c r="F667" t="s">
        <v>1132</v>
      </c>
      <c r="G667" t="s">
        <v>14</v>
      </c>
      <c r="H667" t="s">
        <v>13</v>
      </c>
      <c r="I667" t="s">
        <v>1131</v>
      </c>
      <c r="J667">
        <v>60003892</v>
      </c>
      <c r="K667" t="s">
        <v>1130</v>
      </c>
      <c r="L667" t="s">
        <v>1129</v>
      </c>
      <c r="M667" t="s">
        <v>9</v>
      </c>
      <c r="N667">
        <v>2</v>
      </c>
      <c r="O667" t="s">
        <v>1128</v>
      </c>
      <c r="P667" t="s">
        <v>1127</v>
      </c>
      <c r="Q667" t="s">
        <v>1126</v>
      </c>
      <c r="R667" s="7">
        <v>31778</v>
      </c>
      <c r="S667" s="8">
        <f t="shared" si="80"/>
        <v>1987</v>
      </c>
      <c r="T667" s="8">
        <v>1987</v>
      </c>
      <c r="U667" s="8">
        <f t="shared" si="81"/>
        <v>35</v>
      </c>
      <c r="V667" s="7">
        <v>31778</v>
      </c>
      <c r="W667" t="s">
        <v>1054</v>
      </c>
      <c r="X667" s="2">
        <v>0.752</v>
      </c>
      <c r="Y667" s="6">
        <f t="shared" si="86"/>
        <v>2.0074210512266089E-2</v>
      </c>
      <c r="AA667">
        <v>3649059</v>
      </c>
      <c r="AB667">
        <v>17277</v>
      </c>
      <c r="AC667">
        <v>15581691</v>
      </c>
      <c r="AD667" t="s">
        <v>4</v>
      </c>
      <c r="AE667">
        <v>12</v>
      </c>
      <c r="AF667">
        <v>1</v>
      </c>
      <c r="AH667" t="s">
        <v>1125</v>
      </c>
      <c r="AI667" t="s">
        <v>1124</v>
      </c>
      <c r="AK667" t="s">
        <v>1123</v>
      </c>
      <c r="AL667">
        <v>11</v>
      </c>
      <c r="AM667" s="5">
        <f t="shared" si="82"/>
        <v>0.31428571428571428</v>
      </c>
      <c r="AN667" s="4">
        <f t="shared" si="87"/>
        <v>4.7601016930816251E-4</v>
      </c>
      <c r="AO667" s="3"/>
      <c r="AP667">
        <v>0</v>
      </c>
      <c r="AR667" t="s">
        <v>0</v>
      </c>
      <c r="AT667" s="2">
        <v>3.5539999999999998</v>
      </c>
      <c r="AU667" s="1">
        <f t="shared" si="83"/>
        <v>1.4194750409378711</v>
      </c>
      <c r="AV667" s="1">
        <f t="shared" si="84"/>
        <v>1.0275110340787126</v>
      </c>
      <c r="AW667" s="1">
        <f t="shared" si="85"/>
        <v>0.63554702721955403</v>
      </c>
    </row>
    <row r="668" spans="1:49" x14ac:dyDescent="0.2">
      <c r="A668">
        <v>666</v>
      </c>
      <c r="B668" t="s">
        <v>1122</v>
      </c>
      <c r="F668" t="s">
        <v>1121</v>
      </c>
      <c r="G668" t="s">
        <v>14</v>
      </c>
      <c r="H668" t="s">
        <v>13</v>
      </c>
      <c r="I668" t="s">
        <v>1071</v>
      </c>
      <c r="J668">
        <v>60069494</v>
      </c>
      <c r="K668" t="s">
        <v>1070</v>
      </c>
      <c r="L668" t="s">
        <v>1069</v>
      </c>
      <c r="M668" t="s">
        <v>1068</v>
      </c>
      <c r="N668">
        <v>3</v>
      </c>
      <c r="O668" t="s">
        <v>1120</v>
      </c>
      <c r="P668" t="s">
        <v>1119</v>
      </c>
      <c r="Q668" t="s">
        <v>1065</v>
      </c>
      <c r="R668" s="7">
        <v>31778</v>
      </c>
      <c r="S668" s="8">
        <f t="shared" si="80"/>
        <v>1987</v>
      </c>
      <c r="T668" s="8">
        <v>1987</v>
      </c>
      <c r="U668" s="8">
        <f t="shared" si="81"/>
        <v>35</v>
      </c>
      <c r="V668" s="7">
        <v>1987</v>
      </c>
      <c r="W668" t="s">
        <v>1064</v>
      </c>
      <c r="X668" s="2" t="s">
        <v>32</v>
      </c>
      <c r="Y668" s="6" t="e">
        <f t="shared" si="86"/>
        <v>#VALUE!</v>
      </c>
      <c r="AA668">
        <v>7612516</v>
      </c>
      <c r="AB668">
        <v>77451</v>
      </c>
      <c r="AD668" t="s">
        <v>4</v>
      </c>
      <c r="AE668">
        <v>8</v>
      </c>
      <c r="AF668">
        <v>4</v>
      </c>
      <c r="AH668" s="10">
        <v>13089</v>
      </c>
      <c r="AI668" t="s">
        <v>1118</v>
      </c>
      <c r="AK668" t="s">
        <v>1117</v>
      </c>
      <c r="AL668">
        <v>0</v>
      </c>
      <c r="AM668" s="5">
        <f t="shared" si="82"/>
        <v>0</v>
      </c>
      <c r="AN668" s="4">
        <f t="shared" si="87"/>
        <v>0</v>
      </c>
      <c r="AO668" s="3"/>
      <c r="AP668">
        <v>0</v>
      </c>
      <c r="AR668" t="s">
        <v>0</v>
      </c>
      <c r="AT668" s="2" t="s">
        <v>32</v>
      </c>
      <c r="AU668" s="1" t="e">
        <f t="shared" si="83"/>
        <v>#VALUE!</v>
      </c>
      <c r="AV668" s="1" t="e">
        <f t="shared" si="84"/>
        <v>#VALUE!</v>
      </c>
      <c r="AW668" s="1" t="e">
        <f t="shared" si="85"/>
        <v>#VALUE!</v>
      </c>
    </row>
    <row r="669" spans="1:49" x14ac:dyDescent="0.2">
      <c r="A669">
        <v>667</v>
      </c>
      <c r="B669" t="s">
        <v>1116</v>
      </c>
      <c r="C669" t="s">
        <v>1115</v>
      </c>
      <c r="D669" t="s">
        <v>1114</v>
      </c>
      <c r="F669" t="s">
        <v>1113</v>
      </c>
      <c r="G669" t="s">
        <v>14</v>
      </c>
      <c r="H669" t="s">
        <v>13</v>
      </c>
      <c r="I669" t="s">
        <v>1112</v>
      </c>
      <c r="J669" t="s">
        <v>1111</v>
      </c>
      <c r="K669" t="s">
        <v>1110</v>
      </c>
      <c r="L669" t="s">
        <v>1109</v>
      </c>
      <c r="M669" t="s">
        <v>1108</v>
      </c>
      <c r="N669">
        <v>3</v>
      </c>
      <c r="O669" t="s">
        <v>1107</v>
      </c>
      <c r="P669" t="s">
        <v>1106</v>
      </c>
      <c r="Q669" t="s">
        <v>1105</v>
      </c>
      <c r="R669" s="7">
        <v>31778</v>
      </c>
      <c r="S669" s="8">
        <f t="shared" si="80"/>
        <v>1987</v>
      </c>
      <c r="T669" s="8">
        <v>1987</v>
      </c>
      <c r="U669" s="8">
        <f t="shared" si="81"/>
        <v>35</v>
      </c>
      <c r="V669" s="7">
        <v>1987</v>
      </c>
      <c r="W669" t="s">
        <v>1104</v>
      </c>
      <c r="X669" s="2">
        <v>1.63</v>
      </c>
      <c r="Y669" s="6">
        <f t="shared" si="86"/>
        <v>4.3511919062491654E-2</v>
      </c>
      <c r="AA669">
        <v>2638223</v>
      </c>
      <c r="AB669">
        <v>15063</v>
      </c>
      <c r="AD669" t="s">
        <v>4</v>
      </c>
      <c r="AE669">
        <v>7</v>
      </c>
      <c r="AF669">
        <v>4</v>
      </c>
      <c r="AH669" t="s">
        <v>1103</v>
      </c>
      <c r="AI669" t="s">
        <v>1102</v>
      </c>
      <c r="AK669" t="s">
        <v>1101</v>
      </c>
      <c r="AL669">
        <v>2</v>
      </c>
      <c r="AM669" s="5">
        <f t="shared" si="82"/>
        <v>5.7142857142857141E-2</v>
      </c>
      <c r="AN669" s="4">
        <f t="shared" si="87"/>
        <v>8.6547303510575E-5</v>
      </c>
      <c r="AO669" s="3"/>
      <c r="AP669">
        <v>0</v>
      </c>
      <c r="AR669" t="s">
        <v>0</v>
      </c>
      <c r="AT669" s="2">
        <v>5.407</v>
      </c>
      <c r="AU669" s="1">
        <f t="shared" si="83"/>
        <v>3.048430753479733</v>
      </c>
      <c r="AV669" s="1">
        <f t="shared" si="84"/>
        <v>2.1799233183001117</v>
      </c>
      <c r="AW669" s="1">
        <f t="shared" si="85"/>
        <v>1.3114158831204898</v>
      </c>
    </row>
    <row r="670" spans="1:49" x14ac:dyDescent="0.2">
      <c r="A670">
        <v>668</v>
      </c>
      <c r="B670" t="s">
        <v>1100</v>
      </c>
      <c r="C670" t="s">
        <v>1099</v>
      </c>
      <c r="F670" t="s">
        <v>1098</v>
      </c>
      <c r="G670" t="s">
        <v>14</v>
      </c>
      <c r="H670" t="s">
        <v>13</v>
      </c>
      <c r="I670" t="s">
        <v>998</v>
      </c>
      <c r="J670">
        <v>60003500</v>
      </c>
      <c r="K670" t="s">
        <v>1097</v>
      </c>
      <c r="L670" t="s">
        <v>1096</v>
      </c>
      <c r="M670" t="s">
        <v>9</v>
      </c>
      <c r="N670">
        <v>1</v>
      </c>
      <c r="O670" t="s">
        <v>1095</v>
      </c>
      <c r="P670">
        <v>7203066664</v>
      </c>
      <c r="Q670">
        <v>60003500</v>
      </c>
      <c r="R670" s="7">
        <v>31778</v>
      </c>
      <c r="S670" s="8">
        <f t="shared" si="80"/>
        <v>1987</v>
      </c>
      <c r="T670" s="8">
        <v>1987</v>
      </c>
      <c r="U670" s="8">
        <f t="shared" si="81"/>
        <v>35</v>
      </c>
      <c r="V670" s="7">
        <v>31778</v>
      </c>
      <c r="W670" t="s">
        <v>336</v>
      </c>
      <c r="X670" s="2">
        <v>1.6519999999999999</v>
      </c>
      <c r="Y670" s="6">
        <f t="shared" si="86"/>
        <v>4.409919649769093E-2</v>
      </c>
      <c r="AA670" t="s">
        <v>335</v>
      </c>
      <c r="AB670">
        <v>17337</v>
      </c>
      <c r="AC670">
        <v>15582221</v>
      </c>
      <c r="AD670" t="s">
        <v>4</v>
      </c>
      <c r="AE670">
        <v>35</v>
      </c>
      <c r="AF670">
        <v>1</v>
      </c>
      <c r="AH670" t="s">
        <v>1094</v>
      </c>
      <c r="AI670" t="s">
        <v>1093</v>
      </c>
      <c r="AK670" t="s">
        <v>1092</v>
      </c>
      <c r="AL670">
        <v>10</v>
      </c>
      <c r="AM670" s="5">
        <f t="shared" si="82"/>
        <v>0.2857142857142857</v>
      </c>
      <c r="AN670" s="4">
        <f t="shared" si="87"/>
        <v>4.3273651755287499E-4</v>
      </c>
      <c r="AO670" s="3"/>
      <c r="AP670">
        <v>0</v>
      </c>
      <c r="AR670" t="s">
        <v>0</v>
      </c>
      <c r="AT670" s="2" t="s">
        <v>32</v>
      </c>
      <c r="AU670" s="1">
        <f t="shared" si="83"/>
        <v>3.0999258503649512</v>
      </c>
      <c r="AV670" s="1">
        <f t="shared" si="84"/>
        <v>2.2265966507621902</v>
      </c>
      <c r="AW670" s="1">
        <f t="shared" si="85"/>
        <v>1.3532674511594291</v>
      </c>
    </row>
    <row r="671" spans="1:49" x14ac:dyDescent="0.2">
      <c r="A671">
        <v>669</v>
      </c>
      <c r="B671" t="s">
        <v>1091</v>
      </c>
      <c r="F671" t="s">
        <v>1090</v>
      </c>
      <c r="G671" t="s">
        <v>14</v>
      </c>
      <c r="H671" t="s">
        <v>13</v>
      </c>
      <c r="I671" t="s">
        <v>1089</v>
      </c>
      <c r="N671">
        <v>1</v>
      </c>
      <c r="O671" t="s">
        <v>1088</v>
      </c>
      <c r="P671">
        <v>6604035968</v>
      </c>
      <c r="R671" s="7">
        <v>31778</v>
      </c>
      <c r="S671" s="8">
        <f t="shared" si="80"/>
        <v>1987</v>
      </c>
      <c r="T671" s="8">
        <v>1987</v>
      </c>
      <c r="U671" s="8">
        <f t="shared" si="81"/>
        <v>35</v>
      </c>
      <c r="V671" s="7">
        <v>1987</v>
      </c>
      <c r="W671" t="s">
        <v>1087</v>
      </c>
      <c r="X671" s="2" t="s">
        <v>32</v>
      </c>
      <c r="Y671" s="6" t="e">
        <f t="shared" si="86"/>
        <v>#VALUE!</v>
      </c>
      <c r="AA671">
        <v>337870</v>
      </c>
      <c r="AB671">
        <v>32478</v>
      </c>
      <c r="AD671" t="s">
        <v>4</v>
      </c>
      <c r="AE671">
        <v>30</v>
      </c>
      <c r="AF671">
        <v>1</v>
      </c>
      <c r="AH671" t="s">
        <v>1086</v>
      </c>
      <c r="AI671" t="s">
        <v>1085</v>
      </c>
      <c r="AK671" t="s">
        <v>1084</v>
      </c>
      <c r="AL671">
        <v>0</v>
      </c>
      <c r="AM671" s="5">
        <f t="shared" si="82"/>
        <v>0</v>
      </c>
      <c r="AN671" s="4">
        <f t="shared" si="87"/>
        <v>0</v>
      </c>
      <c r="AO671" s="3"/>
      <c r="AP671">
        <v>0</v>
      </c>
      <c r="AR671" t="s">
        <v>0</v>
      </c>
      <c r="AT671" s="2" t="s">
        <v>32</v>
      </c>
      <c r="AU671" s="1" t="e">
        <f t="shared" si="83"/>
        <v>#VALUE!</v>
      </c>
      <c r="AV671" s="1" t="e">
        <f t="shared" si="84"/>
        <v>#VALUE!</v>
      </c>
      <c r="AW671" s="1" t="e">
        <f t="shared" si="85"/>
        <v>#VALUE!</v>
      </c>
    </row>
    <row r="672" spans="1:49" x14ac:dyDescent="0.2">
      <c r="A672">
        <v>670</v>
      </c>
      <c r="B672" t="s">
        <v>1083</v>
      </c>
      <c r="C672" t="s">
        <v>1082</v>
      </c>
      <c r="F672" t="s">
        <v>1081</v>
      </c>
      <c r="G672" t="s">
        <v>14</v>
      </c>
      <c r="H672" t="s">
        <v>13</v>
      </c>
      <c r="I672" t="s">
        <v>1080</v>
      </c>
      <c r="J672">
        <v>60013372</v>
      </c>
      <c r="K672" t="s">
        <v>1079</v>
      </c>
      <c r="L672" t="s">
        <v>1078</v>
      </c>
      <c r="M672" t="s">
        <v>9</v>
      </c>
      <c r="N672">
        <v>1</v>
      </c>
      <c r="O672" t="s">
        <v>1077</v>
      </c>
      <c r="P672">
        <v>7202657164</v>
      </c>
      <c r="Q672">
        <v>60013372</v>
      </c>
      <c r="R672" s="7">
        <v>31778</v>
      </c>
      <c r="S672" s="8">
        <f t="shared" si="80"/>
        <v>1987</v>
      </c>
      <c r="T672" s="8">
        <v>1987</v>
      </c>
      <c r="U672" s="8">
        <f t="shared" si="81"/>
        <v>35</v>
      </c>
      <c r="V672" s="7">
        <v>31778</v>
      </c>
      <c r="W672" t="s">
        <v>1054</v>
      </c>
      <c r="X672" s="2">
        <v>0.752</v>
      </c>
      <c r="Y672" s="6">
        <f t="shared" si="86"/>
        <v>2.0074210512266089E-2</v>
      </c>
      <c r="AA672">
        <v>3649059</v>
      </c>
      <c r="AB672">
        <v>17277</v>
      </c>
      <c r="AC672">
        <v>15581691</v>
      </c>
      <c r="AD672" t="s">
        <v>4</v>
      </c>
      <c r="AE672">
        <v>12</v>
      </c>
      <c r="AF672">
        <v>1</v>
      </c>
      <c r="AH672" t="s">
        <v>1076</v>
      </c>
      <c r="AI672" t="s">
        <v>1075</v>
      </c>
      <c r="AK672" t="s">
        <v>1074</v>
      </c>
      <c r="AL672">
        <v>6</v>
      </c>
      <c r="AM672" s="5">
        <f t="shared" si="82"/>
        <v>0.17142857142857143</v>
      </c>
      <c r="AN672" s="4">
        <f t="shared" si="87"/>
        <v>2.5964191053172501E-4</v>
      </c>
      <c r="AO672" s="3"/>
      <c r="AP672">
        <v>0</v>
      </c>
      <c r="AR672" t="s">
        <v>0</v>
      </c>
      <c r="AT672" s="2">
        <v>3.5539999999999998</v>
      </c>
      <c r="AU672" s="1">
        <f t="shared" si="83"/>
        <v>1.412983993174578</v>
      </c>
      <c r="AV672" s="1">
        <f t="shared" si="84"/>
        <v>1.0166926211398908</v>
      </c>
      <c r="AW672" s="1">
        <f t="shared" si="85"/>
        <v>0.62040124910520345</v>
      </c>
    </row>
    <row r="673" spans="1:49" x14ac:dyDescent="0.2">
      <c r="A673">
        <v>671</v>
      </c>
      <c r="B673" t="s">
        <v>1073</v>
      </c>
      <c r="F673" t="s">
        <v>1072</v>
      </c>
      <c r="G673" t="s">
        <v>14</v>
      </c>
      <c r="H673" t="s">
        <v>13</v>
      </c>
      <c r="I673" t="s">
        <v>1071</v>
      </c>
      <c r="J673">
        <v>60069494</v>
      </c>
      <c r="K673" t="s">
        <v>1070</v>
      </c>
      <c r="L673" t="s">
        <v>1069</v>
      </c>
      <c r="M673" t="s">
        <v>1068</v>
      </c>
      <c r="N673">
        <v>3</v>
      </c>
      <c r="O673" t="s">
        <v>1067</v>
      </c>
      <c r="P673" t="s">
        <v>1066</v>
      </c>
      <c r="Q673" t="s">
        <v>1065</v>
      </c>
      <c r="R673" s="7">
        <v>31778</v>
      </c>
      <c r="S673" s="8">
        <f t="shared" si="80"/>
        <v>1987</v>
      </c>
      <c r="T673" s="8">
        <v>1987</v>
      </c>
      <c r="U673" s="8">
        <f t="shared" si="81"/>
        <v>35</v>
      </c>
      <c r="V673" s="7">
        <v>1987</v>
      </c>
      <c r="W673" t="s">
        <v>1064</v>
      </c>
      <c r="X673" s="2" t="s">
        <v>32</v>
      </c>
      <c r="Y673" s="6" t="e">
        <f t="shared" si="86"/>
        <v>#VALUE!</v>
      </c>
      <c r="AA673">
        <v>7612516</v>
      </c>
      <c r="AB673">
        <v>77451</v>
      </c>
      <c r="AD673" t="s">
        <v>4</v>
      </c>
      <c r="AE673">
        <v>9</v>
      </c>
      <c r="AF673">
        <v>3</v>
      </c>
      <c r="AH673" s="10">
        <v>44197</v>
      </c>
      <c r="AI673" t="s">
        <v>1063</v>
      </c>
      <c r="AK673" t="s">
        <v>1062</v>
      </c>
      <c r="AL673">
        <v>0</v>
      </c>
      <c r="AM673" s="5">
        <f t="shared" si="82"/>
        <v>0</v>
      </c>
      <c r="AN673" s="4">
        <f t="shared" si="87"/>
        <v>0</v>
      </c>
      <c r="AO673" s="3"/>
      <c r="AP673">
        <v>0</v>
      </c>
      <c r="AR673" t="s">
        <v>0</v>
      </c>
      <c r="AT673" s="2" t="s">
        <v>32</v>
      </c>
      <c r="AU673" s="1" t="e">
        <f t="shared" si="83"/>
        <v>#VALUE!</v>
      </c>
      <c r="AV673" s="1" t="e">
        <f t="shared" si="84"/>
        <v>#VALUE!</v>
      </c>
      <c r="AW673" s="1" t="e">
        <f t="shared" si="85"/>
        <v>#VALUE!</v>
      </c>
    </row>
    <row r="674" spans="1:49" x14ac:dyDescent="0.2">
      <c r="A674">
        <v>672</v>
      </c>
      <c r="B674" t="s">
        <v>1061</v>
      </c>
      <c r="C674" t="s">
        <v>1060</v>
      </c>
      <c r="F674" t="s">
        <v>1059</v>
      </c>
      <c r="G674" t="s">
        <v>14</v>
      </c>
      <c r="H674" t="s">
        <v>13</v>
      </c>
      <c r="I674" t="s">
        <v>1058</v>
      </c>
      <c r="J674">
        <v>60012708</v>
      </c>
      <c r="K674" t="s">
        <v>100</v>
      </c>
      <c r="L674" t="s">
        <v>99</v>
      </c>
      <c r="M674" t="s">
        <v>9</v>
      </c>
      <c r="N674">
        <v>3</v>
      </c>
      <c r="O674" t="s">
        <v>1057</v>
      </c>
      <c r="P674" t="s">
        <v>1056</v>
      </c>
      <c r="Q674" t="s">
        <v>1055</v>
      </c>
      <c r="R674" s="7">
        <v>31778</v>
      </c>
      <c r="S674" s="8">
        <f t="shared" si="80"/>
        <v>1987</v>
      </c>
      <c r="T674" s="8">
        <v>1987</v>
      </c>
      <c r="U674" s="8">
        <f t="shared" si="81"/>
        <v>35</v>
      </c>
      <c r="V674" s="7">
        <v>31778</v>
      </c>
      <c r="W674" t="s">
        <v>1054</v>
      </c>
      <c r="X674" s="2">
        <v>0.752</v>
      </c>
      <c r="Y674" s="6">
        <f t="shared" si="86"/>
        <v>2.0074210512266089E-2</v>
      </c>
      <c r="AA674">
        <v>3649059</v>
      </c>
      <c r="AB674">
        <v>17277</v>
      </c>
      <c r="AC674">
        <v>15581691</v>
      </c>
      <c r="AD674" t="s">
        <v>4</v>
      </c>
      <c r="AE674">
        <v>12</v>
      </c>
      <c r="AF674">
        <v>1</v>
      </c>
      <c r="AH674" t="s">
        <v>1053</v>
      </c>
      <c r="AI674" t="s">
        <v>1052</v>
      </c>
      <c r="AK674" t="s">
        <v>1051</v>
      </c>
      <c r="AL674">
        <v>18</v>
      </c>
      <c r="AM674" s="5">
        <f t="shared" si="82"/>
        <v>0.51428571428571423</v>
      </c>
      <c r="AN674" s="4">
        <f t="shared" si="87"/>
        <v>7.7892573159517493E-4</v>
      </c>
      <c r="AO674" s="3"/>
      <c r="AP674">
        <v>0</v>
      </c>
      <c r="AR674" t="s">
        <v>0</v>
      </c>
      <c r="AT674" s="2">
        <v>3.5539999999999998</v>
      </c>
      <c r="AU674" s="1">
        <f t="shared" si="83"/>
        <v>1.4285625078064814</v>
      </c>
      <c r="AV674" s="1">
        <f t="shared" si="84"/>
        <v>1.0426568121930633</v>
      </c>
      <c r="AW674" s="1">
        <f t="shared" si="85"/>
        <v>0.65675111657964491</v>
      </c>
    </row>
    <row r="675" spans="1:49" x14ac:dyDescent="0.2">
      <c r="A675">
        <v>673</v>
      </c>
      <c r="B675" t="s">
        <v>1050</v>
      </c>
      <c r="C675" t="s">
        <v>1049</v>
      </c>
      <c r="F675" t="s">
        <v>1048</v>
      </c>
      <c r="G675" t="s">
        <v>14</v>
      </c>
      <c r="H675" t="s">
        <v>13</v>
      </c>
      <c r="I675" t="s">
        <v>1047</v>
      </c>
      <c r="J675" t="s">
        <v>1046</v>
      </c>
      <c r="K675" t="s">
        <v>1045</v>
      </c>
      <c r="L675" t="s">
        <v>1044</v>
      </c>
      <c r="M675" t="s">
        <v>392</v>
      </c>
      <c r="N675">
        <v>2</v>
      </c>
      <c r="O675" t="s">
        <v>1043</v>
      </c>
      <c r="P675" t="s">
        <v>1042</v>
      </c>
      <c r="Q675" t="s">
        <v>1041</v>
      </c>
      <c r="R675" s="7">
        <v>31778</v>
      </c>
      <c r="S675" s="8">
        <f t="shared" si="80"/>
        <v>1987</v>
      </c>
      <c r="T675" s="8">
        <v>1987</v>
      </c>
      <c r="U675" s="8">
        <f t="shared" si="81"/>
        <v>35</v>
      </c>
      <c r="V675" s="7">
        <v>31778</v>
      </c>
      <c r="W675" t="s">
        <v>1040</v>
      </c>
      <c r="X675" s="2">
        <v>1.137</v>
      </c>
      <c r="Y675" s="6">
        <f t="shared" si="86"/>
        <v>3.0351565628253384E-2</v>
      </c>
      <c r="AA675">
        <v>189251</v>
      </c>
      <c r="AB675">
        <v>17336</v>
      </c>
      <c r="AD675" t="s">
        <v>4</v>
      </c>
      <c r="AE675" t="s">
        <v>1039</v>
      </c>
      <c r="AF675">
        <v>1</v>
      </c>
      <c r="AH675" s="10">
        <v>42675</v>
      </c>
      <c r="AI675" t="s">
        <v>1038</v>
      </c>
      <c r="AK675" t="s">
        <v>1037</v>
      </c>
      <c r="AL675">
        <v>9</v>
      </c>
      <c r="AM675" s="5">
        <f t="shared" si="82"/>
        <v>0.25714285714285712</v>
      </c>
      <c r="AN675" s="4">
        <f t="shared" si="87"/>
        <v>3.8946286579758747E-4</v>
      </c>
      <c r="AO675" s="3"/>
      <c r="AP675">
        <v>0</v>
      </c>
      <c r="AR675" t="s">
        <v>0</v>
      </c>
      <c r="AT675" s="2" t="s">
        <v>32</v>
      </c>
      <c r="AU675" s="1">
        <f t="shared" si="83"/>
        <v>2.1362934799516644</v>
      </c>
      <c r="AV675" s="1">
        <f t="shared" si="84"/>
        <v>1.5370514247025486</v>
      </c>
      <c r="AW675" s="1">
        <f t="shared" si="85"/>
        <v>0.93780936945343263</v>
      </c>
    </row>
    <row r="676" spans="1:49" x14ac:dyDescent="0.2">
      <c r="A676">
        <v>674</v>
      </c>
      <c r="B676" t="s">
        <v>1036</v>
      </c>
      <c r="C676" t="s">
        <v>1035</v>
      </c>
      <c r="F676" t="s">
        <v>1034</v>
      </c>
      <c r="G676" t="s">
        <v>14</v>
      </c>
      <c r="H676" t="s">
        <v>13</v>
      </c>
      <c r="I676" t="s">
        <v>1033</v>
      </c>
      <c r="J676">
        <v>60020547</v>
      </c>
      <c r="K676" t="s">
        <v>1032</v>
      </c>
      <c r="L676" t="s">
        <v>1031</v>
      </c>
      <c r="M676" t="s">
        <v>9</v>
      </c>
      <c r="N676">
        <v>1</v>
      </c>
      <c r="O676" t="s">
        <v>1030</v>
      </c>
      <c r="P676">
        <v>7003263401</v>
      </c>
      <c r="Q676">
        <v>60020547</v>
      </c>
      <c r="R676" s="7">
        <v>31778</v>
      </c>
      <c r="S676" s="8">
        <f t="shared" si="80"/>
        <v>1987</v>
      </c>
      <c r="T676" s="8">
        <v>1987</v>
      </c>
      <c r="U676" s="8">
        <f t="shared" si="81"/>
        <v>35</v>
      </c>
      <c r="V676" s="7">
        <v>31778</v>
      </c>
      <c r="W676" t="s">
        <v>336</v>
      </c>
      <c r="X676" s="2">
        <v>1.6519999999999999</v>
      </c>
      <c r="Y676" s="6">
        <f t="shared" si="86"/>
        <v>4.409919649769093E-2</v>
      </c>
      <c r="AA676" t="s">
        <v>335</v>
      </c>
      <c r="AB676">
        <v>17337</v>
      </c>
      <c r="AC676">
        <v>15582221</v>
      </c>
      <c r="AD676" t="s">
        <v>4</v>
      </c>
      <c r="AE676">
        <v>35</v>
      </c>
      <c r="AF676">
        <v>1</v>
      </c>
      <c r="AH676" t="s">
        <v>1029</v>
      </c>
      <c r="AI676" t="s">
        <v>1028</v>
      </c>
      <c r="AK676" t="s">
        <v>1027</v>
      </c>
      <c r="AL676">
        <v>7</v>
      </c>
      <c r="AM676" s="5">
        <f t="shared" si="82"/>
        <v>0.2</v>
      </c>
      <c r="AN676" s="4">
        <f t="shared" si="87"/>
        <v>3.0291556228701253E-4</v>
      </c>
      <c r="AO676" s="3"/>
      <c r="AP676">
        <v>0</v>
      </c>
      <c r="AR676" t="s">
        <v>0</v>
      </c>
      <c r="AT676" s="2" t="s">
        <v>32</v>
      </c>
      <c r="AU676" s="1">
        <f t="shared" si="83"/>
        <v>3.0960312217069754</v>
      </c>
      <c r="AV676" s="1">
        <f t="shared" si="84"/>
        <v>2.2201056029988968</v>
      </c>
      <c r="AW676" s="1">
        <f t="shared" si="85"/>
        <v>1.3441799842908186</v>
      </c>
    </row>
    <row r="677" spans="1:49" x14ac:dyDescent="0.2">
      <c r="A677">
        <v>675</v>
      </c>
      <c r="B677" t="s">
        <v>1026</v>
      </c>
      <c r="C677" t="s">
        <v>1025</v>
      </c>
      <c r="F677" t="s">
        <v>1024</v>
      </c>
      <c r="G677" t="s">
        <v>14</v>
      </c>
      <c r="H677" t="s">
        <v>13</v>
      </c>
      <c r="I677" t="s">
        <v>1023</v>
      </c>
      <c r="J677" t="s">
        <v>1022</v>
      </c>
      <c r="K677" t="s">
        <v>1021</v>
      </c>
      <c r="L677" t="s">
        <v>1020</v>
      </c>
      <c r="M677" t="s">
        <v>392</v>
      </c>
      <c r="N677">
        <v>2</v>
      </c>
      <c r="O677" t="s">
        <v>1019</v>
      </c>
      <c r="P677" t="s">
        <v>1018</v>
      </c>
      <c r="Q677" t="s">
        <v>1017</v>
      </c>
      <c r="R677" s="7">
        <v>31778</v>
      </c>
      <c r="S677" s="8">
        <f t="shared" si="80"/>
        <v>1987</v>
      </c>
      <c r="T677" s="8">
        <v>1987</v>
      </c>
      <c r="U677" s="8">
        <f t="shared" si="81"/>
        <v>35</v>
      </c>
      <c r="V677" s="7">
        <v>31778</v>
      </c>
      <c r="W677" t="s">
        <v>1016</v>
      </c>
      <c r="X677" s="2">
        <v>0.371</v>
      </c>
      <c r="Y677" s="6">
        <f t="shared" si="86"/>
        <v>9.9036331117695747E-3</v>
      </c>
      <c r="AA677">
        <v>214922</v>
      </c>
      <c r="AB677">
        <v>130262</v>
      </c>
      <c r="AC677">
        <v>13474065</v>
      </c>
      <c r="AD677" t="s">
        <v>4</v>
      </c>
      <c r="AE677">
        <v>26</v>
      </c>
      <c r="AF677" t="s">
        <v>1015</v>
      </c>
      <c r="AH677" t="s">
        <v>1014</v>
      </c>
      <c r="AI677" t="s">
        <v>1013</v>
      </c>
      <c r="AK677" t="s">
        <v>1012</v>
      </c>
      <c r="AL677">
        <v>7</v>
      </c>
      <c r="AM677" s="5">
        <f t="shared" si="82"/>
        <v>0.2</v>
      </c>
      <c r="AN677" s="4">
        <f t="shared" si="87"/>
        <v>3.0291556228701253E-4</v>
      </c>
      <c r="AO677" s="3"/>
      <c r="AP677">
        <v>0</v>
      </c>
      <c r="AR677" t="s">
        <v>0</v>
      </c>
      <c r="AT677" s="2">
        <v>1.48</v>
      </c>
      <c r="AU677" s="1">
        <f t="shared" si="83"/>
        <v>0.70234178469248054</v>
      </c>
      <c r="AV677" s="1">
        <f t="shared" si="84"/>
        <v>0.5103274337028294</v>
      </c>
      <c r="AW677" s="1">
        <f t="shared" si="85"/>
        <v>0.3183130827131781</v>
      </c>
    </row>
    <row r="678" spans="1:49" x14ac:dyDescent="0.2">
      <c r="A678">
        <v>676</v>
      </c>
      <c r="B678" t="s">
        <v>1011</v>
      </c>
      <c r="C678" t="s">
        <v>1010</v>
      </c>
      <c r="F678" t="s">
        <v>1009</v>
      </c>
      <c r="G678" t="s">
        <v>14</v>
      </c>
      <c r="H678" t="s">
        <v>13</v>
      </c>
      <c r="I678" t="s">
        <v>1008</v>
      </c>
      <c r="J678">
        <v>60025778</v>
      </c>
      <c r="K678" t="s">
        <v>1007</v>
      </c>
      <c r="L678" t="s">
        <v>1006</v>
      </c>
      <c r="M678" t="s">
        <v>9</v>
      </c>
      <c r="N678">
        <v>2</v>
      </c>
      <c r="O678" t="s">
        <v>1005</v>
      </c>
      <c r="P678" t="s">
        <v>1004</v>
      </c>
      <c r="Q678" t="s">
        <v>1003</v>
      </c>
      <c r="R678" s="7">
        <v>31778</v>
      </c>
      <c r="S678" s="8">
        <f t="shared" si="80"/>
        <v>1987</v>
      </c>
      <c r="T678" s="8">
        <v>1987</v>
      </c>
      <c r="U678" s="8">
        <f t="shared" si="81"/>
        <v>35</v>
      </c>
      <c r="V678" s="7">
        <v>31778</v>
      </c>
      <c r="W678" t="s">
        <v>336</v>
      </c>
      <c r="X678" s="2">
        <v>1.6519999999999999</v>
      </c>
      <c r="Y678" s="6">
        <f t="shared" si="86"/>
        <v>4.409919649769093E-2</v>
      </c>
      <c r="AA678" t="s">
        <v>335</v>
      </c>
      <c r="AB678">
        <v>17337</v>
      </c>
      <c r="AC678">
        <v>15582221</v>
      </c>
      <c r="AD678" t="s">
        <v>4</v>
      </c>
      <c r="AE678">
        <v>35</v>
      </c>
      <c r="AF678">
        <v>1</v>
      </c>
      <c r="AH678" t="s">
        <v>1002</v>
      </c>
      <c r="AL678">
        <v>17</v>
      </c>
      <c r="AM678" s="5">
        <f t="shared" si="82"/>
        <v>0.48571428571428571</v>
      </c>
      <c r="AN678" s="4">
        <f t="shared" si="87"/>
        <v>7.3565207983988746E-4</v>
      </c>
      <c r="AO678" s="3"/>
      <c r="AP678">
        <v>0</v>
      </c>
      <c r="AR678" t="s">
        <v>0</v>
      </c>
      <c r="AT678" s="2" t="s">
        <v>32</v>
      </c>
      <c r="AU678" s="1">
        <f t="shared" si="83"/>
        <v>3.1090133172335617</v>
      </c>
      <c r="AV678" s="1">
        <f t="shared" si="84"/>
        <v>2.2417424288765408</v>
      </c>
      <c r="AW678" s="1">
        <f t="shared" si="85"/>
        <v>1.37447154051952</v>
      </c>
    </row>
    <row r="679" spans="1:49" x14ac:dyDescent="0.2">
      <c r="A679">
        <v>677</v>
      </c>
      <c r="B679" t="s">
        <v>1001</v>
      </c>
      <c r="C679" t="s">
        <v>1000</v>
      </c>
      <c r="F679" t="s">
        <v>999</v>
      </c>
      <c r="G679" t="s">
        <v>14</v>
      </c>
      <c r="H679" t="s">
        <v>13</v>
      </c>
      <c r="I679" t="s">
        <v>998</v>
      </c>
      <c r="J679" t="s">
        <v>997</v>
      </c>
      <c r="K679" t="s">
        <v>996</v>
      </c>
      <c r="L679" t="s">
        <v>995</v>
      </c>
      <c r="M679" t="s">
        <v>55</v>
      </c>
      <c r="N679">
        <v>3</v>
      </c>
      <c r="O679" t="s">
        <v>994</v>
      </c>
      <c r="P679" t="s">
        <v>993</v>
      </c>
      <c r="Q679" t="s">
        <v>992</v>
      </c>
      <c r="R679" s="7">
        <v>31778</v>
      </c>
      <c r="S679" s="8">
        <f t="shared" ref="S679:S742" si="88">YEAR(R679)</f>
        <v>1987</v>
      </c>
      <c r="T679" s="8">
        <v>1987</v>
      </c>
      <c r="U679" s="8">
        <f t="shared" ref="U679:U742" si="89">2022-T679</f>
        <v>35</v>
      </c>
      <c r="V679" s="7">
        <v>31778</v>
      </c>
      <c r="W679" t="s">
        <v>336</v>
      </c>
      <c r="X679" s="2">
        <v>1.6519999999999999</v>
      </c>
      <c r="Y679" s="6">
        <f t="shared" si="86"/>
        <v>4.409919649769093E-2</v>
      </c>
      <c r="AA679" t="s">
        <v>335</v>
      </c>
      <c r="AB679">
        <v>17337</v>
      </c>
      <c r="AC679">
        <v>15582221</v>
      </c>
      <c r="AD679" t="s">
        <v>4</v>
      </c>
      <c r="AE679">
        <v>35</v>
      </c>
      <c r="AF679">
        <v>1</v>
      </c>
      <c r="AH679" t="s">
        <v>991</v>
      </c>
      <c r="AI679" t="s">
        <v>990</v>
      </c>
      <c r="AK679" t="s">
        <v>989</v>
      </c>
      <c r="AL679">
        <v>3</v>
      </c>
      <c r="AM679" s="5">
        <f t="shared" ref="AM679:AM742" si="90">AL679/U679</f>
        <v>8.5714285714285715E-2</v>
      </c>
      <c r="AN679" s="4">
        <f t="shared" si="87"/>
        <v>1.2982095526586251E-4</v>
      </c>
      <c r="AO679" s="3"/>
      <c r="AP679">
        <v>0</v>
      </c>
      <c r="AR679" t="s">
        <v>0</v>
      </c>
      <c r="AT679" s="2" t="s">
        <v>32</v>
      </c>
      <c r="AU679" s="1">
        <f t="shared" ref="AU679:AU742" si="91">(Y679*0.7+AN679*0.3)*100</f>
        <v>3.0908383834963407</v>
      </c>
      <c r="AV679" s="1">
        <f t="shared" ref="AV679:AV742" si="92">(Y679*0.5+AN679*0.5)*100</f>
        <v>2.2114508726478395</v>
      </c>
      <c r="AW679" s="1">
        <f t="shared" ref="AW679:AW742" si="93">(Y679*0.3+AN679*0.7)*100</f>
        <v>1.3320633617993383</v>
      </c>
    </row>
    <row r="680" spans="1:49" x14ac:dyDescent="0.2">
      <c r="A680">
        <v>678</v>
      </c>
      <c r="B680" t="s">
        <v>988</v>
      </c>
      <c r="C680" t="s">
        <v>987</v>
      </c>
      <c r="F680" t="s">
        <v>986</v>
      </c>
      <c r="G680" t="s">
        <v>14</v>
      </c>
      <c r="H680" t="s">
        <v>13</v>
      </c>
      <c r="I680" t="s">
        <v>985</v>
      </c>
      <c r="J680">
        <v>60103680</v>
      </c>
      <c r="K680" t="s">
        <v>984</v>
      </c>
      <c r="L680" t="s">
        <v>983</v>
      </c>
      <c r="M680" t="s">
        <v>524</v>
      </c>
      <c r="N680">
        <v>2</v>
      </c>
      <c r="O680" t="s">
        <v>982</v>
      </c>
      <c r="P680" t="s">
        <v>981</v>
      </c>
      <c r="Q680" t="s">
        <v>980</v>
      </c>
      <c r="R680" s="7">
        <v>31778</v>
      </c>
      <c r="S680" s="8">
        <f t="shared" si="88"/>
        <v>1987</v>
      </c>
      <c r="T680" s="8">
        <v>1987</v>
      </c>
      <c r="U680" s="8">
        <f t="shared" si="89"/>
        <v>35</v>
      </c>
      <c r="V680" s="7">
        <v>31778</v>
      </c>
      <c r="W680" t="s">
        <v>336</v>
      </c>
      <c r="X680" s="2">
        <v>1.6519999999999999</v>
      </c>
      <c r="Y680" s="6">
        <f t="shared" si="86"/>
        <v>4.409919649769093E-2</v>
      </c>
      <c r="AA680" t="s">
        <v>335</v>
      </c>
      <c r="AB680">
        <v>17337</v>
      </c>
      <c r="AC680">
        <v>15582221</v>
      </c>
      <c r="AD680" t="s">
        <v>4</v>
      </c>
      <c r="AE680">
        <v>35</v>
      </c>
      <c r="AF680">
        <v>1</v>
      </c>
      <c r="AH680" t="s">
        <v>979</v>
      </c>
      <c r="AI680" t="s">
        <v>978</v>
      </c>
      <c r="AK680" t="s">
        <v>977</v>
      </c>
      <c r="AL680">
        <v>5</v>
      </c>
      <c r="AM680" s="5">
        <f t="shared" si="90"/>
        <v>0.14285714285714285</v>
      </c>
      <c r="AN680" s="4">
        <f t="shared" si="87"/>
        <v>2.1636825877643749E-4</v>
      </c>
      <c r="AO680" s="3"/>
      <c r="AP680">
        <v>0</v>
      </c>
      <c r="AQ680" t="s">
        <v>331</v>
      </c>
      <c r="AR680" t="s">
        <v>976</v>
      </c>
      <c r="AS680" t="s">
        <v>329</v>
      </c>
      <c r="AT680" s="2" t="s">
        <v>32</v>
      </c>
      <c r="AU680" s="1">
        <f t="shared" si="91"/>
        <v>3.0934348026016583</v>
      </c>
      <c r="AV680" s="1">
        <f t="shared" si="92"/>
        <v>2.2157782378233684</v>
      </c>
      <c r="AW680" s="1">
        <f t="shared" si="93"/>
        <v>1.3381216730450785</v>
      </c>
    </row>
    <row r="681" spans="1:49" x14ac:dyDescent="0.2">
      <c r="A681">
        <v>679</v>
      </c>
      <c r="B681" t="s">
        <v>975</v>
      </c>
      <c r="C681" t="s">
        <v>974</v>
      </c>
      <c r="F681" t="s">
        <v>973</v>
      </c>
      <c r="G681" t="s">
        <v>14</v>
      </c>
      <c r="H681" t="s">
        <v>13</v>
      </c>
      <c r="I681" t="s">
        <v>972</v>
      </c>
      <c r="J681" t="s">
        <v>971</v>
      </c>
      <c r="K681" t="s">
        <v>970</v>
      </c>
      <c r="L681" t="s">
        <v>969</v>
      </c>
      <c r="M681" t="s">
        <v>968</v>
      </c>
      <c r="N681">
        <v>2</v>
      </c>
      <c r="O681" t="s">
        <v>967</v>
      </c>
      <c r="P681" t="s">
        <v>966</v>
      </c>
      <c r="Q681" t="s">
        <v>965</v>
      </c>
      <c r="R681" s="7">
        <v>31778</v>
      </c>
      <c r="S681" s="8">
        <f t="shared" si="88"/>
        <v>1987</v>
      </c>
      <c r="T681" s="8">
        <v>1987</v>
      </c>
      <c r="U681" s="8">
        <f t="shared" si="89"/>
        <v>35</v>
      </c>
      <c r="V681" s="7">
        <v>31778</v>
      </c>
      <c r="W681" t="s">
        <v>336</v>
      </c>
      <c r="X681" s="2">
        <v>1.6519999999999999</v>
      </c>
      <c r="Y681" s="6">
        <f t="shared" si="86"/>
        <v>4.409919649769093E-2</v>
      </c>
      <c r="AA681" t="s">
        <v>335</v>
      </c>
      <c r="AB681">
        <v>17337</v>
      </c>
      <c r="AC681">
        <v>15582221</v>
      </c>
      <c r="AD681" t="s">
        <v>4</v>
      </c>
      <c r="AE681">
        <v>35</v>
      </c>
      <c r="AF681">
        <v>1</v>
      </c>
      <c r="AH681" t="s">
        <v>964</v>
      </c>
      <c r="AI681" t="s">
        <v>963</v>
      </c>
      <c r="AK681" t="s">
        <v>962</v>
      </c>
      <c r="AL681">
        <v>4</v>
      </c>
      <c r="AM681" s="5">
        <f t="shared" si="90"/>
        <v>0.11428571428571428</v>
      </c>
      <c r="AN681" s="4">
        <f t="shared" si="87"/>
        <v>1.7309460702115E-4</v>
      </c>
      <c r="AO681" s="3"/>
      <c r="AP681">
        <v>0</v>
      </c>
      <c r="AR681" t="s">
        <v>0</v>
      </c>
      <c r="AT681" s="2" t="s">
        <v>32</v>
      </c>
      <c r="AU681" s="1">
        <f t="shared" si="91"/>
        <v>3.0921365930489997</v>
      </c>
      <c r="AV681" s="1">
        <f t="shared" si="92"/>
        <v>2.2136145552356039</v>
      </c>
      <c r="AW681" s="1">
        <f t="shared" si="93"/>
        <v>1.3350925174222084</v>
      </c>
    </row>
    <row r="682" spans="1:49" x14ac:dyDescent="0.2">
      <c r="A682">
        <v>680</v>
      </c>
      <c r="B682" t="s">
        <v>961</v>
      </c>
      <c r="F682" t="s">
        <v>960</v>
      </c>
      <c r="G682" t="s">
        <v>14</v>
      </c>
      <c r="H682" t="s">
        <v>13</v>
      </c>
      <c r="I682" t="s">
        <v>959</v>
      </c>
      <c r="J682">
        <v>60024751</v>
      </c>
      <c r="K682" t="s">
        <v>958</v>
      </c>
      <c r="L682" t="s">
        <v>957</v>
      </c>
      <c r="M682" t="s">
        <v>524</v>
      </c>
      <c r="N682">
        <v>1</v>
      </c>
      <c r="O682" t="s">
        <v>956</v>
      </c>
      <c r="P682">
        <v>56216531000</v>
      </c>
      <c r="Q682">
        <v>60024751</v>
      </c>
      <c r="R682" s="7">
        <v>31778</v>
      </c>
      <c r="S682" s="8">
        <f t="shared" si="88"/>
        <v>1987</v>
      </c>
      <c r="T682" s="8">
        <v>1987</v>
      </c>
      <c r="U682" s="8">
        <f t="shared" si="89"/>
        <v>35</v>
      </c>
      <c r="V682" s="7">
        <v>31778</v>
      </c>
      <c r="W682" t="s">
        <v>955</v>
      </c>
      <c r="X682" s="2">
        <v>0.111</v>
      </c>
      <c r="Y682" s="6">
        <f t="shared" si="86"/>
        <v>2.9630816048690639E-3</v>
      </c>
      <c r="AA682">
        <v>87566621</v>
      </c>
      <c r="AB682">
        <v>24890</v>
      </c>
      <c r="AD682" t="s">
        <v>4</v>
      </c>
      <c r="AE682">
        <v>70</v>
      </c>
      <c r="AF682">
        <v>1</v>
      </c>
      <c r="AH682" t="s">
        <v>954</v>
      </c>
      <c r="AI682" t="s">
        <v>953</v>
      </c>
      <c r="AK682" t="s">
        <v>952</v>
      </c>
      <c r="AL682">
        <v>0</v>
      </c>
      <c r="AM682" s="5">
        <f t="shared" si="90"/>
        <v>0</v>
      </c>
      <c r="AN682" s="4">
        <f t="shared" si="87"/>
        <v>0</v>
      </c>
      <c r="AO682" s="3"/>
      <c r="AP682">
        <v>0</v>
      </c>
      <c r="AR682" t="s">
        <v>0</v>
      </c>
      <c r="AT682" s="2" t="s">
        <v>32</v>
      </c>
      <c r="AU682" s="1">
        <f t="shared" si="91"/>
        <v>0.20741571234083445</v>
      </c>
      <c r="AV682" s="1">
        <f t="shared" si="92"/>
        <v>0.1481540802434532</v>
      </c>
      <c r="AW682" s="1">
        <f t="shared" si="93"/>
        <v>8.8892448146071903E-2</v>
      </c>
    </row>
    <row r="683" spans="1:49" x14ac:dyDescent="0.2">
      <c r="A683">
        <v>681</v>
      </c>
      <c r="B683" t="s">
        <v>951</v>
      </c>
      <c r="F683" t="s">
        <v>950</v>
      </c>
      <c r="G683" t="s">
        <v>14</v>
      </c>
      <c r="H683" t="s">
        <v>13</v>
      </c>
      <c r="I683" t="s">
        <v>949</v>
      </c>
      <c r="N683">
        <v>2</v>
      </c>
      <c r="O683" t="s">
        <v>948</v>
      </c>
      <c r="P683" t="s">
        <v>947</v>
      </c>
      <c r="Q683" t="s">
        <v>349</v>
      </c>
      <c r="R683" s="7">
        <v>31778</v>
      </c>
      <c r="S683" s="8">
        <f t="shared" si="88"/>
        <v>1987</v>
      </c>
      <c r="T683" s="8">
        <v>1987</v>
      </c>
      <c r="U683" s="8">
        <f t="shared" si="89"/>
        <v>35</v>
      </c>
      <c r="V683" s="7">
        <v>31778</v>
      </c>
      <c r="W683" t="s">
        <v>939</v>
      </c>
      <c r="X683" s="2" t="s">
        <v>32</v>
      </c>
      <c r="Y683" s="6" t="e">
        <f t="shared" si="86"/>
        <v>#VALUE!</v>
      </c>
      <c r="AA683">
        <v>87566648</v>
      </c>
      <c r="AB683">
        <v>74127</v>
      </c>
      <c r="AD683" t="s">
        <v>4</v>
      </c>
      <c r="AE683">
        <v>32</v>
      </c>
      <c r="AF683">
        <v>1</v>
      </c>
      <c r="AH683" t="s">
        <v>946</v>
      </c>
      <c r="AI683" t="s">
        <v>945</v>
      </c>
      <c r="AK683" t="s">
        <v>944</v>
      </c>
      <c r="AL683">
        <v>0</v>
      </c>
      <c r="AM683" s="5">
        <f t="shared" si="90"/>
        <v>0</v>
      </c>
      <c r="AN683" s="4">
        <f t="shared" si="87"/>
        <v>0</v>
      </c>
      <c r="AO683" s="3"/>
      <c r="AP683">
        <v>0</v>
      </c>
      <c r="AR683" t="s">
        <v>0</v>
      </c>
      <c r="AT683" s="2" t="s">
        <v>32</v>
      </c>
      <c r="AU683" s="1" t="e">
        <f t="shared" si="91"/>
        <v>#VALUE!</v>
      </c>
      <c r="AV683" s="1" t="e">
        <f t="shared" si="92"/>
        <v>#VALUE!</v>
      </c>
      <c r="AW683" s="1" t="e">
        <f t="shared" si="93"/>
        <v>#VALUE!</v>
      </c>
    </row>
    <row r="684" spans="1:49" x14ac:dyDescent="0.2">
      <c r="A684">
        <v>682</v>
      </c>
      <c r="B684" t="s">
        <v>943</v>
      </c>
      <c r="F684" t="s">
        <v>942</v>
      </c>
      <c r="G684" t="s">
        <v>14</v>
      </c>
      <c r="H684" t="s">
        <v>13</v>
      </c>
      <c r="I684" t="s">
        <v>941</v>
      </c>
      <c r="N684">
        <v>1</v>
      </c>
      <c r="O684" t="s">
        <v>940</v>
      </c>
      <c r="P684">
        <v>7003655363</v>
      </c>
      <c r="R684" s="7">
        <v>31778</v>
      </c>
      <c r="S684" s="8">
        <f t="shared" si="88"/>
        <v>1987</v>
      </c>
      <c r="T684" s="8">
        <v>1987</v>
      </c>
      <c r="U684" s="8">
        <f t="shared" si="89"/>
        <v>35</v>
      </c>
      <c r="V684" s="7">
        <v>31778</v>
      </c>
      <c r="W684" t="s">
        <v>939</v>
      </c>
      <c r="X684" s="2" t="s">
        <v>32</v>
      </c>
      <c r="Y684" s="6" t="e">
        <f t="shared" si="86"/>
        <v>#VALUE!</v>
      </c>
      <c r="AA684">
        <v>87566648</v>
      </c>
      <c r="AB684">
        <v>74127</v>
      </c>
      <c r="AD684" t="s">
        <v>4</v>
      </c>
      <c r="AE684">
        <v>32</v>
      </c>
      <c r="AF684">
        <v>1</v>
      </c>
      <c r="AH684" t="s">
        <v>938</v>
      </c>
      <c r="AI684" t="s">
        <v>937</v>
      </c>
      <c r="AK684" t="s">
        <v>936</v>
      </c>
      <c r="AL684">
        <v>0</v>
      </c>
      <c r="AM684" s="5">
        <f t="shared" si="90"/>
        <v>0</v>
      </c>
      <c r="AN684" s="4">
        <f t="shared" si="87"/>
        <v>0</v>
      </c>
      <c r="AO684" s="3"/>
      <c r="AP684">
        <v>0</v>
      </c>
      <c r="AR684" t="s">
        <v>0</v>
      </c>
      <c r="AT684" s="2" t="s">
        <v>32</v>
      </c>
      <c r="AU684" s="1" t="e">
        <f t="shared" si="91"/>
        <v>#VALUE!</v>
      </c>
      <c r="AV684" s="1" t="e">
        <f t="shared" si="92"/>
        <v>#VALUE!</v>
      </c>
      <c r="AW684" s="1" t="e">
        <f t="shared" si="93"/>
        <v>#VALUE!</v>
      </c>
    </row>
    <row r="685" spans="1:49" x14ac:dyDescent="0.2">
      <c r="A685">
        <v>683</v>
      </c>
      <c r="B685" t="s">
        <v>935</v>
      </c>
      <c r="C685" t="s">
        <v>934</v>
      </c>
      <c r="F685" t="s">
        <v>933</v>
      </c>
      <c r="G685" t="s">
        <v>14</v>
      </c>
      <c r="H685" t="s">
        <v>13</v>
      </c>
      <c r="I685" t="s">
        <v>932</v>
      </c>
      <c r="N685">
        <v>3</v>
      </c>
      <c r="O685" t="s">
        <v>931</v>
      </c>
      <c r="P685" t="s">
        <v>930</v>
      </c>
      <c r="Q685" t="s">
        <v>171</v>
      </c>
      <c r="R685" s="7">
        <v>31778</v>
      </c>
      <c r="S685" s="8">
        <f t="shared" si="88"/>
        <v>1987</v>
      </c>
      <c r="T685" s="8">
        <v>1987</v>
      </c>
      <c r="U685" s="8">
        <f t="shared" si="89"/>
        <v>35</v>
      </c>
      <c r="V685" s="7" t="s">
        <v>929</v>
      </c>
      <c r="W685" t="s">
        <v>928</v>
      </c>
      <c r="X685" s="2">
        <v>0.218</v>
      </c>
      <c r="Y685" s="6">
        <f t="shared" si="86"/>
        <v>5.8193854942473512E-3</v>
      </c>
      <c r="AA685">
        <v>3772063</v>
      </c>
      <c r="AB685">
        <v>130012</v>
      </c>
      <c r="AD685" t="s">
        <v>4</v>
      </c>
      <c r="AE685">
        <v>33</v>
      </c>
      <c r="AF685">
        <v>1</v>
      </c>
      <c r="AH685" t="s">
        <v>927</v>
      </c>
      <c r="AI685" t="s">
        <v>926</v>
      </c>
      <c r="AK685" t="s">
        <v>925</v>
      </c>
      <c r="AL685">
        <v>1</v>
      </c>
      <c r="AM685" s="5">
        <f t="shared" si="90"/>
        <v>2.8571428571428571E-2</v>
      </c>
      <c r="AN685" s="4">
        <f t="shared" si="87"/>
        <v>4.32736517552875E-5</v>
      </c>
      <c r="AO685" s="3"/>
      <c r="AP685">
        <v>0</v>
      </c>
      <c r="AR685" t="s">
        <v>0</v>
      </c>
      <c r="AT685" s="2">
        <v>2.3330000000000002</v>
      </c>
      <c r="AU685" s="1">
        <f t="shared" si="91"/>
        <v>0.4086551941499732</v>
      </c>
      <c r="AV685" s="1">
        <f t="shared" si="92"/>
        <v>0.29313295730013195</v>
      </c>
      <c r="AW685" s="1">
        <f t="shared" si="93"/>
        <v>0.17761072045029067</v>
      </c>
    </row>
    <row r="686" spans="1:49" x14ac:dyDescent="0.2">
      <c r="A686">
        <v>684</v>
      </c>
      <c r="B686" t="s">
        <v>924</v>
      </c>
      <c r="C686" t="s">
        <v>923</v>
      </c>
      <c r="F686" t="s">
        <v>922</v>
      </c>
      <c r="G686" t="s">
        <v>14</v>
      </c>
      <c r="H686" t="s">
        <v>13</v>
      </c>
      <c r="I686" t="s">
        <v>921</v>
      </c>
      <c r="N686">
        <v>1</v>
      </c>
      <c r="O686" t="s">
        <v>920</v>
      </c>
      <c r="P686">
        <v>7102689456</v>
      </c>
      <c r="R686" s="7">
        <v>31778</v>
      </c>
      <c r="S686" s="8">
        <f t="shared" si="88"/>
        <v>1987</v>
      </c>
      <c r="T686" s="8">
        <v>1987</v>
      </c>
      <c r="U686" s="8">
        <f t="shared" si="89"/>
        <v>35</v>
      </c>
      <c r="V686" s="7" t="s">
        <v>597</v>
      </c>
      <c r="W686" t="s">
        <v>472</v>
      </c>
      <c r="X686" s="2">
        <v>0.371</v>
      </c>
      <c r="Y686" s="6">
        <f t="shared" si="86"/>
        <v>9.9036331117695747E-3</v>
      </c>
      <c r="AA686">
        <v>486604</v>
      </c>
      <c r="AB686">
        <v>28580</v>
      </c>
      <c r="AC686" t="s">
        <v>471</v>
      </c>
      <c r="AD686" t="s">
        <v>4</v>
      </c>
      <c r="AE686">
        <v>22</v>
      </c>
      <c r="AF686">
        <v>1</v>
      </c>
      <c r="AH686" t="s">
        <v>919</v>
      </c>
      <c r="AI686" t="s">
        <v>918</v>
      </c>
      <c r="AK686" t="s">
        <v>917</v>
      </c>
      <c r="AL686">
        <v>3</v>
      </c>
      <c r="AM686" s="5">
        <f t="shared" si="90"/>
        <v>8.5714285714285715E-2</v>
      </c>
      <c r="AN686" s="4">
        <f t="shared" si="87"/>
        <v>1.2982095526586251E-4</v>
      </c>
      <c r="AO686" s="3"/>
      <c r="AP686">
        <v>0</v>
      </c>
      <c r="AR686" t="s">
        <v>0</v>
      </c>
      <c r="AT686" s="2">
        <v>1.431</v>
      </c>
      <c r="AU686" s="1">
        <f t="shared" si="91"/>
        <v>0.69714894648184611</v>
      </c>
      <c r="AV686" s="1">
        <f t="shared" si="92"/>
        <v>0.50167270335177183</v>
      </c>
      <c r="AW686" s="1">
        <f t="shared" si="93"/>
        <v>0.30619646022169761</v>
      </c>
    </row>
    <row r="687" spans="1:49" x14ac:dyDescent="0.2">
      <c r="A687">
        <v>685</v>
      </c>
      <c r="B687" t="s">
        <v>916</v>
      </c>
      <c r="F687" t="s">
        <v>915</v>
      </c>
      <c r="G687" t="s">
        <v>14</v>
      </c>
      <c r="H687" t="s">
        <v>13</v>
      </c>
      <c r="I687" t="s">
        <v>914</v>
      </c>
      <c r="J687">
        <v>60024266</v>
      </c>
      <c r="K687" t="s">
        <v>913</v>
      </c>
      <c r="L687" t="s">
        <v>912</v>
      </c>
      <c r="M687" t="s">
        <v>9</v>
      </c>
      <c r="N687">
        <v>2</v>
      </c>
      <c r="O687" t="s">
        <v>911</v>
      </c>
      <c r="P687" t="s">
        <v>910</v>
      </c>
      <c r="Q687" t="s">
        <v>909</v>
      </c>
      <c r="R687" s="7">
        <v>31778</v>
      </c>
      <c r="S687" s="8">
        <f t="shared" si="88"/>
        <v>1987</v>
      </c>
      <c r="T687" s="8">
        <v>1987</v>
      </c>
      <c r="U687" s="8">
        <f t="shared" si="89"/>
        <v>35</v>
      </c>
      <c r="V687" s="7">
        <v>31778</v>
      </c>
      <c r="W687" t="s">
        <v>908</v>
      </c>
      <c r="X687" s="2">
        <v>1.774</v>
      </c>
      <c r="Y687" s="6">
        <f t="shared" si="86"/>
        <v>4.7355916820159633E-2</v>
      </c>
      <c r="AA687">
        <v>295515</v>
      </c>
      <c r="AB687">
        <v>29066</v>
      </c>
      <c r="AD687" t="s">
        <v>4</v>
      </c>
      <c r="AE687">
        <v>27</v>
      </c>
      <c r="AF687">
        <v>1</v>
      </c>
      <c r="AH687" t="s">
        <v>907</v>
      </c>
      <c r="AI687" t="s">
        <v>906</v>
      </c>
      <c r="AK687" t="s">
        <v>905</v>
      </c>
      <c r="AL687">
        <v>10</v>
      </c>
      <c r="AM687" s="5">
        <f t="shared" si="90"/>
        <v>0.2857142857142857</v>
      </c>
      <c r="AN687" s="4">
        <f t="shared" si="87"/>
        <v>4.3273651755287499E-4</v>
      </c>
      <c r="AO687" s="3"/>
      <c r="AP687">
        <v>0</v>
      </c>
      <c r="AR687" t="s">
        <v>0</v>
      </c>
      <c r="AT687" s="2">
        <v>3.1789999999999998</v>
      </c>
      <c r="AU687" s="1">
        <f t="shared" si="91"/>
        <v>3.3278962729377604</v>
      </c>
      <c r="AV687" s="1">
        <f t="shared" si="92"/>
        <v>2.3894326668856252</v>
      </c>
      <c r="AW687" s="1">
        <f t="shared" si="93"/>
        <v>1.4509690608334902</v>
      </c>
    </row>
    <row r="688" spans="1:49" x14ac:dyDescent="0.2">
      <c r="A688">
        <v>686</v>
      </c>
      <c r="B688" t="s">
        <v>904</v>
      </c>
      <c r="C688" t="s">
        <v>903</v>
      </c>
      <c r="F688" t="s">
        <v>902</v>
      </c>
      <c r="G688" t="s">
        <v>14</v>
      </c>
      <c r="H688" t="s">
        <v>13</v>
      </c>
      <c r="I688" t="s">
        <v>901</v>
      </c>
      <c r="J688" t="s">
        <v>900</v>
      </c>
      <c r="K688" t="s">
        <v>899</v>
      </c>
      <c r="L688" t="s">
        <v>898</v>
      </c>
      <c r="M688" t="s">
        <v>55</v>
      </c>
      <c r="N688">
        <v>5</v>
      </c>
      <c r="O688" t="s">
        <v>897</v>
      </c>
      <c r="P688" t="s">
        <v>896</v>
      </c>
      <c r="Q688" t="s">
        <v>895</v>
      </c>
      <c r="R688" s="7">
        <v>31778</v>
      </c>
      <c r="S688" s="8">
        <f t="shared" si="88"/>
        <v>1987</v>
      </c>
      <c r="T688" s="8">
        <v>1987</v>
      </c>
      <c r="U688" s="8">
        <f t="shared" si="89"/>
        <v>35</v>
      </c>
      <c r="V688" s="7">
        <v>31837</v>
      </c>
      <c r="W688" t="s">
        <v>894</v>
      </c>
      <c r="X688" s="2">
        <v>0.91800000000000004</v>
      </c>
      <c r="Y688" s="6">
        <f t="shared" si="86"/>
        <v>2.4505485705133341E-2</v>
      </c>
      <c r="AA688">
        <v>1431161</v>
      </c>
      <c r="AB688">
        <v>22674</v>
      </c>
      <c r="AC688">
        <v>13665901</v>
      </c>
      <c r="AD688" t="s">
        <v>4</v>
      </c>
      <c r="AE688">
        <v>8</v>
      </c>
      <c r="AF688">
        <v>3</v>
      </c>
      <c r="AH688" t="s">
        <v>893</v>
      </c>
      <c r="AI688" t="s">
        <v>892</v>
      </c>
      <c r="AK688" t="s">
        <v>891</v>
      </c>
      <c r="AL688">
        <v>6</v>
      </c>
      <c r="AM688" s="5">
        <f t="shared" si="90"/>
        <v>0.17142857142857143</v>
      </c>
      <c r="AN688" s="4">
        <f t="shared" si="87"/>
        <v>2.5964191053172501E-4</v>
      </c>
      <c r="AO688" s="3"/>
      <c r="AP688">
        <v>0</v>
      </c>
      <c r="AR688" t="s">
        <v>0</v>
      </c>
      <c r="AT688" s="2" t="s">
        <v>32</v>
      </c>
      <c r="AU688" s="1">
        <f t="shared" si="91"/>
        <v>1.7231732566752853</v>
      </c>
      <c r="AV688" s="1">
        <f t="shared" si="92"/>
        <v>1.2382563807832532</v>
      </c>
      <c r="AW688" s="1">
        <f t="shared" si="93"/>
        <v>0.75333950489122092</v>
      </c>
    </row>
    <row r="689" spans="1:49" x14ac:dyDescent="0.2">
      <c r="A689">
        <v>687</v>
      </c>
      <c r="B689" t="s">
        <v>890</v>
      </c>
      <c r="F689" t="s">
        <v>889</v>
      </c>
      <c r="G689" t="s">
        <v>14</v>
      </c>
      <c r="H689" t="s">
        <v>13</v>
      </c>
      <c r="I689" t="s">
        <v>888</v>
      </c>
      <c r="J689">
        <v>60011604</v>
      </c>
      <c r="K689" t="s">
        <v>887</v>
      </c>
      <c r="L689" t="s">
        <v>886</v>
      </c>
      <c r="M689" t="s">
        <v>112</v>
      </c>
      <c r="N689">
        <v>2</v>
      </c>
      <c r="O689" t="s">
        <v>885</v>
      </c>
      <c r="P689" t="s">
        <v>884</v>
      </c>
      <c r="Q689" t="s">
        <v>883</v>
      </c>
      <c r="R689" s="7">
        <v>31778</v>
      </c>
      <c r="S689" s="8">
        <f t="shared" si="88"/>
        <v>1987</v>
      </c>
      <c r="T689" s="8">
        <v>1987</v>
      </c>
      <c r="U689" s="8">
        <f t="shared" si="89"/>
        <v>35</v>
      </c>
      <c r="V689" s="7">
        <v>31778</v>
      </c>
      <c r="W689" t="s">
        <v>882</v>
      </c>
      <c r="X689" s="2">
        <v>0.54700000000000004</v>
      </c>
      <c r="Y689" s="6">
        <f t="shared" si="86"/>
        <v>1.4601852593363766E-2</v>
      </c>
      <c r="AA689">
        <v>11096</v>
      </c>
      <c r="AB689">
        <v>31211</v>
      </c>
      <c r="AD689" t="s">
        <v>4</v>
      </c>
      <c r="AE689">
        <v>41</v>
      </c>
      <c r="AF689">
        <v>1</v>
      </c>
      <c r="AH689" t="s">
        <v>881</v>
      </c>
      <c r="AI689" t="s">
        <v>880</v>
      </c>
      <c r="AK689" t="s">
        <v>879</v>
      </c>
      <c r="AL689">
        <v>3</v>
      </c>
      <c r="AM689" s="5">
        <f t="shared" si="90"/>
        <v>8.5714285714285715E-2</v>
      </c>
      <c r="AN689" s="4">
        <f t="shared" si="87"/>
        <v>1.2982095526586251E-4</v>
      </c>
      <c r="AO689" s="3"/>
      <c r="AP689">
        <v>0</v>
      </c>
      <c r="AR689" t="s">
        <v>0</v>
      </c>
      <c r="AT689" s="2" t="s">
        <v>32</v>
      </c>
      <c r="AU689" s="1">
        <f t="shared" si="91"/>
        <v>1.0260243101934394</v>
      </c>
      <c r="AV689" s="1">
        <f t="shared" si="92"/>
        <v>0.73658367743148145</v>
      </c>
      <c r="AW689" s="1">
        <f t="shared" si="93"/>
        <v>0.44714304466952332</v>
      </c>
    </row>
    <row r="690" spans="1:49" x14ac:dyDescent="0.2">
      <c r="A690">
        <v>688</v>
      </c>
      <c r="B690" t="s">
        <v>878</v>
      </c>
      <c r="C690" t="s">
        <v>877</v>
      </c>
      <c r="D690">
        <v>40816687900644</v>
      </c>
      <c r="E690">
        <v>2951896</v>
      </c>
      <c r="F690" t="s">
        <v>876</v>
      </c>
      <c r="G690" t="s">
        <v>14</v>
      </c>
      <c r="H690" t="s">
        <v>13</v>
      </c>
      <c r="I690" t="s">
        <v>875</v>
      </c>
      <c r="J690" t="s">
        <v>874</v>
      </c>
      <c r="K690" t="s">
        <v>873</v>
      </c>
      <c r="L690" t="s">
        <v>872</v>
      </c>
      <c r="M690" t="s">
        <v>460</v>
      </c>
      <c r="N690">
        <v>4</v>
      </c>
      <c r="O690" t="s">
        <v>871</v>
      </c>
      <c r="P690" t="s">
        <v>870</v>
      </c>
      <c r="Q690" t="s">
        <v>869</v>
      </c>
      <c r="R690" s="7">
        <v>31778</v>
      </c>
      <c r="S690" s="8">
        <f t="shared" si="88"/>
        <v>1987</v>
      </c>
      <c r="T690" s="8">
        <v>1987</v>
      </c>
      <c r="U690" s="8">
        <f t="shared" si="89"/>
        <v>35</v>
      </c>
      <c r="V690" s="7">
        <v>1987</v>
      </c>
      <c r="W690" t="s">
        <v>868</v>
      </c>
      <c r="X690" s="2">
        <v>0.58399999999999996</v>
      </c>
      <c r="Y690" s="6">
        <f t="shared" si="86"/>
        <v>1.5589546461653453E-2</v>
      </c>
      <c r="AA690">
        <v>408166</v>
      </c>
      <c r="AB690">
        <v>19057</v>
      </c>
      <c r="AD690" t="s">
        <v>4</v>
      </c>
      <c r="AE690">
        <v>19</v>
      </c>
      <c r="AF690">
        <v>1</v>
      </c>
      <c r="AH690" t="s">
        <v>867</v>
      </c>
      <c r="AI690" t="s">
        <v>866</v>
      </c>
      <c r="AJ690" t="s">
        <v>865</v>
      </c>
      <c r="AK690" t="s">
        <v>864</v>
      </c>
      <c r="AL690">
        <v>5</v>
      </c>
      <c r="AM690" s="5">
        <f t="shared" si="90"/>
        <v>0.14285714285714285</v>
      </c>
      <c r="AN690" s="4">
        <f t="shared" si="87"/>
        <v>2.1636825877643749E-4</v>
      </c>
      <c r="AO690" s="3"/>
      <c r="AP690">
        <v>0</v>
      </c>
      <c r="AQ690" t="s">
        <v>863</v>
      </c>
      <c r="AR690" t="s">
        <v>0</v>
      </c>
      <c r="AS690" t="s">
        <v>862</v>
      </c>
      <c r="AT690" s="2" t="s">
        <v>32</v>
      </c>
      <c r="AU690" s="1">
        <f t="shared" si="91"/>
        <v>1.0977593000790349</v>
      </c>
      <c r="AV690" s="1">
        <f t="shared" si="92"/>
        <v>0.7902957360214945</v>
      </c>
      <c r="AW690" s="1">
        <f t="shared" si="93"/>
        <v>0.48283217196395423</v>
      </c>
    </row>
    <row r="691" spans="1:49" x14ac:dyDescent="0.2">
      <c r="A691">
        <v>689</v>
      </c>
      <c r="B691" t="s">
        <v>861</v>
      </c>
      <c r="C691" t="s">
        <v>860</v>
      </c>
      <c r="F691" t="s">
        <v>859</v>
      </c>
      <c r="G691" t="s">
        <v>14</v>
      </c>
      <c r="H691" t="s">
        <v>13</v>
      </c>
      <c r="I691" t="s">
        <v>858</v>
      </c>
      <c r="J691" t="s">
        <v>853</v>
      </c>
      <c r="K691" t="s">
        <v>857</v>
      </c>
      <c r="L691" t="s">
        <v>856</v>
      </c>
      <c r="M691" t="s">
        <v>55</v>
      </c>
      <c r="N691">
        <v>2</v>
      </c>
      <c r="O691" t="s">
        <v>855</v>
      </c>
      <c r="P691" t="s">
        <v>854</v>
      </c>
      <c r="Q691" t="s">
        <v>853</v>
      </c>
      <c r="R691" s="7">
        <v>31778</v>
      </c>
      <c r="S691" s="8">
        <f t="shared" si="88"/>
        <v>1987</v>
      </c>
      <c r="T691" s="8">
        <v>1987</v>
      </c>
      <c r="U691" s="8">
        <f t="shared" si="89"/>
        <v>35</v>
      </c>
      <c r="V691" s="7">
        <v>31778</v>
      </c>
      <c r="W691" t="s">
        <v>852</v>
      </c>
      <c r="X691" s="2">
        <v>0.82799999999999996</v>
      </c>
      <c r="Y691" s="6">
        <f t="shared" si="86"/>
        <v>2.2102987106590855E-2</v>
      </c>
      <c r="AA691">
        <v>11452</v>
      </c>
      <c r="AB691">
        <v>29964</v>
      </c>
      <c r="AD691" t="s">
        <v>4</v>
      </c>
      <c r="AE691">
        <v>25</v>
      </c>
      <c r="AF691">
        <v>1</v>
      </c>
      <c r="AH691" t="s">
        <v>851</v>
      </c>
      <c r="AI691" t="s">
        <v>850</v>
      </c>
      <c r="AK691" t="s">
        <v>849</v>
      </c>
      <c r="AL691">
        <v>15</v>
      </c>
      <c r="AM691" s="5">
        <f t="shared" si="90"/>
        <v>0.42857142857142855</v>
      </c>
      <c r="AN691" s="4">
        <f t="shared" si="87"/>
        <v>6.4910477632931242E-4</v>
      </c>
      <c r="AO691" s="3"/>
      <c r="AP691">
        <v>0</v>
      </c>
      <c r="AR691" t="s">
        <v>0</v>
      </c>
      <c r="AT691" s="2">
        <v>2.1269999999999998</v>
      </c>
      <c r="AU691" s="1">
        <f t="shared" si="91"/>
        <v>1.5666822407512393</v>
      </c>
      <c r="AV691" s="1">
        <f t="shared" si="92"/>
        <v>1.1376045941460082</v>
      </c>
      <c r="AW691" s="1">
        <f t="shared" si="93"/>
        <v>0.7085269475407775</v>
      </c>
    </row>
    <row r="692" spans="1:49" x14ac:dyDescent="0.2">
      <c r="A692">
        <v>690</v>
      </c>
      <c r="B692" t="s">
        <v>848</v>
      </c>
      <c r="C692" t="s">
        <v>847</v>
      </c>
      <c r="F692" t="s">
        <v>846</v>
      </c>
      <c r="G692" t="s">
        <v>14</v>
      </c>
      <c r="H692" t="s">
        <v>13</v>
      </c>
      <c r="I692" t="s">
        <v>845</v>
      </c>
      <c r="N692">
        <v>3</v>
      </c>
      <c r="O692" t="s">
        <v>844</v>
      </c>
      <c r="P692" t="s">
        <v>843</v>
      </c>
      <c r="Q692" t="s">
        <v>171</v>
      </c>
      <c r="R692" s="7">
        <v>31778</v>
      </c>
      <c r="S692" s="8">
        <f t="shared" si="88"/>
        <v>1987</v>
      </c>
      <c r="T692" s="8">
        <v>1987</v>
      </c>
      <c r="U692" s="8">
        <f t="shared" si="89"/>
        <v>35</v>
      </c>
      <c r="V692" s="7">
        <v>31778</v>
      </c>
      <c r="W692" t="s">
        <v>842</v>
      </c>
      <c r="X692" s="2">
        <v>0.14899999999999999</v>
      </c>
      <c r="Y692" s="6">
        <f t="shared" si="86"/>
        <v>3.977469902031446E-3</v>
      </c>
      <c r="AA692">
        <v>281425</v>
      </c>
      <c r="AB692">
        <v>21100416801</v>
      </c>
      <c r="AC692">
        <v>15593584</v>
      </c>
      <c r="AD692" t="s">
        <v>4</v>
      </c>
      <c r="AE692">
        <v>99</v>
      </c>
      <c r="AF692">
        <v>1</v>
      </c>
      <c r="AH692" t="s">
        <v>841</v>
      </c>
      <c r="AI692" t="s">
        <v>840</v>
      </c>
      <c r="AK692" t="s">
        <v>839</v>
      </c>
      <c r="AL692">
        <v>1</v>
      </c>
      <c r="AM692" s="5">
        <f t="shared" si="90"/>
        <v>2.8571428571428571E-2</v>
      </c>
      <c r="AN692" s="4">
        <f t="shared" si="87"/>
        <v>4.32736517552875E-5</v>
      </c>
      <c r="AO692" s="3"/>
      <c r="AP692">
        <v>0</v>
      </c>
      <c r="AR692" t="s">
        <v>0</v>
      </c>
      <c r="AT692" s="2">
        <v>0.24299999999999999</v>
      </c>
      <c r="AU692" s="1">
        <f t="shared" si="91"/>
        <v>0.27972110269485984</v>
      </c>
      <c r="AV692" s="1">
        <f t="shared" si="92"/>
        <v>0.20103717768933668</v>
      </c>
      <c r="AW692" s="1">
        <f t="shared" si="93"/>
        <v>0.1223532526838135</v>
      </c>
    </row>
    <row r="693" spans="1:49" x14ac:dyDescent="0.2">
      <c r="A693">
        <v>691</v>
      </c>
      <c r="B693" t="s">
        <v>838</v>
      </c>
      <c r="C693" t="s">
        <v>837</v>
      </c>
      <c r="F693" t="s">
        <v>836</v>
      </c>
      <c r="G693" t="s">
        <v>14</v>
      </c>
      <c r="H693" t="s">
        <v>13</v>
      </c>
      <c r="I693" t="s">
        <v>835</v>
      </c>
      <c r="N693">
        <v>1</v>
      </c>
      <c r="O693" t="s">
        <v>834</v>
      </c>
      <c r="P693">
        <v>57193752819</v>
      </c>
      <c r="R693" s="7">
        <v>31778</v>
      </c>
      <c r="S693" s="8">
        <f t="shared" si="88"/>
        <v>1987</v>
      </c>
      <c r="T693" s="8">
        <v>1987</v>
      </c>
      <c r="U693" s="8">
        <f t="shared" si="89"/>
        <v>35</v>
      </c>
      <c r="V693" s="7" t="s">
        <v>597</v>
      </c>
      <c r="W693" t="s">
        <v>472</v>
      </c>
      <c r="X693" s="2">
        <v>0.371</v>
      </c>
      <c r="Y693" s="6">
        <f t="shared" si="86"/>
        <v>9.9036331117695747E-3</v>
      </c>
      <c r="AA693">
        <v>486604</v>
      </c>
      <c r="AB693">
        <v>28580</v>
      </c>
      <c r="AC693" t="s">
        <v>471</v>
      </c>
      <c r="AD693" t="s">
        <v>4</v>
      </c>
      <c r="AE693">
        <v>22</v>
      </c>
      <c r="AF693">
        <v>1</v>
      </c>
      <c r="AH693" t="s">
        <v>833</v>
      </c>
      <c r="AI693" t="s">
        <v>832</v>
      </c>
      <c r="AK693" t="s">
        <v>831</v>
      </c>
      <c r="AL693">
        <v>5</v>
      </c>
      <c r="AM693" s="5">
        <f t="shared" si="90"/>
        <v>0.14285714285714285</v>
      </c>
      <c r="AN693" s="4">
        <f t="shared" si="87"/>
        <v>2.1636825877643749E-4</v>
      </c>
      <c r="AO693" s="3"/>
      <c r="AP693">
        <v>0</v>
      </c>
      <c r="AR693" t="s">
        <v>0</v>
      </c>
      <c r="AT693" s="2">
        <v>1.431</v>
      </c>
      <c r="AU693" s="1">
        <f t="shared" si="91"/>
        <v>0.69974536558716327</v>
      </c>
      <c r="AV693" s="1">
        <f t="shared" si="92"/>
        <v>0.50600006852730062</v>
      </c>
      <c r="AW693" s="1">
        <f t="shared" si="93"/>
        <v>0.31225477146743785</v>
      </c>
    </row>
    <row r="694" spans="1:49" x14ac:dyDescent="0.2">
      <c r="A694">
        <v>692</v>
      </c>
      <c r="B694" t="s">
        <v>830</v>
      </c>
      <c r="F694" t="s">
        <v>829</v>
      </c>
      <c r="G694" t="s">
        <v>14</v>
      </c>
      <c r="H694" t="s">
        <v>13</v>
      </c>
      <c r="I694" t="s">
        <v>828</v>
      </c>
      <c r="N694">
        <v>1</v>
      </c>
      <c r="O694" t="s">
        <v>827</v>
      </c>
      <c r="P694">
        <v>6603214486</v>
      </c>
      <c r="R694" s="7">
        <v>31778</v>
      </c>
      <c r="S694" s="8">
        <f t="shared" si="88"/>
        <v>1987</v>
      </c>
      <c r="T694" s="8">
        <v>1987</v>
      </c>
      <c r="U694" s="8">
        <f t="shared" si="89"/>
        <v>35</v>
      </c>
      <c r="V694" s="7">
        <v>31778</v>
      </c>
      <c r="W694" t="s">
        <v>826</v>
      </c>
      <c r="X694" s="2">
        <v>0.10100000000000001</v>
      </c>
      <c r="Y694" s="6">
        <f t="shared" si="86"/>
        <v>2.6961373161421215E-3</v>
      </c>
      <c r="AA694">
        <v>7452993</v>
      </c>
      <c r="AB694">
        <v>18563</v>
      </c>
      <c r="AD694" t="s">
        <v>4</v>
      </c>
      <c r="AE694">
        <v>26</v>
      </c>
      <c r="AF694">
        <v>1</v>
      </c>
      <c r="AH694" t="s">
        <v>825</v>
      </c>
      <c r="AI694" t="s">
        <v>824</v>
      </c>
      <c r="AK694" t="s">
        <v>823</v>
      </c>
      <c r="AL694">
        <v>0</v>
      </c>
      <c r="AM694" s="5">
        <f t="shared" si="90"/>
        <v>0</v>
      </c>
      <c r="AN694" s="4">
        <f t="shared" si="87"/>
        <v>0</v>
      </c>
      <c r="AO694" s="3"/>
      <c r="AP694">
        <v>0</v>
      </c>
      <c r="AR694" t="s">
        <v>0</v>
      </c>
      <c r="AT694" s="2" t="s">
        <v>32</v>
      </c>
      <c r="AU694" s="1">
        <f t="shared" si="91"/>
        <v>0.18872961212994849</v>
      </c>
      <c r="AV694" s="1">
        <f t="shared" si="92"/>
        <v>0.13480686580710607</v>
      </c>
      <c r="AW694" s="1">
        <f t="shared" si="93"/>
        <v>8.0884119484263647E-2</v>
      </c>
    </row>
    <row r="695" spans="1:49" x14ac:dyDescent="0.2">
      <c r="A695">
        <v>693</v>
      </c>
      <c r="B695" t="s">
        <v>822</v>
      </c>
      <c r="F695" t="s">
        <v>821</v>
      </c>
      <c r="G695" t="s">
        <v>14</v>
      </c>
      <c r="H695" t="s">
        <v>13</v>
      </c>
      <c r="I695" t="s">
        <v>820</v>
      </c>
      <c r="J695">
        <v>60015623</v>
      </c>
      <c r="K695" t="s">
        <v>819</v>
      </c>
      <c r="L695" t="s">
        <v>818</v>
      </c>
      <c r="M695" t="s">
        <v>9</v>
      </c>
      <c r="N695">
        <v>3</v>
      </c>
      <c r="O695" t="s">
        <v>817</v>
      </c>
      <c r="P695" t="s">
        <v>816</v>
      </c>
      <c r="Q695" t="s">
        <v>815</v>
      </c>
      <c r="R695" s="7">
        <v>31778</v>
      </c>
      <c r="S695" s="8">
        <f t="shared" si="88"/>
        <v>1987</v>
      </c>
      <c r="T695" s="8">
        <v>1987</v>
      </c>
      <c r="U695" s="8">
        <f t="shared" si="89"/>
        <v>35</v>
      </c>
      <c r="V695" s="7">
        <v>31778</v>
      </c>
      <c r="W695" t="s">
        <v>629</v>
      </c>
      <c r="X695" s="2" t="s">
        <v>32</v>
      </c>
      <c r="Y695" s="6" t="e">
        <f t="shared" si="86"/>
        <v>#VALUE!</v>
      </c>
      <c r="AA695">
        <v>262897</v>
      </c>
      <c r="AB695">
        <v>18580</v>
      </c>
      <c r="AD695" t="s">
        <v>4</v>
      </c>
      <c r="AE695">
        <v>30</v>
      </c>
      <c r="AF695">
        <v>1</v>
      </c>
      <c r="AI695" t="s">
        <v>814</v>
      </c>
      <c r="AK695" t="s">
        <v>813</v>
      </c>
      <c r="AL695">
        <v>12</v>
      </c>
      <c r="AM695" s="5">
        <f t="shared" si="90"/>
        <v>0.34285714285714286</v>
      </c>
      <c r="AN695" s="4">
        <f t="shared" si="87"/>
        <v>5.1928382106345003E-4</v>
      </c>
      <c r="AO695" s="3"/>
      <c r="AP695">
        <v>0</v>
      </c>
      <c r="AR695" t="s">
        <v>0</v>
      </c>
      <c r="AT695" s="2">
        <v>0.30599999999999999</v>
      </c>
      <c r="AU695" s="1" t="e">
        <f t="shared" si="91"/>
        <v>#VALUE!</v>
      </c>
      <c r="AV695" s="1" t="e">
        <f t="shared" si="92"/>
        <v>#VALUE!</v>
      </c>
      <c r="AW695" s="1" t="e">
        <f t="shared" si="93"/>
        <v>#VALUE!</v>
      </c>
    </row>
    <row r="696" spans="1:49" x14ac:dyDescent="0.2">
      <c r="A696">
        <v>694</v>
      </c>
      <c r="B696" t="s">
        <v>812</v>
      </c>
      <c r="C696" t="s">
        <v>811</v>
      </c>
      <c r="F696" t="s">
        <v>810</v>
      </c>
      <c r="G696" t="s">
        <v>14</v>
      </c>
      <c r="H696" t="s">
        <v>13</v>
      </c>
      <c r="I696" t="s">
        <v>809</v>
      </c>
      <c r="J696" t="s">
        <v>808</v>
      </c>
      <c r="K696" t="s">
        <v>807</v>
      </c>
      <c r="L696" t="s">
        <v>806</v>
      </c>
      <c r="M696" t="s">
        <v>805</v>
      </c>
      <c r="N696">
        <v>2</v>
      </c>
      <c r="O696" t="s">
        <v>804</v>
      </c>
      <c r="P696" t="s">
        <v>803</v>
      </c>
      <c r="Q696" t="s">
        <v>802</v>
      </c>
      <c r="R696" s="7">
        <v>31778</v>
      </c>
      <c r="S696" s="8">
        <f t="shared" si="88"/>
        <v>1987</v>
      </c>
      <c r="T696" s="8">
        <v>1987</v>
      </c>
      <c r="U696" s="8">
        <f t="shared" si="89"/>
        <v>35</v>
      </c>
      <c r="V696" s="7">
        <v>31778</v>
      </c>
      <c r="W696" t="s">
        <v>136</v>
      </c>
      <c r="X696" s="2">
        <v>0.8</v>
      </c>
      <c r="Y696" s="6">
        <f t="shared" si="86"/>
        <v>2.1355543098155415E-2</v>
      </c>
      <c r="AA696">
        <v>3407594</v>
      </c>
      <c r="AB696">
        <v>23456</v>
      </c>
      <c r="AC696">
        <v>14321351</v>
      </c>
      <c r="AD696" t="s">
        <v>4</v>
      </c>
      <c r="AE696">
        <v>160</v>
      </c>
      <c r="AF696">
        <v>1</v>
      </c>
      <c r="AH696" t="s">
        <v>801</v>
      </c>
      <c r="AI696" t="s">
        <v>800</v>
      </c>
      <c r="AK696" t="s">
        <v>799</v>
      </c>
      <c r="AL696">
        <v>20</v>
      </c>
      <c r="AM696" s="5">
        <f t="shared" si="90"/>
        <v>0.5714285714285714</v>
      </c>
      <c r="AN696" s="4">
        <f t="shared" si="87"/>
        <v>8.6547303510574997E-4</v>
      </c>
      <c r="AO696" s="3"/>
      <c r="AP696">
        <v>0</v>
      </c>
      <c r="AR696" t="s">
        <v>0</v>
      </c>
      <c r="AT696" s="2" t="s">
        <v>32</v>
      </c>
      <c r="AU696" s="1">
        <f t="shared" si="91"/>
        <v>1.5208522079240514</v>
      </c>
      <c r="AV696" s="1">
        <f t="shared" si="92"/>
        <v>1.1110508066630582</v>
      </c>
      <c r="AW696" s="1">
        <f t="shared" si="93"/>
        <v>0.70124940540206493</v>
      </c>
    </row>
    <row r="697" spans="1:49" x14ac:dyDescent="0.2">
      <c r="A697">
        <v>695</v>
      </c>
      <c r="B697" t="s">
        <v>798</v>
      </c>
      <c r="C697" t="s">
        <v>797</v>
      </c>
      <c r="F697" t="s">
        <v>796</v>
      </c>
      <c r="G697" t="s">
        <v>14</v>
      </c>
      <c r="H697" t="s">
        <v>13</v>
      </c>
      <c r="I697" t="s">
        <v>795</v>
      </c>
      <c r="J697">
        <v>60015331</v>
      </c>
      <c r="K697" t="s">
        <v>794</v>
      </c>
      <c r="L697" t="s">
        <v>793</v>
      </c>
      <c r="M697" t="s">
        <v>792</v>
      </c>
      <c r="N697">
        <v>3</v>
      </c>
      <c r="O697" t="s">
        <v>791</v>
      </c>
      <c r="P697" t="s">
        <v>790</v>
      </c>
      <c r="Q697" t="s">
        <v>789</v>
      </c>
      <c r="R697" s="7">
        <v>31778</v>
      </c>
      <c r="S697" s="8">
        <f t="shared" si="88"/>
        <v>1987</v>
      </c>
      <c r="T697" s="8">
        <v>1987</v>
      </c>
      <c r="U697" s="8">
        <f t="shared" si="89"/>
        <v>35</v>
      </c>
      <c r="V697" s="7">
        <v>31778</v>
      </c>
      <c r="W697" t="s">
        <v>788</v>
      </c>
      <c r="X697" s="2" t="s">
        <v>32</v>
      </c>
      <c r="Y697" s="6" t="e">
        <f t="shared" si="86"/>
        <v>#VALUE!</v>
      </c>
      <c r="AA697">
        <v>39039</v>
      </c>
      <c r="AB697">
        <v>31407</v>
      </c>
      <c r="AC697">
        <v>14320487</v>
      </c>
      <c r="AD697" t="s">
        <v>4</v>
      </c>
      <c r="AE697">
        <v>70</v>
      </c>
      <c r="AF697">
        <v>1</v>
      </c>
      <c r="AH697" t="s">
        <v>787</v>
      </c>
      <c r="AI697" t="s">
        <v>786</v>
      </c>
      <c r="AK697" t="s">
        <v>785</v>
      </c>
      <c r="AL697">
        <v>0</v>
      </c>
      <c r="AM697" s="5">
        <f t="shared" si="90"/>
        <v>0</v>
      </c>
      <c r="AN697" s="4">
        <f t="shared" si="87"/>
        <v>0</v>
      </c>
      <c r="AO697" s="3"/>
      <c r="AP697">
        <v>0</v>
      </c>
      <c r="AR697" t="s">
        <v>0</v>
      </c>
      <c r="AT697" s="2" t="s">
        <v>32</v>
      </c>
      <c r="AU697" s="1" t="e">
        <f t="shared" si="91"/>
        <v>#VALUE!</v>
      </c>
      <c r="AV697" s="1" t="e">
        <f t="shared" si="92"/>
        <v>#VALUE!</v>
      </c>
      <c r="AW697" s="1" t="e">
        <f t="shared" si="93"/>
        <v>#VALUE!</v>
      </c>
    </row>
    <row r="698" spans="1:49" x14ac:dyDescent="0.2">
      <c r="A698">
        <v>696</v>
      </c>
      <c r="B698" t="s">
        <v>784</v>
      </c>
      <c r="C698" t="s">
        <v>783</v>
      </c>
      <c r="F698" t="s">
        <v>782</v>
      </c>
      <c r="G698" t="s">
        <v>14</v>
      </c>
      <c r="H698" t="s">
        <v>13</v>
      </c>
      <c r="I698" t="s">
        <v>781</v>
      </c>
      <c r="J698">
        <v>120569393</v>
      </c>
      <c r="K698" t="s">
        <v>780</v>
      </c>
      <c r="L698" t="s">
        <v>779</v>
      </c>
      <c r="M698" t="s">
        <v>586</v>
      </c>
      <c r="N698">
        <v>4</v>
      </c>
      <c r="O698" t="s">
        <v>778</v>
      </c>
      <c r="P698" t="s">
        <v>777</v>
      </c>
      <c r="Q698" t="s">
        <v>776</v>
      </c>
      <c r="R698" s="7">
        <v>31778</v>
      </c>
      <c r="S698" s="8">
        <f t="shared" si="88"/>
        <v>1987</v>
      </c>
      <c r="T698" s="8">
        <v>1987</v>
      </c>
      <c r="U698" s="8">
        <f t="shared" si="89"/>
        <v>35</v>
      </c>
      <c r="V698" s="7" t="s">
        <v>584</v>
      </c>
      <c r="W698" t="s">
        <v>775</v>
      </c>
      <c r="X698" s="2" t="s">
        <v>32</v>
      </c>
      <c r="Y698" s="6" t="e">
        <f t="shared" si="86"/>
        <v>#VALUE!</v>
      </c>
      <c r="AA698">
        <v>7481896</v>
      </c>
      <c r="AB698">
        <v>78193</v>
      </c>
      <c r="AD698" t="s">
        <v>4</v>
      </c>
      <c r="AE698">
        <v>11</v>
      </c>
      <c r="AF698">
        <v>1</v>
      </c>
      <c r="AH698" t="s">
        <v>774</v>
      </c>
      <c r="AI698" t="s">
        <v>773</v>
      </c>
      <c r="AK698" t="s">
        <v>772</v>
      </c>
      <c r="AL698">
        <v>26</v>
      </c>
      <c r="AM698" s="5">
        <f t="shared" si="90"/>
        <v>0.74285714285714288</v>
      </c>
      <c r="AN698" s="4">
        <f t="shared" si="87"/>
        <v>1.125114945637475E-3</v>
      </c>
      <c r="AO698" s="3"/>
      <c r="AP698">
        <v>0</v>
      </c>
      <c r="AR698" t="s">
        <v>0</v>
      </c>
      <c r="AT698" s="2" t="s">
        <v>32</v>
      </c>
      <c r="AU698" s="1" t="e">
        <f t="shared" si="91"/>
        <v>#VALUE!</v>
      </c>
      <c r="AV698" s="1" t="e">
        <f t="shared" si="92"/>
        <v>#VALUE!</v>
      </c>
      <c r="AW698" s="1" t="e">
        <f t="shared" si="93"/>
        <v>#VALUE!</v>
      </c>
    </row>
    <row r="699" spans="1:49" x14ac:dyDescent="0.2">
      <c r="A699">
        <v>697</v>
      </c>
      <c r="B699" t="s">
        <v>771</v>
      </c>
      <c r="F699" t="s">
        <v>770</v>
      </c>
      <c r="G699" t="s">
        <v>14</v>
      </c>
      <c r="H699" t="s">
        <v>13</v>
      </c>
      <c r="I699" t="s">
        <v>769</v>
      </c>
      <c r="J699">
        <v>60032083</v>
      </c>
      <c r="K699" t="s">
        <v>324</v>
      </c>
      <c r="L699" t="s">
        <v>323</v>
      </c>
      <c r="M699" t="s">
        <v>9</v>
      </c>
      <c r="N699">
        <v>1</v>
      </c>
      <c r="O699" t="s">
        <v>768</v>
      </c>
      <c r="P699">
        <v>35569192400</v>
      </c>
      <c r="Q699">
        <v>60032083</v>
      </c>
      <c r="R699" s="7">
        <v>31778</v>
      </c>
      <c r="S699" s="8">
        <f t="shared" si="88"/>
        <v>1987</v>
      </c>
      <c r="T699" s="8">
        <v>1987</v>
      </c>
      <c r="U699" s="8">
        <f t="shared" si="89"/>
        <v>35</v>
      </c>
      <c r="V699" s="7">
        <v>31778</v>
      </c>
      <c r="W699" t="s">
        <v>767</v>
      </c>
      <c r="X699" s="2" t="s">
        <v>32</v>
      </c>
      <c r="Y699" s="6" t="e">
        <f t="shared" si="86"/>
        <v>#VALUE!</v>
      </c>
      <c r="AA699">
        <v>2547821</v>
      </c>
      <c r="AB699">
        <v>13084</v>
      </c>
      <c r="AD699" t="s">
        <v>4</v>
      </c>
      <c r="AE699">
        <v>6</v>
      </c>
      <c r="AF699">
        <v>1</v>
      </c>
      <c r="AH699" s="9">
        <v>44287</v>
      </c>
      <c r="AI699" t="s">
        <v>766</v>
      </c>
      <c r="AK699" t="s">
        <v>765</v>
      </c>
      <c r="AL699">
        <v>0</v>
      </c>
      <c r="AM699" s="5">
        <f t="shared" si="90"/>
        <v>0</v>
      </c>
      <c r="AN699" s="4">
        <f t="shared" si="87"/>
        <v>0</v>
      </c>
      <c r="AO699" s="3"/>
      <c r="AP699">
        <v>0</v>
      </c>
      <c r="AR699" t="s">
        <v>0</v>
      </c>
      <c r="AT699" s="2" t="s">
        <v>32</v>
      </c>
      <c r="AU699" s="1" t="e">
        <f t="shared" si="91"/>
        <v>#VALUE!</v>
      </c>
      <c r="AV699" s="1" t="e">
        <f t="shared" si="92"/>
        <v>#VALUE!</v>
      </c>
      <c r="AW699" s="1" t="e">
        <f t="shared" si="93"/>
        <v>#VALUE!</v>
      </c>
    </row>
    <row r="700" spans="1:49" x14ac:dyDescent="0.2">
      <c r="A700">
        <v>698</v>
      </c>
      <c r="B700" t="s">
        <v>764</v>
      </c>
      <c r="F700" t="s">
        <v>763</v>
      </c>
      <c r="G700" t="s">
        <v>14</v>
      </c>
      <c r="H700" t="s">
        <v>13</v>
      </c>
      <c r="I700" t="s">
        <v>762</v>
      </c>
      <c r="J700">
        <v>60027271</v>
      </c>
      <c r="K700" t="s">
        <v>761</v>
      </c>
      <c r="L700" t="s">
        <v>511</v>
      </c>
      <c r="M700" t="s">
        <v>9</v>
      </c>
      <c r="N700">
        <v>1</v>
      </c>
      <c r="O700" t="s">
        <v>760</v>
      </c>
      <c r="P700">
        <v>57225782270</v>
      </c>
      <c r="Q700">
        <v>60027271</v>
      </c>
      <c r="R700" s="7">
        <v>31778</v>
      </c>
      <c r="S700" s="8">
        <f t="shared" si="88"/>
        <v>1987</v>
      </c>
      <c r="T700" s="8">
        <v>1987</v>
      </c>
      <c r="U700" s="8">
        <f t="shared" si="89"/>
        <v>35</v>
      </c>
      <c r="V700" s="7">
        <v>31778</v>
      </c>
      <c r="W700" t="s">
        <v>629</v>
      </c>
      <c r="X700" s="2" t="s">
        <v>32</v>
      </c>
      <c r="Y700" s="6" t="e">
        <f t="shared" si="86"/>
        <v>#VALUE!</v>
      </c>
      <c r="AA700">
        <v>262897</v>
      </c>
      <c r="AB700">
        <v>18580</v>
      </c>
      <c r="AD700" t="s">
        <v>4</v>
      </c>
      <c r="AE700">
        <v>30</v>
      </c>
      <c r="AF700">
        <v>1</v>
      </c>
      <c r="AH700" t="s">
        <v>759</v>
      </c>
      <c r="AI700" t="s">
        <v>758</v>
      </c>
      <c r="AK700" t="s">
        <v>757</v>
      </c>
      <c r="AL700">
        <v>1</v>
      </c>
      <c r="AM700" s="5">
        <f t="shared" si="90"/>
        <v>2.8571428571428571E-2</v>
      </c>
      <c r="AN700" s="4">
        <f t="shared" si="87"/>
        <v>4.32736517552875E-5</v>
      </c>
      <c r="AO700" s="3"/>
      <c r="AP700">
        <v>0</v>
      </c>
      <c r="AR700" t="s">
        <v>0</v>
      </c>
      <c r="AT700" s="2">
        <v>0.30599999999999999</v>
      </c>
      <c r="AU700" s="1" t="e">
        <f t="shared" si="91"/>
        <v>#VALUE!</v>
      </c>
      <c r="AV700" s="1" t="e">
        <f t="shared" si="92"/>
        <v>#VALUE!</v>
      </c>
      <c r="AW700" s="1" t="e">
        <f t="shared" si="93"/>
        <v>#VALUE!</v>
      </c>
    </row>
    <row r="701" spans="1:49" x14ac:dyDescent="0.2">
      <c r="A701">
        <v>699</v>
      </c>
      <c r="B701" t="s">
        <v>756</v>
      </c>
      <c r="C701" t="s">
        <v>755</v>
      </c>
      <c r="E701">
        <v>3559297</v>
      </c>
      <c r="F701" t="s">
        <v>754</v>
      </c>
      <c r="G701" t="s">
        <v>14</v>
      </c>
      <c r="H701" t="s">
        <v>13</v>
      </c>
      <c r="I701" t="s">
        <v>753</v>
      </c>
      <c r="J701">
        <v>60027561</v>
      </c>
      <c r="K701" t="s">
        <v>341</v>
      </c>
      <c r="L701" t="s">
        <v>340</v>
      </c>
      <c r="M701" t="s">
        <v>9</v>
      </c>
      <c r="N701">
        <v>2</v>
      </c>
      <c r="O701" t="s">
        <v>752</v>
      </c>
      <c r="P701" t="s">
        <v>751</v>
      </c>
      <c r="Q701" t="s">
        <v>337</v>
      </c>
      <c r="R701" s="7">
        <v>31778</v>
      </c>
      <c r="S701" s="8">
        <f t="shared" si="88"/>
        <v>1987</v>
      </c>
      <c r="T701" s="8">
        <v>1987</v>
      </c>
      <c r="U701" s="8">
        <f t="shared" si="89"/>
        <v>35</v>
      </c>
      <c r="V701" s="7">
        <v>1987</v>
      </c>
      <c r="W701" t="s">
        <v>750</v>
      </c>
      <c r="X701" s="2">
        <v>0.89600000000000002</v>
      </c>
      <c r="Y701" s="6">
        <f t="shared" si="86"/>
        <v>2.3918208269934065E-2</v>
      </c>
      <c r="AA701">
        <v>2656736</v>
      </c>
      <c r="AB701">
        <v>29901</v>
      </c>
      <c r="AD701" t="s">
        <v>4</v>
      </c>
      <c r="AE701">
        <v>3</v>
      </c>
      <c r="AF701">
        <v>1</v>
      </c>
      <c r="AH701" t="s">
        <v>749</v>
      </c>
      <c r="AI701" t="s">
        <v>748</v>
      </c>
      <c r="AK701" t="s">
        <v>747</v>
      </c>
      <c r="AL701">
        <v>73</v>
      </c>
      <c r="AM701" s="5">
        <f t="shared" si="90"/>
        <v>2.0857142857142859</v>
      </c>
      <c r="AN701" s="4">
        <f t="shared" si="87"/>
        <v>3.1589765781359878E-3</v>
      </c>
      <c r="AO701" s="3"/>
      <c r="AP701">
        <v>0</v>
      </c>
      <c r="AQ701" t="s">
        <v>746</v>
      </c>
      <c r="AR701" t="s">
        <v>0</v>
      </c>
      <c r="AS701" t="s">
        <v>745</v>
      </c>
      <c r="AT701" s="2">
        <v>3.9140000000000001</v>
      </c>
      <c r="AU701" s="1">
        <f t="shared" si="91"/>
        <v>1.769043876239464</v>
      </c>
      <c r="AV701" s="1">
        <f t="shared" si="92"/>
        <v>1.3538592424035025</v>
      </c>
      <c r="AW701" s="1">
        <f t="shared" si="93"/>
        <v>0.93867460856754092</v>
      </c>
    </row>
    <row r="702" spans="1:49" x14ac:dyDescent="0.2">
      <c r="A702">
        <v>700</v>
      </c>
      <c r="B702" t="s">
        <v>744</v>
      </c>
      <c r="F702" t="s">
        <v>743</v>
      </c>
      <c r="G702" t="s">
        <v>14</v>
      </c>
      <c r="H702" t="s">
        <v>13</v>
      </c>
      <c r="I702" t="s">
        <v>742</v>
      </c>
      <c r="J702">
        <v>60005304</v>
      </c>
      <c r="K702" t="s">
        <v>664</v>
      </c>
      <c r="L702" t="s">
        <v>663</v>
      </c>
      <c r="M702" t="s">
        <v>9</v>
      </c>
      <c r="N702">
        <v>2</v>
      </c>
      <c r="O702" t="s">
        <v>741</v>
      </c>
      <c r="P702" t="s">
        <v>740</v>
      </c>
      <c r="Q702" t="s">
        <v>739</v>
      </c>
      <c r="R702" s="7">
        <v>31778</v>
      </c>
      <c r="S702" s="8">
        <f t="shared" si="88"/>
        <v>1987</v>
      </c>
      <c r="T702" s="8">
        <v>1987</v>
      </c>
      <c r="U702" s="8">
        <f t="shared" si="89"/>
        <v>35</v>
      </c>
      <c r="V702" s="7">
        <v>31778</v>
      </c>
      <c r="W702" t="s">
        <v>629</v>
      </c>
      <c r="X702" s="2" t="s">
        <v>32</v>
      </c>
      <c r="Y702" s="6" t="e">
        <f t="shared" si="86"/>
        <v>#VALUE!</v>
      </c>
      <c r="AA702">
        <v>262897</v>
      </c>
      <c r="AB702">
        <v>18580</v>
      </c>
      <c r="AD702" t="s">
        <v>4</v>
      </c>
      <c r="AE702">
        <v>30</v>
      </c>
      <c r="AF702">
        <v>1</v>
      </c>
      <c r="AH702" t="s">
        <v>738</v>
      </c>
      <c r="AI702" t="s">
        <v>737</v>
      </c>
      <c r="AK702" t="s">
        <v>736</v>
      </c>
      <c r="AL702">
        <v>3</v>
      </c>
      <c r="AM702" s="5">
        <f t="shared" si="90"/>
        <v>8.5714285714285715E-2</v>
      </c>
      <c r="AN702" s="4">
        <f t="shared" si="87"/>
        <v>1.2982095526586251E-4</v>
      </c>
      <c r="AO702" s="3"/>
      <c r="AP702">
        <v>0</v>
      </c>
      <c r="AR702" t="s">
        <v>0</v>
      </c>
      <c r="AT702" s="2">
        <v>0.30599999999999999</v>
      </c>
      <c r="AU702" s="1" t="e">
        <f t="shared" si="91"/>
        <v>#VALUE!</v>
      </c>
      <c r="AV702" s="1" t="e">
        <f t="shared" si="92"/>
        <v>#VALUE!</v>
      </c>
      <c r="AW702" s="1" t="e">
        <f t="shared" si="93"/>
        <v>#VALUE!</v>
      </c>
    </row>
    <row r="703" spans="1:49" x14ac:dyDescent="0.2">
      <c r="A703">
        <v>701</v>
      </c>
      <c r="B703" t="s">
        <v>735</v>
      </c>
      <c r="C703" t="s">
        <v>734</v>
      </c>
      <c r="E703">
        <v>3821869</v>
      </c>
      <c r="F703" t="s">
        <v>733</v>
      </c>
      <c r="G703" t="s">
        <v>14</v>
      </c>
      <c r="H703" t="s">
        <v>13</v>
      </c>
      <c r="I703" t="s">
        <v>732</v>
      </c>
      <c r="J703">
        <v>60015184</v>
      </c>
      <c r="K703" t="s">
        <v>731</v>
      </c>
      <c r="L703" t="s">
        <v>730</v>
      </c>
      <c r="M703" t="s">
        <v>729</v>
      </c>
      <c r="N703">
        <v>3</v>
      </c>
      <c r="O703" t="s">
        <v>728</v>
      </c>
      <c r="P703" t="s">
        <v>727</v>
      </c>
      <c r="Q703" t="s">
        <v>726</v>
      </c>
      <c r="R703" s="7">
        <v>31778</v>
      </c>
      <c r="S703" s="8">
        <f t="shared" si="88"/>
        <v>1987</v>
      </c>
      <c r="T703" s="8">
        <v>1987</v>
      </c>
      <c r="U703" s="8">
        <f t="shared" si="89"/>
        <v>35</v>
      </c>
      <c r="V703" s="7">
        <v>1987</v>
      </c>
      <c r="W703" t="s">
        <v>5</v>
      </c>
      <c r="X703" s="2">
        <v>15.993</v>
      </c>
      <c r="Y703" s="6">
        <f t="shared" si="86"/>
        <v>0.42692400096099947</v>
      </c>
      <c r="AA703">
        <v>280836</v>
      </c>
      <c r="AB703">
        <v>21206</v>
      </c>
      <c r="AD703" t="s">
        <v>4</v>
      </c>
      <c r="AE703">
        <v>325</v>
      </c>
      <c r="AF703">
        <v>6107</v>
      </c>
      <c r="AH703" t="s">
        <v>725</v>
      </c>
      <c r="AI703" t="s">
        <v>724</v>
      </c>
      <c r="AK703" t="s">
        <v>723</v>
      </c>
      <c r="AL703">
        <v>274</v>
      </c>
      <c r="AM703" s="5">
        <f t="shared" si="90"/>
        <v>7.8285714285714283</v>
      </c>
      <c r="AN703" s="4">
        <f t="shared" si="87"/>
        <v>1.1856980580948775E-2</v>
      </c>
      <c r="AO703" s="3"/>
      <c r="AP703">
        <v>0</v>
      </c>
      <c r="AR703" t="s">
        <v>0</v>
      </c>
      <c r="AT703" s="2">
        <v>49.962000000000003</v>
      </c>
      <c r="AU703" s="1">
        <f t="shared" si="91"/>
        <v>30.240389484698422</v>
      </c>
      <c r="AV703" s="1">
        <f t="shared" si="92"/>
        <v>21.939049077097412</v>
      </c>
      <c r="AW703" s="1">
        <f t="shared" si="93"/>
        <v>13.637708669496398</v>
      </c>
    </row>
    <row r="704" spans="1:49" x14ac:dyDescent="0.2">
      <c r="A704">
        <v>702</v>
      </c>
      <c r="B704" t="s">
        <v>722</v>
      </c>
      <c r="C704" t="s">
        <v>721</v>
      </c>
      <c r="D704">
        <v>90301987900310</v>
      </c>
      <c r="E704">
        <v>2433780</v>
      </c>
      <c r="F704" t="s">
        <v>720</v>
      </c>
      <c r="G704" t="s">
        <v>14</v>
      </c>
      <c r="H704" t="s">
        <v>13</v>
      </c>
      <c r="I704" t="s">
        <v>719</v>
      </c>
      <c r="J704">
        <v>60016849</v>
      </c>
      <c r="K704" t="s">
        <v>718</v>
      </c>
      <c r="L704" t="s">
        <v>717</v>
      </c>
      <c r="M704" t="s">
        <v>685</v>
      </c>
      <c r="N704">
        <v>3</v>
      </c>
      <c r="O704" t="s">
        <v>716</v>
      </c>
      <c r="P704" t="s">
        <v>715</v>
      </c>
      <c r="Q704" t="s">
        <v>714</v>
      </c>
      <c r="R704" s="7">
        <v>31778</v>
      </c>
      <c r="S704" s="8">
        <f t="shared" si="88"/>
        <v>1987</v>
      </c>
      <c r="T704" s="8">
        <v>1987</v>
      </c>
      <c r="U704" s="8">
        <f t="shared" si="89"/>
        <v>35</v>
      </c>
      <c r="V704" s="7">
        <v>31837</v>
      </c>
      <c r="W704" t="s">
        <v>713</v>
      </c>
      <c r="X704" s="2" t="s">
        <v>32</v>
      </c>
      <c r="Y704" s="6" t="e">
        <f t="shared" si="86"/>
        <v>#VALUE!</v>
      </c>
      <c r="AA704">
        <v>903019</v>
      </c>
      <c r="AB704">
        <v>19199</v>
      </c>
      <c r="AD704" t="s">
        <v>4</v>
      </c>
      <c r="AE704">
        <v>27</v>
      </c>
      <c r="AF704">
        <v>3</v>
      </c>
      <c r="AH704" t="s">
        <v>712</v>
      </c>
      <c r="AI704" t="s">
        <v>711</v>
      </c>
      <c r="AJ704" t="s">
        <v>710</v>
      </c>
      <c r="AK704" t="s">
        <v>709</v>
      </c>
      <c r="AL704">
        <v>92</v>
      </c>
      <c r="AM704" s="5">
        <f t="shared" si="90"/>
        <v>2.6285714285714286</v>
      </c>
      <c r="AN704" s="4">
        <f t="shared" si="87"/>
        <v>3.9811759614864503E-3</v>
      </c>
      <c r="AO704" s="3"/>
      <c r="AP704">
        <v>0</v>
      </c>
      <c r="AQ704" t="s">
        <v>708</v>
      </c>
      <c r="AR704" t="s">
        <v>707</v>
      </c>
      <c r="AS704" t="s">
        <v>706</v>
      </c>
      <c r="AT704" s="2" t="s">
        <v>32</v>
      </c>
      <c r="AU704" s="1" t="e">
        <f t="shared" si="91"/>
        <v>#VALUE!</v>
      </c>
      <c r="AV704" s="1" t="e">
        <f t="shared" si="92"/>
        <v>#VALUE!</v>
      </c>
      <c r="AW704" s="1" t="e">
        <f t="shared" si="93"/>
        <v>#VALUE!</v>
      </c>
    </row>
    <row r="705" spans="1:49" x14ac:dyDescent="0.2">
      <c r="A705">
        <v>703</v>
      </c>
      <c r="B705" t="s">
        <v>705</v>
      </c>
      <c r="C705" t="s">
        <v>704</v>
      </c>
      <c r="F705" t="s">
        <v>703</v>
      </c>
      <c r="G705" t="s">
        <v>14</v>
      </c>
      <c r="H705" t="s">
        <v>13</v>
      </c>
      <c r="I705" t="s">
        <v>702</v>
      </c>
      <c r="J705" t="s">
        <v>701</v>
      </c>
      <c r="K705" t="s">
        <v>700</v>
      </c>
      <c r="L705" t="s">
        <v>699</v>
      </c>
      <c r="M705" t="s">
        <v>55</v>
      </c>
      <c r="N705">
        <v>4</v>
      </c>
      <c r="O705" t="s">
        <v>698</v>
      </c>
      <c r="P705" t="s">
        <v>697</v>
      </c>
      <c r="Q705" t="s">
        <v>696</v>
      </c>
      <c r="R705" s="7">
        <v>31778</v>
      </c>
      <c r="S705" s="8">
        <f t="shared" si="88"/>
        <v>1987</v>
      </c>
      <c r="T705" s="8">
        <v>1987</v>
      </c>
      <c r="U705" s="8">
        <f t="shared" si="89"/>
        <v>35</v>
      </c>
      <c r="V705" s="7">
        <v>31778</v>
      </c>
      <c r="W705" t="s">
        <v>695</v>
      </c>
      <c r="X705" s="2">
        <v>2.383</v>
      </c>
      <c r="Y705" s="6">
        <f t="shared" si="86"/>
        <v>6.3612824003630442E-2</v>
      </c>
      <c r="AA705">
        <v>189219</v>
      </c>
      <c r="AB705">
        <v>17915</v>
      </c>
      <c r="AC705">
        <v>15582256</v>
      </c>
      <c r="AD705" t="s">
        <v>4</v>
      </c>
      <c r="AE705">
        <v>75</v>
      </c>
      <c r="AF705">
        <v>1</v>
      </c>
      <c r="AH705" t="s">
        <v>694</v>
      </c>
      <c r="AI705" t="s">
        <v>693</v>
      </c>
      <c r="AK705" t="s">
        <v>692</v>
      </c>
      <c r="AL705">
        <v>25</v>
      </c>
      <c r="AM705" s="5">
        <f t="shared" si="90"/>
        <v>0.7142857142857143</v>
      </c>
      <c r="AN705" s="4">
        <f t="shared" si="87"/>
        <v>1.0818412938821875E-3</v>
      </c>
      <c r="AO705" s="3"/>
      <c r="AP705">
        <v>0</v>
      </c>
      <c r="AR705" t="s">
        <v>0</v>
      </c>
      <c r="AT705" s="2">
        <v>10.961</v>
      </c>
      <c r="AU705" s="1">
        <f t="shared" si="91"/>
        <v>4.4853529190705972</v>
      </c>
      <c r="AV705" s="1">
        <f t="shared" si="92"/>
        <v>3.2347332648756311</v>
      </c>
      <c r="AW705" s="1">
        <f t="shared" si="93"/>
        <v>1.9841136106806663</v>
      </c>
    </row>
    <row r="706" spans="1:49" x14ac:dyDescent="0.2">
      <c r="A706">
        <v>704</v>
      </c>
      <c r="B706" t="s">
        <v>691</v>
      </c>
      <c r="C706" t="s">
        <v>690</v>
      </c>
      <c r="F706" t="s">
        <v>689</v>
      </c>
      <c r="G706" t="s">
        <v>14</v>
      </c>
      <c r="H706" t="s">
        <v>13</v>
      </c>
      <c r="I706" t="s">
        <v>688</v>
      </c>
      <c r="J706">
        <v>60016983</v>
      </c>
      <c r="K706" t="s">
        <v>687</v>
      </c>
      <c r="L706" t="s">
        <v>686</v>
      </c>
      <c r="M706" t="s">
        <v>685</v>
      </c>
      <c r="N706">
        <v>2</v>
      </c>
      <c r="O706" t="s">
        <v>684</v>
      </c>
      <c r="P706" t="s">
        <v>683</v>
      </c>
      <c r="Q706" t="s">
        <v>682</v>
      </c>
      <c r="R706" s="7">
        <v>31778</v>
      </c>
      <c r="S706" s="8">
        <f t="shared" si="88"/>
        <v>1987</v>
      </c>
      <c r="T706" s="8">
        <v>1987</v>
      </c>
      <c r="U706" s="8">
        <f t="shared" si="89"/>
        <v>35</v>
      </c>
      <c r="V706" s="7" t="s">
        <v>584</v>
      </c>
      <c r="W706" t="s">
        <v>681</v>
      </c>
      <c r="X706" s="2" t="s">
        <v>32</v>
      </c>
      <c r="Y706" s="6" t="e">
        <f t="shared" ref="Y706:Y760" si="94">(X706-$Z$4)/($Z$3-$Z$4)</f>
        <v>#VALUE!</v>
      </c>
      <c r="AA706">
        <v>7009216</v>
      </c>
      <c r="AB706">
        <v>39801</v>
      </c>
      <c r="AD706" t="s">
        <v>4</v>
      </c>
      <c r="AE706">
        <v>12</v>
      </c>
      <c r="AF706">
        <v>1</v>
      </c>
      <c r="AH706" s="10">
        <v>43405</v>
      </c>
      <c r="AI706" t="s">
        <v>680</v>
      </c>
      <c r="AK706" t="s">
        <v>679</v>
      </c>
      <c r="AL706">
        <v>3</v>
      </c>
      <c r="AM706" s="5">
        <f t="shared" si="90"/>
        <v>8.5714285714285715E-2</v>
      </c>
      <c r="AN706" s="4">
        <f t="shared" ref="AN706:AN760" si="95">(AM706-$AO$4)/($AO$3-$AO$4)</f>
        <v>1.2982095526586251E-4</v>
      </c>
      <c r="AO706" s="3"/>
      <c r="AP706">
        <v>0</v>
      </c>
      <c r="AR706" t="s">
        <v>0</v>
      </c>
      <c r="AT706" s="2" t="s">
        <v>32</v>
      </c>
      <c r="AU706" s="1" t="e">
        <f t="shared" si="91"/>
        <v>#VALUE!</v>
      </c>
      <c r="AV706" s="1" t="e">
        <f t="shared" si="92"/>
        <v>#VALUE!</v>
      </c>
      <c r="AW706" s="1" t="e">
        <f t="shared" si="93"/>
        <v>#VALUE!</v>
      </c>
    </row>
    <row r="707" spans="1:49" x14ac:dyDescent="0.2">
      <c r="A707">
        <v>705</v>
      </c>
      <c r="B707" t="s">
        <v>678</v>
      </c>
      <c r="C707" t="s">
        <v>677</v>
      </c>
      <c r="F707" t="s">
        <v>676</v>
      </c>
      <c r="G707" t="s">
        <v>14</v>
      </c>
      <c r="H707" t="s">
        <v>13</v>
      </c>
      <c r="I707" t="s">
        <v>675</v>
      </c>
      <c r="J707">
        <v>60007902</v>
      </c>
      <c r="K707" t="s">
        <v>674</v>
      </c>
      <c r="L707" t="s">
        <v>673</v>
      </c>
      <c r="M707" t="s">
        <v>112</v>
      </c>
      <c r="N707">
        <v>1</v>
      </c>
      <c r="O707" t="s">
        <v>672</v>
      </c>
      <c r="P707">
        <v>57124353100</v>
      </c>
      <c r="Q707">
        <v>60007902</v>
      </c>
      <c r="R707" s="7">
        <v>31778</v>
      </c>
      <c r="S707" s="8">
        <f t="shared" si="88"/>
        <v>1987</v>
      </c>
      <c r="T707" s="8">
        <v>1987</v>
      </c>
      <c r="U707" s="8">
        <f t="shared" si="89"/>
        <v>35</v>
      </c>
      <c r="V707" s="7">
        <v>31778</v>
      </c>
      <c r="W707" t="s">
        <v>671</v>
      </c>
      <c r="X707" s="2">
        <v>0.251</v>
      </c>
      <c r="Y707" s="6">
        <f t="shared" si="94"/>
        <v>6.7003016470462617E-3</v>
      </c>
      <c r="AA707">
        <v>1468030</v>
      </c>
      <c r="AB707">
        <v>29679</v>
      </c>
      <c r="AC707">
        <v>10964681</v>
      </c>
      <c r="AD707" t="s">
        <v>4</v>
      </c>
      <c r="AE707">
        <v>6</v>
      </c>
      <c r="AF707">
        <v>1</v>
      </c>
      <c r="AH707" t="s">
        <v>670</v>
      </c>
      <c r="AI707" t="s">
        <v>669</v>
      </c>
      <c r="AK707" t="s">
        <v>668</v>
      </c>
      <c r="AL707">
        <v>13</v>
      </c>
      <c r="AM707" s="5">
        <f t="shared" si="90"/>
        <v>0.37142857142857144</v>
      </c>
      <c r="AN707" s="4">
        <f t="shared" si="95"/>
        <v>5.6255747281873749E-4</v>
      </c>
      <c r="AO707" s="3"/>
      <c r="AP707">
        <v>0</v>
      </c>
      <c r="AR707" t="s">
        <v>0</v>
      </c>
      <c r="AT707" s="2">
        <v>1.087</v>
      </c>
      <c r="AU707" s="1">
        <f t="shared" si="91"/>
        <v>0.48589783947780035</v>
      </c>
      <c r="AV707" s="1">
        <f t="shared" si="92"/>
        <v>0.36314295599324997</v>
      </c>
      <c r="AW707" s="1">
        <f t="shared" si="93"/>
        <v>0.24038807250869945</v>
      </c>
    </row>
    <row r="708" spans="1:49" x14ac:dyDescent="0.2">
      <c r="A708">
        <v>706</v>
      </c>
      <c r="B708" t="s">
        <v>667</v>
      </c>
      <c r="F708" t="s">
        <v>666</v>
      </c>
      <c r="G708" t="s">
        <v>14</v>
      </c>
      <c r="H708" t="s">
        <v>13</v>
      </c>
      <c r="I708" t="s">
        <v>665</v>
      </c>
      <c r="J708">
        <v>60005304</v>
      </c>
      <c r="K708" t="s">
        <v>664</v>
      </c>
      <c r="L708" t="s">
        <v>663</v>
      </c>
      <c r="M708" t="s">
        <v>9</v>
      </c>
      <c r="N708">
        <v>1</v>
      </c>
      <c r="O708" t="s">
        <v>662</v>
      </c>
      <c r="P708">
        <v>56234765300</v>
      </c>
      <c r="Q708">
        <v>60005304</v>
      </c>
      <c r="R708" s="7">
        <v>31778</v>
      </c>
      <c r="S708" s="8">
        <f t="shared" si="88"/>
        <v>1987</v>
      </c>
      <c r="T708" s="8">
        <v>1987</v>
      </c>
      <c r="U708" s="8">
        <f t="shared" si="89"/>
        <v>35</v>
      </c>
      <c r="V708" s="7">
        <v>31778</v>
      </c>
      <c r="W708" t="s">
        <v>629</v>
      </c>
      <c r="X708" s="2" t="s">
        <v>32</v>
      </c>
      <c r="Y708" s="6" t="e">
        <f t="shared" si="94"/>
        <v>#VALUE!</v>
      </c>
      <c r="AA708">
        <v>262897</v>
      </c>
      <c r="AB708">
        <v>18580</v>
      </c>
      <c r="AD708" t="s">
        <v>4</v>
      </c>
      <c r="AE708">
        <v>30</v>
      </c>
      <c r="AF708">
        <v>1</v>
      </c>
      <c r="AH708" t="s">
        <v>661</v>
      </c>
      <c r="AI708" t="s">
        <v>660</v>
      </c>
      <c r="AK708" t="s">
        <v>659</v>
      </c>
      <c r="AL708">
        <v>0</v>
      </c>
      <c r="AM708" s="5">
        <f t="shared" si="90"/>
        <v>0</v>
      </c>
      <c r="AN708" s="4">
        <f t="shared" si="95"/>
        <v>0</v>
      </c>
      <c r="AO708" s="3"/>
      <c r="AP708">
        <v>0</v>
      </c>
      <c r="AR708" t="s">
        <v>0</v>
      </c>
      <c r="AT708" s="2">
        <v>0.30599999999999999</v>
      </c>
      <c r="AU708" s="1" t="e">
        <f t="shared" si="91"/>
        <v>#VALUE!</v>
      </c>
      <c r="AV708" s="1" t="e">
        <f t="shared" si="92"/>
        <v>#VALUE!</v>
      </c>
      <c r="AW708" s="1" t="e">
        <f t="shared" si="93"/>
        <v>#VALUE!</v>
      </c>
    </row>
    <row r="709" spans="1:49" x14ac:dyDescent="0.2">
      <c r="A709">
        <v>707</v>
      </c>
      <c r="B709" t="s">
        <v>658</v>
      </c>
      <c r="F709" t="s">
        <v>657</v>
      </c>
      <c r="G709" t="s">
        <v>14</v>
      </c>
      <c r="H709" t="s">
        <v>13</v>
      </c>
      <c r="I709" t="s">
        <v>656</v>
      </c>
      <c r="J709">
        <v>60001247</v>
      </c>
      <c r="K709" t="s">
        <v>655</v>
      </c>
      <c r="M709" t="s">
        <v>9</v>
      </c>
      <c r="N709">
        <v>1</v>
      </c>
      <c r="O709" t="s">
        <v>654</v>
      </c>
      <c r="P709">
        <v>7004004036</v>
      </c>
      <c r="Q709">
        <v>60001247</v>
      </c>
      <c r="R709" s="7">
        <v>31778</v>
      </c>
      <c r="S709" s="8">
        <f t="shared" si="88"/>
        <v>1987</v>
      </c>
      <c r="T709" s="8">
        <v>1987</v>
      </c>
      <c r="U709" s="8">
        <f t="shared" si="89"/>
        <v>35</v>
      </c>
      <c r="V709" s="7">
        <v>31778</v>
      </c>
      <c r="W709" t="s">
        <v>629</v>
      </c>
      <c r="X709" s="2" t="s">
        <v>32</v>
      </c>
      <c r="Y709" s="6" t="e">
        <f t="shared" si="94"/>
        <v>#VALUE!</v>
      </c>
      <c r="AA709">
        <v>262897</v>
      </c>
      <c r="AB709">
        <v>18580</v>
      </c>
      <c r="AD709" t="s">
        <v>4</v>
      </c>
      <c r="AE709">
        <v>30</v>
      </c>
      <c r="AF709">
        <v>1</v>
      </c>
      <c r="AI709" t="s">
        <v>653</v>
      </c>
      <c r="AK709" t="s">
        <v>652</v>
      </c>
      <c r="AL709">
        <v>90</v>
      </c>
      <c r="AM709" s="5">
        <f t="shared" si="90"/>
        <v>2.5714285714285716</v>
      </c>
      <c r="AN709" s="4">
        <f t="shared" si="95"/>
        <v>3.8946286579758754E-3</v>
      </c>
      <c r="AO709" s="3"/>
      <c r="AP709">
        <v>0</v>
      </c>
      <c r="AR709" t="s">
        <v>0</v>
      </c>
      <c r="AT709" s="2">
        <v>0.30599999999999999</v>
      </c>
      <c r="AU709" s="1" t="e">
        <f t="shared" si="91"/>
        <v>#VALUE!</v>
      </c>
      <c r="AV709" s="1" t="e">
        <f t="shared" si="92"/>
        <v>#VALUE!</v>
      </c>
      <c r="AW709" s="1" t="e">
        <f t="shared" si="93"/>
        <v>#VALUE!</v>
      </c>
    </row>
    <row r="710" spans="1:49" x14ac:dyDescent="0.2">
      <c r="A710">
        <v>708</v>
      </c>
      <c r="B710" t="s">
        <v>651</v>
      </c>
      <c r="C710" t="s">
        <v>650</v>
      </c>
      <c r="E710">
        <v>3819014</v>
      </c>
      <c r="F710" t="s">
        <v>649</v>
      </c>
      <c r="G710" t="s">
        <v>14</v>
      </c>
      <c r="H710" t="s">
        <v>13</v>
      </c>
      <c r="I710" t="s">
        <v>648</v>
      </c>
      <c r="J710">
        <v>60023927</v>
      </c>
      <c r="K710" t="s">
        <v>647</v>
      </c>
      <c r="L710" t="s">
        <v>511</v>
      </c>
      <c r="M710" t="s">
        <v>9</v>
      </c>
      <c r="N710">
        <v>2</v>
      </c>
      <c r="O710" t="s">
        <v>646</v>
      </c>
      <c r="P710" t="s">
        <v>645</v>
      </c>
      <c r="Q710" t="s">
        <v>644</v>
      </c>
      <c r="R710" s="7">
        <v>31778</v>
      </c>
      <c r="S710" s="8">
        <f t="shared" si="88"/>
        <v>1987</v>
      </c>
      <c r="T710" s="8">
        <v>1987</v>
      </c>
      <c r="U710" s="8">
        <f t="shared" si="89"/>
        <v>35</v>
      </c>
      <c r="V710" s="7">
        <v>31785</v>
      </c>
      <c r="W710" t="s">
        <v>643</v>
      </c>
      <c r="X710" s="2">
        <v>1.855</v>
      </c>
      <c r="Y710" s="6">
        <f t="shared" si="94"/>
        <v>4.9518165558847867E-2</v>
      </c>
      <c r="AA710">
        <v>219967</v>
      </c>
      <c r="AB710">
        <v>16689</v>
      </c>
      <c r="AC710">
        <v>10969861</v>
      </c>
      <c r="AD710" t="s">
        <v>4</v>
      </c>
      <c r="AE710">
        <v>255</v>
      </c>
      <c r="AF710">
        <v>2</v>
      </c>
      <c r="AH710" t="s">
        <v>642</v>
      </c>
      <c r="AI710" t="s">
        <v>641</v>
      </c>
      <c r="AJ710" t="s">
        <v>640</v>
      </c>
      <c r="AK710" t="s">
        <v>639</v>
      </c>
      <c r="AL710">
        <v>123</v>
      </c>
      <c r="AM710" s="5">
        <f t="shared" si="90"/>
        <v>3.5142857142857142</v>
      </c>
      <c r="AN710" s="4">
        <f t="shared" si="95"/>
        <v>5.3226591659003624E-3</v>
      </c>
      <c r="AO710" s="3"/>
      <c r="AP710">
        <v>0</v>
      </c>
      <c r="AQ710" t="s">
        <v>638</v>
      </c>
      <c r="AR710" t="s">
        <v>637</v>
      </c>
      <c r="AS710" t="s">
        <v>636</v>
      </c>
      <c r="AT710" s="2">
        <v>3.2149999999999999</v>
      </c>
      <c r="AU710" s="1">
        <f t="shared" si="91"/>
        <v>3.6259513640963617</v>
      </c>
      <c r="AV710" s="1">
        <f t="shared" si="92"/>
        <v>2.7420412362374114</v>
      </c>
      <c r="AW710" s="1">
        <f t="shared" si="93"/>
        <v>1.8581311083784611</v>
      </c>
    </row>
    <row r="711" spans="1:49" x14ac:dyDescent="0.2">
      <c r="A711">
        <v>709</v>
      </c>
      <c r="B711" t="s">
        <v>635</v>
      </c>
      <c r="F711" t="s">
        <v>634</v>
      </c>
      <c r="G711" t="s">
        <v>14</v>
      </c>
      <c r="H711" t="s">
        <v>13</v>
      </c>
      <c r="I711" t="s">
        <v>633</v>
      </c>
      <c r="J711">
        <v>60017016</v>
      </c>
      <c r="K711" t="s">
        <v>632</v>
      </c>
      <c r="L711" t="s">
        <v>631</v>
      </c>
      <c r="M711" t="s">
        <v>9</v>
      </c>
      <c r="N711">
        <v>1</v>
      </c>
      <c r="O711" t="s">
        <v>630</v>
      </c>
      <c r="P711">
        <v>7004209501</v>
      </c>
      <c r="Q711">
        <v>60017016</v>
      </c>
      <c r="R711" s="7">
        <v>31778</v>
      </c>
      <c r="S711" s="8">
        <f t="shared" si="88"/>
        <v>1987</v>
      </c>
      <c r="T711" s="8">
        <v>1987</v>
      </c>
      <c r="U711" s="8">
        <f t="shared" si="89"/>
        <v>35</v>
      </c>
      <c r="V711" s="7">
        <v>31778</v>
      </c>
      <c r="W711" t="s">
        <v>629</v>
      </c>
      <c r="X711" s="2" t="s">
        <v>32</v>
      </c>
      <c r="Y711" s="6" t="e">
        <f t="shared" si="94"/>
        <v>#VALUE!</v>
      </c>
      <c r="AA711">
        <v>262897</v>
      </c>
      <c r="AB711">
        <v>18580</v>
      </c>
      <c r="AD711" t="s">
        <v>4</v>
      </c>
      <c r="AE711">
        <v>30</v>
      </c>
      <c r="AF711">
        <v>1</v>
      </c>
      <c r="AI711" t="s">
        <v>628</v>
      </c>
      <c r="AK711" t="s">
        <v>627</v>
      </c>
      <c r="AL711">
        <v>0</v>
      </c>
      <c r="AM711" s="5">
        <f t="shared" si="90"/>
        <v>0</v>
      </c>
      <c r="AN711" s="4">
        <f t="shared" si="95"/>
        <v>0</v>
      </c>
      <c r="AO711" s="3"/>
      <c r="AP711">
        <v>0</v>
      </c>
      <c r="AR711" t="s">
        <v>0</v>
      </c>
      <c r="AT711" s="2">
        <v>0.30599999999999999</v>
      </c>
      <c r="AU711" s="1" t="e">
        <f t="shared" si="91"/>
        <v>#VALUE!</v>
      </c>
      <c r="AV711" s="1" t="e">
        <f t="shared" si="92"/>
        <v>#VALUE!</v>
      </c>
      <c r="AW711" s="1" t="e">
        <f t="shared" si="93"/>
        <v>#VALUE!</v>
      </c>
    </row>
    <row r="712" spans="1:49" x14ac:dyDescent="0.2">
      <c r="A712">
        <v>710</v>
      </c>
      <c r="B712" t="s">
        <v>626</v>
      </c>
      <c r="F712" t="s">
        <v>625</v>
      </c>
      <c r="G712" t="s">
        <v>14</v>
      </c>
      <c r="H712" t="s">
        <v>13</v>
      </c>
      <c r="I712" t="s">
        <v>624</v>
      </c>
      <c r="J712">
        <v>60006288</v>
      </c>
      <c r="K712" t="s">
        <v>623</v>
      </c>
      <c r="L712" t="s">
        <v>622</v>
      </c>
      <c r="M712" t="s">
        <v>271</v>
      </c>
      <c r="N712">
        <v>2</v>
      </c>
      <c r="O712" t="s">
        <v>621</v>
      </c>
      <c r="P712" t="s">
        <v>620</v>
      </c>
      <c r="Q712" t="s">
        <v>619</v>
      </c>
      <c r="R712" s="7">
        <v>31778</v>
      </c>
      <c r="S712" s="8">
        <f t="shared" si="88"/>
        <v>1987</v>
      </c>
      <c r="T712" s="8">
        <v>1987</v>
      </c>
      <c r="U712" s="8">
        <f t="shared" si="89"/>
        <v>35</v>
      </c>
      <c r="V712" s="7">
        <v>1987</v>
      </c>
      <c r="W712" t="s">
        <v>618</v>
      </c>
      <c r="X712" s="2" t="s">
        <v>32</v>
      </c>
      <c r="Y712" s="6" t="e">
        <f t="shared" si="94"/>
        <v>#VALUE!</v>
      </c>
      <c r="AA712">
        <v>3097846</v>
      </c>
      <c r="AB712">
        <v>22656</v>
      </c>
      <c r="AD712" t="s">
        <v>4</v>
      </c>
      <c r="AE712">
        <v>43</v>
      </c>
      <c r="AH712" t="s">
        <v>617</v>
      </c>
      <c r="AI712" t="s">
        <v>616</v>
      </c>
      <c r="AK712" t="s">
        <v>615</v>
      </c>
      <c r="AL712">
        <v>0</v>
      </c>
      <c r="AM712" s="5">
        <f t="shared" si="90"/>
        <v>0</v>
      </c>
      <c r="AN712" s="4">
        <f t="shared" si="95"/>
        <v>0</v>
      </c>
      <c r="AO712" s="3"/>
      <c r="AP712">
        <v>0</v>
      </c>
      <c r="AR712" t="s">
        <v>0</v>
      </c>
      <c r="AT712" s="2" t="s">
        <v>32</v>
      </c>
      <c r="AU712" s="1" t="e">
        <f t="shared" si="91"/>
        <v>#VALUE!</v>
      </c>
      <c r="AV712" s="1" t="e">
        <f t="shared" si="92"/>
        <v>#VALUE!</v>
      </c>
      <c r="AW712" s="1" t="e">
        <f t="shared" si="93"/>
        <v>#VALUE!</v>
      </c>
    </row>
    <row r="713" spans="1:49" x14ac:dyDescent="0.2">
      <c r="A713">
        <v>711</v>
      </c>
      <c r="B713" t="s">
        <v>614</v>
      </c>
      <c r="F713" t="s">
        <v>613</v>
      </c>
      <c r="G713" t="s">
        <v>14</v>
      </c>
      <c r="H713" t="s">
        <v>13</v>
      </c>
      <c r="I713" t="s">
        <v>612</v>
      </c>
      <c r="N713">
        <v>4</v>
      </c>
      <c r="O713" t="s">
        <v>611</v>
      </c>
      <c r="P713" t="s">
        <v>610</v>
      </c>
      <c r="Q713" t="s">
        <v>609</v>
      </c>
      <c r="R713" s="7">
        <v>31778</v>
      </c>
      <c r="S713" s="8">
        <f t="shared" si="88"/>
        <v>1987</v>
      </c>
      <c r="T713" s="8">
        <v>1987</v>
      </c>
      <c r="U713" s="8">
        <f t="shared" si="89"/>
        <v>35</v>
      </c>
      <c r="V713" s="7">
        <v>1987</v>
      </c>
      <c r="W713" t="s">
        <v>608</v>
      </c>
      <c r="X713" s="2" t="s">
        <v>32</v>
      </c>
      <c r="Y713" s="6" t="e">
        <f t="shared" si="94"/>
        <v>#VALUE!</v>
      </c>
      <c r="AB713">
        <v>32340</v>
      </c>
      <c r="AD713" t="s">
        <v>4</v>
      </c>
      <c r="AE713" t="s">
        <v>607</v>
      </c>
      <c r="AI713" t="s">
        <v>606</v>
      </c>
      <c r="AK713" t="s">
        <v>605</v>
      </c>
      <c r="AL713">
        <v>0</v>
      </c>
      <c r="AM713" s="5">
        <f t="shared" si="90"/>
        <v>0</v>
      </c>
      <c r="AN713" s="4">
        <f t="shared" si="95"/>
        <v>0</v>
      </c>
      <c r="AO713" s="3"/>
      <c r="AP713">
        <v>0</v>
      </c>
      <c r="AR713" t="s">
        <v>0</v>
      </c>
      <c r="AT713" s="2" t="s">
        <v>32</v>
      </c>
      <c r="AU713" s="1" t="e">
        <f t="shared" si="91"/>
        <v>#VALUE!</v>
      </c>
      <c r="AV713" s="1" t="e">
        <f t="shared" si="92"/>
        <v>#VALUE!</v>
      </c>
      <c r="AW713" s="1" t="e">
        <f t="shared" si="93"/>
        <v>#VALUE!</v>
      </c>
    </row>
    <row r="714" spans="1:49" x14ac:dyDescent="0.2">
      <c r="A714">
        <v>712</v>
      </c>
      <c r="B714" t="s">
        <v>604</v>
      </c>
      <c r="C714" t="s">
        <v>603</v>
      </c>
      <c r="F714" t="s">
        <v>602</v>
      </c>
      <c r="G714" t="s">
        <v>14</v>
      </c>
      <c r="H714" t="s">
        <v>13</v>
      </c>
      <c r="I714" t="s">
        <v>601</v>
      </c>
      <c r="J714">
        <v>60009037</v>
      </c>
      <c r="K714" t="s">
        <v>600</v>
      </c>
      <c r="L714" t="s">
        <v>599</v>
      </c>
      <c r="M714" t="s">
        <v>9</v>
      </c>
      <c r="N714">
        <v>1</v>
      </c>
      <c r="O714" t="s">
        <v>598</v>
      </c>
      <c r="P714">
        <v>6603711695</v>
      </c>
      <c r="Q714">
        <v>60009037</v>
      </c>
      <c r="R714" s="7">
        <v>31778</v>
      </c>
      <c r="S714" s="8">
        <f t="shared" si="88"/>
        <v>1987</v>
      </c>
      <c r="T714" s="8">
        <v>1987</v>
      </c>
      <c r="U714" s="8">
        <f t="shared" si="89"/>
        <v>35</v>
      </c>
      <c r="V714" s="7" t="s">
        <v>597</v>
      </c>
      <c r="W714" t="s">
        <v>596</v>
      </c>
      <c r="X714" s="2">
        <v>1.573</v>
      </c>
      <c r="Y714" s="6">
        <f t="shared" si="94"/>
        <v>4.1990336616748086E-2</v>
      </c>
      <c r="AA714">
        <v>7315090</v>
      </c>
      <c r="AB714">
        <v>29586</v>
      </c>
      <c r="AD714" t="s">
        <v>4</v>
      </c>
      <c r="AE714">
        <v>10</v>
      </c>
      <c r="AF714">
        <v>1</v>
      </c>
      <c r="AH714" t="s">
        <v>595</v>
      </c>
      <c r="AI714" t="s">
        <v>594</v>
      </c>
      <c r="AK714" t="s">
        <v>593</v>
      </c>
      <c r="AL714">
        <v>0</v>
      </c>
      <c r="AM714" s="5">
        <f t="shared" si="90"/>
        <v>0</v>
      </c>
      <c r="AN714" s="4">
        <f t="shared" si="95"/>
        <v>0</v>
      </c>
      <c r="AO714" s="3"/>
      <c r="AP714">
        <v>0</v>
      </c>
      <c r="AR714" t="s">
        <v>0</v>
      </c>
      <c r="AT714" s="2" t="s">
        <v>32</v>
      </c>
      <c r="AU714" s="1">
        <f t="shared" si="91"/>
        <v>2.939323563172366</v>
      </c>
      <c r="AV714" s="1">
        <f t="shared" si="92"/>
        <v>2.0995168308374041</v>
      </c>
      <c r="AW714" s="1">
        <f t="shared" si="93"/>
        <v>1.2597100985024425</v>
      </c>
    </row>
    <row r="715" spans="1:49" x14ac:dyDescent="0.2">
      <c r="A715">
        <v>713</v>
      </c>
      <c r="B715" t="s">
        <v>592</v>
      </c>
      <c r="C715" t="s">
        <v>591</v>
      </c>
      <c r="F715" t="s">
        <v>590</v>
      </c>
      <c r="G715" t="s">
        <v>14</v>
      </c>
      <c r="H715" t="s">
        <v>13</v>
      </c>
      <c r="I715" t="s">
        <v>589</v>
      </c>
      <c r="J715">
        <v>60082700</v>
      </c>
      <c r="K715" t="s">
        <v>588</v>
      </c>
      <c r="L715" t="s">
        <v>587</v>
      </c>
      <c r="M715" t="s">
        <v>586</v>
      </c>
      <c r="N715">
        <v>1</v>
      </c>
      <c r="O715" t="s">
        <v>585</v>
      </c>
      <c r="P715">
        <v>55475849600</v>
      </c>
      <c r="Q715">
        <v>60082700</v>
      </c>
      <c r="R715" s="7">
        <v>31778</v>
      </c>
      <c r="S715" s="8">
        <f t="shared" si="88"/>
        <v>1987</v>
      </c>
      <c r="T715" s="8">
        <v>1987</v>
      </c>
      <c r="U715" s="8">
        <f t="shared" si="89"/>
        <v>35</v>
      </c>
      <c r="V715" s="7" t="s">
        <v>584</v>
      </c>
      <c r="W715" t="s">
        <v>583</v>
      </c>
      <c r="X715" s="2" t="s">
        <v>32</v>
      </c>
      <c r="Y715" s="6" t="e">
        <f t="shared" si="94"/>
        <v>#VALUE!</v>
      </c>
      <c r="AA715" t="s">
        <v>582</v>
      </c>
      <c r="AB715">
        <v>31890</v>
      </c>
      <c r="AD715" t="s">
        <v>4</v>
      </c>
      <c r="AE715">
        <v>134</v>
      </c>
      <c r="AF715">
        <v>1</v>
      </c>
      <c r="AH715" t="s">
        <v>581</v>
      </c>
      <c r="AI715" t="s">
        <v>580</v>
      </c>
      <c r="AK715" t="s">
        <v>579</v>
      </c>
      <c r="AL715">
        <v>1</v>
      </c>
      <c r="AM715" s="5">
        <f t="shared" si="90"/>
        <v>2.8571428571428571E-2</v>
      </c>
      <c r="AN715" s="4">
        <f t="shared" si="95"/>
        <v>4.32736517552875E-5</v>
      </c>
      <c r="AO715" s="3"/>
      <c r="AP715">
        <v>0</v>
      </c>
      <c r="AR715" t="s">
        <v>0</v>
      </c>
      <c r="AT715" s="2" t="s">
        <v>32</v>
      </c>
      <c r="AU715" s="1" t="e">
        <f t="shared" si="91"/>
        <v>#VALUE!</v>
      </c>
      <c r="AV715" s="1" t="e">
        <f t="shared" si="92"/>
        <v>#VALUE!</v>
      </c>
      <c r="AW715" s="1" t="e">
        <f t="shared" si="93"/>
        <v>#VALUE!</v>
      </c>
    </row>
    <row r="716" spans="1:49" x14ac:dyDescent="0.2">
      <c r="A716">
        <v>714</v>
      </c>
      <c r="B716" t="s">
        <v>578</v>
      </c>
      <c r="E716">
        <v>3582581</v>
      </c>
      <c r="F716" t="s">
        <v>577</v>
      </c>
      <c r="G716" t="s">
        <v>14</v>
      </c>
      <c r="H716" t="s">
        <v>13</v>
      </c>
      <c r="I716" t="s">
        <v>576</v>
      </c>
      <c r="N716">
        <v>1</v>
      </c>
      <c r="O716" t="s">
        <v>575</v>
      </c>
      <c r="P716">
        <v>7003603516</v>
      </c>
      <c r="R716" s="7">
        <v>31778</v>
      </c>
      <c r="S716" s="8">
        <f t="shared" si="88"/>
        <v>1987</v>
      </c>
      <c r="T716" s="8">
        <v>1987</v>
      </c>
      <c r="U716" s="8">
        <f t="shared" si="89"/>
        <v>35</v>
      </c>
      <c r="V716" s="7">
        <v>1987</v>
      </c>
      <c r="W716" t="s">
        <v>574</v>
      </c>
      <c r="X716" s="2" t="s">
        <v>32</v>
      </c>
      <c r="Y716" s="6" t="e">
        <f t="shared" si="94"/>
        <v>#VALUE!</v>
      </c>
      <c r="AA716">
        <v>1768638</v>
      </c>
      <c r="AB716">
        <v>79917</v>
      </c>
      <c r="AD716" t="s">
        <v>4</v>
      </c>
      <c r="AE716">
        <v>46</v>
      </c>
      <c r="AF716">
        <v>3</v>
      </c>
      <c r="AH716" t="s">
        <v>573</v>
      </c>
      <c r="AI716" t="s">
        <v>572</v>
      </c>
      <c r="AK716" t="s">
        <v>571</v>
      </c>
      <c r="AL716">
        <v>57</v>
      </c>
      <c r="AM716" s="5">
        <f t="shared" si="90"/>
        <v>1.6285714285714286</v>
      </c>
      <c r="AN716" s="4">
        <f t="shared" si="95"/>
        <v>2.4665981500513875E-3</v>
      </c>
      <c r="AO716" s="3"/>
      <c r="AP716">
        <v>0</v>
      </c>
      <c r="AR716" t="s">
        <v>0</v>
      </c>
      <c r="AT716" s="2" t="s">
        <v>32</v>
      </c>
      <c r="AU716" s="1" t="e">
        <f t="shared" si="91"/>
        <v>#VALUE!</v>
      </c>
      <c r="AV716" s="1" t="e">
        <f t="shared" si="92"/>
        <v>#VALUE!</v>
      </c>
      <c r="AW716" s="1" t="e">
        <f t="shared" si="93"/>
        <v>#VALUE!</v>
      </c>
    </row>
    <row r="717" spans="1:49" x14ac:dyDescent="0.2">
      <c r="A717">
        <v>715</v>
      </c>
      <c r="B717" t="s">
        <v>570</v>
      </c>
      <c r="C717" t="s">
        <v>569</v>
      </c>
      <c r="D717" t="s">
        <v>568</v>
      </c>
      <c r="F717" t="s">
        <v>567</v>
      </c>
      <c r="G717" t="s">
        <v>14</v>
      </c>
      <c r="H717" t="s">
        <v>13</v>
      </c>
      <c r="I717" t="s">
        <v>566</v>
      </c>
      <c r="J717" t="s">
        <v>565</v>
      </c>
      <c r="K717" t="s">
        <v>564</v>
      </c>
      <c r="L717" t="s">
        <v>563</v>
      </c>
      <c r="M717" t="s">
        <v>562</v>
      </c>
      <c r="N717">
        <v>25</v>
      </c>
      <c r="O717" t="s">
        <v>561</v>
      </c>
      <c r="P717" t="s">
        <v>560</v>
      </c>
      <c r="Q717" t="s">
        <v>559</v>
      </c>
      <c r="R717" s="7">
        <v>31778</v>
      </c>
      <c r="S717" s="8">
        <f t="shared" si="88"/>
        <v>1987</v>
      </c>
      <c r="T717" s="8">
        <v>1987</v>
      </c>
      <c r="U717" s="8">
        <f t="shared" si="89"/>
        <v>35</v>
      </c>
      <c r="V717" s="7" t="s">
        <v>545</v>
      </c>
      <c r="W717" t="s">
        <v>509</v>
      </c>
      <c r="X717" s="2">
        <v>1.1339999999999999</v>
      </c>
      <c r="Y717" s="6">
        <f t="shared" si="94"/>
        <v>3.0271482341635299E-2</v>
      </c>
      <c r="AA717">
        <v>945765</v>
      </c>
      <c r="AB717">
        <v>12372</v>
      </c>
      <c r="AD717" t="s">
        <v>4</v>
      </c>
      <c r="AE717">
        <v>15</v>
      </c>
      <c r="AF717" s="9">
        <v>44383</v>
      </c>
      <c r="AH717" t="s">
        <v>558</v>
      </c>
      <c r="AI717" t="s">
        <v>557</v>
      </c>
      <c r="AK717" t="s">
        <v>556</v>
      </c>
      <c r="AL717">
        <v>5</v>
      </c>
      <c r="AM717" s="5">
        <f t="shared" si="90"/>
        <v>0.14285714285714285</v>
      </c>
      <c r="AN717" s="4">
        <f t="shared" si="95"/>
        <v>2.1636825877643749E-4</v>
      </c>
      <c r="AO717" s="3"/>
      <c r="AP717">
        <v>0</v>
      </c>
      <c r="AR717" t="s">
        <v>0</v>
      </c>
      <c r="AT717" s="2">
        <v>2.4129999999999998</v>
      </c>
      <c r="AU717" s="1">
        <f t="shared" si="91"/>
        <v>2.1254948116777639</v>
      </c>
      <c r="AV717" s="1">
        <f t="shared" si="92"/>
        <v>1.5243925300205867</v>
      </c>
      <c r="AW717" s="1">
        <f t="shared" si="93"/>
        <v>0.92329024836340956</v>
      </c>
    </row>
    <row r="718" spans="1:49" x14ac:dyDescent="0.2">
      <c r="A718">
        <v>716</v>
      </c>
      <c r="B718" t="s">
        <v>555</v>
      </c>
      <c r="C718" t="s">
        <v>554</v>
      </c>
      <c r="D718" t="s">
        <v>553</v>
      </c>
      <c r="F718" t="s">
        <v>552</v>
      </c>
      <c r="G718" t="s">
        <v>14</v>
      </c>
      <c r="H718" t="s">
        <v>13</v>
      </c>
      <c r="I718" t="s">
        <v>551</v>
      </c>
      <c r="J718">
        <v>60025555</v>
      </c>
      <c r="K718" t="s">
        <v>550</v>
      </c>
      <c r="L718" t="s">
        <v>549</v>
      </c>
      <c r="M718" t="s">
        <v>524</v>
      </c>
      <c r="N718">
        <v>3</v>
      </c>
      <c r="O718" t="s">
        <v>548</v>
      </c>
      <c r="P718" t="s">
        <v>547</v>
      </c>
      <c r="Q718" t="s">
        <v>546</v>
      </c>
      <c r="R718" s="7">
        <v>31778</v>
      </c>
      <c r="S718" s="8">
        <f t="shared" si="88"/>
        <v>1987</v>
      </c>
      <c r="T718" s="8">
        <v>1987</v>
      </c>
      <c r="U718" s="8">
        <f t="shared" si="89"/>
        <v>35</v>
      </c>
      <c r="V718" s="7" t="s">
        <v>545</v>
      </c>
      <c r="W718" t="s">
        <v>509</v>
      </c>
      <c r="X718" s="2">
        <v>1.1339999999999999</v>
      </c>
      <c r="Y718" s="6">
        <f t="shared" si="94"/>
        <v>3.0271482341635299E-2</v>
      </c>
      <c r="AA718">
        <v>945765</v>
      </c>
      <c r="AB718">
        <v>12372</v>
      </c>
      <c r="AD718" t="s">
        <v>4</v>
      </c>
      <c r="AE718">
        <v>15</v>
      </c>
      <c r="AF718" s="9">
        <v>44383</v>
      </c>
      <c r="AH718" t="s">
        <v>544</v>
      </c>
      <c r="AI718" t="s">
        <v>543</v>
      </c>
      <c r="AK718" t="s">
        <v>542</v>
      </c>
      <c r="AL718">
        <v>2</v>
      </c>
      <c r="AM718" s="5">
        <f t="shared" si="90"/>
        <v>5.7142857142857141E-2</v>
      </c>
      <c r="AN718" s="4">
        <f t="shared" si="95"/>
        <v>8.6547303510575E-5</v>
      </c>
      <c r="AO718" s="3"/>
      <c r="AP718">
        <v>0</v>
      </c>
      <c r="AR718" t="s">
        <v>0</v>
      </c>
      <c r="AT718" s="2">
        <v>2.4129999999999998</v>
      </c>
      <c r="AU718" s="1">
        <f t="shared" si="91"/>
        <v>2.1216001830197881</v>
      </c>
      <c r="AV718" s="1">
        <f t="shared" si="92"/>
        <v>1.5179014822572936</v>
      </c>
      <c r="AW718" s="1">
        <f t="shared" si="93"/>
        <v>0.91420278149479917</v>
      </c>
    </row>
    <row r="719" spans="1:49" x14ac:dyDescent="0.2">
      <c r="A719">
        <v>717</v>
      </c>
      <c r="B719" t="s">
        <v>541</v>
      </c>
      <c r="C719" t="s">
        <v>540</v>
      </c>
      <c r="D719">
        <v>94576587901160</v>
      </c>
      <c r="F719" t="s">
        <v>539</v>
      </c>
      <c r="G719" t="s">
        <v>14</v>
      </c>
      <c r="H719" t="s">
        <v>13</v>
      </c>
      <c r="I719" t="s">
        <v>538</v>
      </c>
      <c r="J719">
        <v>60121783</v>
      </c>
      <c r="K719" t="s">
        <v>537</v>
      </c>
      <c r="L719" t="s">
        <v>300</v>
      </c>
      <c r="M719" t="s">
        <v>299</v>
      </c>
      <c r="N719">
        <v>1</v>
      </c>
      <c r="O719" t="s">
        <v>536</v>
      </c>
      <c r="P719">
        <v>6506466596</v>
      </c>
      <c r="Q719">
        <v>60121783</v>
      </c>
      <c r="R719" s="7">
        <v>31778</v>
      </c>
      <c r="S719" s="8">
        <f t="shared" si="88"/>
        <v>1987</v>
      </c>
      <c r="T719" s="8">
        <v>1987</v>
      </c>
      <c r="U719" s="8">
        <f t="shared" si="89"/>
        <v>35</v>
      </c>
      <c r="V719" s="7">
        <v>1987</v>
      </c>
      <c r="W719" t="s">
        <v>509</v>
      </c>
      <c r="X719" s="2">
        <v>1.1339999999999999</v>
      </c>
      <c r="Y719" s="6">
        <f t="shared" si="94"/>
        <v>3.0271482341635299E-2</v>
      </c>
      <c r="AA719">
        <v>945765</v>
      </c>
      <c r="AB719">
        <v>12372</v>
      </c>
      <c r="AD719" t="s">
        <v>4</v>
      </c>
      <c r="AE719">
        <v>16</v>
      </c>
      <c r="AF719" t="s">
        <v>508</v>
      </c>
      <c r="AH719" t="s">
        <v>535</v>
      </c>
      <c r="AI719" t="s">
        <v>534</v>
      </c>
      <c r="AJ719" t="s">
        <v>533</v>
      </c>
      <c r="AK719" t="s">
        <v>532</v>
      </c>
      <c r="AL719">
        <v>0</v>
      </c>
      <c r="AM719" s="5">
        <f t="shared" si="90"/>
        <v>0</v>
      </c>
      <c r="AN719" s="4">
        <f t="shared" si="95"/>
        <v>0</v>
      </c>
      <c r="AO719" s="3"/>
      <c r="AP719">
        <v>0</v>
      </c>
      <c r="AR719" t="s">
        <v>0</v>
      </c>
      <c r="AT719" s="2">
        <v>2.4129999999999998</v>
      </c>
      <c r="AU719" s="1">
        <f t="shared" si="91"/>
        <v>2.119003763914471</v>
      </c>
      <c r="AV719" s="1">
        <f t="shared" si="92"/>
        <v>1.5135741170817649</v>
      </c>
      <c r="AW719" s="1">
        <f t="shared" si="93"/>
        <v>0.90814447024905898</v>
      </c>
    </row>
    <row r="720" spans="1:49" x14ac:dyDescent="0.2">
      <c r="A720">
        <v>718</v>
      </c>
      <c r="B720" t="s">
        <v>531</v>
      </c>
      <c r="C720" t="s">
        <v>530</v>
      </c>
      <c r="D720" t="s">
        <v>529</v>
      </c>
      <c r="F720" t="s">
        <v>528</v>
      </c>
      <c r="G720" t="s">
        <v>14</v>
      </c>
      <c r="H720" t="s">
        <v>13</v>
      </c>
      <c r="I720" t="s">
        <v>527</v>
      </c>
      <c r="J720">
        <v>60092258</v>
      </c>
      <c r="K720" t="s">
        <v>526</v>
      </c>
      <c r="L720" t="s">
        <v>525</v>
      </c>
      <c r="M720" t="s">
        <v>524</v>
      </c>
      <c r="N720">
        <v>4</v>
      </c>
      <c r="O720" t="s">
        <v>523</v>
      </c>
      <c r="P720" t="s">
        <v>522</v>
      </c>
      <c r="Q720" t="s">
        <v>521</v>
      </c>
      <c r="R720" s="7">
        <v>31778</v>
      </c>
      <c r="S720" s="8">
        <f t="shared" si="88"/>
        <v>1987</v>
      </c>
      <c r="T720" s="8">
        <v>1987</v>
      </c>
      <c r="U720" s="8">
        <f t="shared" si="89"/>
        <v>35</v>
      </c>
      <c r="V720" s="7">
        <v>1987</v>
      </c>
      <c r="W720" t="s">
        <v>509</v>
      </c>
      <c r="X720" s="2">
        <v>1.1339999999999999</v>
      </c>
      <c r="Y720" s="6">
        <f t="shared" si="94"/>
        <v>3.0271482341635299E-2</v>
      </c>
      <c r="AA720">
        <v>945765</v>
      </c>
      <c r="AB720">
        <v>12372</v>
      </c>
      <c r="AD720" t="s">
        <v>4</v>
      </c>
      <c r="AE720">
        <v>16</v>
      </c>
      <c r="AF720" t="s">
        <v>508</v>
      </c>
      <c r="AH720" t="s">
        <v>520</v>
      </c>
      <c r="AI720" t="s">
        <v>519</v>
      </c>
      <c r="AJ720" t="s">
        <v>518</v>
      </c>
      <c r="AK720" t="s">
        <v>517</v>
      </c>
      <c r="AL720">
        <v>0</v>
      </c>
      <c r="AM720" s="5">
        <f t="shared" si="90"/>
        <v>0</v>
      </c>
      <c r="AN720" s="4">
        <f t="shared" si="95"/>
        <v>0</v>
      </c>
      <c r="AO720" s="3"/>
      <c r="AP720">
        <v>0</v>
      </c>
      <c r="AR720" t="s">
        <v>0</v>
      </c>
      <c r="AT720" s="2">
        <v>2.4129999999999998</v>
      </c>
      <c r="AU720" s="1">
        <f t="shared" si="91"/>
        <v>2.119003763914471</v>
      </c>
      <c r="AV720" s="1">
        <f t="shared" si="92"/>
        <v>1.5135741170817649</v>
      </c>
      <c r="AW720" s="1">
        <f t="shared" si="93"/>
        <v>0.90814447024905898</v>
      </c>
    </row>
    <row r="721" spans="1:49" x14ac:dyDescent="0.2">
      <c r="A721">
        <v>719</v>
      </c>
      <c r="B721" t="s">
        <v>516</v>
      </c>
      <c r="C721" t="s">
        <v>515</v>
      </c>
      <c r="D721">
        <v>94576587900968</v>
      </c>
      <c r="F721" t="s">
        <v>514</v>
      </c>
      <c r="G721" t="s">
        <v>14</v>
      </c>
      <c r="H721" t="s">
        <v>13</v>
      </c>
      <c r="I721" t="s">
        <v>513</v>
      </c>
      <c r="J721">
        <v>60016296</v>
      </c>
      <c r="K721" t="s">
        <v>512</v>
      </c>
      <c r="L721" t="s">
        <v>511</v>
      </c>
      <c r="M721" t="s">
        <v>9</v>
      </c>
      <c r="N721">
        <v>1</v>
      </c>
      <c r="O721" t="s">
        <v>510</v>
      </c>
      <c r="P721">
        <v>6505894900</v>
      </c>
      <c r="Q721">
        <v>60016296</v>
      </c>
      <c r="R721" s="7">
        <v>31778</v>
      </c>
      <c r="S721" s="8">
        <f t="shared" si="88"/>
        <v>1987</v>
      </c>
      <c r="T721" s="8">
        <v>1987</v>
      </c>
      <c r="U721" s="8">
        <f t="shared" si="89"/>
        <v>35</v>
      </c>
      <c r="V721" s="7">
        <v>1987</v>
      </c>
      <c r="W721" t="s">
        <v>509</v>
      </c>
      <c r="X721" s="2">
        <v>1.1339999999999999</v>
      </c>
      <c r="Y721" s="6">
        <f t="shared" si="94"/>
        <v>3.0271482341635299E-2</v>
      </c>
      <c r="AA721">
        <v>945765</v>
      </c>
      <c r="AB721">
        <v>12372</v>
      </c>
      <c r="AD721" t="s">
        <v>4</v>
      </c>
      <c r="AE721">
        <v>16</v>
      </c>
      <c r="AF721" t="s">
        <v>508</v>
      </c>
      <c r="AH721" t="s">
        <v>507</v>
      </c>
      <c r="AI721" t="s">
        <v>506</v>
      </c>
      <c r="AJ721" t="s">
        <v>505</v>
      </c>
      <c r="AK721" t="s">
        <v>504</v>
      </c>
      <c r="AL721">
        <v>1</v>
      </c>
      <c r="AM721" s="5">
        <f t="shared" si="90"/>
        <v>2.8571428571428571E-2</v>
      </c>
      <c r="AN721" s="4">
        <f t="shared" si="95"/>
        <v>4.32736517552875E-5</v>
      </c>
      <c r="AO721" s="3"/>
      <c r="AP721">
        <v>0</v>
      </c>
      <c r="AR721" t="s">
        <v>0</v>
      </c>
      <c r="AT721" s="2">
        <v>2.4129999999999998</v>
      </c>
      <c r="AU721" s="1">
        <f t="shared" si="91"/>
        <v>2.1203019734671291</v>
      </c>
      <c r="AV721" s="1">
        <f t="shared" si="92"/>
        <v>1.5157377996695294</v>
      </c>
      <c r="AW721" s="1">
        <f t="shared" si="93"/>
        <v>0.91117362587192918</v>
      </c>
    </row>
    <row r="722" spans="1:49" x14ac:dyDescent="0.2">
      <c r="A722">
        <v>720</v>
      </c>
      <c r="B722" t="s">
        <v>503</v>
      </c>
      <c r="C722" t="s">
        <v>502</v>
      </c>
      <c r="F722" t="s">
        <v>501</v>
      </c>
      <c r="G722" t="s">
        <v>14</v>
      </c>
      <c r="H722" t="s">
        <v>13</v>
      </c>
      <c r="I722" t="s">
        <v>500</v>
      </c>
      <c r="N722">
        <v>1</v>
      </c>
      <c r="O722" t="s">
        <v>499</v>
      </c>
      <c r="P722">
        <v>7006225695</v>
      </c>
      <c r="R722" s="7">
        <v>31778</v>
      </c>
      <c r="S722" s="8">
        <f t="shared" si="88"/>
        <v>1987</v>
      </c>
      <c r="T722" s="8">
        <v>1987</v>
      </c>
      <c r="U722" s="8">
        <f t="shared" si="89"/>
        <v>35</v>
      </c>
      <c r="V722" s="7">
        <v>32082</v>
      </c>
      <c r="W722" t="s">
        <v>472</v>
      </c>
      <c r="X722" s="2">
        <v>0.371</v>
      </c>
      <c r="Y722" s="6">
        <f t="shared" si="94"/>
        <v>9.9036331117695747E-3</v>
      </c>
      <c r="AA722">
        <v>486604</v>
      </c>
      <c r="AB722">
        <v>28580</v>
      </c>
      <c r="AC722" t="s">
        <v>471</v>
      </c>
      <c r="AD722" t="s">
        <v>4</v>
      </c>
      <c r="AE722">
        <v>22</v>
      </c>
      <c r="AF722">
        <v>6</v>
      </c>
      <c r="AH722" t="s">
        <v>498</v>
      </c>
      <c r="AI722" t="s">
        <v>497</v>
      </c>
      <c r="AK722" t="s">
        <v>496</v>
      </c>
      <c r="AL722">
        <v>0</v>
      </c>
      <c r="AM722" s="5">
        <f t="shared" si="90"/>
        <v>0</v>
      </c>
      <c r="AN722" s="4">
        <f t="shared" si="95"/>
        <v>0</v>
      </c>
      <c r="AO722" s="3"/>
      <c r="AP722">
        <v>0</v>
      </c>
      <c r="AR722" t="s">
        <v>0</v>
      </c>
      <c r="AT722" s="2">
        <v>1.431</v>
      </c>
      <c r="AU722" s="1">
        <f t="shared" si="91"/>
        <v>0.69325431782387015</v>
      </c>
      <c r="AV722" s="1">
        <f t="shared" si="92"/>
        <v>0.49518165558847871</v>
      </c>
      <c r="AW722" s="1">
        <f t="shared" si="93"/>
        <v>0.29710899335308727</v>
      </c>
    </row>
    <row r="723" spans="1:49" x14ac:dyDescent="0.2">
      <c r="A723">
        <v>721</v>
      </c>
      <c r="B723" t="s">
        <v>495</v>
      </c>
      <c r="C723" t="s">
        <v>494</v>
      </c>
      <c r="F723" t="s">
        <v>493</v>
      </c>
      <c r="G723" t="s">
        <v>14</v>
      </c>
      <c r="H723" t="s">
        <v>13</v>
      </c>
      <c r="I723" t="s">
        <v>492</v>
      </c>
      <c r="N723">
        <v>3</v>
      </c>
      <c r="O723" t="s">
        <v>491</v>
      </c>
      <c r="P723" t="s">
        <v>490</v>
      </c>
      <c r="Q723" t="s">
        <v>171</v>
      </c>
      <c r="R723" s="7">
        <v>31778</v>
      </c>
      <c r="S723" s="8">
        <f t="shared" si="88"/>
        <v>1987</v>
      </c>
      <c r="T723" s="8">
        <v>1987</v>
      </c>
      <c r="U723" s="8">
        <f t="shared" si="89"/>
        <v>35</v>
      </c>
      <c r="V723" s="7">
        <v>32082</v>
      </c>
      <c r="W723" t="s">
        <v>472</v>
      </c>
      <c r="X723" s="2">
        <v>0.371</v>
      </c>
      <c r="Y723" s="6">
        <f t="shared" si="94"/>
        <v>9.9036331117695747E-3</v>
      </c>
      <c r="AA723">
        <v>486604</v>
      </c>
      <c r="AB723">
        <v>28580</v>
      </c>
      <c r="AC723" t="s">
        <v>471</v>
      </c>
      <c r="AD723" t="s">
        <v>4</v>
      </c>
      <c r="AE723">
        <v>22</v>
      </c>
      <c r="AF723">
        <v>6</v>
      </c>
      <c r="AH723" t="s">
        <v>489</v>
      </c>
      <c r="AI723" t="s">
        <v>488</v>
      </c>
      <c r="AK723" t="s">
        <v>487</v>
      </c>
      <c r="AL723">
        <v>8</v>
      </c>
      <c r="AM723" s="5">
        <f t="shared" si="90"/>
        <v>0.22857142857142856</v>
      </c>
      <c r="AN723" s="4">
        <f t="shared" si="95"/>
        <v>3.461892140423E-4</v>
      </c>
      <c r="AO723" s="3"/>
      <c r="AP723">
        <v>0</v>
      </c>
      <c r="AR723" t="s">
        <v>0</v>
      </c>
      <c r="AT723" s="2">
        <v>1.431</v>
      </c>
      <c r="AU723" s="1">
        <f t="shared" si="91"/>
        <v>0.70363999424513912</v>
      </c>
      <c r="AV723" s="1">
        <f t="shared" si="92"/>
        <v>0.51249111629059374</v>
      </c>
      <c r="AW723" s="1">
        <f t="shared" si="93"/>
        <v>0.32134223833604825</v>
      </c>
    </row>
    <row r="724" spans="1:49" x14ac:dyDescent="0.2">
      <c r="A724">
        <v>722</v>
      </c>
      <c r="B724" t="s">
        <v>486</v>
      </c>
      <c r="C724" t="s">
        <v>485</v>
      </c>
      <c r="F724" t="s">
        <v>484</v>
      </c>
      <c r="G724" t="s">
        <v>14</v>
      </c>
      <c r="H724" t="s">
        <v>13</v>
      </c>
      <c r="I724" t="s">
        <v>483</v>
      </c>
      <c r="N724">
        <v>2</v>
      </c>
      <c r="O724" t="s">
        <v>482</v>
      </c>
      <c r="P724" t="s">
        <v>481</v>
      </c>
      <c r="Q724" t="s">
        <v>349</v>
      </c>
      <c r="R724" s="7">
        <v>31778</v>
      </c>
      <c r="S724" s="8">
        <f t="shared" si="88"/>
        <v>1987</v>
      </c>
      <c r="T724" s="8">
        <v>1987</v>
      </c>
      <c r="U724" s="8">
        <f t="shared" si="89"/>
        <v>35</v>
      </c>
      <c r="V724" s="7">
        <v>32082</v>
      </c>
      <c r="W724" t="s">
        <v>472</v>
      </c>
      <c r="X724" s="2">
        <v>0.371</v>
      </c>
      <c r="Y724" s="6">
        <f t="shared" si="94"/>
        <v>9.9036331117695747E-3</v>
      </c>
      <c r="AA724">
        <v>486604</v>
      </c>
      <c r="AB724">
        <v>28580</v>
      </c>
      <c r="AC724" t="s">
        <v>471</v>
      </c>
      <c r="AD724" t="s">
        <v>4</v>
      </c>
      <c r="AE724">
        <v>22</v>
      </c>
      <c r="AF724">
        <v>6</v>
      </c>
      <c r="AH724" t="s">
        <v>480</v>
      </c>
      <c r="AI724" t="s">
        <v>479</v>
      </c>
      <c r="AK724" t="s">
        <v>478</v>
      </c>
      <c r="AL724">
        <v>5</v>
      </c>
      <c r="AM724" s="5">
        <f t="shared" si="90"/>
        <v>0.14285714285714285</v>
      </c>
      <c r="AN724" s="4">
        <f t="shared" si="95"/>
        <v>2.1636825877643749E-4</v>
      </c>
      <c r="AO724" s="3"/>
      <c r="AP724">
        <v>0</v>
      </c>
      <c r="AR724" t="s">
        <v>0</v>
      </c>
      <c r="AT724" s="2">
        <v>1.431</v>
      </c>
      <c r="AU724" s="1">
        <f t="shared" si="91"/>
        <v>0.69974536558716327</v>
      </c>
      <c r="AV724" s="1">
        <f t="shared" si="92"/>
        <v>0.50600006852730062</v>
      </c>
      <c r="AW724" s="1">
        <f t="shared" si="93"/>
        <v>0.31225477146743785</v>
      </c>
    </row>
    <row r="725" spans="1:49" x14ac:dyDescent="0.2">
      <c r="A725">
        <v>723</v>
      </c>
      <c r="B725" t="s">
        <v>477</v>
      </c>
      <c r="C725" t="s">
        <v>476</v>
      </c>
      <c r="F725" t="s">
        <v>475</v>
      </c>
      <c r="G725" t="s">
        <v>14</v>
      </c>
      <c r="H725" t="s">
        <v>13</v>
      </c>
      <c r="I725" t="s">
        <v>474</v>
      </c>
      <c r="N725">
        <v>1</v>
      </c>
      <c r="O725" t="s">
        <v>473</v>
      </c>
      <c r="P725">
        <v>7005564352</v>
      </c>
      <c r="R725" s="7">
        <v>31778</v>
      </c>
      <c r="S725" s="8">
        <f t="shared" si="88"/>
        <v>1987</v>
      </c>
      <c r="T725" s="8">
        <v>1987</v>
      </c>
      <c r="U725" s="8">
        <f t="shared" si="89"/>
        <v>35</v>
      </c>
      <c r="V725" s="7">
        <v>32082</v>
      </c>
      <c r="W725" t="s">
        <v>472</v>
      </c>
      <c r="X725" s="2">
        <v>0.371</v>
      </c>
      <c r="Y725" s="6">
        <f t="shared" si="94"/>
        <v>9.9036331117695747E-3</v>
      </c>
      <c r="AA725">
        <v>486604</v>
      </c>
      <c r="AB725">
        <v>28580</v>
      </c>
      <c r="AC725" t="s">
        <v>471</v>
      </c>
      <c r="AD725" t="s">
        <v>4</v>
      </c>
      <c r="AE725">
        <v>22</v>
      </c>
      <c r="AF725">
        <v>6</v>
      </c>
      <c r="AH725" t="s">
        <v>470</v>
      </c>
      <c r="AI725" t="s">
        <v>469</v>
      </c>
      <c r="AK725" t="s">
        <v>468</v>
      </c>
      <c r="AL725">
        <v>211</v>
      </c>
      <c r="AM725" s="5">
        <f t="shared" si="90"/>
        <v>6.0285714285714285</v>
      </c>
      <c r="AN725" s="4">
        <f t="shared" si="95"/>
        <v>9.1307405203656621E-3</v>
      </c>
      <c r="AO725" s="3"/>
      <c r="AP725">
        <v>0</v>
      </c>
      <c r="AR725" t="s">
        <v>0</v>
      </c>
      <c r="AT725" s="2">
        <v>1.431</v>
      </c>
      <c r="AU725" s="1">
        <f t="shared" si="91"/>
        <v>0.96717653343484</v>
      </c>
      <c r="AV725" s="1">
        <f t="shared" si="92"/>
        <v>0.95171868160676187</v>
      </c>
      <c r="AW725" s="1">
        <f t="shared" si="93"/>
        <v>0.93626082977868352</v>
      </c>
    </row>
    <row r="726" spans="1:49" x14ac:dyDescent="0.2">
      <c r="A726">
        <v>724</v>
      </c>
      <c r="B726" t="s">
        <v>467</v>
      </c>
      <c r="C726" t="s">
        <v>466</v>
      </c>
      <c r="D726">
        <v>250687487800513</v>
      </c>
      <c r="F726" t="s">
        <v>465</v>
      </c>
      <c r="G726" t="s">
        <v>14</v>
      </c>
      <c r="H726" t="s">
        <v>13</v>
      </c>
      <c r="I726" t="s">
        <v>464</v>
      </c>
      <c r="J726" t="s">
        <v>463</v>
      </c>
      <c r="K726" t="s">
        <v>462</v>
      </c>
      <c r="L726" t="s">
        <v>461</v>
      </c>
      <c r="M726" t="s">
        <v>460</v>
      </c>
      <c r="N726">
        <v>3</v>
      </c>
      <c r="O726" t="s">
        <v>459</v>
      </c>
      <c r="P726" t="s">
        <v>458</v>
      </c>
      <c r="Q726" t="s">
        <v>457</v>
      </c>
      <c r="R726" s="7">
        <v>31778</v>
      </c>
      <c r="S726" s="8">
        <f t="shared" si="88"/>
        <v>1987</v>
      </c>
      <c r="T726" s="8">
        <v>1987</v>
      </c>
      <c r="U726" s="8">
        <f t="shared" si="89"/>
        <v>35</v>
      </c>
      <c r="V726" s="7" t="s">
        <v>456</v>
      </c>
      <c r="W726" t="s">
        <v>455</v>
      </c>
      <c r="X726" s="2" t="s">
        <v>32</v>
      </c>
      <c r="Y726" s="6" t="e">
        <f t="shared" si="94"/>
        <v>#VALUE!</v>
      </c>
      <c r="AA726">
        <v>2506874</v>
      </c>
      <c r="AB726">
        <v>32685</v>
      </c>
      <c r="AD726" t="s">
        <v>4</v>
      </c>
      <c r="AE726">
        <v>12</v>
      </c>
      <c r="AF726">
        <v>4</v>
      </c>
      <c r="AH726" t="s">
        <v>454</v>
      </c>
      <c r="AI726" t="s">
        <v>453</v>
      </c>
      <c r="AK726" t="s">
        <v>452</v>
      </c>
      <c r="AL726">
        <v>1</v>
      </c>
      <c r="AM726" s="5">
        <f t="shared" si="90"/>
        <v>2.8571428571428571E-2</v>
      </c>
      <c r="AN726" s="4">
        <f t="shared" si="95"/>
        <v>4.32736517552875E-5</v>
      </c>
      <c r="AO726" s="3"/>
      <c r="AP726">
        <v>0</v>
      </c>
      <c r="AR726" t="s">
        <v>0</v>
      </c>
      <c r="AT726" s="2" t="s">
        <v>32</v>
      </c>
      <c r="AU726" s="1" t="e">
        <f t="shared" si="91"/>
        <v>#VALUE!</v>
      </c>
      <c r="AV726" s="1" t="e">
        <f t="shared" si="92"/>
        <v>#VALUE!</v>
      </c>
      <c r="AW726" s="1" t="e">
        <f t="shared" si="93"/>
        <v>#VALUE!</v>
      </c>
    </row>
    <row r="727" spans="1:49" x14ac:dyDescent="0.2">
      <c r="A727">
        <v>725</v>
      </c>
      <c r="B727" t="s">
        <v>451</v>
      </c>
      <c r="C727" t="s">
        <v>450</v>
      </c>
      <c r="F727" t="s">
        <v>449</v>
      </c>
      <c r="G727" t="s">
        <v>14</v>
      </c>
      <c r="H727" t="s">
        <v>13</v>
      </c>
      <c r="I727" t="s">
        <v>448</v>
      </c>
      <c r="J727">
        <v>60028333</v>
      </c>
      <c r="K727" t="s">
        <v>447</v>
      </c>
      <c r="L727" t="s">
        <v>446</v>
      </c>
      <c r="M727" t="s">
        <v>40</v>
      </c>
      <c r="N727">
        <v>2</v>
      </c>
      <c r="O727" t="s">
        <v>445</v>
      </c>
      <c r="P727" t="s">
        <v>444</v>
      </c>
      <c r="Q727" t="s">
        <v>443</v>
      </c>
      <c r="R727" s="7">
        <v>31778</v>
      </c>
      <c r="S727" s="8">
        <f t="shared" si="88"/>
        <v>1987</v>
      </c>
      <c r="T727" s="8">
        <v>1987</v>
      </c>
      <c r="U727" s="8">
        <f t="shared" si="89"/>
        <v>35</v>
      </c>
      <c r="V727" s="7">
        <v>1987</v>
      </c>
      <c r="W727" t="s">
        <v>429</v>
      </c>
      <c r="X727" s="2">
        <v>0.375</v>
      </c>
      <c r="Y727" s="6">
        <f t="shared" si="94"/>
        <v>1.0010410827260351E-2</v>
      </c>
      <c r="AA727">
        <v>135194</v>
      </c>
      <c r="AB727">
        <v>24918</v>
      </c>
      <c r="AD727" t="s">
        <v>4</v>
      </c>
      <c r="AE727">
        <v>23</v>
      </c>
      <c r="AF727">
        <v>16</v>
      </c>
      <c r="AH727" t="s">
        <v>442</v>
      </c>
      <c r="AI727" t="s">
        <v>441</v>
      </c>
      <c r="AJ727" t="s">
        <v>440</v>
      </c>
      <c r="AK727" t="s">
        <v>439</v>
      </c>
      <c r="AL727">
        <v>2</v>
      </c>
      <c r="AM727" s="5">
        <f t="shared" si="90"/>
        <v>5.7142857142857141E-2</v>
      </c>
      <c r="AN727" s="4">
        <f t="shared" si="95"/>
        <v>8.6547303510575E-5</v>
      </c>
      <c r="AO727" s="3"/>
      <c r="AP727">
        <v>0</v>
      </c>
      <c r="AR727" t="s">
        <v>0</v>
      </c>
      <c r="AT727" s="2">
        <v>1.3140000000000001</v>
      </c>
      <c r="AU727" s="1">
        <f t="shared" si="91"/>
        <v>0.7033251770135418</v>
      </c>
      <c r="AV727" s="1">
        <f t="shared" si="92"/>
        <v>0.50484790653854639</v>
      </c>
      <c r="AW727" s="1">
        <f t="shared" si="93"/>
        <v>0.30637063606355081</v>
      </c>
    </row>
    <row r="728" spans="1:49" x14ac:dyDescent="0.2">
      <c r="A728">
        <v>726</v>
      </c>
      <c r="B728" t="s">
        <v>438</v>
      </c>
      <c r="C728" t="s">
        <v>437</v>
      </c>
      <c r="F728" t="s">
        <v>436</v>
      </c>
      <c r="G728" t="s">
        <v>14</v>
      </c>
      <c r="H728" t="s">
        <v>13</v>
      </c>
      <c r="I728" t="s">
        <v>435</v>
      </c>
      <c r="J728" t="s">
        <v>430</v>
      </c>
      <c r="K728" t="s">
        <v>434</v>
      </c>
      <c r="L728" t="s">
        <v>433</v>
      </c>
      <c r="M728" t="s">
        <v>392</v>
      </c>
      <c r="N728">
        <v>2</v>
      </c>
      <c r="O728" t="s">
        <v>432</v>
      </c>
      <c r="P728" t="s">
        <v>431</v>
      </c>
      <c r="Q728" t="s">
        <v>430</v>
      </c>
      <c r="R728" s="7">
        <v>31778</v>
      </c>
      <c r="S728" s="8">
        <f t="shared" si="88"/>
        <v>1987</v>
      </c>
      <c r="T728" s="8">
        <v>1987</v>
      </c>
      <c r="U728" s="8">
        <f t="shared" si="89"/>
        <v>35</v>
      </c>
      <c r="V728" s="7">
        <v>1987</v>
      </c>
      <c r="W728" t="s">
        <v>429</v>
      </c>
      <c r="X728" s="2">
        <v>0.375</v>
      </c>
      <c r="Y728" s="6">
        <f t="shared" si="94"/>
        <v>1.0010410827260351E-2</v>
      </c>
      <c r="AA728">
        <v>135194</v>
      </c>
      <c r="AB728">
        <v>24918</v>
      </c>
      <c r="AD728" t="s">
        <v>4</v>
      </c>
      <c r="AE728">
        <v>23</v>
      </c>
      <c r="AF728">
        <v>16</v>
      </c>
      <c r="AH728" t="s">
        <v>428</v>
      </c>
      <c r="AI728" t="s">
        <v>427</v>
      </c>
      <c r="AJ728" t="s">
        <v>426</v>
      </c>
      <c r="AK728" t="s">
        <v>425</v>
      </c>
      <c r="AL728">
        <v>0</v>
      </c>
      <c r="AM728" s="5">
        <f t="shared" si="90"/>
        <v>0</v>
      </c>
      <c r="AN728" s="4">
        <f t="shared" si="95"/>
        <v>0</v>
      </c>
      <c r="AO728" s="3"/>
      <c r="AP728">
        <v>0</v>
      </c>
      <c r="AR728" t="s">
        <v>0</v>
      </c>
      <c r="AT728" s="2">
        <v>1.3140000000000001</v>
      </c>
      <c r="AU728" s="1">
        <f t="shared" si="91"/>
        <v>0.70072875790822453</v>
      </c>
      <c r="AV728" s="1">
        <f t="shared" si="92"/>
        <v>0.5005205413630176</v>
      </c>
      <c r="AW728" s="1">
        <f t="shared" si="93"/>
        <v>0.30031232481781051</v>
      </c>
    </row>
    <row r="729" spans="1:49" x14ac:dyDescent="0.2">
      <c r="A729">
        <v>727</v>
      </c>
      <c r="B729" t="s">
        <v>424</v>
      </c>
      <c r="C729" t="s">
        <v>423</v>
      </c>
      <c r="F729" t="s">
        <v>422</v>
      </c>
      <c r="G729" t="s">
        <v>14</v>
      </c>
      <c r="H729" t="s">
        <v>13</v>
      </c>
      <c r="I729" t="s">
        <v>421</v>
      </c>
      <c r="J729" t="s">
        <v>420</v>
      </c>
      <c r="K729" t="s">
        <v>419</v>
      </c>
      <c r="L729" t="s">
        <v>418</v>
      </c>
      <c r="M729" t="s">
        <v>55</v>
      </c>
      <c r="N729">
        <v>1</v>
      </c>
      <c r="O729" t="s">
        <v>417</v>
      </c>
      <c r="P729">
        <v>6602215935</v>
      </c>
      <c r="Q729" t="s">
        <v>416</v>
      </c>
      <c r="R729" s="7">
        <v>31778</v>
      </c>
      <c r="S729" s="8">
        <f t="shared" si="88"/>
        <v>1987</v>
      </c>
      <c r="T729" s="8">
        <v>1987</v>
      </c>
      <c r="U729" s="8">
        <f t="shared" si="89"/>
        <v>35</v>
      </c>
      <c r="V729" s="7">
        <v>31929</v>
      </c>
      <c r="W729" t="s">
        <v>388</v>
      </c>
      <c r="X729" s="2">
        <v>0.82</v>
      </c>
      <c r="Y729" s="6">
        <f t="shared" si="94"/>
        <v>2.1889431675609299E-2</v>
      </c>
      <c r="AA729">
        <v>189456</v>
      </c>
      <c r="AB729">
        <v>15361</v>
      </c>
      <c r="AC729">
        <v>15579662</v>
      </c>
      <c r="AD729" t="s">
        <v>4</v>
      </c>
      <c r="AE729" t="s">
        <v>387</v>
      </c>
      <c r="AF729">
        <v>2</v>
      </c>
      <c r="AH729" t="s">
        <v>415</v>
      </c>
      <c r="AI729" t="s">
        <v>414</v>
      </c>
      <c r="AK729" t="s">
        <v>413</v>
      </c>
      <c r="AL729">
        <v>2</v>
      </c>
      <c r="AM729" s="5">
        <f t="shared" si="90"/>
        <v>5.7142857142857141E-2</v>
      </c>
      <c r="AN729" s="4">
        <f t="shared" si="95"/>
        <v>8.6547303510575E-5</v>
      </c>
      <c r="AO729" s="3"/>
      <c r="AP729">
        <v>0</v>
      </c>
      <c r="AR729" t="s">
        <v>0</v>
      </c>
      <c r="AT729" s="2" t="s">
        <v>32</v>
      </c>
      <c r="AU729" s="1">
        <f t="shared" si="91"/>
        <v>1.5348566363979681</v>
      </c>
      <c r="AV729" s="1">
        <f t="shared" si="92"/>
        <v>1.0987989489559935</v>
      </c>
      <c r="AW729" s="1">
        <f t="shared" si="93"/>
        <v>0.66274126151401913</v>
      </c>
    </row>
    <row r="730" spans="1:49" x14ac:dyDescent="0.2">
      <c r="A730">
        <v>728</v>
      </c>
      <c r="B730" t="s">
        <v>412</v>
      </c>
      <c r="C730" t="s">
        <v>411</v>
      </c>
      <c r="F730" t="s">
        <v>410</v>
      </c>
      <c r="G730" t="s">
        <v>14</v>
      </c>
      <c r="H730" t="s">
        <v>13</v>
      </c>
      <c r="I730" t="s">
        <v>409</v>
      </c>
      <c r="J730">
        <v>60029570</v>
      </c>
      <c r="K730" t="s">
        <v>408</v>
      </c>
      <c r="L730" t="s">
        <v>407</v>
      </c>
      <c r="M730" t="s">
        <v>406</v>
      </c>
      <c r="N730">
        <v>2</v>
      </c>
      <c r="O730" t="s">
        <v>405</v>
      </c>
      <c r="P730" t="s">
        <v>404</v>
      </c>
      <c r="Q730" t="s">
        <v>403</v>
      </c>
      <c r="R730" s="7">
        <v>31778</v>
      </c>
      <c r="S730" s="8">
        <f t="shared" si="88"/>
        <v>1987</v>
      </c>
      <c r="T730" s="8">
        <v>1987</v>
      </c>
      <c r="U730" s="8">
        <f t="shared" si="89"/>
        <v>35</v>
      </c>
      <c r="V730" s="7">
        <v>31929</v>
      </c>
      <c r="W730" t="s">
        <v>388</v>
      </c>
      <c r="X730" s="2">
        <v>0.82</v>
      </c>
      <c r="Y730" s="6">
        <f t="shared" si="94"/>
        <v>2.1889431675609299E-2</v>
      </c>
      <c r="AA730">
        <v>189456</v>
      </c>
      <c r="AB730">
        <v>15361</v>
      </c>
      <c r="AC730">
        <v>15579662</v>
      </c>
      <c r="AD730" t="s">
        <v>4</v>
      </c>
      <c r="AE730" t="s">
        <v>387</v>
      </c>
      <c r="AF730">
        <v>2</v>
      </c>
      <c r="AH730" t="s">
        <v>402</v>
      </c>
      <c r="AI730" t="s">
        <v>401</v>
      </c>
      <c r="AK730" t="s">
        <v>400</v>
      </c>
      <c r="AL730">
        <v>0</v>
      </c>
      <c r="AM730" s="5">
        <f t="shared" si="90"/>
        <v>0</v>
      </c>
      <c r="AN730" s="4">
        <f t="shared" si="95"/>
        <v>0</v>
      </c>
      <c r="AO730" s="3"/>
      <c r="AP730">
        <v>0</v>
      </c>
      <c r="AR730" t="s">
        <v>0</v>
      </c>
      <c r="AT730" s="2" t="s">
        <v>32</v>
      </c>
      <c r="AU730" s="1">
        <f t="shared" si="91"/>
        <v>1.5322602172926507</v>
      </c>
      <c r="AV730" s="1">
        <f t="shared" si="92"/>
        <v>1.0944715837804648</v>
      </c>
      <c r="AW730" s="1">
        <f t="shared" si="93"/>
        <v>0.65668295026827894</v>
      </c>
    </row>
    <row r="731" spans="1:49" x14ac:dyDescent="0.2">
      <c r="A731">
        <v>729</v>
      </c>
      <c r="B731" t="s">
        <v>399</v>
      </c>
      <c r="C731" t="s">
        <v>398</v>
      </c>
      <c r="F731" t="s">
        <v>397</v>
      </c>
      <c r="G731" t="s">
        <v>14</v>
      </c>
      <c r="H731" t="s">
        <v>13</v>
      </c>
      <c r="I731" t="s">
        <v>396</v>
      </c>
      <c r="J731" t="s">
        <v>395</v>
      </c>
      <c r="K731" t="s">
        <v>394</v>
      </c>
      <c r="L731" t="s">
        <v>393</v>
      </c>
      <c r="M731" t="s">
        <v>392</v>
      </c>
      <c r="N731">
        <v>2</v>
      </c>
      <c r="O731" t="s">
        <v>391</v>
      </c>
      <c r="P731" t="s">
        <v>390</v>
      </c>
      <c r="Q731" t="s">
        <v>389</v>
      </c>
      <c r="R731" s="7">
        <v>31778</v>
      </c>
      <c r="S731" s="8">
        <f t="shared" si="88"/>
        <v>1987</v>
      </c>
      <c r="T731" s="8">
        <v>1987</v>
      </c>
      <c r="U731" s="8">
        <f t="shared" si="89"/>
        <v>35</v>
      </c>
      <c r="V731" s="7">
        <v>31929</v>
      </c>
      <c r="W731" t="s">
        <v>388</v>
      </c>
      <c r="X731" s="2">
        <v>0.82</v>
      </c>
      <c r="Y731" s="6">
        <f t="shared" si="94"/>
        <v>2.1889431675609299E-2</v>
      </c>
      <c r="AA731">
        <v>189456</v>
      </c>
      <c r="AB731">
        <v>15361</v>
      </c>
      <c r="AC731">
        <v>15579662</v>
      </c>
      <c r="AD731" t="s">
        <v>4</v>
      </c>
      <c r="AE731" t="s">
        <v>387</v>
      </c>
      <c r="AF731">
        <v>2</v>
      </c>
      <c r="AH731" t="s">
        <v>386</v>
      </c>
      <c r="AI731" t="s">
        <v>385</v>
      </c>
      <c r="AK731" t="s">
        <v>384</v>
      </c>
      <c r="AL731">
        <v>0</v>
      </c>
      <c r="AM731" s="5">
        <f t="shared" si="90"/>
        <v>0</v>
      </c>
      <c r="AN731" s="4">
        <f t="shared" si="95"/>
        <v>0</v>
      </c>
      <c r="AO731" s="3"/>
      <c r="AP731">
        <v>0</v>
      </c>
      <c r="AR731" t="s">
        <v>0</v>
      </c>
      <c r="AT731" s="2" t="s">
        <v>32</v>
      </c>
      <c r="AU731" s="1">
        <f t="shared" si="91"/>
        <v>1.5322602172926507</v>
      </c>
      <c r="AV731" s="1">
        <f t="shared" si="92"/>
        <v>1.0944715837804648</v>
      </c>
      <c r="AW731" s="1">
        <f t="shared" si="93"/>
        <v>0.65668295026827894</v>
      </c>
    </row>
    <row r="732" spans="1:49" x14ac:dyDescent="0.2">
      <c r="A732">
        <v>730</v>
      </c>
      <c r="B732" t="s">
        <v>383</v>
      </c>
      <c r="C732" t="s">
        <v>382</v>
      </c>
      <c r="F732" t="s">
        <v>381</v>
      </c>
      <c r="G732" t="s">
        <v>14</v>
      </c>
      <c r="H732" t="s">
        <v>13</v>
      </c>
      <c r="I732" t="s">
        <v>380</v>
      </c>
      <c r="J732" t="s">
        <v>379</v>
      </c>
      <c r="K732" t="s">
        <v>378</v>
      </c>
      <c r="L732" t="s">
        <v>377</v>
      </c>
      <c r="M732" t="s">
        <v>376</v>
      </c>
      <c r="N732">
        <v>5</v>
      </c>
      <c r="O732" t="s">
        <v>375</v>
      </c>
      <c r="P732" t="s">
        <v>374</v>
      </c>
      <c r="Q732" t="s">
        <v>373</v>
      </c>
      <c r="R732" s="7">
        <v>31778</v>
      </c>
      <c r="S732" s="8">
        <f t="shared" si="88"/>
        <v>1987</v>
      </c>
      <c r="T732" s="8">
        <v>1987</v>
      </c>
      <c r="U732" s="8">
        <f t="shared" si="89"/>
        <v>35</v>
      </c>
      <c r="V732" s="7">
        <v>31898</v>
      </c>
      <c r="W732" t="s">
        <v>372</v>
      </c>
      <c r="X732" s="2">
        <v>2.141</v>
      </c>
      <c r="Y732" s="6">
        <f t="shared" si="94"/>
        <v>5.7152772216438434E-2</v>
      </c>
      <c r="AA732">
        <v>1962892</v>
      </c>
      <c r="AB732">
        <v>17360</v>
      </c>
      <c r="AC732">
        <v>15580644</v>
      </c>
      <c r="AD732" t="s">
        <v>4</v>
      </c>
      <c r="AE732" t="s">
        <v>371</v>
      </c>
      <c r="AF732">
        <v>3</v>
      </c>
      <c r="AH732" t="s">
        <v>370</v>
      </c>
      <c r="AI732" t="s">
        <v>369</v>
      </c>
      <c r="AK732" t="s">
        <v>368</v>
      </c>
      <c r="AL732">
        <v>6</v>
      </c>
      <c r="AM732" s="5">
        <f t="shared" si="90"/>
        <v>0.17142857142857143</v>
      </c>
      <c r="AN732" s="4">
        <f t="shared" si="95"/>
        <v>2.5964191053172501E-4</v>
      </c>
      <c r="AO732" s="3"/>
      <c r="AP732">
        <v>0</v>
      </c>
      <c r="AR732" t="s">
        <v>0</v>
      </c>
      <c r="AT732" s="2" t="s">
        <v>32</v>
      </c>
      <c r="AU732" s="1">
        <f t="shared" si="91"/>
        <v>4.0084833124666419</v>
      </c>
      <c r="AV732" s="1">
        <f t="shared" si="92"/>
        <v>2.8706207063485079</v>
      </c>
      <c r="AW732" s="1">
        <f t="shared" si="93"/>
        <v>1.7327581002303738</v>
      </c>
    </row>
    <row r="733" spans="1:49" x14ac:dyDescent="0.2">
      <c r="A733">
        <v>731</v>
      </c>
      <c r="B733" t="s">
        <v>367</v>
      </c>
      <c r="F733" t="s">
        <v>366</v>
      </c>
      <c r="G733" t="s">
        <v>14</v>
      </c>
      <c r="H733" t="s">
        <v>13</v>
      </c>
      <c r="I733" t="s">
        <v>365</v>
      </c>
      <c r="J733">
        <v>60025038</v>
      </c>
      <c r="K733" t="s">
        <v>364</v>
      </c>
      <c r="L733" t="s">
        <v>363</v>
      </c>
      <c r="M733" t="s">
        <v>9</v>
      </c>
      <c r="N733">
        <v>1</v>
      </c>
      <c r="O733" t="s">
        <v>362</v>
      </c>
      <c r="P733">
        <v>7201484168</v>
      </c>
      <c r="Q733">
        <v>60025038</v>
      </c>
      <c r="R733" s="7">
        <v>31778</v>
      </c>
      <c r="S733" s="8">
        <f t="shared" si="88"/>
        <v>1987</v>
      </c>
      <c r="T733" s="8">
        <v>1987</v>
      </c>
      <c r="U733" s="8">
        <f t="shared" si="89"/>
        <v>35</v>
      </c>
      <c r="V733" s="7" t="s">
        <v>361</v>
      </c>
      <c r="W733" t="s">
        <v>360</v>
      </c>
      <c r="X733" s="2">
        <v>0.62</v>
      </c>
      <c r="Y733" s="6">
        <f t="shared" si="94"/>
        <v>1.6550545901070447E-2</v>
      </c>
      <c r="AA733">
        <v>189464</v>
      </c>
      <c r="AB733">
        <v>17364</v>
      </c>
      <c r="AD733" t="s">
        <v>4</v>
      </c>
      <c r="AE733" t="s">
        <v>359</v>
      </c>
      <c r="AF733">
        <v>2</v>
      </c>
      <c r="AI733" t="s">
        <v>358</v>
      </c>
      <c r="AK733" t="s">
        <v>357</v>
      </c>
      <c r="AL733">
        <v>0</v>
      </c>
      <c r="AM733" s="5">
        <f t="shared" si="90"/>
        <v>0</v>
      </c>
      <c r="AN733" s="4">
        <f t="shared" si="95"/>
        <v>0</v>
      </c>
      <c r="AO733" s="3"/>
      <c r="AP733">
        <v>0</v>
      </c>
      <c r="AR733" t="s">
        <v>0</v>
      </c>
      <c r="AT733" s="2">
        <v>1.7</v>
      </c>
      <c r="AU733" s="1">
        <f t="shared" si="91"/>
        <v>1.1585382130749313</v>
      </c>
      <c r="AV733" s="1">
        <f t="shared" si="92"/>
        <v>0.8275272950535224</v>
      </c>
      <c r="AW733" s="1">
        <f t="shared" si="93"/>
        <v>0.49651637703211338</v>
      </c>
    </row>
    <row r="734" spans="1:49" x14ac:dyDescent="0.2">
      <c r="A734">
        <v>732</v>
      </c>
      <c r="B734" t="s">
        <v>356</v>
      </c>
      <c r="C734" t="s">
        <v>355</v>
      </c>
      <c r="D734" t="s">
        <v>354</v>
      </c>
      <c r="F734" t="s">
        <v>353</v>
      </c>
      <c r="G734" t="s">
        <v>14</v>
      </c>
      <c r="H734" t="s">
        <v>13</v>
      </c>
      <c r="I734" t="s">
        <v>352</v>
      </c>
      <c r="N734">
        <v>2</v>
      </c>
      <c r="O734" t="s">
        <v>351</v>
      </c>
      <c r="P734" t="s">
        <v>350</v>
      </c>
      <c r="Q734" t="s">
        <v>349</v>
      </c>
      <c r="R734" s="7">
        <v>31778</v>
      </c>
      <c r="S734" s="8">
        <f t="shared" si="88"/>
        <v>1987</v>
      </c>
      <c r="T734" s="8">
        <v>1987</v>
      </c>
      <c r="U734" s="8">
        <f t="shared" si="89"/>
        <v>35</v>
      </c>
      <c r="V734" s="7">
        <v>1987</v>
      </c>
      <c r="W734" t="s">
        <v>170</v>
      </c>
      <c r="X734" s="2">
        <v>1.7130000000000001</v>
      </c>
      <c r="Y734" s="6">
        <f t="shared" si="94"/>
        <v>4.5727556658925285E-2</v>
      </c>
      <c r="AA734">
        <v>63495</v>
      </c>
      <c r="AB734">
        <v>14859</v>
      </c>
      <c r="AD734" t="s">
        <v>4</v>
      </c>
      <c r="AE734">
        <v>52</v>
      </c>
      <c r="AF734">
        <v>5</v>
      </c>
      <c r="AH734" t="s">
        <v>348</v>
      </c>
      <c r="AI734" t="s">
        <v>347</v>
      </c>
      <c r="AK734" t="s">
        <v>346</v>
      </c>
      <c r="AL734">
        <v>68</v>
      </c>
      <c r="AM734" s="5">
        <f t="shared" si="90"/>
        <v>1.9428571428571428</v>
      </c>
      <c r="AN734" s="4">
        <f t="shared" si="95"/>
        <v>2.9426083193595499E-3</v>
      </c>
      <c r="AO734" s="3"/>
      <c r="AP734">
        <v>1</v>
      </c>
      <c r="AR734" t="s">
        <v>0</v>
      </c>
      <c r="AT734" s="2">
        <v>4.0330000000000004</v>
      </c>
      <c r="AU734" s="1">
        <f t="shared" si="91"/>
        <v>3.2892072157055563</v>
      </c>
      <c r="AV734" s="1">
        <f t="shared" si="92"/>
        <v>2.4335082489142419</v>
      </c>
      <c r="AW734" s="1">
        <f t="shared" si="93"/>
        <v>1.5778092821229268</v>
      </c>
    </row>
    <row r="735" spans="1:49" x14ac:dyDescent="0.2">
      <c r="A735">
        <v>733</v>
      </c>
      <c r="B735" t="s">
        <v>345</v>
      </c>
      <c r="C735" t="s">
        <v>344</v>
      </c>
      <c r="F735" t="s">
        <v>343</v>
      </c>
      <c r="G735" t="s">
        <v>14</v>
      </c>
      <c r="H735" t="s">
        <v>13</v>
      </c>
      <c r="I735" t="s">
        <v>342</v>
      </c>
      <c r="J735">
        <v>60027561</v>
      </c>
      <c r="K735" t="s">
        <v>341</v>
      </c>
      <c r="L735" t="s">
        <v>340</v>
      </c>
      <c r="M735" t="s">
        <v>9</v>
      </c>
      <c r="N735">
        <v>2</v>
      </c>
      <c r="O735" t="s">
        <v>339</v>
      </c>
      <c r="P735" t="s">
        <v>338</v>
      </c>
      <c r="Q735" t="s">
        <v>337</v>
      </c>
      <c r="R735" s="7">
        <v>31778</v>
      </c>
      <c r="S735" s="8">
        <f t="shared" si="88"/>
        <v>1987</v>
      </c>
      <c r="T735" s="8">
        <v>1987</v>
      </c>
      <c r="U735" s="8">
        <f t="shared" si="89"/>
        <v>35</v>
      </c>
      <c r="V735" s="7">
        <v>31990</v>
      </c>
      <c r="W735" t="s">
        <v>336</v>
      </c>
      <c r="X735" s="2">
        <v>1.6519999999999999</v>
      </c>
      <c r="Y735" s="6">
        <f t="shared" si="94"/>
        <v>4.409919649769093E-2</v>
      </c>
      <c r="AA735" t="s">
        <v>335</v>
      </c>
      <c r="AB735">
        <v>17337</v>
      </c>
      <c r="AC735">
        <v>15582221</v>
      </c>
      <c r="AD735" t="s">
        <v>4</v>
      </c>
      <c r="AE735">
        <v>35</v>
      </c>
      <c r="AF735">
        <v>8</v>
      </c>
      <c r="AH735" t="s">
        <v>334</v>
      </c>
      <c r="AI735" t="s">
        <v>333</v>
      </c>
      <c r="AK735" t="s">
        <v>332</v>
      </c>
      <c r="AL735">
        <v>48</v>
      </c>
      <c r="AM735" s="5">
        <f t="shared" si="90"/>
        <v>1.3714285714285714</v>
      </c>
      <c r="AN735" s="4">
        <f t="shared" si="95"/>
        <v>2.0771352842538001E-3</v>
      </c>
      <c r="AO735" s="3"/>
      <c r="AP735">
        <v>0</v>
      </c>
      <c r="AQ735" t="s">
        <v>331</v>
      </c>
      <c r="AR735" t="s">
        <v>330</v>
      </c>
      <c r="AS735" t="s">
        <v>329</v>
      </c>
      <c r="AT735" s="2" t="s">
        <v>32</v>
      </c>
      <c r="AU735" s="1">
        <f t="shared" si="91"/>
        <v>3.149257813365979</v>
      </c>
      <c r="AV735" s="1">
        <f t="shared" si="92"/>
        <v>2.3088165890972365</v>
      </c>
      <c r="AW735" s="1">
        <f t="shared" si="93"/>
        <v>1.4683753648284938</v>
      </c>
    </row>
    <row r="736" spans="1:49" x14ac:dyDescent="0.2">
      <c r="A736">
        <v>734</v>
      </c>
      <c r="B736" t="s">
        <v>328</v>
      </c>
      <c r="C736" t="s">
        <v>327</v>
      </c>
      <c r="F736" t="s">
        <v>326</v>
      </c>
      <c r="G736" t="s">
        <v>14</v>
      </c>
      <c r="H736" t="s">
        <v>13</v>
      </c>
      <c r="I736" t="s">
        <v>325</v>
      </c>
      <c r="J736">
        <v>60032083</v>
      </c>
      <c r="K736" t="s">
        <v>324</v>
      </c>
      <c r="L736" t="s">
        <v>323</v>
      </c>
      <c r="M736" t="s">
        <v>9</v>
      </c>
      <c r="N736">
        <v>2</v>
      </c>
      <c r="O736" t="s">
        <v>322</v>
      </c>
      <c r="P736" t="s">
        <v>321</v>
      </c>
      <c r="Q736" t="s">
        <v>320</v>
      </c>
      <c r="R736" s="7">
        <v>31778</v>
      </c>
      <c r="S736" s="8">
        <f t="shared" si="88"/>
        <v>1987</v>
      </c>
      <c r="T736" s="8">
        <v>1987</v>
      </c>
      <c r="U736" s="8">
        <f t="shared" si="89"/>
        <v>35</v>
      </c>
      <c r="V736" s="7">
        <v>1987</v>
      </c>
      <c r="W736" t="s">
        <v>319</v>
      </c>
      <c r="X736" s="2" t="s">
        <v>32</v>
      </c>
      <c r="Y736" s="6" t="e">
        <f t="shared" si="94"/>
        <v>#VALUE!</v>
      </c>
      <c r="AA736">
        <v>219606</v>
      </c>
      <c r="AB736">
        <v>28134</v>
      </c>
      <c r="AD736" t="s">
        <v>4</v>
      </c>
      <c r="AE736">
        <v>87</v>
      </c>
      <c r="AF736">
        <v>11</v>
      </c>
      <c r="AH736" t="s">
        <v>318</v>
      </c>
      <c r="AI736" t="s">
        <v>317</v>
      </c>
      <c r="AK736" t="s">
        <v>316</v>
      </c>
      <c r="AL736">
        <v>14</v>
      </c>
      <c r="AM736" s="5">
        <f t="shared" si="90"/>
        <v>0.4</v>
      </c>
      <c r="AN736" s="4">
        <f t="shared" si="95"/>
        <v>6.0583112457402507E-4</v>
      </c>
      <c r="AO736" s="3"/>
      <c r="AP736">
        <v>0</v>
      </c>
      <c r="AR736" t="s">
        <v>0</v>
      </c>
      <c r="AT736" s="2" t="s">
        <v>32</v>
      </c>
      <c r="AU736" s="1" t="e">
        <f t="shared" si="91"/>
        <v>#VALUE!</v>
      </c>
      <c r="AV736" s="1" t="e">
        <f t="shared" si="92"/>
        <v>#VALUE!</v>
      </c>
      <c r="AW736" s="1" t="e">
        <f t="shared" si="93"/>
        <v>#VALUE!</v>
      </c>
    </row>
    <row r="737" spans="1:49" x14ac:dyDescent="0.2">
      <c r="A737">
        <v>735</v>
      </c>
      <c r="B737" t="s">
        <v>315</v>
      </c>
      <c r="C737" t="s">
        <v>314</v>
      </c>
      <c r="F737" t="s">
        <v>313</v>
      </c>
      <c r="G737" t="s">
        <v>14</v>
      </c>
      <c r="H737" t="s">
        <v>13</v>
      </c>
      <c r="I737" t="s">
        <v>312</v>
      </c>
      <c r="J737">
        <v>60022195</v>
      </c>
      <c r="K737" t="s">
        <v>311</v>
      </c>
      <c r="L737" t="s">
        <v>310</v>
      </c>
      <c r="M737" t="s">
        <v>9</v>
      </c>
      <c r="N737">
        <v>1</v>
      </c>
      <c r="O737" t="s">
        <v>309</v>
      </c>
      <c r="P737">
        <v>7006235993</v>
      </c>
      <c r="Q737">
        <v>60022195</v>
      </c>
      <c r="R737" s="7">
        <v>31778</v>
      </c>
      <c r="S737" s="8">
        <f t="shared" si="88"/>
        <v>1987</v>
      </c>
      <c r="T737" s="8">
        <v>1987</v>
      </c>
      <c r="U737" s="8">
        <f t="shared" si="89"/>
        <v>35</v>
      </c>
      <c r="V737" s="7">
        <v>1987</v>
      </c>
      <c r="W737" t="s">
        <v>97</v>
      </c>
      <c r="X737" s="2">
        <v>1.887</v>
      </c>
      <c r="Y737" s="6">
        <f t="shared" si="94"/>
        <v>5.0372387282774087E-2</v>
      </c>
      <c r="AA737">
        <v>5562821</v>
      </c>
      <c r="AB737">
        <v>29459</v>
      </c>
      <c r="AD737" t="s">
        <v>4</v>
      </c>
      <c r="AE737">
        <v>36</v>
      </c>
      <c r="AF737">
        <v>6</v>
      </c>
      <c r="AH737" t="s">
        <v>308</v>
      </c>
      <c r="AI737" t="s">
        <v>307</v>
      </c>
      <c r="AK737" t="s">
        <v>306</v>
      </c>
      <c r="AL737">
        <v>11</v>
      </c>
      <c r="AM737" s="5">
        <f t="shared" si="90"/>
        <v>0.31428571428571428</v>
      </c>
      <c r="AN737" s="4">
        <f t="shared" si="95"/>
        <v>4.7601016930816251E-4</v>
      </c>
      <c r="AO737" s="3"/>
      <c r="AP737">
        <v>0</v>
      </c>
      <c r="AR737" t="s">
        <v>0</v>
      </c>
      <c r="AT737" s="2">
        <v>5.2960000000000003</v>
      </c>
      <c r="AU737" s="1">
        <f t="shared" si="91"/>
        <v>3.5403474148734309</v>
      </c>
      <c r="AV737" s="1">
        <f t="shared" si="92"/>
        <v>2.5424198726041123</v>
      </c>
      <c r="AW737" s="1">
        <f t="shared" si="93"/>
        <v>1.5444923303347937</v>
      </c>
    </row>
    <row r="738" spans="1:49" x14ac:dyDescent="0.2">
      <c r="A738">
        <v>736</v>
      </c>
      <c r="B738" t="s">
        <v>305</v>
      </c>
      <c r="C738" t="s">
        <v>304</v>
      </c>
      <c r="F738" t="s">
        <v>303</v>
      </c>
      <c r="G738" t="s">
        <v>14</v>
      </c>
      <c r="H738" t="s">
        <v>13</v>
      </c>
      <c r="I738" t="s">
        <v>302</v>
      </c>
      <c r="J738">
        <v>60008134</v>
      </c>
      <c r="K738" t="s">
        <v>301</v>
      </c>
      <c r="L738" t="s">
        <v>300</v>
      </c>
      <c r="M738" t="s">
        <v>299</v>
      </c>
      <c r="N738">
        <v>2</v>
      </c>
      <c r="O738" t="s">
        <v>298</v>
      </c>
      <c r="P738" t="s">
        <v>297</v>
      </c>
      <c r="Q738" t="s">
        <v>296</v>
      </c>
      <c r="R738" s="7">
        <v>31778</v>
      </c>
      <c r="S738" s="8">
        <f t="shared" si="88"/>
        <v>1987</v>
      </c>
      <c r="T738" s="8">
        <v>1987</v>
      </c>
      <c r="U738" s="8">
        <f t="shared" si="89"/>
        <v>35</v>
      </c>
      <c r="V738" s="7">
        <v>31778</v>
      </c>
      <c r="W738" t="s">
        <v>51</v>
      </c>
      <c r="X738" s="2">
        <v>1.1579999999999999</v>
      </c>
      <c r="Y738" s="6">
        <f t="shared" si="94"/>
        <v>3.0912148634579962E-2</v>
      </c>
      <c r="AA738">
        <v>1668595</v>
      </c>
      <c r="AB738">
        <v>14223</v>
      </c>
      <c r="AC738">
        <v>15735079</v>
      </c>
      <c r="AD738" t="s">
        <v>4</v>
      </c>
      <c r="AE738">
        <v>13</v>
      </c>
      <c r="AF738">
        <v>2</v>
      </c>
      <c r="AH738" t="s">
        <v>295</v>
      </c>
      <c r="AI738" t="s">
        <v>294</v>
      </c>
      <c r="AJ738" t="s">
        <v>293</v>
      </c>
      <c r="AK738" t="s">
        <v>292</v>
      </c>
      <c r="AL738">
        <v>14</v>
      </c>
      <c r="AM738" s="5">
        <f t="shared" si="90"/>
        <v>0.4</v>
      </c>
      <c r="AN738" s="4">
        <f t="shared" si="95"/>
        <v>6.0583112457402507E-4</v>
      </c>
      <c r="AO738" s="3"/>
      <c r="AP738">
        <v>0</v>
      </c>
      <c r="AR738" t="s">
        <v>0</v>
      </c>
      <c r="AT738" s="2">
        <v>3.573</v>
      </c>
      <c r="AU738" s="1">
        <f t="shared" si="91"/>
        <v>2.1820253381578181</v>
      </c>
      <c r="AV738" s="1">
        <f t="shared" si="92"/>
        <v>1.5758989879576992</v>
      </c>
      <c r="AW738" s="1">
        <f t="shared" si="93"/>
        <v>0.9697726377575806</v>
      </c>
    </row>
    <row r="739" spans="1:49" x14ac:dyDescent="0.2">
      <c r="A739">
        <v>737</v>
      </c>
      <c r="B739" t="s">
        <v>291</v>
      </c>
      <c r="C739" t="s">
        <v>290</v>
      </c>
      <c r="F739" t="s">
        <v>289</v>
      </c>
      <c r="G739" t="s">
        <v>14</v>
      </c>
      <c r="H739" t="s">
        <v>13</v>
      </c>
      <c r="I739" t="s">
        <v>288</v>
      </c>
      <c r="J739" t="s">
        <v>287</v>
      </c>
      <c r="K739" t="s">
        <v>286</v>
      </c>
      <c r="L739" t="s">
        <v>285</v>
      </c>
      <c r="M739" t="s">
        <v>55</v>
      </c>
      <c r="N739">
        <v>4</v>
      </c>
      <c r="O739" t="s">
        <v>284</v>
      </c>
      <c r="P739" t="s">
        <v>283</v>
      </c>
      <c r="Q739" t="s">
        <v>282</v>
      </c>
      <c r="R739" s="7">
        <v>31778</v>
      </c>
      <c r="S739" s="8">
        <f t="shared" si="88"/>
        <v>1987</v>
      </c>
      <c r="T739" s="8">
        <v>1987</v>
      </c>
      <c r="U739" s="8">
        <f t="shared" si="89"/>
        <v>35</v>
      </c>
      <c r="V739" s="7">
        <v>1987</v>
      </c>
      <c r="W739" t="s">
        <v>281</v>
      </c>
      <c r="X739" s="2">
        <v>1.641</v>
      </c>
      <c r="Y739" s="6">
        <f t="shared" si="94"/>
        <v>4.3805557780091299E-2</v>
      </c>
      <c r="AA739">
        <v>223654</v>
      </c>
      <c r="AB739">
        <v>30422</v>
      </c>
      <c r="AD739" t="s">
        <v>4</v>
      </c>
      <c r="AE739">
        <v>91</v>
      </c>
      <c r="AF739">
        <v>22</v>
      </c>
      <c r="AH739" t="s">
        <v>280</v>
      </c>
      <c r="AI739" t="s">
        <v>279</v>
      </c>
      <c r="AK739" t="s">
        <v>278</v>
      </c>
      <c r="AL739">
        <v>19</v>
      </c>
      <c r="AM739" s="5">
        <f t="shared" si="90"/>
        <v>0.54285714285714282</v>
      </c>
      <c r="AN739" s="4">
        <f t="shared" si="95"/>
        <v>8.221993833504624E-4</v>
      </c>
      <c r="AO739" s="3"/>
      <c r="AP739">
        <v>0</v>
      </c>
      <c r="AR739" t="s">
        <v>0</v>
      </c>
      <c r="AT739" s="2" t="s">
        <v>32</v>
      </c>
      <c r="AU739" s="1">
        <f t="shared" si="91"/>
        <v>3.0910550261069045</v>
      </c>
      <c r="AV739" s="1">
        <f t="shared" si="92"/>
        <v>2.2313878581720883</v>
      </c>
      <c r="AW739" s="1">
        <f t="shared" si="93"/>
        <v>1.3717206902372714</v>
      </c>
    </row>
    <row r="740" spans="1:49" x14ac:dyDescent="0.2">
      <c r="A740">
        <v>738</v>
      </c>
      <c r="B740" t="s">
        <v>277</v>
      </c>
      <c r="C740" t="s">
        <v>276</v>
      </c>
      <c r="F740" t="s">
        <v>275</v>
      </c>
      <c r="G740" t="s">
        <v>14</v>
      </c>
      <c r="H740" t="s">
        <v>13</v>
      </c>
      <c r="I740" t="s">
        <v>274</v>
      </c>
      <c r="J740">
        <v>60008734</v>
      </c>
      <c r="K740" t="s">
        <v>273</v>
      </c>
      <c r="L740" t="s">
        <v>272</v>
      </c>
      <c r="M740" t="s">
        <v>271</v>
      </c>
      <c r="N740">
        <v>2</v>
      </c>
      <c r="O740" t="s">
        <v>270</v>
      </c>
      <c r="P740" t="s">
        <v>269</v>
      </c>
      <c r="Q740" t="s">
        <v>268</v>
      </c>
      <c r="R740" s="7">
        <v>31778</v>
      </c>
      <c r="S740" s="8">
        <f t="shared" si="88"/>
        <v>1987</v>
      </c>
      <c r="T740" s="8">
        <v>1987</v>
      </c>
      <c r="U740" s="8">
        <f t="shared" si="89"/>
        <v>35</v>
      </c>
      <c r="V740" s="7">
        <v>31929</v>
      </c>
      <c r="W740" t="s">
        <v>267</v>
      </c>
      <c r="X740" s="2">
        <v>0.76900000000000002</v>
      </c>
      <c r="Y740" s="6">
        <f t="shared" si="94"/>
        <v>2.0528015803101894E-2</v>
      </c>
      <c r="AA740">
        <v>9475745</v>
      </c>
      <c r="AB740">
        <v>22605</v>
      </c>
      <c r="AC740">
        <v>14390469</v>
      </c>
      <c r="AD740" t="s">
        <v>4</v>
      </c>
      <c r="AE740">
        <v>25</v>
      </c>
      <c r="AF740">
        <v>2</v>
      </c>
      <c r="AH740" t="s">
        <v>266</v>
      </c>
      <c r="AI740" t="s">
        <v>265</v>
      </c>
      <c r="AJ740" t="s">
        <v>264</v>
      </c>
      <c r="AK740" t="s">
        <v>263</v>
      </c>
      <c r="AL740">
        <v>18</v>
      </c>
      <c r="AM740" s="5">
        <f t="shared" si="90"/>
        <v>0.51428571428571423</v>
      </c>
      <c r="AN740" s="4">
        <f t="shared" si="95"/>
        <v>7.7892573159517493E-4</v>
      </c>
      <c r="AO740" s="3"/>
      <c r="AP740">
        <v>0</v>
      </c>
      <c r="AR740" t="s">
        <v>0</v>
      </c>
      <c r="AT740" s="2" t="s">
        <v>32</v>
      </c>
      <c r="AU740" s="1">
        <f t="shared" si="91"/>
        <v>1.4603288781649877</v>
      </c>
      <c r="AV740" s="1">
        <f t="shared" si="92"/>
        <v>1.0653470767348536</v>
      </c>
      <c r="AW740" s="1">
        <f t="shared" si="93"/>
        <v>0.67036527530471901</v>
      </c>
    </row>
    <row r="741" spans="1:49" x14ac:dyDescent="0.2">
      <c r="A741">
        <v>739</v>
      </c>
      <c r="B741" t="s">
        <v>262</v>
      </c>
      <c r="C741" t="s">
        <v>261</v>
      </c>
      <c r="D741" t="s">
        <v>260</v>
      </c>
      <c r="F741" t="s">
        <v>259</v>
      </c>
      <c r="G741" t="s">
        <v>14</v>
      </c>
      <c r="H741" t="s">
        <v>13</v>
      </c>
      <c r="I741" t="s">
        <v>258</v>
      </c>
      <c r="J741">
        <v>60001526</v>
      </c>
      <c r="K741" t="s">
        <v>257</v>
      </c>
      <c r="L741" t="s">
        <v>256</v>
      </c>
      <c r="M741" t="s">
        <v>9</v>
      </c>
      <c r="N741">
        <v>1</v>
      </c>
      <c r="O741" t="s">
        <v>255</v>
      </c>
      <c r="P741">
        <v>7201359331</v>
      </c>
      <c r="Q741">
        <v>60001526</v>
      </c>
      <c r="R741" s="7">
        <v>31778</v>
      </c>
      <c r="S741" s="8">
        <f t="shared" si="88"/>
        <v>1987</v>
      </c>
      <c r="T741" s="8">
        <v>1987</v>
      </c>
      <c r="U741" s="8">
        <f t="shared" si="89"/>
        <v>35</v>
      </c>
      <c r="V741" s="7">
        <v>1987</v>
      </c>
      <c r="W741" t="s">
        <v>254</v>
      </c>
      <c r="X741" s="2">
        <v>0.89900000000000002</v>
      </c>
      <c r="Y741" s="6">
        <f t="shared" si="94"/>
        <v>2.399829155655215E-2</v>
      </c>
      <c r="AA741">
        <v>221910</v>
      </c>
      <c r="AB741">
        <v>20487</v>
      </c>
      <c r="AD741" t="s">
        <v>4</v>
      </c>
      <c r="AE741">
        <v>33</v>
      </c>
      <c r="AF741">
        <v>10</v>
      </c>
      <c r="AH741" t="s">
        <v>253</v>
      </c>
      <c r="AI741" t="s">
        <v>252</v>
      </c>
      <c r="AJ741" t="s">
        <v>251</v>
      </c>
      <c r="AK741" t="s">
        <v>250</v>
      </c>
      <c r="AL741">
        <v>25</v>
      </c>
      <c r="AM741" s="5">
        <f t="shared" si="90"/>
        <v>0.7142857142857143</v>
      </c>
      <c r="AN741" s="4">
        <f t="shared" si="95"/>
        <v>1.0818412938821875E-3</v>
      </c>
      <c r="AO741" s="3"/>
      <c r="AP741">
        <v>0</v>
      </c>
      <c r="AQ741" t="s">
        <v>249</v>
      </c>
      <c r="AR741" t="s">
        <v>248</v>
      </c>
      <c r="AS741" t="s">
        <v>247</v>
      </c>
      <c r="AT741" s="2">
        <v>2.3540000000000001</v>
      </c>
      <c r="AU741" s="1">
        <f t="shared" si="91"/>
        <v>1.7123356477751157</v>
      </c>
      <c r="AV741" s="1">
        <f t="shared" si="92"/>
        <v>1.2540066425217167</v>
      </c>
      <c r="AW741" s="1">
        <f t="shared" si="93"/>
        <v>0.79567763726831742</v>
      </c>
    </row>
    <row r="742" spans="1:49" x14ac:dyDescent="0.2">
      <c r="A742">
        <v>740</v>
      </c>
      <c r="B742" t="s">
        <v>246</v>
      </c>
      <c r="C742" t="s">
        <v>245</v>
      </c>
      <c r="F742" t="s">
        <v>244</v>
      </c>
      <c r="G742" t="s">
        <v>14</v>
      </c>
      <c r="H742" t="s">
        <v>13</v>
      </c>
      <c r="I742" t="s">
        <v>243</v>
      </c>
      <c r="J742">
        <v>60005460</v>
      </c>
      <c r="K742" t="s">
        <v>127</v>
      </c>
      <c r="L742" t="s">
        <v>126</v>
      </c>
      <c r="M742" t="s">
        <v>112</v>
      </c>
      <c r="N742">
        <v>1</v>
      </c>
      <c r="O742" t="s">
        <v>242</v>
      </c>
      <c r="P742">
        <v>26643587600</v>
      </c>
      <c r="Q742">
        <v>60005460</v>
      </c>
      <c r="R742" s="7">
        <v>31778</v>
      </c>
      <c r="S742" s="8">
        <f t="shared" si="88"/>
        <v>1987</v>
      </c>
      <c r="T742" s="8">
        <v>1987</v>
      </c>
      <c r="U742" s="8">
        <f t="shared" si="89"/>
        <v>35</v>
      </c>
      <c r="V742" s="7">
        <v>32112</v>
      </c>
      <c r="W742" t="s">
        <v>147</v>
      </c>
      <c r="X742" s="2">
        <v>1.64</v>
      </c>
      <c r="Y742" s="6">
        <f t="shared" si="94"/>
        <v>4.3778863351218597E-2</v>
      </c>
      <c r="AA742" t="s">
        <v>146</v>
      </c>
      <c r="AB742">
        <v>18446</v>
      </c>
      <c r="AC742">
        <v>14320878</v>
      </c>
      <c r="AD742" t="s">
        <v>4</v>
      </c>
      <c r="AE742">
        <v>250</v>
      </c>
      <c r="AF742">
        <v>3</v>
      </c>
      <c r="AH742" t="s">
        <v>241</v>
      </c>
      <c r="AI742" t="s">
        <v>240</v>
      </c>
      <c r="AJ742" t="s">
        <v>239</v>
      </c>
      <c r="AK742" t="s">
        <v>238</v>
      </c>
      <c r="AL742">
        <v>7</v>
      </c>
      <c r="AM742" s="5">
        <f t="shared" si="90"/>
        <v>0.2</v>
      </c>
      <c r="AN742" s="4">
        <f t="shared" si="95"/>
        <v>3.0291556228701253E-4</v>
      </c>
      <c r="AO742" s="3"/>
      <c r="AP742">
        <v>0</v>
      </c>
      <c r="AR742" t="s">
        <v>0</v>
      </c>
      <c r="AT742" s="2">
        <v>5.2489999999999997</v>
      </c>
      <c r="AU742" s="1">
        <f t="shared" si="91"/>
        <v>3.0736079014539119</v>
      </c>
      <c r="AV742" s="1">
        <f t="shared" si="92"/>
        <v>2.2040889456752804</v>
      </c>
      <c r="AW742" s="1">
        <f t="shared" si="93"/>
        <v>1.3345699898966488</v>
      </c>
    </row>
    <row r="743" spans="1:49" x14ac:dyDescent="0.2">
      <c r="A743">
        <v>741</v>
      </c>
      <c r="B743" t="s">
        <v>237</v>
      </c>
      <c r="C743" t="s">
        <v>236</v>
      </c>
      <c r="F743" t="s">
        <v>235</v>
      </c>
      <c r="G743" t="s">
        <v>14</v>
      </c>
      <c r="H743" t="s">
        <v>13</v>
      </c>
      <c r="I743" t="s">
        <v>28</v>
      </c>
      <c r="J743">
        <v>60015577</v>
      </c>
      <c r="K743" t="s">
        <v>27</v>
      </c>
      <c r="L743" t="s">
        <v>26</v>
      </c>
      <c r="M743" t="s">
        <v>9</v>
      </c>
      <c r="N743">
        <v>3</v>
      </c>
      <c r="O743" t="s">
        <v>25</v>
      </c>
      <c r="P743" t="s">
        <v>24</v>
      </c>
      <c r="Q743" t="s">
        <v>23</v>
      </c>
      <c r="R743" s="7">
        <v>31778</v>
      </c>
      <c r="S743" s="8">
        <f t="shared" ref="S743:S760" si="96">YEAR(R743)</f>
        <v>1987</v>
      </c>
      <c r="T743" s="8">
        <v>1987</v>
      </c>
      <c r="U743" s="8">
        <f t="shared" ref="U743:U760" si="97">2022-T743</f>
        <v>35</v>
      </c>
      <c r="V743" s="7">
        <v>31868</v>
      </c>
      <c r="W743" t="s">
        <v>67</v>
      </c>
      <c r="X743" s="2">
        <v>0.76500000000000001</v>
      </c>
      <c r="Y743" s="6">
        <f t="shared" si="94"/>
        <v>2.0421238087611118E-2</v>
      </c>
      <c r="AA743">
        <v>138703</v>
      </c>
      <c r="AB743">
        <v>19793</v>
      </c>
      <c r="AC743">
        <v>15707458</v>
      </c>
      <c r="AD743" t="s">
        <v>4</v>
      </c>
      <c r="AE743">
        <v>43</v>
      </c>
      <c r="AF743">
        <v>2</v>
      </c>
      <c r="AH743" t="s">
        <v>234</v>
      </c>
      <c r="AI743" t="s">
        <v>233</v>
      </c>
      <c r="AJ743" t="s">
        <v>232</v>
      </c>
      <c r="AK743" t="s">
        <v>231</v>
      </c>
      <c r="AL743">
        <v>19</v>
      </c>
      <c r="AM743" s="5">
        <f t="shared" ref="AM743:AM760" si="98">AL743/U743</f>
        <v>0.54285714285714282</v>
      </c>
      <c r="AN743" s="4">
        <f t="shared" si="95"/>
        <v>8.221993833504624E-4</v>
      </c>
      <c r="AO743" s="3"/>
      <c r="AP743">
        <v>0</v>
      </c>
      <c r="AR743" t="s">
        <v>0</v>
      </c>
      <c r="AT743" s="2" t="s">
        <v>32</v>
      </c>
      <c r="AU743" s="1">
        <f t="shared" ref="AU743:AU760" si="99">(Y743*0.7+AN743*0.3)*100</f>
        <v>1.454152647633292</v>
      </c>
      <c r="AV743" s="1">
        <f t="shared" ref="AV743:AV760" si="100">(Y743*0.5+AN743*0.5)*100</f>
        <v>1.062171873548079</v>
      </c>
      <c r="AW743" s="1">
        <f t="shared" ref="AW743:AW760" si="101">(Y743*0.3+AN743*0.7)*100</f>
        <v>0.67019109946286592</v>
      </c>
    </row>
    <row r="744" spans="1:49" x14ac:dyDescent="0.2">
      <c r="A744">
        <v>742</v>
      </c>
      <c r="B744" t="s">
        <v>230</v>
      </c>
      <c r="C744" t="s">
        <v>229</v>
      </c>
      <c r="D744">
        <v>21916987900754</v>
      </c>
      <c r="F744" t="s">
        <v>228</v>
      </c>
      <c r="G744" t="s">
        <v>14</v>
      </c>
      <c r="H744" t="s">
        <v>13</v>
      </c>
      <c r="I744" t="s">
        <v>227</v>
      </c>
      <c r="J744">
        <v>60016302</v>
      </c>
      <c r="K744" t="s">
        <v>226</v>
      </c>
      <c r="M744" t="s">
        <v>225</v>
      </c>
      <c r="N744">
        <v>1</v>
      </c>
      <c r="O744" t="s">
        <v>224</v>
      </c>
      <c r="P744">
        <v>57221296920</v>
      </c>
      <c r="Q744">
        <v>60016302</v>
      </c>
      <c r="R744" s="7">
        <v>31778</v>
      </c>
      <c r="S744" s="8">
        <f t="shared" si="96"/>
        <v>1987</v>
      </c>
      <c r="T744" s="8">
        <v>1987</v>
      </c>
      <c r="U744" s="8">
        <f t="shared" si="97"/>
        <v>35</v>
      </c>
      <c r="V744" s="7">
        <v>31778</v>
      </c>
      <c r="W744" t="s">
        <v>36</v>
      </c>
      <c r="X744" s="2">
        <v>0.51500000000000001</v>
      </c>
      <c r="Y744" s="6">
        <f t="shared" si="94"/>
        <v>1.374763086943755E-2</v>
      </c>
      <c r="AA744">
        <v>219169</v>
      </c>
      <c r="AB744">
        <v>30966</v>
      </c>
      <c r="AD744" t="s">
        <v>4</v>
      </c>
      <c r="AE744">
        <v>49</v>
      </c>
      <c r="AF744">
        <v>1</v>
      </c>
      <c r="AH744" s="9">
        <v>44317</v>
      </c>
      <c r="AI744" t="s">
        <v>223</v>
      </c>
      <c r="AK744" t="s">
        <v>222</v>
      </c>
      <c r="AL744">
        <v>14</v>
      </c>
      <c r="AM744" s="5">
        <f t="shared" si="98"/>
        <v>0.4</v>
      </c>
      <c r="AN744" s="4">
        <f t="shared" si="95"/>
        <v>6.0583112457402507E-4</v>
      </c>
      <c r="AO744" s="3"/>
      <c r="AP744">
        <v>0</v>
      </c>
      <c r="AR744" t="s">
        <v>0</v>
      </c>
      <c r="AT744" s="2" t="s">
        <v>32</v>
      </c>
      <c r="AU744" s="1">
        <f t="shared" si="99"/>
        <v>0.98050909459784907</v>
      </c>
      <c r="AV744" s="1">
        <f t="shared" si="100"/>
        <v>0.7176730997005788</v>
      </c>
      <c r="AW744" s="1">
        <f t="shared" si="101"/>
        <v>0.45483710480330825</v>
      </c>
    </row>
    <row r="745" spans="1:49" x14ac:dyDescent="0.2">
      <c r="A745">
        <v>743</v>
      </c>
      <c r="B745" t="s">
        <v>221</v>
      </c>
      <c r="C745" t="s">
        <v>220</v>
      </c>
      <c r="D745" t="s">
        <v>219</v>
      </c>
      <c r="F745" t="s">
        <v>218</v>
      </c>
      <c r="G745" t="s">
        <v>14</v>
      </c>
      <c r="H745" t="s">
        <v>13</v>
      </c>
      <c r="I745" t="s">
        <v>217</v>
      </c>
      <c r="J745">
        <v>60025525</v>
      </c>
      <c r="K745" t="s">
        <v>216</v>
      </c>
      <c r="L745" t="s">
        <v>215</v>
      </c>
      <c r="M745" t="s">
        <v>112</v>
      </c>
      <c r="N745">
        <v>1</v>
      </c>
      <c r="O745" t="s">
        <v>214</v>
      </c>
      <c r="P745">
        <v>7004559400</v>
      </c>
      <c r="Q745">
        <v>60025525</v>
      </c>
      <c r="R745" s="7">
        <v>31778</v>
      </c>
      <c r="S745" s="8">
        <f t="shared" si="96"/>
        <v>1987</v>
      </c>
      <c r="T745" s="8">
        <v>1987</v>
      </c>
      <c r="U745" s="8">
        <f t="shared" si="97"/>
        <v>35</v>
      </c>
      <c r="V745" s="7">
        <v>31929</v>
      </c>
      <c r="W745" t="s">
        <v>213</v>
      </c>
      <c r="X745" s="2">
        <v>1.2609999999999999</v>
      </c>
      <c r="Y745" s="6">
        <f t="shared" si="94"/>
        <v>3.3661674808467469E-2</v>
      </c>
      <c r="AA745">
        <v>33472</v>
      </c>
      <c r="AB745">
        <v>24580</v>
      </c>
      <c r="AD745" t="s">
        <v>4</v>
      </c>
      <c r="AE745">
        <v>35</v>
      </c>
      <c r="AF745">
        <v>3</v>
      </c>
      <c r="AH745" t="s">
        <v>212</v>
      </c>
      <c r="AI745" t="s">
        <v>211</v>
      </c>
      <c r="AK745" t="s">
        <v>210</v>
      </c>
      <c r="AL745">
        <v>23</v>
      </c>
      <c r="AM745" s="5">
        <f t="shared" si="98"/>
        <v>0.65714285714285714</v>
      </c>
      <c r="AN745" s="4">
        <f t="shared" si="95"/>
        <v>9.9529399037161259E-4</v>
      </c>
      <c r="AO745" s="3"/>
      <c r="AP745">
        <v>0</v>
      </c>
      <c r="AR745" t="s">
        <v>209</v>
      </c>
      <c r="AT745" s="2">
        <v>2.8439999999999999</v>
      </c>
      <c r="AU745" s="1">
        <f t="shared" si="99"/>
        <v>2.3861760563038708</v>
      </c>
      <c r="AV745" s="1">
        <f t="shared" si="100"/>
        <v>1.7328484399419541</v>
      </c>
      <c r="AW745" s="1">
        <f t="shared" si="101"/>
        <v>1.0795208235800369</v>
      </c>
    </row>
    <row r="746" spans="1:49" x14ac:dyDescent="0.2">
      <c r="A746">
        <v>744</v>
      </c>
      <c r="B746" t="s">
        <v>208</v>
      </c>
      <c r="C746" t="s">
        <v>207</v>
      </c>
      <c r="F746" t="s">
        <v>206</v>
      </c>
      <c r="G746" t="s">
        <v>14</v>
      </c>
      <c r="H746" t="s">
        <v>13</v>
      </c>
      <c r="I746" t="s">
        <v>205</v>
      </c>
      <c r="J746" t="s">
        <v>204</v>
      </c>
      <c r="K746" t="s">
        <v>203</v>
      </c>
      <c r="L746" t="s">
        <v>202</v>
      </c>
      <c r="M746" t="s">
        <v>201</v>
      </c>
      <c r="N746">
        <v>2</v>
      </c>
      <c r="O746" t="s">
        <v>200</v>
      </c>
      <c r="P746" t="s">
        <v>199</v>
      </c>
      <c r="Q746" t="s">
        <v>198</v>
      </c>
      <c r="R746" s="7">
        <v>31778</v>
      </c>
      <c r="S746" s="8">
        <f t="shared" si="96"/>
        <v>1987</v>
      </c>
      <c r="T746" s="8">
        <v>1987</v>
      </c>
      <c r="U746" s="8">
        <f t="shared" si="97"/>
        <v>35</v>
      </c>
      <c r="V746" s="7">
        <v>31959</v>
      </c>
      <c r="W746" t="s">
        <v>197</v>
      </c>
      <c r="X746" s="2">
        <v>1.9750000000000001</v>
      </c>
      <c r="Y746" s="6">
        <f t="shared" si="94"/>
        <v>5.2721497023571186E-2</v>
      </c>
      <c r="AA746">
        <v>320781</v>
      </c>
      <c r="AB746">
        <v>19019</v>
      </c>
      <c r="AD746" t="s">
        <v>4</v>
      </c>
      <c r="AE746">
        <v>28</v>
      </c>
      <c r="AF746">
        <v>5</v>
      </c>
      <c r="AH746" t="s">
        <v>196</v>
      </c>
      <c r="AI746" t="s">
        <v>195</v>
      </c>
      <c r="AJ746" t="s">
        <v>194</v>
      </c>
      <c r="AK746" t="s">
        <v>193</v>
      </c>
      <c r="AL746">
        <v>22</v>
      </c>
      <c r="AM746" s="5">
        <f t="shared" si="98"/>
        <v>0.62857142857142856</v>
      </c>
      <c r="AN746" s="4">
        <f t="shared" si="95"/>
        <v>9.5202033861632501E-4</v>
      </c>
      <c r="AO746" s="3"/>
      <c r="AP746">
        <v>0</v>
      </c>
      <c r="AR746" t="s">
        <v>0</v>
      </c>
      <c r="AT746" s="2">
        <v>4.9269999999999996</v>
      </c>
      <c r="AU746" s="1">
        <f t="shared" si="99"/>
        <v>3.7190654018084732</v>
      </c>
      <c r="AV746" s="1">
        <f t="shared" si="100"/>
        <v>2.6836758681093755</v>
      </c>
      <c r="AW746" s="1">
        <f t="shared" si="101"/>
        <v>1.6482863344102781</v>
      </c>
    </row>
    <row r="747" spans="1:49" x14ac:dyDescent="0.2">
      <c r="A747">
        <v>745</v>
      </c>
      <c r="B747" t="s">
        <v>192</v>
      </c>
      <c r="C747" t="s">
        <v>191</v>
      </c>
      <c r="F747" t="s">
        <v>190</v>
      </c>
      <c r="G747" t="s">
        <v>14</v>
      </c>
      <c r="H747" t="s">
        <v>13</v>
      </c>
      <c r="I747" t="s">
        <v>189</v>
      </c>
      <c r="J747" t="s">
        <v>188</v>
      </c>
      <c r="K747" t="s">
        <v>187</v>
      </c>
      <c r="L747" t="s">
        <v>186</v>
      </c>
      <c r="M747" t="s">
        <v>55</v>
      </c>
      <c r="N747">
        <v>2</v>
      </c>
      <c r="O747" t="s">
        <v>185</v>
      </c>
      <c r="P747" t="s">
        <v>184</v>
      </c>
      <c r="Q747" t="s">
        <v>183</v>
      </c>
      <c r="R747" s="7">
        <v>31778</v>
      </c>
      <c r="S747" s="8">
        <f t="shared" si="96"/>
        <v>1987</v>
      </c>
      <c r="T747" s="8">
        <v>1987</v>
      </c>
      <c r="U747" s="8">
        <f t="shared" si="97"/>
        <v>35</v>
      </c>
      <c r="V747" s="7">
        <v>32021</v>
      </c>
      <c r="W747" t="s">
        <v>67</v>
      </c>
      <c r="X747" s="2">
        <v>0.76500000000000001</v>
      </c>
      <c r="Y747" s="6">
        <f t="shared" si="94"/>
        <v>2.0421238087611118E-2</v>
      </c>
      <c r="AA747">
        <v>138703</v>
      </c>
      <c r="AB747">
        <v>19793</v>
      </c>
      <c r="AC747">
        <v>15707458</v>
      </c>
      <c r="AD747" t="s">
        <v>4</v>
      </c>
      <c r="AE747">
        <v>45</v>
      </c>
      <c r="AF747">
        <v>1</v>
      </c>
      <c r="AH747" t="s">
        <v>182</v>
      </c>
      <c r="AI747" t="s">
        <v>181</v>
      </c>
      <c r="AJ747" t="s">
        <v>180</v>
      </c>
      <c r="AK747" t="s">
        <v>179</v>
      </c>
      <c r="AL747">
        <v>35</v>
      </c>
      <c r="AM747" s="5">
        <f t="shared" si="98"/>
        <v>1</v>
      </c>
      <c r="AN747" s="4">
        <f t="shared" si="95"/>
        <v>1.5145778114350624E-3</v>
      </c>
      <c r="AO747" s="3"/>
      <c r="AP747">
        <v>0</v>
      </c>
      <c r="AR747" t="s">
        <v>0</v>
      </c>
      <c r="AT747" s="2" t="s">
        <v>32</v>
      </c>
      <c r="AU747" s="1">
        <f t="shared" si="99"/>
        <v>1.4749240004758299</v>
      </c>
      <c r="AV747" s="1">
        <f t="shared" si="100"/>
        <v>1.096790794952309</v>
      </c>
      <c r="AW747" s="1">
        <f t="shared" si="101"/>
        <v>0.71865758942878788</v>
      </c>
    </row>
    <row r="748" spans="1:49" x14ac:dyDescent="0.2">
      <c r="A748">
        <v>746</v>
      </c>
      <c r="B748" t="s">
        <v>178</v>
      </c>
      <c r="C748" t="s">
        <v>177</v>
      </c>
      <c r="D748" t="s">
        <v>176</v>
      </c>
      <c r="F748" t="s">
        <v>175</v>
      </c>
      <c r="G748" t="s">
        <v>14</v>
      </c>
      <c r="H748" t="s">
        <v>13</v>
      </c>
      <c r="I748" t="s">
        <v>174</v>
      </c>
      <c r="N748">
        <v>3</v>
      </c>
      <c r="O748" t="s">
        <v>173</v>
      </c>
      <c r="P748" t="s">
        <v>172</v>
      </c>
      <c r="Q748" t="s">
        <v>171</v>
      </c>
      <c r="R748" s="7">
        <v>31778</v>
      </c>
      <c r="S748" s="8">
        <f t="shared" si="96"/>
        <v>1987</v>
      </c>
      <c r="T748" s="8">
        <v>1987</v>
      </c>
      <c r="U748" s="8">
        <f t="shared" si="97"/>
        <v>35</v>
      </c>
      <c r="V748" s="7">
        <v>1987</v>
      </c>
      <c r="W748" t="s">
        <v>170</v>
      </c>
      <c r="X748" s="2">
        <v>1.7130000000000001</v>
      </c>
      <c r="Y748" s="6">
        <f t="shared" si="94"/>
        <v>4.5727556658925285E-2</v>
      </c>
      <c r="AA748">
        <v>63495</v>
      </c>
      <c r="AB748">
        <v>14859</v>
      </c>
      <c r="AD748" t="s">
        <v>4</v>
      </c>
      <c r="AE748">
        <v>52</v>
      </c>
      <c r="AF748">
        <v>5</v>
      </c>
      <c r="AH748" t="s">
        <v>169</v>
      </c>
      <c r="AI748" t="s">
        <v>168</v>
      </c>
      <c r="AK748" t="s">
        <v>167</v>
      </c>
      <c r="AL748">
        <v>23</v>
      </c>
      <c r="AM748" s="5">
        <f t="shared" si="98"/>
        <v>0.65714285714285714</v>
      </c>
      <c r="AN748" s="4">
        <f t="shared" si="95"/>
        <v>9.9529399037161259E-4</v>
      </c>
      <c r="AO748" s="3"/>
      <c r="AP748">
        <v>1</v>
      </c>
      <c r="AR748" t="s">
        <v>0</v>
      </c>
      <c r="AT748" s="2">
        <v>4.0330000000000004</v>
      </c>
      <c r="AU748" s="1">
        <f t="shared" si="99"/>
        <v>3.230787785835918</v>
      </c>
      <c r="AV748" s="1">
        <f t="shared" si="100"/>
        <v>2.3361425324648448</v>
      </c>
      <c r="AW748" s="1">
        <f t="shared" si="101"/>
        <v>1.4414972790937712</v>
      </c>
    </row>
    <row r="749" spans="1:49" x14ac:dyDescent="0.2">
      <c r="A749">
        <v>747</v>
      </c>
      <c r="B749" t="s">
        <v>166</v>
      </c>
      <c r="C749" t="s">
        <v>165</v>
      </c>
      <c r="F749" t="s">
        <v>164</v>
      </c>
      <c r="G749" t="s">
        <v>14</v>
      </c>
      <c r="H749" t="s">
        <v>13</v>
      </c>
      <c r="I749" t="s">
        <v>163</v>
      </c>
      <c r="J749">
        <v>60005460</v>
      </c>
      <c r="K749" t="s">
        <v>127</v>
      </c>
      <c r="L749" t="s">
        <v>126</v>
      </c>
      <c r="M749" t="s">
        <v>112</v>
      </c>
      <c r="N749">
        <v>3</v>
      </c>
      <c r="O749" t="s">
        <v>162</v>
      </c>
      <c r="P749" t="s">
        <v>161</v>
      </c>
      <c r="Q749" t="s">
        <v>160</v>
      </c>
      <c r="R749" s="7">
        <v>31778</v>
      </c>
      <c r="S749" s="8">
        <f t="shared" si="96"/>
        <v>1987</v>
      </c>
      <c r="T749" s="8">
        <v>1987</v>
      </c>
      <c r="U749" s="8">
        <f t="shared" si="97"/>
        <v>35</v>
      </c>
      <c r="V749" s="7" t="s">
        <v>159</v>
      </c>
      <c r="W749" t="s">
        <v>158</v>
      </c>
      <c r="X749" s="2">
        <v>0.79500000000000004</v>
      </c>
      <c r="Y749" s="6">
        <f t="shared" si="94"/>
        <v>2.1222070953791944E-2</v>
      </c>
      <c r="AA749">
        <v>9312048</v>
      </c>
      <c r="AB749">
        <v>20459</v>
      </c>
      <c r="AC749">
        <v>14390418</v>
      </c>
      <c r="AD749" t="s">
        <v>4</v>
      </c>
      <c r="AE749">
        <v>104</v>
      </c>
      <c r="AF749" s="9">
        <v>44317</v>
      </c>
      <c r="AH749" t="s">
        <v>157</v>
      </c>
      <c r="AI749" t="s">
        <v>156</v>
      </c>
      <c r="AK749" t="s">
        <v>155</v>
      </c>
      <c r="AL749">
        <v>26</v>
      </c>
      <c r="AM749" s="5">
        <f t="shared" si="98"/>
        <v>0.74285714285714288</v>
      </c>
      <c r="AN749" s="4">
        <f t="shared" si="95"/>
        <v>1.125114945637475E-3</v>
      </c>
      <c r="AO749" s="3"/>
      <c r="AP749">
        <v>0</v>
      </c>
      <c r="AR749" t="s">
        <v>0</v>
      </c>
      <c r="AT749" s="2">
        <v>2.6030000000000002</v>
      </c>
      <c r="AU749" s="1">
        <f t="shared" si="99"/>
        <v>1.5192984151345603</v>
      </c>
      <c r="AV749" s="1">
        <f t="shared" si="100"/>
        <v>1.117359294971471</v>
      </c>
      <c r="AW749" s="1">
        <f t="shared" si="101"/>
        <v>0.71542017480838149</v>
      </c>
    </row>
    <row r="750" spans="1:49" x14ac:dyDescent="0.2">
      <c r="A750">
        <v>748</v>
      </c>
      <c r="B750" t="s">
        <v>154</v>
      </c>
      <c r="C750" t="s">
        <v>153</v>
      </c>
      <c r="F750" t="s">
        <v>152</v>
      </c>
      <c r="G750" t="s">
        <v>14</v>
      </c>
      <c r="H750" t="s">
        <v>13</v>
      </c>
      <c r="I750" t="s">
        <v>151</v>
      </c>
      <c r="J750">
        <v>60005460</v>
      </c>
      <c r="K750" t="s">
        <v>127</v>
      </c>
      <c r="L750" t="s">
        <v>126</v>
      </c>
      <c r="M750" t="s">
        <v>112</v>
      </c>
      <c r="N750">
        <v>2</v>
      </c>
      <c r="O750" t="s">
        <v>150</v>
      </c>
      <c r="P750" t="s">
        <v>149</v>
      </c>
      <c r="Q750" t="s">
        <v>148</v>
      </c>
      <c r="R750" s="7">
        <v>31778</v>
      </c>
      <c r="S750" s="8">
        <f t="shared" si="96"/>
        <v>1987</v>
      </c>
      <c r="T750" s="8">
        <v>1987</v>
      </c>
      <c r="U750" s="8">
        <f t="shared" si="97"/>
        <v>35</v>
      </c>
      <c r="V750" s="7">
        <v>31959</v>
      </c>
      <c r="W750" t="s">
        <v>147</v>
      </c>
      <c r="X750" s="2">
        <v>1.64</v>
      </c>
      <c r="Y750" s="6">
        <f t="shared" si="94"/>
        <v>4.3778863351218597E-2</v>
      </c>
      <c r="AA750" t="s">
        <v>146</v>
      </c>
      <c r="AB750">
        <v>18446</v>
      </c>
      <c r="AC750">
        <v>14320878</v>
      </c>
      <c r="AD750" t="s">
        <v>4</v>
      </c>
      <c r="AE750">
        <v>249</v>
      </c>
      <c r="AF750">
        <v>1</v>
      </c>
      <c r="AH750" t="s">
        <v>145</v>
      </c>
      <c r="AI750" t="s">
        <v>144</v>
      </c>
      <c r="AJ750" t="s">
        <v>143</v>
      </c>
      <c r="AK750" t="s">
        <v>142</v>
      </c>
      <c r="AL750">
        <v>81</v>
      </c>
      <c r="AM750" s="5">
        <f t="shared" si="98"/>
        <v>2.3142857142857145</v>
      </c>
      <c r="AN750" s="4">
        <f t="shared" si="95"/>
        <v>3.5051657921782876E-3</v>
      </c>
      <c r="AO750" s="3"/>
      <c r="AP750">
        <v>0</v>
      </c>
      <c r="AR750" t="s">
        <v>0</v>
      </c>
      <c r="AT750" s="2">
        <v>5.2489999999999997</v>
      </c>
      <c r="AU750" s="1">
        <f t="shared" si="99"/>
        <v>3.16967540835065</v>
      </c>
      <c r="AV750" s="1">
        <f t="shared" si="100"/>
        <v>2.3642014571698442</v>
      </c>
      <c r="AW750" s="1">
        <f t="shared" si="101"/>
        <v>1.5587275059890378</v>
      </c>
    </row>
    <row r="751" spans="1:49" x14ac:dyDescent="0.2">
      <c r="A751">
        <v>749</v>
      </c>
      <c r="B751" t="s">
        <v>141</v>
      </c>
      <c r="C751" t="s">
        <v>140</v>
      </c>
      <c r="F751" t="s">
        <v>139</v>
      </c>
      <c r="G751" t="s">
        <v>14</v>
      </c>
      <c r="H751" t="s">
        <v>13</v>
      </c>
      <c r="I751" t="s">
        <v>138</v>
      </c>
      <c r="J751">
        <v>60005460</v>
      </c>
      <c r="K751" t="s">
        <v>127</v>
      </c>
      <c r="L751" t="s">
        <v>126</v>
      </c>
      <c r="M751" t="s">
        <v>112</v>
      </c>
      <c r="N751">
        <v>1</v>
      </c>
      <c r="O751" t="s">
        <v>137</v>
      </c>
      <c r="P751">
        <v>6602526312</v>
      </c>
      <c r="Q751">
        <v>60005460</v>
      </c>
      <c r="R751" s="7">
        <v>31778</v>
      </c>
      <c r="S751" s="8">
        <f t="shared" si="96"/>
        <v>1987</v>
      </c>
      <c r="T751" s="8">
        <v>1987</v>
      </c>
      <c r="U751" s="8">
        <f t="shared" si="97"/>
        <v>35</v>
      </c>
      <c r="V751" s="7">
        <v>32082</v>
      </c>
      <c r="W751" t="s">
        <v>136</v>
      </c>
      <c r="X751" s="2">
        <v>0.8</v>
      </c>
      <c r="Y751" s="6">
        <f t="shared" si="94"/>
        <v>2.1355543098155415E-2</v>
      </c>
      <c r="AA751">
        <v>3407594</v>
      </c>
      <c r="AB751">
        <v>23456</v>
      </c>
      <c r="AC751">
        <v>14321351</v>
      </c>
      <c r="AD751" t="s">
        <v>4</v>
      </c>
      <c r="AE751">
        <v>161</v>
      </c>
      <c r="AF751">
        <v>6</v>
      </c>
      <c r="AH751" t="s">
        <v>135</v>
      </c>
      <c r="AI751" t="s">
        <v>134</v>
      </c>
      <c r="AK751" t="s">
        <v>133</v>
      </c>
      <c r="AL751">
        <v>28</v>
      </c>
      <c r="AM751" s="5">
        <f t="shared" si="98"/>
        <v>0.8</v>
      </c>
      <c r="AN751" s="4">
        <f t="shared" si="95"/>
        <v>1.2116622491480501E-3</v>
      </c>
      <c r="AO751" s="3"/>
      <c r="AP751">
        <v>0</v>
      </c>
      <c r="AR751" t="s">
        <v>0</v>
      </c>
      <c r="AT751" s="2" t="s">
        <v>32</v>
      </c>
      <c r="AU751" s="1">
        <f t="shared" si="99"/>
        <v>1.5312378843453205</v>
      </c>
      <c r="AV751" s="1">
        <f t="shared" si="100"/>
        <v>1.1283602673651734</v>
      </c>
      <c r="AW751" s="1">
        <f t="shared" si="101"/>
        <v>0.72548265038502591</v>
      </c>
    </row>
    <row r="752" spans="1:49" x14ac:dyDescent="0.2">
      <c r="A752">
        <v>750</v>
      </c>
      <c r="B752" t="s">
        <v>132</v>
      </c>
      <c r="C752" t="s">
        <v>131</v>
      </c>
      <c r="D752" t="s">
        <v>130</v>
      </c>
      <c r="F752" t="s">
        <v>129</v>
      </c>
      <c r="G752" t="s">
        <v>14</v>
      </c>
      <c r="H752" t="s">
        <v>13</v>
      </c>
      <c r="I752" t="s">
        <v>128</v>
      </c>
      <c r="J752">
        <v>60005460</v>
      </c>
      <c r="K752" t="s">
        <v>127</v>
      </c>
      <c r="L752" t="s">
        <v>126</v>
      </c>
      <c r="M752" t="s">
        <v>112</v>
      </c>
      <c r="N752">
        <v>1</v>
      </c>
      <c r="O752" t="s">
        <v>125</v>
      </c>
      <c r="P752">
        <v>57198155491</v>
      </c>
      <c r="Q752">
        <v>60005460</v>
      </c>
      <c r="R752" s="7">
        <v>31778</v>
      </c>
      <c r="S752" s="8">
        <f t="shared" si="96"/>
        <v>1987</v>
      </c>
      <c r="T752" s="8">
        <v>1987</v>
      </c>
      <c r="U752" s="8">
        <f t="shared" si="97"/>
        <v>35</v>
      </c>
      <c r="V752" s="7">
        <v>1987</v>
      </c>
      <c r="W752" t="s">
        <v>124</v>
      </c>
      <c r="X752" s="2" t="s">
        <v>32</v>
      </c>
      <c r="Y752" s="6" t="e">
        <f t="shared" si="94"/>
        <v>#VALUE!</v>
      </c>
      <c r="AA752">
        <v>201790</v>
      </c>
      <c r="AB752">
        <v>9800153163</v>
      </c>
      <c r="AD752" t="s">
        <v>4</v>
      </c>
      <c r="AE752">
        <v>17</v>
      </c>
      <c r="AF752">
        <v>8</v>
      </c>
      <c r="AH752" t="s">
        <v>123</v>
      </c>
      <c r="AI752" t="s">
        <v>122</v>
      </c>
      <c r="AJ752" t="s">
        <v>121</v>
      </c>
      <c r="AK752" t="s">
        <v>120</v>
      </c>
      <c r="AL752">
        <v>130</v>
      </c>
      <c r="AM752" s="5">
        <f t="shared" si="98"/>
        <v>3.7142857142857144</v>
      </c>
      <c r="AN752" s="4">
        <f t="shared" si="95"/>
        <v>5.6255747281873754E-3</v>
      </c>
      <c r="AO752" s="3"/>
      <c r="AP752">
        <v>0</v>
      </c>
      <c r="AR752" t="s">
        <v>119</v>
      </c>
      <c r="AT752" s="2" t="s">
        <v>32</v>
      </c>
      <c r="AU752" s="1" t="e">
        <f t="shared" si="99"/>
        <v>#VALUE!</v>
      </c>
      <c r="AV752" s="1" t="e">
        <f t="shared" si="100"/>
        <v>#VALUE!</v>
      </c>
      <c r="AW752" s="1" t="e">
        <f t="shared" si="101"/>
        <v>#VALUE!</v>
      </c>
    </row>
    <row r="753" spans="1:49" x14ac:dyDescent="0.2">
      <c r="A753">
        <v>751</v>
      </c>
      <c r="B753" t="s">
        <v>118</v>
      </c>
      <c r="C753" t="s">
        <v>117</v>
      </c>
      <c r="F753" t="s">
        <v>116</v>
      </c>
      <c r="G753" t="s">
        <v>14</v>
      </c>
      <c r="H753" t="s">
        <v>13</v>
      </c>
      <c r="I753" t="s">
        <v>115</v>
      </c>
      <c r="J753">
        <v>60031216</v>
      </c>
      <c r="K753" t="s">
        <v>114</v>
      </c>
      <c r="L753" t="s">
        <v>113</v>
      </c>
      <c r="M753" t="s">
        <v>112</v>
      </c>
      <c r="N753">
        <v>2</v>
      </c>
      <c r="O753" t="s">
        <v>111</v>
      </c>
      <c r="P753" t="s">
        <v>110</v>
      </c>
      <c r="Q753" t="s">
        <v>109</v>
      </c>
      <c r="R753" s="7">
        <v>31778</v>
      </c>
      <c r="S753" s="8">
        <f t="shared" si="96"/>
        <v>1987</v>
      </c>
      <c r="T753" s="8">
        <v>1987</v>
      </c>
      <c r="U753" s="8">
        <f t="shared" si="97"/>
        <v>35</v>
      </c>
      <c r="V753" s="7">
        <v>31778</v>
      </c>
      <c r="W753" t="s">
        <v>51</v>
      </c>
      <c r="X753" s="2">
        <v>1.1579999999999999</v>
      </c>
      <c r="Y753" s="6">
        <f t="shared" si="94"/>
        <v>3.0912148634579962E-2</v>
      </c>
      <c r="AA753">
        <v>1668595</v>
      </c>
      <c r="AB753">
        <v>14223</v>
      </c>
      <c r="AC753">
        <v>15735079</v>
      </c>
      <c r="AD753" t="s">
        <v>4</v>
      </c>
      <c r="AE753">
        <v>13</v>
      </c>
      <c r="AF753">
        <v>2</v>
      </c>
      <c r="AH753" t="s">
        <v>108</v>
      </c>
      <c r="AI753" t="s">
        <v>107</v>
      </c>
      <c r="AJ753" t="s">
        <v>106</v>
      </c>
      <c r="AK753" t="s">
        <v>105</v>
      </c>
      <c r="AL753">
        <v>23</v>
      </c>
      <c r="AM753" s="5">
        <f t="shared" si="98"/>
        <v>0.65714285714285714</v>
      </c>
      <c r="AN753" s="4">
        <f t="shared" si="95"/>
        <v>9.9529399037161259E-4</v>
      </c>
      <c r="AO753" s="3"/>
      <c r="AP753">
        <v>0</v>
      </c>
      <c r="AR753" t="s">
        <v>0</v>
      </c>
      <c r="AT753" s="2">
        <v>3.573</v>
      </c>
      <c r="AU753" s="1">
        <f t="shared" si="99"/>
        <v>2.1937092241317453</v>
      </c>
      <c r="AV753" s="1">
        <f t="shared" si="100"/>
        <v>1.5953721312475788</v>
      </c>
      <c r="AW753" s="1">
        <f t="shared" si="101"/>
        <v>0.99703503836341167</v>
      </c>
    </row>
    <row r="754" spans="1:49" x14ac:dyDescent="0.2">
      <c r="A754">
        <v>752</v>
      </c>
      <c r="B754" t="s">
        <v>104</v>
      </c>
      <c r="C754" t="s">
        <v>103</v>
      </c>
      <c r="F754" t="s">
        <v>102</v>
      </c>
      <c r="G754" t="s">
        <v>14</v>
      </c>
      <c r="H754" t="s">
        <v>13</v>
      </c>
      <c r="I754" t="s">
        <v>101</v>
      </c>
      <c r="J754">
        <v>60012708</v>
      </c>
      <c r="K754" t="s">
        <v>100</v>
      </c>
      <c r="L754" t="s">
        <v>99</v>
      </c>
      <c r="M754" t="s">
        <v>9</v>
      </c>
      <c r="N754">
        <v>1</v>
      </c>
      <c r="O754" t="s">
        <v>98</v>
      </c>
      <c r="P754">
        <v>16230961400</v>
      </c>
      <c r="Q754">
        <v>60012708</v>
      </c>
      <c r="R754" s="7">
        <v>31778</v>
      </c>
      <c r="S754" s="8">
        <f t="shared" si="96"/>
        <v>1987</v>
      </c>
      <c r="T754" s="8">
        <v>1987</v>
      </c>
      <c r="U754" s="8">
        <f t="shared" si="97"/>
        <v>35</v>
      </c>
      <c r="V754" s="7">
        <v>1987</v>
      </c>
      <c r="W754" t="s">
        <v>97</v>
      </c>
      <c r="X754" s="2">
        <v>1.887</v>
      </c>
      <c r="Y754" s="6">
        <f t="shared" si="94"/>
        <v>5.0372387282774087E-2</v>
      </c>
      <c r="AA754">
        <v>5562821</v>
      </c>
      <c r="AB754">
        <v>29459</v>
      </c>
      <c r="AD754" t="s">
        <v>4</v>
      </c>
      <c r="AE754">
        <v>36</v>
      </c>
      <c r="AF754">
        <v>12</v>
      </c>
      <c r="AH754" t="s">
        <v>96</v>
      </c>
      <c r="AI754" t="s">
        <v>95</v>
      </c>
      <c r="AK754" t="s">
        <v>94</v>
      </c>
      <c r="AL754">
        <v>55</v>
      </c>
      <c r="AM754" s="5">
        <f t="shared" si="98"/>
        <v>1.5714285714285714</v>
      </c>
      <c r="AN754" s="4">
        <f t="shared" si="95"/>
        <v>2.3800508465408126E-3</v>
      </c>
      <c r="AO754" s="3"/>
      <c r="AP754">
        <v>0</v>
      </c>
      <c r="AR754" t="s">
        <v>0</v>
      </c>
      <c r="AT754" s="2">
        <v>5.2960000000000003</v>
      </c>
      <c r="AU754" s="1">
        <f t="shared" si="99"/>
        <v>3.5974686351904102</v>
      </c>
      <c r="AV754" s="1">
        <f t="shared" si="100"/>
        <v>2.6376219064657449</v>
      </c>
      <c r="AW754" s="1">
        <f t="shared" si="101"/>
        <v>1.6777751777410792</v>
      </c>
    </row>
    <row r="755" spans="1:49" x14ac:dyDescent="0.2">
      <c r="A755">
        <v>753</v>
      </c>
      <c r="B755" t="s">
        <v>93</v>
      </c>
      <c r="C755" t="s">
        <v>92</v>
      </c>
      <c r="F755" t="s">
        <v>91</v>
      </c>
      <c r="G755" t="s">
        <v>14</v>
      </c>
      <c r="H755" t="s">
        <v>13</v>
      </c>
      <c r="I755" t="s">
        <v>90</v>
      </c>
      <c r="J755" t="s">
        <v>89</v>
      </c>
      <c r="K755" t="s">
        <v>88</v>
      </c>
      <c r="L755" t="s">
        <v>87</v>
      </c>
      <c r="M755" t="s">
        <v>86</v>
      </c>
      <c r="N755">
        <v>5</v>
      </c>
      <c r="O755" t="s">
        <v>85</v>
      </c>
      <c r="P755" t="s">
        <v>84</v>
      </c>
      <c r="Q755" t="s">
        <v>83</v>
      </c>
      <c r="R755" s="7">
        <v>31778</v>
      </c>
      <c r="S755" s="8">
        <f t="shared" si="96"/>
        <v>1987</v>
      </c>
      <c r="T755" s="8">
        <v>1987</v>
      </c>
      <c r="U755" s="8">
        <f t="shared" si="97"/>
        <v>35</v>
      </c>
      <c r="V755" s="7">
        <v>32112</v>
      </c>
      <c r="W755" t="s">
        <v>82</v>
      </c>
      <c r="X755" s="2" t="s">
        <v>32</v>
      </c>
      <c r="Y755" s="6" t="e">
        <f t="shared" si="94"/>
        <v>#VALUE!</v>
      </c>
      <c r="AA755">
        <v>310220</v>
      </c>
      <c r="AB755">
        <v>97647</v>
      </c>
      <c r="AC755">
        <v>12369874</v>
      </c>
      <c r="AD755" t="s">
        <v>4</v>
      </c>
      <c r="AE755">
        <v>61</v>
      </c>
      <c r="AF755">
        <v>3</v>
      </c>
      <c r="AH755" t="s">
        <v>81</v>
      </c>
      <c r="AI755" t="s">
        <v>80</v>
      </c>
      <c r="AK755" t="s">
        <v>79</v>
      </c>
      <c r="AL755">
        <v>32</v>
      </c>
      <c r="AM755" s="5">
        <f t="shared" si="98"/>
        <v>0.91428571428571426</v>
      </c>
      <c r="AN755" s="4">
        <f t="shared" si="95"/>
        <v>1.3847568561692E-3</v>
      </c>
      <c r="AO755" s="3"/>
      <c r="AP755">
        <v>0</v>
      </c>
      <c r="AR755" t="s">
        <v>0</v>
      </c>
      <c r="AT755" s="2" t="s">
        <v>32</v>
      </c>
      <c r="AU755" s="1" t="e">
        <f t="shared" si="99"/>
        <v>#VALUE!</v>
      </c>
      <c r="AV755" s="1" t="e">
        <f t="shared" si="100"/>
        <v>#VALUE!</v>
      </c>
      <c r="AW755" s="1" t="e">
        <f t="shared" si="101"/>
        <v>#VALUE!</v>
      </c>
    </row>
    <row r="756" spans="1:49" x14ac:dyDescent="0.2">
      <c r="A756">
        <v>754</v>
      </c>
      <c r="B756" t="s">
        <v>78</v>
      </c>
      <c r="C756" t="s">
        <v>77</v>
      </c>
      <c r="F756" t="s">
        <v>76</v>
      </c>
      <c r="G756" t="s">
        <v>14</v>
      </c>
      <c r="H756" t="s">
        <v>13</v>
      </c>
      <c r="I756" t="s">
        <v>75</v>
      </c>
      <c r="J756" t="s">
        <v>74</v>
      </c>
      <c r="K756" t="s">
        <v>73</v>
      </c>
      <c r="L756" t="s">
        <v>72</v>
      </c>
      <c r="M756" t="s">
        <v>71</v>
      </c>
      <c r="N756">
        <v>4</v>
      </c>
      <c r="O756" t="s">
        <v>70</v>
      </c>
      <c r="P756" t="s">
        <v>69</v>
      </c>
      <c r="Q756" t="s">
        <v>68</v>
      </c>
      <c r="R756" s="7">
        <v>31778</v>
      </c>
      <c r="S756" s="8">
        <f t="shared" si="96"/>
        <v>1987</v>
      </c>
      <c r="T756" s="8">
        <v>1987</v>
      </c>
      <c r="U756" s="8">
        <f t="shared" si="97"/>
        <v>35</v>
      </c>
      <c r="V756" s="7">
        <v>31898</v>
      </c>
      <c r="W756" t="s">
        <v>67</v>
      </c>
      <c r="X756" s="2">
        <v>0.76500000000000001</v>
      </c>
      <c r="Y756" s="6">
        <f t="shared" si="94"/>
        <v>2.0421238087611118E-2</v>
      </c>
      <c r="AA756">
        <v>138703</v>
      </c>
      <c r="AB756">
        <v>19793</v>
      </c>
      <c r="AC756">
        <v>15707458</v>
      </c>
      <c r="AD756" t="s">
        <v>4</v>
      </c>
      <c r="AE756">
        <v>43</v>
      </c>
      <c r="AF756">
        <v>3</v>
      </c>
      <c r="AH756" t="s">
        <v>66</v>
      </c>
      <c r="AI756" t="s">
        <v>65</v>
      </c>
      <c r="AJ756" t="s">
        <v>64</v>
      </c>
      <c r="AK756" t="s">
        <v>63</v>
      </c>
      <c r="AL756">
        <v>22</v>
      </c>
      <c r="AM756" s="5">
        <f t="shared" si="98"/>
        <v>0.62857142857142856</v>
      </c>
      <c r="AN756" s="4">
        <f t="shared" si="95"/>
        <v>9.5202033861632501E-4</v>
      </c>
      <c r="AO756" s="3"/>
      <c r="AP756">
        <v>0</v>
      </c>
      <c r="AR756" t="s">
        <v>0</v>
      </c>
      <c r="AT756" s="2" t="s">
        <v>32</v>
      </c>
      <c r="AU756" s="1">
        <f t="shared" si="99"/>
        <v>1.4580472762912677</v>
      </c>
      <c r="AV756" s="1">
        <f t="shared" si="100"/>
        <v>1.0686629213113721</v>
      </c>
      <c r="AW756" s="1">
        <f t="shared" si="101"/>
        <v>0.67927856633147621</v>
      </c>
    </row>
    <row r="757" spans="1:49" x14ac:dyDescent="0.2">
      <c r="A757">
        <v>755</v>
      </c>
      <c r="B757" t="s">
        <v>62</v>
      </c>
      <c r="C757" t="s">
        <v>61</v>
      </c>
      <c r="F757" t="s">
        <v>60</v>
      </c>
      <c r="G757" t="s">
        <v>14</v>
      </c>
      <c r="H757" t="s">
        <v>13</v>
      </c>
      <c r="I757" t="s">
        <v>59</v>
      </c>
      <c r="J757" t="s">
        <v>58</v>
      </c>
      <c r="K757" t="s">
        <v>57</v>
      </c>
      <c r="L757" t="s">
        <v>56</v>
      </c>
      <c r="M757" t="s">
        <v>55</v>
      </c>
      <c r="N757">
        <v>3</v>
      </c>
      <c r="O757" t="s">
        <v>54</v>
      </c>
      <c r="P757" t="s">
        <v>53</v>
      </c>
      <c r="Q757" t="s">
        <v>52</v>
      </c>
      <c r="R757" s="7">
        <v>31778</v>
      </c>
      <c r="S757" s="8">
        <f t="shared" si="96"/>
        <v>1987</v>
      </c>
      <c r="T757" s="8">
        <v>1987</v>
      </c>
      <c r="U757" s="8">
        <f t="shared" si="97"/>
        <v>35</v>
      </c>
      <c r="V757" s="7">
        <v>31778</v>
      </c>
      <c r="W757" t="s">
        <v>51</v>
      </c>
      <c r="X757" s="2">
        <v>1.1579999999999999</v>
      </c>
      <c r="Y757" s="6">
        <f t="shared" si="94"/>
        <v>3.0912148634579962E-2</v>
      </c>
      <c r="AA757">
        <v>1668595</v>
      </c>
      <c r="AB757">
        <v>14223</v>
      </c>
      <c r="AC757">
        <v>15735079</v>
      </c>
      <c r="AD757" t="s">
        <v>4</v>
      </c>
      <c r="AE757">
        <v>12</v>
      </c>
      <c r="AF757">
        <v>2</v>
      </c>
      <c r="AH757" t="s">
        <v>50</v>
      </c>
      <c r="AI757" t="s">
        <v>49</v>
      </c>
      <c r="AJ757" t="s">
        <v>48</v>
      </c>
      <c r="AK757" t="s">
        <v>47</v>
      </c>
      <c r="AL757">
        <v>71</v>
      </c>
      <c r="AM757" s="5">
        <f t="shared" si="98"/>
        <v>2.0285714285714285</v>
      </c>
      <c r="AN757" s="4">
        <f t="shared" si="95"/>
        <v>3.0724292746254125E-3</v>
      </c>
      <c r="AO757" s="3"/>
      <c r="AP757">
        <v>0</v>
      </c>
      <c r="AR757" t="s">
        <v>0</v>
      </c>
      <c r="AT757" s="2">
        <v>3.573</v>
      </c>
      <c r="AU757" s="1">
        <f t="shared" si="99"/>
        <v>2.2560232826593594</v>
      </c>
      <c r="AV757" s="1">
        <f t="shared" si="100"/>
        <v>1.6992288954602686</v>
      </c>
      <c r="AW757" s="1">
        <f t="shared" si="101"/>
        <v>1.1424345082611778</v>
      </c>
    </row>
    <row r="758" spans="1:49" x14ac:dyDescent="0.2">
      <c r="A758">
        <v>756</v>
      </c>
      <c r="B758" t="s">
        <v>46</v>
      </c>
      <c r="C758" t="s">
        <v>45</v>
      </c>
      <c r="D758">
        <v>21916987900304</v>
      </c>
      <c r="F758" t="s">
        <v>44</v>
      </c>
      <c r="G758" t="s">
        <v>14</v>
      </c>
      <c r="H758" t="s">
        <v>13</v>
      </c>
      <c r="I758" t="s">
        <v>43</v>
      </c>
      <c r="J758">
        <v>60009512</v>
      </c>
      <c r="K758" t="s">
        <v>42</v>
      </c>
      <c r="L758" t="s">
        <v>41</v>
      </c>
      <c r="M758" t="s">
        <v>40</v>
      </c>
      <c r="N758">
        <v>6</v>
      </c>
      <c r="O758" t="s">
        <v>39</v>
      </c>
      <c r="P758" t="s">
        <v>38</v>
      </c>
      <c r="Q758" t="s">
        <v>37</v>
      </c>
      <c r="R758" s="7">
        <v>31778</v>
      </c>
      <c r="S758" s="8">
        <f t="shared" si="96"/>
        <v>1987</v>
      </c>
      <c r="T758" s="8">
        <v>1987</v>
      </c>
      <c r="U758" s="8">
        <f t="shared" si="97"/>
        <v>35</v>
      </c>
      <c r="V758" s="7">
        <v>31868</v>
      </c>
      <c r="W758" t="s">
        <v>36</v>
      </c>
      <c r="X758" s="2">
        <v>0.51500000000000001</v>
      </c>
      <c r="Y758" s="6">
        <f t="shared" si="94"/>
        <v>1.374763086943755E-2</v>
      </c>
      <c r="AA758">
        <v>219169</v>
      </c>
      <c r="AB758">
        <v>30966</v>
      </c>
      <c r="AD758" t="s">
        <v>4</v>
      </c>
      <c r="AE758">
        <v>49</v>
      </c>
      <c r="AF758">
        <v>4</v>
      </c>
      <c r="AH758" t="s">
        <v>35</v>
      </c>
      <c r="AI758" t="s">
        <v>34</v>
      </c>
      <c r="AK758" t="s">
        <v>33</v>
      </c>
      <c r="AL758">
        <v>59</v>
      </c>
      <c r="AM758" s="5">
        <f t="shared" si="98"/>
        <v>1.6857142857142857</v>
      </c>
      <c r="AN758" s="4">
        <f t="shared" si="95"/>
        <v>2.5531454535619624E-3</v>
      </c>
      <c r="AO758" s="3"/>
      <c r="AP758">
        <v>0</v>
      </c>
      <c r="AR758" t="s">
        <v>0</v>
      </c>
      <c r="AT758" s="2" t="s">
        <v>32</v>
      </c>
      <c r="AU758" s="1">
        <f t="shared" si="99"/>
        <v>1.0389285244674873</v>
      </c>
      <c r="AV758" s="1">
        <f t="shared" si="100"/>
        <v>0.81503881614997564</v>
      </c>
      <c r="AW758" s="1">
        <f t="shared" si="101"/>
        <v>0.59114910783246388</v>
      </c>
    </row>
    <row r="759" spans="1:49" x14ac:dyDescent="0.2">
      <c r="A759">
        <v>757</v>
      </c>
      <c r="B759" t="s">
        <v>31</v>
      </c>
      <c r="C759" t="s">
        <v>30</v>
      </c>
      <c r="F759" t="s">
        <v>29</v>
      </c>
      <c r="G759" t="s">
        <v>14</v>
      </c>
      <c r="H759" t="s">
        <v>13</v>
      </c>
      <c r="I759" t="s">
        <v>28</v>
      </c>
      <c r="J759">
        <v>60015577</v>
      </c>
      <c r="K759" t="s">
        <v>27</v>
      </c>
      <c r="L759" t="s">
        <v>26</v>
      </c>
      <c r="M759" t="s">
        <v>9</v>
      </c>
      <c r="N759">
        <v>3</v>
      </c>
      <c r="O759" t="s">
        <v>25</v>
      </c>
      <c r="P759" t="s">
        <v>24</v>
      </c>
      <c r="Q759" t="s">
        <v>23</v>
      </c>
      <c r="R759" s="7">
        <v>31778</v>
      </c>
      <c r="S759" s="8">
        <f t="shared" si="96"/>
        <v>1987</v>
      </c>
      <c r="T759" s="8">
        <v>1987</v>
      </c>
      <c r="U759" s="8">
        <f t="shared" si="97"/>
        <v>35</v>
      </c>
      <c r="V759" s="7">
        <v>31778</v>
      </c>
      <c r="W759" t="s">
        <v>22</v>
      </c>
      <c r="X759" s="2">
        <v>0.85499999999999998</v>
      </c>
      <c r="Y759" s="6">
        <f t="shared" si="94"/>
        <v>2.28237366861536E-2</v>
      </c>
      <c r="AA759">
        <v>980331</v>
      </c>
      <c r="AB759">
        <v>23342</v>
      </c>
      <c r="AC759">
        <v>15731561</v>
      </c>
      <c r="AD759" t="s">
        <v>4</v>
      </c>
      <c r="AE759">
        <v>13</v>
      </c>
      <c r="AF759">
        <v>1</v>
      </c>
      <c r="AH759" t="s">
        <v>21</v>
      </c>
      <c r="AI759" t="s">
        <v>20</v>
      </c>
      <c r="AJ759" t="s">
        <v>19</v>
      </c>
      <c r="AK759" t="s">
        <v>18</v>
      </c>
      <c r="AL759">
        <v>43</v>
      </c>
      <c r="AM759" s="5">
        <f t="shared" si="98"/>
        <v>1.2285714285714286</v>
      </c>
      <c r="AN759" s="4">
        <f t="shared" si="95"/>
        <v>1.8607670254773626E-3</v>
      </c>
      <c r="AO759" s="3"/>
      <c r="AP759">
        <v>0</v>
      </c>
      <c r="AR759" t="s">
        <v>0</v>
      </c>
      <c r="AT759" s="2">
        <v>2.6259999999999999</v>
      </c>
      <c r="AU759" s="1">
        <f t="shared" si="99"/>
        <v>1.6534845787950729</v>
      </c>
      <c r="AV759" s="1">
        <f t="shared" si="100"/>
        <v>1.234225185581548</v>
      </c>
      <c r="AW759" s="1">
        <f t="shared" si="101"/>
        <v>0.81496579236802336</v>
      </c>
    </row>
    <row r="760" spans="1:49" x14ac:dyDescent="0.2">
      <c r="A760">
        <v>758</v>
      </c>
      <c r="B760" t="s">
        <v>17</v>
      </c>
      <c r="C760" t="s">
        <v>16</v>
      </c>
      <c r="F760" t="s">
        <v>15</v>
      </c>
      <c r="G760" t="s">
        <v>14</v>
      </c>
      <c r="H760" t="s">
        <v>13</v>
      </c>
      <c r="I760" t="s">
        <v>12</v>
      </c>
      <c r="J760">
        <v>60006221</v>
      </c>
      <c r="K760" t="s">
        <v>11</v>
      </c>
      <c r="L760" t="s">
        <v>10</v>
      </c>
      <c r="M760" t="s">
        <v>9</v>
      </c>
      <c r="N760">
        <v>4</v>
      </c>
      <c r="O760" t="s">
        <v>8</v>
      </c>
      <c r="P760" t="s">
        <v>7</v>
      </c>
      <c r="Q760" t="s">
        <v>6</v>
      </c>
      <c r="R760" s="7">
        <v>31778</v>
      </c>
      <c r="S760" s="8">
        <f t="shared" si="96"/>
        <v>1987</v>
      </c>
      <c r="T760" s="8">
        <v>1987</v>
      </c>
      <c r="U760" s="8">
        <f t="shared" si="97"/>
        <v>35</v>
      </c>
      <c r="V760" s="7">
        <v>1987</v>
      </c>
      <c r="W760" t="s">
        <v>5</v>
      </c>
      <c r="X760" s="2">
        <v>15.993</v>
      </c>
      <c r="Y760" s="6">
        <f t="shared" si="94"/>
        <v>0.42692400096099947</v>
      </c>
      <c r="AA760">
        <v>280836</v>
      </c>
      <c r="AB760">
        <v>21206</v>
      </c>
      <c r="AD760" t="s">
        <v>4</v>
      </c>
      <c r="AE760">
        <v>327</v>
      </c>
      <c r="AF760">
        <v>6124</v>
      </c>
      <c r="AH760" t="s">
        <v>3</v>
      </c>
      <c r="AI760" t="s">
        <v>2</v>
      </c>
      <c r="AK760" t="s">
        <v>1</v>
      </c>
      <c r="AL760">
        <v>54</v>
      </c>
      <c r="AM760" s="5">
        <f t="shared" si="98"/>
        <v>1.5428571428571429</v>
      </c>
      <c r="AN760" s="4">
        <f t="shared" si="95"/>
        <v>2.3367771947855249E-3</v>
      </c>
      <c r="AO760" s="3"/>
      <c r="AP760">
        <v>0</v>
      </c>
      <c r="AR760" t="s">
        <v>0</v>
      </c>
      <c r="AT760" s="2">
        <v>49.962000000000003</v>
      </c>
      <c r="AU760" s="1">
        <f t="shared" si="99"/>
        <v>29.954783383113526</v>
      </c>
      <c r="AV760" s="1">
        <f t="shared" si="100"/>
        <v>21.463038907789251</v>
      </c>
      <c r="AW760" s="1">
        <f t="shared" si="101"/>
        <v>12.971294432464969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2021-11-11T11:38:21Z</dcterms:created>
  <dcterms:modified xsi:type="dcterms:W3CDTF">2022-01-19T19:34:12Z</dcterms:modified>
</cp:coreProperties>
</file>