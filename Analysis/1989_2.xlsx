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8A007E74-F287-4F4F-A61F-157398E9C6BE}" xr6:coauthVersionLast="47" xr6:coauthVersionMax="47" xr10:uidLastSave="{EF60D82C-0D3D-A141-A70C-4B13536EABFC}"/>
  <bookViews>
    <workbookView xWindow="20760" yWindow="10380" windowWidth="27640" windowHeight="16940" xr2:uid="{6D17F70F-9110-F74A-8CA2-FA25724DB85B}"/>
  </bookViews>
  <sheets>
    <sheet name="1989"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AM2" i="1" s="1"/>
  <c r="AN2" i="1" s="1"/>
  <c r="Y2" i="1"/>
  <c r="S3" i="1"/>
  <c r="U3" i="1"/>
  <c r="AM3" i="1" s="1"/>
  <c r="AN3" i="1" s="1"/>
  <c r="Y3" i="1"/>
  <c r="S4" i="1"/>
  <c r="U4" i="1"/>
  <c r="AM4" i="1" s="1"/>
  <c r="AN4" i="1" s="1"/>
  <c r="Y4" i="1"/>
  <c r="S5" i="1"/>
  <c r="U5" i="1"/>
  <c r="AM5" i="1" s="1"/>
  <c r="AN5" i="1" s="1"/>
  <c r="Y5" i="1"/>
  <c r="S6" i="1"/>
  <c r="U6" i="1"/>
  <c r="AM6" i="1" s="1"/>
  <c r="AN6" i="1" s="1"/>
  <c r="Y6" i="1"/>
  <c r="S7" i="1"/>
  <c r="U7" i="1"/>
  <c r="AM7" i="1" s="1"/>
  <c r="AN7" i="1" s="1"/>
  <c r="Y7" i="1"/>
  <c r="S8" i="1"/>
  <c r="U8" i="1"/>
  <c r="Y8" i="1"/>
  <c r="AM8" i="1"/>
  <c r="AN8" i="1" s="1"/>
  <c r="S9" i="1"/>
  <c r="U9" i="1"/>
  <c r="Y9" i="1"/>
  <c r="AM9" i="1"/>
  <c r="AN9" i="1" s="1"/>
  <c r="S10" i="1"/>
  <c r="U10" i="1"/>
  <c r="AM10" i="1" s="1"/>
  <c r="AN10" i="1" s="1"/>
  <c r="Y10" i="1"/>
  <c r="S11" i="1"/>
  <c r="U11" i="1"/>
  <c r="AM11" i="1" s="1"/>
  <c r="AN11" i="1" s="1"/>
  <c r="Y11" i="1"/>
  <c r="S12" i="1"/>
  <c r="U12" i="1"/>
  <c r="Y12" i="1"/>
  <c r="AM12" i="1"/>
  <c r="AN12" i="1"/>
  <c r="AV12" i="1" s="1"/>
  <c r="AU12" i="1"/>
  <c r="S13" i="1"/>
  <c r="U13" i="1"/>
  <c r="Y13" i="1"/>
  <c r="AU13" i="1" s="1"/>
  <c r="AM13" i="1"/>
  <c r="AN13" i="1" s="1"/>
  <c r="AW13" i="1" s="1"/>
  <c r="S14" i="1"/>
  <c r="U14" i="1"/>
  <c r="Y14" i="1"/>
  <c r="AM14" i="1"/>
  <c r="AN14" i="1" s="1"/>
  <c r="S15" i="1"/>
  <c r="U15" i="1"/>
  <c r="AM15" i="1" s="1"/>
  <c r="AN15" i="1" s="1"/>
  <c r="Y15" i="1"/>
  <c r="S16" i="1"/>
  <c r="U16" i="1"/>
  <c r="AM16" i="1" s="1"/>
  <c r="AN16" i="1" s="1"/>
  <c r="Y16" i="1"/>
  <c r="S17" i="1"/>
  <c r="U17" i="1"/>
  <c r="AM17" i="1" s="1"/>
  <c r="AN17" i="1" s="1"/>
  <c r="Y17" i="1"/>
  <c r="S18" i="1"/>
  <c r="U18" i="1"/>
  <c r="Y18" i="1"/>
  <c r="AV18" i="1" s="1"/>
  <c r="AM18" i="1"/>
  <c r="AN18" i="1"/>
  <c r="S19" i="1"/>
  <c r="U19" i="1"/>
  <c r="Y19" i="1"/>
  <c r="AM19" i="1"/>
  <c r="AN19" i="1" s="1"/>
  <c r="S20" i="1"/>
  <c r="U20" i="1"/>
  <c r="AM20" i="1" s="1"/>
  <c r="AN20" i="1" s="1"/>
  <c r="Y20" i="1"/>
  <c r="S21" i="1"/>
  <c r="U21" i="1"/>
  <c r="AM21" i="1" s="1"/>
  <c r="AN21" i="1" s="1"/>
  <c r="Y21" i="1"/>
  <c r="S22" i="1"/>
  <c r="U22" i="1"/>
  <c r="AM22" i="1" s="1"/>
  <c r="AN22" i="1" s="1"/>
  <c r="Y22" i="1"/>
  <c r="S23" i="1"/>
  <c r="U23" i="1"/>
  <c r="Y23" i="1"/>
  <c r="AM23" i="1"/>
  <c r="AN23" i="1"/>
  <c r="AV23" i="1"/>
  <c r="S24" i="1"/>
  <c r="U24" i="1"/>
  <c r="Y24" i="1"/>
  <c r="AM24" i="1"/>
  <c r="AN24" i="1" s="1"/>
  <c r="S25" i="1"/>
  <c r="U25" i="1"/>
  <c r="AM25" i="1" s="1"/>
  <c r="AN25" i="1" s="1"/>
  <c r="Y25" i="1"/>
  <c r="S26" i="1"/>
  <c r="U26" i="1"/>
  <c r="AM26" i="1" s="1"/>
  <c r="AN26" i="1" s="1"/>
  <c r="Y26" i="1"/>
  <c r="S27" i="1"/>
  <c r="U27" i="1"/>
  <c r="Y27" i="1"/>
  <c r="AM27" i="1"/>
  <c r="AN27" i="1" s="1"/>
  <c r="AU27" i="1" s="1"/>
  <c r="AW27" i="1"/>
  <c r="S28" i="1"/>
  <c r="U28" i="1"/>
  <c r="AM28" i="1" s="1"/>
  <c r="AN28" i="1" s="1"/>
  <c r="Y28" i="1"/>
  <c r="S29" i="1"/>
  <c r="U29" i="1"/>
  <c r="AM29" i="1" s="1"/>
  <c r="AN29" i="1" s="1"/>
  <c r="Y29" i="1"/>
  <c r="S30" i="1"/>
  <c r="U30" i="1"/>
  <c r="AM30" i="1" s="1"/>
  <c r="AN30" i="1" s="1"/>
  <c r="Y30" i="1"/>
  <c r="S31" i="1"/>
  <c r="U31" i="1"/>
  <c r="AM31" i="1" s="1"/>
  <c r="AN31" i="1" s="1"/>
  <c r="Y31" i="1"/>
  <c r="AU31" i="1" s="1"/>
  <c r="S32" i="1"/>
  <c r="U32" i="1"/>
  <c r="AM32" i="1" s="1"/>
  <c r="AN32" i="1" s="1"/>
  <c r="Y32" i="1"/>
  <c r="S33" i="1"/>
  <c r="U33" i="1"/>
  <c r="AM33" i="1" s="1"/>
  <c r="AN33" i="1" s="1"/>
  <c r="Y33" i="1"/>
  <c r="S34" i="1"/>
  <c r="U34" i="1"/>
  <c r="AM34" i="1" s="1"/>
  <c r="AN34" i="1" s="1"/>
  <c r="Y34" i="1"/>
  <c r="S35" i="1"/>
  <c r="U35" i="1"/>
  <c r="AM35" i="1" s="1"/>
  <c r="AN35" i="1" s="1"/>
  <c r="Y35" i="1"/>
  <c r="S36" i="1"/>
  <c r="U36" i="1"/>
  <c r="AM36" i="1" s="1"/>
  <c r="AN36" i="1" s="1"/>
  <c r="Y36" i="1"/>
  <c r="S37" i="1"/>
  <c r="U37" i="1"/>
  <c r="Y37" i="1"/>
  <c r="AM37" i="1"/>
  <c r="AN37" i="1" s="1"/>
  <c r="S38" i="1"/>
  <c r="U38" i="1"/>
  <c r="AM38" i="1" s="1"/>
  <c r="AN38" i="1" s="1"/>
  <c r="AV38" i="1" s="1"/>
  <c r="Y38" i="1"/>
  <c r="S39" i="1"/>
  <c r="U39" i="1"/>
  <c r="Y39" i="1"/>
  <c r="AM39" i="1"/>
  <c r="AN39" i="1" s="1"/>
  <c r="S40" i="1"/>
  <c r="U40" i="1"/>
  <c r="AM40" i="1" s="1"/>
  <c r="AN40" i="1" s="1"/>
  <c r="Y40" i="1"/>
  <c r="S41" i="1"/>
  <c r="U41" i="1"/>
  <c r="AM41" i="1" s="1"/>
  <c r="AN41" i="1" s="1"/>
  <c r="Y41" i="1"/>
  <c r="AU41" i="1" s="1"/>
  <c r="S42" i="1"/>
  <c r="U42" i="1"/>
  <c r="Y42" i="1"/>
  <c r="AM42" i="1"/>
  <c r="AN42" i="1" s="1"/>
  <c r="S43" i="1"/>
  <c r="U43" i="1"/>
  <c r="AM43" i="1" s="1"/>
  <c r="AN43" i="1" s="1"/>
  <c r="Y43" i="1"/>
  <c r="AV43" i="1" s="1"/>
  <c r="S44" i="1"/>
  <c r="U44" i="1"/>
  <c r="Y44" i="1"/>
  <c r="AM44" i="1"/>
  <c r="AN44" i="1" s="1"/>
  <c r="S45" i="1"/>
  <c r="U45" i="1"/>
  <c r="AM45" i="1" s="1"/>
  <c r="AN45" i="1" s="1"/>
  <c r="Y45" i="1"/>
  <c r="S46" i="1"/>
  <c r="U46" i="1"/>
  <c r="AM46" i="1" s="1"/>
  <c r="AN46" i="1" s="1"/>
  <c r="Y46" i="1"/>
  <c r="S47" i="1"/>
  <c r="U47" i="1"/>
  <c r="AM47" i="1" s="1"/>
  <c r="AN47" i="1" s="1"/>
  <c r="AU47" i="1" s="1"/>
  <c r="Y47" i="1"/>
  <c r="AW47" i="1" s="1"/>
  <c r="S48" i="1"/>
  <c r="U48" i="1"/>
  <c r="AM48" i="1" s="1"/>
  <c r="Y48" i="1"/>
  <c r="AV48" i="1" s="1"/>
  <c r="AN48" i="1"/>
  <c r="S49" i="1"/>
  <c r="U49" i="1"/>
  <c r="Y49" i="1"/>
  <c r="AU49" i="1" s="1"/>
  <c r="AM49" i="1"/>
  <c r="AN49" i="1" s="1"/>
  <c r="S50" i="1"/>
  <c r="U50" i="1"/>
  <c r="Y50" i="1"/>
  <c r="AM50" i="1"/>
  <c r="AN50" i="1" s="1"/>
  <c r="S51" i="1"/>
  <c r="U51" i="1"/>
  <c r="AM51" i="1" s="1"/>
  <c r="AN51" i="1" s="1"/>
  <c r="Y51" i="1"/>
  <c r="S52" i="1"/>
  <c r="U52" i="1"/>
  <c r="AM52" i="1" s="1"/>
  <c r="AN52" i="1" s="1"/>
  <c r="Y52" i="1"/>
  <c r="S53" i="1"/>
  <c r="U53" i="1"/>
  <c r="AM53" i="1" s="1"/>
  <c r="Y53" i="1"/>
  <c r="AN53" i="1"/>
  <c r="AV53" i="1"/>
  <c r="S54" i="1"/>
  <c r="U54" i="1"/>
  <c r="Y54" i="1"/>
  <c r="AM54" i="1"/>
  <c r="AN54" i="1" s="1"/>
  <c r="S55" i="1"/>
  <c r="U55" i="1"/>
  <c r="Y55" i="1"/>
  <c r="AM55" i="1"/>
  <c r="AN55" i="1" s="1"/>
  <c r="S56" i="1"/>
  <c r="U56" i="1"/>
  <c r="AM56" i="1" s="1"/>
  <c r="AN56" i="1" s="1"/>
  <c r="Y56" i="1"/>
  <c r="S57" i="1"/>
  <c r="U57" i="1"/>
  <c r="AM57" i="1" s="1"/>
  <c r="AN57" i="1" s="1"/>
  <c r="Y57" i="1"/>
  <c r="S58" i="1"/>
  <c r="U58" i="1"/>
  <c r="AM58" i="1" s="1"/>
  <c r="Y58" i="1"/>
  <c r="AN58" i="1"/>
  <c r="AV58" i="1" s="1"/>
  <c r="S59" i="1"/>
  <c r="U59" i="1"/>
  <c r="AM59" i="1" s="1"/>
  <c r="AN59" i="1" s="1"/>
  <c r="Y59" i="1"/>
  <c r="S60" i="1"/>
  <c r="U60" i="1"/>
  <c r="AM60" i="1" s="1"/>
  <c r="AN60" i="1" s="1"/>
  <c r="Y60" i="1"/>
  <c r="S61" i="1"/>
  <c r="U61" i="1"/>
  <c r="AM61" i="1" s="1"/>
  <c r="AN61" i="1" s="1"/>
  <c r="Y61" i="1"/>
  <c r="S62" i="1"/>
  <c r="U62" i="1"/>
  <c r="AM62" i="1" s="1"/>
  <c r="AN62" i="1" s="1"/>
  <c r="Y62" i="1"/>
  <c r="S63" i="1"/>
  <c r="U63" i="1"/>
  <c r="AM63" i="1" s="1"/>
  <c r="Y63" i="1"/>
  <c r="AN63" i="1"/>
  <c r="AV63" i="1"/>
  <c r="S64" i="1"/>
  <c r="U64" i="1"/>
  <c r="Y64" i="1"/>
  <c r="AU64" i="1" s="1"/>
  <c r="AM64" i="1"/>
  <c r="AN64" i="1" s="1"/>
  <c r="S65" i="1"/>
  <c r="U65" i="1"/>
  <c r="Y65" i="1"/>
  <c r="AM65" i="1"/>
  <c r="AN65" i="1" s="1"/>
  <c r="S66" i="1"/>
  <c r="U66" i="1"/>
  <c r="AM66" i="1" s="1"/>
  <c r="AN66" i="1" s="1"/>
  <c r="Y66" i="1"/>
  <c r="S67" i="1"/>
  <c r="U67" i="1"/>
  <c r="AM67" i="1" s="1"/>
  <c r="AN67" i="1" s="1"/>
  <c r="Y67" i="1"/>
  <c r="S68" i="1"/>
  <c r="U68" i="1"/>
  <c r="AM68" i="1" s="1"/>
  <c r="AN68" i="1" s="1"/>
  <c r="Y68" i="1"/>
  <c r="S69" i="1"/>
  <c r="U69" i="1"/>
  <c r="Y69" i="1"/>
  <c r="AM69" i="1"/>
  <c r="AN69" i="1" s="1"/>
  <c r="S70" i="1"/>
  <c r="U70" i="1"/>
  <c r="AM70" i="1" s="1"/>
  <c r="AN70" i="1" s="1"/>
  <c r="Y70" i="1"/>
  <c r="S71" i="1"/>
  <c r="U71" i="1"/>
  <c r="AM71" i="1" s="1"/>
  <c r="AN71" i="1" s="1"/>
  <c r="Y71" i="1"/>
  <c r="S72" i="1"/>
  <c r="U72" i="1"/>
  <c r="AM72" i="1" s="1"/>
  <c r="AN72" i="1" s="1"/>
  <c r="Y72" i="1"/>
  <c r="S73" i="1"/>
  <c r="U73" i="1"/>
  <c r="Y73" i="1"/>
  <c r="AM73" i="1"/>
  <c r="AN73" i="1" s="1"/>
  <c r="S74" i="1"/>
  <c r="U74" i="1"/>
  <c r="Y74" i="1"/>
  <c r="AM74" i="1"/>
  <c r="AN74" i="1" s="1"/>
  <c r="S75" i="1"/>
  <c r="U75" i="1"/>
  <c r="AM75" i="1" s="1"/>
  <c r="AN75" i="1" s="1"/>
  <c r="Y75" i="1"/>
  <c r="S76" i="1"/>
  <c r="U76" i="1"/>
  <c r="AM76" i="1" s="1"/>
  <c r="AN76" i="1" s="1"/>
  <c r="Y76" i="1"/>
  <c r="AU76" i="1" s="1"/>
  <c r="S77" i="1"/>
  <c r="U77" i="1"/>
  <c r="AM77" i="1" s="1"/>
  <c r="AN77" i="1" s="1"/>
  <c r="Y77" i="1"/>
  <c r="S78" i="1"/>
  <c r="U78" i="1"/>
  <c r="AM78" i="1" s="1"/>
  <c r="AN78" i="1" s="1"/>
  <c r="Y78" i="1"/>
  <c r="S79" i="1"/>
  <c r="U79" i="1"/>
  <c r="AM79" i="1" s="1"/>
  <c r="AN79" i="1" s="1"/>
  <c r="Y79" i="1"/>
  <c r="S80" i="1"/>
  <c r="U80" i="1"/>
  <c r="Y80" i="1"/>
  <c r="AM80" i="1"/>
  <c r="AN80" i="1" s="1"/>
  <c r="S81" i="1"/>
  <c r="U81" i="1"/>
  <c r="AM81" i="1" s="1"/>
  <c r="AN81" i="1" s="1"/>
  <c r="AV81" i="1" s="1"/>
  <c r="Y81" i="1"/>
  <c r="S82" i="1"/>
  <c r="U82" i="1"/>
  <c r="AM82" i="1" s="1"/>
  <c r="AN82" i="1" s="1"/>
  <c r="Y82" i="1"/>
  <c r="S83" i="1"/>
  <c r="U83" i="1"/>
  <c r="Y83" i="1"/>
  <c r="AM83" i="1"/>
  <c r="AN83" i="1" s="1"/>
  <c r="AV83" i="1" s="1"/>
  <c r="S84" i="1"/>
  <c r="U84" i="1"/>
  <c r="AM84" i="1" s="1"/>
  <c r="AN84" i="1" s="1"/>
  <c r="Y84" i="1"/>
  <c r="S85" i="1"/>
  <c r="U85" i="1"/>
  <c r="AM85" i="1" s="1"/>
  <c r="AN85" i="1" s="1"/>
  <c r="Y85" i="1"/>
  <c r="S86" i="1"/>
  <c r="U86" i="1"/>
  <c r="AM86" i="1" s="1"/>
  <c r="AN86" i="1" s="1"/>
  <c r="Y86" i="1"/>
  <c r="AV86" i="1" s="1"/>
  <c r="S87" i="1"/>
  <c r="U87" i="1"/>
  <c r="AM87" i="1" s="1"/>
  <c r="AN87" i="1" s="1"/>
  <c r="Y87" i="1"/>
  <c r="S88" i="1"/>
  <c r="U88" i="1"/>
  <c r="AM88" i="1" s="1"/>
  <c r="AN88" i="1" s="1"/>
  <c r="Y88" i="1"/>
  <c r="AU88" i="1" s="1"/>
  <c r="S89" i="1"/>
  <c r="U89" i="1"/>
  <c r="AM89" i="1" s="1"/>
  <c r="AN89" i="1" s="1"/>
  <c r="Y89" i="1"/>
  <c r="S90" i="1"/>
  <c r="U90" i="1"/>
  <c r="Y90" i="1"/>
  <c r="AM90" i="1"/>
  <c r="AN90" i="1" s="1"/>
  <c r="S91" i="1"/>
  <c r="U91" i="1"/>
  <c r="AM91" i="1" s="1"/>
  <c r="AN91" i="1" s="1"/>
  <c r="Y91" i="1"/>
  <c r="S92" i="1"/>
  <c r="U92" i="1"/>
  <c r="AM92" i="1" s="1"/>
  <c r="AN92" i="1" s="1"/>
  <c r="Y92" i="1"/>
  <c r="S93" i="1"/>
  <c r="U93" i="1"/>
  <c r="AM93" i="1" s="1"/>
  <c r="AN93" i="1" s="1"/>
  <c r="Y93" i="1"/>
  <c r="AV93" i="1" s="1"/>
  <c r="S94" i="1"/>
  <c r="U94" i="1"/>
  <c r="AM94" i="1" s="1"/>
  <c r="AN94" i="1" s="1"/>
  <c r="Y94" i="1"/>
  <c r="S95" i="1"/>
  <c r="U95" i="1"/>
  <c r="Y95" i="1"/>
  <c r="AM95" i="1"/>
  <c r="AN95" i="1" s="1"/>
  <c r="S96" i="1"/>
  <c r="U96" i="1"/>
  <c r="AM96" i="1" s="1"/>
  <c r="AN96" i="1" s="1"/>
  <c r="Y96" i="1"/>
  <c r="S97" i="1"/>
  <c r="U97" i="1"/>
  <c r="AM97" i="1" s="1"/>
  <c r="AN97" i="1" s="1"/>
  <c r="Y97" i="1"/>
  <c r="S98" i="1"/>
  <c r="U98" i="1"/>
  <c r="AM98" i="1" s="1"/>
  <c r="AN98" i="1" s="1"/>
  <c r="Y98" i="1"/>
  <c r="S99" i="1"/>
  <c r="U99" i="1"/>
  <c r="AM99" i="1" s="1"/>
  <c r="AN99" i="1" s="1"/>
  <c r="Y99" i="1"/>
  <c r="S100" i="1"/>
  <c r="U100" i="1"/>
  <c r="Y100" i="1"/>
  <c r="AM100" i="1"/>
  <c r="AN100" i="1" s="1"/>
  <c r="S101" i="1"/>
  <c r="U101" i="1"/>
  <c r="Y101" i="1"/>
  <c r="AM101" i="1"/>
  <c r="AN101" i="1"/>
  <c r="AV101" i="1"/>
  <c r="S102" i="1"/>
  <c r="U102" i="1"/>
  <c r="AM102" i="1" s="1"/>
  <c r="AN102" i="1" s="1"/>
  <c r="Y102" i="1"/>
  <c r="S103" i="1"/>
  <c r="U103" i="1"/>
  <c r="AM103" i="1" s="1"/>
  <c r="AN103" i="1" s="1"/>
  <c r="Y103" i="1"/>
  <c r="S104" i="1"/>
  <c r="U104" i="1"/>
  <c r="AM104" i="1" s="1"/>
  <c r="AN104" i="1" s="1"/>
  <c r="Y104" i="1"/>
  <c r="S105" i="1"/>
  <c r="U105" i="1"/>
  <c r="AM105" i="1" s="1"/>
  <c r="AN105" i="1" s="1"/>
  <c r="Y105" i="1"/>
  <c r="S106" i="1"/>
  <c r="U106" i="1"/>
  <c r="AM106" i="1" s="1"/>
  <c r="AN106" i="1" s="1"/>
  <c r="Y106" i="1"/>
  <c r="AV106" i="1" s="1"/>
  <c r="S107" i="1"/>
  <c r="U107" i="1"/>
  <c r="AM107" i="1" s="1"/>
  <c r="AN107" i="1" s="1"/>
  <c r="Y107" i="1"/>
  <c r="S108" i="1"/>
  <c r="U108" i="1"/>
  <c r="AM108" i="1" s="1"/>
  <c r="AN108" i="1" s="1"/>
  <c r="Y108" i="1"/>
  <c r="AU108" i="1" s="1"/>
  <c r="AV108" i="1"/>
  <c r="S109" i="1"/>
  <c r="U109" i="1"/>
  <c r="Y109" i="1"/>
  <c r="AM109" i="1"/>
  <c r="AN109" i="1" s="1"/>
  <c r="S110" i="1"/>
  <c r="U110" i="1"/>
  <c r="AM110" i="1" s="1"/>
  <c r="AN110" i="1" s="1"/>
  <c r="Y110" i="1"/>
  <c r="S111" i="1"/>
  <c r="U111" i="1"/>
  <c r="AM111" i="1" s="1"/>
  <c r="AN111" i="1" s="1"/>
  <c r="Y111" i="1"/>
  <c r="AV111" i="1" s="1"/>
  <c r="S112" i="1"/>
  <c r="U112" i="1"/>
  <c r="Y112" i="1"/>
  <c r="AM112" i="1"/>
  <c r="AN112" i="1"/>
  <c r="AU112" i="1" s="1"/>
  <c r="AW112" i="1"/>
  <c r="S113" i="1"/>
  <c r="U113" i="1"/>
  <c r="AM113" i="1" s="1"/>
  <c r="AN113" i="1" s="1"/>
  <c r="Y113" i="1"/>
  <c r="AV113" i="1"/>
  <c r="S114" i="1"/>
  <c r="U114" i="1"/>
  <c r="AM114" i="1" s="1"/>
  <c r="AN114" i="1" s="1"/>
  <c r="Y114" i="1"/>
  <c r="S115" i="1"/>
  <c r="U115" i="1"/>
  <c r="AM115" i="1" s="1"/>
  <c r="AN115" i="1" s="1"/>
  <c r="Y115" i="1"/>
  <c r="S116" i="1"/>
  <c r="U116" i="1"/>
  <c r="AM116" i="1" s="1"/>
  <c r="AN116" i="1" s="1"/>
  <c r="Y116" i="1"/>
  <c r="S117" i="1"/>
  <c r="U117" i="1"/>
  <c r="AM117" i="1" s="1"/>
  <c r="AN117" i="1" s="1"/>
  <c r="AV117" i="1" s="1"/>
  <c r="Y117" i="1"/>
  <c r="S118" i="1"/>
  <c r="U118" i="1"/>
  <c r="AM118" i="1" s="1"/>
  <c r="AN118" i="1" s="1"/>
  <c r="Y118" i="1"/>
  <c r="AV118" i="1" s="1"/>
  <c r="S119" i="1"/>
  <c r="U119" i="1"/>
  <c r="Y119" i="1"/>
  <c r="AM119" i="1"/>
  <c r="AN119" i="1" s="1"/>
  <c r="S120" i="1"/>
  <c r="U120" i="1"/>
  <c r="Y120" i="1"/>
  <c r="AM120" i="1"/>
  <c r="AN120" i="1" s="1"/>
  <c r="S121" i="1"/>
  <c r="U121" i="1"/>
  <c r="Y121" i="1"/>
  <c r="AM121" i="1"/>
  <c r="AN121" i="1" s="1"/>
  <c r="S122" i="1"/>
  <c r="U122" i="1"/>
  <c r="AM122" i="1" s="1"/>
  <c r="AN122" i="1" s="1"/>
  <c r="Y122" i="1"/>
  <c r="S123" i="1"/>
  <c r="U123" i="1"/>
  <c r="AM123" i="1" s="1"/>
  <c r="AN123" i="1" s="1"/>
  <c r="Y123" i="1"/>
  <c r="S124" i="1"/>
  <c r="U124" i="1"/>
  <c r="AM124" i="1" s="1"/>
  <c r="AN124" i="1" s="1"/>
  <c r="Y124" i="1"/>
  <c r="S125" i="1"/>
  <c r="U125" i="1"/>
  <c r="AM125" i="1" s="1"/>
  <c r="AN125" i="1" s="1"/>
  <c r="Y125" i="1"/>
  <c r="S126" i="1"/>
  <c r="U126" i="1"/>
  <c r="AM126" i="1" s="1"/>
  <c r="AN126" i="1" s="1"/>
  <c r="Y126" i="1"/>
  <c r="AV126" i="1"/>
  <c r="S127" i="1"/>
  <c r="U127" i="1"/>
  <c r="AM127" i="1" s="1"/>
  <c r="AN127" i="1" s="1"/>
  <c r="AV127" i="1" s="1"/>
  <c r="Y127" i="1"/>
  <c r="S128" i="1"/>
  <c r="U128" i="1"/>
  <c r="AM128" i="1" s="1"/>
  <c r="AN128" i="1" s="1"/>
  <c r="Y128" i="1"/>
  <c r="AV128" i="1" s="1"/>
  <c r="S129" i="1"/>
  <c r="U129" i="1"/>
  <c r="Y129" i="1"/>
  <c r="AM129" i="1"/>
  <c r="AN129" i="1" s="1"/>
  <c r="S130" i="1"/>
  <c r="U130" i="1"/>
  <c r="Y130" i="1"/>
  <c r="AM130" i="1"/>
  <c r="AN130" i="1" s="1"/>
  <c r="S131" i="1"/>
  <c r="U131" i="1"/>
  <c r="Y131" i="1"/>
  <c r="AM131" i="1"/>
  <c r="AN131" i="1" s="1"/>
  <c r="S132" i="1"/>
  <c r="U132" i="1"/>
  <c r="AM132" i="1" s="1"/>
  <c r="AN132" i="1" s="1"/>
  <c r="Y132" i="1"/>
  <c r="S133" i="1"/>
  <c r="U133" i="1"/>
  <c r="AM133" i="1" s="1"/>
  <c r="AN133" i="1" s="1"/>
  <c r="Y133" i="1"/>
  <c r="S134" i="1"/>
  <c r="U134" i="1"/>
  <c r="AM134" i="1" s="1"/>
  <c r="AN134" i="1" s="1"/>
  <c r="Y134" i="1"/>
  <c r="S135" i="1"/>
  <c r="U135" i="1"/>
  <c r="Y135" i="1"/>
  <c r="AM135" i="1"/>
  <c r="AN135" i="1" s="1"/>
  <c r="S136" i="1"/>
  <c r="U136" i="1"/>
  <c r="AM136" i="1" s="1"/>
  <c r="AN136" i="1" s="1"/>
  <c r="Y136" i="1"/>
  <c r="AV136" i="1" s="1"/>
  <c r="S137" i="1"/>
  <c r="U137" i="1"/>
  <c r="AM137" i="1" s="1"/>
  <c r="AN137" i="1" s="1"/>
  <c r="Y137" i="1"/>
  <c r="S138" i="1"/>
  <c r="U138" i="1"/>
  <c r="AM138" i="1" s="1"/>
  <c r="AN138" i="1" s="1"/>
  <c r="Y138" i="1"/>
  <c r="S139" i="1"/>
  <c r="U139" i="1"/>
  <c r="Y139" i="1"/>
  <c r="AM139" i="1"/>
  <c r="AN139" i="1" s="1"/>
  <c r="S140" i="1"/>
  <c r="U140" i="1"/>
  <c r="AM140" i="1" s="1"/>
  <c r="AN140" i="1" s="1"/>
  <c r="Y140" i="1"/>
  <c r="S141" i="1"/>
  <c r="U141" i="1"/>
  <c r="Y141" i="1"/>
  <c r="AM141" i="1"/>
  <c r="AN141" i="1" s="1"/>
  <c r="S142" i="1"/>
  <c r="U142" i="1"/>
  <c r="AM142" i="1" s="1"/>
  <c r="AN142" i="1" s="1"/>
  <c r="AU142" i="1" s="1"/>
  <c r="Y142" i="1"/>
  <c r="S143" i="1"/>
  <c r="U143" i="1"/>
  <c r="AM143" i="1" s="1"/>
  <c r="AN143" i="1" s="1"/>
  <c r="Y143" i="1"/>
  <c r="AV143" i="1" s="1"/>
  <c r="S144" i="1"/>
  <c r="U144" i="1"/>
  <c r="AM144" i="1" s="1"/>
  <c r="AN144" i="1" s="1"/>
  <c r="Y144" i="1"/>
  <c r="S145" i="1"/>
  <c r="U145" i="1"/>
  <c r="Y145" i="1"/>
  <c r="AM145" i="1"/>
  <c r="AN145" i="1" s="1"/>
  <c r="S146" i="1"/>
  <c r="U146" i="1"/>
  <c r="Y146" i="1"/>
  <c r="AM146" i="1"/>
  <c r="AN146" i="1" s="1"/>
  <c r="S147" i="1"/>
  <c r="U147" i="1"/>
  <c r="AM147" i="1" s="1"/>
  <c r="AN147" i="1" s="1"/>
  <c r="AU147" i="1" s="1"/>
  <c r="Y147" i="1"/>
  <c r="AW147" i="1" s="1"/>
  <c r="S148" i="1"/>
  <c r="U148" i="1"/>
  <c r="AM148" i="1" s="1"/>
  <c r="AN148" i="1" s="1"/>
  <c r="Y148" i="1"/>
  <c r="S149" i="1"/>
  <c r="U149" i="1"/>
  <c r="AM149" i="1" s="1"/>
  <c r="AN149" i="1" s="1"/>
  <c r="Y149" i="1"/>
  <c r="S150" i="1"/>
  <c r="U150" i="1"/>
  <c r="Y150" i="1"/>
  <c r="AM150" i="1"/>
  <c r="AN150" i="1" s="1"/>
  <c r="S151" i="1"/>
  <c r="U151" i="1"/>
  <c r="AM151" i="1" s="1"/>
  <c r="Y151" i="1"/>
  <c r="AN151" i="1"/>
  <c r="S152" i="1"/>
  <c r="U152" i="1"/>
  <c r="AM152" i="1" s="1"/>
  <c r="AN152" i="1" s="1"/>
  <c r="Y152" i="1"/>
  <c r="S153" i="1"/>
  <c r="U153" i="1"/>
  <c r="AM153" i="1" s="1"/>
  <c r="AN153" i="1" s="1"/>
  <c r="Y153" i="1"/>
  <c r="S154" i="1"/>
  <c r="U154" i="1"/>
  <c r="Y154" i="1"/>
  <c r="AM154" i="1"/>
  <c r="AN154" i="1" s="1"/>
  <c r="S155" i="1"/>
  <c r="U155" i="1"/>
  <c r="AM155" i="1" s="1"/>
  <c r="AN155" i="1" s="1"/>
  <c r="Y155" i="1"/>
  <c r="S156" i="1"/>
  <c r="U156" i="1"/>
  <c r="AM156" i="1" s="1"/>
  <c r="AN156" i="1" s="1"/>
  <c r="Y156" i="1"/>
  <c r="AV156" i="1" s="1"/>
  <c r="S157" i="1"/>
  <c r="U157" i="1"/>
  <c r="AM157" i="1" s="1"/>
  <c r="AN157" i="1" s="1"/>
  <c r="Y157" i="1"/>
  <c r="S158" i="1"/>
  <c r="U158" i="1"/>
  <c r="AM158" i="1" s="1"/>
  <c r="AN158" i="1" s="1"/>
  <c r="Y158" i="1"/>
  <c r="AV158" i="1" s="1"/>
  <c r="S159" i="1"/>
  <c r="U159" i="1"/>
  <c r="Y159" i="1"/>
  <c r="AM159" i="1"/>
  <c r="AN159" i="1" s="1"/>
  <c r="S160" i="1"/>
  <c r="U160" i="1"/>
  <c r="Y160" i="1"/>
  <c r="AM160" i="1"/>
  <c r="AN160" i="1" s="1"/>
  <c r="S161" i="1"/>
  <c r="U161" i="1"/>
  <c r="Y161" i="1"/>
  <c r="AM161" i="1"/>
  <c r="AN161" i="1" s="1"/>
  <c r="S162" i="1"/>
  <c r="U162" i="1"/>
  <c r="AM162" i="1" s="1"/>
  <c r="AN162" i="1" s="1"/>
  <c r="AV162" i="1" s="1"/>
  <c r="Y162" i="1"/>
  <c r="S163" i="1"/>
  <c r="U163" i="1"/>
  <c r="AM163" i="1" s="1"/>
  <c r="AN163" i="1" s="1"/>
  <c r="Y163" i="1"/>
  <c r="AV163" i="1" s="1"/>
  <c r="S164" i="1"/>
  <c r="U164" i="1"/>
  <c r="AM164" i="1" s="1"/>
  <c r="AN164" i="1" s="1"/>
  <c r="Y164" i="1"/>
  <c r="S165" i="1"/>
  <c r="U165" i="1"/>
  <c r="Y165" i="1"/>
  <c r="AM165" i="1"/>
  <c r="AN165" i="1" s="1"/>
  <c r="AV165" i="1"/>
  <c r="S166" i="1"/>
  <c r="U166" i="1"/>
  <c r="AM166" i="1" s="1"/>
  <c r="AN166" i="1" s="1"/>
  <c r="Y166" i="1"/>
  <c r="S167" i="1"/>
  <c r="U167" i="1"/>
  <c r="AM167" i="1" s="1"/>
  <c r="AN167" i="1" s="1"/>
  <c r="Y167" i="1"/>
  <c r="AV167" i="1" s="1"/>
  <c r="S168" i="1"/>
  <c r="U168" i="1"/>
  <c r="AM168" i="1" s="1"/>
  <c r="AN168" i="1" s="1"/>
  <c r="Y168" i="1"/>
  <c r="AV168" i="1" s="1"/>
  <c r="S169" i="1"/>
  <c r="U169" i="1"/>
  <c r="AM169" i="1" s="1"/>
  <c r="AN169" i="1" s="1"/>
  <c r="Y169" i="1"/>
  <c r="S170" i="1"/>
  <c r="U170" i="1"/>
  <c r="AM170" i="1" s="1"/>
  <c r="AN170" i="1" s="1"/>
  <c r="Y170" i="1"/>
  <c r="S171" i="1"/>
  <c r="U171" i="1"/>
  <c r="AM171" i="1" s="1"/>
  <c r="AN171" i="1" s="1"/>
  <c r="Y171" i="1"/>
  <c r="S172" i="1"/>
  <c r="U172" i="1"/>
  <c r="AM172" i="1" s="1"/>
  <c r="AN172" i="1" s="1"/>
  <c r="Y172" i="1"/>
  <c r="AV172" i="1" s="1"/>
  <c r="S173" i="1"/>
  <c r="U173" i="1"/>
  <c r="AM173" i="1" s="1"/>
  <c r="AN173" i="1" s="1"/>
  <c r="Y173" i="1"/>
  <c r="S174" i="1"/>
  <c r="U174" i="1"/>
  <c r="Y174" i="1"/>
  <c r="AM174" i="1"/>
  <c r="AN174" i="1" s="1"/>
  <c r="S175" i="1"/>
  <c r="U175" i="1"/>
  <c r="AM175" i="1" s="1"/>
  <c r="AN175" i="1" s="1"/>
  <c r="Y175" i="1"/>
  <c r="AV175" i="1" s="1"/>
  <c r="S176" i="1"/>
  <c r="U176" i="1"/>
  <c r="Y176" i="1"/>
  <c r="AM176" i="1"/>
  <c r="AN176" i="1" s="1"/>
  <c r="S177" i="1"/>
  <c r="U177" i="1"/>
  <c r="AM177" i="1" s="1"/>
  <c r="AN177" i="1" s="1"/>
  <c r="Y177" i="1"/>
  <c r="S178" i="1"/>
  <c r="U178" i="1"/>
  <c r="Y178" i="1"/>
  <c r="AM178" i="1"/>
  <c r="AN178" i="1" s="1"/>
  <c r="S179" i="1"/>
  <c r="U179" i="1"/>
  <c r="Y179" i="1"/>
  <c r="AM179" i="1"/>
  <c r="AN179" i="1" s="1"/>
  <c r="S180" i="1"/>
  <c r="U180" i="1"/>
  <c r="AM180" i="1" s="1"/>
  <c r="AN180" i="1" s="1"/>
  <c r="Y180" i="1"/>
  <c r="S181" i="1"/>
  <c r="U181" i="1"/>
  <c r="AM181" i="1" s="1"/>
  <c r="AN181" i="1" s="1"/>
  <c r="Y181" i="1"/>
  <c r="S182" i="1"/>
  <c r="U182" i="1"/>
  <c r="AM182" i="1" s="1"/>
  <c r="AN182" i="1" s="1"/>
  <c r="Y182" i="1"/>
  <c r="S183" i="1"/>
  <c r="U183" i="1"/>
  <c r="AM183" i="1" s="1"/>
  <c r="AN183" i="1" s="1"/>
  <c r="Y183" i="1"/>
  <c r="S184" i="1"/>
  <c r="U184" i="1"/>
  <c r="AM184" i="1" s="1"/>
  <c r="AN184" i="1" s="1"/>
  <c r="Y184" i="1"/>
  <c r="S185" i="1"/>
  <c r="U185" i="1"/>
  <c r="AM185" i="1" s="1"/>
  <c r="AN185" i="1" s="1"/>
  <c r="Y185" i="1"/>
  <c r="S186" i="1"/>
  <c r="U186" i="1"/>
  <c r="AM186" i="1" s="1"/>
  <c r="AN186" i="1" s="1"/>
  <c r="Y186" i="1"/>
  <c r="S187" i="1"/>
  <c r="U187" i="1"/>
  <c r="AM187" i="1" s="1"/>
  <c r="AN187" i="1" s="1"/>
  <c r="Y187" i="1"/>
  <c r="S188" i="1"/>
  <c r="U188" i="1"/>
  <c r="AM188" i="1" s="1"/>
  <c r="AN188" i="1" s="1"/>
  <c r="Y188" i="1"/>
  <c r="S189" i="1"/>
  <c r="U189" i="1"/>
  <c r="AM189" i="1" s="1"/>
  <c r="AN189" i="1" s="1"/>
  <c r="Y189" i="1"/>
  <c r="S190" i="1"/>
  <c r="U190" i="1"/>
  <c r="AM190" i="1" s="1"/>
  <c r="Y190" i="1"/>
  <c r="AN190" i="1"/>
  <c r="AW190" i="1"/>
  <c r="S191" i="1"/>
  <c r="U191" i="1"/>
  <c r="Y191" i="1"/>
  <c r="AM191" i="1"/>
  <c r="AN191" i="1" s="1"/>
  <c r="S192" i="1"/>
  <c r="U192" i="1"/>
  <c r="AM192" i="1" s="1"/>
  <c r="AN192" i="1" s="1"/>
  <c r="Y192" i="1"/>
  <c r="S193" i="1"/>
  <c r="U193" i="1"/>
  <c r="AM193" i="1" s="1"/>
  <c r="AN193" i="1" s="1"/>
  <c r="Y193" i="1"/>
  <c r="S194" i="1"/>
  <c r="U194" i="1"/>
  <c r="AM194" i="1" s="1"/>
  <c r="AN194" i="1" s="1"/>
  <c r="Y194" i="1"/>
  <c r="S195" i="1"/>
  <c r="U195" i="1"/>
  <c r="Y195" i="1"/>
  <c r="AM195" i="1"/>
  <c r="AN195" i="1" s="1"/>
  <c r="S196" i="1"/>
  <c r="U196" i="1"/>
  <c r="AM196" i="1" s="1"/>
  <c r="AN196" i="1" s="1"/>
  <c r="Y196" i="1"/>
  <c r="S197" i="1"/>
  <c r="U197" i="1"/>
  <c r="AM197" i="1" s="1"/>
  <c r="Y197" i="1"/>
  <c r="AN197" i="1"/>
  <c r="AV197" i="1" s="1"/>
  <c r="AW197" i="1"/>
  <c r="S198" i="1"/>
  <c r="U198" i="1"/>
  <c r="AM198" i="1" s="1"/>
  <c r="AN198" i="1" s="1"/>
  <c r="Y198" i="1"/>
  <c r="S199" i="1"/>
  <c r="U199" i="1"/>
  <c r="Y199" i="1"/>
  <c r="AV199" i="1" s="1"/>
  <c r="AM199" i="1"/>
  <c r="AN199" i="1" s="1"/>
  <c r="S200" i="1"/>
  <c r="U200" i="1"/>
  <c r="Y200" i="1"/>
  <c r="AM200" i="1"/>
  <c r="AN200" i="1" s="1"/>
  <c r="AU200" i="1" s="1"/>
  <c r="S201" i="1"/>
  <c r="U201" i="1"/>
  <c r="AM201" i="1" s="1"/>
  <c r="AN201" i="1" s="1"/>
  <c r="Y201" i="1"/>
  <c r="S202" i="1"/>
  <c r="U202" i="1"/>
  <c r="Y202" i="1"/>
  <c r="AM202" i="1"/>
  <c r="AN202" i="1" s="1"/>
  <c r="S203" i="1"/>
  <c r="U203" i="1"/>
  <c r="AM203" i="1" s="1"/>
  <c r="AN203" i="1" s="1"/>
  <c r="Y203" i="1"/>
  <c r="S204" i="1"/>
  <c r="U204" i="1"/>
  <c r="Y204" i="1"/>
  <c r="AM204" i="1"/>
  <c r="AN204" i="1" s="1"/>
  <c r="AV204" i="1" s="1"/>
  <c r="S205" i="1"/>
  <c r="U205" i="1"/>
  <c r="AM205" i="1" s="1"/>
  <c r="AN205" i="1" s="1"/>
  <c r="AW205" i="1" s="1"/>
  <c r="Y205" i="1"/>
  <c r="S206" i="1"/>
  <c r="U206" i="1"/>
  <c r="AM206" i="1" s="1"/>
  <c r="AN206" i="1" s="1"/>
  <c r="Y206" i="1"/>
  <c r="S207" i="1"/>
  <c r="U207" i="1"/>
  <c r="AM207" i="1" s="1"/>
  <c r="Y207" i="1"/>
  <c r="AN207" i="1"/>
  <c r="AW207" i="1" s="1"/>
  <c r="S208" i="1"/>
  <c r="U208" i="1"/>
  <c r="Y208" i="1"/>
  <c r="AM208" i="1"/>
  <c r="AN208" i="1" s="1"/>
  <c r="AU208" i="1" s="1"/>
  <c r="S209" i="1"/>
  <c r="U209" i="1"/>
  <c r="AM209" i="1" s="1"/>
  <c r="AN209" i="1" s="1"/>
  <c r="Y209" i="1"/>
  <c r="S210" i="1"/>
  <c r="U210" i="1"/>
  <c r="AM210" i="1" s="1"/>
  <c r="AN210" i="1" s="1"/>
  <c r="Y210" i="1"/>
  <c r="AV210" i="1" s="1"/>
  <c r="S211" i="1"/>
  <c r="U211" i="1"/>
  <c r="AM211" i="1" s="1"/>
  <c r="AN211" i="1" s="1"/>
  <c r="Y211" i="1"/>
  <c r="S212" i="1"/>
  <c r="U212" i="1"/>
  <c r="AM212" i="1" s="1"/>
  <c r="AN212" i="1" s="1"/>
  <c r="Y212" i="1"/>
  <c r="S213" i="1"/>
  <c r="U213" i="1"/>
  <c r="Y213" i="1"/>
  <c r="AM213" i="1"/>
  <c r="AN213" i="1" s="1"/>
  <c r="S214" i="1"/>
  <c r="U214" i="1"/>
  <c r="AM214" i="1" s="1"/>
  <c r="AN214" i="1" s="1"/>
  <c r="Y214" i="1"/>
  <c r="S215" i="1"/>
  <c r="U215" i="1"/>
  <c r="AM215" i="1" s="1"/>
  <c r="AN215" i="1" s="1"/>
  <c r="Y215" i="1"/>
  <c r="S216" i="1"/>
  <c r="U216" i="1"/>
  <c r="AM216" i="1" s="1"/>
  <c r="AN216" i="1" s="1"/>
  <c r="AW216" i="1" s="1"/>
  <c r="Y216" i="1"/>
  <c r="S217" i="1"/>
  <c r="U217" i="1"/>
  <c r="AM217" i="1" s="1"/>
  <c r="AN217" i="1" s="1"/>
  <c r="Y217" i="1"/>
  <c r="S218" i="1"/>
  <c r="U218" i="1"/>
  <c r="Y218" i="1"/>
  <c r="AM218" i="1"/>
  <c r="AN218" i="1" s="1"/>
  <c r="S219" i="1"/>
  <c r="U219" i="1"/>
  <c r="Y219" i="1"/>
  <c r="AM219" i="1"/>
  <c r="AN219" i="1" s="1"/>
  <c r="AV219" i="1" s="1"/>
  <c r="S220" i="1"/>
  <c r="U220" i="1"/>
  <c r="AM220" i="1" s="1"/>
  <c r="AN220" i="1" s="1"/>
  <c r="Y220" i="1"/>
  <c r="S221" i="1"/>
  <c r="U221" i="1"/>
  <c r="Y221" i="1"/>
  <c r="AM221" i="1"/>
  <c r="AN221" i="1" s="1"/>
  <c r="AV221" i="1" s="1"/>
  <c r="S222" i="1"/>
  <c r="U222" i="1"/>
  <c r="AM222" i="1" s="1"/>
  <c r="Y222" i="1"/>
  <c r="AN222" i="1"/>
  <c r="S223" i="1"/>
  <c r="U223" i="1"/>
  <c r="AM223" i="1" s="1"/>
  <c r="AN223" i="1" s="1"/>
  <c r="Y223" i="1"/>
  <c r="S224" i="1"/>
  <c r="U224" i="1"/>
  <c r="Y224" i="1"/>
  <c r="AM224" i="1"/>
  <c r="AN224" i="1" s="1"/>
  <c r="S225" i="1"/>
  <c r="U225" i="1"/>
  <c r="AM225" i="1" s="1"/>
  <c r="AN225" i="1" s="1"/>
  <c r="Y225" i="1"/>
  <c r="S226" i="1"/>
  <c r="U226" i="1"/>
  <c r="Y226" i="1"/>
  <c r="AM226" i="1"/>
  <c r="AN226" i="1" s="1"/>
  <c r="AU226" i="1" s="1"/>
  <c r="S227" i="1"/>
  <c r="U227" i="1"/>
  <c r="AM227" i="1" s="1"/>
  <c r="Y227" i="1"/>
  <c r="AN227" i="1"/>
  <c r="S228" i="1"/>
  <c r="U228" i="1"/>
  <c r="Y228" i="1"/>
  <c r="AM228" i="1"/>
  <c r="AN228" i="1" s="1"/>
  <c r="S229" i="1"/>
  <c r="U229" i="1"/>
  <c r="Y229" i="1"/>
  <c r="AM229" i="1"/>
  <c r="AN229" i="1" s="1"/>
  <c r="S230" i="1"/>
  <c r="U230" i="1"/>
  <c r="Y230" i="1"/>
  <c r="AM230" i="1"/>
  <c r="AN230" i="1" s="1"/>
  <c r="AW230" i="1" s="1"/>
  <c r="S231" i="1"/>
  <c r="U231" i="1"/>
  <c r="AM231" i="1" s="1"/>
  <c r="AN231" i="1" s="1"/>
  <c r="Y231" i="1"/>
  <c r="S232" i="1"/>
  <c r="U232" i="1"/>
  <c r="AM232" i="1" s="1"/>
  <c r="AN232" i="1" s="1"/>
  <c r="AW232" i="1" s="1"/>
  <c r="Y232" i="1"/>
  <c r="S233" i="1"/>
  <c r="U233" i="1"/>
  <c r="Y233" i="1"/>
  <c r="AM233" i="1"/>
  <c r="AN233" i="1" s="1"/>
  <c r="AU233" i="1" s="1"/>
  <c r="S234" i="1"/>
  <c r="U234" i="1"/>
  <c r="AM234" i="1" s="1"/>
  <c r="AN234" i="1" s="1"/>
  <c r="Y234" i="1"/>
  <c r="S235" i="1"/>
  <c r="U235" i="1"/>
  <c r="AM235" i="1" s="1"/>
  <c r="AN235" i="1" s="1"/>
  <c r="AV235" i="1" s="1"/>
  <c r="Y235" i="1"/>
  <c r="S236" i="1"/>
  <c r="U236" i="1"/>
  <c r="Y236" i="1"/>
  <c r="AM236" i="1"/>
  <c r="AN236" i="1" s="1"/>
  <c r="AV236" i="1" s="1"/>
  <c r="S237" i="1"/>
  <c r="U237" i="1"/>
  <c r="AM237" i="1" s="1"/>
  <c r="Y237" i="1"/>
  <c r="AN237" i="1"/>
  <c r="AW237" i="1"/>
  <c r="S238" i="1"/>
  <c r="U238" i="1"/>
  <c r="Y238" i="1"/>
  <c r="AM238" i="1"/>
  <c r="AN238" i="1" s="1"/>
  <c r="S239" i="1"/>
  <c r="U239" i="1"/>
  <c r="AM239" i="1" s="1"/>
  <c r="AN239" i="1" s="1"/>
  <c r="Y239" i="1"/>
  <c r="S240" i="1"/>
  <c r="U240" i="1"/>
  <c r="AM240" i="1" s="1"/>
  <c r="AN240" i="1" s="1"/>
  <c r="Y240" i="1"/>
  <c r="S241" i="1"/>
  <c r="U241" i="1"/>
  <c r="Y241" i="1"/>
  <c r="AM241" i="1"/>
  <c r="AN241" i="1" s="1"/>
  <c r="AW241" i="1" s="1"/>
  <c r="S242" i="1"/>
  <c r="U242" i="1"/>
  <c r="AM242" i="1" s="1"/>
  <c r="AN242" i="1" s="1"/>
  <c r="Y242" i="1"/>
  <c r="S243" i="1"/>
  <c r="U243" i="1"/>
  <c r="Y243" i="1"/>
  <c r="AM243" i="1"/>
  <c r="AN243" i="1" s="1"/>
  <c r="AV243" i="1" s="1"/>
  <c r="S244" i="1"/>
  <c r="U244" i="1"/>
  <c r="AM244" i="1" s="1"/>
  <c r="AN244" i="1" s="1"/>
  <c r="Y244" i="1"/>
  <c r="S245" i="1"/>
  <c r="U245" i="1"/>
  <c r="AM245" i="1" s="1"/>
  <c r="AN245" i="1" s="1"/>
  <c r="Y245" i="1"/>
  <c r="S246" i="1"/>
  <c r="U246" i="1"/>
  <c r="Y246" i="1"/>
  <c r="AM246" i="1"/>
  <c r="AN246" i="1" s="1"/>
  <c r="AW246" i="1" s="1"/>
  <c r="S247" i="1"/>
  <c r="U247" i="1"/>
  <c r="AM247" i="1" s="1"/>
  <c r="AN247" i="1" s="1"/>
  <c r="Y247" i="1"/>
  <c r="S248" i="1"/>
  <c r="U248" i="1"/>
  <c r="Y248" i="1"/>
  <c r="AM248" i="1"/>
  <c r="AN248" i="1" s="1"/>
  <c r="S249" i="1"/>
  <c r="U249" i="1"/>
  <c r="Y249" i="1"/>
  <c r="AM249" i="1"/>
  <c r="AN249" i="1" s="1"/>
  <c r="S250" i="1"/>
  <c r="U250" i="1"/>
  <c r="AM250" i="1" s="1"/>
  <c r="AN250" i="1" s="1"/>
  <c r="Y250" i="1"/>
  <c r="S251" i="1"/>
  <c r="U251" i="1"/>
  <c r="AM251" i="1" s="1"/>
  <c r="AN251" i="1" s="1"/>
  <c r="Y251" i="1"/>
  <c r="S252" i="1"/>
  <c r="U252" i="1"/>
  <c r="AM252" i="1" s="1"/>
  <c r="AN252" i="1" s="1"/>
  <c r="Y252" i="1"/>
  <c r="S253" i="1"/>
  <c r="U253" i="1"/>
  <c r="Y253" i="1"/>
  <c r="AM253" i="1"/>
  <c r="AN253" i="1" s="1"/>
  <c r="AV253" i="1" s="1"/>
  <c r="S254" i="1"/>
  <c r="U254" i="1"/>
  <c r="Y254" i="1"/>
  <c r="AM254" i="1"/>
  <c r="AN254" i="1" s="1"/>
  <c r="S255" i="1"/>
  <c r="U255" i="1"/>
  <c r="AM255" i="1" s="1"/>
  <c r="AN255" i="1" s="1"/>
  <c r="Y255" i="1"/>
  <c r="S256" i="1"/>
  <c r="U256" i="1"/>
  <c r="AM256" i="1" s="1"/>
  <c r="AN256" i="1" s="1"/>
  <c r="Y256" i="1"/>
  <c r="S257" i="1"/>
  <c r="U257" i="1"/>
  <c r="AM257" i="1" s="1"/>
  <c r="AN257" i="1" s="1"/>
  <c r="Y257" i="1"/>
  <c r="S258" i="1"/>
  <c r="U258" i="1"/>
  <c r="Y258" i="1"/>
  <c r="AM258" i="1"/>
  <c r="AN258" i="1" s="1"/>
  <c r="AV258" i="1" s="1"/>
  <c r="S259" i="1"/>
  <c r="U259" i="1"/>
  <c r="Y259" i="1"/>
  <c r="AM259" i="1"/>
  <c r="AN259" i="1" s="1"/>
  <c r="S260" i="1"/>
  <c r="U260" i="1"/>
  <c r="AM260" i="1" s="1"/>
  <c r="AN260" i="1" s="1"/>
  <c r="AU260" i="1" s="1"/>
  <c r="Y260" i="1"/>
  <c r="AV260" i="1" s="1"/>
  <c r="S261" i="1"/>
  <c r="U261" i="1"/>
  <c r="Y261" i="1"/>
  <c r="AM261" i="1"/>
  <c r="AN261" i="1" s="1"/>
  <c r="S262" i="1"/>
  <c r="U262" i="1"/>
  <c r="AM262" i="1" s="1"/>
  <c r="AN262" i="1" s="1"/>
  <c r="Y262" i="1"/>
  <c r="S263" i="1"/>
  <c r="U263" i="1"/>
  <c r="AM263" i="1" s="1"/>
  <c r="AN263" i="1" s="1"/>
  <c r="Y263" i="1"/>
  <c r="S264" i="1"/>
  <c r="U264" i="1"/>
  <c r="Y264" i="1"/>
  <c r="AM264" i="1"/>
  <c r="AN264" i="1" s="1"/>
  <c r="S265" i="1"/>
  <c r="U265" i="1"/>
  <c r="AM265" i="1" s="1"/>
  <c r="AN265" i="1" s="1"/>
  <c r="Y265" i="1"/>
  <c r="S266" i="1"/>
  <c r="U266" i="1"/>
  <c r="Y266" i="1"/>
  <c r="AM266" i="1"/>
  <c r="AN266" i="1" s="1"/>
  <c r="S267" i="1"/>
  <c r="U267" i="1"/>
  <c r="AM267" i="1" s="1"/>
  <c r="AN267" i="1" s="1"/>
  <c r="Y267" i="1"/>
  <c r="S268" i="1"/>
  <c r="U268" i="1"/>
  <c r="Y268" i="1"/>
  <c r="AM268" i="1"/>
  <c r="AN268" i="1" s="1"/>
  <c r="AV268" i="1"/>
  <c r="S269" i="1"/>
  <c r="U269" i="1"/>
  <c r="AM269" i="1" s="1"/>
  <c r="AN269" i="1" s="1"/>
  <c r="Y269" i="1"/>
  <c r="S270" i="1"/>
  <c r="U270" i="1"/>
  <c r="Y270" i="1"/>
  <c r="AM270" i="1"/>
  <c r="AN270" i="1" s="1"/>
  <c r="S271" i="1"/>
  <c r="U271" i="1"/>
  <c r="AM271" i="1" s="1"/>
  <c r="AN271" i="1" s="1"/>
  <c r="Y271" i="1"/>
  <c r="S272" i="1"/>
  <c r="U272" i="1"/>
  <c r="AM272" i="1" s="1"/>
  <c r="AN272" i="1" s="1"/>
  <c r="Y272" i="1"/>
  <c r="S273" i="1"/>
  <c r="U273" i="1"/>
  <c r="AM273" i="1" s="1"/>
  <c r="AN273" i="1" s="1"/>
  <c r="Y273" i="1"/>
  <c r="S274" i="1"/>
  <c r="U274" i="1"/>
  <c r="Y274" i="1"/>
  <c r="AM274" i="1"/>
  <c r="AN274" i="1" s="1"/>
  <c r="S275" i="1"/>
  <c r="U275" i="1"/>
  <c r="Y275" i="1"/>
  <c r="AM275" i="1"/>
  <c r="AN275" i="1"/>
  <c r="AU275" i="1" s="1"/>
  <c r="S276" i="1"/>
  <c r="U276" i="1"/>
  <c r="AM276" i="1" s="1"/>
  <c r="AN276" i="1" s="1"/>
  <c r="Y276" i="1"/>
  <c r="S277" i="1"/>
  <c r="U277" i="1"/>
  <c r="AM277" i="1" s="1"/>
  <c r="AN277" i="1" s="1"/>
  <c r="Y277" i="1"/>
  <c r="AU277" i="1" s="1"/>
  <c r="S278" i="1"/>
  <c r="U278" i="1"/>
  <c r="AM278" i="1" s="1"/>
  <c r="AN278" i="1" s="1"/>
  <c r="Y278" i="1"/>
  <c r="S279" i="1"/>
  <c r="U279" i="1"/>
  <c r="Y279" i="1"/>
  <c r="AM279" i="1"/>
  <c r="AN279" i="1" s="1"/>
  <c r="S280" i="1"/>
  <c r="U280" i="1"/>
  <c r="AM280" i="1" s="1"/>
  <c r="AN280" i="1" s="1"/>
  <c r="Y280" i="1"/>
  <c r="S281" i="1"/>
  <c r="U281" i="1"/>
  <c r="Y281" i="1"/>
  <c r="AM281" i="1"/>
  <c r="AN281" i="1" s="1"/>
  <c r="S282" i="1"/>
  <c r="U282" i="1"/>
  <c r="AM282" i="1" s="1"/>
  <c r="AN282" i="1" s="1"/>
  <c r="Y282" i="1"/>
  <c r="S283" i="1"/>
  <c r="U283" i="1"/>
  <c r="Y283" i="1"/>
  <c r="AM283" i="1"/>
  <c r="AN283" i="1"/>
  <c r="AV283" i="1" s="1"/>
  <c r="S284" i="1"/>
  <c r="U284" i="1"/>
  <c r="AM284" i="1" s="1"/>
  <c r="AN284" i="1" s="1"/>
  <c r="Y284" i="1"/>
  <c r="S285" i="1"/>
  <c r="U285" i="1"/>
  <c r="AM285" i="1" s="1"/>
  <c r="AN285" i="1" s="1"/>
  <c r="AU285" i="1" s="1"/>
  <c r="Y285" i="1"/>
  <c r="AV285" i="1" s="1"/>
  <c r="S286" i="1"/>
  <c r="U286" i="1"/>
  <c r="AM286" i="1" s="1"/>
  <c r="AN286" i="1" s="1"/>
  <c r="Y286" i="1"/>
  <c r="S287" i="1"/>
  <c r="U287" i="1"/>
  <c r="AM287" i="1" s="1"/>
  <c r="AN287" i="1" s="1"/>
  <c r="Y287" i="1"/>
  <c r="AV73" i="1" l="1"/>
  <c r="AV125" i="1"/>
  <c r="AV234" i="1"/>
  <c r="AV173" i="1"/>
  <c r="AV66" i="1"/>
  <c r="AV96" i="1"/>
  <c r="AV157" i="1"/>
  <c r="AU280" i="1"/>
  <c r="AV237" i="1"/>
  <c r="AV222" i="1"/>
  <c r="AV71" i="1"/>
  <c r="AV33" i="1"/>
  <c r="AU16" i="1"/>
  <c r="AV152" i="1"/>
  <c r="AU54" i="1"/>
  <c r="AV244" i="1"/>
  <c r="AU247" i="1"/>
  <c r="AU232" i="1"/>
  <c r="AV155" i="1"/>
  <c r="AV138" i="1"/>
  <c r="AV116" i="1"/>
  <c r="AU59" i="1"/>
  <c r="AU241" i="1"/>
  <c r="AV28" i="1"/>
  <c r="AV140" i="1"/>
  <c r="AV78" i="1"/>
  <c r="AU197" i="1"/>
  <c r="AV148" i="1"/>
  <c r="AV142" i="1"/>
  <c r="AU98" i="1"/>
  <c r="AU19" i="1"/>
  <c r="AW251" i="1"/>
  <c r="AU24" i="1"/>
  <c r="AV214" i="1"/>
  <c r="AV187" i="1"/>
  <c r="AV103" i="1"/>
  <c r="AU85" i="1"/>
  <c r="AV13" i="1"/>
  <c r="AV151" i="1"/>
  <c r="AV278" i="1"/>
  <c r="AV180" i="1"/>
  <c r="AV147" i="1"/>
  <c r="AV91" i="1"/>
  <c r="AU202" i="1"/>
  <c r="AW202" i="1"/>
  <c r="AU216" i="1"/>
  <c r="AW256" i="1"/>
  <c r="AU245" i="1"/>
  <c r="AV245" i="1"/>
  <c r="AW245" i="1"/>
  <c r="AU255" i="1"/>
  <c r="AV255" i="1"/>
  <c r="AU250" i="1"/>
  <c r="AW250" i="1"/>
  <c r="AV176" i="1"/>
  <c r="AW176" i="1"/>
  <c r="AW260" i="1"/>
  <c r="AW255" i="1"/>
  <c r="AV250" i="1"/>
  <c r="AU270" i="1"/>
  <c r="AV270" i="1"/>
  <c r="AU265" i="1"/>
  <c r="AV265" i="1"/>
  <c r="AW265" i="1"/>
  <c r="AU7" i="1"/>
  <c r="AV7" i="1"/>
  <c r="AW7" i="1"/>
  <c r="AU10" i="1"/>
  <c r="AV27" i="1"/>
  <c r="AV171" i="1"/>
  <c r="AW171" i="1"/>
  <c r="AU42" i="1"/>
  <c r="AV42" i="1"/>
  <c r="AW42" i="1"/>
  <c r="AU37" i="1"/>
  <c r="AV37" i="1"/>
  <c r="AW37" i="1"/>
  <c r="AU77" i="1"/>
  <c r="AV77" i="1"/>
  <c r="AW77" i="1"/>
  <c r="AV280" i="1"/>
  <c r="AU183" i="1"/>
  <c r="AV183" i="1"/>
  <c r="AW183" i="1"/>
  <c r="AU100" i="1"/>
  <c r="AU68" i="1"/>
  <c r="AV68" i="1"/>
  <c r="AV263" i="1"/>
  <c r="AU207" i="1"/>
  <c r="AV130" i="1"/>
  <c r="AU273" i="1"/>
  <c r="AV273" i="1"/>
  <c r="AU240" i="1"/>
  <c r="AV240" i="1"/>
  <c r="AW240" i="1"/>
  <c r="AU248" i="1"/>
  <c r="AV248" i="1"/>
  <c r="AV226" i="1"/>
  <c r="AW226" i="1"/>
  <c r="AU105" i="1"/>
  <c r="AU212" i="1"/>
  <c r="AW212" i="1"/>
  <c r="AV135" i="1"/>
  <c r="AV41" i="1"/>
  <c r="AW8" i="1"/>
  <c r="AV8" i="1"/>
  <c r="AV177" i="1"/>
  <c r="AU8" i="1"/>
  <c r="AV239" i="1"/>
  <c r="AU235" i="1"/>
  <c r="AU221" i="1"/>
  <c r="AV192" i="1"/>
  <c r="AV182" i="1"/>
  <c r="AU80" i="1"/>
  <c r="AU44" i="1"/>
  <c r="AU63" i="1"/>
  <c r="AU58" i="1"/>
  <c r="AU53" i="1"/>
  <c r="AU48" i="1"/>
  <c r="AU23" i="1"/>
  <c r="AU18" i="1"/>
  <c r="AU268" i="1"/>
  <c r="AU243" i="1"/>
  <c r="AW142" i="1"/>
  <c r="AV76" i="1"/>
  <c r="AU276" i="1"/>
  <c r="AV229" i="1"/>
  <c r="AW225" i="1"/>
  <c r="AU220" i="1"/>
  <c r="AV36" i="1"/>
  <c r="AV31" i="1"/>
  <c r="AU71" i="1"/>
  <c r="AU246" i="1"/>
  <c r="AV185" i="1"/>
  <c r="AU171" i="1"/>
  <c r="AV161" i="1"/>
  <c r="AU113" i="1"/>
  <c r="AU75" i="1"/>
  <c r="AV47" i="1"/>
  <c r="AU39" i="1"/>
  <c r="AW12" i="1"/>
  <c r="AV275" i="1"/>
  <c r="AU271" i="1"/>
  <c r="AU263" i="1"/>
  <c r="AV224" i="1"/>
  <c r="AU210" i="1"/>
  <c r="AU205" i="1"/>
  <c r="AV133" i="1"/>
  <c r="AV123" i="1"/>
  <c r="AU118" i="1"/>
  <c r="AV98" i="1"/>
  <c r="AV88" i="1"/>
  <c r="AU43" i="1"/>
  <c r="AU35" i="1"/>
  <c r="AU83" i="1"/>
  <c r="AU66" i="1"/>
  <c r="AU254" i="1"/>
  <c r="AU237" i="1"/>
  <c r="AV150" i="1"/>
  <c r="AV146" i="1"/>
  <c r="AU70" i="1"/>
  <c r="AV61" i="1"/>
  <c r="AV56" i="1"/>
  <c r="AV51" i="1"/>
  <c r="AV26" i="1"/>
  <c r="AV21" i="1"/>
  <c r="AV16" i="1"/>
  <c r="AU266" i="1"/>
  <c r="AV190" i="1"/>
  <c r="AV170" i="1"/>
  <c r="AV160" i="1"/>
  <c r="AV112" i="1"/>
  <c r="AU258" i="1"/>
  <c r="AV209" i="1"/>
  <c r="AV132" i="1"/>
  <c r="AV122" i="1"/>
  <c r="AU78" i="1"/>
  <c r="AU34" i="1"/>
  <c r="AU29" i="1"/>
  <c r="AU38" i="1"/>
  <c r="AU227" i="1"/>
  <c r="AU283" i="1"/>
  <c r="AV46" i="1"/>
  <c r="AU253" i="1"/>
  <c r="AU236" i="1"/>
  <c r="AU222" i="1"/>
  <c r="AU203" i="1"/>
  <c r="AV194" i="1"/>
  <c r="AV131" i="1"/>
  <c r="AV121" i="1"/>
  <c r="AW178" i="1"/>
  <c r="AU73" i="1"/>
  <c r="AU282" i="1"/>
  <c r="AU278" i="1"/>
  <c r="AU269" i="1"/>
  <c r="AU244" i="1"/>
  <c r="AU81" i="1"/>
  <c r="AU45" i="1"/>
  <c r="AU33" i="1"/>
  <c r="AU28" i="1"/>
  <c r="AU286" i="1"/>
  <c r="AU256" i="1"/>
  <c r="AU252" i="1"/>
  <c r="AU198" i="1"/>
  <c r="AV198" i="1"/>
  <c r="AW198" i="1"/>
  <c r="AU193" i="1"/>
  <c r="AV193" i="1"/>
  <c r="AW193" i="1"/>
  <c r="AU211" i="1"/>
  <c r="AV211" i="1"/>
  <c r="AU281" i="1"/>
  <c r="AU264" i="1"/>
  <c r="AU230" i="1"/>
  <c r="AW211" i="1"/>
  <c r="AU251" i="1"/>
  <c r="AU272" i="1"/>
  <c r="AU225" i="1"/>
  <c r="AV225" i="1"/>
  <c r="AU215" i="1"/>
  <c r="AV215" i="1"/>
  <c r="AW215" i="1"/>
  <c r="AU206" i="1"/>
  <c r="AU186" i="1"/>
  <c r="AU238" i="1"/>
  <c r="AV238" i="1"/>
  <c r="AW238" i="1"/>
  <c r="AU191" i="1"/>
  <c r="AV191" i="1"/>
  <c r="AW191" i="1"/>
  <c r="AU181" i="1"/>
  <c r="AV181" i="1"/>
  <c r="AW181" i="1"/>
  <c r="AU259" i="1"/>
  <c r="AU201" i="1"/>
  <c r="AV201" i="1"/>
  <c r="AW201" i="1"/>
  <c r="AU267" i="1"/>
  <c r="AU242" i="1"/>
  <c r="AU196" i="1"/>
  <c r="AV196" i="1"/>
  <c r="AW196" i="1"/>
  <c r="AU284" i="1"/>
  <c r="AU228" i="1"/>
  <c r="AU262" i="1"/>
  <c r="AU279" i="1"/>
  <c r="AU213" i="1"/>
  <c r="AW213" i="1"/>
  <c r="AU195" i="1"/>
  <c r="AU223" i="1"/>
  <c r="AV223" i="1"/>
  <c r="AW223" i="1"/>
  <c r="AU218" i="1"/>
  <c r="AV218" i="1"/>
  <c r="AW218" i="1"/>
  <c r="AV213" i="1"/>
  <c r="AV261" i="1"/>
  <c r="AW261" i="1"/>
  <c r="AU249" i="1"/>
  <c r="AU287" i="1"/>
  <c r="AU274" i="1"/>
  <c r="AU261" i="1"/>
  <c r="AU257" i="1"/>
  <c r="AU217" i="1"/>
  <c r="AU188" i="1"/>
  <c r="AU231" i="1"/>
  <c r="AV188" i="1"/>
  <c r="AW188" i="1"/>
  <c r="AW284" i="1"/>
  <c r="AW279" i="1"/>
  <c r="AW274" i="1"/>
  <c r="AW269" i="1"/>
  <c r="AW264" i="1"/>
  <c r="AW259" i="1"/>
  <c r="AW254" i="1"/>
  <c r="AW249" i="1"/>
  <c r="AW244" i="1"/>
  <c r="AW236" i="1"/>
  <c r="AU192" i="1"/>
  <c r="AU182" i="1"/>
  <c r="AV178" i="1"/>
  <c r="AU153" i="1"/>
  <c r="AW153" i="1"/>
  <c r="AU145" i="1"/>
  <c r="AW145" i="1"/>
  <c r="AV284" i="1"/>
  <c r="AV279" i="1"/>
  <c r="AV274" i="1"/>
  <c r="AV269" i="1"/>
  <c r="AV264" i="1"/>
  <c r="AV259" i="1"/>
  <c r="AV254" i="1"/>
  <c r="AV249" i="1"/>
  <c r="AW233" i="1"/>
  <c r="AW222" i="1"/>
  <c r="AW208" i="1"/>
  <c r="AW200" i="1"/>
  <c r="AU189" i="1"/>
  <c r="AW189" i="1"/>
  <c r="AU178" i="1"/>
  <c r="AU166" i="1"/>
  <c r="AW166" i="1"/>
  <c r="AU141" i="1"/>
  <c r="AW141" i="1"/>
  <c r="AU137" i="1"/>
  <c r="AW137" i="1"/>
  <c r="AU119" i="1"/>
  <c r="AV119" i="1"/>
  <c r="AW119" i="1"/>
  <c r="AU114" i="1"/>
  <c r="AV114" i="1"/>
  <c r="AW114" i="1"/>
  <c r="AU110" i="1"/>
  <c r="AU90" i="1"/>
  <c r="AU239" i="1"/>
  <c r="AW239" i="1"/>
  <c r="AV233" i="1"/>
  <c r="AU214" i="1"/>
  <c r="AW214" i="1"/>
  <c r="AV208" i="1"/>
  <c r="AV200" i="1"/>
  <c r="AU157" i="1"/>
  <c r="AW157" i="1"/>
  <c r="AU148" i="1"/>
  <c r="AW148" i="1"/>
  <c r="AU128" i="1"/>
  <c r="AW128" i="1"/>
  <c r="AU95" i="1"/>
  <c r="AU72" i="1"/>
  <c r="AV72" i="1"/>
  <c r="AW72" i="1"/>
  <c r="AU6" i="1"/>
  <c r="AU174" i="1"/>
  <c r="AV174" i="1"/>
  <c r="AW174" i="1"/>
  <c r="AU170" i="1"/>
  <c r="AW170" i="1"/>
  <c r="AU123" i="1"/>
  <c r="AW123" i="1"/>
  <c r="AU32" i="1"/>
  <c r="AV32" i="1"/>
  <c r="AW32" i="1"/>
  <c r="AV6" i="1"/>
  <c r="AW6" i="1"/>
  <c r="AW286" i="1"/>
  <c r="AW281" i="1"/>
  <c r="AW276" i="1"/>
  <c r="AW271" i="1"/>
  <c r="AW266" i="1"/>
  <c r="AU185" i="1"/>
  <c r="AW185" i="1"/>
  <c r="AU161" i="1"/>
  <c r="AW161" i="1"/>
  <c r="AU144" i="1"/>
  <c r="AV144" i="1"/>
  <c r="AW144" i="1"/>
  <c r="AU132" i="1"/>
  <c r="AW132" i="1"/>
  <c r="AU104" i="1"/>
  <c r="AV104" i="1"/>
  <c r="AW104" i="1"/>
  <c r="AU84" i="1"/>
  <c r="AV84" i="1"/>
  <c r="AW84" i="1"/>
  <c r="AU40" i="1"/>
  <c r="AU9" i="1"/>
  <c r="AV286" i="1"/>
  <c r="AV281" i="1"/>
  <c r="AV276" i="1"/>
  <c r="AV271" i="1"/>
  <c r="AV266" i="1"/>
  <c r="AV256" i="1"/>
  <c r="AV251" i="1"/>
  <c r="AV246" i="1"/>
  <c r="AV241" i="1"/>
  <c r="AV230" i="1"/>
  <c r="AW227" i="1"/>
  <c r="AV216" i="1"/>
  <c r="AV205" i="1"/>
  <c r="AU152" i="1"/>
  <c r="AW152" i="1"/>
  <c r="AU109" i="1"/>
  <c r="AV109" i="1"/>
  <c r="AW109" i="1"/>
  <c r="AU99" i="1"/>
  <c r="AV99" i="1"/>
  <c r="AW99" i="1"/>
  <c r="AU89" i="1"/>
  <c r="AV89" i="1"/>
  <c r="AW89" i="1"/>
  <c r="AU67" i="1"/>
  <c r="AV67" i="1"/>
  <c r="AW67" i="1"/>
  <c r="AU36" i="1"/>
  <c r="AV227" i="1"/>
  <c r="AU219" i="1"/>
  <c r="AW219" i="1"/>
  <c r="AV202" i="1"/>
  <c r="AW173" i="1"/>
  <c r="AU165" i="1"/>
  <c r="AW165" i="1"/>
  <c r="AU140" i="1"/>
  <c r="AW140" i="1"/>
  <c r="AU136" i="1"/>
  <c r="AW136" i="1"/>
  <c r="AU94" i="1"/>
  <c r="AV94" i="1"/>
  <c r="AW94" i="1"/>
  <c r="AU5" i="1"/>
  <c r="AU194" i="1"/>
  <c r="AW194" i="1"/>
  <c r="AU169" i="1"/>
  <c r="AV169" i="1"/>
  <c r="AW169" i="1"/>
  <c r="AU156" i="1"/>
  <c r="AW156" i="1"/>
  <c r="AU127" i="1"/>
  <c r="AW127" i="1"/>
  <c r="AU79" i="1"/>
  <c r="AW283" i="1"/>
  <c r="AW278" i="1"/>
  <c r="AW273" i="1"/>
  <c r="AW268" i="1"/>
  <c r="AW263" i="1"/>
  <c r="AW258" i="1"/>
  <c r="AW253" i="1"/>
  <c r="AW248" i="1"/>
  <c r="AW243" i="1"/>
  <c r="AW235" i="1"/>
  <c r="AW221" i="1"/>
  <c r="AW210" i="1"/>
  <c r="AU184" i="1"/>
  <c r="AV184" i="1"/>
  <c r="AW184" i="1"/>
  <c r="AU177" i="1"/>
  <c r="AU173" i="1"/>
  <c r="AU143" i="1"/>
  <c r="AW143" i="1"/>
  <c r="AU122" i="1"/>
  <c r="AW122" i="1"/>
  <c r="AU103" i="1"/>
  <c r="AU62" i="1"/>
  <c r="AV62" i="1"/>
  <c r="AW62" i="1"/>
  <c r="AU57" i="1"/>
  <c r="AV57" i="1"/>
  <c r="AW57" i="1"/>
  <c r="AU52" i="1"/>
  <c r="AV52" i="1"/>
  <c r="AW52" i="1"/>
  <c r="AU22" i="1"/>
  <c r="AV22" i="1"/>
  <c r="AW22" i="1"/>
  <c r="AU17" i="1"/>
  <c r="AV17" i="1"/>
  <c r="AW17" i="1"/>
  <c r="AU160" i="1"/>
  <c r="AW160" i="1"/>
  <c r="AU151" i="1"/>
  <c r="AW151" i="1"/>
  <c r="AU131" i="1"/>
  <c r="AW131" i="1"/>
  <c r="AU30" i="1"/>
  <c r="AV232" i="1"/>
  <c r="AU224" i="1"/>
  <c r="AW224" i="1"/>
  <c r="AV207" i="1"/>
  <c r="AU164" i="1"/>
  <c r="AV164" i="1"/>
  <c r="AW164" i="1"/>
  <c r="AU139" i="1"/>
  <c r="AV139" i="1"/>
  <c r="AW139" i="1"/>
  <c r="AU126" i="1"/>
  <c r="AW126" i="1"/>
  <c r="AU117" i="1"/>
  <c r="AW117" i="1"/>
  <c r="AU93" i="1"/>
  <c r="AU61" i="1"/>
  <c r="AU56" i="1"/>
  <c r="AU51" i="1"/>
  <c r="AU26" i="1"/>
  <c r="AU21" i="1"/>
  <c r="AU4" i="1"/>
  <c r="AU199" i="1"/>
  <c r="AW199" i="1"/>
  <c r="AU168" i="1"/>
  <c r="AW168" i="1"/>
  <c r="AU135" i="1"/>
  <c r="AW135" i="1"/>
  <c r="AW285" i="1"/>
  <c r="AW280" i="1"/>
  <c r="AW275" i="1"/>
  <c r="AW270" i="1"/>
  <c r="AU187" i="1"/>
  <c r="AW187" i="1"/>
  <c r="AU180" i="1"/>
  <c r="AW180" i="1"/>
  <c r="AU155" i="1"/>
  <c r="AW155" i="1"/>
  <c r="AU102" i="1"/>
  <c r="AV102" i="1"/>
  <c r="AW102" i="1"/>
  <c r="AU74" i="1"/>
  <c r="AU172" i="1"/>
  <c r="AW172" i="1"/>
  <c r="AU159" i="1"/>
  <c r="AV159" i="1"/>
  <c r="AW159" i="1"/>
  <c r="AU121" i="1"/>
  <c r="AW121" i="1"/>
  <c r="AU116" i="1"/>
  <c r="AW116" i="1"/>
  <c r="AU107" i="1"/>
  <c r="AV107" i="1"/>
  <c r="AW107" i="1"/>
  <c r="AU97" i="1"/>
  <c r="AV97" i="1"/>
  <c r="AW97" i="1"/>
  <c r="AU87" i="1"/>
  <c r="AV87" i="1"/>
  <c r="AW87" i="1"/>
  <c r="AV3" i="1"/>
  <c r="AW3" i="1"/>
  <c r="AU229" i="1"/>
  <c r="AW229" i="1"/>
  <c r="AV212" i="1"/>
  <c r="AU204" i="1"/>
  <c r="AW204" i="1"/>
  <c r="AU163" i="1"/>
  <c r="AW163" i="1"/>
  <c r="AU150" i="1"/>
  <c r="AW150" i="1"/>
  <c r="AU130" i="1"/>
  <c r="AW130" i="1"/>
  <c r="AU92" i="1"/>
  <c r="AV92" i="1"/>
  <c r="AW92" i="1"/>
  <c r="AU82" i="1"/>
  <c r="AV82" i="1"/>
  <c r="AW82" i="1"/>
  <c r="AU65" i="1"/>
  <c r="AU60" i="1"/>
  <c r="AU55" i="1"/>
  <c r="AU50" i="1"/>
  <c r="AU25" i="1"/>
  <c r="AU20" i="1"/>
  <c r="AU15" i="1"/>
  <c r="AU3" i="1"/>
  <c r="AW186" i="1"/>
  <c r="AU176" i="1"/>
  <c r="AU146" i="1"/>
  <c r="AW146" i="1"/>
  <c r="AU134" i="1"/>
  <c r="AV134" i="1"/>
  <c r="AW134" i="1"/>
  <c r="AU125" i="1"/>
  <c r="AW125" i="1"/>
  <c r="AU69" i="1"/>
  <c r="AU46" i="1"/>
  <c r="AW287" i="1"/>
  <c r="AW282" i="1"/>
  <c r="AW277" i="1"/>
  <c r="AW272" i="1"/>
  <c r="AW267" i="1"/>
  <c r="AW262" i="1"/>
  <c r="AW257" i="1"/>
  <c r="AW252" i="1"/>
  <c r="AW247" i="1"/>
  <c r="AW242" i="1"/>
  <c r="AW231" i="1"/>
  <c r="AW220" i="1"/>
  <c r="AW206" i="1"/>
  <c r="AU190" i="1"/>
  <c r="AV186" i="1"/>
  <c r="AU179" i="1"/>
  <c r="AV179" i="1"/>
  <c r="AW179" i="1"/>
  <c r="AU167" i="1"/>
  <c r="AW167" i="1"/>
  <c r="AU154" i="1"/>
  <c r="AV154" i="1"/>
  <c r="AW154" i="1"/>
  <c r="AU138" i="1"/>
  <c r="AW138" i="1"/>
  <c r="AU106" i="1"/>
  <c r="AW106" i="1"/>
  <c r="AU86" i="1"/>
  <c r="AW86" i="1"/>
  <c r="AV287" i="1"/>
  <c r="AV282" i="1"/>
  <c r="AV277" i="1"/>
  <c r="AV272" i="1"/>
  <c r="AV267" i="1"/>
  <c r="AV262" i="1"/>
  <c r="AV257" i="1"/>
  <c r="AV252" i="1"/>
  <c r="AV247" i="1"/>
  <c r="AV242" i="1"/>
  <c r="AV231" i="1"/>
  <c r="AW228" i="1"/>
  <c r="AV220" i="1"/>
  <c r="AW217" i="1"/>
  <c r="AV206" i="1"/>
  <c r="AW203" i="1"/>
  <c r="AW195" i="1"/>
  <c r="AU158" i="1"/>
  <c r="AW158" i="1"/>
  <c r="AU120" i="1"/>
  <c r="AV120" i="1"/>
  <c r="AW120" i="1"/>
  <c r="AU115" i="1"/>
  <c r="AV115" i="1"/>
  <c r="AW115" i="1"/>
  <c r="AU111" i="1"/>
  <c r="AW111" i="1"/>
  <c r="AU101" i="1"/>
  <c r="AW101" i="1"/>
  <c r="AU91" i="1"/>
  <c r="AW91" i="1"/>
  <c r="AU11" i="1"/>
  <c r="AV11" i="1"/>
  <c r="AW11" i="1"/>
  <c r="AU234" i="1"/>
  <c r="AW234" i="1"/>
  <c r="AV228" i="1"/>
  <c r="AV217" i="1"/>
  <c r="AU209" i="1"/>
  <c r="AW209" i="1"/>
  <c r="AV203" i="1"/>
  <c r="AV195" i="1"/>
  <c r="AW192" i="1"/>
  <c r="AV166" i="1"/>
  <c r="AU149" i="1"/>
  <c r="AV149" i="1"/>
  <c r="AW149" i="1"/>
  <c r="AV145" i="1"/>
  <c r="AV141" i="1"/>
  <c r="AU129" i="1"/>
  <c r="AV129" i="1"/>
  <c r="AW129" i="1"/>
  <c r="AU96" i="1"/>
  <c r="AW96" i="1"/>
  <c r="AU14" i="1"/>
  <c r="AU2" i="1"/>
  <c r="AV2" i="1"/>
  <c r="AW2" i="1"/>
  <c r="AV189" i="1"/>
  <c r="AU175" i="1"/>
  <c r="AW175" i="1"/>
  <c r="AU162" i="1"/>
  <c r="AW162" i="1"/>
  <c r="AV153" i="1"/>
  <c r="AV137" i="1"/>
  <c r="AU133" i="1"/>
  <c r="AW133" i="1"/>
  <c r="AU124" i="1"/>
  <c r="AV124" i="1"/>
  <c r="AW124" i="1"/>
  <c r="AW81" i="1"/>
  <c r="AW76" i="1"/>
  <c r="AW71" i="1"/>
  <c r="AW66" i="1"/>
  <c r="AW61" i="1"/>
  <c r="AW56" i="1"/>
  <c r="AW51" i="1"/>
  <c r="AW46" i="1"/>
  <c r="AW41" i="1"/>
  <c r="AW36" i="1"/>
  <c r="AW31" i="1"/>
  <c r="AW26" i="1"/>
  <c r="AW21" i="1"/>
  <c r="AW16" i="1"/>
  <c r="AW118" i="1"/>
  <c r="AW113" i="1"/>
  <c r="AW108" i="1"/>
  <c r="AW103" i="1"/>
  <c r="AW98" i="1"/>
  <c r="AW93" i="1"/>
  <c r="AW88" i="1"/>
  <c r="AW83" i="1"/>
  <c r="AW78" i="1"/>
  <c r="AW73" i="1"/>
  <c r="AW68" i="1"/>
  <c r="AW63" i="1"/>
  <c r="AW58" i="1"/>
  <c r="AW53" i="1"/>
  <c r="AW48" i="1"/>
  <c r="AW43" i="1"/>
  <c r="AW38" i="1"/>
  <c r="AW33" i="1"/>
  <c r="AW28" i="1"/>
  <c r="AW23" i="1"/>
  <c r="AW18" i="1"/>
  <c r="AW110" i="1"/>
  <c r="AW105" i="1"/>
  <c r="AW100" i="1"/>
  <c r="AW95" i="1"/>
  <c r="AW90" i="1"/>
  <c r="AW85" i="1"/>
  <c r="AW80" i="1"/>
  <c r="AW75" i="1"/>
  <c r="AW70" i="1"/>
  <c r="AW65" i="1"/>
  <c r="AW60" i="1"/>
  <c r="AW55" i="1"/>
  <c r="AW50" i="1"/>
  <c r="AW45" i="1"/>
  <c r="AW40" i="1"/>
  <c r="AW35" i="1"/>
  <c r="AW30" i="1"/>
  <c r="AW25" i="1"/>
  <c r="AW20" i="1"/>
  <c r="AW15" i="1"/>
  <c r="AW10" i="1"/>
  <c r="AW5" i="1"/>
  <c r="AV110" i="1"/>
  <c r="AV105" i="1"/>
  <c r="AV100" i="1"/>
  <c r="AV95" i="1"/>
  <c r="AV90" i="1"/>
  <c r="AV85" i="1"/>
  <c r="AV80" i="1"/>
  <c r="AV75" i="1"/>
  <c r="AV70" i="1"/>
  <c r="AV65" i="1"/>
  <c r="AV60" i="1"/>
  <c r="AV55" i="1"/>
  <c r="AV50" i="1"/>
  <c r="AV45" i="1"/>
  <c r="AV40" i="1"/>
  <c r="AV35" i="1"/>
  <c r="AV30" i="1"/>
  <c r="AV25" i="1"/>
  <c r="AV20" i="1"/>
  <c r="AV15" i="1"/>
  <c r="AV10" i="1"/>
  <c r="AV5" i="1"/>
  <c r="AW182" i="1"/>
  <c r="AW177" i="1"/>
  <c r="AW79" i="1"/>
  <c r="AW74" i="1"/>
  <c r="AW69" i="1"/>
  <c r="AW64" i="1"/>
  <c r="AW59" i="1"/>
  <c r="AW54" i="1"/>
  <c r="AW49" i="1"/>
  <c r="AW44" i="1"/>
  <c r="AW39" i="1"/>
  <c r="AW34" i="1"/>
  <c r="AW29" i="1"/>
  <c r="AW24" i="1"/>
  <c r="AW19" i="1"/>
  <c r="AW14" i="1"/>
  <c r="AW9" i="1"/>
  <c r="AW4" i="1"/>
  <c r="AV79" i="1"/>
  <c r="AV74" i="1"/>
  <c r="AV69" i="1"/>
  <c r="AV64" i="1"/>
  <c r="AV59" i="1"/>
  <c r="AV54" i="1"/>
  <c r="AV49" i="1"/>
  <c r="AV44" i="1"/>
  <c r="AV39" i="1"/>
  <c r="AV34" i="1"/>
  <c r="AV29" i="1"/>
  <c r="AV24" i="1"/>
  <c r="AV19" i="1"/>
  <c r="AV14" i="1"/>
  <c r="AV9" i="1"/>
  <c r="AV4" i="1"/>
</calcChain>
</file>

<file path=xl/sharedStrings.xml><?xml version="1.0" encoding="utf-8"?>
<sst xmlns="http://schemas.openxmlformats.org/spreadsheetml/2006/main" count="4921" uniqueCount="2940">
  <si>
    <t>undefined</t>
  </si>
  <si>
    <t>Journal</t>
  </si>
  <si>
    <t>Sweden</t>
  </si>
  <si>
    <t>Article</t>
  </si>
  <si>
    <t>ar</t>
  </si>
  <si>
    <t>n</t>
  </si>
  <si>
    <t>United States</t>
  </si>
  <si>
    <t>Washington, D.C.</t>
  </si>
  <si>
    <t>BBA - Bioenergetics</t>
  </si>
  <si>
    <t>France</t>
  </si>
  <si>
    <t>United States;United States</t>
  </si>
  <si>
    <t>Italy</t>
  </si>
  <si>
    <t>Rome</t>
  </si>
  <si>
    <t>Japan</t>
  </si>
  <si>
    <t>Photosynthesis Research</t>
  </si>
  <si>
    <t>Netherlands</t>
  </si>
  <si>
    <t>Leiden</t>
  </si>
  <si>
    <t>Italy;Italy</t>
  </si>
  <si>
    <t>Germany</t>
  </si>
  <si>
    <t>Canada</t>
  </si>
  <si>
    <t>;;</t>
  </si>
  <si>
    <t>Cambridge</t>
  </si>
  <si>
    <t>Massachusetts Institute of Technology</t>
  </si>
  <si>
    <t>60025038;60025038</t>
  </si>
  <si>
    <t>Berkeley</t>
  </si>
  <si>
    <t>University of California, Berkeley</t>
  </si>
  <si>
    <t>Ministry of Education, Culture, Sports, Science and Technology</t>
  </si>
  <si>
    <t>Monbusho</t>
  </si>
  <si>
    <t>British Telecom technology journal</t>
  </si>
  <si>
    <t>Garching bei Munchen</t>
  </si>
  <si>
    <t>Japan;Japan</t>
  </si>
  <si>
    <t>147-154</t>
  </si>
  <si>
    <t>Journal of Comparative Physiology A</t>
  </si>
  <si>
    <t>France;France</t>
  </si>
  <si>
    <t>60000745;60000745</t>
  </si>
  <si>
    <t>Urbana</t>
  </si>
  <si>
    <t>University of Illinois Urbana-Champaign</t>
  </si>
  <si>
    <t>United Kingdom</t>
  </si>
  <si>
    <t>Belgium</t>
  </si>
  <si>
    <t>Brussels</t>
  </si>
  <si>
    <t>IEEE Transactions on Geoscience and Remote Sensing</t>
  </si>
  <si>
    <t>Australia</t>
  </si>
  <si>
    <t>Brisbane</t>
  </si>
  <si>
    <t>Griffith University</t>
  </si>
  <si>
    <t>15-19</t>
  </si>
  <si>
    <t>India</t>
  </si>
  <si>
    <t>Ottawa</t>
  </si>
  <si>
    <t>Communications Research Centre</t>
  </si>
  <si>
    <t>94-98</t>
  </si>
  <si>
    <t>San Diego</t>
  </si>
  <si>
    <t>Telecommunications and Radio Engineering (English translation of Elektrosvyaz and Radiotekhnika)</t>
  </si>
  <si>
    <t>;</t>
  </si>
  <si>
    <t>Soviet journal of communications technology &amp; electronics</t>
  </si>
  <si>
    <t>Journal of Biological Chemistry</t>
  </si>
  <si>
    <t>Ann Arbor</t>
  </si>
  <si>
    <t>Houston</t>
  </si>
  <si>
    <t>National Institute of Neurological Disorders and Stroke</t>
  </si>
  <si>
    <t>NINDS</t>
  </si>
  <si>
    <t>Tucson</t>
  </si>
  <si>
    <t>Arizona Research Laboratories</t>
  </si>
  <si>
    <t>Gainesville</t>
  </si>
  <si>
    <t>USDA Agricultural Research Service, Gainesville</t>
  </si>
  <si>
    <t>New Haven</t>
  </si>
  <si>
    <t>San Francisco</t>
  </si>
  <si>
    <t>University of California, San Francisco</t>
  </si>
  <si>
    <t>Turkey</t>
  </si>
  <si>
    <t>Sapporo</t>
  </si>
  <si>
    <t>Hokkaido University</t>
  </si>
  <si>
    <t>London</t>
  </si>
  <si>
    <t>University College London</t>
  </si>
  <si>
    <t>67-69</t>
  </si>
  <si>
    <t>60031126;60031126;60031126</t>
  </si>
  <si>
    <t>Tokyo</t>
  </si>
  <si>
    <t>Tokyo Institute of Technology</t>
  </si>
  <si>
    <t>Musa L.</t>
  </si>
  <si>
    <t>IEEE Transactions on Electromagnetic Compatibility</t>
  </si>
  <si>
    <t>Tokyo;Tokyo</t>
  </si>
  <si>
    <t>China</t>
  </si>
  <si>
    <t>60005837;60005837;60005837</t>
  </si>
  <si>
    <t>University of Houston</t>
  </si>
  <si>
    <t>60009037;60009037</t>
  </si>
  <si>
    <t>Pasadena</t>
  </si>
  <si>
    <t>Jet Propulsion Laboratory</t>
  </si>
  <si>
    <t>Gaithersburg</t>
  </si>
  <si>
    <t>University of Michigan, Ann Arbor</t>
  </si>
  <si>
    <t>Chicago</t>
  </si>
  <si>
    <t>Boeing Corporation</t>
  </si>
  <si>
    <t>Deutsche Forschungsgemeinschaft</t>
  </si>
  <si>
    <t>DFG</t>
  </si>
  <si>
    <t>60024025;60024025</t>
  </si>
  <si>
    <t>Koln</t>
  </si>
  <si>
    <t>University of Cologne</t>
  </si>
  <si>
    <t>Austin</t>
  </si>
  <si>
    <t>The University of Texas at Austin</t>
  </si>
  <si>
    <t>29-34</t>
  </si>
  <si>
    <t>South Africa</t>
  </si>
  <si>
    <t>Boulder</t>
  </si>
  <si>
    <t>University of Colorado Boulder</t>
  </si>
  <si>
    <t>Athens</t>
  </si>
  <si>
    <t>[]</t>
  </si>
  <si>
    <t>U.S. Department of Energy</t>
  </si>
  <si>
    <t>USDOE</t>
  </si>
  <si>
    <t>Hu Q.</t>
  </si>
  <si>
    <t>United States;United Kingdom</t>
  </si>
  <si>
    <t>Gothenburg</t>
  </si>
  <si>
    <t>Chalmers University of Technology</t>
  </si>
  <si>
    <t>Ito Y.</t>
  </si>
  <si>
    <t>Naval Research Laboratory</t>
  </si>
  <si>
    <t>;;;;;</t>
  </si>
  <si>
    <t>60022148;60022148</t>
  </si>
  <si>
    <t>Boston</t>
  </si>
  <si>
    <t>Electronics Letters</t>
  </si>
  <si>
    <t>60017366;60017366;60017366;60017366</t>
  </si>
  <si>
    <t>6602459372;7004102516;7003917289;6604060955</t>
  </si>
  <si>
    <t>Pastol, Y.;Arjavalingam, G.;Halbout, J. M.;Kopcsay, G. V.</t>
  </si>
  <si>
    <t>Yorktown Heights</t>
  </si>
  <si>
    <t>IBM Thomas J. Watson Research Center</t>
  </si>
  <si>
    <t>Pastol Y.</t>
  </si>
  <si>
    <t>Sydney</t>
  </si>
  <si>
    <t>Farnborough</t>
  </si>
  <si>
    <t>BAE Systems plc</t>
  </si>
  <si>
    <t>Hosei University</t>
  </si>
  <si>
    <t>Nakano H.</t>
  </si>
  <si>
    <t>Nagoya</t>
  </si>
  <si>
    <t>Atlanta</t>
  </si>
  <si>
    <t>University</t>
  </si>
  <si>
    <t>University of Mississippi</t>
  </si>
  <si>
    <t>Kishk A.A.</t>
  </si>
  <si>
    <t>60014652;60014652;60014652</t>
  </si>
  <si>
    <t>Koganei</t>
  </si>
  <si>
    <t>IEEE Journal of Oceanic Engineering</t>
  </si>
  <si>
    <t>60014313;60014313</t>
  </si>
  <si>
    <t>Amherst MA</t>
  </si>
  <si>
    <t>University of Massachusetts Amherst</t>
  </si>
  <si>
    <t>Nippon Telegraph and Telephone Corporation</t>
  </si>
  <si>
    <t>Spain</t>
  </si>
  <si>
    <t>Madrid</t>
  </si>
  <si>
    <t>Escuela T√©cnica Superior de Ingenieros de Telecomunicaci√≥n, Universidad Polit√©cnica de Madrid</t>
  </si>
  <si>
    <t>60010818;60010818</t>
  </si>
  <si>
    <t>Canterbury</t>
  </si>
  <si>
    <t>University of Kent</t>
  </si>
  <si>
    <t>Hansen R.</t>
  </si>
  <si>
    <t>Bengaluru</t>
  </si>
  <si>
    <t>Indian Space Research Organization</t>
  </si>
  <si>
    <t>National Institute of General Medical Sciences</t>
  </si>
  <si>
    <t>NIGMS</t>
  </si>
  <si>
    <t>60001490;60001490</t>
  </si>
  <si>
    <t>Glasgow</t>
  </si>
  <si>
    <t>University of Glasgow</t>
  </si>
  <si>
    <t>Egypt</t>
  </si>
  <si>
    <t>Saudi Arabia</t>
  </si>
  <si>
    <t>Dhahran</t>
  </si>
  <si>
    <t>King Fahd University of Petroleum and Minerals</t>
  </si>
  <si>
    <t>Russian Federation</t>
  </si>
  <si>
    <t>60025778;60025778</t>
  </si>
  <si>
    <t>Hill, David A.</t>
  </si>
  <si>
    <t>National Institute of Standards and Technology</t>
  </si>
  <si>
    <t>Hill D.</t>
  </si>
  <si>
    <t>Kashiwa T.</t>
  </si>
  <si>
    <t>60009658;60009658;60009658;60009658</t>
  </si>
  <si>
    <t>Swindon</t>
  </si>
  <si>
    <t>Defence College of Management and Technology</t>
  </si>
  <si>
    <t>60013372;60013372</t>
  </si>
  <si>
    <t>Queen Mary University of London</t>
  </si>
  <si>
    <t>Ministry of Posts and Telecommunications, Japan</t>
  </si>
  <si>
    <t>Canada;Canada</t>
  </si>
  <si>
    <t xml:space="preserve">Anon, </t>
  </si>
  <si>
    <t>South Korea</t>
  </si>
  <si>
    <t>60025555;60025555</t>
  </si>
  <si>
    <t>Mitsubishi Electric Corporation</t>
  </si>
  <si>
    <t>Hall P.</t>
  </si>
  <si>
    <t>Guildford</t>
  </si>
  <si>
    <t>University of Surrey</t>
  </si>
  <si>
    <t>Toronto</t>
  </si>
  <si>
    <t>University of Toronto</t>
  </si>
  <si>
    <t>Japanese Journal of Applied Physics</t>
  </si>
  <si>
    <t>Austria</t>
  </si>
  <si>
    <t>Hall, P. S.</t>
  </si>
  <si>
    <t>0302766X</t>
  </si>
  <si>
    <t>Cell and Tissue Research</t>
  </si>
  <si>
    <t>60032144;60032144</t>
  </si>
  <si>
    <t>Daejeon</t>
  </si>
  <si>
    <t>Korea Advanced Institute of Science and Technology</t>
  </si>
  <si>
    <t>New York</t>
  </si>
  <si>
    <t>Palo Alto</t>
  </si>
  <si>
    <t>Digest - International Geoscience and Remote Sensing Symposium (IGARSS)</t>
  </si>
  <si>
    <t>60009037;60009037;60009037</t>
  </si>
  <si>
    <t>Airbus Group SE</t>
  </si>
  <si>
    <t>Biochemistry</t>
  </si>
  <si>
    <t>59-68</t>
  </si>
  <si>
    <t>93-106</t>
  </si>
  <si>
    <t>Nagoya University</t>
  </si>
  <si>
    <t>Long Beach</t>
  </si>
  <si>
    <t>Barnett R.I.</t>
  </si>
  <si>
    <t>Plant and Cell Physiology</t>
  </si>
  <si>
    <t>113-116</t>
  </si>
  <si>
    <t>International Journal of Infrared and Millimeter Waves</t>
  </si>
  <si>
    <t>Radiophysics and Quantum Electronics</t>
  </si>
  <si>
    <t>Chofu</t>
  </si>
  <si>
    <t>Japan Aerospace Exploration Agency</t>
  </si>
  <si>
    <t>Plasma Physics and Controlled Fusion</t>
  </si>
  <si>
    <t>Germany;United States</t>
  </si>
  <si>
    <t>Milan</t>
  </si>
  <si>
    <t>Universit√† degli Studi di Milano</t>
  </si>
  <si>
    <t>EFDA-JET</t>
  </si>
  <si>
    <t>Finland</t>
  </si>
  <si>
    <t>Espoo</t>
  </si>
  <si>
    <t>Aalto University</t>
  </si>
  <si>
    <t>60016849;60016849;60016849</t>
  </si>
  <si>
    <t>27-34</t>
  </si>
  <si>
    <t>60010491;60010491;60010491</t>
  </si>
  <si>
    <t>Pittsburgh</t>
  </si>
  <si>
    <t>Westinghouse Electric Company</t>
  </si>
  <si>
    <t>Russian Federation;Russian Federation</t>
  </si>
  <si>
    <t>Moscow;Moscow</t>
  </si>
  <si>
    <t>Hefei</t>
  </si>
  <si>
    <t>University of Science and Technology of China</t>
  </si>
  <si>
    <t>Barbato R.</t>
  </si>
  <si>
    <t>60011460;60011460</t>
  </si>
  <si>
    <t>Providence</t>
  </si>
  <si>
    <t>Brown University</t>
  </si>
  <si>
    <t>60025272;60025272</t>
  </si>
  <si>
    <t>The University of Tokyo</t>
  </si>
  <si>
    <t>Journal of Chemical Ecology</t>
  </si>
  <si>
    <t>Microwave journal</t>
  </si>
  <si>
    <t>60001359;60001359</t>
  </si>
  <si>
    <t>Colchester</t>
  </si>
  <si>
    <t>University of Essex</t>
  </si>
  <si>
    <t>Electronics and Communications in Japan, Part I: Communications (English translation of Denshi Tsushin Gakkai Ronbunshi)</t>
  </si>
  <si>
    <t>Journal of the Institution of Engineers. India. Electronics and telecommunication engineering division</t>
  </si>
  <si>
    <t>32-33</t>
  </si>
  <si>
    <t>General Electric Company</t>
  </si>
  <si>
    <t>19-24</t>
  </si>
  <si>
    <t>60019118;60019118</t>
  </si>
  <si>
    <t>Berkeley;Leeds</t>
  </si>
  <si>
    <t>University of California, Berkeley;University of Leeds</t>
  </si>
  <si>
    <t>60025038;60012070</t>
  </si>
  <si>
    <t>Antennas | Dielectrics</t>
  </si>
  <si>
    <t>Demmig-Adams B.</t>
  </si>
  <si>
    <t>AEU. Archiv fur Elektronik und Ubertragungstechnik</t>
  </si>
  <si>
    <t>Alta frequenza</t>
  </si>
  <si>
    <t>Sapienza Universit√† di Roma</t>
  </si>
  <si>
    <t>0012494X</t>
  </si>
  <si>
    <t>Doklady. Earth science sections</t>
  </si>
  <si>
    <t>Moscow</t>
  </si>
  <si>
    <t>98-100</t>
  </si>
  <si>
    <t>Medical &amp; Biological Engineering &amp; Computing</t>
  </si>
  <si>
    <t>FEBS Letters</t>
  </si>
  <si>
    <t>Koninklijke Militaire School - Ecole Royale Militaire</t>
  </si>
  <si>
    <t>Applied Physics B Photophysics and Laser Chemistry</t>
  </si>
  <si>
    <t>;;;</t>
  </si>
  <si>
    <t>Journal of Electronics (China)</t>
  </si>
  <si>
    <t>Photonics Spectra</t>
  </si>
  <si>
    <t>;;;;</t>
  </si>
  <si>
    <t>7004377085;57218985569;7402507033</t>
  </si>
  <si>
    <t>Delgado, H. J.;Williams, J. T.;Long, S. A.</t>
  </si>
  <si>
    <t>Delgado H.J.</t>
  </si>
  <si>
    <t>33-39</t>
  </si>
  <si>
    <t>Mints M.</t>
  </si>
  <si>
    <t>Vijayawada</t>
  </si>
  <si>
    <t>Velagapudi Ramakrishna Siddhartha Engineering College</t>
  </si>
  <si>
    <t>Physics Letters A</t>
  </si>
  <si>
    <t>Space communication and broadcasting</t>
  </si>
  <si>
    <t>6603550149;7004714672;7006135844</t>
  </si>
  <si>
    <t>Korshunova, Ye N.;Sivov, A. N.;Shatrov, A. D.</t>
  </si>
  <si>
    <t>Korshunova Y.</t>
  </si>
  <si>
    <t>44-47</t>
  </si>
  <si>
    <t>Marine Biology</t>
  </si>
  <si>
    <t>Antennas | Microstrip</t>
  </si>
  <si>
    <t>AC02-76ER01338</t>
  </si>
  <si>
    <t>['wild type', 'ultrastructural changes', 'thylakoid membranes', 'standard conditions', 'significant decrease', 'plastid glycerol', 'photosystem ii', 'photosynthetic apparatus', 'nonappressed membranes', 'net effect', 'important determinant', 'evidence suggesting', 'chloroplast structure', 'average number', 'appressed regions', 'antenna chlorophyll', 'altered distribution']</t>
  </si>
  <si>
    <t>Mutants of Arabidopsis thaliana deficient in plastid glycerol-3-phosphate acyltransferase activity have altered chloroplast membrane lipid composition. This caused an increase in the number of regions of appressed membrane per chloroplast and a decrease in the average number of thylakoid membranes in the appressed regions. The net effect was a significant decrease in the ratio of appressed to nonappressed membranes. A comparison of 77 K fluorescence emission spectra of thylakoid membranes from the mutant and wild type indicated that the ultrastructural changes were associated with an altered distribution of excitation energy transfer from antenna chlorophyll to photosystem II and photosystem I in the mutant. The changes in leaf lipid composition did not significantly affect growth or development of the mutant under standard conditions. However, at temperatures above 28¬∞C the mutant grew slightly more rapidly than the wild type, and measurements of temperature-induced fluorescence yield enhancement suggested an increased thermal stability of the photosynthetic apparatus of the mutant. These effects are consistent with other evidence suggesting that membrane lipid composition is an important determinant of chloroplast structure but has relatively minor direct effects on the function of the membrane proteins associated with photosynthetic electron transport.</t>
  </si>
  <si>
    <t>846-853</t>
  </si>
  <si>
    <t>Plant Physiology</t>
  </si>
  <si>
    <t>60031707;60018208;60031707</t>
  </si>
  <si>
    <t>6603698297;7006013844;57190784600</t>
  </si>
  <si>
    <t>Kunst, Ljerka;Browse, John;Somerville, Chris</t>
  </si>
  <si>
    <t>East Lansing;Pullman</t>
  </si>
  <si>
    <t>Michigan State University;Washington State University Pullman</t>
  </si>
  <si>
    <t>60031707;60018208</t>
  </si>
  <si>
    <t>Kunst L.</t>
  </si>
  <si>
    <t>Altered chloroplast structure and function in a mutant of arabidopsis deficient in plastid glycerol-3-phosphate acyltransferase activity</t>
  </si>
  <si>
    <t>10.1104/pp.90.3.846</t>
  </si>
  <si>
    <t>2-s2.0-0001599193</t>
  </si>
  <si>
    <t>['zeaxanthin content', 'violaxanthin de', 'term exposure', 'rate constant', 'rapid induction', 'quantitatively similar', 'observed exclusively', 'nerium oleander', 'linearly correlated', 'kd ).', 'k winter', 'high light', 'high degrees', 'glycine max', 'fluorescence quenching', 'findings suggest', 'directly proportional', 'different treatments', 'carotenoid zeaxanthin', 'c czygan', 'background level', 'b demmig', 'antenna chlorophyll', 'already contained', '24 ).', '200 micromoles', '1 minute']</t>
  </si>
  <si>
    <t>The relationship between the carotenoid zeaxanthin, formed by violaxanthin de-epoxidation, and nonphotochemical fluorescence quenching (qNP) in the light was investigated in leaves of Glycine max during a transient from dark to light in 2% O2, 0% CO2 at 100 to 200 micromoles of photons per square meter per second. (a) Up to a qNP (which can vary between 0 and 1) of about 0.7, the zeaxanthin content of leaves was linearly correlated with qNP as well as with the rate constant for radiationless energy dissipation in the antenna chlorophyll (kD). Beyond this point, at very high degrees of fluorescence quenching, only kD was directly proportional to the zeaxanthin content. (b) The relationship between zeaxanthin and kD was quantitatively similar for the rapidly relaxing quenching induced in 2% O2, 0% CO2 at 200 micromoles of photons per square meter per second and for the sustained quenching induced by long-term exposure of Nerium oleander to drought in high light (B Demmig, K Winter, A Kr√ºger, F-C Czygan [1988] Plant Physiol 87: 17-24). These findings suggest that the same dissipation process may be induced by very different treatments and that this particular dissipation process can have widely different relaxation kinetics. (c) A rapid induction of strong nonphotochemical fluorescence quenching within about 1 minute was observed exclusively in leaves which already contained a background level of zeaxanthin.</t>
  </si>
  <si>
    <t>887-893</t>
  </si>
  <si>
    <t>60012689-60000221;60012689;60012689;60012689</t>
  </si>
  <si>
    <t>7003992248;7102196432;7103033210;35580687300</t>
  </si>
  <si>
    <t>Demmig-Adams, Barbara;Winter, Klaus;Kr√ºger, Almuth;Czygan, Franz Christian</t>
  </si>
  <si>
    <t>Wurzburg;Boulder</t>
  </si>
  <si>
    <t>Julius-Maximilians-Universit√§t W√ºrzburg;University of Colorado Boulder</t>
  </si>
  <si>
    <t>60012689;60000221</t>
  </si>
  <si>
    <t>Zeaxanthin and the induction and relaxation kinetics of the dissipation of excess excitation energy in leaves in 2% O&lt;inf&gt;2&lt;/inf&gt;, 0% CO&lt;inf&gt;2&lt;/inf&gt;</t>
  </si>
  <si>
    <t>10.1104/pp.90.3.887</t>
  </si>
  <si>
    <t>2-s2.0-0011312533</t>
  </si>
  <si>
    <t>National Institute of Allergy and Infectious Diseases</t>
  </si>
  <si>
    <t>R37AI023253</t>
  </si>
  <si>
    <t>NIAID</t>
  </si>
  <si>
    <t>['weakly effective', 'synaptic transmission', 'reducing synaptically', 'neurons responsive', 'muscarinic agonist', 'mediated responses', 'ipsp produced', 'input conductance', 'inhibitory response', 'electrical stimulation', 'bicuculline methiodide', 'applied ach', 'antennal nerve', 'antennal lobe', 'also excited', 'al neurons', 'ach appear', 'ach ).', '8 ).', '7 ).', '6 ).', '4c ).', '4b ).', '2c ).']</t>
  </si>
  <si>
    <t>1. Neurons in the antennal lobe (AL) of the moth Manduca sexta respond to the application, via pressure injection into the neuropil, of acetylcholine (ACh). When synaptic transmission is not blocked, both excitatory (Fig. 2) and inhibitory (Fig. 3) responses are seen. 2. Responses to ACh appear to be receptor-mediated, as they are associated with an increase in input conductance (Figs. 2B and 3B) and are dose-dependent (Fig. 2C). 3. All neurons responsive to ACh are also excited by nicotine. Responses to nicotine are stronger and more prolonged than responses to ACh (Fig. 4C). No responses are observed to the muscarinic agonist, oxotremorine (Fig. 4B). 4. Curare blocks responses of AL neurons to applied ACh, while atropine and dexetimide are only weakly effective at reducing ACh responses (Figs. 5 and 6). 5. Curare is also more effective than atropine or dexetimide at reducing synaptically-mediated responses of AL neurons (Fig. 7). 6. In one AL neuron, bicuculline methiodide (BMI) blocked the IPSP produced by electrical stimulation of the antennal nerve, but it did not reduce the inhibitory response to application of ACh (Fig. 8). ¬© 1989 Springer-Verlag.</t>
  </si>
  <si>
    <t>433-441</t>
  </si>
  <si>
    <t>60023324;60023324</t>
  </si>
  <si>
    <t>6602106910;7102653635</t>
  </si>
  <si>
    <t>Waldrop, Brian;Hildebrand, John G.</t>
  </si>
  <si>
    <t>Waldrop B.</t>
  </si>
  <si>
    <t>Physiology and pharmacology of acetylcholinergic responses of interneurons in the antennal lobes of the moth Manduca sexta</t>
  </si>
  <si>
    <t>10.1007/BF00610437</t>
  </si>
  <si>
    <t>2-s2.0-0024529481</t>
  </si>
  <si>
    <t>['wind speed', 'waves ranged', 'wave fields', 'using solutions', 'temperature probe', 'surface waves', 'surface tension', 'standard anemometer', 'sea water', 'produced sections', 'present paper', 'oceangraphic platform', 'meter ).', 'internal waves', 'dodecyl alcohol', 'coastal zone', 'black sea', 'authors present', 'antenna consisting', '7 km']</t>
  </si>
  <si>
    <t>In the present paper the authors present the first integrated observation of slicks in internal-wave fields in the presence of natural surfactant films. The observations were made in the summer of 1987 in the coastal zone of the Black Sea, from the oceangraphic platform of the Marine Hydrophysical Institute 0.7 km from the shore. The depth of the sea at the site was about 30 m. The internal waves were recorded with a temperature probe and with an antenna consisting of three distributed temperature sensors. The surface waves were recorded with optical spectrum analyzers, which produced sections through the wave inclination spectra (the waves ranged in length from a few centimeters to half a meter). The wind speed and direction were measured with a standard anemometer at a height of 16 m. The surface tension of the sea water was measured in situ by the spreading drop method, using solutions of dodecyl alcohol in paraffin.</t>
  </si>
  <si>
    <t>265-267</t>
  </si>
  <si>
    <t>60021331;60021331;60021331;60021331;60021331;60021331</t>
  </si>
  <si>
    <t>7801575581;6506830071;35588854100;7006715245;6506066663;35610090100</t>
  </si>
  <si>
    <t>Vasilinenko, N. I.;Yermakov, S. A.;Ivanov, A. V.;Panchenko, A. R.;Salashin, S. G.;Troitskaya, Yu I.</t>
  </si>
  <si>
    <t>Russian Academy of Sciences</t>
  </si>
  <si>
    <t>Vasilinenko N.I.</t>
  </si>
  <si>
    <t>Manifestations of internal waves at the sea surface in the presence of a surfactant film</t>
  </si>
  <si>
    <t>2-s2.0-0024690027</t>
  </si>
  <si>
    <t>['substrate medium', 'substrate interface', 'substrate accounting', 'one image', 'needed especially', 'microstrip antenna', 'known technique', 'input impedance', 'infinite set', 'image functions', 'ground plane', 'field calculation', 'electromagnetic fields']</t>
  </si>
  <si>
    <t>The well-known technique of computing the electromagnetic fields above the substrate of a microstrip antenna is extended for the field calculation in the substrate medium. These fields are needed especially in determining the input impedance of a patch antenna fed through the ground plane. One image is situated above the substrate accounting for the air-substrate interface and the other image is situated below the substrate accounting for the ground plane-substrate interface. The image functions are computed from an infinite set of poles and two branch cut integrations by using the Mellin inverse formula.</t>
  </si>
  <si>
    <t>199-203</t>
  </si>
  <si>
    <t>Alanen, Esko</t>
  </si>
  <si>
    <t>Alanen E.</t>
  </si>
  <si>
    <t>Impedance calculation of microstrip patch antennas using exact images</t>
  </si>
  <si>
    <t>2-s2.0-0024700109</t>
  </si>
  <si>
    <t>['weight reduction', 'stress critical', 'stiffness critical', 'metal counterparts', 'guides could', 'four times', 'elevation stop', 'elevation covers', 'elevation arms', 'elastic modulus', 'cost two', 'composite materials', 'chopped graphite', 'azimuth gimbal', 'aspect ratio', '25 %.']</t>
  </si>
  <si>
    <t>The antenna in the APG-68 Fire Control Radar has been designed in composite materials. A structural analysis indicated that the elevation arms, azimuth gimbal and base are stiffness critical rather than stress critical. A weight and cost analysis indicated that the elevation arms, azimuth gimbal and base when made of a chopped graphite/epoxy composite would weigh 17% less but cost two to four times as much as their metal counterparts. A micromechanics analysis indicated that a more aggressive design using long discontinuous fibers (aspect ratio of 50 or more) with a fiber volume fraction of 50-60% and controlled fiber orientation would increase the elastic modulus to approximately 138 GPa (20√ó106 psi) and result in a weight reduction over metal counterparts of about 25%. The elevation covers, elevation stop and guides are neither stress critical nor stiffness critical and could be made of lower performance hermo 0347 composites. A weight and cost analysis indicated that the elevation covers, elevation stop and guides could be made of polyetherimide or polyamide-imide and reduce the cost by 30-45% and weight by 25% over their metal counterparts.</t>
  </si>
  <si>
    <t>45-47, 50</t>
  </si>
  <si>
    <t>SAMPE Journal</t>
  </si>
  <si>
    <t>Roberts, J. C.</t>
  </si>
  <si>
    <t>Roberts J.</t>
  </si>
  <si>
    <t>Composite materials design for the APG-68 Fire Control Radar antenna</t>
  </si>
  <si>
    <t>2-s2.0-0024702298</t>
  </si>
  <si>
    <t>['thin layer', 'proposed derivation', 'overlapping islands', 'metal filling', 'large compared', 'high degree', 'capactive sheet', 'average field', 'artificial dielectric']</t>
  </si>
  <si>
    <t>The average boundary conditions are derived for a capactive sheet (a thin layer of an artificial dielectric) with a high degree of metal filling. It consists of metal blocks overlapping metallic sheets and overlapping islands of foil, separated by a dielectric. In all three cases metal occupies most of the surface and the capacitance between the islands is large compared with the edge. The proposed derivation of the average boundary conditions is heuristic in nature and is based on certain physical considerations making it possible to determine the relationship between the average field and the stronger near field in the gaps between adjacent metallic elements.</t>
  </si>
  <si>
    <t>146-152</t>
  </si>
  <si>
    <t>Fedyanovich, V. I.</t>
  </si>
  <si>
    <t>Fedyanovich V.</t>
  </si>
  <si>
    <t>Weakly transparent capacitive sheet</t>
  </si>
  <si>
    <t>2-s2.0-0024703629</t>
  </si>
  <si>
    <t>['small overlap', 'rectangular waveguide', 'insulator layer', 'elementary theory', 'electromagnetic wave', 'electric field', 'cross section', 'also considered']</t>
  </si>
  <si>
    <t>The elementary theory of the passage of an electromagnetic wave through a system of parallel partially overlapping metallic strips, separated by an insulator layer, is given where the electric field is perpendicular to the strips. The results of theory and of an experiment, in which such a system was placed in the cross section of a rectangular waveguide, are compared. Average boundary conditions are derived for the case of a small overlap. The case of periodically broken strips is also considered.</t>
  </si>
  <si>
    <t>121-126</t>
  </si>
  <si>
    <t>7801455631;6603869177;6601927070</t>
  </si>
  <si>
    <t>Alekseyev, I. G.;Fedyanovich, V. I.;Shestakov, Yu A.</t>
  </si>
  <si>
    <t>Alekseyev I.</t>
  </si>
  <si>
    <t>Transparency of close-spaced array of parallel overlapping metallic strips, separated by an insulator layer</t>
  </si>
  <si>
    <t>2-s2.0-0024703647</t>
  </si>
  <si>
    <t>['signals emitted', 'phase front', 'interconnection improves', 'correcting interconnections']</t>
  </si>
  <si>
    <t>Automatic phasing systems (APSs) are employed for stabilizing and controlling the phase front of signals emitted by active antenna arrays A multidimensional automatic phasing system (APS) with correcting interconnections (CCS) in the regulator is studied. The structure of the interconnections is synthesized. It is shown that increasing the degree of interconnection improves the accuracy and speed of phasing without reducing the margin of stability of the system.</t>
  </si>
  <si>
    <t>64-72</t>
  </si>
  <si>
    <t>6505889099;6603907163;6507124766</t>
  </si>
  <si>
    <t>Yesin, S. V.;Kaganov, V. I.;Pirkhavka, A. P.</t>
  </si>
  <si>
    <t>Yesin S.V.</t>
  </si>
  <si>
    <t>Multidimensional automatic-phasing system with correcting interconnections in the regulator</t>
  </si>
  <si>
    <t>2-s2.0-0024703763</t>
  </si>
  <si>
    <t>['vertical loading', 'turning torque', 'topics covered', 'three things', 'specifications required', 'selection criteria', 'rotation speed', 'primary importance', 'mounting arrangements', 'indicator units', 'differing specifications', 'braking torque', 'antenna rotators', 'antenna rotator']</t>
  </si>
  <si>
    <t>Rotatable beam antennas are discussed. Antenna rotators come in a variety of shapes, sizes and styles and with differing specifications. The antenna or antenna system settled on will determine the sort of characteristics or specifications required of the antenna rotator. Three things are of primary importance: turning torque, braking torque and vertical loading. After that we need to consider the mounting arrangements, the control and direction indicator system, then perhaps the rotation speed. Topics covered are types and styles of antenna rotators, mountings, control and indicator units, and selection criteria for antenna rotators.</t>
  </si>
  <si>
    <t>36-40</t>
  </si>
  <si>
    <t>Electronics today Sydney. 1971</t>
  </si>
  <si>
    <t>Harrison, Roger</t>
  </si>
  <si>
    <t>Harrison R.</t>
  </si>
  <si>
    <t>Swing that beam. The rounds and abouts of antenna rotators</t>
  </si>
  <si>
    <t>2-s2.0-0024704082</t>
  </si>
  <si>
    <t>['vlf signal', 'virtually identical', 'studied experimentally', 'mir orbiter', 'low frequency', 'linear theory', 'inospheric plasma', 'free space', 'first experiment', 'electromagnetic waves', 'diameter deployed', 'cold plasma', 'calculations based', 'agree satisfactorily', '5 khz', '40 km']</t>
  </si>
  <si>
    <t>The first experiment in space on the emission of very-low frequency (VLF) electromagnetic waves (5 kHz) in the Earth's ionosphere, performed with the help of two frame antennas each 20 m in diameter deployed by the cargo space ship Progress-28, and the reception of these waves on broad the Mir orbiter was performed. The characteristics of such antennas in the ionosphere were studied experimentally and the VLF signal was recorded at distances from 1 to 40 km from the transmitter. It was found that the reactance of an electrically small frame antenna in the inospheric plasma under the conditions of the experiment is virtually identical to the reactance in free space. Analysis of the experimental data obtained showed that they agree satisfactorily with calculations based on a linear theory for a model of a cold plasma.</t>
  </si>
  <si>
    <t>50-57</t>
  </si>
  <si>
    <t>;;;;;;;;;;;;;;;</t>
  </si>
  <si>
    <t>7006450972;7103223199;36778344900;7003972771;6603779009;7102692693;6504484111;7003376703;7103250799;6602409001;57209479993;6504043085;6701398779;6603016615;6701840749;6504308310</t>
  </si>
  <si>
    <t>Armand, N. A.;Semenov, Yu P.;Chertok, B. Ye;Migulin, V. V.;Akindinov, V. V.;Aksenov, V. I.;Bashilov, G. V.;Belousov, P. M.;Blinov, V. A.;Vyatkin, E. P.;Gorbunov, S. A.;Yermin, S. M.;Lishin, I. V.;Lukin, D. S.;Moshkov, A. V.;Nezhinskiy, L. I.</t>
  </si>
  <si>
    <t>Armand N.</t>
  </si>
  <si>
    <t>Experimental study of the radiation of a frame antenna, placed on the Mir-Progress-28-soyuz TM-2 orbiter complex, at very low frequencies in the earth's ionosphere</t>
  </si>
  <si>
    <t>2-s2.0-0024704337</t>
  </si>
  <si>
    <t>['single coordinate', 'signal parameters', 'signal base', 'potential accuracy']</t>
  </si>
  <si>
    <t>The potential accuracy of the prediction of the position of a non-maneuvered traveling target in a coherent multiposition radar system based on a single coordinate and velocity vector sample of the garget is investigated. The values of the signal parameters which minimize the target position prediction error with a fixed prediction time and signal base are found.</t>
  </si>
  <si>
    <t>7102018982;7102914932</t>
  </si>
  <si>
    <t>Kremer, I. Ya;German, A. M.</t>
  </si>
  <si>
    <t>Kremer I.</t>
  </si>
  <si>
    <t>Optimization of target-position prediction accuracy using a single coordinate and velocity vector sample</t>
  </si>
  <si>
    <t>2-s2.0-0024704624</t>
  </si>
  <si>
    <t>['wire feed', 'series found', 'physically existing', 'given distribution', 'found based', 'equivalent electric', 'electric current', 'currents converge', 'aperture feed', 'also applicable']</t>
  </si>
  <si>
    <t>A method for determining the equivalent electric and magnetic surface currents in the aperture of the feed of a mirror antenna based on a given distribution of the electric current on the mirror, which, in turn, can be found based on the known radiation pattern, is described. It is shown that the series found for the currents converge. The method is also applicable to the case when instead of the 'aperture feed' a wire feed with only the 'physically existing' electric current is employed.</t>
  </si>
  <si>
    <t>58-63</t>
  </si>
  <si>
    <t>Fel'd, Ya I.</t>
  </si>
  <si>
    <t>Fel'd Y.</t>
  </si>
  <si>
    <t>Synthesis of antenna feed currents based on a given current distribution on the mirror</t>
  </si>
  <si>
    <t>2-s2.0-0024704701</t>
  </si>
  <si>
    <t>['time filters', 'surface elements', 'spectral calculation', 'receiving antenna', 'radar measurements', 'linear space', 'characteristic motion']</t>
  </si>
  <si>
    <t>The accuracy and resolving power characteristics in radar measurements of the spatial velocity distribution of the characteristic motion of surface elements are examined. This analysis is based on a spectral calculation of the spatial and temporal signal frequencies at the aperture of the receiving antenna. A representation of the processors as linear space-time filters is utilized.</t>
  </si>
  <si>
    <t>25-31</t>
  </si>
  <si>
    <t>7101878744;6505685782</t>
  </si>
  <si>
    <t>Lavrov, A. A.;Fride, B. Ya</t>
  </si>
  <si>
    <t>Lavrov A.</t>
  </si>
  <si>
    <t>Characteristics of a radar method of measuring surface velocity distribution</t>
  </si>
  <si>
    <t>2-s2.0-0024704907</t>
  </si>
  <si>
    <t>['stimulate demand', 'station incorporates', 'enhanced capability', 'earth station', 'antenna toward']</t>
  </si>
  <si>
    <t>NTT has developed a 14/12-GHz-band vehicular transportable earth station for TV and video transmission services. This earth station can transmit and receive high quality analog FM-TV signals easily and quickly at any location. This station incorporates a newly devised automatic power control scheme in the communication channel link to maintain stable performance characteristics and an automatic initial acquisition algorithm to orient the antenna toward the satellite. This system has been in commercial use since May 1989, and is expected to stimulate demand with its enhanced capability and flexibility.</t>
  </si>
  <si>
    <t>61-67</t>
  </si>
  <si>
    <t>NTT Review</t>
  </si>
  <si>
    <t>Okamoto, Teruki</t>
  </si>
  <si>
    <t>Okamoto T.</t>
  </si>
  <si>
    <t>14/12-GHz-band vehicular transportable earth station</t>
  </si>
  <si>
    <t>2-s2.0-0024705260</t>
  </si>
  <si>
    <t>['schottky diode', 'rectifying circuit', 'reactive character', 'gallen type', 'electromagnetic processes', 'dipole placed', 'characteristic types', 'basic characteristics']</t>
  </si>
  <si>
    <t>A method is developed for the numerical electrodynamic simulation of a thin cylindrical antenna with a nonlinear lumped load. The method is based on an extension of the space-time integral equation of the Gallen type to the case of a dipole placed above a screen. It enables the electromagnetic processes in the dipole to be investigated for an arbitrary time dependence. The basic characteristics of the appearance of critical operating regions in which diodes can fail are studied for the example of an element of a rectenna in the form of a dipole with a bridge-rectifying circuit in which the most characteristic types of nonlinearities in a Schottky diode, including those of a reactive character, are taken into account.</t>
  </si>
  <si>
    <t>97-107</t>
  </si>
  <si>
    <t>7003716747;6506665263</t>
  </si>
  <si>
    <t>Yegorov, A. N.;Ryabtsev, Ye V.</t>
  </si>
  <si>
    <t>Yegorov A.</t>
  </si>
  <si>
    <t>Electrodynamic analysis of nonstationary processes in thin cylindrical antennas with nonlinear loads</t>
  </si>
  <si>
    <t>2-s2.0-0024705949</t>
  </si>
  <si>
    <t>['potential applications', 'new applications', 'low profile', 'low cost', 'light weight', 'electronic control', 'beam position']</t>
  </si>
  <si>
    <t>Printed antenna technology is currently on the verge of challenging well established reflector and wire antenna designs in both terrestrial and satellite radio systems, as well as opening up new applications. Printed antennas offer the advantages of being low profile, light weight, low cost, and compatible with current microwave integrated circuit techniques. Existing antenna designs have fixed radiation performance, but printed array antennas offer the possibility of electronic control of beam position, shape and polarisation. This paper first describes simple printed antenna radiation sources. The use of these sources to build complex arrays is then examined and finally some current and potential applications are discussed.</t>
  </si>
  <si>
    <t>48-63</t>
  </si>
  <si>
    <t>60031028;60031028;60031028</t>
  </si>
  <si>
    <t>7404427831;7003962510;36963987600</t>
  </si>
  <si>
    <t>Miller, Paul A.;MacKichan, John C.;Staker, Mark R.</t>
  </si>
  <si>
    <t>British Telecommunications plc</t>
  </si>
  <si>
    <t>Miller P.</t>
  </si>
  <si>
    <t>New technology printed antennas</t>
  </si>
  <si>
    <t>2-s2.0-0024705983</t>
  </si>
  <si>
    <t>['wave green', 'surface current', 'radiation resistance', 'microstrip antenna', 'metal sandwich', 'ferromagnetic film', 'consistent theory', 'analytical solution']</t>
  </si>
  <si>
    <t>A self-consistent theory of the excitation of dipole-exchange spin waves by a microstrip antenna in a tangentially magnetized metal-insulator-ferrite-insulator-metal sandwich is constructed. The spin-wave Green's functions, describing the response of a ferromagnetic film to a spatially nonuniform alternating magnetic field, are derived. The radiation resistance of a microstrip antenna is calculated. The distribution of the surface current in the antenna is found in a self-consistent manner based on the analytical solution of a singular integral equation. The theoretical expressions obtained for the radiation resistance were confirmed by experiments.</t>
  </si>
  <si>
    <t>72-81</t>
  </si>
  <si>
    <t>7003763320;7004200595</t>
  </si>
  <si>
    <t>Dmitriyev, V. F.;Kalinikos, B. A.</t>
  </si>
  <si>
    <t>Dmitriyev V.</t>
  </si>
  <si>
    <t>Self-consistent theory of the excitation of spin waves by a microstrip antenna in a tangentially magnetized layered structure</t>
  </si>
  <si>
    <t>2-s2.0-0024706066</t>
  </si>
  <si>
    <t>R01NS023405</t>
  </si>
  <si>
    <t>['two classes', 'superior protocerebrum', 'single glomerulus', 'single glomeruli', 'serial sections', 'projection neurons', 'pns innervating', 'pns associated', 'pn innervating', 'pheromone extracts', 'pheromone extract', 'pheromone blend', 'pheromonal odors', 'ordinary glomeruli', 'one p', 'one component', 'one case', 'one al', 'mgc appeared', 'mechanosensory stimulation', 'lateral protocerebrum', 'dendritic fields', 'dendritic arborizations', 'crude sex', 'certain non', 'antennal lobe', 'another component', 'also responded', 'al pns', 'al neuropil', '5 ).', '4 ).', '3 ).', '16 ).', '15 ),', '14 ).', '13 ).']</t>
  </si>
  <si>
    <t>1. We have used intracellular recording and staining, followed by reconstruction from serial sections, to characterize the responses and structure of projection neurons (PNs) that link the antennal lobe (AL) to other regions of the brain of the male sphinx moth Manduca sexta. 2. Dendritic arborizations of the AL PNs were usually restricted either to ordinary glomeruli or to the male-specific macroglomerular complex (MGC) within the AL neuropil. Dendritic fields in the MGC appeared to belong to distinct partitions within the MGC (Figs. 2, 3). PNs innervating the ordinary glomeruli had arborizations in a single glomerulus (uniglomerular) (Figs. 6, 7, 9, 11, 12A) or in more than one ordinary glomerulus of one AL (multiglomerular) (Figs. 12B, C, 14, 15), or in one case, in single glomeruli in both ALs (bilateral-uniglomerular) (Fig. 16). One PN innervated the MGC and many or all ordinary glomeruli of the AL (Fig. 13). 3. PNs with dendritic arborizations in the ordinary glomeruli and PNs associated with the MGC typically projected both to the calyces of the ipsilateral mushroom body and to the lateral protocerebrum, but some differences in the patterns of termination in those regions have been noted for the two classes of PNs (Figs. 2, 3, 6, 7, 9, 16). One PN conspicuously lacked branches in the calyces but did project to the lateral protocerebrum (Fig. 14). The PN innervating the MGC and many ordinary glomeruli projected to the calyces of the ipsilateral mushroom body and the superior protocerebrum (Fig. 13). 4. Crude sex-pheromone extracts excited all neurons with arborizations in the MGC, although some were inhibited by other odors (Figs. 3, 4). One P(MGC) was excited by crude sex-pheromone extract and by a mimic of one component of the pheromone blend but was inhibited by another component of the blend (Fig. 5). 5. PNs with dendritic arborizations in ordinary glomeruli were excited (Figs. 7, 8, 10) or inhibited (Figs. 9, 11) by certain non-pheromonal odors. Some of these PNs also responded to mechanosensory stimulation of the antennae (Figs. 10, 11, 15, 16). 6. The PN with dendritic arborizations in the MGC and many ordinary glomeruli was excited by crude sex-pheromone extracts and non-pheromonal odors and also responded to mechanosensory stimulation of the antenna (Fig. 13). ¬© 1989 Springer-Verlag.</t>
  </si>
  <si>
    <t>427-453</t>
  </si>
  <si>
    <t>60023324;60023324;60023324;60023324</t>
  </si>
  <si>
    <t>18133980000;6602869627;7006202510;7102653635</t>
  </si>
  <si>
    <t>Kanzaki, Ryohei;Arbas, Edmund A.;Strausfeld, Nicholas J.;Hildebrand, John G.</t>
  </si>
  <si>
    <t>Kanzaki R.</t>
  </si>
  <si>
    <t>Physiology and morphology of projection neurons in the antennal lobe of the male moth Manduca sexta</t>
  </si>
  <si>
    <t>10.1007/BF00611233</t>
  </si>
  <si>
    <t>2-s2.0-0024710727</t>
  </si>
  <si>
    <t>['¬© 1989', 'vitamin k3', 'vitamin k1', 'subnanosecond quenching', 'spinach ps', 'remaining half', 'reduced state', 'reduced particles', 'recent proposal', 'plant physiologists', 'picosecond decay', 'oxidized state', 'one half', 'observations support', 'major part', 'laser intensity', 'laser flash', 'jspp ).', 'japanese society', 'ground state', 'excited state', 'ether treatment', 'enriched particles', 'difference spectrum', 'depleted particles', 'broad spectrum', 'bleaching remaining', 'bleaching observed', 'bleaching decayed', 'apparent rate', '35 picoseconds', '2 ns', '2 nanosecond', '150 picosecond']</t>
  </si>
  <si>
    <t>P700 | Photosystem I | Picosecond photolysis | Primary radical pair | Spinach | Vitamin K1</t>
  </si>
  <si>
    <t>Picosecond transient absorption changes, with a laser intensity as low as one photon absorbed per single reaction center, were measured with vitamin K1-depleted and P700-enriched particles which were obtained by ether treatment of spinach PS-I particles. When P700 was in the oxidized state, a bleaching that corresponded to about one-seventh of the ground state absorption was observed just after a laser flash (0 picosecond delay). A major part of the bleaching decayed with a lifetime of about 35 picoseconds, which corresponds to the relaxation of the excited antenna chl-a to the ground state. By contrast, when P700 was in the reduced state, the bleaching observed at a 0 ps delay was broader, especially on the longer wavelength side than the ground state absorption, probably because of the generation of the excited state of P700. About one half of the bleaching decayed within 35 ps and the remaining half, which had a broad spectrum and a peak around 682 nm, was conserved up to 2 ns. This long-lived bleaching probes no picosecond decay of the radical pair P700+-A0- because electrons were not transferred from A01 to A1 in vitamin K1-depleted particles. After addition of vitamin K3, an analog of vitamin K1, to the reduced particles, the bleaching around 685 nm decayed successively with an apparent rate of about 150 picosecond, while the bleaching around 700 nm was conserved for up to 2 nanosecond. Thus, the bleaching remaining at 2 ns resembled the difference spectrum of P700, suggesting a subnanosecond quenching of A01 by the externally added vitamin K3. These observations support a recent proposal that the secondary electron acceptor A1, in photosystem I, is vitamin K1. ¬© 1989 The Japanese Society of Plant Physiologists (JSPP).</t>
  </si>
  <si>
    <t>679-684</t>
  </si>
  <si>
    <t>60033235;60033235;60027553</t>
  </si>
  <si>
    <t>55742929600;7201407979;55974981900</t>
  </si>
  <si>
    <t>Kim, Dongho;Yoshihara, Keitaro;Ikegami, Isamu</t>
  </si>
  <si>
    <t>Okazaki;Tokyo</t>
  </si>
  <si>
    <t>National Institutes of Natural Sciences - Institute for Molecular Science;Teikyo University</t>
  </si>
  <si>
    <t>60033235;60027553</t>
  </si>
  <si>
    <t>Kim D.</t>
  </si>
  <si>
    <t>Picosecond photochemistry of P700-enriched and vitamin K&lt;inf&gt;1&lt;/inf&gt;-depleted photosystem I particles isolated from spinach</t>
  </si>
  <si>
    <t>2-s2.0-0039090683</t>
  </si>
  <si>
    <t>625-631</t>
  </si>
  <si>
    <t>Zamek, I. G.</t>
  </si>
  <si>
    <t>Zamek I.</t>
  </si>
  <si>
    <t>Suppression of wide-band noise in antenna systems with spatial discretization of wave fields</t>
  </si>
  <si>
    <t>10.1007/BF01058129</t>
  </si>
  <si>
    <t>2-s2.0-34249961325</t>
  </si>
  <si>
    <t>645-651</t>
  </si>
  <si>
    <t>16434639900;16437068800</t>
  </si>
  <si>
    <t>Gordienko, L. V.;Ponomarev, L. I.</t>
  </si>
  <si>
    <t>Gordienko L.</t>
  </si>
  <si>
    <t>Analysis of radiator characteristics of an antenna array of H-form vibrators</t>
  </si>
  <si>
    <t>10.1007/BF01058132</t>
  </si>
  <si>
    <t>2-s2.0-34249964189</t>
  </si>
  <si>
    <t>['three radiators', 'radiating ends', 'paper addresses', 'mapping system', 'first step', 'center axis', 'antenna pattern']</t>
  </si>
  <si>
    <t>This paper addresses the radiation patterns launched from circular waveguide radiators as the first step in the design of a Vlasov-type mode convertor that will function at high power levels in the X-band frequency range (8 to 12 GHz). The radiating ends of the radiators are each cut at a specific angle relative to the center axis of the waveguide to form the waveguide launcher component of a Vlasov-type mode convertor. The far-field radiation patterns for three radiators were measured with an antenna pattern-mapping system. ¬© 1989 Plenum Publishing Corporation.</t>
  </si>
  <si>
    <t>869-878</t>
  </si>
  <si>
    <t>60033252;60033252;60033252</t>
  </si>
  <si>
    <t>7007097705;6508100615;36946047700</t>
  </si>
  <si>
    <t>Ruth, Brian G.;Schlesiger, Christian D.R.;Dahlstrom, Robert K.</t>
  </si>
  <si>
    <t>Adelphi</t>
  </si>
  <si>
    <t>U.S. Army Research Laboratory</t>
  </si>
  <si>
    <t>Ruth B.</t>
  </si>
  <si>
    <t>Antenna measurements on the radiator component of an X-band Vlasov-type mode converter</t>
  </si>
  <si>
    <t>10.1007/BF01011497</t>
  </si>
  <si>
    <t>2-s2.0-34249967486</t>
  </si>
  <si>
    <t>['vswr bandwidth', 'test models', 'technique enables', 'several kinds', 'reactance compensation', 'practical configuration', 'parameter optimization', 'experimental results', 'design guidelines', 'conventional design', 'calculating model', 'broadband two']</t>
  </si>
  <si>
    <t>Antenna | Broadband technique | Microstrip antenna</t>
  </si>
  <si>
    <t>In order to broaden the bandwidth of a microstrip patch antenna, a broadband two-port feeding technique based on the principle of reactance compensation is suggested. The principle and some design guidelines are presented; the calculating model of a practical configuration as well as its parameter optimization is demonstrated, followed by several kinds of test models with their experimental results. It is shown that this technique enables the VSWR bandwidth to be broadened to 2-3 or more times that of a conventional design for both linear and circular polarization operation. ¬© 1989 Science Press.</t>
  </si>
  <si>
    <t>251-262</t>
  </si>
  <si>
    <t>Shunshi, Zhong</t>
  </si>
  <si>
    <t>Shanghai</t>
  </si>
  <si>
    <t>Shanghai University</t>
  </si>
  <si>
    <t>Shunshi Z.</t>
  </si>
  <si>
    <t>A broadband feeding technique for microstrip patch antennas</t>
  </si>
  <si>
    <t>10.1007/BF02778906</t>
  </si>
  <si>
    <t>2-s2.0-51649154325</t>
  </si>
  <si>
    <t>['¬© 1989', 'using low', 'transfer dynamics', 'time constant', 'special pair', 'rhodospirillum rubrum', 'rhodobacter sphaeroides', 'reaction center', 'harvesting polypeptides', 'energetically low', 'distance indicates', 'bchl896 pigment', 'b875 complex', 'allows us', '77 k', '75 ps', '37 ps']</t>
  </si>
  <si>
    <t>Bacteriochlorophyll | Energy transfer | Light-harvesting antenna | Picosecond absorption spectroscopy | Reaction center</t>
  </si>
  <si>
    <t>We have studied the energy-transfer dynamics in chromatophores of Rhodobacter sphaeroides and Rhodospirillum rubrum at 77 K, with functional charge separation. Using low-intensity picosecond absorption recovery, we determined that transfer between the energetically low-lying antenna component BChl896 and the special pair of the reaction center occurs with a time constant of 37 ps in Rb. sphaeroides and 75 ps in R. rubrum. Assuming that a F√∂rster energy-transfer mechanism applies to the process, this allows us to estimate the distance between BChl896 in the B875 complex and the special pair P870 in the reaction center to range between 26 and 39 √Ö in Rb. sphaeroides. Such a distance indicates that the BChl896 pigment and the special pair of the reaction center are at the minimum separation allowed by the size and shape of the reaction center and the light-harvesting polypeptides. ¬© 1989.</t>
  </si>
  <si>
    <t>503-508</t>
  </si>
  <si>
    <t>60031040;60031040-60008734;60031040</t>
  </si>
  <si>
    <t>24371778100;35599806700;7006706612</t>
  </si>
  <si>
    <t>Bergstr√∂m, H.;van Grondelle, R.;Sundstr√∂m, V.</t>
  </si>
  <si>
    <t>Sweden;Netherlands</t>
  </si>
  <si>
    <t>Umea;Amsterdam</t>
  </si>
  <si>
    <t>Ume√• Universitet;Vrije Universiteit Amsterdam</t>
  </si>
  <si>
    <t>60031040;60008734</t>
  </si>
  <si>
    <t>Bergstr√∂m H.</t>
  </si>
  <si>
    <t>Characterization of excitation energy trapping in photosynthetic purple bacteria at 77 K</t>
  </si>
  <si>
    <t>10.1016/0014-5793(89)80785-9</t>
  </si>
  <si>
    <t>2-s2.0-0000966980</t>
  </si>
  <si>
    <t>['œîavs intensity', '¬© 1989', 'state r', 'optically non', 'optical properties', 'light quanta', 'light curves', 'harvesting bacteriochlorophylls', 'good agreement', 'excited states', 'excited chromophores', 'cooperative changes', 'complex b890', 'chromatium minutissimum']</t>
  </si>
  <si>
    <t>Bacterial photosynthesis | Bacteriochlorophyll-protein complex | Cooperativity | Light-harvesting antenna</t>
  </si>
  <si>
    <t>A model of the cooperative changes in optical properties of light-harvesting bacteriochlorophyll molecules of complex B890 in response to the absorption of light quanta is proposed. According to the model, each antenna chromophore may persist in either of two optically non-excited states, R and T. The occurrence of at least one excitation per complex causes all optically non-excited chromophores of the complex to be converted from state R to state T. The theory is shown to be in good agreement with experimental 'light curves' (ŒîAvs intensity of picosecond excitation pulse) for the 'minor' and 'major' signals of light-harvesting bacteriochlorophylls of complex B890 from Chromatium minutissimum. ¬© 1989.</t>
  </si>
  <si>
    <t>183-186</t>
  </si>
  <si>
    <t>60059987;;</t>
  </si>
  <si>
    <t>7003895031;6506457978;6603794637</t>
  </si>
  <si>
    <t>Danielius, R. V.;Mineyev, A. P.;Razjivin, A. P.</t>
  </si>
  <si>
    <t>Lithuania</t>
  </si>
  <si>
    <t>Vilnius</t>
  </si>
  <si>
    <t>Vilniaus Universitetas</t>
  </si>
  <si>
    <t>Danielius R.V.</t>
  </si>
  <si>
    <t>The cooperativity phenomena in a pigment-protein complex of light-harvesting antenna revealed by picosecond absorbance difference spectroscopy</t>
  </si>
  <si>
    <t>10.1016/0014-5793(89)80716-1</t>
  </si>
  <si>
    <t>2-s2.0-0001304283</t>
  </si>
  <si>
    <t>['¬© 1989', 'white light', 'probably prompt', 'emission observed', '730 nm', '685 nm']</t>
  </si>
  <si>
    <t>Chloroplast | Delayed fluorescence | Emission spectrum | Photosystem I | Photosystem II | Reabsorption</t>
  </si>
  <si>
    <t>The first well resolved emission spectra of white light-illuminated spinach chloroplasts at room temperature show that one second delayed fluorescence occurs at 685 nm. We demonstrate that reabsorption of this delayed fluorescence induces the second (probably prompt) emission observed at 730 nm and which we identify with the photosystem I peripheral antenna system. ¬© 1989.</t>
  </si>
  <si>
    <t>275-279</t>
  </si>
  <si>
    <t>60082727-60027811;60082727;60082727-60008435</t>
  </si>
  <si>
    <t>7004238809;8975818200;57201758494</t>
  </si>
  <si>
    <t>Hideg, √âva;Scott, R. Q.;Inaba, Humio</t>
  </si>
  <si>
    <t>Japan;Hungary;Japan</t>
  </si>
  <si>
    <t>Tsukuba;Budapest;Sendai</t>
  </si>
  <si>
    <t>Research Development Corporation of Japan;Magyar Tudomanyos Akademia;Tohoku University</t>
  </si>
  <si>
    <t>60082727;60027811;60008435</t>
  </si>
  <si>
    <t>Hideg E.</t>
  </si>
  <si>
    <t>High resolution emission spectra of one second delayed fluorescence from chloroplasts</t>
  </si>
  <si>
    <t>10.1016/0014-5793(89)80737-9</t>
  </si>
  <si>
    <t>2-s2.0-38249022382</t>
  </si>
  <si>
    <t>['¬© 1989', 'values 3', 'small amount', 'ratios cp29', 'protein complexes', 'partial solubilization', 'main light', 'lhc ii', 'instead found', 'fraction containing', '3 %).']</t>
  </si>
  <si>
    <t>(Spinach) | Chlorophyll-protein | Minor antenna | Photosystem II | Stoichiometry</t>
  </si>
  <si>
    <t>A photosystem II complex obtained by partial solubilization of spinach PS II membranes has been analyzed in terms of chlorophyll-protein complexes. The complex was found to contain the minor antennas CP29 and CP26 and a very small amount of LHC II (less than 3%). No trace of CP24 was found to be associated with the PS II complex. This chlorophyll a/b-protein was instead found in the fraction containing the main light-harvesting complex LHC II. The stoichiometry of the minor antennas indicates the values 3:3:1 for the ratios CP29:CP26:P680. ¬© 1989.</t>
  </si>
  <si>
    <t>60000481;60000481;60021199;</t>
  </si>
  <si>
    <t>7003283287;6603683440;6701819125;16207173300</t>
  </si>
  <si>
    <t>Barbato, Roberto;Rigoni, Fernanda;Giardi, Maria Teresa;Giacometti, Giorgio Mario</t>
  </si>
  <si>
    <t>Rome;Padua</t>
  </si>
  <si>
    <t>Consiglio Nazionale delle Ricerche;Universit√† degli Studi di Padova</t>
  </si>
  <si>
    <t>60021199;60000481</t>
  </si>
  <si>
    <t>The minor antenna complexes of an oxygen evolving photosystem II preparation: purification and stoichiometry</t>
  </si>
  <si>
    <t>10.1016/0014-5793(89)81445-0</t>
  </si>
  <si>
    <t>2-s2.0-38249024750</t>
  </si>
  <si>
    <t>['¬© 1989', 'time staggering', 'rights reserved', 'particularly suited', 'narrowband tdma', 'gsm system', 'gain adjustments', 'employs antenna', 'electrical engineers', 'collect energy']</t>
  </si>
  <si>
    <t>Mobile radio systems | Radio links | Radio receivers | Radiocommunication</t>
  </si>
  <si>
    <t>A new diversity technique is presented which employs antenna (space) diversity in conjunction with time staggering to allow the receiver to collect energy from several paths without phase or gain adjustments. The technique is particularly suited to narrowband TDMA where the receiver is likely to include an equaliser, and the resulting performance gains are characterised, taking the GSM system as an example. ¬© 1989, The Institution of Electrical Engineers. All rights reserved.</t>
  </si>
  <si>
    <t>1001-1002</t>
  </si>
  <si>
    <t>Lopes, L. B.</t>
  </si>
  <si>
    <t>Leeds</t>
  </si>
  <si>
    <t>University of Leeds</t>
  </si>
  <si>
    <t>Lopes L.</t>
  </si>
  <si>
    <t>Combined space/time diversity technique for narrowband tdma mobile radio systems</t>
  </si>
  <si>
    <t>10.1049/el:19890669</t>
  </si>
  <si>
    <t>2-s2.0-0024700438</t>
  </si>
  <si>
    <t>['¬© 1989', 'rights reserved', 'radiation patterns', 'radiation characteristics', 'planar inverted', 'held transceiver', 'equivalence theorem', 'electrical engineers']</t>
  </si>
  <si>
    <t>Antenna radiation patterns | Antennas | Time-domain analysis</t>
  </si>
  <si>
    <t>In this letter, the radiation characteristics of a hand-held transceiver with a planar inverted-F type antenna are simulated by the spatial network method. Using the sum of the computed current distributions and applying the equivalence theorem, the radiation patterns of the transceiver can be predicted. ¬© 1989, The Institution of Electrical Engineers. All rights reserved.</t>
  </si>
  <si>
    <t>1044-1045</t>
  </si>
  <si>
    <t>55574713100;7403004870;57214925937</t>
  </si>
  <si>
    <t>Kashiwa, T.;Yoshida, N.;Fukai, I.</t>
  </si>
  <si>
    <t>Analysis of radiation characteristics of planar inverted-f type antenna on conductive body of hand-held transceiver by spatial network method</t>
  </si>
  <si>
    <t>10.1049/el:19890697</t>
  </si>
  <si>
    <t>2-s2.0-0024960616</t>
  </si>
  <si>
    <t>['¬© 1989', 'rights reserved', 'preliminary implementations', 'electronic phase', 'electrical engineers', 'delay lines', 'circularly polarised']</t>
  </si>
  <si>
    <t>Antenna arrays | Antenna radiation patterns | Antennas | Microstrip</t>
  </si>
  <si>
    <t>A simple microstrip antenna array which performs beam scanning without the use of electronic phase-shifters or delay lines is described. The array incorporates mechanically rotat-able microstrip patch antennas which are designed for circularly polarised (CP) operation. Experimental results obtained from preliminary implementations of the array are provided and discussed. ¬© 1989, The Institution of Electrical Engineers. All rights reserved.</t>
  </si>
  <si>
    <t>1042-1043</t>
  </si>
  <si>
    <t>6507149157;7401934487</t>
  </si>
  <si>
    <t>Oberhart, M. L.;Lo, Y. T.</t>
  </si>
  <si>
    <t>Oberhart M.</t>
  </si>
  <si>
    <t>Simple method of experimentally investigating scanning microstrip antenna arrays without phase-shifting devices</t>
  </si>
  <si>
    <t>10.1049/el:19890696</t>
  </si>
  <si>
    <t>2-s2.0-0024960639</t>
  </si>
  <si>
    <t>['unbound qb', 'spinach chloroplasts', 'spectral sensitivity', 'relative amplitude', 'photosystem ii', 'p ).', 'mobile plastoquinone', 'larger contribution', 'inhibitors used', 'including qb', 'high concentrations', 'fluorescence spectra', 'fluorescence showed', 'fluorescence characteristics', 'first measurements', 'emission monochromator', 'distinct period', 'complementary fashion', 'complementary area', 'close relationship', 'cell fluorescence', 'atrazine concentrations', '745 nm', '30 ms']</t>
  </si>
  <si>
    <t>atrazine | chlorophyll a fluorescence | diuron | higher plant photosynthesis | photoautotrophic soybean cell | plastoquinone pool | primary (quinone) electron acceptor | Q /Q , (soybean, spinach) B B -</t>
  </si>
  <si>
    <t>We report here the first measurements on chlorophyll (Chl) a fluorescence characteristics of photoautotrophic soybean cells (cell lines SB-P and SBI-P). The cell fluorescence is free from severe distortion problems encountered in higher plant leaves. Chl a fluorescence spectra at 77 K show, after correction for the spectral sensitivity of the photomultiplier and the emission monochromator, peaks at 688, 696 and 745 nm, representing antenna systems of photosystem II-CP43 and CP47, and photosystem I, respectively. Calculations, based on the complementary area over the Chl a fluorescence induction curve, indicated a ratio of 6 of the mobile plastoquinone (including QB) to the primary stable electron acceptor, the bound plastoquinone QA. A ratio of one between the secondary stable electron acceptor, bound plastoquinone QB, and its reduced form QB- was obtained by using a double flash technique. Owing to this ratio, the flash number dependence of the Chl a fluorescence showed a distinct period of four, implying a close relationship to the 'S' state of the oxygen evolution mechanism. Analysis of the QA- reoxidation kinetics showed (1) the halftime of each of the major decay components (‚àº 300 Œºs fast and ‚àº 30 ms slow) increases with the increase of diuron and atrazine concentrations; and (2) the amplitudes of the fast and the slow components change in a complementary fashion, the fast component disappearing at high concentrations of the inhibitors. This implies that the inhibitors used are able to totally displace QB. In intact soybean cells, the relative amplitude of the 30 ms to 300 Œºs component is higher (40:60) than that in spinach chloroplasts (30:70), implying a larger contribution of the centers with unbound QB. SB-P and SBI-P soybean cells display a slightly different sensitivity of QA- decay to inhibitors. ¬© 1989 Kluwer Academic Publishers.</t>
  </si>
  <si>
    <t>60000745;60000745;60000745;60000745;60000745</t>
  </si>
  <si>
    <t>7404181398;57214342951;7006711210;7005705612;16541793700</t>
  </si>
  <si>
    <t xml:space="preserve">Xu, C.;Rogers, S. M.D.;Goldstein, C.;Widholm, J. M.;Govindjee, </t>
  </si>
  <si>
    <t>Xu C.</t>
  </si>
  <si>
    <t>Fluorescence characteristics of photoautotrophic soybean cells</t>
  </si>
  <si>
    <t>10.1007/BF00033363</t>
  </si>
  <si>
    <t>2-s2.0-0002578516</t>
  </si>
  <si>
    <t>['¬© 1989', 'voltage relation', 'vertebrate channels', 'substate conductance', 'study channels', 'sr k', 'rights reserved', 'resting potential', 'relaxing saline', 'positive potentials', 'patches contain', 'open probability', 'open channel', 'occurs asymmetrically', 'negative potentials', 'membrane inside', 'membrane exposed', 'maximal conductance', 'homarus americanus', 'dependent block', 'cytoplasmic side', 'channel displays', 'american lobster']</t>
  </si>
  <si>
    <t>The patch clamp technique has been used to study channels in a membrane inside a cell. A single muscle fiber is skinned in relaxing saline (high K+, low Ca2+ with EGTA and ATP), leaving the native sarcoplasmic reticulum (SR) membrane exposed for patching. Fibers are dissected from the second antenna remotor muscles of the American lobster, Homarus americanus. Transmission and scanning electron microscopy confirm the large volume fraction of SR (~70%) and absence of sarcolemma in this unusual skinned preparation. The resting potential of the SR was measured after the resistance of the patch of membrane was broken down. It is near 0 mV (-0.4 ¬±0.6 mV). The average input resistance of the SR is 842 ¬± 295 MŒ©. Some 25% of patches contain a K+-selective channel with a mean open time of seconds and the channel displays at least two conducting states. The open probability is weakly voltage dependent, large at zero and positive potentials (cytoplasm minus SR lumen), and decreasing at negative potentials. The maximal conductance of this channel is 200 ¬± 1 pS and the substate conductance is 170 ¬± 3 pS in symmetrical 480 mM K+ solution. The current-voltage relation of the open channel is linear over a range of ¬± 100 mV. The selectivity is similar to the SR K+ channel of vertebrates: PK/PNa is 3.77 ¬± 0.03, determined from reversal potential measurements, whereas Œ≥K/Œ≥Na is 3.28 ¬± 0.06, determined from open-channel conductance measurements in symmetrical 480 mM solutions. Voltage-dependent block in the lobster SR K+ channel is similar to, but distinct from, that reported for the vertebrate channels. It occurs asymmetrically when hexamethonium is added to both sides of the membrane. The block is more effective from the cytoplasmic side of the channel. ¬© 1989, Rockefeller University Press., All rights reserved.</t>
  </si>
  <si>
    <t>261-278</t>
  </si>
  <si>
    <t>Journal of General Physiology</t>
  </si>
  <si>
    <t>60020152;60020152;60020152</t>
  </si>
  <si>
    <t>7404638670;16148040100;57203255103</t>
  </si>
  <si>
    <t>Tang, J. M.;Wang, J.;Eisenberg, R. S.</t>
  </si>
  <si>
    <t>Rush Medical College</t>
  </si>
  <si>
    <t>Tang J.</t>
  </si>
  <si>
    <t>K&lt;sup&gt;+&lt;/sup&gt;-selective channel from sarcoplasmic reticulum of split lobster muscle fibers</t>
  </si>
  <si>
    <t>10.1085/jgp.94.2.261</t>
  </si>
  <si>
    <t>2-s2.0-0024469428</t>
  </si>
  <si>
    <t>['thin conductors', 'paper presents', 'numerical solution', 'lumped loads', 'integral equation', 'electrodynamic analysis', 'distributed resistance']</t>
  </si>
  <si>
    <t>This paper presents a procedure for an electrodynamic analysis of various wire antennas under various excitation conditions. The procedure is based on a generalization of a method for the numerical solution of an integral equation for thin conductors, and for conductors with lumped loads for the case of conductors with a distributed resistance.</t>
  </si>
  <si>
    <t>135-136</t>
  </si>
  <si>
    <t>7801544733;6701755348;7004146752;17436622300;7102831099</t>
  </si>
  <si>
    <t>Kornikov, M. V.;Kalashnikov, N. V.;Runov, A. V.;Yurtsev, O. A.;Pavlov, P. N.</t>
  </si>
  <si>
    <t>Kornikov M.</t>
  </si>
  <si>
    <t>Numerical electrodynamic analysis of arbitrary wire antennas</t>
  </si>
  <si>
    <t>2-s2.0-0024707640</t>
  </si>
  <si>
    <t>['accuracy characteristics']</t>
  </si>
  <si>
    <t>Optimum matrix algorithms are developed for generating angle error signals for two operating conditions of a coherent pulse radar with a linear antenna array corresponding to angle tracking conditions for the case of a known signal frequency and with a known initial signal phase and frequency. The accuracy characteristics of the synthesized angle discriminators are determined.</t>
  </si>
  <si>
    <t>104-106</t>
  </si>
  <si>
    <t>7404809618;6503945609</t>
  </si>
  <si>
    <t>Ivanov, V. A.;Zhutyaeva, T. S.</t>
  </si>
  <si>
    <t>Ivanov V.</t>
  </si>
  <si>
    <t>Angle discrimination algorithms in coherent pulse operation in the presence of correlated interference</t>
  </si>
  <si>
    <t>2-s2.0-0024707641</t>
  </si>
  <si>
    <t>['correlation matrix', 'autoregressive expansion']</t>
  </si>
  <si>
    <t>An analysis of the rate of tuning of partially adaptive antenna arrays is given. An algorithm is proposed for evaluating the correlation moments based on the autoregressive expansion of the correlation matrix of the compensation channel noise.</t>
  </si>
  <si>
    <t>126-130</t>
  </si>
  <si>
    <t>36069382700;6701650166;6506721618</t>
  </si>
  <si>
    <t>Lekhovitskiy, D. I.;Rakov, I. D.;Dankevich, V. M.</t>
  </si>
  <si>
    <t>Lekhovitskiy D.</t>
  </si>
  <si>
    <t>Adaptive protection from interference in equidistant antenna arrays</t>
  </si>
  <si>
    <t>2-s2.0-0024707690</t>
  </si>
  <si>
    <t>['transmitter provides', 'test antenna', 'smaller area', 'recent origin', 'quiet zone', 'paper presents', 'offset paraboloid', 'normally sought', 'name suggests', 'horn antenna', 'fraunhofer criterion', 'facilitate measurements', 'eye view', 'collimated beam', 'catr technology', 'basic difference', 'arranging things']</t>
  </si>
  <si>
    <t>The compact antenna test ranges (CATR) are of recent origin. As the name suggests, these facilitate measurements in a smaller area. The basic difference between microwave anechoic chambers (MAC) and CATR is that in the former the plane wave illumination of the test antenna is obtained by arranging things such that the Fraunhofer criterion is satisfied, while in the latter the collimated beam from the transmitter provides the plane wave illumination of the test antenna. The collimation is normally sought to be done by using an offset paraboloid illuminated by a horn antenna. In CATR the reflected signal entering into the quiet zone is due only to diffraction at the edges of the offset paraboloid, while in the MAC it will be due to the side lobe illumination of the walls, a first order effect. Naturally, therefore, for a prescribed reflectivity level, the CATR should offer a much larger quite zone than a MAC. This paper presents a bird's eye view of the CATR technology.</t>
  </si>
  <si>
    <t>27-31</t>
  </si>
  <si>
    <t>60072226;60072226</t>
  </si>
  <si>
    <t>6603665624;36017581400</t>
  </si>
  <si>
    <t>Chandra Mouly, M. C.;Subbaiah, P. V.</t>
  </si>
  <si>
    <t>Chandra Mouly M.C.</t>
  </si>
  <si>
    <t>Compact antenna test ranges. State-of-the art survey</t>
  </si>
  <si>
    <t>2-s2.0-0024717772</t>
  </si>
  <si>
    <t>['weighting factors', 'suggested algorithms', 'square error', 'problems associated', 'noise using', 'minimum mean', 'input process', 'covariant matrix', 'convergence rate', 'adaptation algorithms']</t>
  </si>
  <si>
    <t>Adaptation algorithms for multidimensional spatial filters are suggested, carrying out an estimation for the signal component received in a mixture with noise using the criterion of a minimum mean-square error. It is shown that in order to determine the weighting factors of the filters it is sufficient to form an estimate of the matrix that is the inverse of the covariant matrix of the input process, and to use it as the basis in the adaptation algorithms. Problems associated with estimating the convergence rate of the suggested algorithms are discussed.</t>
  </si>
  <si>
    <t>117-122</t>
  </si>
  <si>
    <t>7006172620;7203003050;6505482882</t>
  </si>
  <si>
    <t>Shatalov, A. A.;Ponomarev, V. A.;Shagulin, I. V.</t>
  </si>
  <si>
    <t>Shatalov A.</t>
  </si>
  <si>
    <t>Adaptive algorithm of spatial Wiener filtering</t>
  </si>
  <si>
    <t>2-s2.0-0024718305</t>
  </si>
  <si>
    <t>['simplified form', 'shall study', 'separated variables', 'rectangular network', 'oriented parallel', 'determined successively', 'corresponding functional', 'cartesian system', 'antenna array']</t>
  </si>
  <si>
    <t>It is difficult to synthesize a multielement, two-dimensional, antenna array in the case when separation of variables is impossible. We shall study a two-dimensional antenna array consisting of linearly polarized radiators, placed at the nodes of a rectangular network, which is oriented parallel to the axes of a Cartesian system of coordinates. It is useful to have an approximate solution given in some simplified form. One such technique is to search for a solution in the form of the sum of terms with separated variables, in which each term is determined successively from the requirement that the corresponding functional be minimized. This technique is discussed.</t>
  </si>
  <si>
    <t>136-138</t>
  </si>
  <si>
    <t>Voytovich, N. N.</t>
  </si>
  <si>
    <t>Voytovich N.</t>
  </si>
  <si>
    <t>Synthesis of a two-dimensional antenna array with a generalized separation of variables</t>
  </si>
  <si>
    <t>2-s2.0-0024718497</t>
  </si>
  <si>
    <t>['test antenna', 'standard practice', 'spherical wave', 'plane wave', 'patterns computed', 'paper presents', 'oversized antennae', 'offset paraboloid', 'obtaining therefrom', 'near field', 'mac ).', 'fraunhofer criterion', 'far fields', 'duly respected', 'collimated beam', 'brief account', 'asymmetry based']</t>
  </si>
  <si>
    <t>Far fields of antenna with small physical dimensions can be measured in the microwave anechoic chambers (MAC). For oversized antennae, measurement of the near field in MAC and obtaining therefrom the far field via computational software has become a standard practice. However, a recent measurement system enables plane wave illumination of the test antenna by using a reflector for collimation. This scheme is called compact antenna test range (CATR) since it cuts down requirement on the range length drastically. This is in contradistinction with MAC where the Fraunhofer criterion is to be duly respected because in these the spherical wave is approximated as a plane wave by imposing a minimum distance criterion. In a CATR, an offset paraboloid is used to illuminate the test antenna by a collimated beam, as it eliminates aperture blockage. This paper presents a brief account of the near field measurement techniques and CATR. Patterns computed in the plane of symmetry and the plane of asymmetry based on the physical optics analysis for an offset paraboloid are presented.</t>
  </si>
  <si>
    <t>32-36</t>
  </si>
  <si>
    <t>Role of offset paraboloid in compact antenna test range</t>
  </si>
  <si>
    <t>2-s2.0-0024718643</t>
  </si>
  <si>
    <t>['relatively broad', 'radiated power', 'kwith k', 'derived experimentally', 'deposition profile', '8 ),', '65 m2']</t>
  </si>
  <si>
    <t>Electron temperature profile | Electron thermal diffusivity | Global wave code | ICRF heating | ICRF power deposition | Ray-tracing code</t>
  </si>
  <si>
    <t>In ICRF heating experiments the deposition profile of the rf power directly coupled with electrons has been derived experimentally, and the electron thermal diffusivity has been evaluated. The rf power delivered to electrons is estimated to be thatPe‚àº60% of the radiated power from antennas. It is found that the deposition profile is relatively broad (Prf,e(r)=Prf,e(0)(1-(r/a)2)kwith k=1.8), and this is interpreted in terms of characteristics of the mode-converted ion Bernstein wave. With the deposition profile experimentally obtained, the electron thermal diffusivity œáehas been calculated, resulting in œáe‚àº0.65 m2/s at e=9√ó1019m-3. ¬© 1989 IOP Publishing Ltd.</t>
  </si>
  <si>
    <t>1468-1473</t>
  </si>
  <si>
    <t>8R</t>
  </si>
  <si>
    <t>60000264;60000264;60000264;60000264;60000264;60000264;60000264;60000264;60000264;60000264;60000264;60000264;60000264;60000264;60000264;60000264;60000264;60000264;60000264;60000264</t>
  </si>
  <si>
    <t>7404051215;7007043532;56353825200;7004968569;7003514502;7402168313;7102200764;7006319125;7402614699;57190193883;7003978354;7201723650;57213468968;7202781865;55664722000;57082283400;55706124400;7004717562;57082173700;7005809565</t>
  </si>
  <si>
    <t>Ogawa, Yuichi;Ando, Ritoku;Kako, Eiji;Kawahata, Kazuo;Kawasumi, Yoshiaki;Morita, Shigeru;Watari, Tetsuo;Akiyama, Ryuichi;Hamada, Yasuji;Hirokura, Satoru;Masai, Kuniaki;Matsuoka, Keisuke;Mohri, Akihiro;Noda, Nobuaki;Ogawa, Isamu;Ohkubo, Kunizo;Sato, Kuninori;Tanahashi, Shugo;Taniguchi, Yoshiyuki;Toi, Kazuo</t>
  </si>
  <si>
    <t>Ogawa Y.</t>
  </si>
  <si>
    <t>Experimental study on the deposition profile of the icrf power and electron thermal diffusivity</t>
  </si>
  <si>
    <t>10.1143/JJAP.28.1468</t>
  </si>
  <si>
    <t>2-s2.0-0024719114</t>
  </si>
  <si>
    <t>['useful signals', 'specific calculations', 'receiving elements', 'limited number', 'internal noise', 'calculation routines', 'antenna array']</t>
  </si>
  <si>
    <t>The problem of adapting multielement antenna arrays (MAA) for maximum adaptation coefficient over a limited number of calculation routines (a limited time interval) is examined. The problem is solved by dividing the MAA into adaptive antenna subarrays (AS). The useful signals in this case will be received against a background of the internal noise of the channels of the receiving elements of the antenna array and external statistically independent interference. Results of specific calculations are given.</t>
  </si>
  <si>
    <t>36-44</t>
  </si>
  <si>
    <t>6603302716;6504621821</t>
  </si>
  <si>
    <t>Mar'in, N. P.;Pachikov, D. M.</t>
  </si>
  <si>
    <t>Mar'in N.</t>
  </si>
  <si>
    <t>Analysis of the directional characteristic of an antenna array consisting of adaptive subarrays</t>
  </si>
  <si>
    <t>2-s2.0-0024719375</t>
  </si>
  <si>
    <t>['weibull distributions', 'weibull distribution', 'random process', 'parameter adaptation', 'paper analyzes', 'nonstationary interference', 'noise immunity', 'nakagami distribution', 'mathematical modeling', 'basis distribution', 'additive mixture']</t>
  </si>
  <si>
    <t>This paper analyzes the stability and noise immunity of a two-parameter adaptive sequential detector which employs a Weibull distribution as the basis distribution in conditions of interference with a Nakagami distribution, an additive mixture of interference with Rayleigh and Weibull distributions and nonstationary interference in the form of a random process with a Rayleigh envelope distribution and a binomially varying power level. The results of mathematical modeling are given and the effectiveness of two-parameter adaptation is demonstrated.</t>
  </si>
  <si>
    <t>31-36</t>
  </si>
  <si>
    <t>7006805029;6603419853</t>
  </si>
  <si>
    <t>Vlasov, I. B.;Parshchikova, L. N.</t>
  </si>
  <si>
    <t>Vlasov I.</t>
  </si>
  <si>
    <t>Two-parameter adaptation in sequential signal detection on a background of interference with an unknown distribution law</t>
  </si>
  <si>
    <t>2-s2.0-0024719835</t>
  </si>
  <si>
    <t>R01GM032715</t>
  </si>
  <si>
    <t>['¬© 1989', 'water oxidation', 'tyrd +.', 'transport chain', 'thermal denaturation', 'superoxide dismutase', 'solubility properties', 'several proteins', 'rights reserved', 'results suggest', 'purification procedures', 'psii membranes', 'psii core', 'psii complex', 'provides information', 'photosystem ii', 'peaks b', 'peak c', 'particular proteins', 'oxidizing apparatus', 'mn complex', 'membrane protein', 'may explain', 'may enable', 'low chloride', 'known instability', 'involves peroxide', 'hydroxide ions', 'highly oxidizing', 'high ph', 'heat denaturation', 'future development', 'functional units', 'epr experiments', 'elevated temperatures', 'component essential', 'component critical', 'biochemistry 25', 'becomes accessible', 'b peak', 'aqueous phase', 'active site', 'a2 peak']</t>
  </si>
  <si>
    <t>The thermal denaturation of the photosystem II (PSII) membrane protein complex is investigated by assigning the endothermic transitions observed by differential scanning calorimetry (DSC) to the denaturation of particular proteins of the PSII complex. In a prior DSC study of PSII membranes [Thompson, L. K., Sturtevant, J. M., &amp; Brudvig, G. W. (1986) Biochemistry 25, 6161], five DSC peaks were observed in the 30-70 ¬∞C temperature range (A1, A2, B, C, and D). The A2 peak was assigned to denaturation of a component essential for water oxidation and the B peak to denaturation of a component critical to the remainder of the electron-transport chain. We have now extended these studies with thermal gel analysis and electron paramagnetic resonance (EPR) measurements. Thermal gel analysis, a technique which relies on a change in the solubility properties of a membrane protein upon denaturation, has been used to determine the temperatures of denaturation of all of the major membrane proteins of the PSII complex. EPR experiments have been used to monitor chlorophyll photooxidation and the stability of TyrD+. Peaks B, C, and D in the DSC denaturation profile are each assigned to the denaturaation of several proteins, which provides information on the organization of the PSII complex into structural and functional units. Peak B corresponds to the denaturation of peripheral core proteins and closely associated antenna proteins, peak C to the PSII core, and peak D to the loosely associated antenna proteins. No membrane protein is observed to denature during the A2 peak. The A2 peak is altered by the presence of catalase, superoxide dismutase, low chloride, and high pH. These results suggest that the abnormally sharp A2 peak occurs when the highly oxidizing, sequestered Mn complex (the active site in water oxidation) becomes accessible to the aqueous phase, at elevated temperatures. We propose a mechanism for the reaction of the Mn complex with hydroxide ions, which involves peroxide or superoxide and results in the reduction and release of Mn. The proposed model provides insight into the well-known instability of the Mn complex and the role of chloride in stabilizing the complex. This may enable the future development of purification procedures and may explain the sensitivity of the water-oxidizing apparatus of PSII to heat denaturation. ¬© 1989, American Chemical Society. All rights reserved.</t>
  </si>
  <si>
    <t>6686-6695</t>
  </si>
  <si>
    <t>60005455;60005455;60005455;60005455</t>
  </si>
  <si>
    <t>57202560675;7005148355;7102877112;54790507700</t>
  </si>
  <si>
    <t>Thompson, Lynmarie K.;Blaylock, Richard;Sturtevant, Julian M.;Brudvig, Gary W.</t>
  </si>
  <si>
    <t>Yale University</t>
  </si>
  <si>
    <t>Thompson L.</t>
  </si>
  <si>
    <t>Molecular Basis of the Heat Denaturation of Photosystem II</t>
  </si>
  <si>
    <t>10.1021/bi00442a023</t>
  </si>
  <si>
    <t>2-s2.0-0024964924</t>
  </si>
  <si>
    <t>['receiver exhibits', 'mauna kea', 'excellent response', 'bandwidth centered', 'backshort tuner', 'approximately 3', 'ambient temperature', '500 mhz']</t>
  </si>
  <si>
    <t>submillimeter wavelength | superconductor insulator superconductor tunnel junction | two tuner mixer</t>
  </si>
  <si>
    <t>A 345GHz superconductor insulator superconductor (SIS) tunnel junction receiver utilizing a full height rectangular waveguide mixer with two tuning elements, i.e. an E-plane and backshort tuner, has been constructed and installed on the Caltech Submillimeter Observatory 10m antenna on Mauna Kea, Hawaii. The receiver exhibits a best double side-band noise temperature response of 150K¬±20K (averaged over a 500 MHz IF bandwidth centered at 1.5GHz) at a design center frequency of 345GHz and at an ambient temperature of approximately 3.8K. Additional measurements show that the receiver has an excellent response at selected points within an RF input range of 280 to 363GHz. ¬© 1989 Plenum Publishing Corporation.</t>
  </si>
  <si>
    <t>937-947</t>
  </si>
  <si>
    <t>60031581;60031581;60031581;;60021378</t>
  </si>
  <si>
    <t>7004091309;36861780500;6603049194;7004646943;7501584507</t>
  </si>
  <si>
    <t>Ellison, B. N.;Schaffer, P. L.;Schaal, W.;Vail, D.;Miller, R. E.</t>
  </si>
  <si>
    <t>Pasadena;Murray</t>
  </si>
  <si>
    <t>California Institute of Technology;Nokia Bell Labs</t>
  </si>
  <si>
    <t>60031581;60021378</t>
  </si>
  <si>
    <t>Ellison B.</t>
  </si>
  <si>
    <t>A 345GHz SIS receiver for radio astronomy</t>
  </si>
  <si>
    <t>10.1007/BF01010390</t>
  </si>
  <si>
    <t>2-s2.0-33645006019</t>
  </si>
  <si>
    <t>740-744</t>
  </si>
  <si>
    <t>16448437600;9533398900</t>
  </si>
  <si>
    <t>Mints, M. Ya;Prilepskii, E. D.</t>
  </si>
  <si>
    <t>Maximum linear-antenna gain with a limitation on the current amplitude</t>
  </si>
  <si>
    <t>10.1007/BF01060008</t>
  </si>
  <si>
    <t>2-s2.0-34249959358</t>
  </si>
  <si>
    <t>['two photosystems', 'strongly quenched', 'state 2', 'slow quenching', 'reversible changes', 'regulated distribution', 'ps1 respectively', 'preferential excitation', 'likely associated', 'light intensity', 'light 1', 'fucoxanthin pigment', 'fluorescence followed', 'excitation energy', 'directly correlated', 'data indicate', 'danica undergoes', '700 nm', '640 nm', '6 w', '500 nm', '5 min', '1 œºmol']</t>
  </si>
  <si>
    <t>chromophytes | excitation energy | fucoxanthin | light harvesting complex | Ochromonas danica | state transitions</t>
  </si>
  <si>
    <t>A chlorophyll a, c-fucoxanthin pigment-protein complex8 functions as the major light harvesting antenna in the Chrysophyte Ochromonas danica. The regulated distribution of excitation energy between the two photosystems was investigated in these organisms and was shown to be strongly wavelength dependent. A light state transition was induced by pre-illumination of cells using light 2 (640 nm) and light 1 (700 nm) of equal absorbed intensity, and detected by reversible changes in the 77 K chlorophyll fluorescence emission spectra. Peaks at ‚àº 690 nm and ‚àº 720 nm in the low temperature spectra are most likely associated with PS2 and PS1 respectively. A room temperature fluorescence emission at 680 nm induced by modulated light 2 (500 nm) was strongly quenched in the presence of background light 1 (720 nm). Removal of light 1 led to an increase in fluorescence followed by a slow quenching. The room temperature fluorescence changes were directly correlated with changes in the 77 K emission spectra that indicated a change in the distribution of excitation energy between the two photosystems. It was established that DCMU (1 Œºmol) prevented the state 2. The conversion to state 1 followed a simple photochemical dose dependence and had a half-time of 20 s-1.5 min at 6 W m-2. In contrast, the conversion to state 2 was independent of light intensity. These data indicate that O. danica undergoes a light state transition in response to the preferential excitation of PS2 or PS1. ¬© 1989 Kluwer Academic Publishers.</t>
  </si>
  <si>
    <t>81-91</t>
  </si>
  <si>
    <t>7103115116;7005845761</t>
  </si>
  <si>
    <t>Gibbs, Pamela B.;Biggins, John</t>
  </si>
  <si>
    <t>Gibbs P.</t>
  </si>
  <si>
    <t>Regulation of the distribution of excitation energy in Ochromonas danica, an organism containing a chlorophyll-A/C/carotenoid light harvesting antenna</t>
  </si>
  <si>
    <t>10.1007/BF00033362</t>
  </si>
  <si>
    <t>2-s2.0-34249965951</t>
  </si>
  <si>
    <t>['¬© 1989', 'rights reserved', 'return loss', 'resonant frequencies', 'rectangular notch', 'polarisation planes', 'experimentally investigated', 'electrical engineers']</t>
  </si>
  <si>
    <t>Antennas | Microstrip | Polarisation</t>
  </si>
  <si>
    <t>A dual-frequency antenna consisting of a square microstrip patch with a rectangular notch is experimentally investigated. The resonant frequencies and return loss are shown as a function of the rectangular notch depth. The radiation patterns show that the polarisation planes at the first and second resonant frequencies are perpendicular to each other. ¬© 1989, The Institution of Electrical Engineers. All rights reserved.</t>
  </si>
  <si>
    <t>1067-1068</t>
  </si>
  <si>
    <t>60030526;60030526</t>
  </si>
  <si>
    <t>55633340100;6506818591</t>
  </si>
  <si>
    <t>Nakano, H.;Vichien, K.</t>
  </si>
  <si>
    <t>Dual-Frequency Square Patch Antenna With Rectangular Notch</t>
  </si>
  <si>
    <t>10.1049/el:19890714</t>
  </si>
  <si>
    <t>2-s2.0-0024960603</t>
  </si>
  <si>
    <t>['¬© 1989', 'rights reserved', 'radar visibility', 'radar cross', 'microstrip antennas', 'microstrip antenna', 'ferrite substrate', 'electrical engineers', 'effect offers', 'calculated results']</t>
  </si>
  <si>
    <t>Antennas | Ferrites | Microstrip | Radar cross-sections</t>
  </si>
  <si>
    <t>Calculated results for the radar cross-section of a microstrip antenna on a ferrite substrate are presented, and it is shown that the peaks in the RCS can be moved with respect to frequency by changing the magnetic bias field. This effect offers a way of minimising the radar visibility of microstrip antennas and arrays. ¬© 1989, The Institution of Electrical Engineers. All rights reserved.</t>
  </si>
  <si>
    <t>1079-1080</t>
  </si>
  <si>
    <t>Pozar, D. M.</t>
  </si>
  <si>
    <t>Pozar D.</t>
  </si>
  <si>
    <t>Radar Cross-Section of Microstrip Antenna on Normally Biased Ferrite Substrate</t>
  </si>
  <si>
    <t>10.1049/el:19890722</t>
  </si>
  <si>
    <t>2-s2.0-0024960615</t>
  </si>
  <si>
    <t>['¬© 1989', 'various lengths', 'rights reserved', 'radiation properties', 'electromagnetic analysis', 'electrical engineers']</t>
  </si>
  <si>
    <t>Antenna radiation patterns | EM field theory | EM waves</t>
  </si>
  <si>
    <t>The electromagnetic analysis for a new radiating structure composed of a strip and a slot is presented. Radiation properties have been investigated for various lengths of the slot and the strip, and for the distance between them. ¬© 1989, The Institution of Electrical Engineers. All rights reserved.</t>
  </si>
  <si>
    <t>1092-1094</t>
  </si>
  <si>
    <t>60013682;60013682</t>
  </si>
  <si>
    <t>55232035000;56329991300</t>
  </si>
  <si>
    <t>Hur, J.;Lee, C. W.</t>
  </si>
  <si>
    <t>Seoul</t>
  </si>
  <si>
    <t>Seoul National University</t>
  </si>
  <si>
    <t>Hur J.</t>
  </si>
  <si>
    <t>Effects of Conducting Strip Located in Front of Radiating Slot</t>
  </si>
  <si>
    <t>10.1049/el:19890731</t>
  </si>
  <si>
    <t>2-s2.0-0024960618</t>
  </si>
  <si>
    <t>['¬© 1989', 'signal subspace', 'rights reserved', 'optimal characteristic', 'linear combination', 'electrical engineers', 'desired signal']</t>
  </si>
  <si>
    <t>Antenna arrays | Eigenvalues | Signal processing</t>
  </si>
  <si>
    <t>A signal subspace method, in which the weights of the array are determined by a linear combination of the eigenvectors of signal subspace, is proposed. In the method, the degree of freedom (DOF) is reduced so as not to cancel the desired signal while preserving the optimal characteristic of the array. Hence, the proposed method improves the performance of a beam-steered array noticeably when there exist steering errors. ¬© 1989, The Institution of Electrical Engineers. All rights reserved.</t>
  </si>
  <si>
    <t>1076-1077</t>
  </si>
  <si>
    <t>57211891269;56796471200</t>
  </si>
  <si>
    <t>Kim, J. W.;Un, C. K.</t>
  </si>
  <si>
    <t>Kim J.W.</t>
  </si>
  <si>
    <t>Signal Subspace Method for Beam-Steered Adaptive Arrays</t>
  </si>
  <si>
    <t>10.1049/el:19890720</t>
  </si>
  <si>
    <t>2-s2.0-0024960631</t>
  </si>
  <si>
    <t>['¬ µm', 'typically suffer', 'sun radiation', 'receiver antenna', 'noise ratio', 'homodyne receivers', 'derive expressions', 'background radiation', '15 db']</t>
  </si>
  <si>
    <t>In free space optical data transmission systems illumination of the receiver antenna by background radiation will decrease the signal to noise ratio. We derive expressions for that degradation both for direct and for heterodyne/homodyne receivers. Examples are given for cases where the sun, the moon, the earth, and Venus illuminate earth orbiting receivers operating at wavelengths of 0.85 ¬µm,1.3, ¬µm, and 10.6 ¬µm. Direct detection receivers will typically suffer a degradation of between 5 and 15 dB at Œª= 0.85 ¬µm and Œª = 1.3 ¬µm when illuminated by the sun. Heterodyne/homodyne receivers at 10.6 ¬µm degrade more with sun radiation (typically 4 dB) than at the smaller wavelengths (‚âà0.3 dB). The moon, earth, and Venus cause negligible reduction of signal to noise ratio. ¬© 1989 Optical Society of America.</t>
  </si>
  <si>
    <t>3443-3449</t>
  </si>
  <si>
    <t>1559128X</t>
  </si>
  <si>
    <t>Applied Optics</t>
  </si>
  <si>
    <t>Leeb, Walter R.</t>
  </si>
  <si>
    <t>Vienna</t>
  </si>
  <si>
    <t>Technische Universit√§t Wien</t>
  </si>
  <si>
    <t>Leeb W.</t>
  </si>
  <si>
    <t>Degradation of signal to noise ratio in optical free space data links due to background illumination</t>
  </si>
  <si>
    <t>10.1364/AO.28.003443</t>
  </si>
  <si>
    <t>2-s2.0-84975589699</t>
  </si>
  <si>
    <t>['¬© 1989', 'small 5', 'rights reserved', 'planar module', 'low profile', 'electrical engineers', 'beamforming network', 'beam array']</t>
  </si>
  <si>
    <t>Antenna arrays | Antennas | Microstrip | Mobile radio systems</t>
  </si>
  <si>
    <t>A novel multiple beam microstrip antenna is described in which the beamforming network and array are combined into a planar module. Results for a small 5-beam array are given that illustrate the action and indicate typical performance. The beamformer's low profile and low loss potential are attractive features applicable to modern communication terminals. ¬© 1989, The Institution of Electrical Engineers. All rights reserved.</t>
  </si>
  <si>
    <t>1149-1150</t>
  </si>
  <si>
    <t>60009658;60009658</t>
  </si>
  <si>
    <t>56636089400;57213425197</t>
  </si>
  <si>
    <t>Vetterlein, S. J.;Hall, P. S.</t>
  </si>
  <si>
    <t>Vetterlein S.</t>
  </si>
  <si>
    <t>Novel multiple beam microstrip patch array with integrated beamformer</t>
  </si>
  <si>
    <t>10.1049/el:19890771</t>
  </si>
  <si>
    <t>2-s2.0-0024714273</t>
  </si>
  <si>
    <t>['¬© 1989', 'rights reserved', 'pol discrimination', 'new type', 'maximum gain', 'input vswr', 'frequency range', 'electrical engineers', 'cpla ).', '40 degrees', '10 db']</t>
  </si>
  <si>
    <t>Antenna radiation patterns | Antennas | Polarisation</t>
  </si>
  <si>
    <t>A new type of low-profile antenna arrangement is introduced for producing an omnidirectional conical pattern of circularly polarised radiation, and named the combined polygonal loop antenna (CPLA). The maximum gain of 4dBi is obtained at about 40 degrees off broadside, where cross-pol discrimination is more than 10 dB. Over a frequency range of 16% the radiation pattern remains almost unchanged and the input VSWR is lower than 2.0. ¬© 1989, The Institution of Electrical Engineers. All rights reserved.</t>
  </si>
  <si>
    <t>1141-1142</t>
  </si>
  <si>
    <t>60018352;60018352</t>
  </si>
  <si>
    <t>7202863472;57198911589</t>
  </si>
  <si>
    <t>Cai, M.;Ito, M.</t>
  </si>
  <si>
    <t>Nagaoka</t>
  </si>
  <si>
    <t>Nagaoka University of Technology</t>
  </si>
  <si>
    <t>Cai M.</t>
  </si>
  <si>
    <t>Combined polygonal loop antenna with circularly polarised conical pattern</t>
  </si>
  <si>
    <t>10.1049/el:19890766</t>
  </si>
  <si>
    <t>2-s2.0-0024714465</t>
  </si>
  <si>
    <t>['¬© 1989', 'waveguide simulator', 'rights reserved', 'new type', 'microstrip antennas', 'measurements using', 'electrical engineers', 'coupling apertures', 'back arrays']</t>
  </si>
  <si>
    <t>Antenna arrays | Antennas | Microstrip | Radar cross-sections</t>
  </si>
  <si>
    <t>A new type of frequency-selective surface using aperture-coupled microstrip patches is described. The geometry uses two back-to-back arrays of microstrip antennas with coupling apertures in the common ground plane, and provides a, narrow passband response that may be useful for radome and RCS reduction applications. Calculated results demonstrate the operation of the structure, and are verified with measurements using a waveguide simulator. ¬© 1989, The Institution of Electrical Engineers. All rights reserved.</t>
  </si>
  <si>
    <t>1136-1138</t>
  </si>
  <si>
    <t>6701438680;7006061921</t>
  </si>
  <si>
    <t>Pous, R.;Pozar, D. M.</t>
  </si>
  <si>
    <t>Pous R.</t>
  </si>
  <si>
    <t>Frequency-selective surface using aperture-coupled microstrip patches</t>
  </si>
  <si>
    <t>10.1049/el:19890763</t>
  </si>
  <si>
    <t>2-s2.0-0024715608</t>
  </si>
  <si>
    <t>['¬© 1989', 'rights reserved', 'investigated experimentally', 'input impedance', 'electrical engineers', 'different materials', 'dielectric resonators']</t>
  </si>
  <si>
    <t>Antennas | Dielectrics | Resonators</t>
  </si>
  <si>
    <t>The input impedance of stacked cylindrical dielectric resonator antennas is investigated experimentally. The dielectric resonators are made of different materials. The bandwidth of 25% has been observed for a standing wave ratio better than 2. ¬© 1989, The Institution of Electrical Engineers. All rights reserved.</t>
  </si>
  <si>
    <t>1232-1233</t>
  </si>
  <si>
    <t>7004922524;7202790771;7006201067</t>
  </si>
  <si>
    <t>Kishk, A. A.;Ahn, B.;Kajfez, D.</t>
  </si>
  <si>
    <t>Broadband Stacked Dielectric Resonator Antennas</t>
  </si>
  <si>
    <t>10.1049/el:19890826</t>
  </si>
  <si>
    <t>2-s2.0-0024716872</t>
  </si>
  <si>
    <t>['¬© 1989', 'unidirectional beam', 'triplate line', 'rights reserved', 'linear polarisation', 'experimentally demonstrated', 'electrical engineers', 'antenna radiates', 'also shown']</t>
  </si>
  <si>
    <t>A dual-loop slot antenna consisting of two identical loops fed by a triplate line is proposed. It is experimentally demonstrated that the antenna radiates a unidirectional beam of linear polarisation. It is also shown that the generation of a circularly polarised wave is possible by adding perturbation elements to the loops. ¬© 1989, The Institution of Electrical Engineers. All rights reserved.</t>
  </si>
  <si>
    <t>1218-1219</t>
  </si>
  <si>
    <t>7403255155;55633340100</t>
  </si>
  <si>
    <t>Hirose, K.;Nakano, H.</t>
  </si>
  <si>
    <t>Hirose K.</t>
  </si>
  <si>
    <t>Dual-Loop Slot Antenna With Simple Feed</t>
  </si>
  <si>
    <t>10.1049/el:19890816</t>
  </si>
  <si>
    <t>2-s2.0-0024717291</t>
  </si>
  <si>
    <t>['¬© 1989', 'theoretical analyses', 'susceptance due', 'simple interpretation', 'rights reserved', 'resullts based', 'original analysis', 'moment method', 'letter presents', 'electrical engineers', 'cavity model']</t>
  </si>
  <si>
    <t>Antennas | Microstrip | Transmission lines</t>
  </si>
  <si>
    <t>The letter presents an original analysis of a slot-coupled microstrip antenna. The transmission line model uses previous expressions of conductance and susceptance due to the fringing fields near the edges of the patch; moreover, a simple interpretation of the different impedance transformations is given. Resullts based on the transmission line model are compared with other theoretical analyses (cavity model, moment method) and measurements. ¬© 1989, The Institution of Electrical Engineers. All rights reserved.</t>
  </si>
  <si>
    <t>1229-1230</t>
  </si>
  <si>
    <t>100815960;100815960;100815960</t>
  </si>
  <si>
    <t>7003723658;7202044329;7006272544</t>
  </si>
  <si>
    <t>Himdi, M.;Daniel, J. P.;Terret, C.</t>
  </si>
  <si>
    <t>Rennes</t>
  </si>
  <si>
    <t>Universit√© de Rennes</t>
  </si>
  <si>
    <t>Himdi M.</t>
  </si>
  <si>
    <t>Transmission Line Analysis Of Aperture-Coupled Microstrip Antenna</t>
  </si>
  <si>
    <t>10.1049/el:19890824</t>
  </si>
  <si>
    <t>2-s2.0-0024718437</t>
  </si>
  <si>
    <t>['¬© 1989', 'rights reserved', 'practical design', 'inner core', 'electrical engineers']</t>
  </si>
  <si>
    <t>Antennas | Dielectrics | Reflector antennas</t>
  </si>
  <si>
    <t>A practical design for supporting the inner core of a mm-wave dielectric loaded horn is described. It is shown that a good input impedance match, excellent radiation characteristics and high mechanical strength are attainable. ¬© 1989, The Institution of Electrical Engineers. All rights reserved.</t>
  </si>
  <si>
    <t>1248-1249</t>
  </si>
  <si>
    <t>Cahill, R.</t>
  </si>
  <si>
    <t>Cahill R.</t>
  </si>
  <si>
    <t>Design of Core Support Mechanism for mm-Wave Dielectrically Loaded Horn</t>
  </si>
  <si>
    <t>10.1049/el:19890837</t>
  </si>
  <si>
    <t>2-s2.0-0024718937</t>
  </si>
  <si>
    <t>['¬© 1989', 'waveguide aperture', 'wave action', 'selective surfaces', 'rights reserved', 'printed antennas', 'one fss', 'ground plane', 'electrical engineers', 'demonstrated experimentally', 'beamforming technique', 'beamforming action']</t>
  </si>
  <si>
    <t>Antenna arrays | Antennas | Microstrip | Waveguides</t>
  </si>
  <si>
    <t>The beamforming action of three planar frequency-selective surfaces (FSSs) placed in front of a waveguide aperture in a ground plane is demonstrated experimentally, together with the application to printed antennas. A simple ray theory illustrates the leaky-wave action for one FSS in position and the advantages and disadvantages of this beamforming technique are noted. ¬© 1989, The Institution of Electrical Engineers. All rights reserved.</t>
  </si>
  <si>
    <t>1209-1211</t>
  </si>
  <si>
    <t>7403018268;6504797528;6507848621;6602536785</t>
  </si>
  <si>
    <t>James, J. R.;Kinany, S. J.A.;Peel, P. D.;Andrasic, G.</t>
  </si>
  <si>
    <t>James J.</t>
  </si>
  <si>
    <t>Leaky-Wave Multiple Dichroic Beamformers</t>
  </si>
  <si>
    <t>10.1049/el:19890811</t>
  </si>
  <si>
    <t>2-s2.0-0024719622</t>
  </si>
  <si>
    <t>['¬© 1989', 'sensitivity provided', 'resonant antennas', 'recognizable correlation', 'mode operation', 'disk antenna', '200 hours']</t>
  </si>
  <si>
    <t>Multi-mode operation of resonant antennas for gravitational radiation improves their sensitivity provided that each mode is independent. We examined the correlation between the oscillations of two quadrupole modes in a disk antenna. The vibrations were observed for 200 hours and no recognizable correlation was found. ¬© 1989.</t>
  </si>
  <si>
    <t>457-460</t>
  </si>
  <si>
    <t>7102139718;7004058311</t>
  </si>
  <si>
    <t>Mizutani, Akihiko;Tsubono, Kimio</t>
  </si>
  <si>
    <t>Mizutani A.</t>
  </si>
  <si>
    <t>Coupling of vibration modes in a resonant antenna for gravitational radiation</t>
  </si>
  <si>
    <t>0375-9601(89)90945-6</t>
  </si>
  <si>
    <t>10.1016/0375-9601(89)90945-6</t>
  </si>
  <si>
    <t>2-s2.0-45349111896</t>
  </si>
  <si>
    <t>['¬© 1989', 'rights reserved', 'mm wavelengths', 'electrical engineers', 'dielectric core', 'crosspolar performance', 'careful design']</t>
  </si>
  <si>
    <t>The influence of a perturbed airgap cross-section on the crosspolar performance of a dielectric loaded conical horn is examined through a series of experiments at mm wavelengths. It is shown that by careful design the dielectric core can be separated from the horn wall without incurring significant additional depolarisation. ¬© 1989, The Institution of Electrical Engineers. All rights reserved.</t>
  </si>
  <si>
    <t>131-133</t>
  </si>
  <si>
    <t>Effect of Edge Region on Crosspolar Performance of mm-Wave Dielectric Core Horn</t>
  </si>
  <si>
    <t>10.1049/el:19890096</t>
  </si>
  <si>
    <t>2-s2.0-0024302040</t>
  </si>
  <si>
    <t>['¬© 1989', 'substantially affect', 'scatterers round', 'rights reserved', 'received levels', 'multipath transmission', 'modified model', 'electrical engineers', 'directivity characteristics', 'cellular systems', 'antennas used']</t>
  </si>
  <si>
    <t>Antennas | Mobile radio systems | Radiowave propagation</t>
  </si>
  <si>
    <t>Multipath transmission can substantially affect the directivity characteristics of antennas used in cellular systems. A simple propagation model consisting of a ring of scatterers round the mobile is considered. Calculations of the distribution of received levels in the minor lobe region are compared with measurements and a modified model is proposed. ¬© 1989, The Institution of Electrical Engineers. All rights reserved.</t>
  </si>
  <si>
    <t>110-111</t>
  </si>
  <si>
    <t>7801551626;7401857420</t>
  </si>
  <si>
    <t>Osta, M. J.;Hughes, C. J.</t>
  </si>
  <si>
    <t>Osta M.</t>
  </si>
  <si>
    <t>Directivity Characteristics of UHF Antennas Under Multipath Conditions</t>
  </si>
  <si>
    <t>10.1049/el:19890081</t>
  </si>
  <si>
    <t>2-s2.0-0024304221</t>
  </si>
  <si>
    <t>['¬© 1989', 'single reflector', 'rights reserved', 'reflector antennas', 'power applications', 'electrical engineers', 'dense array', 'closely spaced', 'array beam']</t>
  </si>
  <si>
    <t>Antennas | Beam waveguide | Cassegrain reflectors | Gaussian optics | Phase shifters | Phased arrays | Radioastronomy | Reflector antennas</t>
  </si>
  <si>
    <t>Very large antenna apertures, for radioastronomy and other purposes, can be achieved through the use of an array of reflector antennas. When the reflectors are closely spaced to form a dense array, the array beam can be steered (within the beamwidth of a single reflector) by connecting the reflectors through appropriate time delays or through phasers (phase shifters). TTie letter describes a method for providing phase shifts suitable for high-power applications. ¬© 1989, The Institution of Electrical Engineers. All rights reserved.</t>
  </si>
  <si>
    <t>100352408;101161949</t>
  </si>
  <si>
    <t>24512080300;6506453055</t>
  </si>
  <si>
    <t>Hansen, R. C.;Palaith, D.</t>
  </si>
  <si>
    <t>McLean/Washington, D.C.;Tarzana</t>
  </si>
  <si>
    <t>Quest Research Corporation;Consulting Engineer</t>
  </si>
  <si>
    <t>101161949;100352408</t>
  </si>
  <si>
    <t>Beam Waveguide Phaser for Array of Cassegrain Reflectors</t>
  </si>
  <si>
    <t>10.1049/el:19890072</t>
  </si>
  <si>
    <t>2-s2.0-0024304847</t>
  </si>
  <si>
    <t>['¬© 1989', 'significant reduction', 'rights reserved', 'proper phasing', 'negligible amount', 'lp elements', 'large arrays', 'gain due', 'element spacing', 'electrical engineers', 'diagonal planes', 'critical value', 'circularly polarised', 'array size', '7 wavelengths']</t>
  </si>
  <si>
    <t>Antenna arrays | Antennas | Microstrip</t>
  </si>
  <si>
    <t>The gain of circularly polarised (CP) array antennas realised by proper phasing of sequentially rotated linearly polarised (LP) elements is compared to that of arrays using CP elements and demonstrated by calculations for microstrip patch elements. When element spacing is large and array size is small, the advantages of LP elements are offset by the significant reduction in gain due to high cross polarised lobes in the diagonal planes. For large arrays of closely spaced elements, this gain loss reduces to a negligible amount. However, for spacings above a critical value of about 0-7 wavelengths, unacceptably high gain losses will be incurred. ¬© 1989, The Institution of Electrical Engineers. All rights reserved.</t>
  </si>
  <si>
    <t>124-125</t>
  </si>
  <si>
    <t>60009658;60009037;60031159;60031159</t>
  </si>
  <si>
    <t>57213425197;7408102852;6603600635;7003941584</t>
  </si>
  <si>
    <t>Hall, P. S.;Huang, J.;Rammos, E.;Roederer, A.</t>
  </si>
  <si>
    <t>Netherlands;United Kingdom;United States</t>
  </si>
  <si>
    <t>Noordwijk aan Zee;Swindon;Pasadena</t>
  </si>
  <si>
    <t>ESTEC - European Space Research and Technology Centre;Defence College of Management and Technology;Jet Propulsion Laboratory</t>
  </si>
  <si>
    <t>60031159;60009658;60009037</t>
  </si>
  <si>
    <t>Gain of Circularly Polarised Arrays Composed of Linearly Polarised Elements</t>
  </si>
  <si>
    <t>10.1049/el:19890091</t>
  </si>
  <si>
    <t>2-s2.0-0024305260</t>
  </si>
  <si>
    <t>['¬© 1989', 'tripole fss', 'transmission response', 'tm incidence', 'surface using', 'rights reserved', 'reflection resonance', 'electrical engineers', 'dimensional version', '70 ¬∞', '0 ¬∞']</t>
  </si>
  <si>
    <t>Antennas | Dielectrics | EM waves</t>
  </si>
  <si>
    <t>The stability of the transmission response of a tripole FSS as the angle of incidence is increased from 0¬∞ to 70¬∞ is compared with that for a surface using a three-dimensional version of the element, a calthrop. For TM incidence the drift in frequency of the reflection resonance is 10% for the tripole, but only 2¬∑5% for the calthrop. ¬© 1989, The Institution of Electrical Engineers. All rights reserved.</t>
  </si>
  <si>
    <t>284-285</t>
  </si>
  <si>
    <t>60010818;60010818;60010818;60010818</t>
  </si>
  <si>
    <t>57042632300;36789243500;7201840709;56020461500</t>
  </si>
  <si>
    <t>Musa, L.;Au, P. W.B.;Parker, E. A.;Langley, R. J.</t>
  </si>
  <si>
    <t>Sensitivity of Tripole and Calthrop FSS Reflection Bands to Angle of Incidence</t>
  </si>
  <si>
    <t>10.1049/el:19890197</t>
  </si>
  <si>
    <t>2-s2.0-0024607280</t>
  </si>
  <si>
    <t>['¬© 1989', 'rights reserved', 'good matching', 'electrical engineers', 'conventional square', 'coaxial feed', 'circular elements']</t>
  </si>
  <si>
    <t>We present a radiating element operating in the UHF and L-bands; its dimensions are smaller than those of conventional square or circular elements. For this type of antenna, good matching is obtained with a coaxial feed, and the omni-directional radiation pattern is achieved using linear polarisation. The bandwidth, however, remains somewhat narrow. ¬© 1989, The Institution of Electrical Engineers. All rights reserved.</t>
  </si>
  <si>
    <t>253-254</t>
  </si>
  <si>
    <t>60110693;60110693;118839966;118839966</t>
  </si>
  <si>
    <t>6602489960;7003385210;6602578752;6602503873</t>
  </si>
  <si>
    <t>Kossiavas, G.;Papiernik, A.;Boisset, J. P.;Sauvan, M.</t>
  </si>
  <si>
    <t>Nice;La Bocca</t>
  </si>
  <si>
    <t>Universit√© C√¥te d'Azur;A √© rospatiale</t>
  </si>
  <si>
    <t>60110693;118839966</t>
  </si>
  <si>
    <t>Kossiavas G.</t>
  </si>
  <si>
    <t>The C-Patch: A Small Microstrip Element</t>
  </si>
  <si>
    <t>10.1049/el:19890177</t>
  </si>
  <si>
    <t>2-s2.0-0024608737</t>
  </si>
  <si>
    <t>['¬© 1989', 'rights reserved', 'original analysis', 'moment method', 'microstrip antenna', 'letter presents', 'electrical engineers', 'cavity model', 'aperture coupling']</t>
  </si>
  <si>
    <t>The letter presents an original analysis of aperture coupling of a microstrip antenna. The theory is based on the cavity model, and results are compared with the moment method and measurement. ¬© 1989, The Institution of Electrical Engineers. All rights reserved.</t>
  </si>
  <si>
    <t>391-392</t>
  </si>
  <si>
    <t>60030553;60030553;60030553</t>
  </si>
  <si>
    <t>Universite de Rennes 1</t>
  </si>
  <si>
    <t>Analysis of Aperture-Coupled Microstrip Antenna Using Cavity Method</t>
  </si>
  <si>
    <t>10.1049/el:19890269</t>
  </si>
  <si>
    <t>2-s2.0-0024619861</t>
  </si>
  <si>
    <t>['¬© 1989', 'sodium styrenesulfonate', 'rights reserved', 'quite efficient', 'pna compounds', 'photochemical reactions', 'oxygen photooxidation', 'aqueous solutions']</t>
  </si>
  <si>
    <t>The solubilization and photochemical reactions of several polynuclear aromatic compounds (PNA) in aqueous solutions of poly(sodium styrenesulfonate-co-2-vinylnaphthalene) (PSSS-VN) have been studied. The solubilization of PNA compounds has been shown to be quite efficient in aqueous solutions of PSSS-VN. In the absence of oxygen, irradiation of the aqueous polymer solution containing anthracene led to the photosensitized dimerization reaction. In the presence of oxygen photooxidation of the PNA compounds involving singlet oxygen occurred. ¬© 1989, American Chemical Society. All rights reserved.</t>
  </si>
  <si>
    <t>2317-2324</t>
  </si>
  <si>
    <t>Macromolecules</t>
  </si>
  <si>
    <t>7004369519;15121540400;7102379256</t>
  </si>
  <si>
    <t>Nowakowska, M.;White, B.;Guillet, J. E.</t>
  </si>
  <si>
    <t>Nowakowska M.</t>
  </si>
  <si>
    <t>Studies of the Antenna Effect in Polymer Molecules. 12. Photochemical Reactions of Several Polynuclear Aromatic Compounds Solubilized in Aqueous Solutions of Poly(sodium styrenesulfonate-co-2-vinylnaphthalene)</t>
  </si>
  <si>
    <t>10.1021/ma00195a055</t>
  </si>
  <si>
    <t>2-s2.0-0024663580</t>
  </si>
  <si>
    <t>['¬© 1989', 'rights reserved', 'relative permittivities', 'form expression', 'electrical engineers', 'complete range']</t>
  </si>
  <si>
    <t>Antenna theory | Antennas | Microstrip | Surface phenomena</t>
  </si>
  <si>
    <t>In the letter a closed-form expression is presented for the space wave efficiency of rectangular microstrip antennas. This expression is derived from and compared to numerical results available in the literature. The expression is useful for substrates with relative permittivities between 1 and 12.8 and for the complete range of thicknesses normally used. ¬© 1989, The Institution of Electrical Engineers. All rights reserved.</t>
  </si>
  <si>
    <t>696-697</t>
  </si>
  <si>
    <t>60025063;60025063</t>
  </si>
  <si>
    <t>7005721326;7003998197</t>
  </si>
  <si>
    <t>Nauwelaers, B.;Van de Capelle, A.</t>
  </si>
  <si>
    <t>3000 Leuven</t>
  </si>
  <si>
    <t>KU Leuven</t>
  </si>
  <si>
    <t>Nauwelaers B.</t>
  </si>
  <si>
    <t>Surface Wave Losses of Rectangular Microstrip Antennas</t>
  </si>
  <si>
    <t>10.1049/el:19890471</t>
  </si>
  <si>
    <t>2-s2.0-0024668230</t>
  </si>
  <si>
    <t>['¬© 1989', 'surface duct', 'rights reserved', 'quantitative measure', 'fold increase', 'electrical engineers', 'ducted radiation', 'confinement factor', 'antenna situated']</t>
  </si>
  <si>
    <t>Antennas | Radiowave propagation</t>
  </si>
  <si>
    <t>A confinement factor is defined for the purpose of providing a quantitative measure of ducted radiation. It is shown that a five-fold increase in the confinement factor can result from the presence of an elevated m-inversion for an antenna situated above the surface duct and below the m-inversion. ¬© 1989, The Institution of Electrical Engineers. All rights reserved.</t>
  </si>
  <si>
    <t>748-750</t>
  </si>
  <si>
    <t>60009506;60009506;60009506</t>
  </si>
  <si>
    <t>6603817154;6701769703;7003646801</t>
  </si>
  <si>
    <t>Masoudi, H. M.;Jamid, H. A.;Al-Bader, S. J.</t>
  </si>
  <si>
    <t>Masoudi H.</t>
  </si>
  <si>
    <t>Effect of Elevated Tropospheric Layer on Radiowave Propagation in Surface Duct</t>
  </si>
  <si>
    <t>10.1049/el:19890506</t>
  </si>
  <si>
    <t>2-s2.0-0024668355</t>
  </si>
  <si>
    <t>A controlled-resolution radio image formation algorithm is proposed. The algorithm is resistant to noise and is designed for weak signal processing.</t>
  </si>
  <si>
    <t>73-75</t>
  </si>
  <si>
    <t>Kostylev, V. I.</t>
  </si>
  <si>
    <t>Kostylev V.</t>
  </si>
  <si>
    <t>Space-time processing of weak signals in controlled-resolution radio image formation</t>
  </si>
  <si>
    <t>2-s2.0-0024720786</t>
  </si>
  <si>
    <t>['calculations required']</t>
  </si>
  <si>
    <t>A new fast space-time signal processing algorithm is proposed for arrays undergoing substantial spatial movement. The calculations required for its implementation are estimated.</t>
  </si>
  <si>
    <t>63-65</t>
  </si>
  <si>
    <t>Gorban, I. I.</t>
  </si>
  <si>
    <t>Gorban I.</t>
  </si>
  <si>
    <t>Fast space-time signal processing for mobile arrays</t>
  </si>
  <si>
    <t>2-s2.0-0024720801</t>
  </si>
  <si>
    <t>['working frequencies', 'various distances', 'transmission route', 'suitable technologies', 'representations differ', 'reception point', 'real picture', 'propagation schemes', 'hinders selection', 'energy characteristics', 'distance routes', 'comparative effectiveness']</t>
  </si>
  <si>
    <t>Several representations currently exist concerning energy formation processes of decameter (DM) waves at various distances from a transmitter. These representations differ by their degrees of complexity and completeness in reflecting the real picture of radiowave propagation along a transmission route. Calculations of the energy characteristics of signals, carried out on the basis of a number of propagation schemes, yield unequal results, which hinders selection of the most suitable technologies and working frequencies. These difficulties, above all, pertain to radio broadcasting routes along which high-power transmitters operate and where highly directional antennas are used. An attempt is made in this paper to analyze several approaches in evaluating the comparative effectiveness of routine radio broadcasting transmitting antennas in terms of the field intensity produced by them at a reception point and to obtain certain concrete results of their use on medium and long-distance routes.</t>
  </si>
  <si>
    <t>Chernov, Yu A.</t>
  </si>
  <si>
    <t>Chernov Y.</t>
  </si>
  <si>
    <t>Field intensity along decameter routes for various transmitting antennas</t>
  </si>
  <si>
    <t>2-s2.0-0024721023</t>
  </si>
  <si>
    <t>['trigonometric equations', 'supplied us', 'run across', 'recent project', 'provide us', 'microstrip antenna', 'metallization pattern', 'make artwork', 'equations along', 'consultants specializing', 'complex shapes', 'client could', 'antenna pattern']</t>
  </si>
  <si>
    <t>As consultants specializing in producing precision masks for the chemical etching industry, we have run across some complex shapes. But a recent project to make artwork for a microstrip antenna was unique in that our client did not provide us with a drawing of the circuit. The client had developed a group of trigonometric equations that described his antenna's metallization pattern and supplied us the equations along with an input parameter list. In return the client wanted finished artwork for both documenting the design and etching the antenna pattern on a copper clad Teflon board. Our investment in CAD tools enabled us to do this job more efficiently than the client could do it in-house, or than other service bureaus could do it using manual methods.</t>
  </si>
  <si>
    <t>28-30</t>
  </si>
  <si>
    <t>Printed circuit design</t>
  </si>
  <si>
    <t>101195935;101195935</t>
  </si>
  <si>
    <t>7801627174;7003391999</t>
  </si>
  <si>
    <t>DiBartolomeo, Steve;Westwood, Barney</t>
  </si>
  <si>
    <t>Step Electronics Inc</t>
  </si>
  <si>
    <t>DiBartolomeo S.</t>
  </si>
  <si>
    <t>Photoplotting a microstrip antenna</t>
  </si>
  <si>
    <t>2-s2.0-0024731354</t>
  </si>
  <si>
    <t>['¬© 1989', 'theoretical analysis', 'power regime', 'plasma coupling', 'obtained qualitatively', 'numerical analysis', 'loading impedance', 'loading condition', 'linear theory', 'japan society', 'icrf waves', 'good agreement', 'experimental results', 'early experiments', 'cavity resonance', 'applied physics']</t>
  </si>
  <si>
    <t>Cavity resonance | Experimental results | ICRF antenna loaCing | JT-60 | Linear theory | Loading impedance | Second harmonic ICRF wave | Theoretical analyses</t>
  </si>
  <si>
    <t>A cavity resonance of ICRF fast wave was observed in early experiments on the second harmonic ICRF heating in JT-60. The purpose of these experiments was to confirm an antenna-plasma coupling. We discuss the loading impedance of ICRF waves in a linear theory, since the loading condition was in a low-power regime. The experimental results are compared with a numerical analysis of one-dimensional ICRF wave model. Good agreement between the experimental results and the theoretical analysis is obtained qualitatively. ¬© 1989 The Japan Society of Applied Physics.</t>
  </si>
  <si>
    <t>1708-1711</t>
  </si>
  <si>
    <t>9 R</t>
  </si>
  <si>
    <t>60015658;60015658;60015658;60015658;60018735;60015658;60015658</t>
  </si>
  <si>
    <t>7004717270;7005938557;7404269925;35352771100;35377951900;25624866400;7003355866</t>
  </si>
  <si>
    <t>Hamamatsu, Kiyotaka;Saigusa, Mikio;Kimura, Haruyuki;Fujii, Tsuneyuki;Kobayashi, Noriyuki;Ikeda, Yoshitaka;Azumi, Masafumi</t>
  </si>
  <si>
    <t>Tokyo;Kashiwa</t>
  </si>
  <si>
    <t>Toshiba Corporation;Japan Atomic Energy Agency</t>
  </si>
  <si>
    <t>60018735;60015658</t>
  </si>
  <si>
    <t>Hamamatsu K.</t>
  </si>
  <si>
    <t>Comparison between theoretical analyses and experimental results of an icrf loading in jt-60</t>
  </si>
  <si>
    <t>10.1143/JJAP.28.1708</t>
  </si>
  <si>
    <t>2-s2.0-0024733277</t>
  </si>
  <si>
    <t>University of Colorado</t>
  </si>
  <si>
    <t>CU</t>
  </si>
  <si>
    <t>['water vapor', 'heavy rain', 'h measured', 'ghz radiometer', 'equation relating', 'derived rainrate', 'also discussed', '150 mm']</t>
  </si>
  <si>
    <t>A remote sensing system is proposed for quantitative operational measurement of the amount of liquid per unit volume in heavy rain. In particular, a 6-GHz radiometer in conjunction with a 10-cm wavelength radar is discussed. An experimental example involving a discrete heavy rain cell with a derived rainrate of 150 mm/h measured by a 6-GHz radiometer/3-GHz radar combination is given. The effect of clear-air brightness temperatures, from oxygen and water vapor, on the 6-GHz radiometric rain measurements is analyzed, and an equation relating the 6-GHz brightness temperature from the rain to the radar backscattered power is derived. Design factors important in an operational observing system are also discussed.</t>
  </si>
  <si>
    <t>576-585</t>
  </si>
  <si>
    <t>Hogg, David C.</t>
  </si>
  <si>
    <t>Hogg D.</t>
  </si>
  <si>
    <t>Rain, radiometry, and radar</t>
  </si>
  <si>
    <t>10.1109/TGRS.1989.35940</t>
  </si>
  <si>
    <t>2-s2.0-0024733326</t>
  </si>
  <si>
    <t>['¬© 1989', 'rights reserved', 'operating bandwidths', 'numerical analysis', 'good agreement', 'experimental results', 'electrical engineers', 'based upon', 'axial ratio', '3db within', '20 %.']</t>
  </si>
  <si>
    <t>The development of a broadband, circularly polarised antenna is presented. The configuration is based upon a travelling-wave microstrip line antenna. The experimental results are in good agreement with the numerical analysis. The experimental measurements show pattern bandwidths of 10 to 16% with input impedance bandwidths greater than 20%. The axial ratio is less than 3dB within the operating bandwidths. ¬© 1989, The Institution of Electrical Engineers. All rights reserved.</t>
  </si>
  <si>
    <t>1407-1408</t>
  </si>
  <si>
    <t>60009697;60009697;60018714</t>
  </si>
  <si>
    <t>7005305020;8092251400;57027512900</t>
  </si>
  <si>
    <t>Roscoe, D.;Shafai, L.;Ittipiboon, A.</t>
  </si>
  <si>
    <t>Ottawa;Winnipeg</t>
  </si>
  <si>
    <t>Communications Research Centre;University of Manitoba</t>
  </si>
  <si>
    <t>60018714;60009697</t>
  </si>
  <si>
    <t>Roscoe D.</t>
  </si>
  <si>
    <t>Circularly Polarised Travelling-Wave Printed Line Antennas</t>
  </si>
  <si>
    <t>10.1049/el:19890941</t>
  </si>
  <si>
    <t>2-s2.0-0024733547</t>
  </si>
  <si>
    <t>['three methods', 'radiation problems', 'ptd ),', 'physical theory', 'parts solved', 'large class', 'incorporates mm', 'hybrid technique', 'hybrid mm', 'hybrid methods', 'gtd );', 'geometrical theory', 'function method', 'fock theory', 'complex scattering', 'complex radiator', 'asymptotic methods']</t>
  </si>
  <si>
    <t>Antenna | Asymptotic approximation | Geometric theory | Green function | Induced current | Mixed method | Moment method | Numerical method | Wave diffraction</t>
  </si>
  <si>
    <t>Hybrid methods are robust analysis tools for a large class of complex scattering and radiation problems not amenable to traditional classical methods. In the hybrid technique, a complex radiator is decomposed into parts solved by a combination of numerical and asymptotic methods. Three methods are reviewed here: the hybrid MM/Green's function method; the field-based hybrid method which combines the method of moments (MM) and the geometrical theory of diffraction (GTD); and the current-based hybrid method which incorporates MM, physical theory of diffraction (PTD), and the Fock theory. The domain of applicability of each method is illustrated with examples. ¬© 1989 Springer-Verlag.</t>
  </si>
  <si>
    <t>445-455</t>
  </si>
  <si>
    <t>Annales Des T√©l√©communications</t>
  </si>
  <si>
    <t>60030821;60030821</t>
  </si>
  <si>
    <t>7003286486;16485714400</t>
  </si>
  <si>
    <t>Medgyesi-Mitschang, Louis N.;Wang, Dau Sing Y.</t>
  </si>
  <si>
    <t>Medgyesi-Mitschang L.</t>
  </si>
  <si>
    <t>Review of hybrid methods on antenna theory</t>
  </si>
  <si>
    <t>10.1007/BF02995009</t>
  </si>
  <si>
    <t>2-s2.0-0024734258</t>
  </si>
  <si>
    <t>['¬© 1989', 'rights reserved', 'previous theoretical', 'predicted values', 'poynting theorem', 'input impedance', 'experimental results', 'electrical engineers', 'approach leads']</t>
  </si>
  <si>
    <t>Antennas | Microstrip | Modal analysis | Waveguides</t>
  </si>
  <si>
    <t>A modal field expansion technique together with the Poynting theorem are used to derive the input impedance of a slot-coupled microstrip antenna. The approach leads to easier and lower computational requirements. Predicted values of input impedance are compared with previous theoretical and experimental results. ¬© 1989, The Institution of Electrical Engineers. All rights reserved.</t>
  </si>
  <si>
    <t>1338-1340</t>
  </si>
  <si>
    <t>60018714;;</t>
  </si>
  <si>
    <t>57027512900;6507501502;35566584200</t>
  </si>
  <si>
    <t>Ittipiboon, A.;Oostlander, R.;Antar, Y. M.M.</t>
  </si>
  <si>
    <t>Ittipiboon A.</t>
  </si>
  <si>
    <t>Modal expansion method of analysis for slot-coupled microstrip antenna</t>
  </si>
  <si>
    <t>10.1049/el:19890894</t>
  </si>
  <si>
    <t>2-s2.0-0024735431</t>
  </si>
  <si>
    <t>['year r', 'past year', 'parabolic dish', 'go beyond', 'flat antenna', 'embedded within', 'electronic steerabilily', 'consumer product', 'comsat laboratories']</t>
  </si>
  <si>
    <t>COMSAT Laboratories and Matsushita Electric Works have developed a flat antenna as a consumer product. Initial market results in Japan, where the product has been available the past year, have been encouraging. Near term applications of the flat antenna for several new satellite systems in Europe are expected in 1989. Applications are foreseen in the U.S. and other countries. Matsushita and COMSAT are continuing a multi-year R&amp;D program for the flat antenna with emphasis on microwave integrated circuits that can be embedded within the flat antenna panel. The objective is to go beyond the present equivalent performance of the parabolic dish with improvements in the sensitivity and electronic steerabilily.</t>
  </si>
  <si>
    <t>Wells, Daniel R.</t>
  </si>
  <si>
    <t>Wells D.</t>
  </si>
  <si>
    <t>Flat antenna - now a reality</t>
  </si>
  <si>
    <t>2-s2.0-0024735722</t>
  </si>
  <si>
    <t>['surface currents', 'stratified structures', 'special functions', 'similar limit', 'practical analysis', 'mode term', 'microstrip structures', 'microstrip geometry', 'green functions', 'general form', 'expressions corresponding', 'exact expressions']</t>
  </si>
  <si>
    <t>Electromagnetism | Green function | Image method | Patch antenna | Stratified medium</t>
  </si>
  <si>
    <t>Exact image theory, applicable to the analysis of plane-stratified structures, is reviewed in general form and expressions corresponding to the microstrip geometry are given. It is seen that essential in this method is the calculation of two scalar Green functions, responsible for the effect of the geometry for the field. Exact expressions for these Green functions are found for the microstrip in terms of integrals of special functions. The Green functions are needed in the formulation of electric field integral equations for the surface currents of the microstrip. The Green functions are shown to possess the same type of singularity as the free-space Green function and also a similar limit when the distance grows larger, with the exception of a waveguide-mode term, which can be easily evaluated separately. Simple approximate expressions for the Green functions are evaluated, suitable for practical analysis of microstrip structures. ¬© 1989 Springer-Verlag.</t>
  </si>
  <si>
    <t>533-542</t>
  </si>
  <si>
    <t>60103653;60103653;60103653;60033191</t>
  </si>
  <si>
    <t>7102492958;7003588789;7004143659;6603076451</t>
  </si>
  <si>
    <t>Lindell, I. V.;Nikoskinen, K. I.;Alanen, E.;Hujanen, A. T.</t>
  </si>
  <si>
    <t>Finland;Finland</t>
  </si>
  <si>
    <t>Espoo;Espoo</t>
  </si>
  <si>
    <t>Aalto University;VTT Technical Research Centre of Finland</t>
  </si>
  <si>
    <t>60103653;60033191</t>
  </si>
  <si>
    <t>Lindell I.</t>
  </si>
  <si>
    <t>Scalar green function method for microstrip antenna analysis based on the exact image theory</t>
  </si>
  <si>
    <t>10.1007/BF02995018</t>
  </si>
  <si>
    <t>2-s2.0-0024736039</t>
  </si>
  <si>
    <t>['statistical signal', 'receiver antenna', 'orthogonal channels', 'obtain distributions', 'noise models', 'method described']</t>
  </si>
  <si>
    <t>The distribution of the polarization selection coefficient is investigated in the presence of normal partially polarized noise. Is assumed that the receiver antenna has two orthogonally polarized channels. The signal polarization coincides with the polarization of one of the orthogonal channels of the antenna. Based on the method described, one can obtain distributions of the polarization selection coefficient for other statistical signal and noise models.</t>
  </si>
  <si>
    <t>123-126</t>
  </si>
  <si>
    <t>Pozdnyak, S. I.</t>
  </si>
  <si>
    <t>Pozdnyak S.</t>
  </si>
  <si>
    <t>Distribution of the polarization selection coefficient of a signal in a background of noise</t>
  </si>
  <si>
    <t>2-s2.0-0024736242</t>
  </si>
  <si>
    <t>['transmission frequencies', 'theory demonstrating', 'theoretical results', 'measurements support', 'measurements presented', 'frequency selective', 'edge scattering', 'dielectric edges', 'dichroic surface', 'dichroic edges', 'calculating diffraction', 'also useful']</t>
  </si>
  <si>
    <t>Dichroism | Edge effect | Electromagnetic wave | Surface impedance | Wave diffraction</t>
  </si>
  <si>
    <t>This paper discusses experimental and theoretical results for edge scattering from dichroic (frequency selective) surfaces. Measurements presented for half planes show the nature of the scattering from the edge for both reflection and transmission frequencies. An impedance boundary condition approach is used to calculate the diffraction from dichroic edges. In the analysis the dichroic surface is replaced with an equivalent surface impedance and the total scattered field calculated. Measurements support the theory demonstrating the usefulness of the approach. The method is also useful for calculating diffraction from dielectric edges. ¬© 1989 Springer-Verlag.</t>
  </si>
  <si>
    <t>567-571</t>
  </si>
  <si>
    <t>60010818;60000990</t>
  </si>
  <si>
    <t>56020461500;6603921863</t>
  </si>
  <si>
    <t>Langley, R. J.;Shuley, N. V.</t>
  </si>
  <si>
    <t>United Kingdom;Sweden</t>
  </si>
  <si>
    <t>Canterbury;Gothenburg</t>
  </si>
  <si>
    <t>University of Kent;Chalmers University of Technology</t>
  </si>
  <si>
    <t>Langley R.</t>
  </si>
  <si>
    <t>A model for edge scattering from dichroic surfaces</t>
  </si>
  <si>
    <t>10.1007/BF02995023</t>
  </si>
  <si>
    <t>2-s2.0-0024738234</t>
  </si>
  <si>
    <t>['wave arrays', 'wave antennas', 'scannable millimeter', 'proper perspective', 'number due', 'new class', 'brief overview']</t>
  </si>
  <si>
    <t>This paper discusses several major new developments in millimeter-wave antennas, including a number due to the author and his colleagues. It begins with a brief overview of the millimeter-wave antenna field to place the subject in proper perspective. It then covers several important areas in which there has been significant recent progress, stressing those which involve new structures or new design concepts, including a new class-of scannable millimeter-wave arrays.</t>
  </si>
  <si>
    <t>491-505</t>
  </si>
  <si>
    <t>Oliner, Arthur A.</t>
  </si>
  <si>
    <t>Plainview</t>
  </si>
  <si>
    <t>Polytechnic Univ</t>
  </si>
  <si>
    <t>Oliner A.</t>
  </si>
  <si>
    <t>Recent developments in millimeter-wave antennas</t>
  </si>
  <si>
    <t>2-s2.0-0024738682</t>
  </si>
  <si>
    <t>['wide range', 'problems involved', 'microwave radiation', 'giving emphasis', 'gaining popularity', 'elevation angles', 'band character', '12 ghz']</t>
  </si>
  <si>
    <t>The Moon is gaining popularity as a source of microwave radiation of G/T measurements of satellite earth stations because of its high and predictable flux density, broad-band character and visibility over a wide range of elevation angles. This paper reviews existing results of measurements of the lunar flux density over the full microwave range, giving emphasis to the commercial satellite communication bands at 6/4 and 14/12 GHz and considers some problems involved in using these results for earth station measurements.</t>
  </si>
  <si>
    <t>92-101</t>
  </si>
  <si>
    <t>Journal of Electrical and Electronics Engineering, Australia</t>
  </si>
  <si>
    <t>Corkish, Richard P.</t>
  </si>
  <si>
    <t>CSIRO Industrial Physics</t>
  </si>
  <si>
    <t>Corkish R.</t>
  </si>
  <si>
    <t>Use of the moon in figure-of-merit measurements of satellite earth stations</t>
  </si>
  <si>
    <t>2-s2.0-0024739159</t>
  </si>
  <si>
    <t>['¬© 1989', 'two kinds', 'selective surfaces', 'rights reserved', 'reflection coefficients', 'phased arrays', 'ideal coaxial', 'electrical engineers']</t>
  </si>
  <si>
    <t>Antenna arrays | EM field theory | EM waves | Fourier transforms</t>
  </si>
  <si>
    <t>An iterative algorithm combining the fast Fourier transform (FFT) and the dielectric-slab Green function is presented and applied to the analysis of periodic structures used both as frequency-selective surfaces (FSSs) (or polarisers) or as phased arrays. Two kinds of excitation are considered in phased arrays: ideal coaxial and delta voltage sources. Results for reflection coefficients are given for applications of these structures. ¬© 1989, The Institution of Electrical Engineers. All rights reserved.</t>
  </si>
  <si>
    <t>1519-1520</t>
  </si>
  <si>
    <t>60009455;60009455</t>
  </si>
  <si>
    <t>56096002800;56040889900</t>
  </si>
  <si>
    <t>Cuevas, J. G.;Sierra, M.</t>
  </si>
  <si>
    <t>Cuevas J.G.</t>
  </si>
  <si>
    <t>Iterative Approach to Study of Plane Periodic Arrays in Microstrip Technology with Application to Scattering and Phased Arrays</t>
  </si>
  <si>
    <t>10.1049/el:19891020</t>
  </si>
  <si>
    <t>2-s2.0-0024752043</t>
  </si>
  <si>
    <t>['¬© 1989', 'within limits', 'well away', 'uk standards', 'transportable radiophone', 'rights reserved', 'radiation levels', 'prescribed limits', 'power transmissions', 'measurement results', 'irpa standards', 'exposure levels', 'electrical engineers', 'cellular telephones']</t>
  </si>
  <si>
    <t>Mobile radio systems | Radiation and radiation effects | Radiowave propagation | Telephony</t>
  </si>
  <si>
    <t>Measurement results of radio-frequency field strength from cellular telephones are reported. Transportable and handheld portable sets were used for the study, and their radiation levels were compared with the International Radiation Protection Agency (IRPA) and UK exposure standards as a function of distance for two operational environments. The hand-held portable set, which uses very low-power transmissions, was found to have radiation levels well within the prescribed limits. For the transportable radiophone, exposure levels are within limits for the UK standards, but are violated at certain points close to the antenna for IRPA standards. However, the position of the antenna in such telephones is well away from the user under normal operating conditions, where the radiation levels are well within limits. ¬© 1989, The Institution of Electrical Engineers. All rights reserved.</t>
  </si>
  <si>
    <t>1638-1640</t>
  </si>
  <si>
    <t>60021097;60021097</t>
  </si>
  <si>
    <t>7003787061;6603611053</t>
  </si>
  <si>
    <t>Butt, G.;Richharia, M.</t>
  </si>
  <si>
    <t>Butt G.</t>
  </si>
  <si>
    <t>Experimental Results of Radio-Frequency Radiation Measurements from Cellular Telephones</t>
  </si>
  <si>
    <t>10.1049/el:19891098</t>
  </si>
  <si>
    <t>2-s2.0-0024768114</t>
  </si>
  <si>
    <t>['¬© 1989', 'rights reserved', 'relations n', 'power n', 'excitation varies', 'electrical engineers', 'eim √∏', 'distance z', 'dissipative coating', 'conducting cylinder']</t>
  </si>
  <si>
    <t>Antenna theory | Antennas | EM waves</t>
  </si>
  <si>
    <t>It is shown that the asymptotic field near a conducting cylinder with a dissipative coating and circumferential delta source decreases as z-n with distance z from the source. When the excitation varies as eim√∏ with azimuthal angle √∏, the relations n = |m| (m‚â†0) and n=2 (m=0) determine the power n. ¬© 1989, The Institution of Electrical Engineers. All rights reserved.</t>
  </si>
  <si>
    <t>1657-1659</t>
  </si>
  <si>
    <t>Chalupa, J.</t>
  </si>
  <si>
    <t>Chalupa J.</t>
  </si>
  <si>
    <t>Asymptotic Surface Field of Slot Antenna on Coated Cylindrical Conductor</t>
  </si>
  <si>
    <t>10.1049/el:19891111</t>
  </si>
  <si>
    <t>2-s2.0-0024771632</t>
  </si>
  <si>
    <t>['¬© 1989', 'rights reserved', 'results show', 'frequencies near', 'electrical engineers', 'computed using']</t>
  </si>
  <si>
    <t>Antennas | EM waves | Frequency-selective surfaces</t>
  </si>
  <si>
    <t>Currents induced across a 20 √ó 5 dipole frequency selective surface have been computed using the iterative contrast source truncation technique. The results show the same nonuniform current distribution found earlier by the application of Pocklington's equation, particularly at frequencies near the surface reflection band. Edge effects extend to the centre of a 40 √ó 5 array. ¬© 1989, The Institution of Electrical Engineers. All rights reserved.</t>
  </si>
  <si>
    <t>221-222</t>
  </si>
  <si>
    <t>57023291700;7201840709</t>
  </si>
  <si>
    <t>Mokhtar, M. M.;Parker, E. A.</t>
  </si>
  <si>
    <t>Mokhtar M.</t>
  </si>
  <si>
    <t>Iterative Computation of Currents in Frequency-Selective Surfaces of Finite Size</t>
  </si>
  <si>
    <t>10.1049/el:19890158</t>
  </si>
  <si>
    <t>2-s2.0-0024959398</t>
  </si>
  <si>
    <t>['¬© 1989', 'rights reserved', 'phasedarray antennas', 'phase synchronisation', 'phase reference', 'loop optical', 'frequency tuning', 'frequency control', 'fibre network', 'electrical engineers']</t>
  </si>
  <si>
    <t>FETs | Microwave circuits and systems | Microwave oscillators | Optics</t>
  </si>
  <si>
    <t>Results are presented for a system combining optical injection locking and closed-loop optical-frequency tuning to achieve accurate phase and frequency control of a MESFET oscillator operating at 1¬∑3 GHz. The system might find application in the phase synchronisation of modules in phasedarray antennas, where the phase reference is distributed by an optical-fibre network. ¬© 1989, The Institution of Electrical Engineers. All rights reserved.</t>
  </si>
  <si>
    <t>359-360</t>
  </si>
  <si>
    <t>6507586374;7004751445</t>
  </si>
  <si>
    <t>Blanchflower, I. D.;Seeds, A. J.</t>
  </si>
  <si>
    <t>Blanchflower I.</t>
  </si>
  <si>
    <t>Optical Control of Frequency and Phase of GaAs MESFET Oscillator</t>
  </si>
  <si>
    <t>10.1049/el:19890249</t>
  </si>
  <si>
    <t>2-s2.0-0024959541</t>
  </si>
  <si>
    <t>['¬© 1989', 'time consuming', 'rights reserved', 'process may', 'large array', 'hastened considerably', 'electrical engineers', 'efficient approximation', 'design parameters']</t>
  </si>
  <si>
    <t>Antenna arrays | Antennas | Dipole antennas | Waveguides</t>
  </si>
  <si>
    <t>The task of computing mutual coupling effects between remotely separated elements in the design of a large array is time consuming; the process may be hastened considerably by employing a very efficient approximation to the ‚Äòmutual impedance‚Äô integral, without seriously compromising the design parameters of the array. ¬© 1989, The Institution of Electrical Engineers. All rights reserved.</t>
  </si>
  <si>
    <t>1711-1712</t>
  </si>
  <si>
    <t>Mahony, J. D.</t>
  </si>
  <si>
    <t>Borehamwood</t>
  </si>
  <si>
    <t>Marconi Defence Systems Ltd.</t>
  </si>
  <si>
    <t>Mahony J.</t>
  </si>
  <si>
    <t>Planar Array Design: Approximation to Mutual Impedance Between Two Remotely Spaced ‚ÄòHalf-Wavelength‚Äô Dipoles</t>
  </si>
  <si>
    <t>10.1049/el:19891144</t>
  </si>
  <si>
    <t>2-s2.0-0024964147</t>
  </si>
  <si>
    <t>['¬© 1989', 'side walls', 'rights reserved', 'leakage properties', 'leakage constant', 'element method', 'electrical engineers', 'calculate numerically']</t>
  </si>
  <si>
    <t>Dielectric waveguides | Planar antennas | Waveguides</t>
  </si>
  <si>
    <t>The leakage properties of dielectric image guides with periodic surface corrugations on their top or side walls are analysed. A finite-element method in conjunction with an improved perturbation technique is employed to calculate numerically the leakage constant of the lowest-order E11y mode. ¬© 1989, The Institution of Electrical Engineers. All rights reserved.</t>
  </si>
  <si>
    <t>1568-1569</t>
  </si>
  <si>
    <t>Matsumoto, M.</t>
  </si>
  <si>
    <t>Suita</t>
  </si>
  <si>
    <t>Osaka University</t>
  </si>
  <si>
    <t>Matsumoto M.</t>
  </si>
  <si>
    <t>Analysis of Leakage Properties of Periodic Dielectric Image Guides</t>
  </si>
  <si>
    <t>10.1049/el:19891053</t>
  </si>
  <si>
    <t>2-s2.0-0024965798</t>
  </si>
  <si>
    <t>['¬© 1989', 'tellurium microbolometers', 'te devices', 'te device', 'rights reserved', 'much larger', 'microbolometer detector', 'electrical engineers', 'comparable size', 'bi microbolometers']</t>
  </si>
  <si>
    <t>Antennas | Infra-red detectors | Measurement</t>
  </si>
  <si>
    <t>The properties of bismuth and tellurium microbolometers are presented. The TE devices are shown to have responsivities approximately 100 times that of the more conventional Bi microbolometers. The Te device impedance is, however, much larger than Bi microbolometers of comparable size. To our knowledge, the Te device has the highest responsivity yet reported for a microbolometer detector. ¬© 1989, The Institution of Electrical Engineers. All rights reserved.</t>
  </si>
  <si>
    <t>1558-1560</t>
  </si>
  <si>
    <t>7006258203;7006694199</t>
  </si>
  <si>
    <t>Wentworth, S. M.;Neikirk, D. P.</t>
  </si>
  <si>
    <t>Wentworth S.</t>
  </si>
  <si>
    <t>Far-infra-red microbolometers made with tellurium and bismuth</t>
  </si>
  <si>
    <t>10.1049/el:19891047</t>
  </si>
  <si>
    <t>2-s2.0-0024965837</t>
  </si>
  <si>
    <t>['wave antenna', 'strictly required', 'single one', 'rigorous approach', 'results obtained', 'results indicate', 'radiation intensity', 'radiation characteristics', 'highly results', 'great importance', 'extremely simplicity']</t>
  </si>
  <si>
    <t>The radiation characteristics of the double dielectric grating leaky-wave antenna are analyzed by the improved perturbation method. The results indicate that under the condition of the same radiation intensity, the double dielectric grating antenna has relatively smaller dimensions than that of the single one. It is undoubtly of great importance in the case that the limitation of the weight and volume of system is strictly required. The results obtained from this paper are compared with the exact solution based on the mode matching method. It is justified that the present perturbation procedure yields as highly results as the rigorous approach with extremely simplicity of the analysis and calculations. ¬© 1989 Plenum Publishing Corporation.</t>
  </si>
  <si>
    <t>1103-1119</t>
  </si>
  <si>
    <t>13614168600;55473311500</t>
  </si>
  <si>
    <t>Xu, Shanjia;Gao, Hong</t>
  </si>
  <si>
    <t>Xu S.</t>
  </si>
  <si>
    <t>Double dielectric grating leaky-wave antenna-improved perturbation analysis</t>
  </si>
  <si>
    <t>10.1007/BF01010369</t>
  </si>
  <si>
    <t>2-s2.0-34249972768</t>
  </si>
  <si>
    <t>['simple e', 'nrd guide', 'mounting structure', 'moderate gain']</t>
  </si>
  <si>
    <t>Dielectric Antenna | Millimeter Wave | NRD guide | polar diagram</t>
  </si>
  <si>
    <t>A simple E-plane tapered rectangular dielectric rod fed by NRD guide is used as a millimeter wave antenna. This class of aerial features attractive radiation patterns with relatively low sidelobes and moderate gain. The measured results show that such an antenna and mounting structure can be exploited as effective radiating element in the short millimeter wave frequency band. ¬© 1989 Plenum Publishing Corporation.</t>
  </si>
  <si>
    <t>1153-1163</t>
  </si>
  <si>
    <t>60001753;60001753;60001753</t>
  </si>
  <si>
    <t>7202716181;7005148075;7401514554</t>
  </si>
  <si>
    <t>Tong, C. E.;Blundell, R.;Carter, M.</t>
  </si>
  <si>
    <t>Saint Martin d'Heres</t>
  </si>
  <si>
    <t>IRAM Institut de RadioAstronomie Millim√©trique</t>
  </si>
  <si>
    <t>Tong C.</t>
  </si>
  <si>
    <t>An NRD fed dielectric rod antenna for the short millimeter wave band</t>
  </si>
  <si>
    <t>10.1007/BF01010373</t>
  </si>
  <si>
    <t>2-s2.0-34249976390</t>
  </si>
  <si>
    <t>['¬© 1989', 'total field', 'rights reserved', 'radiation pattern', 'measurement technique', 'electrical engineers', 'direct radiation', 'antenna mounted', 'also presented']</t>
  </si>
  <si>
    <t>Antenna radiation patterns | Antennas | Diffraction</t>
  </si>
  <si>
    <t>A measurement technique is introduced to simulate the radiation pattern of an antenna mounted on an infinite sized ground plane. The edge diffracted fields from a finite ground plane are measured and then subtracted from the total field to yield only the direct radiation from the antenna that would be present if the antenna were mounted on an infinitely large ground plane. Comparisons with theory are also presented. ¬© 1989, The Institution of Electrical Engineers. All rights reserved.</t>
  </si>
  <si>
    <t>Subtraction of Edge-Diffracted Fields in Antenna Radiation Patterns for Simulation of Infinite Ground Plane</t>
  </si>
  <si>
    <t>10.1049/el:19890470</t>
  </si>
  <si>
    <t>2-s2.0-85024330654</t>
  </si>
  <si>
    <t>['¬© 1989', 'superfluid ring', 'stationary states', 'specific microstructure', 'pitaevskii equation', 'gravitational waves', 'corresponding energies']</t>
  </si>
  <si>
    <t>The stationary states and corresponding energies of the superfluid ring are calculated from the Gross-Pitaevskii equation. Every stationary state forms the specific microstructure of the ring. The system of superfluid rings forming a cylinder is suggested as antenna for the detection of gravitational waves. ¬© 1989.</t>
  </si>
  <si>
    <t>51-54</t>
  </si>
  <si>
    <t>Pardy, Miroslav</t>
  </si>
  <si>
    <t>Czech Republic</t>
  </si>
  <si>
    <t>Ust√≠ nad Labem</t>
  </si>
  <si>
    <t>Univerzita Jana Evangelisty Purkynƒõ v √öst√≠ nad Labem</t>
  </si>
  <si>
    <t>Pardy M.</t>
  </si>
  <si>
    <t>The quantum states of the superfluid ring from the gross-pitaevskii equation</t>
  </si>
  <si>
    <t>10.1016/0375-9601(89)90547-1</t>
  </si>
  <si>
    <t>2-s2.0-45349109467</t>
  </si>
  <si>
    <t>National Institute for Basic Biology</t>
  </si>
  <si>
    <t>88-104</t>
  </si>
  <si>
    <t>NIBB</t>
  </si>
  <si>
    <t>['¬© 1989', 'two types', 'triplet state', 'time range', 'thus suppresses', 'significantly decreased', 'results indicate', 'reduced pheophytin', 'preparation lacks', 'one reversible', 'large extent', 'flash excitation', 'cytochrome b', 'cryogenic temperatures', 'charge recombination', 'cation radical', 'antenna chlorophyll', '74 ms']</t>
  </si>
  <si>
    <t>Photosynthesis | Photosystem II | Radical pair recombination | Reaction center | Silicomolybdate | Triplet state</t>
  </si>
  <si>
    <t>Effects of silicomolybdate on the charge recombination between P680+ and the reduced pheophytin were studied by absorption and electron paramagnetic resonance spectroscopies in the photosystem II D1/D2/cytochrome b-559 reaction center complex. This preparation lacks the primary and secondary quinone acceptors, QA and QB, and exhibits the charge recombination which produces the triplet state of P680 to a large extent. In the presence of silicomolybdate, the light-induced triplet signal of P680 was almost completely eliminated at cryogenic temperatures as well as at 4¬∞C. Under these conditions, two types of signals, one reversible and the other irreversible, which are ascribable to P680+ and the cation radical of antenna chlorophyll a, respectively, were generated upon illumination at cryogenic temperatures. These results indicate that silicomolybdate, which is known to be an artificial electron acceptor of QA, rapidly receives electrons from the reduced pheophytin even at cryogenic temperatures and thus suppresses the radical pair recombination which occurs in the time range of nanosecond. P680+ formed by flash excitation in the presence of silicomolybdate relaxed mainly with a long half decay time of 74 ms at 4¬∞C. This indicates that the reduction of P680+ by the secondary electron donor, Z, is significantly decreased. ¬© 1989.</t>
  </si>
  <si>
    <t>133-138</t>
  </si>
  <si>
    <t>60023147;60023147;60028586</t>
  </si>
  <si>
    <t>35434054000;57209103617;55684257100</t>
  </si>
  <si>
    <t>Takahashi, Yuichiro;Satoh, Kimiyuki;Itoh, Shigeru</t>
  </si>
  <si>
    <t>Okazaki;Okayama</t>
  </si>
  <si>
    <t>National Institutes of Natural Sciences - National Institute for Basic Biology;Okayama University</t>
  </si>
  <si>
    <t>60028586;60023147</t>
  </si>
  <si>
    <t>Takahashi Y.</t>
  </si>
  <si>
    <t>Silicomolybdate substitutes for the function of a primary electron acceptor and stabilizes charge separation in the photosystem II reaction center complex</t>
  </si>
  <si>
    <t>10.1016/0014-5793(89)81076-2</t>
  </si>
  <si>
    <t>2-s2.0-0000611154</t>
  </si>
  <si>
    <t>['weak interactions', 'structural organization', 'strictly optimized', 'reaction centre', 'primary photochemistry', 'pigment molecules', 'photosynthetic unit', 'photosynthetic systems', 'natural systems', 'model systems', 'mathematical simulation', 'light harvesting', 'highest efficiency', 'hence increases', 'harvesting process', 'energy losses', 'efficient strategy', 'dimensional array', 'converting systems', 'cluster structure', 'biologically expedient', 'basic principles', 'already studied', 'adjacent clusters']</t>
  </si>
  <si>
    <t>Our previous theoretical analysis has shown that the structure of a photosynthetic unit should be strictly optimized in vivo to ensure the high quantum yield values (‚àº90%) found experimentally for the primary photochemistry. We have already studied the basic principles of the structural organization of an optimal model light-converting systems with certain simple types of their lattices. However, in all the known photosynthetic organisms, the three-dimensional array of pigment-protein complexes form the cluster structure of the photosynthetic unit lattice. Does this cluster structure reflect an optimal space distribution of pigment molecules for ensuring the highest efficiency of excitation energy transfer from an antenna to a reaction centre? This problem is examined here by mathematical simulation of the light-harvesting process in model systems and has drawn two principal conclusions.o(1)In the case of weak interactions between all the photosynthetic unit molecules, the molecular cluster formation significantly lowers the rate of the delivery of the excitation, from the excited antenna molecules to the reaction centre, and hence increases the energy losses.(2)In the case of strong interactions within each cluster and weak interactions between adjacent clusters, the molecular cluster formation in the photosynthetic unit accelerates the delivery of the excitation from antenna to reaction centre and hence increases the efficiency of such a system as compared to that of a corresponding uniform isotropic system. As discussed here, this is the situation that is realized in natural systems. Consequently, the molecular cluster formation in photosynthetic systems in vivo, as an efficient strategy for the light harvesting in photosynthesis, is biologically expedient. ¬© 1989 Academic Press Limited.</t>
  </si>
  <si>
    <t>167-184</t>
  </si>
  <si>
    <t>Journal of Theoretical Biology</t>
  </si>
  <si>
    <t>60007457;60007457;60009114</t>
  </si>
  <si>
    <t>7003830809;6602075116;7005879270</t>
  </si>
  <si>
    <t>Fetisova, Z. G.;Shibaeva, L. V.;Fok, M. V.</t>
  </si>
  <si>
    <t>P.N. Lebedev Physical Institute of the Russian Academy of Sciences;Lomonosov Moscow State University</t>
  </si>
  <si>
    <t>60009114;60007457</t>
  </si>
  <si>
    <t>Fetisova Z.G.</t>
  </si>
  <si>
    <t>Biological expedience of oligomerization of chlorophyllous pigments in natural photosynthetic systems</t>
  </si>
  <si>
    <t>S0022-5193(89)80126-2</t>
  </si>
  <si>
    <t>10.1016/S0022-5193(89)80126-2</t>
  </si>
  <si>
    <t>2-s2.0-0001298731</t>
  </si>
  <si>
    <t>['¬© 1989', 'weak fluorescence', 'relative intensity', 'reduced two', 'polypeptide composition', 'photosystem ii', 'pheophytin ratio', 'pheophytin bands', 'mutant ass66', 'excitation spectrum', 'emission spectrum', 'emission band', 'core antenna', 'contains chlorophyll', 'concomitant increase', 'change indicates', 'carotenoid bands', '698 nm']</t>
  </si>
  <si>
    <t>Fluorescence | Green alga | Pheophytin | Reaction center 2</t>
  </si>
  <si>
    <t>Cells of green alga Chlamydomonas reinhardtii, mutant ASS66, which only exhibit the spectra and polypeptide composition of photosystem II, possess a weak fluorescence at about 673 nm along with two main emission bands at 686 and 698 nm, after cultivation in the dark. The 673 nm fluorescence exhibits an excitation spectrum similar to the absorbance of the isolated reaction centre of photosystem II (D1/D2 protein complex). It contains chlorophyll a, pheophytin a, and carotenoid bands with the chlorophyll:pheophytin ratio of about 3. Under illumination, the intensity of the 673 nm emission band decreases with concomitant increase in the emission band at 698 nm, which is thought to belong to the core antenna of photosystem II. Under illumination, in the presence of dithionite (strong reducing conditions), the relative intensity of 673 to 686 nm emission does not change, but the intensities of the pheophytin bands in its excitation spectrum were reduced two-fold. That the relative intensity of the 673 nm band in the emission spectrum under illumination in the presence of dithionite does not change indicates that it originates from an emitter other than pheophytin (possibly reaction centre chlorophyll a). ¬© 1989.</t>
  </si>
  <si>
    <t>248-252</t>
  </si>
  <si>
    <t>60096201;60096201</t>
  </si>
  <si>
    <t>35551813200;6506972814</t>
  </si>
  <si>
    <t>Lebedev, N. N.;Barskaya, Irina V.</t>
  </si>
  <si>
    <t>Bach Institute of Biochemistry</t>
  </si>
  <si>
    <t>Lebedev N.</t>
  </si>
  <si>
    <t>Fluorescence of the reaction centre of photosystem II in cells of green alga Chlamydomonas reinhardtii</t>
  </si>
  <si>
    <t>10.1016/0014-5793(89)81100-7</t>
  </si>
  <si>
    <t>2-s2.0-0040836089</t>
  </si>
  <si>
    <t>Comisi√≥n Asesora de Investigaci√≥n Cient√≠fica y T√©cnica</t>
  </si>
  <si>
    <t>CAICYT</t>
  </si>
  <si>
    <t>['simply explained', 'significant extent', 'seems necessary', 'rights reserved', 'rhodobacter capsulatus', 'purple bacteria', 'protective function', 'preparations derived', 'pigmented carotenoids', 'pigment pool', 'pigment pattern', 'photosynthetic membrane', 'phase cultures', 'parallel changes', 'optical activity', 'limiting size', 'less abundant', 'isolated complexes', 'intact membrane', 'exponential cultures', 'comparable levels', 'center complexes', 'carotenoid variability', 'carotenoid pool', 'carotenoid composition', 'bound carotenoids', 'bound ).', 'biomedical division', 'binding affinities', 'available pigments', 'antenna pigments', 'antenna may', 'antenna bacteriochlorophyll', 'aerobic suspensions', 'accompanied also']</t>
  </si>
  <si>
    <t>(R. rubrum) | (Rb. capsulatus) | Carotenoid | Light-harvesting antenna, bacterial | Reaction center II, bacterial</t>
  </si>
  <si>
    <t>Changes in the carotenoid pool of the photosynthetic membrane of Rhodospirillum rubrum caused parallel changes in the carotenoids of light-harvesting and reaction-center complexes. Thus, whereas complexes purified from exponentially growing cultures contained spirilloxanthin and several of its colored metabolic precursors at comparable levels, only spirilloxanthin was detected in preparations derived from stationary-phase cultures, and in both cases the carotenoid composition of the isolated complexes was similar or identical to that of the intact membrane. The differences between the antenna pigments of stationary and exponential cultures were reflected in the circular dichroism spectrum and in the bacteriochlorophyll fluorescence excitation spectrum of the intact membrane, since both optical activity and singlet-singlet energy transfer to bacteriochlorophyll are specific for complex-bound carotenoids. The changes in carotenoid composition that were induced by oxygen in cultures of Rhodobacter capsulatus were accompanied also by parallel changes in the pigments of both the core and the peripheral antenna complexes of this microorganism. In both species of purple bacteria, the variations of pigment pattern did not appear to influence to any significant extent the protective function of carotenoids, as assayed by following the photodestruction of antenna bacteriochlorophyll in aerobic suspensions of isolated membrane vesicles. The similar carotenoid composition of the intact membrane and the antenna may be simply explained by the limiting size of the pigment pool (all pigmented carotenoids that are present become complex-bound). However, to account for the carotenoid variability of the R. rubrum reaction center, which is less abundant in the membrane than some carotenoids, it seems necessary to assume that there are no significant differences among the binding affinities of the complex for the available pigments. ¬© 1989 Elsevier Science Publishers B.V. (Biomedical Division) All rights reserved.</t>
  </si>
  <si>
    <t>196-202</t>
  </si>
  <si>
    <t>60009305;60027856;60027856;60009305</t>
  </si>
  <si>
    <t>7102198413;24393648700;7402250308;24434990900</t>
  </si>
  <si>
    <t>Lozano, Rosa M.;Manzano, Inmaculada;G√≥mez, Ram√≥n;Ram√≠rez, Juan M.</t>
  </si>
  <si>
    <t>Spain;Spain</t>
  </si>
  <si>
    <t>Leioa;Madrid</t>
  </si>
  <si>
    <t>Universidad del Pais Vasco;CSIC - Centro de Investigaciones Biol√≥gicas Margarita Salas (CIB)</t>
  </si>
  <si>
    <t>60027856;60009305</t>
  </si>
  <si>
    <t>Lozano R.M.</t>
  </si>
  <si>
    <t>Changes in the native carotenoid of bacterial pigment-protein complexes</t>
  </si>
  <si>
    <t>S0005272889802300</t>
  </si>
  <si>
    <t>10.1016/S0005-2728(89)80230-0</t>
  </si>
  <si>
    <t>2-s2.0-4243589944</t>
  </si>
  <si>
    <t>['¬© 1989', 'wide range', 'suppressive effect', 'slightly greater', 'results described', 'result indicates', 'report indicate', 'protein complex', 'plant physiologists', 'low intensity', 'light intensity', 'lhc indicated', 'less active', 'large difference', 'jspp ).', 'japanese society', 'induced formation', 'induced changes', 'higher intensity', 'high intensity', 'harvesting chl', 'due mainly', 'different intensities', 'chlorella pyrenoidosa', 'cells grown', 'cap ).', 'b ratios', 'b ratio', 'autotrophic growth']</t>
  </si>
  <si>
    <t>Chlorella pyrenoidosa | Chlorophyll | LHC | Light intensity | Photosynthesis | Regulation</t>
  </si>
  <si>
    <t>Changes in size of the light-harvesting Chl-protein complex (LHC) induced by changes in light intensity were studied with the green alga Chlorella pyrenoidosa. The Chi a/b ratio, which is correlated with the size of LHC, varied over a wide range (2.5-5.0) when the light intensity for autotrophic growth was changed. Comparison of properties of LHC II isolated from cells grown under light of high and low intensity indicated that the large difference in Ch1 a/b ratios in cells grown under light of different intensities is due mainly to changes in levels of LHC. Reduction in levels of LHC under light of high intensity did not occur when proliferation of cells was suppressed. This result indicates that reduction in levels of LHC is not attributable to acceleration of the degradation of LHC under light of high intensity. Stimulation of formation of LHC occurred even under light of high intensity when formation of photosystems was suppressed by chloram-phenicol (CAP). Analysis of the CAP-induced formation of LHC indicated that (1) such formation of LHC was regulated by light intensity, being less active under higher intensity, and (2) the suppressive effect of gabaculine, an inhibitor of the synthesis of porphyrin, and thus of Ch1, was greater under light of high intensity while the suppressive effect of cycloheximide, an inhibitor of the synthesis of apoprotein, was slightly greater under light of low intensity. The results described in this report indicate that (1) intensity-induced changes in the size of LHC in Chlorella pyrenoidosa are due to regulation of the assembly of LHC and (2) the regulation occurs primarily at the level of the synthesis of Ch1. ¬© 1989 The Japanese Society of Plant Physiologists (JSPP).</t>
  </si>
  <si>
    <t>1029-1037</t>
  </si>
  <si>
    <t>60028586;60028586;60028586;60028586;60009885</t>
  </si>
  <si>
    <t>35462746400;7006351928;7102523360;7202094233;36505962200</t>
  </si>
  <si>
    <t>Fujita, Yoshihiko;Iwama, Yumi;Ohki, Kaori;Murakami, Akio;Hagiwara, Naoki</t>
  </si>
  <si>
    <t>National Institutes of Natural Sciences - National Institute for Basic Biology;Tokai University</t>
  </si>
  <si>
    <t>60028586;60009885</t>
  </si>
  <si>
    <t>Fujita Y.</t>
  </si>
  <si>
    <t>Regulation of the size of light-harvesting antennae in response to light intensity in the green alga chlorella pyrenoidosa</t>
  </si>
  <si>
    <t>2-s2.0-0000038410</t>
  </si>
  <si>
    <t>['signal depolarization', 'receiving antennas', 'powers emitted', 'polarization efficiency', 'orthogonal channels', 'optimal values', 'frequency recycling', 'csfr ),', 'communications system', 'analytical relations']</t>
  </si>
  <si>
    <t>Analytical relations are obtained for determining the optimal values of the powers emitted by a transmitter in polarization-orthogonal channels of a communications system with frequency recycling (CSFR), which take into consideration the polarization efficiency of the receiving antennas, the attenuation, and signal depolarization.</t>
  </si>
  <si>
    <t>6603254376;6603224201</t>
  </si>
  <si>
    <t>Anikeyenko, G. N.;Luk'yanchikov, V. D.</t>
  </si>
  <si>
    <t>Anikeyenko G.</t>
  </si>
  <si>
    <t>Optimal control of the power of a transmitter in communications systems with repeated frequency utilization</t>
  </si>
  <si>
    <t>2-s2.0-0024740295</t>
  </si>
  <si>
    <t>['block diagram', 'autoregressive model']</t>
  </si>
  <si>
    <t>Using an autoregressive model of the interference, an algorithm is developed, and the block diagram is synthesized, of a system for time-domain intermodulator spatial processing of the signals in a larger-aperture antenna array.</t>
  </si>
  <si>
    <t>111-113</t>
  </si>
  <si>
    <t>6603712016;7003568179;6504548885;57193753071</t>
  </si>
  <si>
    <t>Manzhos, V. N.;Kokin, V. N.;Kamchatnyy, I. N.;Belov, A. A.</t>
  </si>
  <si>
    <t>Manzhos V.</t>
  </si>
  <si>
    <t>Investigation of the effectiveness of intermodular spatial-temporal processing of signals allowing for their group delay</t>
  </si>
  <si>
    <t>2-s2.0-0024740309</t>
  </si>
  <si>
    <t>['transmission antenna', 'relative level', 'quite different', 'minima increases', 'main lobe', 'horizontal plane']</t>
  </si>
  <si>
    <t>It is shown that the azimuthal field distribution on a long-range overland shortwave route is quite different from the initial radiation pattern of the transmission antenna in the horizontal plane; the main lobe is broadened, the gain in the direction of the main radiation maximum falls off and the relative level at the minima increases.</t>
  </si>
  <si>
    <t>146-149</t>
  </si>
  <si>
    <t>7005716049;7003488142;6603042257</t>
  </si>
  <si>
    <t>Chernov, Yu A.;Bulatova, N. N.;Zhil'tsov, A. U.</t>
  </si>
  <si>
    <t>Azimuthal field distribution far from a shortwave transmission antenna</t>
  </si>
  <si>
    <t>2-s2.0-0024740326</t>
  </si>
  <si>
    <t>['statistical spread', 'signals radiated', 'signal spectrum', 'phase shifters', 'mutual coupling', 'given limitations']</t>
  </si>
  <si>
    <t>Distortions of the spectrum of the signals radiated by antenna arrays due to statistical spread of the parameters of the controlled phase shifters, when there is mutual coupling of the radiators, are considered. It is shown that a consideration of the effects of mutual coupling between radiators will reduce the requirements on the spread of the parameters of phase shifters for given limitations on the level of distortions of the signal spectrum.</t>
  </si>
  <si>
    <t>140-142</t>
  </si>
  <si>
    <t>7004513115;6603090754</t>
  </si>
  <si>
    <t>Zinevich, V. M.;Mikhaylov, G. D.</t>
  </si>
  <si>
    <t>Zinevich V.</t>
  </si>
  <si>
    <t>Influence of mutual coupling between radiators on the spectral characteristics of an antenna field</t>
  </si>
  <si>
    <t>2-s2.0-0024740329</t>
  </si>
  <si>
    <t>['various types', 'smoothing windows', 'external characteristics']</t>
  </si>
  <si>
    <t>A digital filtering method is proposed for reducing random errors when measuring the external characteristics of antennas. The results of modeling of radiation pattern estimation using filters as various types of smoothing windows are presented.</t>
  </si>
  <si>
    <t>143-146</t>
  </si>
  <si>
    <t>Rumyantsev, R. I.</t>
  </si>
  <si>
    <t>Rumyantsev R.</t>
  </si>
  <si>
    <t>Use of digital filtering to reduce random errors in antenna measurement systems</t>
  </si>
  <si>
    <t>2-s2.0-0024740383</t>
  </si>
  <si>
    <t>['processing long', 'optimum space', 'fields scattered', 'detection characteristics']</t>
  </si>
  <si>
    <t>An optimum space-time processing algorithm is developed for processing long-duration radio pulses against a background of fields scattered by atmospheric precipitation clouds. The signal-to-interference power ratio, which determines the detection characteristics, is analyzed.</t>
  </si>
  <si>
    <t>150-153</t>
  </si>
  <si>
    <t>57201038723;6504265809</t>
  </si>
  <si>
    <t>Petrov, V. M.;Tabatskiy, V. A.</t>
  </si>
  <si>
    <t>Petrov V.</t>
  </si>
  <si>
    <t>Features of moving target detection by a diversity antenna system on a background of atmospheric precipitation clouds</t>
  </si>
  <si>
    <t>2-s2.0-0024740390</t>
  </si>
  <si>
    <t>['shadow method', 'results differ', 'paper presents', 'diffraction method']</t>
  </si>
  <si>
    <t>The paper presents the results of calculation by the diffraction method, of the scattering fields generated by metal or dielectric cylindrical support structures of antennas. It is shown that in the case of electrically thin support structures these results differ from those predicted by the shadow method.</t>
  </si>
  <si>
    <t>134-139</t>
  </si>
  <si>
    <t>6506233853;6507320816;6503877308</t>
  </si>
  <si>
    <t>Gruzinskaya, T. L.;Tsurikov, G. G.;Yampol'sky, V. G.</t>
  </si>
  <si>
    <t>Gruzinskaya T.</t>
  </si>
  <si>
    <t>Dielectric support structures for mirror antennas</t>
  </si>
  <si>
    <t>2-s2.0-0024740406</t>
  </si>
  <si>
    <t>['varied set', 'take advantage', 'system performance', 'strong determinant', 'reduced sensitivity', 'reduced claustrophobia', 'receiving antennas', 'population base', 'permanent magnet', 'opportunities afforded', 'open design', 'mri equipment', 'modest amount', 'missile effect', 'lower costs', 'higher contrast', 'field strength', 'field operation', 'easier siting', 'constraints imposed', 'conceptual advantages', 'comfortable operation', 'careful optimization', 'careful analysis']</t>
  </si>
  <si>
    <t>The cost of magnetic resonance imaging (MRI) is driven by magnetic field strength. Misperceptions as to the impact of field strength on performance have led to systems that are more expensive than they need to be. Careful analysis of all the factors that affect diagnostic quality lead to the conclusion that field strength per se is not a strong determinant of system performance. Freed from the constraints imposed by high-field operation, it is possible to exploit a varied set of opportunities afforded by low-field operation. In addition to lower costs and easier siting, we can take advantage of shortened T1 times, higher contrast, reduced sensitivity to motion, and reduced radiofrequency power deposition. These conceptual advantages can be made to coalesce onto practical imaging systems. We describe a low-cost MRI system that utilizes a permanent magnet of open design. Careful optimization of receiving antennas and acquisition sequences permit performance levels consistent with those needed for an effective diagnostic unit. Ancillary advantages include easy access to the patient, reduced claustrophobia, quiet and comfortable operation, and absence of a missile effect. The system can be sited in 350 sq ft and consumes a modest amount of electricity. MRI equipment of this kind can widen the population base than can access this powerful and beneficial diagnostic modality.</t>
  </si>
  <si>
    <t>283-297</t>
  </si>
  <si>
    <t>Magnetic resonance quarterly</t>
  </si>
  <si>
    <t>60023691;60023691;60023691;60023691;60023691;60023691;60023691;60023691;60023691</t>
  </si>
  <si>
    <t>7201751139;7201401293;57213795247;7003877864;56659905800;6603296505;7203031768;7404214406;6701413778</t>
  </si>
  <si>
    <t>Kaufman, L.;Arakawa, M.;Hale, J.;Rothschild, P.;Carlson, J.;Hake, K.;Kramer, D.;Lu, W.;Van Heteren, J.</t>
  </si>
  <si>
    <t>Kaufman L.</t>
  </si>
  <si>
    <t>Accessible magnetic resonance imaging.</t>
  </si>
  <si>
    <t>2-s2.0-0024742315</t>
  </si>
  <si>
    <t>['ten examples', 'students enrolled', 'source programs', 'radiation patterns', 'made available', 'floppy diskette', 'example run', 'electric field', 'color monitor', 'basic programs', 'author began', 'antenna course', '5 1']</t>
  </si>
  <si>
    <t>About four years ago this author began to write his own programs in BASIC for use on the IBM and IBM compatible PCs with a color graphics card and color monitor. Ten examples of these programs are discussed, and an example run of each program is given. At the beginning of the course a 5 1/4 ' floppy diskette, with all of these source programs, is made available to students enrolled in this Antenna course. Many of our students own their own PCs and can use these programs at home if they wish. They use this diskette to: 1. Check some of the examples in the text. 2. Check that they have done certain assigned problems correctly. 3. Write some of their own programs not included on the diskette. Ten of the BASIC programs are listed. There is a description of each program and an example run. All radiation patterns are plots of the electric field.</t>
  </si>
  <si>
    <t>42-46</t>
  </si>
  <si>
    <t>CoED</t>
  </si>
  <si>
    <t>Barnett, Roy I.</t>
  </si>
  <si>
    <t>The California State University</t>
  </si>
  <si>
    <t>Use of personal computers for antenna analysis and design</t>
  </si>
  <si>
    <t>2-s2.0-0024750026</t>
  </si>
  <si>
    <t>['special features', 'equations linking', 'directional diagram', 'boundary conditions']</t>
  </si>
  <si>
    <t>The conditions of formation of beams of longitudinal and transverse ultrasound waves with the specific directional diagram in the solid are examined. The equations linking the directional diagram and the boundary conditions on the surface of the solid are derived. As an example, the conditions of formation of narrow slightly divergent beams are described. The special features of formation of inclined ultrasonic beams are analyzed.</t>
  </si>
  <si>
    <t>120-126</t>
  </si>
  <si>
    <t>The Soviet journal of nondestructive testing</t>
  </si>
  <si>
    <t>Karpel'son, A. E.</t>
  </si>
  <si>
    <t>Scientific Research Institute of Aviation Technology</t>
  </si>
  <si>
    <t>Karpel'son A.</t>
  </si>
  <si>
    <t>Formation of beams of longitudinal and transverse ultrasound waves with the specific directional diagram</t>
  </si>
  <si>
    <t>2-s2.0-0024750995</t>
  </si>
  <si>
    <t>['¬© 1989', 'vn ).', 'surrounding water', 'solution resulted', 'soluble polymer', 'solubilized probe', 'sodium styrenesulfonate', 'rights reserved', 'random coil', 'polymer core', 'polymer conformation', 'much lower', 'ionic strength', 'intramolecular process', 'excimer formation', 'energy transfer', 'considerably lower', 'conformation closer', 'aqueous solution', 'aqueous media']</t>
  </si>
  <si>
    <t>Copolymerization of 2-vinylnaphthalene with sodium styrenesulfonate yields the water-soluble polymer, poly(sodium styrenesulfonate-co-2-vinylnaphthalene) (PSSS-VN). Luminescence emission studies have shown that PSSS-VN exhibits hypercoiling in aqueous media. Because excimer formation in PSSS-VN has been found to be an intramolecular process, the ease of populating excimer sites was used as a measure of the polymer conformation. The efficiency of excimer formation is much lower in methanol, in which the polymer is expected to display a conformation closer to a random coil, than in aqueous solution. An increase in the ionic strength of the solution resulted in an increase in the efficiency of excimer formation. The polarity of the interior of the polymer core has been found to be considerably lower than the surrounding water. This enables the solubilization of large hydrophobic compounds. Energy transfer from electronically excited pendant naphthalene groups to the solubilized probe can induce photochemical reactions of the probe. ¬© 1989, American Chemical Society. All rights reserved.</t>
  </si>
  <si>
    <t>3903-3908</t>
  </si>
  <si>
    <t>60016849-60021361;60016849;60016849</t>
  </si>
  <si>
    <t>Poland;Canada</t>
  </si>
  <si>
    <t>Krakow;Toronto</t>
  </si>
  <si>
    <t>Uniwersytet Jagiello≈Ñski;University of Toronto</t>
  </si>
  <si>
    <t>60021361;60016849</t>
  </si>
  <si>
    <t>Studies of the Antenna Effect in Polymer Molecules. 13. Preparation and Photophysical Studies of Poly(sodium styrenesulfonate-co-2-vinylnaphthalene)</t>
  </si>
  <si>
    <t>10.1021/ma00200a016</t>
  </si>
  <si>
    <t>2-s2.0-0024751282</t>
  </si>
  <si>
    <t>['squares algorithm', 'procedure used', 'older four', 'named work', 'finding algorithms', 'estimated angles', 'derived solutions', 'corrected table', 'compared responses', 'authors note', 'angle direction']</t>
  </si>
  <si>
    <t>The authors note an error in the procedure used in calculating the tables of results in the above-named work and produce a corrected table here. In that work, they compared responses of two published CODAR dual-angle direction-finding algorithms to signal plus noise. A least-squares algorithm was used with the crossed-loop antenna system that produces a single, optimal solution pair for the estimated angles; a closed-form algorithm described by P. A. Miller et al. (1985) was used for the older four-element square CODAR receiving array. In the work by P. A. Miller et al., as many as 16 different bearing estimates result from the derived solutions, and the best four pairs of these were used in the tables for comparisons of biases.</t>
  </si>
  <si>
    <t>7005431123;7003279790</t>
  </si>
  <si>
    <t>Barrick, Donald E.;Lipa, Belinda J.</t>
  </si>
  <si>
    <t>Barrick D.</t>
  </si>
  <si>
    <t>Correction to 'An evaluation of least-squares and closed-form dual-angle methods for CODAR surface-current applications' (Apr 86 322-326)</t>
  </si>
  <si>
    <t>2-s2.0-0024752813</t>
  </si>
  <si>
    <t>['two levels', 'standard specification', 'radiated emissions', 'optional level', 'one standard', 'one optional', '133 dbm']</t>
  </si>
  <si>
    <t>Two levels of radiated emissions are offered: one standard and one optional. The optional level, - 133 dBm into a two-turn loop one inch away from any surface, is 26 dB lower than the standard specification.</t>
  </si>
  <si>
    <t>Hewlett-Packard Journal</t>
  </si>
  <si>
    <t>60020536;60020536</t>
  </si>
  <si>
    <t>7402248447;6603906745</t>
  </si>
  <si>
    <t>Wright, Larry R.;Borowski, Donald T.</t>
  </si>
  <si>
    <t>Hewlett-Packard Inc.</t>
  </si>
  <si>
    <t>Wright L.</t>
  </si>
  <si>
    <t>Reducing radiated emissions in the performance signal generator family</t>
  </si>
  <si>
    <t>2-s2.0-0024753827</t>
  </si>
  <si>
    <t>1327-1337</t>
  </si>
  <si>
    <t>Tong, C. E.;Blundell, R.;Carter, M. C.</t>
  </si>
  <si>
    <t>An NRD-fed dielectric rod antenna for the short millimeter wave band</t>
  </si>
  <si>
    <t>10.1007/BF01009257</t>
  </si>
  <si>
    <t>2-s2.0-34249975675</t>
  </si>
  <si>
    <t>['¬© 1989', 'signal peptide', 'selectively expressed', 'primary structure', 'nucleotide sequence', 'male moth', 'clones coding', 'cdna cloning', 'antheraea polyphemus']</t>
  </si>
  <si>
    <t>Clones coding for the pheromone binding protein precursor have been selected from a cDNA library derived from antennae of the male moth, Antheraea polyphemus. The deduced protein sequence consists of a signal peptide of 20 amino acid residues and a mature binding protein of 142 amino acid residues. RNA blot hybridization indicated that the mRNA is selectively expressed in the antennae of the male moth. Pheromone binding protein; cDNA cloning; Nucleotide sequence; Primary structure; RNA blot hybridization. ¬© 1989.</t>
  </si>
  <si>
    <t>215-218</t>
  </si>
  <si>
    <t>60018373;60018373;60018373</t>
  </si>
  <si>
    <t>6603037070;7201508329;7103041183</t>
  </si>
  <si>
    <t>Raming, K.;Krieger, J.;Breer, H.</t>
  </si>
  <si>
    <t>Stuttgart</t>
  </si>
  <si>
    <t>Universit√§t Hohenheim</t>
  </si>
  <si>
    <t>Raming K.</t>
  </si>
  <si>
    <t>Molecular cloning of an insect pheromone-binding protein</t>
  </si>
  <si>
    <t>001457938981751X</t>
  </si>
  <si>
    <t>10.1016/0014-5793(89)81751-X</t>
  </si>
  <si>
    <t>2-s2.0-0024965739</t>
  </si>
  <si>
    <t>['¬© 1989', 'steering angle', 'speed 1', 'rights reserved', 'electrical engineers', 'delay lines', 'bit fibre', 'bias currents', '11 ghz']</t>
  </si>
  <si>
    <t>Antenna arrays | Antennas | Fibre optics | Lasers and laser applications</t>
  </si>
  <si>
    <t>A 3-bit fibre-optic delay network with linear differential insertion phase from 1 to 11 GHz was demonstrated. Discrete delay increments specified by the steering angle of the phased array antenna were implemented by switching the bias currents of high-speed 1.3Œºm laser diodes pigtailed to the delay lines. ¬© 1989, The Institution of Electrical Engineers. All rights reserved.</t>
  </si>
  <si>
    <t>1456-1457</t>
  </si>
  <si>
    <t>60021939;60021939;60005304;60005304;60005304</t>
  </si>
  <si>
    <t>7401613344;7004418575;6701687363;6701771292;57193268489</t>
  </si>
  <si>
    <t>Ng, W.;Tangonan, G.;Walston, A.;Newberg, I.;Lee, J. J.</t>
  </si>
  <si>
    <t>Malibu;Waltham</t>
  </si>
  <si>
    <t>HRL Laboratories;Raytheon</t>
  </si>
  <si>
    <t>60021939;60005304</t>
  </si>
  <si>
    <t>Ng W.</t>
  </si>
  <si>
    <t>Wideband Fibre-Optic Delay Network for Phased Array Antenna Steering</t>
  </si>
  <si>
    <t>10.1049/el:19890972</t>
  </si>
  <si>
    <t>2-s2.0-0024751548</t>
  </si>
  <si>
    <t>['two proteins', 'still associated', 'spinach oxygen', 'requirement disappeared', 'reducted amounts', 'ps ii', 'per qa', 'oxygen evolution', 'major light', 'lhc ii', 'largely deprived', 'ionic detergent', 'heptyl thioglucoside', 'harvesting chlorophyll', 'evolving preparations', 'electron acceptor', 'd2 proteins', 'cytochrome b', 'cp 29', 'constituent subunits', 'complexes contained', 'carrying proteins', 'b proteins', 'antenna size', 'activity became', '80 chlorophyll', '76 chlorophyll', '47 kda', '33 kda', '29 kda', '23 kda', '10 kda', '1 ca2']</t>
  </si>
  <si>
    <t>(Spinach) | Calcium | Extrinsic protein | Light-harvesting chlorophyll II | Oxygen evolution | Photosystem II</t>
  </si>
  <si>
    <t>Oxygen-evolving Photosystem II (PS II) complexes, which were largely deprived of major light-harvesting chlorophyll a/b proteins (LHC II) but still associated with the 33 kDa, 23 kDa and 17 kDa extrinsic proteins related to oxygen evolution, were isolated from spinach oxygen-evolving PS II membranes with a non-ionic detergent, n-heptyl thioglucoside. A minor antenna chlorophyll-protein (CP 29) was present but in reducted amounts. The complexes contained all the constituent subunits of PS II reaction center core complexes, the 47 kDa and 43 kDa chlorophyll-carrying proteins, the D1 and D2 proteins and cytochrome b-559. In addition, three hydrophobic proteins of 29 kDa (CP 29 apoprotein), 20 kDa and 10 kDa were present. The antenna size was 80 chlorophyll a per QA, or 76 chlorophyll a per 4 Mn, and the complexes contained about 1 Ca2+ per PS II. With phenyl- or dichloro-p-benzoquinone as electron acceptor, the complexes showed high rates of oxygen evolution in the absence of exogenously added Ca2+. The activity became, however, strongly Ca2+-dependent when the 23 kDa and 17 kDa proteins, but not the bound Ca2+, had been removed with 1.5 M NaCl. The Ca2+ requirement disappeared on reconstitution of the complexes with the two proteins. The complexes were compared with other oxygen-evolving preparations having different polypeptide compositions and functions of several subunit proteins and Ca2+ in PS II electron transport are discussed. ¬© 1989 Elsevier Science Publishers.</t>
  </si>
  <si>
    <t>60025141;60025141;60025272;60025272;60025272</t>
  </si>
  <si>
    <t>57195256650;7101778929;56374284200;35500349900;7202864511</t>
  </si>
  <si>
    <t>Enami, Isao;Kamino, Kei;Shen, Jian Ren;Satoh, Kazuhiko;Katoh, Sakae</t>
  </si>
  <si>
    <t>The University of Tokyo;Tokyo University of Science</t>
  </si>
  <si>
    <t>60025272;60025141</t>
  </si>
  <si>
    <t>Enami I.</t>
  </si>
  <si>
    <t>Isolation and characterization of Photosystem II complexes which lack light-harvesting chlorophyll a/b proteins but retain three extrinsic proteins related to oxygen evolution from spinach</t>
  </si>
  <si>
    <t>S0005-2728(89)80006-4</t>
  </si>
  <si>
    <t>10.1016/S0005-2728(89)80006-4</t>
  </si>
  <si>
    <t>2-s2.0-0002766028</t>
  </si>
  <si>
    <t>['standing hypothesis', 'models treated', 'host volatiles', 'genus papilio', 'gas chromatograph', 'females alighted', 'contact stimulants', 'carrot volatiles', 'carrot leaves', 'cabbage volatiles', 'behavioral responses']</t>
  </si>
  <si>
    <t>black swallowtail butterfly | carrot volatiles | Daucus carota | olfactory chemoreception | oviposition behavior | Papilio polyxenes</t>
  </si>
  <si>
    <t>Black swallowtail females laid more eggs on plant models treated with contact stimulants and volatiles from carrot leaves than on models treated only with contact stimulants. The volatiles enhanced landing rates and females alighted more frequently on artificial leaves treated with host volatiles than on adjacent control leaves. Volatiles from cabbage, a nonhost, inhibited landing rates on artificial leaves treated with carrot contact stimulants. Examination of antennae revealed two major types of sensilla, believed to be olfactory in function. Electroantennogram preparations responded more strongly to carrot volatiles than to cabbage volatiles and several shared responses at particular retention times to carrot volatile components eluting from a gas chromatograph. Our results are consistent with a long-standing hypothesis that behavioral responses to essential oil components characteristic of the larval food plants have facilitated host shifts in the genus Papilio. ¬© 1989 Plenum Publishing Corporation.</t>
  </si>
  <si>
    <t>803-827</t>
  </si>
  <si>
    <t>Journal of Insect Behavior</t>
  </si>
  <si>
    <t>60007776;60004811;60027152;60007776</t>
  </si>
  <si>
    <t>6602745697;35565892200;6602454604;7401514547</t>
  </si>
  <si>
    <t>Feeny, Paul;St√§dler, Erich;√Öhman, Inger;Carter, Maureen</t>
  </si>
  <si>
    <t>Sweden;United States;Switzerland</t>
  </si>
  <si>
    <t>Uppsala;Ithaca;Wadenswil</t>
  </si>
  <si>
    <t>Sveriges lantbruksuniversitet;Cornell University;Swiss Federal Research Station for Fruit-Growing, Viticulture, and Horticulture</t>
  </si>
  <si>
    <t>60027152;60007776;60004811</t>
  </si>
  <si>
    <t>Feeny P.</t>
  </si>
  <si>
    <t>Effects of plant odor on oviposition by the black swallowtail butterfly, Papilio polyxenes (Lepidoptera: Papilionidae)</t>
  </si>
  <si>
    <t>10.1007/BF01049402</t>
  </si>
  <si>
    <t>2-s2.0-0000220626</t>
  </si>
  <si>
    <t>['yellow xanthophyll', 'visible region', 'tide populations', 'spring 1969', 'spectral attenuance', 'range 300', 'prorocentrum micans', 'previous studies', 'possible role', 'polyedra support', 'photosynthetic performance', 'photoprotective pigment', 'november 1981', 'near ultraviolet', 'may 1982', 'may 1969', 'masking absorption', 'light conditions', 'la jolla', 'june 1985', 'high content', 'cultured dinoflagellates', 'absorbing compounds', '700 nm']</t>
  </si>
  <si>
    <t>Spectral attenuance and photosynthetic performance over the range 300 to 700 nm were examined in red-tide populations of Prorocentrum micans and Gonyaulax polyedra collected off La Jolla, California, USA, in May 1969 and May-June 1985; and in spring 1969, November 1981 and April-May 1982, respectively. In the near ultraviolet (UV), high attenuance and diminished photosynthetic effectiveness were observed in both dinoflagellates. This decline in relative quantum yield is ascribed to masking absorption by unidentified and spectrally different UV-absorbing compounds which were soluble in methanol. In the visible region, photosynthetic action spectra displayed the characteristic shapes expected from efficient Photosystem II light harvesting by peridinin, chlorophylls a and c2, in conformity with previous studies on cultured dinoflagellates. In the case of P. micans, a high content of diadinoxanthin was found and the possible role of this yellow xanthophyll as a photoprotective pigment is discussed. However, photosynthetic enhancement spectra suggest that some portion of the diadinoxanthin pool functions as a Photosystem I antenna in this species. Our data on P. micans and G. polyedra support the hypothesis that UV-absorbing compounds and diadinoxanthin play protective roles in screening harmful radiation in red-tide dinoflagellates exposed to high-light conditions in nature. ¬© 1989 Springer-Verlag.</t>
  </si>
  <si>
    <t>365-371</t>
  </si>
  <si>
    <t>60121576;60121576;60121576</t>
  </si>
  <si>
    <t>7006764834;57212608323;6506701727</t>
  </si>
  <si>
    <t>Vernet, M.;Neori, A.;Haxo, F. T.</t>
  </si>
  <si>
    <t>Marine Biology Research Division</t>
  </si>
  <si>
    <t>Vernet M.</t>
  </si>
  <si>
    <t>Spectral properties and photosynthetic action in red-tide populations of Prorocentrum micans and Gonyaulax polyedra</t>
  </si>
  <si>
    <t>10.1007/BF00397271</t>
  </si>
  <si>
    <t>2-s2.0-0000508758</t>
  </si>
  <si>
    <t>['vice versa', 'two photoreactions', 'superimposed non', 'substantially lower', 'state transitions', 'state 1', 'specific attenuation', 'reaction centre', 'ps ii', 'phycobilisome antenna', 'photosystem ii', 'photochemical quenching', 'light utilization', 'light absorption', 'higher phycocyanin', 'higher pbs', 'harvesting antenna', 'fluorescence yield', 'complete within', 'chromatic acclimation', 'chlorophyll ratio', 'chlorophyll fluorescence', 'cells produced', 'cells grown', 'cell types', 'cell type', '48 h', '25 h']</t>
  </si>
  <si>
    <t>chromatic acclimation | cyanobacteria | excitation energy transfer | non-photochemical quenching | photosystem stoichiometry | State transitions | Synechococcus 6301</t>
  </si>
  <si>
    <t>Cells of the cyanobacterium Synechococcus 6301 were grown in yellow light absorbed primarily by the phycobilisome (PBS) light-harvesting antenna of photosystem II (PS II), and in red light absorbed primarily by chlorophyll and, therefore, by photosystem I (PS I). Chromatic acclimation of the cells produced a higher phycocyanin/chlorophyll ratio and higher PBS-PS II/PS I ratio in cells grown under PS I-light. State 1-state 2 transitions were demonstrated as changes in the yield of chlorophyll fluorescence in both cell types. The amplitude of state transitions was substantially lower in the PS II-light grown cells, suggesting a specific attenuation of fluorescence yield by a superimposed non-photochemical quenching of excitation. 77 K fluorescence emission spectra of each cell type in state 1 and in state 2 suggested that state transitions regulate excitation energy transfer from the phycobilisome antenna to the reaction centre of PS II and are distinct from photosystem stoichiometry adjustments. The kinetics of photosystem stoichiometry adjustment and the kinetics of the appearance of the non-photochemical quenching process were measured upon switching PS I-light grown cells to PS II-light, and vice versa. Photosystem stoichiometry adjustment was complete within about 48 h, while the non-photochemical quenching occurred within about 25 h. It is proposed that there are at least three distinct phenomena exerting specific effects on the rate of light absorption and light utilization by the two photoreactions: state transitions; photosystem stoichiometry adjustment; and non-photochemical excitation quenching. The relationship between these three distinct processes is discussed. ¬© 1989 Kluwer Academic Publishers.</t>
  </si>
  <si>
    <t>157-166</t>
  </si>
  <si>
    <t>60012070;60012070;60012070;60025038</t>
  </si>
  <si>
    <t>7406421287;7004442990;16442382300;57203081985</t>
  </si>
  <si>
    <t>Allen, John F.;Mullineaux, Conrad W.;Sanders, Christine E.;Melis, Anastasios</t>
  </si>
  <si>
    <t>Allen J.</t>
  </si>
  <si>
    <t>State transitions, photosystem stoichiometry adjustment and non-photochemical quenching in cyanobacterial cells acclimated to light absorbed by photosystem I or photosystem II</t>
  </si>
  <si>
    <t>10.1007/BF00035446</t>
  </si>
  <si>
    <t>2-s2.0-0000688722</t>
  </si>
  <si>
    <t>['took place', 'study presented', 'significant influence', 'september 15', 'seismic processes', 'seismic oscillations', 'sea bottom', 'quantitatively evaluating', 'pressure fluctuations', 'ocean depths', 'observed similarity', 'measurement area', 'magnetic fields', 'critically important', 'continental slope', 'antenna site', 'antenna placed', '5200 kilometers', '3500 meters', '2000 meters', '15 hz']</t>
  </si>
  <si>
    <t>Studies of electric and magnetic fields in the ocean under different seismic conditions are critically important for understanding how the natural electromagnetic field of the ocean is generated and for quantitatively evaluating the effect of seismic oscillations on instruments. The results of the first such experimental investigations indicate a correlation between the spectrum of electric field variations recorded by an antenna placed on the sea bottom at a depth of 3500 meters and the spectrum of pressure fluctuations at the antenna site. The study presented here gives the results of electric field measurements made simultaneously at ocean depths of 500 and 2000 meters during an earthquake which took place on September 15, 1985 in the New Guinea Islands area, at 2 hours 52 minutes 08 seconds Greenwich Time, as recorded by the seismic station Vladivostok. The measurements were made on the continental slope of the Sea of Japan. The distance between the measurement area and the epicenter of the earthquake was 5200 kilometers. The spectra of the seismic oscillations and of the electric field variations at both depths were very similar in the range of 0.03 to 0.15 Hz during all phases of the earthquake. The observed similarity in electric field spectra and the spectra of seismic oscillations allows to conclude that the recorded electric field variations were seismic in origin. This electric field effect, generated by a small ground shift, attests to the significant influence of seismic processes on the electric field measurements in the ocean.</t>
  </si>
  <si>
    <t>66-68</t>
  </si>
  <si>
    <t>60021331;60021331</t>
  </si>
  <si>
    <t>6602478149;6504325981</t>
  </si>
  <si>
    <t>Burov, B. A.;Sushov, N. G.</t>
  </si>
  <si>
    <t>Burov B.</t>
  </si>
  <si>
    <t>Electric field variations recorded on sea bottom during a seismic perturbation caused by a distant earthquake</t>
  </si>
  <si>
    <t>2-s2.0-0024755658</t>
  </si>
  <si>
    <t>['vcr integration', 'topics covered', 'signal scrambling', 'satellite description', 'satellite broadcasting', 'dmac standard', 'customer service', 'conditional access']</t>
  </si>
  <si>
    <t>Satellite broadcasting in the U.K. is discussed. The topics covered are launching, satellite description and control, customer service, conditional access and encryption, the DMAC standard, antennas, TV and VCR integration, signal scrambling, business communication links, and programming.</t>
  </si>
  <si>
    <t>193-195</t>
  </si>
  <si>
    <t>0141061X</t>
  </si>
  <si>
    <t>Electronic technology London</t>
  </si>
  <si>
    <t>Anon</t>
  </si>
  <si>
    <t>BSB. Update</t>
  </si>
  <si>
    <t>2-s2.0-0024755954</t>
  </si>
  <si>
    <t>Aerial | Colonic | Radio pill | Telemetry</t>
  </si>
  <si>
    <t>631-634</t>
  </si>
  <si>
    <t>60018058;60018058;60018058;60018058</t>
  </si>
  <si>
    <t>57198329548;6602406577;7004533831;7403090105</t>
  </si>
  <si>
    <t>Carter, K. B.;Thorburn, H. A.;Finlay, I. G.;Goldberg, J. A.</t>
  </si>
  <si>
    <t>Glasgow Royal Infirmary</t>
  </si>
  <si>
    <t>Carter K.B.</t>
  </si>
  <si>
    <t>Novel multidirectional aerial for 'near-field telemetry'</t>
  </si>
  <si>
    <t>10.1007/BF02441647</t>
  </si>
  <si>
    <t>2-s2.0-0024759214</t>
  </si>
  <si>
    <t>['wave propagation', 'vhf television', 'short line', 'seas include', 'red seas', 'receiving antenna', 'horizontal paths', 'field intensity', 'field intensities', 'certain cases', 'ccir recommendations', 'black sea', '200 km']</t>
  </si>
  <si>
    <t>CCIR Recommendations on the calculation of field intensities for VHF television and voice broadcasting networks include propagation curves (dependencies of the field intensities on distance) for 'warm' and 'cold' seas. We recall that 'warm' seas include the extensive ocean areas at latitudes from 23.5¬∞C north, and the Medittrranean, Black and Red Seas. The sea zone may include a short line with a width up to 50, and in certain cases up to 200 km. In order to verify the suitability of CCIR Recommendation 370-5 in the case of radio-wave propagation over the Black Sea, special experimental investigations were conducted, during the course of which the field intensity of a signal in horizontal paths was recorded over a long time period, and its dependence on the height of the receiving antenna was studied.</t>
  </si>
  <si>
    <t>13-15</t>
  </si>
  <si>
    <t>7004173230;7102484469</t>
  </si>
  <si>
    <t>Shur, A. A.;Mel'nikov, B. F.</t>
  </si>
  <si>
    <t>Shur A.</t>
  </si>
  <si>
    <t>Propagation of VHF radiowaves over a warm sea</t>
  </si>
  <si>
    <t>2-s2.0-0024764594</t>
  </si>
  <si>
    <t>['several lasers', 'experimentally compared', 'coherent summation']</t>
  </si>
  <si>
    <t>04.80 | 07.60 | 42.60</t>
  </si>
  <si>
    <t>The amount of laser power required for the large scale interferometric gravitational wave antennas currently being proposed may well require the coherent summation of the light from several lasers. In this paper the feasibility of two potential summation schemes are experimentally compared and contrasted by adding the outputs of two argon lasers. ¬© 1989 Springer-Verlag.</t>
  </si>
  <si>
    <t>491-495</t>
  </si>
  <si>
    <t>7102158107;7102763886</t>
  </si>
  <si>
    <t>Kerr, G. A.;Hough, J.</t>
  </si>
  <si>
    <t>Kerr G.</t>
  </si>
  <si>
    <t>Coherent addition of laser oscillators for use in gravitational wave antennas</t>
  </si>
  <si>
    <t>10.1007/BF00325354</t>
  </si>
  <si>
    <t>2-s2.0-0024764896</t>
  </si>
  <si>
    <t>['measured data', 'flux leakage', 'electromagnetic shield']</t>
  </si>
  <si>
    <t>A formulation is developed for determining the sensitivity of positioning a sense wire behind an aperture in an electromagnetic shield to quantitate the flux leakage through the aperture. Both hardened and unhardened circular apertures are considered. Comparisons with measured data are made to verify the analysis.</t>
  </si>
  <si>
    <t>337-341</t>
  </si>
  <si>
    <t>60011132;60011132;60011132;60011132</t>
  </si>
  <si>
    <t>35606833400;6507539286;7003360912;36862083800</t>
  </si>
  <si>
    <t>Taylor, Clayborne D.;Marcum, Frank;Prather, William D.;Herrmann, Carl C.</t>
  </si>
  <si>
    <t>Ohio University</t>
  </si>
  <si>
    <t>Taylor C.</t>
  </si>
  <si>
    <t>On using a sense wire to quantitate the magnetic flux leakage through an aperture in an electromagnetic shield</t>
  </si>
  <si>
    <t>10.1109/15.43626</t>
  </si>
  <si>
    <t>2-s2.0-0024764930</t>
  </si>
  <si>
    <t>['squinting properties', 'significant improvement', 'reflector antenna', 'offset reflectors', 'offset parabolic', 'new primary', 'new class', 'letter describes', 'feed system', 'feed antennas']</t>
  </si>
  <si>
    <t>In many practical applications the performance of an offset parabolic-reflector antenna is limited by the offset reflectors' depolarising and beam squinting properties. The letter describes a new class of primary-feed antennas which overcome these limitations. The new primary-feed types offer a significant improvement in the crosspolar and beam-squinting properties of the offset reflector antenna, without adding significantly to the complexity or mass of the primary-feed system.</t>
  </si>
  <si>
    <t>18-20</t>
  </si>
  <si>
    <t>100741115;100741115</t>
  </si>
  <si>
    <t>7006888309;6701722050</t>
  </si>
  <si>
    <t>Rudge, A. W.;Adatia, N. A.</t>
  </si>
  <si>
    <t>RF Technology</t>
  </si>
  <si>
    <t>Rudge A.</t>
  </si>
  <si>
    <t>New class of primary-feed antennas for use with offset parabolic-reflector antennas</t>
  </si>
  <si>
    <t>2-s2.0-0024765352</t>
  </si>
  <si>
    <t>['optimum frequency', 'feed applications', 'dominant mode', 'attenuation characteristics']</t>
  </si>
  <si>
    <t>The attenuation characteristics are predicted for the dominant hybrid mode in corrugated circular waveguide. Over a substantial frequency band, which includes the optimum frequency for antenna-feed applications, the attenuation is lower than that of the dominant mode in a circular waveguide without corrugations.</t>
  </si>
  <si>
    <t>60022109;60022109</t>
  </si>
  <si>
    <t>7006192058;36846793000</t>
  </si>
  <si>
    <t>Clarricoats, P. J.B.;Saha, P. K.</t>
  </si>
  <si>
    <t>Clarricoats P.</t>
  </si>
  <si>
    <t>Attenuation in corrugated circular waveguide</t>
  </si>
  <si>
    <t>2-s2.0-0024765569</t>
  </si>
  <si>
    <t>['third layers', 'smaller numbers', 'second layer', 'paper proposes', 'optimum value', 'layered meander', 'fabricated meander', 'design method', 'circular polarizer', 'axial ratio']</t>
  </si>
  <si>
    <t>This paper proposes a three-layered meander-line circular polarizer in which the first and third layers have identical meander lines and the second layer is a different meander line. The design method is presented so that a meander-line circular polarizer is constructed with smaller numbers and types of single-layer meander lines. The effect of the reflection from the meander-line circular polarizer on the axial ratio is discussed. There is an optimum value in the spacing between the circular polarizer and the antenna radiating element. The performance of the fabricated meander-line circular polarizer and that of the combined structure made of this polarizer and a slot array antenna are presented. The effectiveness of the design method is confirmed by presentation of good axial ratio data.</t>
  </si>
  <si>
    <t>35-42</t>
  </si>
  <si>
    <t>60101699;60101699;60101699;60101699</t>
  </si>
  <si>
    <t>7403067757;57217478454;6603171877;7003628822</t>
  </si>
  <si>
    <t>Makino, Shigeru;Miyahara, Norio;Mizutamari, Hitoshi;Urasaki, Shuji</t>
  </si>
  <si>
    <t>Makino S.</t>
  </si>
  <si>
    <t>Design of meander-line polarizer with three layers</t>
  </si>
  <si>
    <t>2-s2.0-0024765825</t>
  </si>
  <si>
    <t>['room temperature', 'oxide material', 'new material', 'liquid nitrogen', 'earth copper']</t>
  </si>
  <si>
    <t>A recently discovered rare-earth copper-oxide material, which is superconducting above the temperature of liquid nitrogen, is used to fabricate a high-efficiency electrically short dipole antenna. Thus the necessity to cool a lead antenna structure to liquid helium temperatures is avoided. Results are presented which show the gain enhancement achieved using this new material when compared with a conventional copper structure at room temperature.</t>
  </si>
  <si>
    <t>69-70</t>
  </si>
  <si>
    <t>60019702;60019702;60019702;60019702;60019702;60019702</t>
  </si>
  <si>
    <t>6701323282;7006639115;7005970306;7004362255;35417096700;57197050035</t>
  </si>
  <si>
    <t>Khamas, S. K.;Mehler, M. J.;Maclean, T. S.M.;Gough, C. E.;Alford, N. Mc N.;Harmer, M. A.</t>
  </si>
  <si>
    <t>Birmingham</t>
  </si>
  <si>
    <t>University of Birmingham</t>
  </si>
  <si>
    <t>Khamas S.</t>
  </si>
  <si>
    <t>High-T&lt;inf&gt;c&lt;/inf&gt; superconducting short dipole antenna</t>
  </si>
  <si>
    <t>2-s2.0-0024766022</t>
  </si>
  <si>
    <t>['ssps ptc', 'somewhat smaller', 'requirement involving', 'receiver antenna', 'protective zone', 'phase distribution', 'microwave beam', 'input circuits', 'important constituent', 'emc standard', 'electromagnetic compatibility', 'discrete amplitude', 'considerable importance', '20 km']</t>
  </si>
  <si>
    <t>An important constituent of a space solar power system (SSPS) is the power transmission channel (PTC) of the microwave beam. Among the many requirements imposed on this system, that requirement involving a low side lobe level is of considerable importance. In order to provide for the operation of radio engineering systems near the receiver antenna of the SSPS without additional means for protecting the input circuits, the level of background radiation must satisfy the electromagnetic compatibility (EMC) standard. A version of the SSPS PTC was developed with reduced side lobe level for a comparatively small size of the protective zone in accordance with the EMC standard (a radius of &lt;20 km) has much less stringent tolerances (by a factor of 2-4) on the magnitude of the fluctuations of the parameters of the discrete amplitude-phase distribution and a somewhat smaller (by 5%) transmitting antenna radius than the PTC, for which all side lobes satisfy the EMC standard.</t>
  </si>
  <si>
    <t>143-145</t>
  </si>
  <si>
    <t>7004652700;57208727390;6507610480</t>
  </si>
  <si>
    <t>Vanke, V. A.;Zaporozhets, A. A.;Rachnikov, A. V.</t>
  </si>
  <si>
    <t>Vanke V.</t>
  </si>
  <si>
    <t>On one possibility for reducing requirements on the parameters of the transmitting antenna of a space solar power system</t>
  </si>
  <si>
    <t>2-s2.0-0024766493</t>
  </si>
  <si>
    <t>['aperture radars']</t>
  </si>
  <si>
    <t>The characteristics of sythesized-aperture radars and methods for improving them, based on the use of the multipath and scanning operating conditions of the antenna et al. are analyzed. It is shown that improving one characteristic involves deterioration of others.</t>
  </si>
  <si>
    <t>108-113</t>
  </si>
  <si>
    <t>6603218382;6603839189</t>
  </si>
  <si>
    <t>Petkevich, N. L.;Kurashov, A. G.</t>
  </si>
  <si>
    <t>Petkevich N.</t>
  </si>
  <si>
    <t>Information capacity of synthesized-aperture radars in mapping problems</t>
  </si>
  <si>
    <t>2-s2.0-0024767051</t>
  </si>
  <si>
    <t>['various types', 'physical height', 'particular phenomena', 'paper discusses', 'measurement accuracy', 'good correlation', 'empiric results', 'electric field', 'effective heights', 'consequently assures', 'close follow', 'atmospheric discharges']</t>
  </si>
  <si>
    <t>The paper discusses the application of various types of antennas for the detecition of the electric field which results from atmospheric discharges in nature. The knowledge of the antenna characteristics contributes to the measurement accuracy of the electric field which consequently assures a more close follow-up of particular phenomena. Values of effective heights are given for individual antenna types in dependance on the physical height on the basis of calculations and experimenting. A good correlation between computing and empiric results has been noted.</t>
  </si>
  <si>
    <t>273-276</t>
  </si>
  <si>
    <t>Elektrotehniski Vestnik/Electrotechnical Review</t>
  </si>
  <si>
    <t>Pisler, Edvard</t>
  </si>
  <si>
    <t>Pisler E.</t>
  </si>
  <si>
    <t>Grounded metal sphere, rod antenna and plate antenna as electric field sensors</t>
  </si>
  <si>
    <t>2-s2.0-0024767320</t>
  </si>
  <si>
    <t>['tilt angle', 'satellite broadcasting', 'return loss', 'planar structure', 'paper considers', 'numerical examples', 'grating lobe', 'desired pattern', 'confirmed experimentally', 'circular polarization', '6 ¬∞.', '11 db']</t>
  </si>
  <si>
    <t>The radial line slot antenna developed for reception of satellite broadcasting is a planar structure that radiates a circular polarization and is a type of the waveguide slot antenna. This paper considers the beam tilt design and characteristics of the linearly polarized radial line slot antenna. By means of numerical examples, the limit of the tilt angle is given for which efficiency degradation due to the grating lobe does not occur. Improvement of the return loss is confirmed experimentally. Reduction of the return loss is about -11 dB at the tilt angle of 6¬∞. The radiation pattern measured is close to the desired pattern.</t>
  </si>
  <si>
    <t>35481283400;35495699200;7201747933</t>
  </si>
  <si>
    <t>Takada, Jun ichi;Ando, Makoto;Goto, Naohisa</t>
  </si>
  <si>
    <t>Takada J.</t>
  </si>
  <si>
    <t>Beam-tilted linearly polarized radial line slot antenna</t>
  </si>
  <si>
    <t>2-s2.0-0024767742</t>
  </si>
  <si>
    <t>['technical feasibility', 'proposed system', 'parabolic reflectors', 'letter describes', 'future development', 'experimental results', 'basic principles', 'also describes']</t>
  </si>
  <si>
    <t>This letter describes the basic principles of a proposed system for compensating for the effect of surface profile errors in parabolic reflectors. It also describes some experimental results which verify the technical feasibility of the proposals and discusses some implications of its future development.</t>
  </si>
  <si>
    <t>101223109;101223109</t>
  </si>
  <si>
    <t>55699254400;7006888309</t>
  </si>
  <si>
    <t>Davies, D. E.N.;Rudge, A. W.</t>
  </si>
  <si>
    <t>British Railways Technical</t>
  </si>
  <si>
    <t>Davies D.E.N.</t>
  </si>
  <si>
    <t>Some results of electronic compensation for surface profile errors in parabolic reflectors</t>
  </si>
  <si>
    <t>2-s2.0-0024768116</t>
  </si>
  <si>
    <t>['theoretical efficiency', 'paper presents', 'made uniform', 'excellent characteristic', 'designed frequency', '80 %)', '75 percent', '3 dbi', '12 ghz']</t>
  </si>
  <si>
    <t>The radial line slot antenna is a wave-guide slot array and has been studied as a high-gain and high-efficiency planar antenna in which efficiency reduction due to an increased aperture size is minimal. If the theoretical efficiency (of more than 80%) is required to be realized, the aperture distribution must be made uniform at the designed frequency by controlling the coupling of slots. This paper presents a method for design of the slots for this purpose. By considering the perturbation of the internal electromagnetic field due to coupling, an excellent characteristic with an efficiency of 75 percent (36.3 dBi) is obtained at 12 GHz.</t>
  </si>
  <si>
    <t>19-26</t>
  </si>
  <si>
    <t>60031126;60031126;60031126;60031126</t>
  </si>
  <si>
    <t>35495699200;6506428566;57163018300;7201747933</t>
  </si>
  <si>
    <t>Ando, Makoto;Sasazawa, Hideo;Nishikata, Satoshi;Goto, Naohisa</t>
  </si>
  <si>
    <t>Ando M.</t>
  </si>
  <si>
    <t>Slot design of radial line slot antennas</t>
  </si>
  <si>
    <t>2-s2.0-0024768176</t>
  </si>
  <si>
    <t>['special applications', 'projection methods', 'listed applications']</t>
  </si>
  <si>
    <t>A collection of the problems of applying superresolution methods to a phased array radar is given. We give a list of the special applications, discuss the types of subarrays to reduce the degrees of freedom, and discuss the problems of the main superresolution methods for the listed applications. 'Parametric target model fitting' methods and projection methods are most promising now.</t>
  </si>
  <si>
    <t>25-35</t>
  </si>
  <si>
    <t>Onde electrique</t>
  </si>
  <si>
    <t>Nickel, Ulrich</t>
  </si>
  <si>
    <t>Nickel U.</t>
  </si>
  <si>
    <t>Angular superresolution by antenna array processing</t>
  </si>
  <si>
    <t>2-s2.0-0024768396</t>
  </si>
  <si>
    <t>['spaceborne synthetic', 'signal data', 'processing operations', 'possible algorithms', 'motion compensation', 'based synthetic', 'aperture radars', 'aperture radar', 'also discussed', 'airborne synthetic']</t>
  </si>
  <si>
    <t>This paper briefly describes the principles of synthetic-aperture radar and its significance in a military and remote sensing context. The signal processing operations required to convert the signal data into an image are described, as well as some possible algorithms for implementing these processing operations. The processing problems specific to both spaceborne and airborne synthetic-aperture radars such as: handling squinted antenna beams, autofocussing, motion compensation, and Doppler centroid estimation are also discussed. The paper is punctuated with examples of imagery from spaceborne and airborne synthetic-aperture radars. Specific developments covered for spaceborne synthetic-aperture radars are: the early Canadian software-based synthetic-aperture radar processors for SEASAT and the more modern and very much faster RADARSAT Prototype Processor. For airborne synthetic-aperture radars, examples of strip map imagery from the multi-frequency SAR 580 radar, the experimental Canadian DND synthetic-aperture radar, and others are shown.</t>
  </si>
  <si>
    <t>45-57</t>
  </si>
  <si>
    <t>Vant, Malcolm R.</t>
  </si>
  <si>
    <t>Defence Research and Development Canada</t>
  </si>
  <si>
    <t>Vant M.</t>
  </si>
  <si>
    <t>Synthetic aperture radar signal processing</t>
  </si>
  <si>
    <t>2-s2.0-0024768397</t>
  </si>
  <si>
    <t>['voltage generator', 'two sources', 'standing dilemma', 'power generated', 'impedance za', 'current sources', 'current generator', 'completely determined', 'combining voltage', 'available power', 'aperture antenna']</t>
  </si>
  <si>
    <t>The commonly used equivalent circuit based on a constant-voltage generator does not correctly characterise scattering by an aperture antenna, nor does its dual, the constant-current generator. This long-standing dilemma has been resolved by combining voltage and current sources to form a constant power source. The power generated by this source is equated to the available power in a plane wave incident on the aperture. The voltage and current of the two sources and their respective internal impedances are then completely determined from a knowledge of the aperture area A0, the impedance ZA, the aperture efficiency Œ∑0 and the relative power pattern p(Œ∏, œÜ) of the antenna.</t>
  </si>
  <si>
    <t>Love, A. W.</t>
  </si>
  <si>
    <t>Canoga Park</t>
  </si>
  <si>
    <t>Rockwell International</t>
  </si>
  <si>
    <t>Love A.</t>
  </si>
  <si>
    <t>Equivalent circuit for aperture antennas</t>
  </si>
  <si>
    <t>2-s2.0-0024768822</t>
  </si>
  <si>
    <t>['sidelobe characteristic', 'reflector size', 'realizable efficiency', 'optimum design', 'high efficiency', 'computer simulation']</t>
  </si>
  <si>
    <t>A shaped reflector design is discussed for a small-size offset dual reflector. By computer simulation, the relationship between the reflector size, the realizable efficiency and sidelobe characteristic is pointed out. Based on these findings, an optimum design is carried out for a 1.2 m-shaped offset Gregorian antenna for a Kuband small earth station. The fabricated antenna attained an extremely low sidelobe level (less than 25-25 log Œ∏ dBi) and high efficiency (greater than 72 percent). Hence, the validity of the antenna design method is confirmed. At the same time, realization of very small aperture terminals is attained.</t>
  </si>
  <si>
    <t>60021208;60021208</t>
  </si>
  <si>
    <t>7102999195;57201551756</t>
  </si>
  <si>
    <t>Nomoto, Shinichi;Watanabe, Fumio</t>
  </si>
  <si>
    <t>KDDI Corporation</t>
  </si>
  <si>
    <t>Nomoto S.</t>
  </si>
  <si>
    <t>Shaped reflector design for small-size offset dual reflector antennas</t>
  </si>
  <si>
    <t>2-s2.0-0024769271</t>
  </si>
  <si>
    <t>['reference signal', 'radio transmitters', 'performance characteristics', 'multichannel circuits', 'determined solely', 'design features', 'cpl parameters', 'cpl ).', 'circuit increases', 'authors analyze', 'aps operation']</t>
  </si>
  <si>
    <t>In designing automatic phasing systems (APS) for the multichannel circuits of radio transmitters and active phased antenna arrays the adjacent channel output signal can be used as the reference signal for each closed phase loop (CPL). In this case the performance characteristics of the automatic phasing system will deteriorate as the number of channels in the circuit increases. The authors analyze the design features of an automatic phasing system that employs a common reference signal which gives improved stability of the output phase distribution. This analysis of APS operation which utilizes a common reference signal has made it possible to obtain a phasing quality indepedent of the input signal spectrum and determined solely by the CPL parameters. These systems can be used to control the output phase distribution.</t>
  </si>
  <si>
    <t>52-54</t>
  </si>
  <si>
    <t>Pirkhavka, A. P.</t>
  </si>
  <si>
    <t>Pirkhavka A.</t>
  </si>
  <si>
    <t>Automatic phasing of a multichannel circuit with respect to a common reference signal</t>
  </si>
  <si>
    <t>2-s2.0-0024769793</t>
  </si>
  <si>
    <t>['radiation control', 'periodic arrangement', 'patch resonators', 'microstrip spirals', 'lossy substrates', 'better efficiency']</t>
  </si>
  <si>
    <t>A novel wideband microstrip antenna using a series-fed linear array of patch resonators in a log-periodic arrangement is described. A 9-element example gives good input v.s.w.r. and radiation control over a 30% bandwidth with better than 70% efficiency. The new array configuration gives wider bandwidth than single-layer or stacked microstrip patches combined with better efficiency than patches on lossy substrates or microstrip spirals.</t>
  </si>
  <si>
    <t>New wideband microstrip antenna using log-periodic technique</t>
  </si>
  <si>
    <t>2-s2.0-0024769852</t>
  </si>
  <si>
    <t>['studied experimentally', 'magnetic spectra', 'magnetic relaxation', 'ferrite cores', 'devices based', 'demagnetizing effects', 'analyzed taking']</t>
  </si>
  <si>
    <t>Magnetic spectra in ferrite cores have been studied experimentally and theoretically to determine the possibility of broadening the working frequency bands of devices based on them. The problem is analyzed taking the influence of the demagnetizing effects on the magnetic relaxation into account.</t>
  </si>
  <si>
    <t>116-118</t>
  </si>
  <si>
    <t>6604043069;7004402394;6506447410</t>
  </si>
  <si>
    <t>Donets, A. M.;Fedosov, V. N.;Ochneva, L. S.</t>
  </si>
  <si>
    <t>Donets A.</t>
  </si>
  <si>
    <t>Magnetic characteristics of ferrite rods in the region of magnetic dispersion frequencies</t>
  </si>
  <si>
    <t>2-s2.0-0024769967</t>
  </si>
  <si>
    <t>['sidelobe levels', 'reflector antennas', 'radiators instead', 'radiation patterns', 'radiation characteristics', 'parabolic reflectors', 'numerical results', 'main lobe', 'induced current', 'cylindrical antennas', 'complex current']</t>
  </si>
  <si>
    <t>A technique for improving the efficiency of reflector antennas by increasing the gain and lowering the levels of the sidelobes of the far field pattern is investigated. The technique is based on using an array of radiators instead of a single feed element. The number of radiators are selected to be as minimum as possible to facilitate the actual design procedure. The method of moments is then used to evaluate the induced current on the surface of the antenna from which the aperture field distribution, far field pattern and the radiation characteristics of the antenna are computed. The position, amplitude and phase of the complex current of each radiator are optimized in order to enhance the main lobe and suppress the sidelobes by minimizing the effect of edge diffracted fields. Numerical results for the radiation patterns, gain and sidelobe levels for a class of cylindrical antennas such as strip, corner, circular and parabolic reflectors are analyzed and presented.</t>
  </si>
  <si>
    <t>362-369</t>
  </si>
  <si>
    <t>Elsherbeni, Atef Z.</t>
  </si>
  <si>
    <t>Elsherbeni A.</t>
  </si>
  <si>
    <t>High gain cylindrical reflector antennas with low sidelobes</t>
  </si>
  <si>
    <t>2-s2.0-0024770474</t>
  </si>
  <si>
    <t>['susceptive components', 'mutual admittances', 'longitudinal slots', 'longitudinal one', 'elliptical cylinder', 'coupling coefficient', 'analytical expressions']</t>
  </si>
  <si>
    <t>Analytical expressions are obtained for determining the external mutual admittances of transverse and longitudinal one-sided slots located on an elliptical cylinder. Results of calculations of the conductive and susceptive components of the mutual admittances are presented as functions of their location with respect to each other on the elliptical cylinder, as well as of the coupling coefficient of transverse and longitudinal slots.</t>
  </si>
  <si>
    <t>103-107</t>
  </si>
  <si>
    <t>7102485268;6504055862;6603273479</t>
  </si>
  <si>
    <t>Kravtsov, V. A.;Kratsova, G. V.;Ulasik, O. A.</t>
  </si>
  <si>
    <t>Kravtsov V.A.</t>
  </si>
  <si>
    <t>Excitation of an elliptical cyclinder by slot antennas</t>
  </si>
  <si>
    <t>2-s2.0-0024770761</t>
  </si>
  <si>
    <t>['wavefront array', 'varied range', 'two types', 'second type', 'potential application', 'parallel computer', 'joint stl', 'high throughput', 'first type', 'cannot achieve', 'also outlined', 'adaptive beamforming']</t>
  </si>
  <si>
    <t>The potential application of parallel computing techniques to digital signal processing for radar is discussed and two types of regular array processor are described. The first type of processor is the systolic or wavefront array which constitutes a highly dedicated parallel processing architecture. The application of a systolic or wavefront array to adaptive beamforming is discussed and the joint STL-RSRE adaptive antenna processor test-bed is reviewed. The design of a systolic node processor chip by STL is also outlined. The second type of regular array processor is the single instruction multiple data (SIMD) parallel computer. This constitutes a highly programmable processor which cannot achieve such high throughput but offers much greater flexibility. One such processor, the Mil-DAP, is described very briefly and its application to a varied range of radar signal processing tasks is discussed.</t>
  </si>
  <si>
    <t>58-69</t>
  </si>
  <si>
    <t>Mc Whirter, John G.</t>
  </si>
  <si>
    <t>Mc Whirter J.</t>
  </si>
  <si>
    <t>Parallel signal processing</t>
  </si>
  <si>
    <t>2-s2.0-0024771098</t>
  </si>
  <si>
    <t>['single experiment', 'received waveforms', 'photoconductive sampling', 'dielectric properties', '15 ghz', '140 ghz']</t>
  </si>
  <si>
    <t>A new technique characterizing the dielectric properties of materials is presented. Broadband antenna structures are used to radiate and receive electromagnetic transients from optoelectronically generated picosecond electrical pulses. The received waveforms are recovered by photoconductive sampling. The system is used to determine the complex dielectric constants of materials from 15 GHz to 140 GHz, in a single experiment.</t>
  </si>
  <si>
    <t>7004102516;6602459372;7003917289;6604060955</t>
  </si>
  <si>
    <t>Arjavalingam, G.;Pastol, Y.;Halbout, J. M.;Kopcsay, G. V.</t>
  </si>
  <si>
    <t>Arjavalingam G.</t>
  </si>
  <si>
    <t>Application of picosecond optoelectronics in broadband microwave material measurements</t>
  </si>
  <si>
    <t>2-s2.0-0024771307</t>
  </si>
  <si>
    <t>['relay system', 'new medium', 'local networks', 'higher reliability', 'flexible adaptability', 'economical digitization']</t>
  </si>
  <si>
    <t>A new medium-capacity digital radio-relay system, the 11G-50M, has been developed for economical digitization of local networks. This system features improved economy, higher reliability and flexible adaptability to the Network Node Interface of the new Synchronous Digital Hierarchy.</t>
  </si>
  <si>
    <t>56-60</t>
  </si>
  <si>
    <t>36730030700;7402048199</t>
  </si>
  <si>
    <t>Ohara, Takashi;Hara, Hiroto</t>
  </si>
  <si>
    <t>Ohara T.</t>
  </si>
  <si>
    <t>New 11 GHz 52 Mb/s digital radio-relay system</t>
  </si>
  <si>
    <t>2-s2.0-0024771408</t>
  </si>
  <si>
    <t>['polarization structure', 'polarization parameters', 'polarization nonorthogonality', 'geometric axis', 'far zone', 'errors made', 'energy spur']</t>
  </si>
  <si>
    <t>Polarization nonorthogonality of signals is analyzed; it occurs when the beam of a phased anntenna arrau deviated from the geometric axis of the antenna. The analysis is based on expressions that describes the polarization structure of the far zone of the phased antenna array. The energy spur of the polarization scattering matrix is used as an example to illustrate the magnitude of the errors made when determining the polarization parameters of signals, which occur as a result of distortions of the field polarization structure when the antenna beam deviates from the geometric axis.</t>
  </si>
  <si>
    <t>7004244215;6504271687</t>
  </si>
  <si>
    <t>Kazakov, Ye L.;Kavin, Yu A.</t>
  </si>
  <si>
    <t>Kazakov Y.</t>
  </si>
  <si>
    <t>Effect of deviation of a phased antenna array beam from the geometric axis of the antenna on the polarization structure of the field of the emmitted and received signals</t>
  </si>
  <si>
    <t>2-s2.0-0024771655</t>
  </si>
  <si>
    <t>['technical summaries', 'research workers', 'representative selection', 'reached maturity', 'production facilities', 'practical systems', 'phased arrays', 'paper aims', 'operational users', 'general principles', 'development laboratories', 'briefly discussed']</t>
  </si>
  <si>
    <t>Phased array radar is a subject that continues to attract considerable interest and attention from research workers, development laboratories, production facilities and operational users. It might be considered that the exploitation and application of technology into practical systems has been slow. This is largely as a result of the complexity and cost of the radars. This paper aims to summarize some of the more important tactical phased array radars for defence which have reached maturity. The general principles and characteristics of phased arrays are briefly discussed. Finally, technical summaries are given for a representative selection of candidate future operational systems. These descriptions are based upon systems under development in Europe.</t>
  </si>
  <si>
    <t>18-24</t>
  </si>
  <si>
    <t>Pell, Christopher</t>
  </si>
  <si>
    <t>Ministry of Defence, United Kingdom</t>
  </si>
  <si>
    <t>Pell C.</t>
  </si>
  <si>
    <t>Phased array radars - Present and future</t>
  </si>
  <si>
    <t>2-s2.0-0024772167</t>
  </si>
  <si>
    <t>1139-1146</t>
  </si>
  <si>
    <t>Soviet Applied Mechanics</t>
  </si>
  <si>
    <t>7003396524;6507670977</t>
  </si>
  <si>
    <t>Kayuk, Ya F.;Pyatov, A. L.</t>
  </si>
  <si>
    <t>Kayuk Y.F.</t>
  </si>
  <si>
    <t>Motion of a rigid body hinged to a deformable rod</t>
  </si>
  <si>
    <t>10.1007/BF00889000</t>
  </si>
  <si>
    <t>2-s2.0-0025421948</t>
  </si>
  <si>
    <t>['windward tracks', 'wind orientation', 'weak preference', 'walking direction', 'twenty percent', 'stable courses', 'spontaneous change', 'slight preference', 'several minutes', 'population shows', 'orientation system', 'orientation relative', 'one direction', 'new course', 'instantaneous value', 'individual beetles', 'horizontal surface', 'characteristic curve', 'carrion beetles', 'beetles walking', 'beetles show', 'beetles display', 'angular velocity', 'anemotactic course', 'analysed population', 'air flow', 'air current', '8 ).', '7c ).', '6 ).', '5 cm', '4 ).', '3b ).', '3 ¬∞/', '152 beetles', '10 ).', '1 ).', '0 cm']</t>
  </si>
  <si>
    <t>The wind-orientation of carrion beetles (Necrophorus humator F.) was studied by use of a locomotion-compensator. 1. Beetles walking on a horizontal surface for periods of several minutes in a dark environment without an air current and other orientational stimuli seldom keep straight paths. They walk along individually different circular paths (Fig. 1). The mean walking speed is 5.6¬±1.0 cm/s. The mean of the angular velocity reaches maximally 25 ¬∞/s for individual beetles (mean angular velocity of the analysed population of 152 beetles: 1.9¬±9.3 ¬∞/s). The distribution of the mean walking directions of the population shows that the beetles display no preference for one direction (Fig. 3 A). The instantaneous value of the individual angular velocity is independent of the instantaneous walking direction. 2. During exposure to an air current the individual beetles keep straight and stable courses with any orientation relative to the direction of air flow (Fig. 4). The mean walking directions of 76 individuals point in all directions but there is a weak preference of windward tracks (Fig. 3B). 3. Wind orientated walking starts at a threshold wind velocity of about 5 cm/s (Fig. 6). The walking tracks straighten with increasing air current velocity. This leads to a narrowing of the distribution of the instantaneous walking directions around the preferred walking direction (Fig. 7C). This narrowing is due to an increase in the slope of the characteristic curve (angular velocity as a function of walking direction) of the wind-orientation system. 4. Twenty percent of the beetles show a spontaneous change of their anemotactic course during walks of 5 min duration. Neither the time of the change, its position on the track or the direction of the new course are predictable. There is, however, a slight preference for 90¬±20¬∞ changes in the walking direction (Fig. 8). 5. The antennae (Fig. 9) act as the only sense organs responsible for the wind orientation. The capability for wind orientated walks is lost after ablation of both flagella (Fig. 10). ¬© 1989 Springer-Verlag.</t>
  </si>
  <si>
    <t>775-786</t>
  </si>
  <si>
    <t>6602085573;16427258300</t>
  </si>
  <si>
    <t>Heinzel, Hans Georg;B√∂hm, Hartmut</t>
  </si>
  <si>
    <t>Heinzel H.</t>
  </si>
  <si>
    <t>The wind-orientation of walking carrion beetles</t>
  </si>
  <si>
    <t>10.1007/BF00616749</t>
  </si>
  <si>
    <t>2-s2.0-0342967839</t>
  </si>
  <si>
    <t>['without correcting', 'values indicate', 'small fractional', 'routinely measure', 'receiver temperature', 'optical loss', 'optical efficiency', 'noise temperature', 'mixer noise', 'mixer diode', 'measured mixer', 'lo frequency', 'frequencies imply', 'dsb ).', 'conversion loss', 'band flatness', 'band centered', 'accurately measured', '803 ghz', '8 ghz', '5 db', '4 ghz', '3150 k', '2850 k', '1600 k', '1 ghz', '1 db']</t>
  </si>
  <si>
    <t>corner cube mixer structures | radio astronomy | Schottky diode mixers | submillimeter radiometers</t>
  </si>
  <si>
    <t>We accurately measured the noise temperature and conversion loss of a cryogenically cooled Schottky diode operating near 800 GHz, using the UCB/MPE Submillimeter Receiver at the James Clerk Maxwell Telescope. The receiver temperature was in the range of the best we now routinely measure, 3150 K (DSB). Without correcting for optical loss or IF mismatch, the raw measurements set upper limits of TM=2850 K and LM=9.1 dB (DSB), constant over at least a 1 GHz IF band centered at 6.4 GHz with an LO frequency of 803 GHz. Correction for estimated optical coupling and mismatch effects yields TM=1600 K and LM=5.5 dB (DSB) for the mixer diode itself. These values indicate that our receiver noise temperature is dominated by the corner cube antenna's optical efficiency and by mixer noise, but not by conversion loss or IF mismatch. The small fractional IF bandwidth, measured mixer IF band flatness from 2 to 8 GHz, and similarly good receiver temperatures at other IF frequencies imply that these values are representative over a range of frequencies near 800 GHz. ¬© 1989 Plenum Publishing Corporation.</t>
  </si>
  <si>
    <t>1371-1376</t>
  </si>
  <si>
    <t>60074065;60074065;60074065;60074065</t>
  </si>
  <si>
    <t>7404039701;7004472853;7005775718;35499152300</t>
  </si>
  <si>
    <t>Harris, A. I.;Stutzki, J.;Graf, U. U.;Genzel, R.</t>
  </si>
  <si>
    <t>Max Planck Institute for Physics and Astrophysics</t>
  </si>
  <si>
    <t>Harris A.</t>
  </si>
  <si>
    <t>Measured mixer noise temperature and conversion loss of a cryogenic Schottky diode mixer near 800 GHz</t>
  </si>
  <si>
    <t>10.1007/BF01010128</t>
  </si>
  <si>
    <t>2-s2.0-22244451909</t>
  </si>
  <si>
    <t>['wide range', 'thus compounds', 'third group', 'permit prediction', 'compounds tested', 'compounds presented', 'behavioral responses', 'behavioral assays']</t>
  </si>
  <si>
    <t>American cockroach | attractants | bioassays | Blattidae | chemical stimulation | EAG | electroantennogram | Electroantennography | mimics | Orthoptera | Periplaneta americana | pheromones | repellents</t>
  </si>
  <si>
    <t>Determination of electroantennograms (EAGs) with an electroantennometer having a positive and a negative peak detection option, and with a stimulus delivery device providing local stimulation of the antenna of P. americana, allowed for the detection of three typical EAG patterns for a wide range of compounds tested. Some of the compounds presented at least one positive EAG peak (0.1-0.3 mV), others showed a single negative EAG peak (-1.0 to -1.1 mV), and a third group had more than one negative EAG peak (-0.2 to -0.8 mV). These EAG results correlate with behavioral assays of P. americana. Thus compounds having a positive EAG response act as repellents, while those having negative EAG responses act as attractants, depending on concentration. EAG patterns thus can permit prediction of behavioral responses of P. americana. ¬© 1989 Plenum Publishing Corporation.</t>
  </si>
  <si>
    <t>2539-2548</t>
  </si>
  <si>
    <t>60023383;60023383;60023383</t>
  </si>
  <si>
    <t>7202685275;7101996616;6602207175</t>
  </si>
  <si>
    <t>Contreras, M. L.;Perez, D.;Rozas, R.</t>
  </si>
  <si>
    <t>Chile</t>
  </si>
  <si>
    <t>Santiago</t>
  </si>
  <si>
    <t>Universidad de Santiago de Chile</t>
  </si>
  <si>
    <t>Contreras M.</t>
  </si>
  <si>
    <t>Empirical correlations between electroantennograms and bioassays for Periplaneta americana</t>
  </si>
  <si>
    <t>10.1007/BF01014730</t>
  </si>
  <si>
    <t>2-s2.0-34248656800</t>
  </si>
  <si>
    <t>['showing affinities', 'segmented urosome', 'segmented one', 'relative length', 'purgata sp', 'posterior corners', 'pedigers 2', 'new genus', 'francis group', 'crassicephala sp', 'best distinguished', '5th legs', '1st antennae']</t>
  </si>
  <si>
    <t>Two new copepods were found in an inland marine cave in Bohol. The new genus, Boholina, is considered to belong to a family of its own, the Boholiniidae, showing affinities to both the Pseudocyclopidae and the Ridgewayiidae. The species have fused pedigers 4 and 5, a 3-segmented urosome in the female and a 4-segmented one in the male. The 5th legs and the widely separate gonopores in females are reminiscent of species of Pseudo- cyclops. The cephalosome is reminiscent of species of Ridgewayia. The two species B. crassicephala sp.n. and B. purgata sp.n. are best distinguished from each other by their relative length of the 1st antennae, the shape of the posterior corners of pedigers 2 and 3, and 5th legs of the males. ¬© 1989 Taylor &amp; Francis Group, LLC.</t>
  </si>
  <si>
    <t>201-208</t>
  </si>
  <si>
    <t>Sarsia</t>
  </si>
  <si>
    <t>60029622;60072836</t>
  </si>
  <si>
    <t>6603621077;7003379168</t>
  </si>
  <si>
    <t>Fosshagen, Audun;Iliffe, Thomas M.</t>
  </si>
  <si>
    <t>Bermuda;Norway</t>
  </si>
  <si>
    <t>Saint George;Bergen</t>
  </si>
  <si>
    <t>Bermuda Institute of Ocean Sciences;Universitetet i Bergen</t>
  </si>
  <si>
    <t>60072836;60029622</t>
  </si>
  <si>
    <t>Fosshagen A.</t>
  </si>
  <si>
    <t>Boholina, a new genus (Copepoda: Calanoida) with two new species from an anchialine cave in the Philippines</t>
  </si>
  <si>
    <t>10.1080/00364827.1989.10413429</t>
  </si>
  <si>
    <t>2-s2.0-0040594014</t>
  </si>
  <si>
    <t>['¬© 1989', 'triad molecule', 'successfully attained', 'sensitizer moiety', 'photoelectric conversion', 'light harvesting', 'harvesting pyrene', 'finally converted', 'fatty acid', 'emission spectrum', 'efficiently transferred', 'antenna pyrene', 'antenna pigment', 'antenna molecules', 'alkyl chain', 'absorption spectrum']</t>
  </si>
  <si>
    <t>Simulation of photoelectric conversion in the photosynthetic reaction centre by a monomolecular layer assembly was successfully attained by using a newly synthesized linear A-S-D triad as a charge separation unit and an antenna pigment for light harvesting. The synthetic amphiphilic triad molecule has three functional moieties within a molecule, i.e. a hydrophilic electron acceptor viologen (A), a hydrophobic sensitizer perylene (S) and a hydrophobic electron donor ferrocene (D) moiety. The amphiphilic antenna molecule has a light-harvesting pyrene (H) moiety in the middle of the alkyl chain of fatty acid. Because of overlap of the emission spectrum of the antenna pyrene and the absorption spectrum of the sensitizer perylene moiety of the triad, light energies harvested by the antenna molecules were efficiently transferred to the sensitizer moiety of the triad and finally converted to electrical energies via multistep electron transfer across the monolayer through the charge separation unit of the triad molecule in the highly oriented monolayer assembly. ¬© 1989.</t>
  </si>
  <si>
    <t>43-50</t>
  </si>
  <si>
    <t>Thin Solid Films</t>
  </si>
  <si>
    <t>7005585631;6603138926;57206104837</t>
  </si>
  <si>
    <t>Fujihira, Masamichi;Sakomura, Masaru;Kamei, Takahiro</t>
  </si>
  <si>
    <t>Fujihira M.</t>
  </si>
  <si>
    <t>Simulation of the primary process in photosynthetic reaction centre by monolayer with charge separation triad and antenna molecules</t>
  </si>
  <si>
    <t>10.1016/0040-6090(89)90052-7</t>
  </si>
  <si>
    <t>2-s2.0-0024770725</t>
  </si>
  <si>
    <t>['various species', 'temperature range', 'sphaeroides w', 'special pair', 'rb .)', 'probing pulses', 'decay rates', 'activation energy', '40 ps', '300 k', '100 k']</t>
  </si>
  <si>
    <t>energy transfer | Rhodobacter sphaeroides | Rhodospirillum rubrum | temperature dependence</t>
  </si>
  <si>
    <t>Decay of the bacteriochlorophyll excited state was measured in membranes of the purple bacteria Rhodospirillum (R.) rubrum, Rhodobacter (Rb.) sphaeroides wild type and Rb. sphaeroides mutant M21 using low intensity picosecond absorption spectroscopy. The excitation and probing pulses were chosen in the far red wing of the long wavelength absorption band, such that predominantly the minor antenna species B896 was excited. The decay of B896 was studied between 77 and 177K under conditions that the traps were active. In all species the B896 excited state decay is almost temperature independent between 100 and 177K, and probably between 100 and 300 K. In this temperature range the decay rates for the various species are very similar and close to 40 ps. Below 100 K this rate remains temperature independent in Rb. sphaeroides w. t. and M21, while in R. rubrum a steep decrease sets in. An analysis of this data with the theory of nuclear tunneling indicates an activation energy for the final transfer step from B896 to the special pair of 70cm-1 for R. rubrum and 30cm-1 or less for Rb. sphaeroides. ¬© 1989 Kluwer Academic Publishers.</t>
  </si>
  <si>
    <t>211-217</t>
  </si>
  <si>
    <t>60008734;60031040;60031040;60001881;60008734</t>
  </si>
  <si>
    <t>7004704010;24371778100;7006706612;13105070700;35599806700</t>
  </si>
  <si>
    <t>Visscher, K. J.;Bergstr√∂m, H.;Sundstr√∂m, V.;Hunter, C. N.;Van Grondelle, R.</t>
  </si>
  <si>
    <t>Sweden;Netherlands;United Kingdom</t>
  </si>
  <si>
    <t>Umea;Amsterdam;Sheffield</t>
  </si>
  <si>
    <t>Ume√• Universitet;Vrije Universiteit Amsterdam;The University of Sheffield</t>
  </si>
  <si>
    <t>60031040;60008734;60001881</t>
  </si>
  <si>
    <t>Visscher K.J.</t>
  </si>
  <si>
    <t>Temperature dependence of energy transfer from the long wavelength antenna BChl-896 to the reaction center in Rhodospirillum rubrum, Rhodobacter sphaeroides (w.t. and M21 mutant) from 77 to 177K, studied by picosecond absorption spectroscopy</t>
  </si>
  <si>
    <t>10.1007/BF00048300</t>
  </si>
  <si>
    <t>2-s2.0-0000262420</t>
  </si>
  <si>
    <t>['spectral features', 'redox state', 'ps1 particles', 'primary acceptor', 'oxidising p700', 'organisation links', 'optical density', 'nanosecond lifetime', 'lower limit', 'low energy', 'excitation energy', 'data presented', 'conditions used', 'become decoupled', 'a0 ).', '5 ps']</t>
  </si>
  <si>
    <t>electron transfer | energy transfer | Photosystem One | picosecond absorption spectroscopy | primary electron acceptor A 0 | primary electron donor P700</t>
  </si>
  <si>
    <t>It is found that the two singlet state lifetimes observed in medium sized isolated Photosystem One reaction centres belong to two distinct sets of particles. The nanosecond lifetime is due to PS1 particles in which P700 does not trap excitation energy, and the excitation energy is homogeneously distributed within the antennae of these particles. The spectral features of the picosecond component show that excitation energy in the antenna has become largely concentrated in one or more low energy (red) chlorophyll species within 3.5 ps. Antennae which have become decoupled from P700 also appear to be decoupled from these red "ancillary" chlorophylls, and this suggests that some substructure or level of organisation links them to P700. The rate of quenching of antenna singlet states appears to be independent of the redox state of P700 under the conditions used here, and oxidising P700 does not prevent excitation energy from reaching the red chlorophyll species in the antenna. We find no evidence in the data presented here of a chlorophyll molecule acting as a "metastable" primary acceptor (A0). The lower limit for the detection of such a species in these data is 20% of the optical density of the transient P700 bleach. ¬© 1989 Kluwer Academic Publishers.</t>
  </si>
  <si>
    <t>277-284</t>
  </si>
  <si>
    <t>60015150;60015150;60015150;60015150;60015150</t>
  </si>
  <si>
    <t>57202638608;8841847600;6602419137;7402350514;7201922609</t>
  </si>
  <si>
    <t>Klug, D. R.;Giorgi, L. B.;Crystall, B.;Barber, J.;Porter, G.</t>
  </si>
  <si>
    <t>Imperial College London</t>
  </si>
  <si>
    <t>Klug D.</t>
  </si>
  <si>
    <t>Energy transfer to low energy chlorophyll species prior to trapping by P700 and subsequent electron transfer</t>
  </si>
  <si>
    <t>10.1007/BF00048305</t>
  </si>
  <si>
    <t>2-s2.0-0000418654</t>
  </si>
  <si>
    <t>['refractive index', 'predictable behavior', 'fused silica', 'frequency band', 'experimental setup', 'dispersion properties', 'absorption coefficient']</t>
  </si>
  <si>
    <t>We describe coherent microwave transient spectroscopy experiments using picosecond optoelectronic integrated antennas. The effectiveness of the experimental setup for the measurement of the loss and dispersion properties of materials in the 10-125 GHz range is characterized using microwave filters of predictable behavior. We also present measurements of the absorption coefficient and refractive index of fused silica over this frequency band.</t>
  </si>
  <si>
    <t>307-309</t>
  </si>
  <si>
    <t>Applied Physics Letters</t>
  </si>
  <si>
    <t>Coherent broadband microwave spectroscopy using picosecond optoelectronic antennas</t>
  </si>
  <si>
    <t>10.1063/1.101554</t>
  </si>
  <si>
    <t>2-s2.0-0000650579</t>
  </si>
  <si>
    <t>['resistive transition', 'much faster', 'modulation frequencies', 'millimeter waves', 'mechanically stronger', 'low 1', 'high quality', 'far infrared', 'f noise', 'easily fabricated', '10 khz']</t>
  </si>
  <si>
    <t>We propose an antenna-coupled microbolometer based on the resistive transition of a high Tc superconducting film as a detector for far infrared and millimeter waves. Such microbolometers can be mechanically stronger, more easily fabricated, and much faster than conventional bolometric infrared detectors. A design analysis shows that a noise equivalent power of 2.5√ó10-12 W Hz-1/2 is achievable for modulation frequencies up to 10 kHz. The superconducting film must be of high quality with narrow resistive transition and low 1/f noise.</t>
  </si>
  <si>
    <t>2444-2446</t>
  </si>
  <si>
    <t>7403214762;7201484168</t>
  </si>
  <si>
    <t>Hu, Qing;Richards, P. L.</t>
  </si>
  <si>
    <t>Design analysis of a high T&lt;inf&gt;c&lt;/inf&gt; superconducting microbolometer</t>
  </si>
  <si>
    <t>10.1063/1.101998</t>
  </si>
  <si>
    <t>2-s2.0-0012689495</t>
  </si>
  <si>
    <t>['volatiles released', 'trap captures', 'stimulus concentrations', 'single sensilla', 'significantly different', 'sexual behavior', 'reduce pheromone', 'ol formate', 'major component', 'increasing doses', 'hexadecenal elicited', 'extracellular responses', 'chemical analogs', 'calling females', 'antennae respond', 'although neither']</t>
  </si>
  <si>
    <t>atmospheric permeation | disruption | Heliothis zea (Boddie) | Lepidoptera | neurophysiology | Noctuidae | Pheromone</t>
  </si>
  <si>
    <t>For some species, chemical analogs have been identified that can substitute for the major pheromone component and reduce pheromone-trap captures in atmospheric permeation experiments. The ability to substitute these analogs for the major pheromone component in field tests raises the question: Do the same set of olfactory receptor neurons on the insects' antennae respond to both the major component and the effective structural analogs? To investigate this question, extracellular responses were recorded from single sensilla on the antennae of male Heliothis zea (Boddie) (Lepidoptera: Noctuidae) to stimulation with increasing doses of (Z)-11-hexadecenal, the major pheromone component, (Z)-9-tetradecen-1-ol formate, and (Z)-1,12-heptadecadiene. Both (Z)-9-tetradecen-1-ol formate and (Z)-1,12-heptadecadiene can substitute for (Z)-11-hexadecenal in trap disruption experiments and affect the sexual behavior of males, although neither has been identified in the volatiles released by calling females. All three compounds elicited responses from the same class of pheromone-sensitive receptor neurons over a range of stimulus concentrations. At equivalent stimulus concentrations, however, (Z)-11-hexadecenal elicited about a 10-fold greater response than (Z)-1,12-heptadecadiene. (Z)-9-Tetradecen-1-ol formate elicited a response slightly higher than, but not significantly different from, the response to (Z)-1,12-heptadecadiene. ¬© 1989 Plenum Publishing Corporation.</t>
  </si>
  <si>
    <t>2625-2634</t>
  </si>
  <si>
    <t>60103678;60103678;60103678</t>
  </si>
  <si>
    <t>7402445350;7402465354;7004006558</t>
  </si>
  <si>
    <t>Grant, Alan J.;Mayer, M. S.;Mankin, R. W.</t>
  </si>
  <si>
    <t>Grant A.</t>
  </si>
  <si>
    <t>Responses from sensilla on antennae of male Heliothis zea to its major pheromone component and two analogs</t>
  </si>
  <si>
    <t>10.1007/BF01014721</t>
  </si>
  <si>
    <t>2-s2.0-0013118334</t>
  </si>
  <si>
    <t>['two materials', 'refractive indices', 'polarization sensitivity', 'optic axis', 'measured using', 'frequency range', 'experimental apparatus', 'electric field', 'dispersion properties', 'dependent transmission', 'crystal quartz', 'also studied', 'absorption coefficients', '130 ghz']</t>
  </si>
  <si>
    <t>Absorption and dispersion properties of sapphire and crystal quartz between 15 and 130 GHz were measured using the freely propagating transient radiation from optoelectronically pulsed integrated antennas. The polarization sensitivity of the experimental apparatus was characterized and used to obtain the absorption coefficients and refractive indices in the above frequency range for both ordinary and extraordinary beam propagation. We also studied the frequency-dependent transmission (amplitude and phase) of these two materials as a function of the angle between the electric field and the optic axis.</t>
  </si>
  <si>
    <t>2277-2279</t>
  </si>
  <si>
    <t>6602459372;7004102516;6604060955;7003917289</t>
  </si>
  <si>
    <t>Pastol, Y.;Arjavalingam, G.;Kopcsay, G. V.;Halbout, J. M.</t>
  </si>
  <si>
    <t>Dielectric properties of uniaxial crystals measured with optoelectronically generated microwave transient radiation</t>
  </si>
  <si>
    <t>10.1063/1.102357</t>
  </si>
  <si>
    <t>2-s2.0-0013447697</t>
  </si>
  <si>
    <t>['ptfe tube', 'ionising radiation', 'hence patients', 'differing extents', 'delivered outside', 'collum uteri', 'authors designed', 'antennas operate', '680 mhz', '2450 mhz']</t>
  </si>
  <si>
    <t>The authors designed and tested two microwave applicators suitable for intracavitary hyperthermia treatment of advanced cancer colli uteri in combination with ionising radiation. The antennas operate at the frequencies of 2450 MHz and 680 MHz. Hence patients with differing extents of tumour growth along the collum uteri can be treated. The antenna is covered with a PTFE tube to form an applicator. The absorption in the tube is very low, and consequently the power is delivered outside the tube.</t>
  </si>
  <si>
    <t>1917-1921</t>
  </si>
  <si>
    <t>Physics in Medicine and Biology</t>
  </si>
  <si>
    <t>60000990;60000990;;;</t>
  </si>
  <si>
    <t>7201570003;56406315500;24572541900;57199593934;57196760531</t>
  </si>
  <si>
    <t>Roos, D.;Hamnerius, Y.;Alpsten, M.;Borghede, G.;Friberg, L.</t>
  </si>
  <si>
    <t>Roos D.</t>
  </si>
  <si>
    <t>Two microwave applicators for intracavitary hyperthermia treatment of cancer colli uteri</t>
  </si>
  <si>
    <t>10.1088/0031-9155/34/12/013</t>
  </si>
  <si>
    <t>2-s2.0-0024314121</t>
  </si>
  <si>
    <t>['transneuronal degeneration', 'synaptic relationships', 'synaptic glomeruli', 'swollen mitochondria', 'subsurface cisterns', 'substantia gelatinosa', 'spinothalamic tract', 'sg cells', 'severe degeneration', 'sciatic nerve', 'rhesus monkeys', 'relay impulses', 'projection cells', 'modular units', 'mitochondrial swelling', 'mild form', 'innocuous inputs', 'free ribosomes', 'evaluate noxious', 'endoplasmic reticulum', 'dense material', 'cytoplasmic alterations', 'conspicuous shrinkage', 'cisternal elements', 'central terminals']</t>
  </si>
  <si>
    <t>Connections | Rhesus monkey | Spinal cord | Subsurface cisterns | Transganglionic degenerative atrophy | Transneuronal degeneration | Wiring</t>
  </si>
  <si>
    <t>Transection of the sciatic nerve in Rhesus monkeys and the consequent transganglionic degenerative atrophy (TDA) of central terminals of primary afferents result in transneuronal degeneration of substantia gelatinosa (SG) cells. Severe degeneration is characterized by an increased electron density of the nucleus and by conspicuous shrinkage of the cytoplasm, mitochondrial swelling, dilation of cisterns of the rough-surfaced endoplasmic reticulum, accumulation of free ribosomes and an electron-dense material in the cytoplasm. In the mild form, dilation of cisternal elements of the endoplasmic reticulum, swollen mitochondria and accumulation of free ribosomes takes place. About 10% of SG cells in segment L5 undergo the severe form whereas the rest shows signs of the mild form. Cytoplasmic alterations that occur during transneuronal degeneration seem to start at the level of subsurface cisterns. Dendrites and axons of transneuronally degenerating SG cells also show a conspicuous electron density. By analyzing the synaptic relationships of such "darkened" dendrites, connections in the upper dorsal horn can be deciphered. Modular units of the primary nociceptive analyzer that evaluate noxious and innocuous inputs on the basis of thin versus thick (AŒ¥C/AŒ≤) afferent activity and subjecting them to descending control appear to be recruited from structurally dispersed elements of synaptic glomeruli. These are arranged alongside dendritic processes of large antenna cells which relay impulses to projection cells of the spinothalamic tract. ¬© 1989 Springer-Verlag.</t>
  </si>
  <si>
    <t>515-525</t>
  </si>
  <si>
    <t>60068464;60005455;60068464</t>
  </si>
  <si>
    <t>7003341134;7101985110;7005559742</t>
  </si>
  <si>
    <t>Knyih√°r-Csillik, Elizabeth;Rakic, Pasko;Csillik, Bert</t>
  </si>
  <si>
    <t>Hungary;United States</t>
  </si>
  <si>
    <t>Szeged;New Haven</t>
  </si>
  <si>
    <t>Szegedi Tudom√°nyegyetem √Åltal√°nos Orvostudom√°nyi Kar;Yale University</t>
  </si>
  <si>
    <t>60068464;60005455</t>
  </si>
  <si>
    <t>Knyih√°r-Csillik E.</t>
  </si>
  <si>
    <t>Transneuronal degeneration in the Rolando substance of the primate spinal cord evoked by axotomy-induced transganglionic degenerative atrophy of central primary sensory terminals</t>
  </si>
  <si>
    <t>10.1007/BF00218863</t>
  </si>
  <si>
    <t>2-s2.0-0024369378</t>
  </si>
  <si>
    <t>['test specimen', 'results obtained', 'reflected waves', 'radiation pattern', 'mentioned earlier', 'matrix theory', 'forming network', 'experimental investigations', 'experimental data', 'channel pfn', 'calculated data', 'basic system', 'acoustoelectronic pattern']</t>
  </si>
  <si>
    <t>A matrix theory of an acoustoelectronic pattern-forming network (PFN) is considered, which is intended for shaping the radiation pattern of a multibeam antenna system. To confirm the principal theoretical results, we carried out experimental investigations on a test specimen of a six-channel PFN. A comparison of the experimental and calculated functions confirms the correctness of the PFN model considered. The spread of the experimental data and their difference from the calculated data are due to the PFN fabrication errors and interference between the fundamental and reflected waves. In addition to this, diffraction effects cause some disagreement between the results obtained. These can be taken into account, as mentioned earlier, by means of the angular spectrum method, and lead to corrections to the solution of the basic system of equations.</t>
  </si>
  <si>
    <t>6701546368;7004471853;7004312487</t>
  </si>
  <si>
    <t>Kartashev, V. G.;Kuz'min, S. V.;Skachkov, V. L.</t>
  </si>
  <si>
    <t>Kartashev V.</t>
  </si>
  <si>
    <t>Matrix theory of surface acoustic wave pattern-forming networks</t>
  </si>
  <si>
    <t>2-s2.0-0024774916</t>
  </si>
  <si>
    <t>['transient effect', 'transient behaviour', 'probability methods', 'plane waves', 'green leaves', 'electrical transients', 'electrical devices', 'complex problem', 'communication systems', 'capacitance determined']</t>
  </si>
  <si>
    <t>The electrical transients in the leaves and trees may disturb our electronic and electrical devices. The reflection and refraction of the ground waves may affect the TVs and radios of our communication systems. This paper is devoted to explain the characteristics of green leaves and their transient effect on devices. A study of green leaves and trees is made to analyse them at the time of electrical transients. Since the leaves and trees create complicated problems, due to the flow of currents in the green leaves, the transient behaviour of the trees will be a complex problem. The trees and leaves themselves are antennas, therefore their effects on reflection and refraction of plane waves is interesting. Attempts are made to find transient analysis of trees with their resistance, inductance and capacitance determined with probability methods. Various RLC networks of the trees are presented to study them for antennas and transients.</t>
  </si>
  <si>
    <t>Modelling, Measurement and Control A</t>
  </si>
  <si>
    <t>100311831;100311831;100311831;100311831;100311831</t>
  </si>
  <si>
    <t>7003913804;55436641500;7102599228;7403232110;6507948503</t>
  </si>
  <si>
    <t>Chhalotra, G. P.;Chauhan, R. S.;Bhatt, B. K.;Sharma, P. C.;Uprit, M. K.</t>
  </si>
  <si>
    <t>Raipur</t>
  </si>
  <si>
    <t>Government Engineering Coll</t>
  </si>
  <si>
    <t>Chhalotra G.</t>
  </si>
  <si>
    <t>Simulation of electrical transients problems in green leaves and trees</t>
  </si>
  <si>
    <t>2-s2.0-0024775003</t>
  </si>
  <si>
    <t>['monochromatic signals', 'counting algorithms']</t>
  </si>
  <si>
    <t>Nonparametric signal detection and counting algorithms are synthesized and discussed for application to detection and counting of monochromatic signals of known frequency tracked by a linear equidistant antenna array (AA) for the case where space-time white noise is present. Results are given from statistical computer modeling of the synthesized signal detection and counting algorithms.</t>
  </si>
  <si>
    <t>108-115</t>
  </si>
  <si>
    <t>7003496334;6507354623</t>
  </si>
  <si>
    <t>Konovalov, L. N.;Merkulenko, I. D.</t>
  </si>
  <si>
    <t>Konovalov L.</t>
  </si>
  <si>
    <t>Nonparametric signal detection and counting algorithms for output signals from an equidistant antenna array</t>
  </si>
  <si>
    <t>2-s2.0-0024776371</t>
  </si>
  <si>
    <t>['voltage distribution', 'resonator walls', 'metal surfaces', 'holes cut', 'frequently employed', 'developments using', 'current distribution', 'antenna techniques', 'also presented']</t>
  </si>
  <si>
    <t>In antenna techniques, methods of measuring induced electromotive force (EMF) and magnetomotive (MMF) are frequently employed which are used to calculate the current distribution in dipoles and the voltage distribution on slots and holes cut into the waveguide or resonator walls, and also in any other metal surfaces. In general, these methods are developments using the well-known Galerkin method applicable to dipoles and slots. A review of direct methods applicable to antenna and transmission lines devices is presented. Some new methods developed by the author are also presented.</t>
  </si>
  <si>
    <t>63-70</t>
  </si>
  <si>
    <t>Fel'd, Ya N.</t>
  </si>
  <si>
    <t>Direct methods in antenna theory</t>
  </si>
  <si>
    <t>2-s2.0-0024776860</t>
  </si>
  <si>
    <t>['special features', 'rf region', 'permeability dispersion', 'noise matching']</t>
  </si>
  <si>
    <t>The special features of the noise matching of a single-loop frame antenna to a preamplifier for the purpose of attaining the maximum possible sensitivity threshold are considered. The results obtained confirm the assumption made concerning the advisability of using ferrites operating in the RF region of permeability dispersion.</t>
  </si>
  <si>
    <t>106-107</t>
  </si>
  <si>
    <t>6507730981;55397797900</t>
  </si>
  <si>
    <t>Lipskiy, V. K.;Moshinskiy, A. Ye</t>
  </si>
  <si>
    <t>Lipskiy V.</t>
  </si>
  <si>
    <t>Noise matching of a single-loop frame antenna with a preamplifier</t>
  </si>
  <si>
    <t>2-s2.0-0024777420</t>
  </si>
  <si>
    <t>['rectangular modules', 'antenna array']</t>
  </si>
  <si>
    <t>The dimensions of rectangular modules are determined for an antenna array with a true hexagonal aperture, at which a high area utilization factor is attained; an evaluation is made of the parameters of the antenna array radiation pattern.</t>
  </si>
  <si>
    <t>77-79</t>
  </si>
  <si>
    <t>6506066296;6701371017</t>
  </si>
  <si>
    <t>Korostyshevskiy, Ye N.;Polukhin, G. A.</t>
  </si>
  <si>
    <t>Korostyshevskiy Y.</t>
  </si>
  <si>
    <t>Selection of module dimensions for an antenna array</t>
  </si>
  <si>
    <t>2-s2.0-0024777422</t>
  </si>
  <si>
    <t>['two ports', 'two 35', 'two 20', 'time domain', 'spreading loss', 'range resolution', 'range dependence', 'radar consists', 'parameters simultaneously', 'parameter testset', 'orthogonal polarizations', 'network analyzer', 'maximum bandwidth', 'main lobe', 'loss cables', 'long low', 'land use', 'interpreting ers', 'fully steerable', 'four complex', 'discrete frequencies', 'band radar', 'antenna gain', '1 data']</t>
  </si>
  <si>
    <t>In preparation for interpreting ERS-1 data for land use, a C-band radar has been developed. The radar consists of two 20-dB standard gain horns, placed with orthogonal polarizations at the top of a 27-m-high transportable telescopic mast and connected to the two ports of the S-parameter testset in an HP 8510B network analyzer system with two 35-m-long low-loss cables. The horns, which are fully steerable in azimuth and elevation, are used both for transmitting and for receiving, and the built-in twelve-error-term-correction of the network analyzer is used to calibrate the measurements to obtain the four complex S-parameters simultaneously over a number of discrete frequencies. The data are then transformed to the time domain where they are corrected for the antenna gain and for the range dependence of the illuminated beam area and the spreading loss. The complex scattering matrices from individual scatterers within the main lobe can thereby be determined with a range resolution down to approximately 10 cm (the maximum bandwidth of the horns is 2.05 GHz).</t>
  </si>
  <si>
    <t>171-172</t>
  </si>
  <si>
    <t>60004855;60004855;60004855</t>
  </si>
  <si>
    <t>6603034295;6506458741;6602332012</t>
  </si>
  <si>
    <t>Stjernman, Anders;Sturk, Tommy;Wannberg, Gudmund</t>
  </si>
  <si>
    <t>Kiruna</t>
  </si>
  <si>
    <t>Instiutet f√∂r rymdfysik</t>
  </si>
  <si>
    <t>Stjernman A.</t>
  </si>
  <si>
    <t>High resolution fully polarimetric C-band radar</t>
  </si>
  <si>
    <t>2-s2.0-0024778577</t>
  </si>
  <si>
    <t>['wide range', 'simplified active', 'sar performance', 'minimum value', 'initially determined', 'imaging rate', 'grazing angles', 'ghz sar', 'discrete heights', 'broadside imaging', 'azimuth resolution', 'antenna height', 'ambiguity constraint', 'altitude orbit', '651 km2']</t>
  </si>
  <si>
    <t>A variable antenna area for a spaceborne synthetic aperture radar (SAR) offers the possibility of broadside imaging with high area rates over a wide range of grazing angles. The antenna area must exceed a minimum value to avoid ambiguous responses in range and Doppler. The rectangular antenna length is fixed by the azimuth resolution. The antenna height is initially determined to fulfill the ambiguity constraint and then can be increased to meet the SAR power constraint. A simplified active-element phased array with discrete heights is suggested and analyzed for SAR performance. An imaging rate up to 651 km2/s has been calculated for a 5.3-GHz SAR in an 800-km-altitude orbit and 10¬∞ grazing angle.</t>
  </si>
  <si>
    <t>2273-2274</t>
  </si>
  <si>
    <t>Tomiyasu, K.</t>
  </si>
  <si>
    <t>Tomiyasu K.</t>
  </si>
  <si>
    <t>Performance of a proposed synthetic aperture radar with variable antenna height</t>
  </si>
  <si>
    <t>2-s2.0-0024778595</t>
  </si>
  <si>
    <t>['zero doppler', 'squint angle', 'simulated c', 'sar data', 'range time', 'range doppler', 'range direction', 'range cell', 'range broadening', 'processing algorithm', 'point target', 'impulse response', 'factors affecting', 'band satellite', 'azimuth frequency', 'azimuth fft', 'algorithm tends', 'acceptable level', '6 ¬∞.']</t>
  </si>
  <si>
    <t>A commonly used SAR (synthetic aperture radar) processing algorithm is the range Doppler, in which frequency-domain range correlation is followed by frequency-domain azimuth correlation, and range cell migration correction is performed in the range time/azimuth frequency or range Doppler domain. When data are obtained with the radar antenna squinted away from zero Doppler, this algorithm tends to broaden the impulse response of a compressed point target in the range direction. The broadening is caused by a reduced time bandwidth product in the azimuth FFT of a point target in a range cell. A secondary range compression (SRC) algorithm can be used to correct for the range broadening. An analysis is presented of the factors affecting the accuracy of the algorithm. Experiments were performed on simulated C-band and L-band satellite-SAR data by assuming a squint angle of about 6¬∞. The SRC algorithm successfully restored the resolution to an acceptable level.</t>
  </si>
  <si>
    <t>2584-2587</t>
  </si>
  <si>
    <t>60071032;60071032</t>
  </si>
  <si>
    <t>56003157700;7006785069</t>
  </si>
  <si>
    <t>Wong, F. H.;Cumming, I. G.</t>
  </si>
  <si>
    <t>Richmond</t>
  </si>
  <si>
    <t>MacDonald Dettwiler and Associates</t>
  </si>
  <si>
    <t>Wong F.</t>
  </si>
  <si>
    <t>Error sensitivities of a secondary range compression algorithm for processing squinted satellite SAR data</t>
  </si>
  <si>
    <t>2-s2.0-0024778612</t>
  </si>
  <si>
    <t>['summary form', 'resistivity discontinuities', 'obtain two', 'measurements made', 'local earth', 'linearly polarized', 'fringing fields', 'experimental studies', 'dimensional information', 'data collected', 'computer modeling']</t>
  </si>
  <si>
    <t>Summary form only given. VLF surface impedance measurements commonly use VLF navigation transmitters as a source of radiation. These transmitters are linearly polarized and, as a consequence, measurements are made in the plane of incidence of the transmitter only. It has been pointed out previously that if the local earth is anisotropic, then measurements made out of the plane of incidence can give quite misleading results which should not be used for computer modeling. In this study a number of theoretical and experimental studies of the nature of this effect are presented. Surface impedance measurements have been made on a linearly polarized signal at an angle of approximately 45¬∞ to the plane of incidence using two orthogonal antenna systems. Data collected during a 24-h period show that it is possible to obtain two-dimensional information about the earth's anisotropy by applying magnetotelluric tensorial inversion techniques. The effect of an anisotropic earth plane on surface impedance measurements has been analyzed in terms of the fringing fields which are evident at the boundaries of resistivity discontinuities.</t>
  </si>
  <si>
    <t>Thiel, David V.</t>
  </si>
  <si>
    <t>Thiel D.V.</t>
  </si>
  <si>
    <t>Theoretical advances in VLF surface impedance mapping</t>
  </si>
  <si>
    <t>2-s2.0-0024778616</t>
  </si>
  <si>
    <t>['remote sensing', 'ongoing development', 'next generation', 'array type', 'array breadboard', 'active phased']</t>
  </si>
  <si>
    <t>The next generation of SAR (synthetic aperture radar) antennas will be of the active phased-array type. The ongoing development of a phased-array breadboard for remote sensing is described. Starting from a detailed system design, a functional representative breadboard was developed. The design and the performance of the breadboard are discussed.</t>
  </si>
  <si>
    <t>2269-2272</t>
  </si>
  <si>
    <t>60002286;60002286</t>
  </si>
  <si>
    <t>7102439435;57213406079</t>
  </si>
  <si>
    <t>Zahn, R. W.;Schmidt, E.</t>
  </si>
  <si>
    <t>Zahn R.</t>
  </si>
  <si>
    <t>Phased array bread board for future remote sensing applications</t>
  </si>
  <si>
    <t>2-s2.0-0024778849</t>
  </si>
  <si>
    <t>['wind speed', 'vertical polarization', 'unique opportunity', 'toward experiment', 'sea surface', 'satellite measurements', 'results agree', 'previous wavetank', 'previous studies', 'nearly independent', 'mtfs decrease', 'microwave backscattering', 'lowered slightly', 'long waves', 'local wind', 'large angles', 'increasing wave', 'expected wind', 'depend little', 'data suggest', 'cross sections', 'cross section', 'constant wind', 'constant wave', 'casting doubt', 'band decrease', 'arbitrary wind', 'antenna height', 'antenna angles', 'antenna angle']</t>
  </si>
  <si>
    <t>Normalized radar cross sections and modulation transfer functions (MTFs) for microwave backscattering from the sea surface have been measured at L-band and Ku-band during the TOWARD experiment. Long waves during the experiment were usually not generated by the local wind, so a unique opportunity was afforded to investigate the effects of arbitrary wind, wave, and antenna angles on the backscatter. Data were collected using horizontal polarization at L-band and vertical polarization at Ku-band. Cross sections at L-band were found to be isotropic with respect to wind/antenna angle and nearly independent of wind speed except at the lowest wind speeds. Ku-band cross sections, on the other hand, show the expected wind/antenna angle anisotropy and wind speed dependence. The Ku-band cross sections agree well in magnitude with previous wavetank and satellite measurements, casting doubt on the dependence of cross section on antenna height which has been suggested in the literature. At both frequencies the data suggest that cross sections may be lowered slightly when long waves propagate at large angles to the wind. Consistent with cross section results, MTFs at L-band are shown to depend little on wind speed, whereas those at Ku-band decrease with wind speed. These results agree with those of previous studies. At both frequencies, MTFs depend little on wind/antenna angle for a constant wave/antenna angle. On the other hand, for a constant wind/antenna angle, MTFs decrease with increasing wave/antenna angle.</t>
  </si>
  <si>
    <t>60027271;60027271</t>
  </si>
  <si>
    <t>7202217661;7005333525</t>
  </si>
  <si>
    <t>Keller, William C.;Plant, William J.</t>
  </si>
  <si>
    <t>Keller W.</t>
  </si>
  <si>
    <t>Cross sections and modulation transfer functions at L- and Ku-bands measured during the TOWARD experiment</t>
  </si>
  <si>
    <t>2-s2.0-0024778874</t>
  </si>
  <si>
    <t>['would result', 'view photometers', 'two men', 'two large', 'tracking mounts', 'summary form', 'subsequent emission', 'small computer', 'sensing applications', 'roughly 3', 'rf ionization', 'readily broken', 'provide 1', 'particular atomic', 'overall size', 'one experiment', 'nitrogen molecules', 'molecular states', 'localized regions', 'interference filter', 'file storage', 'field installations', 'distinctive radiations', 'counting electronics', 'camac crate', '2 ¬∞', '100 km']</t>
  </si>
  <si>
    <t>Summary form only given. Two large-diameter, small-field-of-view photometers have been constructed and integrated with tracking mounts and data acquisition electronics for use in remote-sensing applications. The first optical element is a 89-cm diameter plastic f/1.6 Fresnel lens. The two optical trains are stopped down to provide 1.2¬∞ and 2.4¬∞ full angle field of view. The overall size of the instrument is roughly 3 m long by 1 m high above the mount and 1 m across, but it is readily broken down into subsections to be carried by two men for field installations. Provision has been made for insertion of an interference filter. Standard photomultiplier tubes are used and may be cooled. Counting electronics are accommodated in a CAMAC crate, and file storage is done in a small computer. Megahertz counting rates, submicrosecond time tagging, and megabit data storage are available. The instruments have been designed for picking up faint optical signals from localized regions of the ionosphere. There are several potential experiments that would result in the excitation of particular atomic or molecular states and subsequent emission of distinctive radiations. One experiment under consideration is the RF ionization of nitrogen molecules at altitudes of over 100 km by a large antenna system.</t>
  </si>
  <si>
    <t>Chamberlin, David D.</t>
  </si>
  <si>
    <t>Los Alamos</t>
  </si>
  <si>
    <t>Los Alamos National Laboratory</t>
  </si>
  <si>
    <t>Chamberlin D.</t>
  </si>
  <si>
    <t>Large collecting area photometer for remote observations</t>
  </si>
  <si>
    <t>2-s2.0-0024779299</t>
  </si>
  <si>
    <t>['tone generators', 'short time', 'radar calibration', 'passive receivers', 'multipolarization sar', 'jpl multifrequency', 'including dihedral', 'given frequency', 'continuous wave', 'calibration experiments', 'calibration devices', 'calibration accuracy']</t>
  </si>
  <si>
    <t>During the spring of 1988, the NASA/JPL multifrequency, multipolarization SAR (synthetic aperture radar) flew in series of calibration experiments over the Goldstone dry lake bed. An array of calibration devices was deployed, including dihedral and trihedral corner reflectors, polarimetric active radar calibrators, passive receivers, and CW (continuous wave) tone generators. The aim of the campaign was to calibrate both amplitude and phase of the resulting SAR images, over long and short time scales. The results of the analysis of the calibration data collected in the spring of 1988 are presented. Trihedral corner reflector signatures and certain image background measures are used to externally calibrate relative amplitude and phase between polarizations at a given frequency, and to calibrate across frequencies. Assessments are made of the calibration accuracy as a function of image frame position for each frequency, and the stability of the radar calibration over long and short time-scales.</t>
  </si>
  <si>
    <t>249-253</t>
  </si>
  <si>
    <t>7401887715;57211224617;7404605334</t>
  </si>
  <si>
    <t>Freeman, A.;Werner, C.;Klein, J. D.</t>
  </si>
  <si>
    <t>Freeman A.</t>
  </si>
  <si>
    <t>Results of the 1988 NASA/JPL airborne SAR calibration campaign</t>
  </si>
  <si>
    <t>2-s2.0-0024779515</t>
  </si>
  <si>
    <t>['wind vector', 'wavelength backscatter', 'vector scatterometer', 'two directions', 'simulations ),', 'second beam', 'raws must', 'rain drops', 'proposed system', 'polar platform', 'permits observation', 'obtain two', 'major obstacles', 'laws depends', 'laws coverage', 'large antenna', 'hydrometeors allow', 'four measurements', 'four looks', 'enough sensitivity', 'doppler shift', 'diameter used', 'could fill', 'clouds interfere', 'cloud drops', 'atmospheric aerosols', 'adequate sensitivity']</t>
  </si>
  <si>
    <t>The development of the laser wind sounder (LAWS) for use on the Earth Observing System (EOS) polar platform is discussed. LAWS depends on the Doppler frequency shift of optical-wavelength backscatter from atmospheric aerosols, but it cannot be used where clouds interfere. A radar wind sensor (RAWS) could fill these gaps in LAWS coverage by measuring the Doppler shift of backscatter from cloud and rain drops. RAWS must have enough sensitivity to measure Doppler shift of cloud drops, and so it will also have more than adequate sensitivity for measuring rain rates around the world. With the scan pattern proposed, RAWS will also obtain multiple looks at backscatter from the ocean, so it can be used as a surface-wind-vector scatterometer. The proposed system will use a circular scan pattern, which permits observation of each point from two directions. By adding a second beam at a different depression angle, it is possible to obtain two more measurements. These four measurements of the hydrometeors allow some overdetermination of the wind vector. Four looks will also be obtained for the surface-wind-vector scatterometer. The major obstacles to use of RAWS are ambiguity in Doppler frequency measurement, the need to rotate a large antenna (8-m diameter used in simulations), and the need for relatively high power (1-5 kW peak) to measure cloud backscatter.</t>
  </si>
  <si>
    <t>2303-2306</t>
  </si>
  <si>
    <t>60032121;60032121</t>
  </si>
  <si>
    <t>35592956700;7102977650</t>
  </si>
  <si>
    <t>Moore, R. K.;Xin, W.</t>
  </si>
  <si>
    <t>Lawrence</t>
  </si>
  <si>
    <t>University of Kansas Center for Research</t>
  </si>
  <si>
    <t>Moore R.</t>
  </si>
  <si>
    <t>Measuring winds and rainfall from space - The radar wind sounder (RAWS)</t>
  </si>
  <si>
    <t>2-s2.0-0024779524</t>
  </si>
  <si>
    <t>['thermal noise', 'situ baylor', 'site located', 'signal detectability', 'related dual', 'phase stability', 'output signal', 'north carolina', 'microwave instrument', 'gauge data', 'frequency instrument', 'directly proportional', 'band radars', 'atlantic ocean', 'area illuminated', 'antenna footprint']</t>
  </si>
  <si>
    <t>A three-frequency microwave scatterometer technique has been synthesized from theory developed earlier for the related dual-frequency instrument. The technique removes many of the limitations on the measurement of ocean wave spectra by this type of microwave instrument. It does so by converting the entire received backscatter return into a two-channel correlation signal modulated by long ocean waves. This output signal is directly proportional in strength to the area illuminated by the antenna footprint. Signal detectability is now only limited by thermal noise and phase stability in the system. Extensive experimental measurements using both L-band and Ku-band radars have been made from a pier-site located on the coast of the Atlantic Ocean at Duck, North Carolina. Two measurement campaigns conducted during 1984 and 1988 are discussed. Ocean wave spectra were compared with nondirectional, in situ Baylor-gauge data during all periods.</t>
  </si>
  <si>
    <t>2335-2337</t>
  </si>
  <si>
    <t>7102453196;7202217661</t>
  </si>
  <si>
    <t>Schuler, D. L.;Keller, W. C.</t>
  </si>
  <si>
    <t>Schuler D.</t>
  </si>
  <si>
    <t>Pier-based measurements of ocean wave spectra using three-frequency Ku- and L-band radars</t>
  </si>
  <si>
    <t>2-s2.0-0024779525</t>
  </si>
  <si>
    <t>['various heights', 'uhf detection', 'transmitting antenna', 'sweep curves', 'summary form', 'space environment', 'scattering matrix', 'receiving antenna', 'qualitative features', 'numerical results', 'maximum response', 'matrix formulation', 'low height', 'horizontal direction', 'experimental curve', 'earth interface', 'detector swept', 'detector responds', 'detector height', 'born approximation', 'asymmetrical inhomogeneities', 'antenna characteristics']</t>
  </si>
  <si>
    <t>Summary form only given. Use is made of the plane-wave, scattering-matrix formulation to study the detection of buried dielectric objects by a UHF detection that is swept over the earth at a low height. The transmitting antenna consists of a pair of oppositely directed dipoles. The receiving antenna is a single dipole located at the center of the detector which is in the null of the transmitting antenna. Thus, the detector responds to asymmetrical inhomogeneities but not to a homogeneous or horizontally stratified earth. The antenna characteristics are derived from linear antenna theory, and the scattering matrix of the buried dielectric object is obtained from the Born approximation. Numerical results are obtained for the detector swept at various heights above a buried rectangular dielectric box. The maximum response is obtained when the detector is located at the air-earth interface, and the response decays rapidly with detector height. The sweep curves are symmetrical in the horizontal direction and have a null when the detector is directly above the object. An experimental curve for a free-space environment has the same qualitative features.</t>
  </si>
  <si>
    <t>Near-field detection of buried dielectric objects</t>
  </si>
  <si>
    <t>2-s2.0-0024779546</t>
  </si>
  <si>
    <t>['third involves', 'symmetric reflector', 'shaped profile', 'second involves', 'order polynomials', 'frequency range', 'free space', 'dia .)', 'antenna comprises', '4 ghz']</t>
  </si>
  <si>
    <t>A highly shaped beam telemetry antenna which can be used for the Radarsat satellite payload is described. The antenna comprises a symmetric reflector of shaped profile and a circularly polarized feed horn. Three antenna solutions are investigated: the first involves seventh-order polynomials; the second involves the geometrical optics principle; and the third involves a modified geometrical optics principle. Computed radiation patterns are shown for 600-mm and 800-mm (dia.) shaped reflector antennas in free space. Two prototype feed horns have been designed, built, and tested in the frequency range of 8.0 to 8.4 GHz.</t>
  </si>
  <si>
    <t>226-229</t>
  </si>
  <si>
    <t>Kumar, A.</t>
  </si>
  <si>
    <t>AK Electromagnetique, Inc.</t>
  </si>
  <si>
    <t>Kumar A.</t>
  </si>
  <si>
    <t>Telemetry antenna for Radarsat</t>
  </si>
  <si>
    <t>2-s2.0-0024779778</t>
  </si>
  <si>
    <t>['type radiometers', 'temperature monitor', 'reasonably good', 'new type', 'kept within', 'good accuracy', 'feed array', 'calibration approach', 'bias errors', 'assuming state', 'art measurement', 'also predicted', '28 k']</t>
  </si>
  <si>
    <t>The Advanced Microwave Scanning Radiometer (AMSR) is a new type of spaceborne microwave radiometer that uses electrical beam scanning. Fundamental considerations regarding the calibration approach for the AMSR are presented. In practice, it is understood that a precise thermal control of the instrument in orbit is the key to a reasonably complex calibration scheme. Preliminary thermal analysis, assuming passive thermal control, shows that the feed array and switches are expected to be kept within a range ofabout 12¬∞ peak-to-peak. Random errors caused by the feed array and switches in the output noise temperature are estimated to be about 0.28 K, assuming state-of-the-art measurement. This is the only factor that is included in the AMSR but not in other Dicke-type radiometers. Good accuracy is also predicted with respect to bias errors. By implementation of a high beam efficiency antenna, precision thermal control, and temperature monitor, the calibration of the AMSR is expected to be reasonably good.</t>
  </si>
  <si>
    <t>60022990;60022990;60022990;60022990</t>
  </si>
  <si>
    <t>55467333000;36949290400;57218974519;7403965268</t>
  </si>
  <si>
    <t>Ito, Yasuyuki;Tachi, Kazuo;Sato, Yuji;Arai, Kohei</t>
  </si>
  <si>
    <t>Advanced Microwave Scanning Radiometer (AMSR): Preliminary study on calibration approach</t>
  </si>
  <si>
    <t>2-s2.0-0024779779</t>
  </si>
  <si>
    <t>['weighting coefficients', 'space coordinates', 'simple relationship', 'rs ).', 'radiation sources', 'preliminary estimation', 'input process', 'covariational matrix', 'allows avoidance']</t>
  </si>
  <si>
    <t>An analysis is performed of an algorithm for tuning a linear equidistant antenna array, which permits a simple relationship to be established between the vector of the weighting coefficients of the array and the space coordinates of the radiation sources (RS). This allows avoidance of errors which develop in the determination of the RS coordinates using the preliminary estimation of the covariational matrix of the input process.</t>
  </si>
  <si>
    <t>Radioelectronics and Communications Systems (English translation of Izvestiya Vysshikh Uchebnykh Zavedenii Radioelektronika)</t>
  </si>
  <si>
    <t>7005089540;6602180498</t>
  </si>
  <si>
    <t>Marder, M. M.;Surkov, M. N.</t>
  </si>
  <si>
    <t>Marder M.</t>
  </si>
  <si>
    <t>Algorithm for estimating space coordinates using an adaptive antenna array</t>
  </si>
  <si>
    <t>2-s2.0-0024781381</t>
  </si>
  <si>
    <t>['ray trajectories', 'randomly positioned', 'numerical application', 'model considers', 'horizontally stratified']</t>
  </si>
  <si>
    <t>Radio pulse transmission is studied from a horizontal electric dipole through horizontally stratified forest using a stochastic radiowave propagation model. This model considers the forest as a horizontally stratified, anisotropic, discrete random medium, bounded above by air and below by ground, of randomly positioned and oriented canonical scatterers representing the principal forest constituents. Analytic results found for the fields can be described in terms of ray trajectories for different propagation paths. These results are used for the numerical application of the model.</t>
  </si>
  <si>
    <t>2843-2846</t>
  </si>
  <si>
    <t>60005803;60005803</t>
  </si>
  <si>
    <t>7005822795;6602478935</t>
  </si>
  <si>
    <t>Seker, S. S.;Gultekin, Neil</t>
  </si>
  <si>
    <t>Bebek</t>
  </si>
  <si>
    <t>Boƒüazi√ßi √úniversitesi</t>
  </si>
  <si>
    <t>Seker S.</t>
  </si>
  <si>
    <t>Radio pulse transmission from horizontal electric dipole embedded in a stochastic stratified model of forest</t>
  </si>
  <si>
    <t>2-s2.0-0024792890</t>
  </si>
  <si>
    <t>['radiating antenna', 'mutual coupling', 'microstrip antennas', 'input impedance', 'impedance value', 'field radiation', 'dyadic green', 'difference varies', 'cavity model', 'analyzed using']</t>
  </si>
  <si>
    <t>Based on a cavity model, the microstrip antennas are analyzed using the dyadic Green's function to obtain the far-field radiation. Because of mutual coupling effects, the input impedance of a radiating antenna in an array is different from its impedance value when it is isolated, and this difference varies with the angle of scan of the array. The mutual coupling between the two patch elements decreases when the spacing between them increases.</t>
  </si>
  <si>
    <t>2278-2281</t>
  </si>
  <si>
    <t>60019106;60019106</t>
  </si>
  <si>
    <t>57198724292;7003714798</t>
  </si>
  <si>
    <t>Ali, Abdul Amir M.;Vishvakarma, Babau R.</t>
  </si>
  <si>
    <t>Varanasi</t>
  </si>
  <si>
    <t>Indian Institute of Technology Banaras Hindu University</t>
  </si>
  <si>
    <t>Ali A.A.M.</t>
  </si>
  <si>
    <t>Generalized method for evaluation of the mutual coupling effect on the radiation and scanning characteristics of microstrip array antenna</t>
  </si>
  <si>
    <t>2-s2.0-0024794853</t>
  </si>
  <si>
    <t>['type radar', 'short antenna', 'sea ice', 'resolution sar', 'range data', 'radar imagery', 'poor resolution', 'optimum image', 'low altitudes', 'image utility', 'ice reflectivity', 'higher altitudes', 'first part', 'first level', 'data collected', 'band slar', 'aperture radars', 'antenna length', 'angle cutoff', '35 ¬∞', '15 km']</t>
  </si>
  <si>
    <t>A simulation of radar imagery of sea ice at differing helicopter altitudes has been conducted, based on data collected from a high-altitude, fine-resolution SAR (synthetic aperture radar). The purpose of the study was to provide a first level of imagery to be used in defining the best tactical sensor to be placed aboard Coast Guard helicopters. The first part of the study established empirical relationships between ice reflectivity and incidence angle based on data from the SAR at 9100- and 1500-m altitudes. The compromise between real-aperture radars (SLARs) and SARs when flown at low altitudes was then studied. It was found that an X-band SLAR with a 3-m antenna produced imagery with a useful swath width of 15 km when an altitude of 1000 m was assumed. A SAR at the same altitude had an effective swath width that was approximately the same. Similarly, a PPI-type radar with an antenna length of 1 m was found to produce an optimum image if a near-angle cutoff of 35¬∞ was assumed. An altitude hole becomes bothersome at higher altitudes, limiting the image utility, and the far-range data have poor resolution with the PPI-style, short antenna.</t>
  </si>
  <si>
    <t>2209-2212</t>
  </si>
  <si>
    <t>100326029;100326029;100326029</t>
  </si>
  <si>
    <t>7102469207;7006210244;6602349371</t>
  </si>
  <si>
    <t>Lowry, R. T.;Wessels, G.;McAvoy, G.</t>
  </si>
  <si>
    <t>Calgary</t>
  </si>
  <si>
    <t>Intera Technologies Ltd</t>
  </si>
  <si>
    <t>Lowry R.</t>
  </si>
  <si>
    <t>Helicopter radar simulations from fine resolution airborne SAR imagery</t>
  </si>
  <si>
    <t>2-s2.0-0024800881</t>
  </si>
  <si>
    <t>['theoretical predictions', 'space must', 'sophisticated beamforming', 'measured results', 'instrument concept', 'electrical design']</t>
  </si>
  <si>
    <t>Future synthetic aperture radar (SAR) systems in space must be capable of imaging in several modes calling for antennas which have sophisticated beamforming and rapid beamswitching capabilities. The instrument concept for such advanced SAR systems, implemented in microstrip, is discussed. The electrical design of a dual polarized microstrip patch array suitable for this application is presented. The array is designed for a uniform illumination giving a narrow pencil beam in azimuth and broad elevation coverage. The measured results of a 16-element prototype array are presented and compared to theoretical predictions.</t>
  </si>
  <si>
    <t>2275-2277</t>
  </si>
  <si>
    <t>60013506;60013506;60013506;60013506</t>
  </si>
  <si>
    <t>6506984517;56283160400;57197503326;6603900738</t>
  </si>
  <si>
    <t>McDonach, C. A.;Nguyen, D.;Gupta, G. S.;Luscombe, A. P.</t>
  </si>
  <si>
    <t>Edmonton</t>
  </si>
  <si>
    <t>L-3 Communications SPAR Aerospace Limited</t>
  </si>
  <si>
    <t>McDonach C.</t>
  </si>
  <si>
    <t>Design of a dual polarized microstrip patch array for an advanced SAR antenna</t>
  </si>
  <si>
    <t>2-s2.0-0024800884</t>
  </si>
  <si>
    <t>['time domain', 'results suggest', 'previous investigators', 'nonuniform sampling', 'minimum variance', 'lp performances', 'lp ),', 'linear prediction', 'example simulations', 'better mv', 'bartlett method']</t>
  </si>
  <si>
    <t>The benefit of using nonuniform element spacing in Barlett, linear prediction (LP), and minimum variance (MV) array processing algorithms is demonstrated by example simulations. By using optimum element spacing results obtained by previous investigators for sidelobe level reduction at different beam locations of the Bartlett method, better MV and LP performances, in terms of array output power, are obtained while maintaining the same main beam width. The results suggest the use of nonuniform sampling in the time domain.</t>
  </si>
  <si>
    <t>2977-2979</t>
  </si>
  <si>
    <t>60026227;60026227</t>
  </si>
  <si>
    <t>6506256487;7004001029</t>
  </si>
  <si>
    <t>Shanan, S. S.;Pomalaza-Raez, C. A.</t>
  </si>
  <si>
    <t>Potsdam</t>
  </si>
  <si>
    <t>Clarkson University</t>
  </si>
  <si>
    <t>Shanan S.</t>
  </si>
  <si>
    <t>Use of nonuniform element spacing in array processing algorithms</t>
  </si>
  <si>
    <t>2-s2.0-0024800901</t>
  </si>
  <si>
    <t>['stage handling', 'simulation results', 'radiation sources', 'point noise', 'point diversity', 'important merit', 'direction finders', 'comparative analysis', 'ar ).', 'antenna arrays']</t>
  </si>
  <si>
    <t>An algorithm is derived for two-stage direction finding of point noise-radiation sources in a two-point diversity-reception system based on antenna arrays (AR). A comparative analysis is conducted of direction finders with one-stage and two-stage handling on the basis of simulation results. It is demonstrated that an important merit of direction finders with two-stage handling is the increased resolving power and the unambiguous direction finding of noise-radiation sources in a diversity reception system.</t>
  </si>
  <si>
    <t>6603712016;7003568179;6507903895</t>
  </si>
  <si>
    <t>Manzhos, V. N.;Kokin, V. N.;Boyarov, A. A.</t>
  </si>
  <si>
    <t>Algorithm for two-stage intrachannel and interchannel direction finding of point noise-radiation sources in radars based on phased antenna arrays</t>
  </si>
  <si>
    <t>2-s2.0-0024802120</t>
  </si>
  <si>
    <t>['spatial resolution', 'sidelobe level', 'main antenna', 'db beamwidth']</t>
  </si>
  <si>
    <t>A beam-compressed microwave radiometer is proposed to improve the spatial resolution of spaceborne microwave radiometer systems. The beam compression technique makes it possible not only to realize high resolution, but also to suppress the sidelobe level. By adding one reference antenna to the main antenna the equivalent -3-dB beamwidth is reduced by 2.</t>
  </si>
  <si>
    <t>268-270</t>
  </si>
  <si>
    <t>60022990;60022990</t>
  </si>
  <si>
    <t>7403965268;57199100757</t>
  </si>
  <si>
    <t>Arai, Kohei;Suzuki, Tsutomu</t>
  </si>
  <si>
    <t>Arai K.</t>
  </si>
  <si>
    <t>Beam compressed microwave scanning radiometer</t>
  </si>
  <si>
    <t>2-s2.0-0024807459</t>
  </si>
  <si>
    <t>['way radar', 'usually solved', 'use lenses', 'two points', 'summary form', 'squares methods', 'spherical surface', 'spherical earth', 'space coordinates', 'space centered', 'right ).', 'relative motion', 'range sphere', 'phase history', 'orbital sar', 'optical systems', 'optical axis', 'maps brightness', 'mapping brightness', 'intersection defines', 'form solution', 'final ambiguity', 'doppler cone', 'constant doppler', 'conical surface', 'cartographic mapping', 'antenna pointing', 'addition datum']</t>
  </si>
  <si>
    <t>Summary form only given. Synthetic aperture radar (SAR) imagers hold great potential for cartographic mapping because the images they produce do not suffer from the geometric distortions inherent in optical systems, and the derivation of object-space coordinates is independent of the pointing of the instrument. Instruments that use lenses to form images basically are mapping brightness as a function of two orthogonal angles measured from the optical axis; SAR, on the other hand, maps brightness as a function of two-way radar-echo time delay and relative phase history. This phase history is modified by the Doppler shift caused by the relative motion of the target and sensor. Thus, the location of a SAR image point is determined by the intersection of a spherical surface of constant time delay, the range sphere, with a conical surface of constant Doppler, the Doppler cone. This intersection defines a circle in space centered on and orthogonal to the instantaneous velocity vector of the platform. To determine where on this circle the point lies requires an addition datum, the elevation of the point. For an orbital SAR this can be expressed as a spherical Earth. The latitude and longitude of the point are then determined by the intersections of the circle with this sphere, which for the nondegenerate case occurs at two points (this final ambiguity is resolved by the antenna pointing, which is either to the left or right). The three applicable equations are usually solved by iterative or least-squares methods, because no closed-form solution has appeared in the literature.</t>
  </si>
  <si>
    <t>Kobrick, Michael</t>
  </si>
  <si>
    <t>Kobrick M.</t>
  </si>
  <si>
    <t>Closed form solutions to the single-image and stereo synthetic aperture radar mapping equations</t>
  </si>
  <si>
    <t>2-s2.0-0024807476</t>
  </si>
  <si>
    <t>['traditional techniques', 'summary form', 'since 1986', 'relative uniformity', 'next blocks', 'mine planners', 'many advantages', 'made using', 'information supplied', 'immediate presentation', 'ideal environment', 'high wall', 'fundamental nature', 'different structures', 'cut mining', 'conductive dykes', 'coal seam', 'coal provide', 'coal fields', 'advantages include']</t>
  </si>
  <si>
    <t>Summary form only given, as follows. On the north eastern coast of Australia are found some of the largest continuous coal seams on the world. The relative uniformity of these seams in both depth to coal and depth of coal provide an ideal environment to assess the potential of coal seam mapping using surface impedance measurements. The purpose of such measurements is to reduce the number of exploratory drill holes required prior to open-cut mining, but still to retain the integrity of the information supplied to mine planners. Since 1986, a number of detailed VLF surface impedance surveys were conducted at a number of coal fields. A problem of concern to coal mine planners is the continuity of the coal seam in the next blocks to be mined. Case studies included the detection of hard rock instructions, conductive dykes, and significant faulting structures in the coal. Results have been checked by drilling and evidence in the high wall of mined out blocks. These types of dislocations offer important information about the fundamental nature of the interaction of plane polarized horizontal electromagnetic waves with a variety of different structures. Surface impedance measurements were made using an in-house VLF receiver system and insulated antenna field probe. The somewhat different design is thought to have many advantages over more traditional techniques. These advantages include the lateral resolution achievable, the speed of measurement and so of traverse, and the immediate presentation of data in the field.</t>
  </si>
  <si>
    <t>VLF surface impedance mapping of coal seams</t>
  </si>
  <si>
    <t>2-s2.0-0024807485</t>
  </si>
  <si>
    <t>['sun shades', 'smmr onboard', 'representative modeling', 'modified version', 'microwave losses', 'delay corrections', 'appropriate corrections', '7 platforms', '0 k']</t>
  </si>
  <si>
    <t>A modified version of the Scanning multichannel Microwave Radiometer (SMMR) will be used for wet tropospheric path-delay corrections to the TOPEX/POSEIDON radar altimeter measurements. A number of the sources of calibration problems encountered by SMMR onboard the Seasat and Nimbus-7 platforms have been identified, and appropriate corrections have been attempted. Calibration hardware corrections include a more representative modeling of the microwave losses and reflections, and a reduction in the thermal gradients expected across this hardware through the use of radomes and sun shades and the choice of pertinent orbit parameters. Antenna calibration corrections include a postlaunch fine tuning of the antenna pattern correction algorithm to accommodate small errors in the prelaunch antenna pattern measurements. This is accomplished by overpasses of ground-based, upward-looking water vapor radiometers. An absolute calibration accuracy of ‚â§1.0 K is anticipated.</t>
  </si>
  <si>
    <t>271-272</t>
  </si>
  <si>
    <t>7004931900;55547120839;6603949201</t>
  </si>
  <si>
    <t>Ruf, Christopher S.;Janssen, Michael A.;Keihm, Stephen J.</t>
  </si>
  <si>
    <t>Ruf C.S.</t>
  </si>
  <si>
    <t>TOPEX microwave radiometer system calibration: Refining the SMMR heritage</t>
  </si>
  <si>
    <t>2-s2.0-0024807907</t>
  </si>
  <si>
    <t>['two approaches', 'resolving ambiguities', 'range cross', 'prf selection', 'parameters illustrates', 'large uncertainty', 'generalized algorithm', 'example using', 'doppler centroid', 'data processing', 'correlation technique', 'common divisor', 'ambiguous centroid', 'also investigated']</t>
  </si>
  <si>
    <t>A technique for estimation of the Doppler centroid of synthetic aperture radar (SAR) in the presence of large uncertainty in antenna boresight pointing is described. Also investigated is the image degradation resulting from data processing that uses an ambiguous centroid. Two approaches for resolving ambiguities in Doppler centroid estimation (DCE) are presented: the range cross-correlation technique and the multiple-PRF (pulse repetition frequency) technique. Because other design factors control the PRF selection for SAR, a generalized algorithm is derived for PRFs not containing a common divisor. An example using the Shuttle Imaging Radar (SIR-C) parameters illustrates that this algorithm is capable of resolving the C-band DCE ambiguities for antenna pointing uncertainties of 2¬∞ approximately 3¬∞.</t>
  </si>
  <si>
    <t>2567-2571</t>
  </si>
  <si>
    <t>7407035398;57124641700</t>
  </si>
  <si>
    <t>Chang, C. Y.;Curlander, J. C.</t>
  </si>
  <si>
    <t>Chang C.</t>
  </si>
  <si>
    <t>Doppler centroid estimation ambiguity for synthetic aperture radars</t>
  </si>
  <si>
    <t>2-s2.0-0024811289</t>
  </si>
  <si>
    <t>['several types', 'scattering media', 'proposed methods', 'phase errors', 'noise response', 'linear prediction', 'linear array', 'imperfect knowledge', 'errors include', 'error due', 'comparative study']</t>
  </si>
  <si>
    <t>The noise response of the minimum-variance (MV) filter is reintroduced as an array processing algorithm for the bearing estimation problem. The same concept has been applied to combine the MV and the linear prediction (LP) methods. The effects of several types of perturbations on the performance of the proposed methods are investigated and compared with Bartlett, MV, LP, and adapted angular response (AAR) array processing algorithms. These errors include the error due to mismatch (imperfect knowledge of the signal direction), propagation in a scattering media, and phase errors. A linear array of equally spaced sensors has been used in a comparative study to obtain satisfactory results.</t>
  </si>
  <si>
    <t>2965-2968</t>
  </si>
  <si>
    <t>Modified minimum variance array processing algorithm for bearing estimation problem</t>
  </si>
  <si>
    <t>2-s2.0-0024821137</t>
  </si>
  <si>
    <t>['wave thin', 'symmetrical excitation', 'specular reflection', 'scattering field', 'scanning sector', 'paper solves', 'numerical results', 'maxima correspond', 'feeder lines', 'directivity pattern', 'array consists', 'aperture plane', '25 œª']</t>
  </si>
  <si>
    <t>The paper solves the problem of analyzing the directivity pattern (DP) of a multielement square phased antenna array (PAR) having a side with a length D. The array consists of half-wave thin-wire dipoles placed above a screen at a height of 0.25 Œª and connected by feeder lines having a wave impedance W to matched reflective phase shifters. The case of symmetrical excitation of a PAR by means of a spherical-wave source situated at the focal distance F from the aperture plane of the PAR is considered. From an analysis of the numerical results it follows that a reduction of the level of undesirable DP maxima of the scattering field of the PAR (these maxima correspond to specular reflection and rereflection of waves in the feeder lines of the dipoles) may be achieved both by matching the dipoles to the feeder lines in the scanning sector and by reducing the relative focal distance F/D.</t>
  </si>
  <si>
    <t>7003408048;6701371017</t>
  </si>
  <si>
    <t>Antipin, A. G.;Polukhin, G. A.</t>
  </si>
  <si>
    <t>Antipin A.</t>
  </si>
  <si>
    <t>Analysis of the directivity pattern of a dipole phased antenna array of the reflector type</t>
  </si>
  <si>
    <t>2-s2.0-0024823608</t>
  </si>
  <si>
    <t>['¬± 0', 'values measured', 'tilted cylinder', 'strong cross', 'second target', 'scattering matrix', 'practical technique', 'particularly useful', 'field conditions', 'calibration technique', 'calibration targets', 'calibrating single', '3 db']</t>
  </si>
  <si>
    <t>A practical technique is proposed for calibrating single-antenna polarimetric radar systems using a metal sphere plus any second target with a strong cross-polarized radar cross section. It is shown that all magnitudes and phases (relative to one of the like-polarized linear polarization configurations) of the radar transfer function can be calibrated without knowledge of the scattering matrix of the second target. Comparison of values measured (using this calibration technique) for a tilted cylinder at X-band with theoretical values shows agreement with ¬±0.3 dB in magnitude and ¬±5¬∞ in phase. The technique is particularly useful for calibrating a radar under field conditions because it does not require careful alignment of calibration targets.</t>
  </si>
  <si>
    <t>2877-2880</t>
  </si>
  <si>
    <t>35585913500;7103159953</t>
  </si>
  <si>
    <t>Sarabandi, K.;Ulaby, F. T.</t>
  </si>
  <si>
    <t>Sarabandi K.</t>
  </si>
  <si>
    <t>Calibration of polarimetric radar systems</t>
  </si>
  <si>
    <t>2-s2.0-0024824362</t>
  </si>
  <si>
    <t>['type integrals', 'summary form', 'simple deformation', 'rigorously formulated', 'radial current', 'planar stratification', 'layered medium', 'incorporated green', 'ground plate', 'equations governing', 'electrically thick', 'efficiently computed', 'cylindrical body', 'current distribution', 'axial current', 'antenna ).']</t>
  </si>
  <si>
    <t>Summary form only given. The problem of the radiation from a coaxial-line driven monopole over a ground plate in an arbitrary layered medium has been addressed. The monopole was assumed to be electrically thick (where the effect of the radial current on the flat end cap of the antenna can be comparable to that of the axial current on the cylindrical body of the antenna). The equations governing the current distribution on the probe were rigorously formulated and incorporated Green's functions that account for planar stratification. A set of coupled integral equations was derived which governs the axial and radial current distribution on the probe and the magnetic current sheet across the aperture of the driving coaxial line. The set of equations was then solved by the method of moments. The resulting matrix equation was obtained in terms of Sommerfeld-type integrals that take into account the effect of the layered medium. These integrals can be efficiently computed by a simple deformation in the complex wave number domain.</t>
  </si>
  <si>
    <t>60077590;60077590;60077590</t>
  </si>
  <si>
    <t>6602527177;7004110635;57225357085</t>
  </si>
  <si>
    <t>Beren, J. A.;Habashy, T. M.;Butler, C. M.</t>
  </si>
  <si>
    <t>Schlumberger-Doll Research Center</t>
  </si>
  <si>
    <t>Beren J.A.</t>
  </si>
  <si>
    <t>Radiation of coaxial-line driven monopole over a ground plate in a planar layered medium - A stratified medium formulation</t>
  </si>
  <si>
    <t>2-s2.0-0024831304</t>
  </si>
  <si>
    <t>['water features', 'tested aboard', 'sample point', 'radiometer measures', 'nasa p', 'maps made', 'major land', 'landsat image', 'june 1988', 'fourier transform', 'flight shows', 'delmarva peninsula', 'complex correlation', 'baseline produces', 'aperture synthesis']</t>
  </si>
  <si>
    <t>The Goddard Space Flight Center and the University of Massachusetts have been developing a synthetic aperture radiometer for microwave remote sensing of the earth. The radiometer measures the complex correlation of the voltage from pairs of antennas at many different baselines. Each baseline produces a sample point in the Fourier transform of the scene, and a map of the scene is obtained after all measurements have been made by inverting the transform. An L-band aircraft prototype is being developed to demonstrate this concept by measuring soil moisture. The prototype is a hybrid which uses a real aperture antennas to obtain resolution along track, and aperture synthesis to obtain resolution across track. The prototype was flight-tested aboard the NASA P-3 in June 1988 over the Delmarva peninsula. The maps made during this flight shows the major land/water features, and compares very favorably with a Landsat image of the area.</t>
  </si>
  <si>
    <t>264-267</t>
  </si>
  <si>
    <t>60006337;60006337;60006337;60006337;60006337</t>
  </si>
  <si>
    <t>7005621665;7202198121;7103174511;7101802161;6504131007</t>
  </si>
  <si>
    <t>Le Vine, D. M.;Kao, M.;Tanner, A.;Swift, C. T.;Griffs, A.</t>
  </si>
  <si>
    <t>Greenbelt</t>
  </si>
  <si>
    <t>NASA Goddard Space Flight Center</t>
  </si>
  <si>
    <t>Le Vine D.</t>
  </si>
  <si>
    <t>Initial results of a synthetic aperture microwave radiometer</t>
  </si>
  <si>
    <t>2-s2.0-0024831536</t>
  </si>
  <si>
    <t>['waves along', 'validated experimentally', 'strong absorption', 'numerical solution', 'metal dipole', 'lossless media', 'integral equation', 'insulation inside', 'insulated antenna', 'input impedance', 'electromagnetic energy', 'electrical parameters', 'ambient medium']</t>
  </si>
  <si>
    <t>A metal dipole has been considered which was placed in insulation inside a borehole. An integral equation has been derived, and the input impedance of the antenna has been calculated as a function of the electrical parameters of the ambient medium. The integral equation describes the radiation from an insulated antenna as well as the propagation of waves along its envelopes. The results of the numerical solution are validated experimentally both for media with strong absorption of electromagnetic energy and for lossless media.</t>
  </si>
  <si>
    <t>14-18</t>
  </si>
  <si>
    <t>7006321244;7006270394</t>
  </si>
  <si>
    <t>Yurov, Yu Ya;Golovanov, V. N.</t>
  </si>
  <si>
    <t>Yurov Y.</t>
  </si>
  <si>
    <t>Input impedance of a dipole antenna insulated from the ambient medium</t>
  </si>
  <si>
    <t>2-s2.0-0024832813</t>
  </si>
  <si>
    <t>['wider swath', 'system design', 'system complexity', 'spaceborne sar', 'scheme proposed', 'scansar concept', 'rar ).', 'range ambiguity', 'consequently reduce', 'conducted utilizing', 'conceptual c', 'complex weighting', 'case study', 'band sar', 'azimuth resolution', 'atcsr method']</t>
  </si>
  <si>
    <t>The system design of a spaceborne SAR (synthetic aperture radar) at a higher look angle calls for tradeoffs among antenna complexity, wider swath, and the required range ambiguity ratio (RAR). The requirement of minimum-acceptable RAR even for a nominal swath may necessitate a larger antenna width, complex weighting, and highly asymmetrical antenna elevation patterns. The SCANSAR concept for a wider swath leads to a tradeoff against the azimuth resolution and system complexity. The scheme proposed, known as the alternate transmitted chirp slope reversal (ATCSR) method, can suppress the range ambiguity and consequently reduce the antenna complexity without increasing the system complexity. A case study of a conceptual C-band SAR at approximately 50¬∞ incidence angle for a swath of approximately 150 km, conducted utilizing the ATCSR method for uniform antenna elevation pattern, is presented.</t>
  </si>
  <si>
    <t>2282-2284</t>
  </si>
  <si>
    <t>60023345;60023345;60023345</t>
  </si>
  <si>
    <t>57197687893;6602923631;7004953985</t>
  </si>
  <si>
    <t>Jha, A. M.;Majmudar, Archana;Pillai, N. S.</t>
  </si>
  <si>
    <t>Jha A.</t>
  </si>
  <si>
    <t>Design of a spaceborne SAR at higher incidence angle using alternate transmitted chirp slope reversal technique</t>
  </si>
  <si>
    <t>2-s2.0-0024833159</t>
  </si>
  <si>
    <t>['wideband signal', 'two components', 'trunk solution', 'summary form', 'solved explicitly', 'signals scattered', 'salpeter type', 'revealing trends', 'residual random', 'receiving antennas', 'random array', 'propagation characteristics', 'propagating signals', 'internal wavelength', 'incoherent component', 'fort lewis', 'forest floor', 'equal heights', 'dominated forest', 'delay spread', 'coherence bandwidth']</t>
  </si>
  <si>
    <t>Summary form only given. Propagation of a wideband signal through a trunk-dominated forest in the UHF frequency regime is investigated. The forest is modeled by a random array of parallel lossy dielectric cylinders with a prescribed diameter distribution. The transmitting and receiving antennas are positioned at equal heights above the forest floor to minimize polarization effects. Signals scattered from the ground or canopy are not considered. The signal propagating within the forest is considered to be composed of two components: the mean (coherent) component and the residual random (incoherent) component. At a sufficiently large distance (greater than 100 m) the incoherent component is dominant. Its propagation characteristics are described by a two-frequency correlation function satisfying an equation of the Bethe-Salpeter type. This equation is solved explicitly in the limit where the trunks have diameters which are small in comparison with the internal wavelength. The solution is generalized to relatively large trunk diameters by modifying the total and scattering cross sections in the thin-trunk solution. These solutions are then used to calculate the coherence bandwidth and delay spread of the propagating signals. Experiments conducted within a trunk-dominated Douglas fir forest at Fort Lewis, Washington, show reasonably good agreement with calculations. Regression analysis provides the basis for revealing trends in the delay-spread with frequency, distance, and polarization.</t>
  </si>
  <si>
    <t>60006337;60006337</t>
  </si>
  <si>
    <t>57203616353;7402385067</t>
  </si>
  <si>
    <t>Lang, R. H.;Schneider, Allan</t>
  </si>
  <si>
    <t>Lang R.</t>
  </si>
  <si>
    <t>Radiowave propagation within trunk-dominated forests: Coherence bandwidth and delay-spread</t>
  </si>
  <si>
    <t>2-s2.0-0024833173</t>
  </si>
  <si>
    <t>['wenner array', 'triangular elements', 'summary form', 'successive points', 'stratified burden', 'specified shape', 'schlumberger array', 'results obtained', 'potential within', 'potential gradient', 'nodal potential', 'homogeneous half', 'good agreement', 'element method', 'dc current', 'current electrodes', 'contrasting conductivity', 'apparent resistivity', 'apparent resistivities', 'anisotropic inhomogeneities']</t>
  </si>
  <si>
    <t>Summary form only given. Inhomogeneities in a half-space can be detected from the apparent resistivity and the potential on the surface of the half-space when a DC current is sent between two electrodes far apart on the surface of the half-space, using the finite-element method and dividing the domain under investigation into triangular elements of different sizes according to the expected potential gradient. The potential within each triangle is described as a function of the nodal potential of the triangle. This method has been applied to the cases of a homogeneous half-space with and without a stratified burden of contrasting conductivity. From the potential on the surface the apparent resistivities of the Wenner array and the Schlumberger array are calculated. Results obtained are in good agreement with the apparent resistivities calculated by these arrays with other methods in the literature. In the case of a model of a half-space with a specified shape of inhomogeneity and using a Schlumberger array, by measuring the potential of successive points between the current electrodes it is found that the potential gradient has a considerable sudden change at the beginning and the end of the inhomogeneity. This method can be applied for isotropic and anisotropic inhomogeneities.</t>
  </si>
  <si>
    <t>60010294;60010294</t>
  </si>
  <si>
    <t>57212910085;6504079240</t>
  </si>
  <si>
    <t>El-Said, Mostafa;Abdelnazir, Ahmed</t>
  </si>
  <si>
    <t>Giza</t>
  </si>
  <si>
    <t>Cairo University</t>
  </si>
  <si>
    <t>El-Said M.</t>
  </si>
  <si>
    <t>Detection of inhomogeneity in a half-space by the potential on the surface using the finite element method</t>
  </si>
  <si>
    <t>2-s2.0-0024838439</t>
  </si>
  <si>
    <t>['two frequencies', 'transmitting system', 'theoretical result', 'system crosstalk', 'scattering matrix', 'relative phase', 'relative amplitude', 'receiving systems', 'receiving system', 'radar return', 'polarized components', 'polarization signatures', 'noticeable distortion', 'near range', 'natural targets', 'matrix describing', 'jpl aircraft', 'excellent agreement', 'e .,', 'different types', 'crosstalk parameters', 'band systems', 'band system', 'azimuthal symmetry', 'absolute amplitude', '20 db', '10 db']</t>
  </si>
  <si>
    <t>A technique is described that uses the radar return from natural targets and at least one trihedral corner reflector to calibrate compressed polarimetric radar data. Calibration for relative amplitude, relative phase, absolute amplitude, and system crosstalk is addressed. The crosstalk calibration method is based on the theoretical result that, for natural targets with azimuthal symmetry, the copolarized and cross-polarized components of the scattering matrix are uncorrelated, and the method does not require any external calibration targets to be deployed before imaging. Since compressed data are used, it is necessary to model the transmitting and receiving systems as reciprocal, i.e., that the matrix describing the transmitting system is the transpose of the matrix describing the receiving system. The method is illustrated by estimating the crosstalk parameters of the NASA/JPL aircraft for different types of terrain and for two frequencies. For the C-band systems the crosstalk is less than -20 dB for all ranges in the images. The crosstalk of the L-band system is a function of range, however, and may be as poor as -10 dB in the near range, leading to a noticeable distortion of the polarization signatures. When the estimated crosstalk parameters at L-band are compared to those expected from the antenna patterns alone, excellent agreement is found.</t>
  </si>
  <si>
    <t>2889-2892</t>
  </si>
  <si>
    <t>van Zyl, Jakob J.</t>
  </si>
  <si>
    <t>van Zyl J.</t>
  </si>
  <si>
    <t>Technique to calibrate polarimetric radar images using only image parameters and trihedral corner reflectors</t>
  </si>
  <si>
    <t>2-s2.0-0024838440</t>
  </si>
  <si>
    <t>['weber transform', 'tem mode', 'tangential component', 'summary form', 'reflection coefficient', 'radiation pattern', 'probe ends', 'probe allowing', 'layered medium', 'input impedance', 'ground plate', 'current distribution', 'boundary conditions', 'antenna parameters', 'allows one']</t>
  </si>
  <si>
    <t>Summary form only given. A study was made of the radiation pattern and antenna parameters of a coaxial-line driven monopole over a ground plate in an arbitrary stratified planar medium. The problem was formulated in terms of a Weber transform which allows one to develop the Green's function of the layered medium with the probe as part of the medium. Using the Weber transform automatically enforces the boundary conditions on the probe allowing the problem to be cast as the solution of a set of integral equations governing the tangential component of the electric field across the aperture of the coaxial line feed and that across the interface where the probe ends. This set was then solved by the method of moments. The current distribution on the probe was then computed from the component of the magnetic field tangential to the probe's surface. From the computed electric field across the aperture of the coaxial line feed, the reflection coefficient for the TEM mode was obtained. This allows one to compute the input impedance at the terminals of the probe.</t>
  </si>
  <si>
    <t>7004110635;6602527177;57225357085</t>
  </si>
  <si>
    <t>Habashy, T. M.;Beren, J. A.;Butler, C. M.</t>
  </si>
  <si>
    <t>Habashy T.M.</t>
  </si>
  <si>
    <t>Radiation of a coaxial-line driven monopole over a ground plate in a planar layered medium - The Weber transform technique</t>
  </si>
  <si>
    <t>2-s2.0-0024839143</t>
  </si>
  <si>
    <t>['vhf range', 'two high', 'theoretical shapes', 'sum diagram', 'standard boreholes', 'orthogonal pattern', 'mode port', 'differential amplifiers', 'calculated offline', 'azimuth direction', 'antenna fits', 'antenna consists', '89 mm']</t>
  </si>
  <si>
    <t>A direction-finding receiving antenna for subsurface radar applications in the VHF range is described. The antenna consists of four antenna monopoles which are connected in pairs to two high-input impedance differential transistor amplifiers. Through subtraction of two antenna voltages, a figure-of-eight antenna pattern is achieved. With the second antenna pair an orthogonal pattern is obtained. From the common-mode port of the differential amplifiers a sum diagram can be derived which is omnidirectional in the azimuth direction. From these diagrams, the angle of incidence of the incoming reflected wave can be calculated offline. With a diameter of 89 mm the antenna fits into standard boreholes and, therefore, can be used for the exploration of unworked salt domes. Regarding several design considerations, the antenna patterns meet the theoretical shapes.</t>
  </si>
  <si>
    <t>2870-2873</t>
  </si>
  <si>
    <t>60018276;60018276</t>
  </si>
  <si>
    <t>6603752702;7004894531</t>
  </si>
  <si>
    <t>Flachenecker, G.;Brose, J.</t>
  </si>
  <si>
    <t>Neubiberg</t>
  </si>
  <si>
    <t>Universit√§t der Bundeswehr M√ºnchen</t>
  </si>
  <si>
    <t>Flachenecker G.</t>
  </si>
  <si>
    <t>Active receiving antenna for borehole radar measurements</t>
  </si>
  <si>
    <t>2-s2.0-0024839144</t>
  </si>
  <si>
    <t>['stub filters', 'shf phase', 'pdl section', 'mathematical operations', 'low losses', 'least number', 'frequency response', 'delay lines', 'chebyshev amplitude', 'chebyshev afr']</t>
  </si>
  <si>
    <t>The principal requirements imposed on SHF phase-delay lines (PDL) concern the linearity of the phase-frequency response, the magnitude of the discretely varied phase ŒîœÜ, the losses, the modulation, and the bandwidth. The described PDL construction uses the properties of stub filters. In filters having a Chebyshev amplitude-frequency response (AFR) the required frequency band is ensured by the least number of stubs for a stipulated mismatch level. All the mathematical operations are carried out using the example of designing a PDL section having a Chebyshev AFR. The theoretical and experimental investigations make it possible to conclude that PDL constructed using stub filters as switched channels allow a discrete phase variation which is a multiple of œÄ/2 to be ensured for low losses in the 2:1 frequency band.</t>
  </si>
  <si>
    <t>87-89</t>
  </si>
  <si>
    <t>6602790789;7006062342;6507195415</t>
  </si>
  <si>
    <t>Vershinin, I. M.;Vorob'ev, P. A.;Fedyakin, V. M.</t>
  </si>
  <si>
    <t>Vershinin I.</t>
  </si>
  <si>
    <t>Controllable phase-delay line based on stub filters</t>
  </si>
  <si>
    <t>2-s2.0-0024848379</t>
  </si>
  <si>
    <t>['working frequencies', 'tuning speed', 'response equal', 'resonant frequencies', 'promising method', 'present work', 'output power', 'multichannel systems', 'microstrip antennas', 'electrical tuning', '4 œºsec', '1 kw']</t>
  </si>
  <si>
    <t>The present work has considered three methods of broadening the band of working frequencies for Microstrip antennas. It has been demonstrated that for multichannel systems the most promising method is electrical tuning of resonant frequencies. One of the antennas proposed may operate at an output power of up to 1 kW with a tuning speed of response equal to 4 Œºsec.</t>
  </si>
  <si>
    <t>93-95</t>
  </si>
  <si>
    <t>6506227687;57196732268</t>
  </si>
  <si>
    <t>Belenko, V. Yu;Efremov, Yu G.</t>
  </si>
  <si>
    <t>Belenko V.</t>
  </si>
  <si>
    <t>Expanding the frequency range of microstrip antennas</t>
  </si>
  <si>
    <t>2-s2.0-0024870571</t>
  </si>
  <si>
    <t>['technological requirements', 'technological capabilities', 'near future', 'important areas', 'german programs', 'earth observation']</t>
  </si>
  <si>
    <t>Demanding user requirements on operational space radars to be flown on the forthcoming polar platforms, which call for a further increases in technological capabilities, are discussed. Technological requirements for future civil space radar programs are examined, present developments within the key technology areas are presented, and recommendations on the most important areas of investigations in the near future are given. This review is based on the European and German programs of earth observation and basic technology research.</t>
  </si>
  <si>
    <t>566-569</t>
  </si>
  <si>
    <t>60002286;60002286;60002286</t>
  </si>
  <si>
    <t>57214274481;6701656836;6603201465</t>
  </si>
  <si>
    <t>Braun, Hans Martin;Rausch, Gerhard Hans;Kappel, Helmut</t>
  </si>
  <si>
    <t>Braun H.</t>
  </si>
  <si>
    <t>Technological challenge of future space radar systems</t>
  </si>
  <si>
    <t>2-s2.0-0024872478</t>
  </si>
  <si>
    <t>['washington state', 'summary form', 'shorter paths', 'propagation measurements', 'path lengths', 'evaluate attenuation', 'deciduous vegetation', 'data gathered', 'conifer vegetation', 'conifer trees', 'azimuth scans', '8 ghz', '6 ghz', '1 ghz']</t>
  </si>
  <si>
    <t>Summary form only given, as follows. Propagation measurements to examine millimeter wave propagation through conifer vegetation were made in the Olympic National Forest of Washington State during October, 1987. Linearly polarized CW signals at 9.6 GHz, 28.8 GHz, 57.6 GHz, and 96.1 GHz were used to evaluate attenuation, cross-polarization and backscattering from conifer trees. Elevation and azimuth scans were conducted for various transmitter antenna heights and path lengths. Very high attenuation rates (decibels per meter of foliage) were measured on the shorter paths, while significantly lower rates were observed on paths extending deeper into the forest. Results from the measurements are presented and compared with data gathered from similar measurements taken through deciduous vegetation.</t>
  </si>
  <si>
    <t>60028358;60028358</t>
  </si>
  <si>
    <t>57198727517;6602886473</t>
  </si>
  <si>
    <t>Jones, D. L.;Espeland, R. H.</t>
  </si>
  <si>
    <t>National Telecommunications and Information Administration</t>
  </si>
  <si>
    <t>Jones D.</t>
  </si>
  <si>
    <t>Millimeter-wave propagation measurements through conifer vegetation</t>
  </si>
  <si>
    <t>2-s2.0-0024872479</t>
  </si>
  <si>
    <t>['wave antennas', 'placed near', 'method applicable', 'conducting screen', 'circuit structure', 'capacitative loading']</t>
  </si>
  <si>
    <t>Formulas are derived for TE-wave antennas, where a two-dimensional periodic structure with capacitative loading is involved, which is placed near a conducting screen. A method applicable to a printed-circuit structure is given, together with measurements on a prototype.</t>
  </si>
  <si>
    <t>21-24</t>
  </si>
  <si>
    <t>Kostikov, R. N.</t>
  </si>
  <si>
    <t>Kostikov R.</t>
  </si>
  <si>
    <t>Designing TE-wave antennas</t>
  </si>
  <si>
    <t>2-s2.0-0024872624</t>
  </si>
  <si>
    <t>['substantial improvement', 'sideband modulation', 'noise immunity', 'multiplicative interference', 'fm system', 'communication system', '17 db']</t>
  </si>
  <si>
    <t>Revised spectral power density formulas are given, which show that there is substantial improvement in the noise immunity from single-sideband modulation by comparison with angular. The noise immunity in a communication system with single-sideband AM in the presence of additive and multiplicative interference is better than that for an FM system by 17 dB and thus completely compensates for the loss in noise immunity in the latter.</t>
  </si>
  <si>
    <t>30-33</t>
  </si>
  <si>
    <t>Volkov, A. A.</t>
  </si>
  <si>
    <t>Volkov A.</t>
  </si>
  <si>
    <t>Noise immunity in mobile radio systems based on single-sideband and angular forms of modulation in the absence of additive and multiplicative noise</t>
  </si>
  <si>
    <t>2-s2.0-0024872705</t>
  </si>
  <si>
    <t>['user channels', 'useful way', 'use factor', 'use efficiency', 'ultimate objective', 'traffic capabilities', 'rf bandwidth', 'relate er', 'realistic examples', 'new factor', 'multibeam antenna', 'highly non', 'final decision', 'factor compares', 'best er', 'beam system', 'also introduced']</t>
  </si>
  <si>
    <t>It is desirable to maximize the frequency re-use factor (FR) of a multibeam satellite system, in order to reduce the demands on the requirement for RF bandwidth. Since the ultimate objective of such a system is to increase the revenue earning traffic capabilities, and not necessarily the number of user channels or frequency re-use, it is even more desirable to maximize the erlang re-use factor (ER) introduced in this paper. This factor compares the traffic capabilities of a multibeam antenna to that of a single beam coverage. The concept of ER is applied to four different multibeam antenna configurations, with realistic examples of a highly non-uniform traffic distribution, for a maritime, aeronautical and land mobile satellite system. A new factor, the frequency re-use efficiency (FRE) is also introduced to relate ER to FR. It is a simple but useful way of describing the effectiveness of a multi-beam system. The final decision is a compromise between best ER and best FRE per unit cost.</t>
  </si>
  <si>
    <t>375-381</t>
  </si>
  <si>
    <t>Space Technology</t>
  </si>
  <si>
    <t>100317072;100317072</t>
  </si>
  <si>
    <t>7005654269;57214418687</t>
  </si>
  <si>
    <t>Sultan, N.;Wood, P. J.</t>
  </si>
  <si>
    <t>Canadian Astronautics Ltd</t>
  </si>
  <si>
    <t>Sultan N.</t>
  </si>
  <si>
    <t>Erlange re-use concept. Figure of merit for frequency re-use applied to mobile satellite systems</t>
  </si>
  <si>
    <t>2-s2.0-0024880093</t>
  </si>
  <si>
    <t>['wide variety', 'wavelength range', 'robotic vision', 'remote sensing', 'optical techniques', 'optical systems', 'low loss', 'improved imaging', 'element design', 'current applications', 'author presented']</t>
  </si>
  <si>
    <t>The author presented some of the current applications of optical systems in the millimeter-wavelength range. Optical techniques and power transmission using quasi-optical propagation allow production of components having very low loss and of systems that can cover extremely large fractional bandwidths. Diffraction-limited imaging performance is critical, and newly available focal-plane antenna arrays and improved imaging-element design are making possible new applications in a wide variety of fields from remote sensing to robotic vision.</t>
  </si>
  <si>
    <t>Goldsmith, Paul F.</t>
  </si>
  <si>
    <t>Amherst</t>
  </si>
  <si>
    <t>Millitech Corp</t>
  </si>
  <si>
    <t>Goldsmith P.</t>
  </si>
  <si>
    <t>Millimeter-wavelength optical systems come of age</t>
  </si>
  <si>
    <t>2-s2.0-0024882980</t>
  </si>
  <si>
    <t>['walsh functions', 'transmitting data', 'transmitting antenna', 'radiation pattern', 'radiate vilenkin', 'nonsinusoidal waves', 'nonsinusoidal signals', 'imaginary vilenkin', 'hertzian dipole', 'directed towards', 'components corresponding', 'chrestenson signals', 'chrestenson functions']</t>
  </si>
  <si>
    <t>The use of nonsinusoidal waves as carriers when transmitting data has been considered in a number of papers. These consider the properties of nonsinusoidal signals, their generation and reception, and describe appropriate practical devices. Nonsinusoidal waves based on Walsh functions, called pulsed Walsh signals were considered. Unlike Walsh functions, Vilenkin-Chrestenson functions are complex. Hence, to radiate Vilenkin-Chrestenson signals (henceforth called simply signals) it is necessary to ensure that they are separated into components corresponding to real and imaginary Vilenkin-Chrestenson functions. We analyze the radiation power ignoring the form of the radiation pattern of the transmitting antenna, assuming that its maximum is directed towards the receiver. To simplify the calculations we can assume that a Hertzian dipole is used to radiate the signals.</t>
  </si>
  <si>
    <t>50-52</t>
  </si>
  <si>
    <t>Mansurov, V. V.</t>
  </si>
  <si>
    <t>Mansurov V.V.</t>
  </si>
  <si>
    <t>Radiation power of Vilenkin-Chrestenson pulsed signals</t>
  </si>
  <si>
    <t>2-s2.0-0024883196</t>
  </si>
  <si>
    <t>['total signal', 'total amplitude', 'separated sites', 'random inhomogeneities', 'interferometer sites', 'fluctuational part', 'element interferometer', 'dielectric constant', 'conductorless channeling', 'coherent adding']</t>
  </si>
  <si>
    <t>Expressions are obtained for the fluctuational part of the total amplitude for a coherent adding of the signal of a three-element interferometer on a satellite for the assumption that the random inhomogeneities of the dielectric constant of the atmosphere are described by the Karman anisotropic model. The effect of the arrangement of the interferometer sites and the anisotropy of the atmosphere on the magnitude and character of the fluctuations of the total signal is investigated. The results of the analysis can be used for estimates of the efficiency of conductorless channeling of energy to an object in space from separated sites.</t>
  </si>
  <si>
    <t>17-22</t>
  </si>
  <si>
    <t>7006450972;6508381767;35614653600;7006332887</t>
  </si>
  <si>
    <t>Armand, N. A.;Kibardina, I. N.;Lobanov, Ye A.;Lomakin, A. N.</t>
  </si>
  <si>
    <t>Effect of anisotropy of atmospheric inhomogeneities on the operation of a multielement antenna system</t>
  </si>
  <si>
    <t>2-s2.0-0024884130</t>
  </si>
  <si>
    <t>['time quasi', 'sufficient statistics', 'position system', 'optimum measurement', 'multiposition direction', 'mathematical simulation', 'increased accuracy', 'finding system', 'deterministic signal', 'angular parameters', 'angular coordinate']</t>
  </si>
  <si>
    <t>An algorithm for the optimum measurement of the angular parameters of a space-time quasi-deterministic signal in a multiposition radar system with a phased antenna array is synthesized. An expression is obtained for the sufficient statistics. It is shown that it is possible in principle to design a coherent multiposition direction-finding system with unique direction finding and increased accuracy. The gain in accuracy when measuring the angular coordinate in a multiposition direction-finding system compared with a single-position system is determined. The results of a mathematical simulation are given.</t>
  </si>
  <si>
    <t>Estimate of the possibility of the unique direction-finding of signals with increased accuracy in a short-base multiposition system</t>
  </si>
  <si>
    <t>2-s2.0-0024885130</t>
  </si>
  <si>
    <t>['uniqueness conditions', 'truncation method', 'solutions obtained', 'scattered field', 'method developed', 'frequency points', 'frequencies belonging', 'evaluated numerically']</t>
  </si>
  <si>
    <t>The existence and uniqueness conditions for solving infinite systems of linear algebraic equations, to which the problems of the diffraction of E- and H-polarized electromagnetic waves by polygonal conducting cylindrical surfaces reduce when the method developed by V. P. Chumachanko et al is used, are formulated. In the vicinities of the frequency points, for which these conditions are not satisfied, the behavior of the solutions obtained on the basis of the truncation method for waves of both polarizations is evaluated numerically. The question of finding the scattered field for the frequencies belonging to these vicinities is examined.</t>
  </si>
  <si>
    <t>140-143</t>
  </si>
  <si>
    <t>Chumachenko, V. P.</t>
  </si>
  <si>
    <t>Chumachenko V.</t>
  </si>
  <si>
    <t>Substantiation of one method of solving two-dimensional problems concerning the diffraction of electromagnetic waves by polygon structures. Uniqueness theorem</t>
  </si>
  <si>
    <t>2-s2.0-0024885877</t>
  </si>
  <si>
    <t>['triangular cells', 'lc network', 'isotropy conditions', 'frequency matching', 'different size', 'different ratios']</t>
  </si>
  <si>
    <t>The low-frequency matching and isotropy conditions of sections of an LC network having rectangular and triangular cells of different size are obtained for different ratios of their sides. The dispersion and anisotropy of such networks are examined.</t>
  </si>
  <si>
    <t>82-90</t>
  </si>
  <si>
    <t>Kazanskiy, L. S.</t>
  </si>
  <si>
    <t>Kazanskiy L.</t>
  </si>
  <si>
    <t>Investigation of the properties of the LC networks, used in the pattern-forming circuits of antenna arrays</t>
  </si>
  <si>
    <t>2-s2.0-0024886338</t>
  </si>
  <si>
    <t>['zone field', 'point probe', 'phase distributions', 'one needs', 'meter affects', 'linear probe', 'instruments must', 'high sensitivity', 'field throughout', 'direction pattern', 'considerable time']</t>
  </si>
  <si>
    <t>Considerable time is required to measure the near-zone field of an antenna, and the instruments must have high sensitivity and good dynamic range; even if only two principal orthogonal sections are considered, one needs to use a point probe to measure the field throughout the surface, as is the practice in certifying standard antennas. A linear equidistant antenna or linear probe can be used to measure the field. The output from such a probe is the equivalent linear distribution, from which one can readily compute one of the sections for the direction pattern. We consider two cases using such a probe: one where the accuracy in deriving the equivalent linear distribution is dependent on the amplitude and phase distributions at the probe and one where the restricted dynamic range in the meter affects that accuracy.</t>
  </si>
  <si>
    <t>89-91</t>
  </si>
  <si>
    <t>Saakyan, G. B.</t>
  </si>
  <si>
    <t>Saakyan G.</t>
  </si>
  <si>
    <t>Error estimation for the equivalent linear distribution derived with a linear probe in an antenna near zone</t>
  </si>
  <si>
    <t>2-s2.0-0024888904</t>
  </si>
  <si>
    <t>['three antennas', 'offset gregorian', 'main reflectors', 'keeping 90', 'esa tds', 'communications experiments', 'article describes', '6 project']</t>
  </si>
  <si>
    <t>This article describes the design and evaluation of a high performance dual-reflector antenna intended for communications experiments with the ESA OLYMPUS satellite in the 20/30 GHz bands. The antenna is an offset Gregorian with an aperture of 2.47 m and reflector shapes optimized using the method of diffraction profile synthesis. It exhibits high gain while keeping 90% of sidelobes below 29-25 log Œ∏ dBi, and incorporates a wide-band corrugated horn feed with a ring-loaded throat section. Three antennas have so far been manufactured to this design for the ESA TDS-6 project. An accuracy of 140-145 Œºm rms has been achieved for the main reflectors.</t>
  </si>
  <si>
    <t>GEC journal of research</t>
  </si>
  <si>
    <t>Henderson, R. I.</t>
  </si>
  <si>
    <t>GEC plc</t>
  </si>
  <si>
    <t>Henderson R.</t>
  </si>
  <si>
    <t>Offset dual reflector antenna for 20/30 GHz</t>
  </si>
  <si>
    <t>2-s2.0-0024889485</t>
  </si>
  <si>
    <t>['use high', 'q radiators', 'printed antenna', 'planar layers', 'one way', 'metal plate', 'dielectric coating', 'cross section', 'bearing one']</t>
  </si>
  <si>
    <t>A disadvantage of printed antenna is its narrow band width; one way of increasing this is to use high-Q radiators, in which the dielectric substrates occupy only part of the cross section of the structure and are composed of two or more planar layers. Considerable interest attaches to a high-Q radiator without such substrate, with the metal plate on the inside of the dielectric coating, which here has not merely protective functions but also a load-bearing one. We consider electrodynamic simulation for single-channel printed sources excited by a coaxial feeder line in a planar unbounded phased array.</t>
  </si>
  <si>
    <t>74-77</t>
  </si>
  <si>
    <t>7202667195;7003595726</t>
  </si>
  <si>
    <t>Filippov, V. S.;Semenov, K. I.</t>
  </si>
  <si>
    <t>Filippov V.</t>
  </si>
  <si>
    <t>Characteristics of high-Q printed radiators in a planar phased array</t>
  </si>
  <si>
    <t>2-s2.0-0024889790</t>
  </si>
  <si>
    <t>['optics analogs', 'development prospects']</t>
  </si>
  <si>
    <t>The state of the art and development prospects are considered for replacing traditional distributive UHF systems and radar-signal processing devices by fiber-optics and integrated-optics analogs.</t>
  </si>
  <si>
    <t>14-23</t>
  </si>
  <si>
    <t>7004473149;7006802217</t>
  </si>
  <si>
    <t>Bratchikov, A. N.;Grinev, A. Yu</t>
  </si>
  <si>
    <t>Bratchikov A.</t>
  </si>
  <si>
    <t>Fiber-optics systems for distributing and processing antenna-array signals (review)</t>
  </si>
  <si>
    <t>2-s2.0-0024890052</t>
  </si>
  <si>
    <t>['method described', 'matrix meter', 'efficient algorithm', 'automatic scattering']</t>
  </si>
  <si>
    <t>An efficient algorithm is presented for deriving the equivalent S parameters for a component in a reflective antenna array, which has been tested on a model; the input data consist of measurements in a waveguide simulator made via a method described. The algorithm is intended for use in conjunction with an automatic scattering-matrix meter and minicomputer.</t>
  </si>
  <si>
    <t>Sazonov, M. D.</t>
  </si>
  <si>
    <t>Sazonov M.</t>
  </si>
  <si>
    <t>Measuring component characteristics for reflective antenna arrays in a waveguide simulator</t>
  </si>
  <si>
    <t>2-s2.0-0024890053</t>
  </si>
  <si>
    <t>['tuning frequency', 'transfer function', 'spectral characteristics', 'secondary radiation', 'random deviations', 'passive components', 'given form']</t>
  </si>
  <si>
    <t>There are random deviations in tuning frequency and random phase shifts in the channels on account of the spreads in parameters in active and passive components and the finite tuning accuracy in the modules in a swept antenna array. We represent the transfer function for a module is a given form in order to examine the spectral characteristics of such an array and the secondary radiation of it if there are random frequency deviations. We reconsider an ensemble of such arrays.</t>
  </si>
  <si>
    <t>65-67</t>
  </si>
  <si>
    <t>Gostyukhin, V. L.</t>
  </si>
  <si>
    <t>Gostyukhin V.</t>
  </si>
  <si>
    <t>Energy spectrum of a swept antenna array on mistuning in the tuned circuits</t>
  </si>
  <si>
    <t>2-s2.0-0024890054</t>
  </si>
  <si>
    <t>['two outputs', 'signal scanning', 'require reference', 'planar arrays', 'nonequidistant sets', 'linear arrays', 'general case', 'finding method', 'eigenvalue estimation', 'consider aspects', 'antenna arrays']</t>
  </si>
  <si>
    <t>We consider aspects of parallel direction finding. Adaptive direction finding is considered on the basis of eigenvalue estimation from two correlation matrices derived from the two outputs of antenna arrays having displaced phase centers. The direction-finding method is parallel that does not require reference-signal scanning, and is applicable to linear arrays, and also to planar arrays in the general case of nonequidistant sets.</t>
  </si>
  <si>
    <t>65-69</t>
  </si>
  <si>
    <t>6603712016;6602288054</t>
  </si>
  <si>
    <t>Manzhos, V. N.;Rudnev, L. N.</t>
  </si>
  <si>
    <t>Multipurpose single-pulse direction finder for noise sources</t>
  </si>
  <si>
    <t>2-s2.0-0024890373</t>
  </si>
  <si>
    <t>['result subject', 'random time', 'module parameters', 'frequency distortions', 'energy spectra', 'enables one', 'distribution circuits']</t>
  </si>
  <si>
    <t>A spectral correlation method has been developed for analyzing these arrays, which enables one to examine how random time and frequency distortions in the exciting signals affect the result subject to the usual engineering spreads in the module parameters and distribution circuits a regards the level of the side lobe radiation. The model has been used to determine the energy spectra for continuous-wave and pulsed radio systems.</t>
  </si>
  <si>
    <t>Spectral correlation analysis for side lobe radiation in swept antenna arrays</t>
  </si>
  <si>
    <t>2-s2.0-0024890378</t>
  </si>
  <si>
    <t>['widely used', 'structure consisting', 'side lobes', 'rectangular holes', 'projection method', 'periodic system', 'namely enlarge', 'multilayer insulators', 'metal inserts', 'major characteristics', 'enables one', 'adversely affect']</t>
  </si>
  <si>
    <t>Single-layer or multilayer insulators are widely used in making antenna covers; to improve the strength, they may have metal inserts or frames, which can adversely affect the parameters, namely enlarge the side lobes, reduce the transparency, or reflect some of the power. Approximate methods exist for designing such structures. We consider a projection method, which enables one to determine the major characteristics more accurately. We consider a structure consisting of an unbounded planar perforated metal screen placed in an insulator; the screen has a periodic system of rectangular holes.</t>
  </si>
  <si>
    <t>62-64</t>
  </si>
  <si>
    <t>16437068800;6507566951</t>
  </si>
  <si>
    <t>Ponomarev, L. I.;Kul'kov, M. Yu</t>
  </si>
  <si>
    <t>Ponomarev L.</t>
  </si>
  <si>
    <t>Multifrequency perforated-screen analysis</t>
  </si>
  <si>
    <t>2-s2.0-0024891401</t>
  </si>
  <si>
    <t>['wideband vco', 'rf converter', 'projects included', 'multiband vco', 'hybrid form', 'hybrid applications', 'engineering projects', 'antenna switch']</t>
  </si>
  <si>
    <t>A summary of engineering projects that were implemented in hybrid form is given. These projects included a RF converter, a multiband VCO, a wideband VCO, low pass filters, an antenna switch, a large area multilayer ceramic hybrid, and hybrid applications in manufacturing</t>
  </si>
  <si>
    <t>Hybrid circuit technology</t>
  </si>
  <si>
    <t>60012132;60012132</t>
  </si>
  <si>
    <t>57188987192;6507225816</t>
  </si>
  <si>
    <t>Dexter, C. E.;Frager, S. A.</t>
  </si>
  <si>
    <t>Watkins-Johnson Company</t>
  </si>
  <si>
    <t>Dexter C.</t>
  </si>
  <si>
    <t>Hybrid thick film solutions for engineering design problems</t>
  </si>
  <si>
    <t>2-s2.0-0024891908</t>
  </si>
  <si>
    <t>['velocity vector', 'time processing', 'target tracking', 'synthesis radar', 'signals received', 'phase centers']</t>
  </si>
  <si>
    <t>An algorithm is examined for moving-target tracking in an aperture-synthesis radar, which is based on space-time processing for signals received by two highly directional antennas whose axes are perpendicular to the velocity vector and the phase centers are separated by a baseline. These formulas enable one to calculate the performance in selecting slowly moving ground targets in an aperture-synthesis radar.</t>
  </si>
  <si>
    <t>50-54</t>
  </si>
  <si>
    <t>6602180498;7004402385</t>
  </si>
  <si>
    <t>Surkov, M. N.;Fedosov, V. P.</t>
  </si>
  <si>
    <t>Surkov M.</t>
  </si>
  <si>
    <t>Moving-target tracking in an aperture-synthesis radar system</t>
  </si>
  <si>
    <t>2-s2.0-0024892917</t>
  </si>
  <si>
    <t>['technological noises', 'supernova star', 'sn 1987', 'background signals']</t>
  </si>
  <si>
    <t>Attention is focused on the acoustical signals recorded in a mine in the Carpathians on 23 February 1987 from 6 to 9 o'clock Moscow time which statistically significantly exceed the background signals, and are not associated with seismic or technological noises. Since a burst of a supernova star was recorded in the Great Magellanic clouds (SN 1987 A) at 10:30 Moscow time, it is possible that the signals are associated with this SN 1987 A.</t>
  </si>
  <si>
    <t>Soviet Physics - Lebedev Institute Reports (English Translation of Sbornik ‚Ä≥Kratkie Soobshcheniya po Fizike‚Ä≥. AN SSSR. Fizicheskii Institut im. P.N. Lebedeva)</t>
  </si>
  <si>
    <t>6701713032;6507978171;6602990715</t>
  </si>
  <si>
    <t>Vavilov, Yu N.;Verbitskii, T. Z.;Khavroshkin, O. B.</t>
  </si>
  <si>
    <t>Vavilov Y.</t>
  </si>
  <si>
    <t>Analysis of data from underground acoustical testing of the corrosion of the environment on 23 February 1987</t>
  </si>
  <si>
    <t>2-s2.0-0024894817</t>
  </si>
  <si>
    <t>['two long', 'turnkey projects', 'three stations', 'power equipment', 'northern edge', 'local circumstances', 'fully equipped', 'full satisfaction', 'frequency station', 'different fields', 'demonstrate abb', 'business activities', 'broadcasting stations', 'bring together', 'art transmitters', 'algerian sahara', 'adverse conditions']</t>
  </si>
  <si>
    <t>Broadcasting stations, fully equipped with state of the art transmitters, antennas and power equipment, have a special place among ABB's business activities and bring together the company's planning, design and project engineering expertise in different fields. ABB recently handed over the Qasr Kherane multi-frequency station in Jordan and two long-wave sister stations, Bechar and Ouargla, on the northern edge of the Algerian Sahara. All three stations were turnkey projects and demonstrate ABB's policy of adaptation to local circumstances and commitment to work and cost schedules even under adverse conditions. The stations are operating to the full satisfaction of their owners.</t>
  </si>
  <si>
    <t>23-30</t>
  </si>
  <si>
    <t>ABB Review</t>
  </si>
  <si>
    <t>Broadcasting stations as turnkey projects</t>
  </si>
  <si>
    <t>2-s2.0-0024895875</t>
  </si>
  <si>
    <t>['wave propagation', 'thermodynamic phases', 'technological improvement', 'summary form', 'radar meteorologists', 'radar measurements', 'quantitative measurement', 'pursue lines', 'polarization control', 'particle sizes', 'operational techniques', 'meteorological radars', 'measured quantities', 'liquid water', 'key issues', 'improved verification', 'improved antennas', 'existing radars', 'empirical models', 'effective use', 'data processors', 'could lead', 'comparative measurements', 'broad spectrum', 'backscatter media']</t>
  </si>
  <si>
    <t>Summary form only given. Polarization diversity radar techniques can contribute to a variety of meteorological research topics and applications: the evolution of hydrometeors, the development of precipitation, cloud electrical phenomena, quantitative measurement of rainfall, discrimination of ice and liquid water in clouds, the detection of hail and of aircraft icing conditions, and the description of microwave and millimeter-wave propagation in clouds and precipitation. This broad spectrum of potential utility results from the capability of such radars to measure quantities related to the shapes and orientations of the hydrometeors that constitute the propagation and backscatter media. Through analytical or empirical models, estimates of particle sizes, shapes, orientations, and thermodynamic phases can be derived from the measured quantities. Key issues that must be faced by radar meteorologists in the near future include (1) the more effective use of existing radars in research, both in multiagency field programs and in locally managed operations; (2) improved verification of radar measurements, based on comparative measurements in the laboratory and in the field; and (3) technological improvement of meteorological radars by the incorporation of improved antennas, polarization control, receivers, and data processors. There is also a need to identify and pursue lines of research that could lead to the development of operational techniques.</t>
  </si>
  <si>
    <t>Metcalf, James I.</t>
  </si>
  <si>
    <t>Hanscom</t>
  </si>
  <si>
    <t>AFB</t>
  </si>
  <si>
    <t>Metcalf J.</t>
  </si>
  <si>
    <t>Polarization diversity radars in meteorology</t>
  </si>
  <si>
    <t>2-s2.0-0024896810</t>
  </si>
  <si>
    <t>['yet understood', 'well known', 'underlying mechanisms', 'temporal variations', 'surface currents', 'spatial variability', 'ship sum', 'several hours', 'satellite images', 'roll motions', 'one ship', 'one land', 'obviously due', 'norwegian coast', 'march 1988', 'horizontal variability', 'high temporal', 'errors due', 'dimensional current', 'based system', 'based station', 'angular resolution', '10 cm']</t>
  </si>
  <si>
    <t>CODAR (coastal ocean Doppler aperture radar) measurements of surface currents, carried out during NORCSEX '88 (Norwegian Continental Shelf Experiment), are presented. One land- and one ship-based station were used in order to map the two-dimensional current off the Norwegian coast at about 64¬∞N and 8¬∞E in March 1988. The ship-based CODAR system is new, and is discussed in some detail. Errors due to angular resolution by means of an array of four receiving antennas, determination of the ship's drift by satellite navigation GPS (Global Positioning System) and pitch-and-roll motions of the ship sum up to about 10 cm/s. This value is corroborated by the comparison of current velocities measured by the land- and ship-based system at the same position. Observed surface currents show a high temporal and spatial variability on scales of several hours and some kilometers. Temporal variations are obviously due to wind. The horizontal variability of the Norwegian coastal current is well known from satellite images. The underlying mechanisms are complex and not yet understood.</t>
  </si>
  <si>
    <t>730-733</t>
  </si>
  <si>
    <t>60028229;60028229;60028229;60028229</t>
  </si>
  <si>
    <t>57212825129;6701740049;6701885309;7006648278</t>
  </si>
  <si>
    <t>Essen, H. H.;Gurgel, K. W.;Schirmer, F.;Schlick, T.</t>
  </si>
  <si>
    <t>Hamburg</t>
  </si>
  <si>
    <t>Universit√§t Hamburg</t>
  </si>
  <si>
    <t>Essen H.</t>
  </si>
  <si>
    <t>Surface currents during NORCSEX '88, as measured by a land- and a ship-based HF-radar</t>
  </si>
  <si>
    <t>2-s2.0-0024897708</t>
  </si>
  <si>
    <t>['sensor signals', 'sampling frequency', 'restricted bandwidth', 'required bandwidth', 'particularly important', 'number n', 'digital antenna', 'communication line', 'becomes important', 'array elements']</t>
  </si>
  <si>
    <t>In digital antenna-pattern design schemes, the data on the array elements (sensors) are supplied in digital form along cables, and here the sampling frequency is important. The sampling frequency governs the required bandwidth in the communication line, which is particularly important if the number N of sensors is large. The required bandwidth in the communication line increases approximately in proportion to N2. If the communication line has restricted bandwidth and if N is large, the line capacity restricts the choice of sensor signal sampling period in accordance with Kotel'nikov's theorem. Then it becomes important to interpolate the sensor signals to obtain and equivalent sampling frequency.</t>
  </si>
  <si>
    <t>Kudinov, A. V.</t>
  </si>
  <si>
    <t>Kudinov A.</t>
  </si>
  <si>
    <t>Interpolation in beam-forming circuits</t>
  </si>
  <si>
    <t>2-s2.0-0024897712</t>
  </si>
  <si>
    <t>['whose performance', 'various phase', 'slightly inferior', 'search algorithms', 'phase control', 'numerous elements', 'control methods', 'control algorithms', 'consider random', 'column control', 'coefficient vector']</t>
  </si>
  <si>
    <t>Phase control is important among antenna-array adaptation methods, as it has less computational complexity than does amplitude-phase control, particularly if there are numerous elements. The performance in phase-control algorithms is also quite high and is often only slightly inferior to that in amplitude and phase control. There are various phase-control methods, among which we may distinguish row-column control with discrete controlled phase shifters for multicomponent planar antenna arrays. Simplified adaptation algorithms reproduce the advantages of such control and have advantages of their own due to reduction in the dimensions of the weighting-coefficient vector to N + M, in which N is the number of rows and M the number of columns. We consider random-search algorithms for adaptive control based on row-column discrete phasing, whose performance is examined.</t>
  </si>
  <si>
    <t>81-82</t>
  </si>
  <si>
    <t>Glushankov, E. I.</t>
  </si>
  <si>
    <t>Glushankov E.</t>
  </si>
  <si>
    <t>Random-search algorithms for an adaptive antenna array with discrete row and column phasing</t>
  </si>
  <si>
    <t>2-s2.0-0024902751</t>
  </si>
  <si>
    <t>['type rear', 'receiver circuits', 'one manufacturer', 'offer golfers', 'mounted antenna', 'hauling function', 'guiding cart', 'guided operation', 'drive units']</t>
  </si>
  <si>
    <t>One manufacturer has decided to offer golfers a self-guiding cart that can perform a caddy's bag-hauling function. Battery-powered and self-propelled, the golf-bag-toting caddy vehicle has a radio guidance system. Used with servo-type rear-wheel-drive units, the system provides automatic, self-guided operation that minimizes demands made on the golfer. The guidance system uses two vehicle-mounted antenna/receiver circuits. These circuits are tuned to pick up a continuous, constant-strength signal put out by a small transmitter clipped to the rear of the golfer's belt.</t>
  </si>
  <si>
    <t>24 Suppl</t>
  </si>
  <si>
    <t>Design News (Boston)</t>
  </si>
  <si>
    <t>Stefanides, E. J.</t>
  </si>
  <si>
    <t>Stefanides E.</t>
  </si>
  <si>
    <t>Self-guiding caddy cart carries bags, follows golfer</t>
  </si>
  <si>
    <t>2-s2.0-0024904818</t>
  </si>
  <si>
    <t>['test results']</t>
  </si>
  <si>
    <t>A method is considered for selecting the major design parameters for an umbrella-type folding antenna; test results are presented for antennas whose parameters have been selected in that way.</t>
  </si>
  <si>
    <t>48-50</t>
  </si>
  <si>
    <t>6508219305;6602873460;6506916663;6506672027;7101929130;7103302590</t>
  </si>
  <si>
    <t>Burmenko, E. Yu;Gryanik, M. V.;Loman, V. I.;Pilishenko, V. N.;Samoilov, V. N.;Tarasenko, V. V.</t>
  </si>
  <si>
    <t>Burmenko E.</t>
  </si>
  <si>
    <t>Parameter choice for an umbrella-type folding antenna</t>
  </si>
  <si>
    <t>2-s2.0-0024905075</t>
  </si>
  <si>
    <t>['reflecting object', 'near zone', 'general case', 'frequency shift', 'extended radiating', 'compatible estimators', 'combined estimators', 'basic formulas']</t>
  </si>
  <si>
    <t>Combined estimators are considered for the parameters of a spatial signal governing the linear and spatial-frequency shift in an antenna system relative to an extended radiating or reflecting object in the far or near zone. Incompatible and compatible estimators are considered. In the general case, there is a correlation between those estimators, and basic formulas are derived for the performance.</t>
  </si>
  <si>
    <t>Yur'ev, A. N.</t>
  </si>
  <si>
    <t>Yur'ev A.</t>
  </si>
  <si>
    <t>Joint spectral-parameter estimation for the signal from an extended object</t>
  </si>
  <si>
    <t>2-s2.0-0024905668</t>
  </si>
  <si>
    <t>['square error', 'phase distributions', 'main lobe', 'flattening purposes', 'explicit form', 'corresponding amplitude', 'circular aperture', 'butterworth conditions', 'best approximation', 'approximating dp', 'apd ),']</t>
  </si>
  <si>
    <t>A solution is obtained in explicit form for problems of maximizing the area utilization factor (AUF) and the best approximation on the average of the square-shaped sector directivity pattern (DP) of an antenna with a circular aperture when the Butterworth conditions (BC) are imposed on the approximating DP for flattening purposes. The solutions are illustrated by the DP and the corresponding amplitude-phase distributions (APD), and by calculations of the mean-square error and the AUF. Restrictions are established for the choice of the smallest and largest permissible antenna dimensions, making it possible to synthesize a DP of maximum flatness without peaking within the limits of the main lobe and with small side lobes.</t>
  </si>
  <si>
    <t>38-45</t>
  </si>
  <si>
    <t>6602329206;16448437600</t>
  </si>
  <si>
    <t>Minkovich, B. M.;Mints, M. Ya</t>
  </si>
  <si>
    <t>Minkovich B.</t>
  </si>
  <si>
    <t>Directivity patterns of a circular aperture having maximum flatness</t>
  </si>
  <si>
    <t>2-s2.0-0024911129</t>
  </si>
  <si>
    <t>['steep parts', 'periodically excited', 'parametric amplification', 'maximum sensitivity', 'magnetization curve', 'ferromagnetic material', 'external signal', 'conversion factor', 'barkhausen steps']</t>
  </si>
  <si>
    <t>Nonlinearity in the magnetization field dependence is used in parametric amplification of an external signal in a magnetic active antenna or a ferroprobe. The sensitivity is determined by the magnetic noise level, which is due to the irregularity in the Barkhausen steps when the ferromagnetic material is periodically excited. Large Barkhausen steps occur on steep parts of the magnetization curve, and if those parts are cut out by strobing the output, the noise is reduced, but so is the conversion factor. Conditions for obtaining the maximum sensitivity are considered.</t>
  </si>
  <si>
    <t>Fedosov, V. N.</t>
  </si>
  <si>
    <t>Fedosov V.N.</t>
  </si>
  <si>
    <t>Magnetization relaxation and magnetic-noise variation</t>
  </si>
  <si>
    <t>2-s2.0-0024912389</t>
  </si>
  <si>
    <t>['transmittance distributions', 'successive approximations', 'square closeness', 'simple dependences', 'paper examines', 'outside surface', 'numerical results', 'inside surface', 'impedance distribution', 'giving rise', 'given patterns', 'external field', 'energy distribution', 'directivity pattern', 'azimuthal coordinate', 'amplitude distribution']</t>
  </si>
  <si>
    <t>This paper examines the problems of searching for the in-phase tangential electric field at the surface of a sphere, giving rise to a directivity pattern that is close to that given in terms of the amplitude distribution of the components or the energy distribution. The criterion of the mean-square closeness of the patterns is used. The problems are solved by the method of successive approximations. The transmittance distributions of the outside surface as well as the shape of the inside surface (in the form of a body of rotation) and the impedance distribution on it are calculated from the condition of matching of the natural oscillation field with the external field for the case of very simple dependences of the given patterns on the azimuthal coordinate. Numerical results are presented.</t>
  </si>
  <si>
    <t>25-30</t>
  </si>
  <si>
    <t>6603901427;6507969957</t>
  </si>
  <si>
    <t>Voytovich, N. N.;Topolyuk, Yu P.</t>
  </si>
  <si>
    <t>Synthesis of axisymmetrical resonator with a spherical outside surface starting from a given amplitude directivity pattern</t>
  </si>
  <si>
    <t>2-s2.0-0024912461</t>
  </si>
  <si>
    <t>['time signals', 'receiving space', 'receiving points', 'quasioptimal algorithms', 'performance comparison', 'observation performance', 'fields scattered', 'field scattered', 'decorrelation condition']</t>
  </si>
  <si>
    <t>Receiving space-time signals is considered for a multiposition antenna system in the presence of fields scattered by clouds. A performance comparison is made for optimal and quasioptimal algorithms. We use successive approximations to derive an optimal processing algorithm for a multiposition dispersed ratio system, which gives a signal-noise energy ratio that defines the observation performance when the field scattered by the clouds does not satisfy the decorrelation condition at the receiving points.</t>
  </si>
  <si>
    <t>24-28</t>
  </si>
  <si>
    <t>7102018982;57191987642;6505760561</t>
  </si>
  <si>
    <t>Kremer, I. Ya;Petrov, V. M.;Tabatskii, V. A.</t>
  </si>
  <si>
    <t>Detecting spatial time-dependent signals against a background of cloud-scattered fields</t>
  </si>
  <si>
    <t>2-s2.0-0024913782</t>
  </si>
  <si>
    <t>['wave resonance', 'temperature plasma', 'smoothly tuning', 'resonant cavity', 'resonance frequency', 'plasma produced', 'parameters depend', 'microstrip radiators', 'microstrip radiator', 'existing solutions', 'effective source', 'band devices', 'antenna techniques']</t>
  </si>
  <si>
    <t>Microstrip radiators and antenna arrays based on them are becoming widely used in antenna techniques. Since microstrip radiators are narrow-band devices, the problem often arises of tuning them to the resonance frequency. Existing solutions of this problem involve using semiconductor devices in the construction of the microstrip radiator, but their parameters depend on the temperature and they break down when subjected to electromagnetic or other overloads. In this communication we present the results of investigations of the possibility of smoothly tuning the resonance frequency of a microstrip radiator with a plasma produced in its resonant cavity by means of a hollow-cathode glow discharge, which is an effective source of low-temperature plasma and enables different microwave control elements to be constructed. The investigations were carried out with microstrip radiators operating in quarter-wave resonance.</t>
  </si>
  <si>
    <t>85-86</t>
  </si>
  <si>
    <t>6507884506;6505880050;57197403424</t>
  </si>
  <si>
    <t>Lytov, Yu V.;Timanyuk, V. A.;Tkachenko, V. M.</t>
  </si>
  <si>
    <t>Lytov Y.</t>
  </si>
  <si>
    <t>Investigation of a microstrip radiator filled with a low-temperature plasma</t>
  </si>
  <si>
    <t>2-s2.0-0024916758</t>
  </si>
  <si>
    <t>['reactive components', 'radial dipole', 'minor axis', 'focal length', 'elliptic cylinder', 'characteristic impedance', 'analytical expressions']</t>
  </si>
  <si>
    <t>Analytical expressions are obtained for determining the characteristic impedance of a radial dipole placed on an elliptic cylinder. The results of calculations of the resistive and reactive components of the characteristic impedance of the radial dipole as a function of the size of the minor axis and the focal length of the ellipse and as a function of the position of the dipole on the surface of the elliptic cylinder are presented.</t>
  </si>
  <si>
    <t>33-38</t>
  </si>
  <si>
    <t>7102485268;7004442376;6603273479</t>
  </si>
  <si>
    <t>Kravtsov, V. A.;Kravtsova, G. V.;Ulasik, O. L.</t>
  </si>
  <si>
    <t>Kravtsov V.</t>
  </si>
  <si>
    <t>Effect of an elliptic cylinder on the impedance of a radial dipole</t>
  </si>
  <si>
    <t>2-s2.0-0024916916</t>
  </si>
  <si>
    <t>['œüo direction', 'œ ∏', 'xoz plane', 'widely used', 'transmitting walls', 'planar wave', 'curvilinear surface', 'considerable strength', 'connecting lines', 'bearing shell', 'antenna covers']</t>
  </si>
  <si>
    <t>Vibrator-type reradiating structures are widely used as radio-transmitting walls for antenna covers; there is a load-bearing shell having holes through which runs the connecting lines between the pairwise reradiating vibrators, which form an array on the surface of the shell, which may be of insulator or metal. The shell has considerable strength and protects the antenna under it and the apparatus from the environment. Such a cover has a curvilinear surface, but if the dimensions and radius of curvature are large by comparison with the wavelength, the characteristics can be determined from a model for an infinite planar structure. The authors analyze one cell in a periodic electrodynamic model containing a planar metal screen in the XOZ plane. The cell has dimensions dx x dz and in general may contain T receiving and transmitting vibrator components. A planar wave with field strength Eo is incident on the structure in the Œ∏o, œÜo direction.</t>
  </si>
  <si>
    <t>68-69</t>
  </si>
  <si>
    <t>16437068800;7006172632</t>
  </si>
  <si>
    <t>Ponomarev, L. I.;Shatalov, A. V.</t>
  </si>
  <si>
    <t>Planar reradiating vibrator structure characteristics</t>
  </si>
  <si>
    <t>2-s2.0-0024917547</t>
  </si>
  <si>
    <t>['version 2', 'superior design', 'published broad', 'paper presents', 'nec2 ),', 'multiple resistive', 'minimum efficiency', 'lowest frequency', 'initial optimisation', 'inductive loads', 'improved broad', 'final optimisation', 'antenna presents', '2mhz ).']</t>
  </si>
  <si>
    <t>This paper presents an improved broad-band high frequency (HF) drooping dipole antenna, with multiple resistive and inductive loads. The antenna is 0.45 wavelengths long at its lowest frequency of operation (2MHz). The antenna was empirically designed using a lossy transmission line method for initial optimisation and the method of moments computer code, Numerical Electromagnetic Code, Version 2 (NEC2), for final optimisation. The computed VSWR performance was confirmed by input impedance measurements. The antenna presents a maximum measured VSWR of 1.9:1 to the feedline, with a minimum efficiency of 40% across the whole HF band of 2-30MHz, whilst maintaining radiation pattern constancy. This indicates a superior design over other published broad-band antenna configurations.</t>
  </si>
  <si>
    <t>177-185</t>
  </si>
  <si>
    <t>60016218;60016218;60016218</t>
  </si>
  <si>
    <t>55263026900;6506066241;7005409475</t>
  </si>
  <si>
    <t>Clark, A. R.;Givati, O.;Fourie, A. P.C.</t>
  </si>
  <si>
    <t>Johannesburg</t>
  </si>
  <si>
    <t>University of the Witwatersrand, Johannesburg</t>
  </si>
  <si>
    <t>Clark A.</t>
  </si>
  <si>
    <t>Multi-load HF broad-band dipole antenna</t>
  </si>
  <si>
    <t>2-s2.0-0024917572</t>
  </si>
  <si>
    <t>['simultaneously preserving', 'scanning angle', 'main lobe', 'interpolational shapers', 'interpolational directivity', 'etc .).', 'digitization frequencies', 'computational expenditures', 'communication derives']</t>
  </si>
  <si>
    <t>One of the principal problems arising in the design of interpolational directivity-pattern (DP) shapers is the reduction of computational expenditures while simultaneously preserving the stipulated performance indices (the side-lobe field level, the width of the main lobe of the DP, etc.). The communication derives an expression for calculating the DP of interpolational shapers, which allows the various performance indices to be estimated as a function of the type of interpolational polynomial used, the degree of the polynomial, the digitization frequencies, and the scanning angle of the DP.</t>
  </si>
  <si>
    <t>96-98</t>
  </si>
  <si>
    <t>6507724357;6506235949</t>
  </si>
  <si>
    <t>Zakovorotnov, E. A.;Turulin, I. I.</t>
  </si>
  <si>
    <t>Zakovorotnov E.</t>
  </si>
  <si>
    <t>Method for designing digital interpolational directivity-pattern shapers</t>
  </si>
  <si>
    <t>2-s2.0-0024918422</t>
  </si>
  <si>
    <t>['useful signal', 'time sample', 'superresolution algorithms', 'statistical estimation', 'statistical analysis', 'space spectrum', 'sequential adoption', 'restricted sampling', 'received signals', 'radiation sources', 'proposed procedure', 'problem consists', 'noises arrive', 'input mixture', 'correlated interference', 'complete extraction', 'coefficient vector', 'attained via', 'array weighting']</t>
  </si>
  <si>
    <t>The problem of statistical estimation of a space spectrum from a restricted sampling has been solved under conditions of correlated interference. The problem consists in developing a procedure for estimating the space spectrum via a statistical analysis of the received signals and interferences, and the sequential adoption of decisions with allowance for the dynamics of the radiation sources and receiver as the readings of the input mixture of the useful signal with the noises arrive. The proposed procedure for statistical estimation of nonstationary space spectra combines the properties of stochastic Bayes algorithms and spatial-superresolution algorithms. This is attained via the complete extraction of the statistical information contained in the space-time sample and the utilization of this information for correction of the array weighting-coefficient vector.</t>
  </si>
  <si>
    <t>6602782210;7005837246;6701839171</t>
  </si>
  <si>
    <t>Sytnik, O. V.;Rudenko, O. G.;Presnyakov, I. N.</t>
  </si>
  <si>
    <t>Sytnik O.</t>
  </si>
  <si>
    <t>Statistical estimation of nonstationary space spectra</t>
  </si>
  <si>
    <t>2-s2.0-0024918424</t>
  </si>
  <si>
    <t>['torsional stiffness', 'rotary device', 'problem concerned', 'precision rotors', 'output shafts', 'motor drive', 'kinematic accuracy', 'gearwheels mounted', 'design criteria', 'common gear']</t>
  </si>
  <si>
    <t>Design criteria for high-precision rotors for antennas are outlined. There arises the problem concerned with improvement of the kinematic accuracy and torsional stiffness of the mechanical gear transmissions figuring in the composition of such devices. One of the solutions of this problem is to use a multi-motor drive. A multi-motor drive contains several modules in the form of motor and reduction gear groups. The output shafts of the modules have gearwheels mounted on them which mesh with the common gear of the rotary device.</t>
  </si>
  <si>
    <t>17-20</t>
  </si>
  <si>
    <t>Soviet engineering research</t>
  </si>
  <si>
    <t>7102330838;57225791457</t>
  </si>
  <si>
    <t>Popov, P. K.;Lychagin, V. V.</t>
  </si>
  <si>
    <t>Popov P.K.</t>
  </si>
  <si>
    <t>Multi-motor drive of rotary devices</t>
  </si>
  <si>
    <t>2-s2.0-0024918483</t>
  </si>
  <si>
    <t>['higher signal']</t>
  </si>
  <si>
    <t>An algorithm is described for determining the number of monochromatic signals received by a linear equidistant antenna array; a Monte Carlo simulation is reported. The Monte Carlo simulation shows that the estimators are highly reliable although they require a higher signal-noise power ratio (by a factor of 2 or more) by comparison with statistically optimal criteria.</t>
  </si>
  <si>
    <t>Konovalov, L. N.</t>
  </si>
  <si>
    <t>Two-sided sign algorithm for identifying monochromatic signals</t>
  </si>
  <si>
    <t>2-s2.0-0024919713</t>
  </si>
  <si>
    <t>['transmitting antennas', 'three frequencies', 'theoretical interpretation', 'height h', 'european ussr', 'coniferous forest', 'central part', '2 ghz', '1987 along']</t>
  </si>
  <si>
    <t>The goal of this work was a theoretical interpretation of experimentally observed attenuations of centimeter radio waves, based on the three-beam interference structure of signals at the point of reception. The experiments were performed in the summer of 1987 along a 12.65 km path near the earth's surface, located in the central part of the European USSR at the three frequencies of 11.5, 19.2 and 29.2 GHz. The receiver and transmitting antennas were placed at a height H = 30 m above the earth's surface. For the most part the path is covered by a coniferous forest.</t>
  </si>
  <si>
    <t>95-98</t>
  </si>
  <si>
    <t>6701726709;6508129299</t>
  </si>
  <si>
    <t>Pozhidayev, V. N.;Shabel'Nikov, A. V.</t>
  </si>
  <si>
    <t>Pozhidayev V.</t>
  </si>
  <si>
    <t>Interference attenuation of centimeter waves along paths close to the earth's surface</t>
  </si>
  <si>
    <t>2-s2.0-0024924654</t>
  </si>
  <si>
    <t>['two types', 'satellite communications', 'paper describes', 'airborne antenna']</t>
  </si>
  <si>
    <t>Airborne antenna for satellite communications is required to be low-profile, light in weight and small in size and also to scan the antenna beam electrically. This paper describes the two types of phased array antennas developed taking the above requirements into account. Furthermore, the discussions are made on the active array antenna to realize the required antenna performance and multipath fading due to sea surface reflection in aeronautical satellite communications.</t>
  </si>
  <si>
    <t>Space Communications</t>
  </si>
  <si>
    <t>100627959;100627959;100627959</t>
  </si>
  <si>
    <t>7005670025;57201551756;7005154210</t>
  </si>
  <si>
    <t>Yasunaga, Masayuki;Watanabe, Fumio;Shiokawa, Takayasu</t>
  </si>
  <si>
    <t>Meguro Research and Development Lab</t>
  </si>
  <si>
    <t>Yasunaga M.</t>
  </si>
  <si>
    <t>Airborne array antennas for satellite communication</t>
  </si>
  <si>
    <t>2-s2.0-0024925623</t>
  </si>
  <si>
    <t>['plasma parameters', 'loop plane', 'charge layer', 'antenna voltage', 'analogous studies']</t>
  </si>
  <si>
    <t>V. V. Alcindinov et al carried out analyses of the effect of a space-charge layer on the impedance of a low-frequency loop antenna in a magnetically active plasma. The case where the plane of the loop is perpendicular to the external magnetic field was examined. Analogous studies are carried out for a loop whose plane is parallel to the external magnetic field. We conclude that in order to reduce the effect of plasma parameters and the antenna voltage the external source must be connected at the points where the loop conductor intersects the projection of the constant magnetic field vector onto the loop plane.</t>
  </si>
  <si>
    <t>6506340936;6701398779;6602991222</t>
  </si>
  <si>
    <t>Bukharova, A. M.;Lishin, I. V.;Sorokina, R. K.</t>
  </si>
  <si>
    <t>Bukharova A.</t>
  </si>
  <si>
    <t>Input impedance to a low-frequency loop antenna in a magnetically active plasma</t>
  </si>
  <si>
    <t>2-s2.0-0024925672</t>
  </si>
  <si>
    <t>['wide range', 'wave transmitters', 'wave transmitter', 'running costs', 'operating modes', 'latest generation', 'kw short', 'kw medium', 'engineering work', 'customer wished', 'broadcasting industry', 'abb transmitters']</t>
  </si>
  <si>
    <t>Near the city of Pori in Finland, a short-wave transmitter station began operation almost three years ago which has drawn wide attention from the broadcasting industry. Asea Brown Boveri built and installed at this station one 100-kW and three-kW short-wave transmitters and a 600-kW medium-wave transmitter. Equipped with pulse step modulation, they belong to the very latest generation of ABB transmitters, allowing a saving in energy and therefore in running costs for a wide range of operating modes. Since the customer wished to participate in the engineering work, a close and fruitful collaboration developed over the course of the project.</t>
  </si>
  <si>
    <t>Finland's new short-wave transmitter station</t>
  </si>
  <si>
    <t>2-s2.0-0024926769</t>
  </si>
  <si>
    <t>['ridge line', 'ridge interval', 'remote sensing', 'polarizational components', 'moved 2', 'interest dependence', 'incident angles', 'incident angle', 'hv ).', 'g .,', 'four polarizations', 'direction perpendicular', 'continuous wave', 'constant speed', 'canopy level', 'burdock field', 'band fm', 'backscattered waves', 'backscatter experiment', 'autocorrelation function', 'antenna heights', 'also found', '7 cm', '45 ¬∞']</t>
  </si>
  <si>
    <t>A backscatter experiment was carried out on a burdock field by an X-band FM-CW (continuous wave) radar to obtain basic data on the classification of crops by remote sensing. The radar was moved 2.3 m at the constant speed of about 7 cm/s in the direction perpendicular to the ridge line, with the beam direction parallel to the ridge line at the antenna heights of 3.5 m and 2.0 m above the top of canopy level at incident angles of 45¬∞ and 60¬∞, respectively. The ridge interval in the field and the leaf size could be detected by analysis of the backscattered power fading, e.g., by deriving the autocorrelation function. The detection of these intervals was also found to depend on the incident angle. An interest dependence of the polarizational components of irradiated and backscattered waves on the burdock plant shape was found from observation for the four polarizations (VV, VH, HH, and HV).</t>
  </si>
  <si>
    <t>409-414</t>
  </si>
  <si>
    <t>60092258;60092258;60092258</t>
  </si>
  <si>
    <t>7005543461;6507826360;7005098920</t>
  </si>
  <si>
    <t>Kurosu, Takashi;Suitz, Takeshi;Umehara, Toshihiko</t>
  </si>
  <si>
    <t>Kurosu T.</t>
  </si>
  <si>
    <t>Microwave backscatter experiment of a burdock field by an X-band FM-CW radar</t>
  </si>
  <si>
    <t>2-s2.0-0024929303</t>
  </si>
  <si>
    <t>['walls could', 'synthesis predicts', 'synthesis method', 'solid angles', 'realized physically', 'ideal reflectors', 'general case', 'far field', 'directivity patterns', 'circular polarization', 'characteristic oscillations', 'allows us']</t>
  </si>
  <si>
    <t>We have developed a theory which allows us to synthesize open resonators formed by walls which are ideal reflectors from the inside and semi-transparent from the outside. This theory is applicable to the case of three-dimensional vector fields, and is based on the use of directivity patterns of the characteristic oscillations. We assume that the walls of the resonator possess purely reactive electric and magnetic admittances along certain directions on the surface, and we suggest and discuss how such walls could be realized physically. In the general case our synthesis predicts the shape of the resonator as well as the direction and magnitude of the admittances. We apply this synthesis method to the design of a conformal resonator antenna with circular polarization in the far field for all solid angles.</t>
  </si>
  <si>
    <t>39-47</t>
  </si>
  <si>
    <t>Vector theory of resonator antenna synthesis</t>
  </si>
  <si>
    <t>2-s2.0-0024930165</t>
  </si>
  <si>
    <t>['phase shift', 'phase modulator', 'maximum value', 'loss tangent', 'forward loss', 'film permeability', 'ferroelectric shifter', 'ferroelectric film', 'dissipative losses', 'dissipative loss', 'current concentration', 'control voltage', 'consider eliminating', 'conductor edges', 'bearing conductors']</t>
  </si>
  <si>
    <t>A shortcoming in a ferroelectric shifter is that the forward loss is dependent on the phase shift because the control voltage affects the dissipative loss in the ferroelectric film and current-bearing conductors. The electric field reduces the film permeability and loss tangent. The reduction in capacity per unit length in a shifter in a coplanar or slot line reduces the current concentration at the conductor edges, and therefore the dissipative loss in the conductors is reduced. When the control voltage is applied, not only is the phase shift reduced but also the forward loss, which distorts the diagram for the phased antenna array and results in parasitic amplitude modulation in a phase modulator. We consider eliminating this shortcoming. The forward losses may be stabilized by tapping off part of the energy from the controlled transmission line at the maximum value of the control voltage, when the dissipative losses are minimal.</t>
  </si>
  <si>
    <t>101-102</t>
  </si>
  <si>
    <t>6603748387;7005840596</t>
  </si>
  <si>
    <t>Sledkov, V. A.;Ryazanov, V. D.</t>
  </si>
  <si>
    <t>Sledkov V.</t>
  </si>
  <si>
    <t>Stabilizing the forward losses in a ferroelectric phase shifter</t>
  </si>
  <si>
    <t>2-s2.0-0024930259</t>
  </si>
  <si>
    <t>['radio transmitters', 'present paper', 'nonlinear self', 'neutral particles', 'lower ionosphere']</t>
  </si>
  <si>
    <t>The purpose of the present paper is to analyze the effect of the nonlinear self-interaction of strong radio signals in the lower ionosphere on the directivity of antennas at radio transmitters with carrier frequencies œâ ‚â´ ŒΩe0, where ŒΩe0 is the effective collision frequency between electrons and neutral particles.</t>
  </si>
  <si>
    <t>83-85</t>
  </si>
  <si>
    <t>56941529900;6603692890;6507555345;6504246622</t>
  </si>
  <si>
    <t>Karlov, V. D.;Kadykov, V. B.;Mozhayev, A. A.;Trubayev, S. I.</t>
  </si>
  <si>
    <t>Karlov V.</t>
  </si>
  <si>
    <t>Effect of radio signal self-interaction in the lower ionosphere on antenna directivity</t>
  </si>
  <si>
    <t>2-s2.0-0024931762</t>
  </si>
  <si>
    <t>['wave radiators', 'theoretical results', 'retardation coefficients', 'radiator size', 'printed traveling', 'fourier transformation', 'edgewave method', 'direction pattern', 'dimensional structure']</t>
  </si>
  <si>
    <t>A planar finite antenna array is considered that consists of printed traveling-wave radiators, which are unsymmetrical strip lines having periodically varying conductor widths. The edgewave method and Fourier transformation are used to reduce the treatment to a superposition of solutions for the excitation of an unbounded regular two-dimensional structure. Theoretical results are presented on the effects of radiator size on the direction pattern and on the damping and retardation coefficients.</t>
  </si>
  <si>
    <t>35-38</t>
  </si>
  <si>
    <t>7202667195;7103366081;7006548266</t>
  </si>
  <si>
    <t>Filippov, V. S.;Pavlov, S. A.;Sapozhnikov, A. A.</t>
  </si>
  <si>
    <t>Printed-circuit antenna arrays with traveling-wave radiators</t>
  </si>
  <si>
    <t>2-s2.0-0024933420</t>
  </si>
  <si>
    <t>['time control', 'phase distribution', 'performance signal', 'performance algorithms', 'one feature', 'modern high', 'may mean', 'may differ', 'interpolation method', 'intermediate points', 'highly collimated', 'high resolution', 'fresnel zone', 'exact values', 'exact formulas', 'computer speed', 'column control', 'beam width', 'astronomically large', 'antenna would', 'abandon simple']</t>
  </si>
  <si>
    <t>Modern high-performance signal-processing systems require antennas with high resolution, highly collimated, and with low sidelobe levels. To provide a beam width of approximately 1‚Ä≤, the number of elements in such an antenna would have to be astronomically large. One feature is that such an antenna must operate in the Fresnel zone. One has to provide not only a planar wave front over the array but also an amplitude and phase distribution that may differ from this, which may mean that for certain working distances one has to abandon simple and high-performance algorithms for row-column control. Any interpolation control amounts to the following: the exact values for the distribution are calculated at certain nodal points for complicated but exact formulas, and then a simple interpolation algorithm is used to determine the values at intermediate points. The scope for real-time control is dependent not only on the computer speed and the number of elements but also on the interpolation method.</t>
  </si>
  <si>
    <t>78-80</t>
  </si>
  <si>
    <t>7006499714;57198248844</t>
  </si>
  <si>
    <t>Samoilenko, V. I.;Ryzhov, V. P.</t>
  </si>
  <si>
    <t>Samoilenko V.</t>
  </si>
  <si>
    <t>Interpolational control for amplitude and phase distributions in a phased antenna array</t>
  </si>
  <si>
    <t>2-s2.0-0024933421</t>
  </si>
  <si>
    <t>['scattering behavior', 'mirror antenna', 'main lobe', 'given reduction', 'enable one', 'direction pattern']</t>
  </si>
  <si>
    <t>A mirror antenna having a zoned parabolic reflector is considered; formulas are derived for the direction pattern, and the effective scattering area is estimated. The effects from the number of zones on the scattering behavior are considered for a wide frequency range. Graphs are given for the geometry that enable one to provide a given reduction in the effective scattering surface within the main lobe.</t>
  </si>
  <si>
    <t>7006169937;7102607345</t>
  </si>
  <si>
    <t>Danilov, Yu N.;Fedorova, L. A.</t>
  </si>
  <si>
    <t>Danilov Y.</t>
  </si>
  <si>
    <t>Scattering behavior in a zoned reflector antenna</t>
  </si>
  <si>
    <t>2-s2.0-0024934691</t>
  </si>
  <si>
    <t>['rectangular region', 'principal term', 'oscillating functions', 'integration paths', 'generalized impedances', 'elementary function', 'double integrals', 'continuous functions', 'calculated effectively']</t>
  </si>
  <si>
    <t>It is shown that the choice of integration paths in wave-vector space enables the elements of the generalized impedance matrix to be calculated effectively for a rectangular region. The generalized impedances, specified in the form of double integrals of oscillating functions, are represented in the form of a principal term, described by an elementary function, and two subsidiary terms, specified in the form of integrals of continuous functions.</t>
  </si>
  <si>
    <t>30-34</t>
  </si>
  <si>
    <t>Konyashenko, E. A.</t>
  </si>
  <si>
    <t>Konyashenko E.</t>
  </si>
  <si>
    <t>Method of calculating generalized impedances for a rectangular region</t>
  </si>
  <si>
    <t>2-s2.0-0024938009</t>
  </si>
  <si>
    <t>['signals received', 'several applications', 'promising types', 'passive detection', 'paper examines', 'multielement arrays', 'integration acoustooptoelectronic', 'correlation processing', 'aoe processor']</t>
  </si>
  <si>
    <t>Correlation signal processing is required for several applications in passive detection and ranging and communications for signals received by multielement arrays. One of the promising types of delay-multichannel correlators includes time-integration acoustooptoelectronic (AOE) correlators in which the reference and signal light rays are multiplied by the linearity of the photodetectors. The paper examines an AOE processor which can be used for correlation processing of signals received by two linear multielement antenna arrays.</t>
  </si>
  <si>
    <t>120-122</t>
  </si>
  <si>
    <t>Katkov, B. G.</t>
  </si>
  <si>
    <t>Katkov B.</t>
  </si>
  <si>
    <t>Signal processing for multielement arrays using acoustooptoelectronic correlators</t>
  </si>
  <si>
    <t>2-s2.0-0024938125</t>
  </si>
  <si>
    <t>['regular net', 'reflective module', 'multielement array', 'forms part', 'flocke cell', 'finite array', 'excited uniformly']</t>
  </si>
  <si>
    <t>We consider the characteristics of a reflective module, which is a finite array having its elements at the nodes in a regular net, which are coupled to reflective phase shifters, and which is fitted with a radiator and forms part of a planar regular infinite array, in which all the radiators are excited uniformly with linear phase shifts (phased array). That approach is justified for a multielement array, and the treatment can be restricted to a Flocke cell, which here coincides with a module.</t>
  </si>
  <si>
    <t>70-73</t>
  </si>
  <si>
    <t>7004098923;6504227234;57189308722</t>
  </si>
  <si>
    <t>Kudin, V. P.;Lukhanin, I. I.;Ushakov, Yu S.</t>
  </si>
  <si>
    <t>Kudin V.</t>
  </si>
  <si>
    <t>Modular reflective phased antenna array</t>
  </si>
  <si>
    <t>2-s2.0-0024940092</t>
  </si>
  <si>
    <t>['without relation', 'various methods', 'specified pattern', 'radiator currents', 'phase synthesis', 'phase selection', 'one purpose', 'limiting error', 'current topic', 'current amplitudes', 'allow one']</t>
  </si>
  <si>
    <t>Phase synthesis is a current topic in designing antenna characteristics on the basis of phase selection for the radiator currents for fixed current amplitudes; one purpose is to provide a given direction pattern, for which various methods have been proposed. However, in the design in that approach, there is no allowance for the interaction between elements. Also, the current amplitudes are in general specified arbitrarily, without relation to the specified pattern, which can affect the solution and which does not allow one to determine the limiting error in the phase synthesis, by which is meant the minimum in the norm for the difference between the given and actual direction patterns. We propose an iterative algorithm free from those shortcomings.</t>
  </si>
  <si>
    <t>83-86</t>
  </si>
  <si>
    <t>Kondrat'ev, A. S.</t>
  </si>
  <si>
    <t>Kondrat'ev A.</t>
  </si>
  <si>
    <t>Antenna-array phase synthesis algorithm</t>
  </si>
  <si>
    <t>2-s2.0-0024940093</t>
  </si>
  <si>
    <t>['widely used', 'two subreflectors', 'single beam', 'satellite communications', 'performance characteristics', 'paper introduces', 'new type', 'multisatellite operations', 'model antenna', 'high degree', 'feed subsystem', 'experimental results', 'differs greatly', 'design parameters', 'cassegrain antennas', 'antenna called', 'also described', '60 dbi']</t>
  </si>
  <si>
    <t>Cassegrain antennas are now most widely used as large-size earth station antennas for satellite communications. However, the gigantic parabolic main reflector must be capable of movement with a high degree of precision in order to accurately track satellites. In addition, for multisatellite operations, several large independent antennas are required because a conventional Cassegrain antenna has only a single beam. This paper introduces a new type of antenna called 'Offset Spherical Antenna' developed for future earth station antennas. This antenna is composed of a feed subsystem, a spherical main reflector and two subreflectors which, individually, have special and unique curved profiles. From the viewpoints of configuration and performance characteristics, it differs greatly from the existing earth station antennas. Some design parameters are presented for INTELSAT's Standard A, C and E-3 earth station antennas. Experimental results of a model antenna with a gain of 60 dBi are also described.</t>
  </si>
  <si>
    <t>Watanabe, Fumio</t>
  </si>
  <si>
    <t>Fujimino</t>
  </si>
  <si>
    <t>KDDI R&amp;D Laboratories</t>
  </si>
  <si>
    <t>Watanabe F.</t>
  </si>
  <si>
    <t>Development of a new type of beam-steerable earth station antenna. Offset spherical antenna</t>
  </si>
  <si>
    <t>2-s2.0-0024940158</t>
  </si>
  <si>
    <t>['use simpler', 'transmitting antennas', 'noise immunity', 'enable one', 'consider estimating', '36 mhz']</t>
  </si>
  <si>
    <t>It is planned to use satellite communication lines at 14(11) GHz for high-speed digital data transmission. There is a tendency to reduce the ground transmitter power and miniaturize the receiving and transmitting antennas, which will enable one to use simpler and cheaper satellite communication stations. We consider estimating the data transmission rate and noise immunity for a standard satellite radio line having a passband of 36 MHz in the 14(11) GHz range involving the use of future ground stations.</t>
  </si>
  <si>
    <t>92-94</t>
  </si>
  <si>
    <t>6603427257;7007058745;6603965218</t>
  </si>
  <si>
    <t>Arzumanyan, Yu V.;Gurevich, E. L.;Okunev, Yu B.</t>
  </si>
  <si>
    <t>Arzumanyan Y.</t>
  </si>
  <si>
    <t>Noise immunity and data rate in satellite communication channels in the 14(11) GHz range</t>
  </si>
  <si>
    <t>2-s2.0-0024942935</t>
  </si>
  <si>
    <t>['surface f', 'power distribution', 'light source', 'inverse problem', 'function prescribed', 'author studies', 'also prescribed']</t>
  </si>
  <si>
    <t>Consider a reflector antenna system, consisting of a point light source O, a reflecting surface F, and an object T in space, to be illuminated in this system. Under the assumptions of the geometric optics theory it is required to construct the surface F when the position of the light source and the object T are given, and the power distribution is a function prescribed in advance on T. In addition, the aperture of the incidence ray cone is also prescribed. Using differential geometric methods the author studies this inverse problem and obtains certain relations between elements of the system. In the radially symmetric case the author establishes conditions for existence and uniqueness of a solution to the problem.</t>
  </si>
  <si>
    <t>51-65</t>
  </si>
  <si>
    <t>Inverse Problems</t>
  </si>
  <si>
    <t>Oliker, V. I.</t>
  </si>
  <si>
    <t>Emory University</t>
  </si>
  <si>
    <t>Oliker V.</t>
  </si>
  <si>
    <t>On reconstructing a reflecting surface from the scattering data in the geometric optics approximation</t>
  </si>
  <si>
    <t>10.1088/0266-5611/5/1/008</t>
  </si>
  <si>
    <t>2-s2.0-0039984887</t>
  </si>
  <si>
    <t>['wall interaction', 'wall conditioning', 'wall carbonization', 'significantly reduced', 'plasma loading', 'pi configuration', 'made possible', 'large reduction', 'judicious choice', 'impurity generation', 'icrh operation', 'geometrical configuration', 'experimental property', 'density rise', 'boronization ).', 'beneficial effect', 'appropriate choice', '0 ).']</t>
  </si>
  <si>
    <t>Four new low field side antennae grouped in pairs have been installed on TEXTOR. It is found that the interaction with the wall (density rise, impurity generation) is significantly reduced when operating each pair out of phase ( pi ) as opposed to in phase (0). The beneficial effect in the pi configuration is obtained without drop in plasma loading. This experimental property is shown, from theory, to be explained by the judicious choice of the geometrical configuration. A further improvement in the wall interaction is made possible by an appropriate choice of wall conditioning (wall carbonization with liner at 400 degrees C or, above all, boronization). As a result record low values of Prad/Ptotal were achieved during ICRH. The large reduction in wall interaction during ICRH allows routine long pulse (&gt;1 s) ICRH operation at the maximum power level available ( equivalent to 2.5 MW).</t>
  </si>
  <si>
    <t>921-939</t>
  </si>
  <si>
    <t>60004280;60004280;60004280;60004280;60004280;60004280;60004280;60004280;60004280;60004280;60004280;60004280;60004280;60004280;60004280;60004280;60004280;60004280;60004280;60004280;60004280;60004280;60004280;60004280;60004280;60004280;60004280;60004280;60004280;60004280;60004280;60004280;60004280;60004280;60004280;60004280;60004280;60004280;60004280;60004280;60004280;60004280;60004280;60004280;60004280;60004280;60004280;60004280;60004280;60004280;60004280</t>
  </si>
  <si>
    <t>7006450633;57222706043;57189993759;57224265997;57197253453;6602186973;6506115195;22992822800;7403189436;22992896400;7005905016;56299228100;6603675835;6602572553;7006718297;6603516786;7004079277;7004437025;6601914303;6701417634;56213527600;7004823875;6701852077;35417511100;7006305678;57212738306;6701863307;22997362600;7005168219;7004032830;6603388551;6602304017;22993036500;6602605833;6701389681;7003947348;7005176192;7004668845;6602258216;7005874549;7006834847;7006987088;6603579065;24434819400;6701779512;7004569497;22996264500;7402873251;7103369930;7004331001;7005925428</t>
  </si>
  <si>
    <t>Messiaen, A.;Beuken, J. M.;De Keyser, L.;Delvigne, T.;Descamps, P.;Durodie, F.;Gaigneaux, M.;Jadoul, M.;Koch, R.;Lebeau, D.;Ongena, J.;Shen, X. M.;Vandenplas, P. E.;Van Nieuwenhove, R.;Van Oost, G.;Van Wassenhove, G.;Weynants, R. R.;Banno, T.;Bertschinger, G.;Bogen, P.;Cao, Y.;Conrads, H.;Dippel, K. H.;Esser, H. G.;Finken, K. H.;Fuchs, G.;Giesen, B.;Graffmann, E.;Hartwig, H.;Hintz, E.;Hoenen, F.;Hoethker, K.;Kardon, B.;Koenen, L.;Korten, M.;Lie, Y. T.;Philipps, V.;Pospieszczyk, A.;Rusbueldt, D.;Samm, U.;Schlueter, J.;Schweer, B.;Soltwisch, H.;Waelbroeck, F.;Waidmann, G.;Wienhold, P.;Winter, J.;Wolf, G. H.;Conn, R. W.;Corbett, W. J.;Goebel, D. M.</t>
  </si>
  <si>
    <t>Messiaen A.</t>
  </si>
  <si>
    <t>Effect of antenna phasing and wall conditioning on ICRH in TEXTOR</t>
  </si>
  <si>
    <t>10.1088/0741-3335/31/6/004</t>
  </si>
  <si>
    <t>2-s2.0-0141840572</t>
  </si>
  <si>
    <t>['zero bias', 'voltage characteristics', 'two 0', 'tunneling diodes', 'top crossed', 'successfully applied', 'submicron metal', 'stripline antenna', 'room temperature', 'rectenna device', 'produced simultaneously', 'oxide layer', 'one nickel', 'mv ac', 'mom diode', 'maximum value', 'maximum detection', 'junction bias', 'junction area', 'fir radiation', 'far infrared', 'enhance collection', 'dc voltage', 'dc current', 'dc bias', 'current stressing', 'current dependence', 'chopped 10', 'antenna consisted', '8 œºm', '70 mv', '64 œºm2', '1000 nv', '100 mv']</t>
  </si>
  <si>
    <t>Integrated circuit technology has been successfully applied to the design and fabrication of submicron metal-oxide-metal (MOM) tunneling diodes for application in far infrared (FIR) rectennas. The MOM diode and a stripline antenna to enhance collection of FIR radiation were integrated on a silicon substrate using state of the art microelectronic technology and were produced simultaneously. A nickel-oxide-gold MOM tunnel diode was made up of a 0.8-Œºm-wide nickel layer with approximately 22 √Ö of a nickel-oxide tunnel barrier layer on top crossed by a 0.8-Œºm-wide gold layer resulting in a junction area of 0.64 Œºm2. The antenna consisted of two 0.8-Œºm-wide and 6.6-Œºm-long parallel metal conductors, one nickel and the other gold, separated by a gap of 0.8 Œºm. The dc current-voltage characteristics of the MOM diode showed that the current dependence on voltage was linear about zero bias up to a bias of about 70 mV. Beyond 70 mV, the characteristics were very nonlinear. The average breakdown field was determined to be 6.6√ó106 V/cm for nickel-oxide film thicknesses ranging from 15 to 39 √Ö. The current stressing of the MOM diode produced charge trapping within the nickel-oxide layer. The maximum detection of a low level signal (10-mV ac) was determined to be at a dc voltage of 70 mV across the MOM diode using rectifier current sensitivity measurements. The rectified output signal due to a chopped 10.6-Œºm CO2 laser incident upon the rectenna device was found to increase with dc bias with a maximum value of 1000 nV for a junction bias of 100 mV at room temperature.</t>
  </si>
  <si>
    <t>430-437</t>
  </si>
  <si>
    <t>Journal of Applied Physics</t>
  </si>
  <si>
    <t>60025152;60025152;60026717</t>
  </si>
  <si>
    <t>36347087800;7102101463;7801680816</t>
  </si>
  <si>
    <t>Hoofring, A. B.;Kapoor, V. J.;Krawczonek, W.</t>
  </si>
  <si>
    <t>Cleveland;Cincinnati</t>
  </si>
  <si>
    <t>NASA Glenn Research Center;University of Cincinnati</t>
  </si>
  <si>
    <t>60026717;60025152</t>
  </si>
  <si>
    <t>Hoofring A.</t>
  </si>
  <si>
    <t>Submicron nickel-oxide-gold tunnel diode detectors for rectennas</t>
  </si>
  <si>
    <t>10.1063/1.343841</t>
  </si>
  <si>
    <t>2-s2.0-0348045472</t>
  </si>
  <si>
    <t>['wave signals', 'wave packets', 'surface waves', 'successfully confirmed', 'spatial structure', 'propagated together', 'phase velocity', 'observed properties', 'helical antenna', 'general agreement', 'frequency less', 'finite beta', 'fast waves', 'experimental results', 'dispersion relations', 'dispersion relation', 'direct estimation', 'cylindrical plasma', 'conventional cross']</t>
  </si>
  <si>
    <t>Experimental results are presented which show that the MHD surface waves or fast waves of m=+or-1 have been excited in the range of frequency less than ion cyclotron frequency using a helical antenna in a finite beta and cylindrical plasma. Their dispersion relation and spatial structure were successfully confirmed after the wave signals were separated from those of the local shear Alfven waves that propagated together with the surface waves. In order to obtain the dispersion relations from the signals, the authors adopted three kinds of methods: (1) conventional cross-power spectrum density using fast Fourier transform, (2) maximum entropy method, and (3) direct estimation of the phase velocity of wave packets. The observed properties of both the surface waves and the SAWs are in general agreement with theory.</t>
  </si>
  <si>
    <t>675-691</t>
  </si>
  <si>
    <t>60103680;60103680;60103680</t>
  </si>
  <si>
    <t>6603663221;22973122100;6603704472</t>
  </si>
  <si>
    <t>Amagishi, Y.;Saeki, K.;Donnelly, I. J.</t>
  </si>
  <si>
    <t>Shizuoka</t>
  </si>
  <si>
    <t>Shizuoka University</t>
  </si>
  <si>
    <t>Amagishi Y.</t>
  </si>
  <si>
    <t>Excitation of MHD surface waves propagating with shear Alfven waves in an inhomogeneous cylindrical plasma</t>
  </si>
  <si>
    <t>10.1088/0741-3335/31/5/001</t>
  </si>
  <si>
    <t>2-s2.0-0542407535</t>
  </si>
  <si>
    <t>['subsequent focusing', 'significantly improved', 'sapphire lenses', 'receiving antenna', 'photoconductively driven', 'frequency response', 'electromagnetic beams', 'cycle 0', 'beam power', 'additional collimation', '15 times']</t>
  </si>
  <si>
    <t>We have significantly improved the emission and detection of electromagnetic beams of single-cycle 0.5 THz pulses, through the use of new dipolar antenna structures. The frequency response was extended to well beyond 1 THz, and the beam power was increased by more than 15 times. The antennas were located at the foci of sapphire lenses and were photoconductively driven by ultrafast laser pulses. An additional collimation by a paraboloidal mirror produced a beam with a 25 mrad divergence, and subsequent focusing by a second identical mirror improved the coupling between the transmitting and receiving antenna by orders of magnitude.</t>
  </si>
  <si>
    <t>337-339</t>
  </si>
  <si>
    <t>60017366;60017366;60017366</t>
  </si>
  <si>
    <t>7005222290;6603104436;7005233382</t>
  </si>
  <si>
    <t>Van Exter, Martin;Fattinger, Ch;Grischkowsky, D.</t>
  </si>
  <si>
    <t>Van Exter M.</t>
  </si>
  <si>
    <t>High-brightness terahertz beams characterized with an ultrafast detector</t>
  </si>
  <si>
    <t>10.1063/1.101901</t>
  </si>
  <si>
    <t>2-s2.0-21544432863</t>
  </si>
  <si>
    <t>['without bringing', 'toroidal numbers', 'slow wave', 'plasma compositions', 'mode conversion', 'minority species', 'magnetosonic wave', 'deuterium plasma', 'cyclotron resonance', 'chosen near', 'budden absorption', 'authors assess', '3he 2']</t>
  </si>
  <si>
    <t>To study current drive via the mode-converted slow wave during ICRH the authors assess for which plasma compositions and wave numbers mode conversion from the magnetosonic wave to the slow wave can dominate. They have used a simple slab model to investigate the competition between mode conversion and minority cyclotron absorption for a deuterium plasma with H+ and 3He2+ minority species in JET. A 3He 2+ minority should be more appropriate for mode conversion current drive than H+ because the 3He2+ concentration can be chosen near its optimum for the 'Budden absorption' without bringing the ion hybrid resonance and the cyclotron resonance so close that the minority absorption dominates. 3He2+ minority also allows operation at toroidal numbers which are characteristic of present JET antennae.</t>
  </si>
  <si>
    <t>1785-1795</t>
  </si>
  <si>
    <t>60025104;60025104;60025104</t>
  </si>
  <si>
    <t>57216060113;7003475833;7102026019</t>
  </si>
  <si>
    <t>Fried, B.;Hellsten, T.;Moreau, D.</t>
  </si>
  <si>
    <t>Fried B.</t>
  </si>
  <si>
    <t>Comments on ICRH current drive in JET</t>
  </si>
  <si>
    <t>10.1088/0741-3335/31/11/004</t>
  </si>
  <si>
    <t>2-s2.0-36149031402</t>
  </si>
  <si>
    <t>['used ray', 'prf ),', 'nt approximately', 'minority ions', 'landau damping', 'jet plasmas', 'dipole antenna', 'cyclotron damped', 'coupled directly', '8 mw', '25 mw', '17 mw', '1020 kev', '10 19', '1 ).']</t>
  </si>
  <si>
    <t>Projections of the (D)T fusion yield expected during fundamental ICRH heating of D in JET tritium plasmas are presented. The highest fusion multiplication factor, Q( identical to Pfus/PRF), is achieved for a relatively high plasma density (ne0&gt;5*10 19 m-3) and minority concentration ratio n D/nT approximately=20-40% with dipole antenna (k/sub /// approximately=7 m-1). The latter reduces mode conversion and maximizes the RF power coupled to the minority ions. The authors have used ray-tracing and global wave ICRH codes to calculate power deposition profiles; 80% is cyclotron damped by deuterium and 17% is coupled directly to electrons via TTMP and Landau damping. With launched RF power PRF=12 MW deposited approximately=0.3 m off-axis, the authors predict fusion powers P fus up to approximately=8 MW for a range of JET plasmas with achieved plasma pressure ne0Te0=6*1020 keV m -3 and Zeff=2. Projecting to PRF=25 MW, P fus increases in 17 MW with Zeff=2.</t>
  </si>
  <si>
    <t>1727-1740</t>
  </si>
  <si>
    <t>60025104;60025104;60025104;60025104;60025104;60025104;60025104</t>
  </si>
  <si>
    <t>7102792905;7102660576;57212335886;7403252582;7003475833;7005524697;7003994552</t>
  </si>
  <si>
    <t>Cottrell, G. A.;Bhatnagar, V. P.;Bures, M.;Eriksson, L. G.;Hellsten, T.;Jacquinot, J.;Start, D. F.H.</t>
  </si>
  <si>
    <t>Cottrell G.</t>
  </si>
  <si>
    <t>Non-thermal DT yield with (D)T ICRH heating in JET</t>
  </si>
  <si>
    <t>10.1088/0741-3335/31/11/001</t>
  </si>
  <si>
    <t>2-s2.0-36149031789</t>
  </si>
  <si>
    <t>['weakly ionized', 'theoretical curves', 'plasma center', 'perpendicular wavenumber', 'opposite phase', 'numerical analysis', 'movable r', 'langmuir probes', 'ion temperature', 'hydrogen case', 'helium plasmas', 'good agreement', 'give frequency', 'first harmonics', 'experimental reconstruction', 'experimental data', 'electron temperature', 'dispersion relation', 'dispersion function', 'complete e', 'antenna system', '5 ev', '2 kg', '1010 cm']</t>
  </si>
  <si>
    <t>THORELLO is a steady-state toroidal plasma, produced in different neutral gases by hot filament electron emission and acceleration by a constant bias voltage. Electron temperature and density, evaluated by Langmuir probes, are of the order of 5 eV and 1010 cm-3, respectively. The maximum toroidal magnetic field on axis is about 2 kG. In this environment, the dispersion relation of electrostatic ion cyclotron waves has been studied, in hydrogen and helium plasmas. These waves are excited by a pair of thin metallic blades, fed with opposite phase by a low power (&lt;10 W) r.f. signal in the range of the ion cyclotron frequency and its first harmonics. The antenna system, installed at the plasma center, in conjunction with a movable r.f. probe, forms a continuous-wave interferometer suitable for the experimental reconstruction of the ion wave dispersion relation. A phase comparison method, for any give frequency, allows the evaluation of the perpendicular wavenumber. The fit of experimental data to the theoretical curves, generated by a numerical analysis of the complete e.s. dispersion function, gives the possibility of evaluating the order of magnitude of the ion temperature. A good agreement is obtained in the hydrogen case by applying the stationary phase method to the normal mode k/sub /// integral, while, in helium, by considering collisional effects, not negligible in weakly ionized, low temperature plasmas.</t>
  </si>
  <si>
    <t>313-321</t>
  </si>
  <si>
    <t>60030318;60030318;60030318;60030318;60030318</t>
  </si>
  <si>
    <t>7005195752;6603918183;7004438555;6504467587;22995022400</t>
  </si>
  <si>
    <t>Fasoli, A.;Fontanesi, M.;Galassi, A.;Longari, C.;Sindoni, E.</t>
  </si>
  <si>
    <t>Fasoli A.</t>
  </si>
  <si>
    <t>Electrostatic ion cyclotron waves in a steady-state toroidal plasma</t>
  </si>
  <si>
    <t>10.1088/0741-3335/31/3/001</t>
  </si>
  <si>
    <t>2-s2.0-36149034391</t>
  </si>
  <si>
    <t>['wave antenna', 'three years', 'temperature gravitational', 'rome university', 'noise near', 'matched filter', 'frequency œωa', 'external temperature', 'data taken', 'almost continuously']</t>
  </si>
  <si>
    <t>A room-temperature gravitational-wave antenna has been operated, almost continuously, for three years at Rome University. The data taken are the signal and noise near the first longitudinal mode ŒΩA of the cylinder. Some parameters of the antenna, like the transduction coefficient Œ± and the resonance frequency ŒΩA, change with the external temperature. A method to track the frequency ŒΩA and to estimate the parameters is presented, and the matched filter is derived.</t>
  </si>
  <si>
    <t>198-201</t>
  </si>
  <si>
    <t>Review of Scientific Instruments</t>
  </si>
  <si>
    <t>60032350;60032350</t>
  </si>
  <si>
    <t>55154676300;23021341900</t>
  </si>
  <si>
    <t>Frasca, Sergio;Gabellieri, Massimo</t>
  </si>
  <si>
    <t>Frasca S.</t>
  </si>
  <si>
    <t>Frequency tracking and filtering for a room-temperature resonant gravitational wave antenna</t>
  </si>
  <si>
    <t>10.1063/1.1140460</t>
  </si>
  <si>
    <t>2-s2.0-36549091036</t>
  </si>
  <si>
    <t>['squared dependence', 'principal planes', 'optically pulsed', 'novel technique', 'h planes', 'field patterns']</t>
  </si>
  <si>
    <t>We describe a novel technique for measuring transient far-field radiation patterns emitted from optically pulsed, broadband, integrated antennas using photoconductive sampling methods. These devices are capable of generating and radiating short electrical pulses which contain frequency components exceeding 80 GHz. The far-field patterns in both the E and H planes are observed to consist of single, forward directed lobes which are shown to have a cosine-squared dependence. In addition, there are no indications of any additional secondary sidelobes in either of the principal planes.</t>
  </si>
  <si>
    <t>2186-2188</t>
  </si>
  <si>
    <t>57196953356;56979508400</t>
  </si>
  <si>
    <t>Lutz, Charles R.;DeFonzo, Alfred P.</t>
  </si>
  <si>
    <t>Lutz C.</t>
  </si>
  <si>
    <t>Far-field characteristics of optically pulsed millimeter wave antennas</t>
  </si>
  <si>
    <t>10.1063/1.101160</t>
  </si>
  <si>
    <t>2-s2.0-36549094095</t>
  </si>
  <si>
    <t>['toroidal directions', 'parabolic reflector', 'optical antenna', 'major radius', 'letter reports', 'good two', 'focus across', 'first demonstration', 'easy movement', 'dimensional focusing', 'antenna using']</t>
  </si>
  <si>
    <t>A quasi-optical antenna having one elliptical reflector and one parabolic reflector has been built for millimeter wave scattering measurements on the TORTUS tokamak plasma at the University of Sydney. This letter reports the first demonstration of the properties of such an antenna using a gyrotron millimeter wave source. Its advantages are (1) good two-dimensional focusing (along the major radius and the toroidal directions) and (2) easy movement of the focus across the diameter of the plasma by changing the orientation of the parabolic reflector.</t>
  </si>
  <si>
    <t>1740-1741</t>
  </si>
  <si>
    <t>60010848;60010848;60025709;60025709;60025709</t>
  </si>
  <si>
    <t>10242269300;7004209587;55666487200;7004424724;57198867735</t>
  </si>
  <si>
    <t>Idehara, T.;Tatsukawa, T.;Brand, G. F.;Fekete, P. W.;Moore, K. J.</t>
  </si>
  <si>
    <t>Australia;Japan</t>
  </si>
  <si>
    <t>Sydney;Fukui</t>
  </si>
  <si>
    <t>The University of Sydney;University of Fukui</t>
  </si>
  <si>
    <t>60025709;60010848</t>
  </si>
  <si>
    <t>Idehara T.</t>
  </si>
  <si>
    <t>Test of a two-dimensionally focusing quasi-optical antenna using a gyrotron</t>
  </si>
  <si>
    <t>10.1063/1.101276</t>
  </si>
  <si>
    <t>2-s2.0-36549103549</t>
  </si>
  <si>
    <t>['widely used', 'time comparisons', 'relative positioning', 'european laboratories', 'errors lower', 'distant laboratories', '30 cm', '1000 km']</t>
  </si>
  <si>
    <t>The Global Positioning System, GPS, is widely used for time comparisons between distant laboratories. Over distances of the order of 1000 km or less, the system has the capability of 1 to 2 ns accuracy. However this requires a relative positioning with errors lower than 30 cm. We show that this positioning can be derived from the GPS time comparisons themselves. An example for European laboratories is given. ¬© 1989 Bureau Central de L'Association Internationale de G√©od√©sie.</t>
  </si>
  <si>
    <t>371-386</t>
  </si>
  <si>
    <t>Bulletin G√©od√©sique</t>
  </si>
  <si>
    <t>60028899;60028899</t>
  </si>
  <si>
    <t>6602481029;55904017700</t>
  </si>
  <si>
    <t>Guinot, B.;Lewandowski, W.</t>
  </si>
  <si>
    <t>Sevres</t>
  </si>
  <si>
    <t>BIPM Bureau International des Poids et Mesures</t>
  </si>
  <si>
    <t>Guinot B.</t>
  </si>
  <si>
    <t>Improvement of the GPS time comparisons by simultaneous relative positioning of the receiver antennas</t>
  </si>
  <si>
    <t>10.1007/BF02519635</t>
  </si>
  <si>
    <t>2-s2.0-51249177957</t>
  </si>
  <si>
    <t>['temperature three', 'squid loop', 'slew rate', 'planar thin', 'linear feedback', 'isolated squid', 'input coil', 'input circuit', 'high coupling', 'feedback problem', 'feedback coil', 'dynamic range', 'dc squid', 'also discussed']</t>
  </si>
  <si>
    <t>The instrumentation of a low-temperature three-mode gravitationa1 radiation antenna incorporating a low-noise dc SQUID provided by IBM is described. The feedback circuitry necessary to maintain the linearity and dynamic range of the SQUID was found to drive the resonant system due to high coupling between the input coil and the feedback coil of the SQUID. In order for this type of planar thin-film dc SQUID to be useful for gravitational radiation detectors and other applications requiring high Q input circuits, a solution to this feedback problem is needed. To this end, the nonlinear equations describing the dc SQUID with linear feedback are solved in terms of an isolated SQUID. The important feedback parameters for a high Q resonant system are found to be the slew rate of the electronics and the coupling constant ratio Œ±2if/Œ±2f, where Œ±2if is the energy coupling efficiency between the feedback coil and input coil and Œ±2f is the energy coupling efficiency between the feedback coil and the SQUID loop. Methods to reduce the effect of the feedback on the input circuit are also discussed.</t>
  </si>
  <si>
    <t>5190-5196</t>
  </si>
  <si>
    <t>60020304;60020304;60020304;60020304;60017366</t>
  </si>
  <si>
    <t>6701825088;7102855649;16437065300;7202768261;7004892560</t>
  </si>
  <si>
    <t>Folkner, W. M.;Moody, M. V.;Richard, J. P.;Carroll, K. R.;Tesche, C. D.</t>
  </si>
  <si>
    <t>College Park;Yorktown Heights</t>
  </si>
  <si>
    <t>University of Maryland, College Park;IBM Thomas J. Watson Research Center</t>
  </si>
  <si>
    <t>60020304;60017366</t>
  </si>
  <si>
    <t>Folkner W.</t>
  </si>
  <si>
    <t>Instrumentation of a resonant gravitational radiation detector with a planar thin-film dc SQUID</t>
  </si>
  <si>
    <t>10.1063/1.343149</t>
  </si>
  <si>
    <t>2-s2.0-6044265301</t>
  </si>
  <si>
    <t>['transcriptional level', 'previous day', 'photosystem ii', 'linearly related', 'harvesting chlorophyll', 'genes coding', 'following day', 'darkness resets', 'dark transition', 'circadian clock', 'binding protein']</t>
  </si>
  <si>
    <t>The genes coding for the light-harvesting chlorophyll a/b-binding protein of photosystem II (cab) in wheat are regulated by phytochrome and an endogenous circadian clock. The regulation by these factors has been shown to be at the transcriptional level. Here we show that the phase of cab gene expression is reset by light to dark transition of the previous day. The time of light to dark transition is linearly related to the time of maximal cab gene expression under free running conditions in darkness. We propose that in nature the onset of darkness resets the phase of the circadian clock, which regulates the timing of cab gene expression, so as to anticipate the time of sunrise in the following day.</t>
  </si>
  <si>
    <t>20175-20176</t>
  </si>
  <si>
    <t>60026827;60026827</t>
  </si>
  <si>
    <t>55740347900;7103077967</t>
  </si>
  <si>
    <t>Lam, E.;Chua, N. H.</t>
  </si>
  <si>
    <t>Rockefeller University</t>
  </si>
  <si>
    <t>Lam E.</t>
  </si>
  <si>
    <t>Light to dark transition modulates the phase of antenna chlorophyll protein gene expression</t>
  </si>
  <si>
    <t>2-s2.0-0024331465</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</si>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</sst>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0">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0" fillId="7" borderId="0" xfId="0" applyFill="1"/>
    <xf numFmtId="0" fontId="5" fillId="0" borderId="1" xfId="3" applyFont="1" applyFill="1"/>
    <xf numFmtId="0" fontId="6" fillId="0" borderId="2" xfId="0" applyFont="1" applyBorder="1" applyAlignment="1">
      <alignment horizontal="center" vertical="top"/>
    </xf>
    <xf numFmtId="0" fontId="4" fillId="0" borderId="0" xfId="0" applyFont="1"/>
    <xf numFmtId="2" fontId="7" fillId="0" borderId="0" xfId="1" applyNumberFormat="1" applyFont="1" applyFill="1"/>
    <xf numFmtId="2" fontId="4" fillId="0" borderId="0" xfId="0" applyNumberFormat="1" applyFont="1"/>
    <xf numFmtId="0" fontId="6" fillId="0" borderId="0" xfId="0" applyFont="1" applyAlignment="1">
      <alignment horizontal="center" vertical="top"/>
    </xf>
    <xf numFmtId="0" fontId="8" fillId="0" borderId="0" xfId="2" applyFont="1" applyFill="1" applyBorder="1" applyAlignment="1">
      <alignment horizontal="center" vertical="top"/>
    </xf>
    <xf numFmtId="164" fontId="4"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1990"/>
      <sheetName val="1991"/>
      <sheetName val="1992"/>
      <sheetName val="1993"/>
      <sheetName val="1994"/>
      <sheetName val="1995"/>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E01F6-572E-C046-BD5F-7F924B78AD9D}">
  <dimension ref="A1:AW287"/>
  <sheetViews>
    <sheetView tabSelected="1" topLeftCell="AG1" workbookViewId="0">
      <selection activeCell="AN2" sqref="AN2"/>
    </sheetView>
  </sheetViews>
  <sheetFormatPr baseColWidth="10" defaultRowHeight="16" x14ac:dyDescent="0.2"/>
  <sheetData>
    <row r="1" spans="1:49" s="11" customFormat="1" x14ac:dyDescent="0.2">
      <c r="A1" s="14"/>
      <c r="B1" s="14" t="s">
        <v>2939</v>
      </c>
      <c r="C1" s="14" t="s">
        <v>2938</v>
      </c>
      <c r="D1" s="14" t="s">
        <v>2937</v>
      </c>
      <c r="E1" s="14" t="s">
        <v>2936</v>
      </c>
      <c r="F1" s="14" t="s">
        <v>2935</v>
      </c>
      <c r="G1" s="14" t="s">
        <v>2934</v>
      </c>
      <c r="H1" s="14" t="s">
        <v>2933</v>
      </c>
      <c r="I1" s="14" t="s">
        <v>2932</v>
      </c>
      <c r="J1" s="14" t="s">
        <v>2931</v>
      </c>
      <c r="K1" s="14" t="s">
        <v>2930</v>
      </c>
      <c r="L1" s="14" t="s">
        <v>2929</v>
      </c>
      <c r="M1" s="14" t="s">
        <v>2928</v>
      </c>
      <c r="N1" s="14" t="s">
        <v>2927</v>
      </c>
      <c r="O1" s="14" t="s">
        <v>2926</v>
      </c>
      <c r="P1" s="14" t="s">
        <v>2925</v>
      </c>
      <c r="Q1" s="14" t="s">
        <v>2924</v>
      </c>
      <c r="R1" s="19" t="s">
        <v>2923</v>
      </c>
      <c r="S1" s="14" t="s">
        <v>2922</v>
      </c>
      <c r="T1" s="14" t="s">
        <v>2922</v>
      </c>
      <c r="U1" s="14" t="s">
        <v>2921</v>
      </c>
      <c r="V1" s="19" t="s">
        <v>2920</v>
      </c>
      <c r="W1" s="14" t="s">
        <v>2919</v>
      </c>
      <c r="X1" s="13" t="s">
        <v>2918</v>
      </c>
      <c r="Y1" s="18" t="s">
        <v>2917</v>
      </c>
      <c r="Z1" s="17" t="s">
        <v>2902</v>
      </c>
      <c r="AA1" s="14" t="s">
        <v>2916</v>
      </c>
      <c r="AB1" s="14" t="s">
        <v>2915</v>
      </c>
      <c r="AC1" s="14" t="s">
        <v>2914</v>
      </c>
      <c r="AD1" s="14" t="s">
        <v>2913</v>
      </c>
      <c r="AE1" s="14" t="s">
        <v>2912</v>
      </c>
      <c r="AF1" s="14" t="s">
        <v>2911</v>
      </c>
      <c r="AG1" s="14" t="s">
        <v>2910</v>
      </c>
      <c r="AH1" s="14" t="s">
        <v>2909</v>
      </c>
      <c r="AI1" s="14" t="s">
        <v>2908</v>
      </c>
      <c r="AJ1" s="14" t="s">
        <v>2907</v>
      </c>
      <c r="AK1" s="13" t="s">
        <v>2906</v>
      </c>
      <c r="AL1" s="14" t="s">
        <v>2905</v>
      </c>
      <c r="AM1" s="16" t="s">
        <v>2904</v>
      </c>
      <c r="AN1" s="15" t="s">
        <v>2903</v>
      </c>
      <c r="AO1" s="15" t="s">
        <v>2902</v>
      </c>
      <c r="AP1" s="14" t="s">
        <v>2901</v>
      </c>
      <c r="AQ1" s="14" t="s">
        <v>2900</v>
      </c>
      <c r="AR1" s="14" t="s">
        <v>2899</v>
      </c>
      <c r="AS1" s="14" t="s">
        <v>2898</v>
      </c>
      <c r="AT1" s="13" t="s">
        <v>2897</v>
      </c>
      <c r="AU1" s="12" t="s">
        <v>2896</v>
      </c>
      <c r="AV1" s="12" t="s">
        <v>2895</v>
      </c>
      <c r="AW1" s="12" t="s">
        <v>2894</v>
      </c>
    </row>
    <row r="2" spans="1:49" x14ac:dyDescent="0.2">
      <c r="A2">
        <v>0</v>
      </c>
      <c r="B2" t="s">
        <v>2893</v>
      </c>
      <c r="E2">
        <v>2684972</v>
      </c>
      <c r="F2" t="s">
        <v>2892</v>
      </c>
      <c r="G2" t="s">
        <v>4</v>
      </c>
      <c r="H2" t="s">
        <v>3</v>
      </c>
      <c r="I2" t="s">
        <v>2891</v>
      </c>
      <c r="J2">
        <v>60026827</v>
      </c>
      <c r="K2" t="s">
        <v>2890</v>
      </c>
      <c r="L2" t="s">
        <v>183</v>
      </c>
      <c r="M2" t="s">
        <v>6</v>
      </c>
      <c r="N2">
        <v>2</v>
      </c>
      <c r="O2" t="s">
        <v>2889</v>
      </c>
      <c r="P2" t="s">
        <v>2888</v>
      </c>
      <c r="Q2" t="s">
        <v>2887</v>
      </c>
      <c r="R2" s="7">
        <v>32862</v>
      </c>
      <c r="S2" s="8">
        <f t="shared" ref="S2:S65" si="0">YEAR(R2)</f>
        <v>1989</v>
      </c>
      <c r="T2" s="8">
        <v>1989</v>
      </c>
      <c r="U2" s="8">
        <f t="shared" ref="U2:U65" si="1">2022-T2</f>
        <v>33</v>
      </c>
      <c r="V2" s="7">
        <v>1989</v>
      </c>
      <c r="W2" t="s">
        <v>53</v>
      </c>
      <c r="X2" s="2">
        <v>2.3610000000000002</v>
      </c>
      <c r="Y2" s="6">
        <f t="shared" ref="Y2:Y65" si="2">(X2-$Z$4)/($Z$3-$Z$4)</f>
        <v>6.3025546568431179E-2</v>
      </c>
      <c r="AA2">
        <v>219258</v>
      </c>
      <c r="AB2">
        <v>17592</v>
      </c>
      <c r="AD2" t="s">
        <v>1</v>
      </c>
      <c r="AE2">
        <v>264</v>
      </c>
      <c r="AF2">
        <v>34</v>
      </c>
      <c r="AH2" t="s">
        <v>2886</v>
      </c>
      <c r="AI2" t="s">
        <v>2885</v>
      </c>
      <c r="AK2" t="s">
        <v>2884</v>
      </c>
      <c r="AL2">
        <v>12</v>
      </c>
      <c r="AM2" s="5">
        <f t="shared" ref="AM2:AM65" si="3">AL2/U2</f>
        <v>0.36363636363636365</v>
      </c>
      <c r="AN2" s="4">
        <f t="shared" ref="AN2:AN65" si="4">(AM2-$AO$4)/($AO$3-$AO$4)</f>
        <v>5.5075556779456819E-4</v>
      </c>
      <c r="AO2" s="3"/>
      <c r="AP2">
        <v>0</v>
      </c>
      <c r="AR2" t="s">
        <v>0</v>
      </c>
      <c r="AT2" s="2">
        <v>5.157</v>
      </c>
      <c r="AU2" s="1">
        <f t="shared" ref="AU2:AU65" si="5">(Y2*0.7+AN2*0.3)*100</f>
        <v>4.4283109268240199</v>
      </c>
      <c r="AV2" s="1">
        <f t="shared" ref="AV2:AV65" si="6">(Y2*0.5+AN2*0.5)*100</f>
        <v>3.1788151068112871</v>
      </c>
      <c r="AW2" s="1">
        <f t="shared" ref="AW2:AW65" si="7">(Y2*0.3+AN2*0.7)*100</f>
        <v>1.9293192867985551</v>
      </c>
    </row>
    <row r="3" spans="1:49" x14ac:dyDescent="0.2">
      <c r="A3">
        <v>1</v>
      </c>
      <c r="B3" t="s">
        <v>2883</v>
      </c>
      <c r="C3" t="s">
        <v>2882</v>
      </c>
      <c r="F3" t="s">
        <v>2881</v>
      </c>
      <c r="G3" t="s">
        <v>4</v>
      </c>
      <c r="H3" t="s">
        <v>3</v>
      </c>
      <c r="I3" t="s">
        <v>2880</v>
      </c>
      <c r="J3" t="s">
        <v>2879</v>
      </c>
      <c r="K3" t="s">
        <v>2878</v>
      </c>
      <c r="L3" t="s">
        <v>2877</v>
      </c>
      <c r="M3" t="s">
        <v>10</v>
      </c>
      <c r="N3">
        <v>5</v>
      </c>
      <c r="O3" t="s">
        <v>2876</v>
      </c>
      <c r="P3" t="s">
        <v>2875</v>
      </c>
      <c r="Q3" t="s">
        <v>2874</v>
      </c>
      <c r="R3" s="7">
        <v>32843</v>
      </c>
      <c r="S3" s="8">
        <f t="shared" si="0"/>
        <v>1989</v>
      </c>
      <c r="T3" s="8">
        <v>1989</v>
      </c>
      <c r="U3" s="8">
        <f t="shared" si="1"/>
        <v>33</v>
      </c>
      <c r="V3" s="7">
        <v>1989</v>
      </c>
      <c r="W3" t="s">
        <v>2761</v>
      </c>
      <c r="X3" s="2">
        <v>0.69899999999999995</v>
      </c>
      <c r="Y3" s="6">
        <f t="shared" si="2"/>
        <v>1.8659405782013295E-2</v>
      </c>
      <c r="Z3">
        <v>37.460999999999999</v>
      </c>
      <c r="AA3">
        <v>218979</v>
      </c>
      <c r="AB3">
        <v>28132</v>
      </c>
      <c r="AD3" t="s">
        <v>1</v>
      </c>
      <c r="AE3">
        <v>65</v>
      </c>
      <c r="AF3">
        <v>12</v>
      </c>
      <c r="AH3" t="s">
        <v>2873</v>
      </c>
      <c r="AI3" t="s">
        <v>2872</v>
      </c>
      <c r="AK3" t="s">
        <v>2871</v>
      </c>
      <c r="AL3">
        <v>10</v>
      </c>
      <c r="AM3" s="5">
        <f t="shared" si="3"/>
        <v>0.30303030303030304</v>
      </c>
      <c r="AN3" s="4">
        <f t="shared" si="4"/>
        <v>4.5896297316214016E-4</v>
      </c>
      <c r="AO3" s="3">
        <v>660.25</v>
      </c>
      <c r="AP3">
        <v>0</v>
      </c>
      <c r="AR3" t="s">
        <v>0</v>
      </c>
      <c r="AT3" s="2">
        <v>2.5459999999999998</v>
      </c>
      <c r="AU3" s="1">
        <f t="shared" si="5"/>
        <v>1.3199272939357947</v>
      </c>
      <c r="AV3" s="1">
        <f t="shared" si="6"/>
        <v>0.95591843775877183</v>
      </c>
      <c r="AW3" s="1">
        <f t="shared" si="7"/>
        <v>0.59190958158174867</v>
      </c>
    </row>
    <row r="4" spans="1:49" x14ac:dyDescent="0.2">
      <c r="A4">
        <v>2</v>
      </c>
      <c r="B4" t="s">
        <v>2870</v>
      </c>
      <c r="C4" t="s">
        <v>2869</v>
      </c>
      <c r="F4" t="s">
        <v>2868</v>
      </c>
      <c r="G4" t="s">
        <v>4</v>
      </c>
      <c r="H4" t="s">
        <v>3</v>
      </c>
      <c r="I4" t="s">
        <v>2867</v>
      </c>
      <c r="J4">
        <v>60028899</v>
      </c>
      <c r="K4" t="s">
        <v>2866</v>
      </c>
      <c r="L4" t="s">
        <v>2865</v>
      </c>
      <c r="M4" t="s">
        <v>9</v>
      </c>
      <c r="N4">
        <v>2</v>
      </c>
      <c r="O4" t="s">
        <v>2864</v>
      </c>
      <c r="P4" t="s">
        <v>2863</v>
      </c>
      <c r="Q4" t="s">
        <v>2862</v>
      </c>
      <c r="R4" s="7">
        <v>32843</v>
      </c>
      <c r="S4" s="8">
        <f t="shared" si="0"/>
        <v>1989</v>
      </c>
      <c r="T4" s="8">
        <v>1989</v>
      </c>
      <c r="U4" s="8">
        <f t="shared" si="1"/>
        <v>33</v>
      </c>
      <c r="V4" s="7">
        <v>32843</v>
      </c>
      <c r="W4" t="s">
        <v>2861</v>
      </c>
      <c r="X4" s="2" t="s">
        <v>5</v>
      </c>
      <c r="Y4" s="6" t="e">
        <f t="shared" si="2"/>
        <v>#VALUE!</v>
      </c>
      <c r="Z4">
        <v>0</v>
      </c>
      <c r="AA4">
        <v>74632</v>
      </c>
      <c r="AB4">
        <v>76104</v>
      </c>
      <c r="AC4">
        <v>14321394</v>
      </c>
      <c r="AD4" t="s">
        <v>1</v>
      </c>
      <c r="AE4">
        <v>63</v>
      </c>
      <c r="AF4">
        <v>4</v>
      </c>
      <c r="AH4" t="s">
        <v>2860</v>
      </c>
      <c r="AI4" t="s">
        <v>2859</v>
      </c>
      <c r="AK4" t="s">
        <v>2858</v>
      </c>
      <c r="AL4">
        <v>7</v>
      </c>
      <c r="AM4" s="5">
        <f t="shared" si="3"/>
        <v>0.21212121212121213</v>
      </c>
      <c r="AN4" s="4">
        <f t="shared" si="4"/>
        <v>3.2127408121349809E-4</v>
      </c>
      <c r="AO4" s="3">
        <v>0</v>
      </c>
      <c r="AP4">
        <v>0</v>
      </c>
      <c r="AR4" t="s">
        <v>0</v>
      </c>
      <c r="AT4" s="2" t="s">
        <v>5</v>
      </c>
      <c r="AU4" s="1" t="e">
        <f t="shared" si="5"/>
        <v>#VALUE!</v>
      </c>
      <c r="AV4" s="1" t="e">
        <f t="shared" si="6"/>
        <v>#VALUE!</v>
      </c>
      <c r="AW4" s="1" t="e">
        <f t="shared" si="7"/>
        <v>#VALUE!</v>
      </c>
    </row>
    <row r="5" spans="1:49" x14ac:dyDescent="0.2">
      <c r="A5">
        <v>3</v>
      </c>
      <c r="B5" t="s">
        <v>2857</v>
      </c>
      <c r="C5" t="s">
        <v>2856</v>
      </c>
      <c r="F5" t="s">
        <v>2855</v>
      </c>
      <c r="G5" t="s">
        <v>4</v>
      </c>
      <c r="H5" t="s">
        <v>3</v>
      </c>
      <c r="I5" t="s">
        <v>2854</v>
      </c>
      <c r="J5" t="s">
        <v>2853</v>
      </c>
      <c r="K5" t="s">
        <v>2852</v>
      </c>
      <c r="L5" t="s">
        <v>2851</v>
      </c>
      <c r="M5" t="s">
        <v>2850</v>
      </c>
      <c r="N5">
        <v>5</v>
      </c>
      <c r="O5" t="s">
        <v>2849</v>
      </c>
      <c r="P5" t="s">
        <v>2848</v>
      </c>
      <c r="Q5" t="s">
        <v>2847</v>
      </c>
      <c r="R5" s="7">
        <v>32843</v>
      </c>
      <c r="S5" s="8">
        <f t="shared" si="0"/>
        <v>1989</v>
      </c>
      <c r="T5" s="8">
        <v>1989</v>
      </c>
      <c r="U5" s="8">
        <f t="shared" si="1"/>
        <v>33</v>
      </c>
      <c r="V5" s="7">
        <v>1989</v>
      </c>
      <c r="W5" t="s">
        <v>1858</v>
      </c>
      <c r="X5" s="2">
        <v>1.1819999999999999</v>
      </c>
      <c r="Y5" s="6">
        <f t="shared" si="2"/>
        <v>3.1552814927524625E-2</v>
      </c>
      <c r="AA5">
        <v>36951</v>
      </c>
      <c r="AB5">
        <v>27030</v>
      </c>
      <c r="AD5" t="s">
        <v>1</v>
      </c>
      <c r="AE5">
        <v>54</v>
      </c>
      <c r="AF5">
        <v>18</v>
      </c>
      <c r="AH5" t="s">
        <v>2846</v>
      </c>
      <c r="AI5" t="s">
        <v>2845</v>
      </c>
      <c r="AK5" t="s">
        <v>2844</v>
      </c>
      <c r="AL5">
        <v>2</v>
      </c>
      <c r="AM5" s="5">
        <f t="shared" si="3"/>
        <v>6.0606060606060608E-2</v>
      </c>
      <c r="AN5" s="4">
        <f t="shared" si="4"/>
        <v>9.1792594632428032E-5</v>
      </c>
      <c r="AO5" s="3"/>
      <c r="AP5">
        <v>0</v>
      </c>
      <c r="AR5" t="s">
        <v>0</v>
      </c>
      <c r="AT5" s="2">
        <v>3.7909999999999999</v>
      </c>
      <c r="AU5" s="1">
        <f t="shared" si="5"/>
        <v>2.2114508227656966</v>
      </c>
      <c r="AV5" s="1">
        <f t="shared" si="6"/>
        <v>1.5822303761078527</v>
      </c>
      <c r="AW5" s="1">
        <f t="shared" si="7"/>
        <v>0.95300992945000873</v>
      </c>
    </row>
    <row r="6" spans="1:49" x14ac:dyDescent="0.2">
      <c r="A6">
        <v>4</v>
      </c>
      <c r="B6" t="s">
        <v>2843</v>
      </c>
      <c r="C6" t="s">
        <v>2842</v>
      </c>
      <c r="F6" t="s">
        <v>2841</v>
      </c>
      <c r="G6" t="s">
        <v>4</v>
      </c>
      <c r="H6" t="s">
        <v>3</v>
      </c>
      <c r="I6" t="s">
        <v>2840</v>
      </c>
      <c r="J6">
        <v>60014313</v>
      </c>
      <c r="K6" t="s">
        <v>133</v>
      </c>
      <c r="L6" t="s">
        <v>132</v>
      </c>
      <c r="M6" t="s">
        <v>6</v>
      </c>
      <c r="N6">
        <v>2</v>
      </c>
      <c r="O6" t="s">
        <v>2839</v>
      </c>
      <c r="P6" t="s">
        <v>2838</v>
      </c>
      <c r="Q6" t="s">
        <v>131</v>
      </c>
      <c r="R6" s="7">
        <v>32843</v>
      </c>
      <c r="S6" s="8">
        <f t="shared" si="0"/>
        <v>1989</v>
      </c>
      <c r="T6" s="8">
        <v>1989</v>
      </c>
      <c r="U6" s="8">
        <f t="shared" si="1"/>
        <v>33</v>
      </c>
      <c r="V6" s="7">
        <v>1989</v>
      </c>
      <c r="W6" t="s">
        <v>1858</v>
      </c>
      <c r="X6" s="2">
        <v>1.1819999999999999</v>
      </c>
      <c r="Y6" s="6">
        <f t="shared" si="2"/>
        <v>3.1552814927524625E-2</v>
      </c>
      <c r="AA6">
        <v>36951</v>
      </c>
      <c r="AB6">
        <v>27030</v>
      </c>
      <c r="AD6" t="s">
        <v>1</v>
      </c>
      <c r="AE6">
        <v>54</v>
      </c>
      <c r="AF6">
        <v>22</v>
      </c>
      <c r="AH6" t="s">
        <v>2837</v>
      </c>
      <c r="AI6" t="s">
        <v>2836</v>
      </c>
      <c r="AK6" t="s">
        <v>2835</v>
      </c>
      <c r="AL6">
        <v>7</v>
      </c>
      <c r="AM6" s="5">
        <f t="shared" si="3"/>
        <v>0.21212121212121213</v>
      </c>
      <c r="AN6" s="4">
        <f t="shared" si="4"/>
        <v>3.2127408121349809E-4</v>
      </c>
      <c r="AO6" s="3"/>
      <c r="AP6">
        <v>0</v>
      </c>
      <c r="AR6" t="s">
        <v>0</v>
      </c>
      <c r="AT6" s="2">
        <v>3.7909999999999999</v>
      </c>
      <c r="AU6" s="1">
        <f t="shared" si="5"/>
        <v>2.2183352673631287</v>
      </c>
      <c r="AV6" s="1">
        <f t="shared" si="6"/>
        <v>1.5937044504369062</v>
      </c>
      <c r="AW6" s="1">
        <f t="shared" si="7"/>
        <v>0.96907363351068365</v>
      </c>
    </row>
    <row r="7" spans="1:49" x14ac:dyDescent="0.2">
      <c r="A7">
        <v>5</v>
      </c>
      <c r="B7" t="s">
        <v>2834</v>
      </c>
      <c r="C7" t="s">
        <v>2833</v>
      </c>
      <c r="F7" t="s">
        <v>2832</v>
      </c>
      <c r="G7" t="s">
        <v>4</v>
      </c>
      <c r="H7" t="s">
        <v>3</v>
      </c>
      <c r="I7" t="s">
        <v>2831</v>
      </c>
      <c r="J7">
        <v>60032350</v>
      </c>
      <c r="K7" t="s">
        <v>241</v>
      </c>
      <c r="L7" t="s">
        <v>12</v>
      </c>
      <c r="M7" t="s">
        <v>11</v>
      </c>
      <c r="N7">
        <v>2</v>
      </c>
      <c r="O7" t="s">
        <v>2830</v>
      </c>
      <c r="P7" t="s">
        <v>2829</v>
      </c>
      <c r="Q7" t="s">
        <v>2828</v>
      </c>
      <c r="R7" s="7">
        <v>32843</v>
      </c>
      <c r="S7" s="8">
        <f t="shared" si="0"/>
        <v>1989</v>
      </c>
      <c r="T7" s="8">
        <v>1989</v>
      </c>
      <c r="U7" s="8">
        <f t="shared" si="1"/>
        <v>33</v>
      </c>
      <c r="V7" s="7">
        <v>1989</v>
      </c>
      <c r="W7" t="s">
        <v>2827</v>
      </c>
      <c r="X7" s="2">
        <v>0.60499999999999998</v>
      </c>
      <c r="Y7" s="6">
        <f t="shared" si="2"/>
        <v>1.6150129467980032E-2</v>
      </c>
      <c r="AA7">
        <v>346748</v>
      </c>
      <c r="AB7">
        <v>15563</v>
      </c>
      <c r="AD7" t="s">
        <v>1</v>
      </c>
      <c r="AE7">
        <v>60</v>
      </c>
      <c r="AF7">
        <v>2</v>
      </c>
      <c r="AH7" t="s">
        <v>2826</v>
      </c>
      <c r="AI7" t="s">
        <v>2825</v>
      </c>
      <c r="AK7" t="s">
        <v>2824</v>
      </c>
      <c r="AL7">
        <v>3</v>
      </c>
      <c r="AM7" s="5">
        <f t="shared" si="3"/>
        <v>9.0909090909090912E-2</v>
      </c>
      <c r="AN7" s="4">
        <f t="shared" si="4"/>
        <v>1.3768889194864205E-4</v>
      </c>
      <c r="AO7" s="3"/>
      <c r="AP7">
        <v>0</v>
      </c>
      <c r="AR7" t="s">
        <v>0</v>
      </c>
      <c r="AT7" s="2">
        <v>1.5229999999999999</v>
      </c>
      <c r="AU7" s="1">
        <f t="shared" si="5"/>
        <v>1.1346397295170614</v>
      </c>
      <c r="AV7" s="1">
        <f t="shared" si="6"/>
        <v>0.81439091799643359</v>
      </c>
      <c r="AW7" s="1">
        <f t="shared" si="7"/>
        <v>0.49414210647580598</v>
      </c>
    </row>
    <row r="8" spans="1:49" x14ac:dyDescent="0.2">
      <c r="A8">
        <v>6</v>
      </c>
      <c r="B8" t="s">
        <v>2823</v>
      </c>
      <c r="C8" t="s">
        <v>2822</v>
      </c>
      <c r="F8" t="s">
        <v>2821</v>
      </c>
      <c r="G8" t="s">
        <v>4</v>
      </c>
      <c r="H8" t="s">
        <v>3</v>
      </c>
      <c r="I8" t="s">
        <v>2820</v>
      </c>
      <c r="J8">
        <v>60030318</v>
      </c>
      <c r="K8" t="s">
        <v>203</v>
      </c>
      <c r="L8" t="s">
        <v>202</v>
      </c>
      <c r="M8" t="s">
        <v>11</v>
      </c>
      <c r="N8">
        <v>5</v>
      </c>
      <c r="O8" t="s">
        <v>2819</v>
      </c>
      <c r="P8" t="s">
        <v>2818</v>
      </c>
      <c r="Q8" t="s">
        <v>2817</v>
      </c>
      <c r="R8" s="7">
        <v>32843</v>
      </c>
      <c r="S8" s="8">
        <f t="shared" si="0"/>
        <v>1989</v>
      </c>
      <c r="T8" s="8">
        <v>1989</v>
      </c>
      <c r="U8" s="8">
        <f t="shared" si="1"/>
        <v>33</v>
      </c>
      <c r="V8" s="7">
        <v>1989</v>
      </c>
      <c r="W8" t="s">
        <v>200</v>
      </c>
      <c r="X8" s="2">
        <v>1.3280000000000001</v>
      </c>
      <c r="Y8" s="6">
        <f t="shared" si="2"/>
        <v>3.5450201542937994E-2</v>
      </c>
      <c r="AA8">
        <v>7413335</v>
      </c>
      <c r="AB8">
        <v>29251</v>
      </c>
      <c r="AD8" t="s">
        <v>1</v>
      </c>
      <c r="AE8">
        <v>31</v>
      </c>
      <c r="AF8">
        <v>3</v>
      </c>
      <c r="AG8">
        <v>1</v>
      </c>
      <c r="AH8" t="s">
        <v>2816</v>
      </c>
      <c r="AI8" t="s">
        <v>2815</v>
      </c>
      <c r="AK8" t="s">
        <v>2814</v>
      </c>
      <c r="AL8">
        <v>6</v>
      </c>
      <c r="AM8" s="5">
        <f t="shared" si="3"/>
        <v>0.18181818181818182</v>
      </c>
      <c r="AN8" s="4">
        <f t="shared" si="4"/>
        <v>2.753777838972841E-4</v>
      </c>
      <c r="AO8" s="3"/>
      <c r="AP8">
        <v>0</v>
      </c>
      <c r="AR8" t="s">
        <v>0</v>
      </c>
      <c r="AT8" s="2">
        <v>2.4580000000000002</v>
      </c>
      <c r="AU8" s="1">
        <f t="shared" si="5"/>
        <v>2.4897754415225783</v>
      </c>
      <c r="AV8" s="1">
        <f t="shared" si="6"/>
        <v>1.7862789663417638</v>
      </c>
      <c r="AW8" s="1">
        <f t="shared" si="7"/>
        <v>1.0827824911609498</v>
      </c>
    </row>
    <row r="9" spans="1:49" x14ac:dyDescent="0.2">
      <c r="A9">
        <v>7</v>
      </c>
      <c r="B9" t="s">
        <v>2813</v>
      </c>
      <c r="C9" t="s">
        <v>2812</v>
      </c>
      <c r="F9" t="s">
        <v>2811</v>
      </c>
      <c r="G9" t="s">
        <v>4</v>
      </c>
      <c r="H9" t="s">
        <v>3</v>
      </c>
      <c r="I9" t="s">
        <v>2810</v>
      </c>
      <c r="J9">
        <v>60025104</v>
      </c>
      <c r="K9" t="s">
        <v>204</v>
      </c>
      <c r="M9" t="s">
        <v>37</v>
      </c>
      <c r="N9">
        <v>7</v>
      </c>
      <c r="O9" t="s">
        <v>2809</v>
      </c>
      <c r="P9" t="s">
        <v>2808</v>
      </c>
      <c r="Q9" t="s">
        <v>2807</v>
      </c>
      <c r="R9" s="7">
        <v>32843</v>
      </c>
      <c r="S9" s="8">
        <f t="shared" si="0"/>
        <v>1989</v>
      </c>
      <c r="T9" s="8">
        <v>1989</v>
      </c>
      <c r="U9" s="8">
        <f t="shared" si="1"/>
        <v>33</v>
      </c>
      <c r="V9" s="7">
        <v>1989</v>
      </c>
      <c r="W9" t="s">
        <v>200</v>
      </c>
      <c r="X9" s="2">
        <v>1.3280000000000001</v>
      </c>
      <c r="Y9" s="6">
        <f t="shared" si="2"/>
        <v>3.5450201542937994E-2</v>
      </c>
      <c r="AA9">
        <v>7413335</v>
      </c>
      <c r="AB9">
        <v>29251</v>
      </c>
      <c r="AD9" t="s">
        <v>1</v>
      </c>
      <c r="AE9">
        <v>31</v>
      </c>
      <c r="AF9">
        <v>11</v>
      </c>
      <c r="AG9">
        <v>1</v>
      </c>
      <c r="AH9" t="s">
        <v>2806</v>
      </c>
      <c r="AI9" t="s">
        <v>2805</v>
      </c>
      <c r="AK9" t="s">
        <v>2804</v>
      </c>
      <c r="AL9">
        <v>2</v>
      </c>
      <c r="AM9" s="5">
        <f t="shared" si="3"/>
        <v>6.0606060606060608E-2</v>
      </c>
      <c r="AN9" s="4">
        <f t="shared" si="4"/>
        <v>9.1792594632428032E-5</v>
      </c>
      <c r="AO9" s="3"/>
      <c r="AP9">
        <v>0</v>
      </c>
      <c r="AR9" t="s">
        <v>0</v>
      </c>
      <c r="AT9" s="2">
        <v>2.4580000000000002</v>
      </c>
      <c r="AU9" s="1">
        <f t="shared" si="5"/>
        <v>2.4842678858446323</v>
      </c>
      <c r="AV9" s="1">
        <f t="shared" si="6"/>
        <v>1.777099706878521</v>
      </c>
      <c r="AW9" s="1">
        <f t="shared" si="7"/>
        <v>1.0699315279124098</v>
      </c>
    </row>
    <row r="10" spans="1:49" x14ac:dyDescent="0.2">
      <c r="A10">
        <v>8</v>
      </c>
      <c r="B10" t="s">
        <v>2803</v>
      </c>
      <c r="C10" t="s">
        <v>2802</v>
      </c>
      <c r="F10" t="s">
        <v>2801</v>
      </c>
      <c r="G10" t="s">
        <v>4</v>
      </c>
      <c r="H10" t="s">
        <v>3</v>
      </c>
      <c r="I10" t="s">
        <v>2800</v>
      </c>
      <c r="J10">
        <v>60025104</v>
      </c>
      <c r="K10" t="s">
        <v>204</v>
      </c>
      <c r="M10" t="s">
        <v>37</v>
      </c>
      <c r="N10">
        <v>3</v>
      </c>
      <c r="O10" t="s">
        <v>2799</v>
      </c>
      <c r="P10" t="s">
        <v>2798</v>
      </c>
      <c r="Q10" t="s">
        <v>2797</v>
      </c>
      <c r="R10" s="7">
        <v>32843</v>
      </c>
      <c r="S10" s="8">
        <f t="shared" si="0"/>
        <v>1989</v>
      </c>
      <c r="T10" s="8">
        <v>1989</v>
      </c>
      <c r="U10" s="8">
        <f t="shared" si="1"/>
        <v>33</v>
      </c>
      <c r="V10" s="7">
        <v>1989</v>
      </c>
      <c r="W10" t="s">
        <v>200</v>
      </c>
      <c r="X10" s="2">
        <v>1.3280000000000001</v>
      </c>
      <c r="Y10" s="6">
        <f t="shared" si="2"/>
        <v>3.5450201542937994E-2</v>
      </c>
      <c r="AA10">
        <v>7413335</v>
      </c>
      <c r="AB10">
        <v>29251</v>
      </c>
      <c r="AD10" t="s">
        <v>1</v>
      </c>
      <c r="AE10">
        <v>31</v>
      </c>
      <c r="AF10">
        <v>11</v>
      </c>
      <c r="AG10">
        <v>4</v>
      </c>
      <c r="AH10" t="s">
        <v>2796</v>
      </c>
      <c r="AI10" t="s">
        <v>2795</v>
      </c>
      <c r="AK10" t="s">
        <v>2794</v>
      </c>
      <c r="AL10">
        <v>1</v>
      </c>
      <c r="AM10" s="5">
        <f t="shared" si="3"/>
        <v>3.0303030303030304E-2</v>
      </c>
      <c r="AN10" s="4">
        <f t="shared" si="4"/>
        <v>4.5896297316214016E-5</v>
      </c>
      <c r="AO10" s="3"/>
      <c r="AP10">
        <v>0</v>
      </c>
      <c r="AR10" t="s">
        <v>0</v>
      </c>
      <c r="AT10" s="2">
        <v>2.4580000000000002</v>
      </c>
      <c r="AU10" s="1">
        <f t="shared" si="5"/>
        <v>2.4828909969251458</v>
      </c>
      <c r="AV10" s="1">
        <f t="shared" si="6"/>
        <v>1.7748048920127106</v>
      </c>
      <c r="AW10" s="1">
        <f t="shared" si="7"/>
        <v>1.0667187871002748</v>
      </c>
    </row>
    <row r="11" spans="1:49" x14ac:dyDescent="0.2">
      <c r="A11">
        <v>9</v>
      </c>
      <c r="B11" t="s">
        <v>2793</v>
      </c>
      <c r="C11" t="s">
        <v>2792</v>
      </c>
      <c r="F11" t="s">
        <v>2791</v>
      </c>
      <c r="G11" t="s">
        <v>4</v>
      </c>
      <c r="H11" t="s">
        <v>3</v>
      </c>
      <c r="I11" t="s">
        <v>2790</v>
      </c>
      <c r="J11">
        <v>60017366</v>
      </c>
      <c r="K11" t="s">
        <v>116</v>
      </c>
      <c r="L11" t="s">
        <v>115</v>
      </c>
      <c r="M11" t="s">
        <v>6</v>
      </c>
      <c r="N11">
        <v>3</v>
      </c>
      <c r="O11" t="s">
        <v>2789</v>
      </c>
      <c r="P11" t="s">
        <v>2788</v>
      </c>
      <c r="Q11" t="s">
        <v>2787</v>
      </c>
      <c r="R11" s="7">
        <v>32843</v>
      </c>
      <c r="S11" s="8">
        <f t="shared" si="0"/>
        <v>1989</v>
      </c>
      <c r="T11" s="8">
        <v>1989</v>
      </c>
      <c r="U11" s="8">
        <f t="shared" si="1"/>
        <v>33</v>
      </c>
      <c r="V11" s="7">
        <v>1989</v>
      </c>
      <c r="W11" t="s">
        <v>1858</v>
      </c>
      <c r="X11" s="2">
        <v>1.1819999999999999</v>
      </c>
      <c r="Y11" s="6">
        <f t="shared" si="2"/>
        <v>3.1552814927524625E-2</v>
      </c>
      <c r="AA11">
        <v>36951</v>
      </c>
      <c r="AB11">
        <v>27030</v>
      </c>
      <c r="AD11" t="s">
        <v>1</v>
      </c>
      <c r="AE11">
        <v>55</v>
      </c>
      <c r="AF11">
        <v>4</v>
      </c>
      <c r="AH11" t="s">
        <v>2786</v>
      </c>
      <c r="AI11" t="s">
        <v>2785</v>
      </c>
      <c r="AK11" t="s">
        <v>2784</v>
      </c>
      <c r="AL11">
        <v>202</v>
      </c>
      <c r="AM11" s="5">
        <f t="shared" si="3"/>
        <v>6.1212121212121211</v>
      </c>
      <c r="AN11" s="4">
        <f t="shared" si="4"/>
        <v>9.2710520578752308E-3</v>
      </c>
      <c r="AO11" s="3"/>
      <c r="AP11">
        <v>0</v>
      </c>
      <c r="AR11" t="s">
        <v>0</v>
      </c>
      <c r="AT11" s="2">
        <v>3.7909999999999999</v>
      </c>
      <c r="AU11" s="1">
        <f t="shared" si="5"/>
        <v>2.4868286066629808</v>
      </c>
      <c r="AV11" s="1">
        <f t="shared" si="6"/>
        <v>2.0411933492699932</v>
      </c>
      <c r="AW11" s="1">
        <f t="shared" si="7"/>
        <v>1.5955580918770049</v>
      </c>
    </row>
    <row r="12" spans="1:49" x14ac:dyDescent="0.2">
      <c r="A12">
        <v>10</v>
      </c>
      <c r="B12" t="s">
        <v>2783</v>
      </c>
      <c r="C12" t="s">
        <v>2782</v>
      </c>
      <c r="F12" t="s">
        <v>2781</v>
      </c>
      <c r="G12" t="s">
        <v>4</v>
      </c>
      <c r="H12" t="s">
        <v>3</v>
      </c>
      <c r="I12" t="s">
        <v>2780</v>
      </c>
      <c r="J12">
        <v>60103680</v>
      </c>
      <c r="K12" t="s">
        <v>2779</v>
      </c>
      <c r="L12" t="s">
        <v>2778</v>
      </c>
      <c r="M12" t="s">
        <v>13</v>
      </c>
      <c r="N12">
        <v>3</v>
      </c>
      <c r="O12" t="s">
        <v>2777</v>
      </c>
      <c r="P12" t="s">
        <v>2776</v>
      </c>
      <c r="Q12" t="s">
        <v>2775</v>
      </c>
      <c r="R12" s="7">
        <v>32843</v>
      </c>
      <c r="S12" s="8">
        <f t="shared" si="0"/>
        <v>1989</v>
      </c>
      <c r="T12" s="8">
        <v>1989</v>
      </c>
      <c r="U12" s="8">
        <f t="shared" si="1"/>
        <v>33</v>
      </c>
      <c r="V12" s="7">
        <v>1989</v>
      </c>
      <c r="W12" t="s">
        <v>200</v>
      </c>
      <c r="X12" s="2">
        <v>1.3280000000000001</v>
      </c>
      <c r="Y12" s="6">
        <f t="shared" si="2"/>
        <v>3.5450201542937994E-2</v>
      </c>
      <c r="AA12">
        <v>7413335</v>
      </c>
      <c r="AB12">
        <v>29251</v>
      </c>
      <c r="AD12" t="s">
        <v>1</v>
      </c>
      <c r="AE12">
        <v>31</v>
      </c>
      <c r="AF12">
        <v>5</v>
      </c>
      <c r="AG12">
        <v>1</v>
      </c>
      <c r="AH12" t="s">
        <v>2774</v>
      </c>
      <c r="AI12" t="s">
        <v>2773</v>
      </c>
      <c r="AK12" t="s">
        <v>2772</v>
      </c>
      <c r="AL12">
        <v>21</v>
      </c>
      <c r="AM12" s="5">
        <f t="shared" si="3"/>
        <v>0.63636363636363635</v>
      </c>
      <c r="AN12" s="4">
        <f t="shared" si="4"/>
        <v>9.6382224364049431E-4</v>
      </c>
      <c r="AO12" s="3"/>
      <c r="AP12">
        <v>0</v>
      </c>
      <c r="AR12" t="s">
        <v>0</v>
      </c>
      <c r="AT12" s="2">
        <v>2.4580000000000002</v>
      </c>
      <c r="AU12" s="1">
        <f t="shared" si="5"/>
        <v>2.5104287753148746</v>
      </c>
      <c r="AV12" s="1">
        <f t="shared" si="6"/>
        <v>1.8207011893289242</v>
      </c>
      <c r="AW12" s="1">
        <f t="shared" si="7"/>
        <v>1.1309736033429745</v>
      </c>
    </row>
    <row r="13" spans="1:49" x14ac:dyDescent="0.2">
      <c r="A13">
        <v>11</v>
      </c>
      <c r="B13" t="s">
        <v>2771</v>
      </c>
      <c r="C13" t="s">
        <v>2770</v>
      </c>
      <c r="F13" t="s">
        <v>2769</v>
      </c>
      <c r="G13" t="s">
        <v>4</v>
      </c>
      <c r="H13" t="s">
        <v>3</v>
      </c>
      <c r="I13" t="s">
        <v>2768</v>
      </c>
      <c r="J13" t="s">
        <v>2767</v>
      </c>
      <c r="K13" t="s">
        <v>2766</v>
      </c>
      <c r="L13" t="s">
        <v>2765</v>
      </c>
      <c r="M13" t="s">
        <v>10</v>
      </c>
      <c r="N13">
        <v>3</v>
      </c>
      <c r="O13" t="s">
        <v>2764</v>
      </c>
      <c r="P13" t="s">
        <v>2763</v>
      </c>
      <c r="Q13" t="s">
        <v>2762</v>
      </c>
      <c r="R13" s="7">
        <v>32843</v>
      </c>
      <c r="S13" s="8">
        <f t="shared" si="0"/>
        <v>1989</v>
      </c>
      <c r="T13" s="8">
        <v>1989</v>
      </c>
      <c r="U13" s="8">
        <f t="shared" si="1"/>
        <v>33</v>
      </c>
      <c r="V13" s="7">
        <v>1989</v>
      </c>
      <c r="W13" t="s">
        <v>2761</v>
      </c>
      <c r="X13" s="2">
        <v>0.69899999999999995</v>
      </c>
      <c r="Y13" s="6">
        <f t="shared" si="2"/>
        <v>1.8659405782013295E-2</v>
      </c>
      <c r="AA13">
        <v>218979</v>
      </c>
      <c r="AB13">
        <v>28132</v>
      </c>
      <c r="AD13" t="s">
        <v>1</v>
      </c>
      <c r="AE13">
        <v>66</v>
      </c>
      <c r="AF13">
        <v>1</v>
      </c>
      <c r="AH13" t="s">
        <v>2760</v>
      </c>
      <c r="AI13" t="s">
        <v>2759</v>
      </c>
      <c r="AK13" t="s">
        <v>2758</v>
      </c>
      <c r="AL13">
        <v>42</v>
      </c>
      <c r="AM13" s="5">
        <f t="shared" si="3"/>
        <v>1.2727272727272727</v>
      </c>
      <c r="AN13" s="4">
        <f t="shared" si="4"/>
        <v>1.9276444872809886E-3</v>
      </c>
      <c r="AO13" s="3"/>
      <c r="AP13">
        <v>0</v>
      </c>
      <c r="AR13" t="s">
        <v>0</v>
      </c>
      <c r="AT13" s="2">
        <v>2.5459999999999998</v>
      </c>
      <c r="AU13" s="1">
        <f t="shared" si="5"/>
        <v>1.3639877393593602</v>
      </c>
      <c r="AV13" s="1">
        <f t="shared" si="6"/>
        <v>1.0293525134647141</v>
      </c>
      <c r="AW13" s="1">
        <f t="shared" si="7"/>
        <v>0.69471728757006801</v>
      </c>
    </row>
    <row r="14" spans="1:49" x14ac:dyDescent="0.2">
      <c r="A14">
        <v>12</v>
      </c>
      <c r="B14" t="s">
        <v>2757</v>
      </c>
      <c r="C14" t="s">
        <v>2756</v>
      </c>
      <c r="F14" t="s">
        <v>2755</v>
      </c>
      <c r="G14" t="s">
        <v>4</v>
      </c>
      <c r="H14" t="s">
        <v>3</v>
      </c>
      <c r="I14" t="s">
        <v>2754</v>
      </c>
      <c r="J14">
        <v>60004280</v>
      </c>
      <c r="K14" t="s">
        <v>248</v>
      </c>
      <c r="L14" t="s">
        <v>39</v>
      </c>
      <c r="M14" t="s">
        <v>38</v>
      </c>
      <c r="N14">
        <v>51</v>
      </c>
      <c r="O14" t="s">
        <v>2753</v>
      </c>
      <c r="P14" t="s">
        <v>2752</v>
      </c>
      <c r="Q14" t="s">
        <v>2751</v>
      </c>
      <c r="R14" s="7">
        <v>32843</v>
      </c>
      <c r="S14" s="8">
        <f t="shared" si="0"/>
        <v>1989</v>
      </c>
      <c r="T14" s="8">
        <v>1989</v>
      </c>
      <c r="U14" s="8">
        <f t="shared" si="1"/>
        <v>33</v>
      </c>
      <c r="V14" s="7">
        <v>1989</v>
      </c>
      <c r="W14" t="s">
        <v>200</v>
      </c>
      <c r="X14" s="2">
        <v>1.3280000000000001</v>
      </c>
      <c r="Y14" s="6">
        <f t="shared" si="2"/>
        <v>3.5450201542937994E-2</v>
      </c>
      <c r="AA14">
        <v>7413335</v>
      </c>
      <c r="AB14">
        <v>29251</v>
      </c>
      <c r="AD14" t="s">
        <v>1</v>
      </c>
      <c r="AE14">
        <v>31</v>
      </c>
      <c r="AF14">
        <v>6</v>
      </c>
      <c r="AG14">
        <v>4</v>
      </c>
      <c r="AH14" t="s">
        <v>2750</v>
      </c>
      <c r="AI14" t="s">
        <v>2749</v>
      </c>
      <c r="AK14" t="s">
        <v>2748</v>
      </c>
      <c r="AL14">
        <v>31</v>
      </c>
      <c r="AM14" s="5">
        <f t="shared" si="3"/>
        <v>0.93939393939393945</v>
      </c>
      <c r="AN14" s="4">
        <f t="shared" si="4"/>
        <v>1.4227852168026346E-3</v>
      </c>
      <c r="AO14" s="3"/>
      <c r="AP14">
        <v>0</v>
      </c>
      <c r="AR14" t="s">
        <v>0</v>
      </c>
      <c r="AT14" s="2">
        <v>2.4580000000000002</v>
      </c>
      <c r="AU14" s="1">
        <f t="shared" si="5"/>
        <v>2.5241976645097384</v>
      </c>
      <c r="AV14" s="1">
        <f t="shared" si="6"/>
        <v>1.8436493379870313</v>
      </c>
      <c r="AW14" s="1">
        <f t="shared" si="7"/>
        <v>1.1631010114643241</v>
      </c>
    </row>
    <row r="15" spans="1:49" x14ac:dyDescent="0.2">
      <c r="A15">
        <v>13</v>
      </c>
      <c r="B15" t="s">
        <v>2747</v>
      </c>
      <c r="C15" t="s">
        <v>2746</v>
      </c>
      <c r="F15" t="s">
        <v>2745</v>
      </c>
      <c r="G15" t="s">
        <v>4</v>
      </c>
      <c r="H15" t="s">
        <v>3</v>
      </c>
      <c r="I15" t="s">
        <v>2744</v>
      </c>
      <c r="J15">
        <v>60000928</v>
      </c>
      <c r="K15" t="s">
        <v>2743</v>
      </c>
      <c r="L15" t="s">
        <v>124</v>
      </c>
      <c r="M15" t="s">
        <v>6</v>
      </c>
      <c r="N15">
        <v>1</v>
      </c>
      <c r="O15" t="s">
        <v>2742</v>
      </c>
      <c r="P15">
        <v>7005024625</v>
      </c>
      <c r="Q15">
        <v>60000928</v>
      </c>
      <c r="R15" s="7">
        <v>32843</v>
      </c>
      <c r="S15" s="8">
        <f t="shared" si="0"/>
        <v>1989</v>
      </c>
      <c r="T15" s="8">
        <v>1989</v>
      </c>
      <c r="U15" s="8">
        <f t="shared" si="1"/>
        <v>33</v>
      </c>
      <c r="V15" s="7">
        <v>1989</v>
      </c>
      <c r="W15" t="s">
        <v>2741</v>
      </c>
      <c r="X15" s="2">
        <v>1.0029999999999999</v>
      </c>
      <c r="Y15" s="6">
        <f t="shared" si="2"/>
        <v>2.6774512159312348E-2</v>
      </c>
      <c r="AA15">
        <v>2665611</v>
      </c>
      <c r="AB15">
        <v>28497</v>
      </c>
      <c r="AD15" t="s">
        <v>1</v>
      </c>
      <c r="AE15">
        <v>5</v>
      </c>
      <c r="AF15">
        <v>1</v>
      </c>
      <c r="AG15">
        <v>8</v>
      </c>
      <c r="AH15" t="s">
        <v>2740</v>
      </c>
      <c r="AI15" t="s">
        <v>2739</v>
      </c>
      <c r="AK15" t="s">
        <v>2738</v>
      </c>
      <c r="AL15">
        <v>17</v>
      </c>
      <c r="AM15" s="5">
        <f t="shared" si="3"/>
        <v>0.51515151515151514</v>
      </c>
      <c r="AN15" s="4">
        <f t="shared" si="4"/>
        <v>7.8023705437563825E-4</v>
      </c>
      <c r="AO15" s="3"/>
      <c r="AP15">
        <v>0</v>
      </c>
      <c r="AR15" t="s">
        <v>0</v>
      </c>
      <c r="AT15" s="2">
        <v>2.407</v>
      </c>
      <c r="AU15" s="1">
        <f t="shared" si="5"/>
        <v>1.8976229627831334</v>
      </c>
      <c r="AV15" s="1">
        <f t="shared" si="6"/>
        <v>1.3777374606843993</v>
      </c>
      <c r="AW15" s="1">
        <f t="shared" si="7"/>
        <v>0.8578519585856651</v>
      </c>
    </row>
    <row r="16" spans="1:49" x14ac:dyDescent="0.2">
      <c r="A16">
        <v>14</v>
      </c>
      <c r="B16" t="s">
        <v>2737</v>
      </c>
      <c r="F16" t="s">
        <v>2736</v>
      </c>
      <c r="G16" t="s">
        <v>4</v>
      </c>
      <c r="H16" t="s">
        <v>3</v>
      </c>
      <c r="I16" t="s">
        <v>2735</v>
      </c>
      <c r="N16">
        <v>3</v>
      </c>
      <c r="O16" t="s">
        <v>2734</v>
      </c>
      <c r="P16" t="s">
        <v>2733</v>
      </c>
      <c r="Q16" t="s">
        <v>20</v>
      </c>
      <c r="R16" s="7">
        <v>32843</v>
      </c>
      <c r="S16" s="8">
        <f t="shared" si="0"/>
        <v>1989</v>
      </c>
      <c r="T16" s="8">
        <v>1989</v>
      </c>
      <c r="U16" s="8">
        <f t="shared" si="1"/>
        <v>33</v>
      </c>
      <c r="V16" s="7">
        <v>1989</v>
      </c>
      <c r="W16" t="s">
        <v>2071</v>
      </c>
      <c r="X16" s="2" t="s">
        <v>5</v>
      </c>
      <c r="Y16" s="6" t="e">
        <f t="shared" si="2"/>
        <v>#VALUE!</v>
      </c>
      <c r="AA16">
        <v>337870</v>
      </c>
      <c r="AB16">
        <v>32478</v>
      </c>
      <c r="AD16" t="s">
        <v>1</v>
      </c>
      <c r="AE16">
        <v>32</v>
      </c>
      <c r="AF16">
        <v>3</v>
      </c>
      <c r="AH16" t="s">
        <v>2732</v>
      </c>
      <c r="AI16" t="s">
        <v>2731</v>
      </c>
      <c r="AK16" t="s">
        <v>2730</v>
      </c>
      <c r="AL16">
        <v>0</v>
      </c>
      <c r="AM16" s="5">
        <f t="shared" si="3"/>
        <v>0</v>
      </c>
      <c r="AN16" s="4">
        <f t="shared" si="4"/>
        <v>0</v>
      </c>
      <c r="AO16" s="3"/>
      <c r="AP16">
        <v>0</v>
      </c>
      <c r="AR16" t="s">
        <v>0</v>
      </c>
      <c r="AT16" s="2" t="s">
        <v>5</v>
      </c>
      <c r="AU16" s="1" t="e">
        <f t="shared" si="5"/>
        <v>#VALUE!</v>
      </c>
      <c r="AV16" s="1" t="e">
        <f t="shared" si="6"/>
        <v>#VALUE!</v>
      </c>
      <c r="AW16" s="1" t="e">
        <f t="shared" si="7"/>
        <v>#VALUE!</v>
      </c>
    </row>
    <row r="17" spans="1:49" x14ac:dyDescent="0.2">
      <c r="A17">
        <v>15</v>
      </c>
      <c r="B17" t="s">
        <v>2729</v>
      </c>
      <c r="F17" t="s">
        <v>2728</v>
      </c>
      <c r="G17" t="s">
        <v>4</v>
      </c>
      <c r="H17" t="s">
        <v>3</v>
      </c>
      <c r="I17" t="s">
        <v>2727</v>
      </c>
      <c r="J17">
        <v>60025556</v>
      </c>
      <c r="K17" t="s">
        <v>2726</v>
      </c>
      <c r="L17" t="s">
        <v>2725</v>
      </c>
      <c r="M17" t="s">
        <v>13</v>
      </c>
      <c r="N17">
        <v>1</v>
      </c>
      <c r="O17" t="s">
        <v>2724</v>
      </c>
      <c r="P17">
        <v>57201551756</v>
      </c>
      <c r="Q17">
        <v>60025556</v>
      </c>
      <c r="R17" s="7">
        <v>32843</v>
      </c>
      <c r="S17" s="8">
        <f t="shared" si="0"/>
        <v>1989</v>
      </c>
      <c r="T17" s="8">
        <v>1989</v>
      </c>
      <c r="U17" s="8">
        <f t="shared" si="1"/>
        <v>33</v>
      </c>
      <c r="V17" s="7">
        <v>32843</v>
      </c>
      <c r="W17" t="s">
        <v>2622</v>
      </c>
      <c r="X17" s="2" t="s">
        <v>5</v>
      </c>
      <c r="Y17" s="6" t="e">
        <f t="shared" si="2"/>
        <v>#VALUE!</v>
      </c>
      <c r="AA17">
        <v>9248625</v>
      </c>
      <c r="AB17">
        <v>12897</v>
      </c>
      <c r="AD17" t="s">
        <v>1</v>
      </c>
      <c r="AE17">
        <v>7</v>
      </c>
      <c r="AF17">
        <v>1</v>
      </c>
      <c r="AH17" s="9">
        <v>44472</v>
      </c>
      <c r="AI17" t="s">
        <v>2723</v>
      </c>
      <c r="AK17" t="s">
        <v>2722</v>
      </c>
      <c r="AL17">
        <v>3</v>
      </c>
      <c r="AM17" s="5">
        <f t="shared" si="3"/>
        <v>9.0909090909090912E-2</v>
      </c>
      <c r="AN17" s="4">
        <f t="shared" si="4"/>
        <v>1.3768889194864205E-4</v>
      </c>
      <c r="AO17" s="3"/>
      <c r="AP17">
        <v>0</v>
      </c>
      <c r="AR17" t="s">
        <v>0</v>
      </c>
      <c r="AT17" s="2" t="s">
        <v>5</v>
      </c>
      <c r="AU17" s="1" t="e">
        <f t="shared" si="5"/>
        <v>#VALUE!</v>
      </c>
      <c r="AV17" s="1" t="e">
        <f t="shared" si="6"/>
        <v>#VALUE!</v>
      </c>
      <c r="AW17" s="1" t="e">
        <f t="shared" si="7"/>
        <v>#VALUE!</v>
      </c>
    </row>
    <row r="18" spans="1:49" x14ac:dyDescent="0.2">
      <c r="A18">
        <v>16</v>
      </c>
      <c r="B18" t="s">
        <v>2721</v>
      </c>
      <c r="F18" t="s">
        <v>2720</v>
      </c>
      <c r="G18" t="s">
        <v>4</v>
      </c>
      <c r="H18" t="s">
        <v>3</v>
      </c>
      <c r="I18" t="s">
        <v>2719</v>
      </c>
      <c r="N18">
        <v>1</v>
      </c>
      <c r="O18" t="s">
        <v>2718</v>
      </c>
      <c r="P18">
        <v>57204744238</v>
      </c>
      <c r="R18" s="7">
        <v>32843</v>
      </c>
      <c r="S18" s="8">
        <f t="shared" si="0"/>
        <v>1989</v>
      </c>
      <c r="T18" s="8">
        <v>1989</v>
      </c>
      <c r="U18" s="8">
        <f t="shared" si="1"/>
        <v>33</v>
      </c>
      <c r="V18" s="7">
        <v>1989</v>
      </c>
      <c r="W18" t="s">
        <v>2071</v>
      </c>
      <c r="X18" s="2" t="s">
        <v>5</v>
      </c>
      <c r="Y18" s="6" t="e">
        <f t="shared" si="2"/>
        <v>#VALUE!</v>
      </c>
      <c r="AA18">
        <v>337870</v>
      </c>
      <c r="AB18">
        <v>32478</v>
      </c>
      <c r="AD18" t="s">
        <v>1</v>
      </c>
      <c r="AE18">
        <v>32</v>
      </c>
      <c r="AF18">
        <v>2</v>
      </c>
      <c r="AH18" t="s">
        <v>2717</v>
      </c>
      <c r="AI18" t="s">
        <v>2716</v>
      </c>
      <c r="AK18" t="s">
        <v>2715</v>
      </c>
      <c r="AL18">
        <v>0</v>
      </c>
      <c r="AM18" s="5">
        <f t="shared" si="3"/>
        <v>0</v>
      </c>
      <c r="AN18" s="4">
        <f t="shared" si="4"/>
        <v>0</v>
      </c>
      <c r="AO18" s="3"/>
      <c r="AP18">
        <v>0</v>
      </c>
      <c r="AR18" t="s">
        <v>0</v>
      </c>
      <c r="AT18" s="2" t="s">
        <v>5</v>
      </c>
      <c r="AU18" s="1" t="e">
        <f t="shared" si="5"/>
        <v>#VALUE!</v>
      </c>
      <c r="AV18" s="1" t="e">
        <f t="shared" si="6"/>
        <v>#VALUE!</v>
      </c>
      <c r="AW18" s="1" t="e">
        <f t="shared" si="7"/>
        <v>#VALUE!</v>
      </c>
    </row>
    <row r="19" spans="1:49" x14ac:dyDescent="0.2">
      <c r="A19">
        <v>17</v>
      </c>
      <c r="B19" t="s">
        <v>2714</v>
      </c>
      <c r="F19" t="s">
        <v>2713</v>
      </c>
      <c r="G19" t="s">
        <v>4</v>
      </c>
      <c r="H19" t="s">
        <v>3</v>
      </c>
      <c r="I19" t="s">
        <v>2712</v>
      </c>
      <c r="N19">
        <v>3</v>
      </c>
      <c r="O19" t="s">
        <v>2711</v>
      </c>
      <c r="P19" t="s">
        <v>2710</v>
      </c>
      <c r="Q19" t="s">
        <v>20</v>
      </c>
      <c r="R19" s="7">
        <v>32843</v>
      </c>
      <c r="S19" s="8">
        <f t="shared" si="0"/>
        <v>1989</v>
      </c>
      <c r="T19" s="8">
        <v>1989</v>
      </c>
      <c r="U19" s="8">
        <f t="shared" si="1"/>
        <v>33</v>
      </c>
      <c r="V19" s="7">
        <v>1989</v>
      </c>
      <c r="W19" t="s">
        <v>2071</v>
      </c>
      <c r="X19" s="2" t="s">
        <v>5</v>
      </c>
      <c r="Y19" s="6" t="e">
        <f t="shared" si="2"/>
        <v>#VALUE!</v>
      </c>
      <c r="AA19">
        <v>337870</v>
      </c>
      <c r="AB19">
        <v>32478</v>
      </c>
      <c r="AD19" t="s">
        <v>1</v>
      </c>
      <c r="AE19">
        <v>32</v>
      </c>
      <c r="AF19">
        <v>2</v>
      </c>
      <c r="AH19" t="s">
        <v>2709</v>
      </c>
      <c r="AI19" t="s">
        <v>2708</v>
      </c>
      <c r="AK19" t="s">
        <v>2707</v>
      </c>
      <c r="AL19">
        <v>0</v>
      </c>
      <c r="AM19" s="5">
        <f t="shared" si="3"/>
        <v>0</v>
      </c>
      <c r="AN19" s="4">
        <f t="shared" si="4"/>
        <v>0</v>
      </c>
      <c r="AO19" s="3"/>
      <c r="AP19">
        <v>0</v>
      </c>
      <c r="AR19" t="s">
        <v>0</v>
      </c>
      <c r="AT19" s="2" t="s">
        <v>5</v>
      </c>
      <c r="AU19" s="1" t="e">
        <f t="shared" si="5"/>
        <v>#VALUE!</v>
      </c>
      <c r="AV19" s="1" t="e">
        <f t="shared" si="6"/>
        <v>#VALUE!</v>
      </c>
      <c r="AW19" s="1" t="e">
        <f t="shared" si="7"/>
        <v>#VALUE!</v>
      </c>
    </row>
    <row r="20" spans="1:49" x14ac:dyDescent="0.2">
      <c r="A20">
        <v>18</v>
      </c>
      <c r="B20" t="s">
        <v>2706</v>
      </c>
      <c r="F20" t="s">
        <v>2705</v>
      </c>
      <c r="G20" t="s">
        <v>4</v>
      </c>
      <c r="H20" t="s">
        <v>3</v>
      </c>
      <c r="I20" t="s">
        <v>2704</v>
      </c>
      <c r="N20">
        <v>1</v>
      </c>
      <c r="O20" t="s">
        <v>2703</v>
      </c>
      <c r="P20">
        <v>6506597140</v>
      </c>
      <c r="R20" s="7">
        <v>32843</v>
      </c>
      <c r="S20" s="8">
        <f t="shared" si="0"/>
        <v>1989</v>
      </c>
      <c r="T20" s="8">
        <v>1989</v>
      </c>
      <c r="U20" s="8">
        <f t="shared" si="1"/>
        <v>33</v>
      </c>
      <c r="V20" s="7">
        <v>1989</v>
      </c>
      <c r="W20" t="s">
        <v>52</v>
      </c>
      <c r="X20" s="2" t="s">
        <v>5</v>
      </c>
      <c r="Y20" s="6" t="e">
        <f t="shared" si="2"/>
        <v>#VALUE!</v>
      </c>
      <c r="AA20">
        <v>87566648</v>
      </c>
      <c r="AB20">
        <v>74127</v>
      </c>
      <c r="AD20" t="s">
        <v>1</v>
      </c>
      <c r="AE20">
        <v>34</v>
      </c>
      <c r="AF20">
        <v>15</v>
      </c>
      <c r="AH20" t="s">
        <v>2702</v>
      </c>
      <c r="AI20" t="s">
        <v>2701</v>
      </c>
      <c r="AK20" t="s">
        <v>2700</v>
      </c>
      <c r="AL20">
        <v>0</v>
      </c>
      <c r="AM20" s="5">
        <f t="shared" si="3"/>
        <v>0</v>
      </c>
      <c r="AN20" s="4">
        <f t="shared" si="4"/>
        <v>0</v>
      </c>
      <c r="AO20" s="3"/>
      <c r="AP20">
        <v>0</v>
      </c>
      <c r="AR20" t="s">
        <v>0</v>
      </c>
      <c r="AT20" s="2" t="s">
        <v>5</v>
      </c>
      <c r="AU20" s="1" t="e">
        <f t="shared" si="5"/>
        <v>#VALUE!</v>
      </c>
      <c r="AV20" s="1" t="e">
        <f t="shared" si="6"/>
        <v>#VALUE!</v>
      </c>
      <c r="AW20" s="1" t="e">
        <f t="shared" si="7"/>
        <v>#VALUE!</v>
      </c>
    </row>
    <row r="21" spans="1:49" x14ac:dyDescent="0.2">
      <c r="A21">
        <v>19</v>
      </c>
      <c r="B21" t="s">
        <v>2699</v>
      </c>
      <c r="F21" t="s">
        <v>2698</v>
      </c>
      <c r="G21" t="s">
        <v>4</v>
      </c>
      <c r="H21" t="s">
        <v>3</v>
      </c>
      <c r="I21" t="s">
        <v>2697</v>
      </c>
      <c r="N21">
        <v>1</v>
      </c>
      <c r="O21" t="s">
        <v>2696</v>
      </c>
      <c r="P21">
        <v>6602753480</v>
      </c>
      <c r="R21" s="7">
        <v>32843</v>
      </c>
      <c r="S21" s="8">
        <f t="shared" si="0"/>
        <v>1989</v>
      </c>
      <c r="T21" s="8">
        <v>1989</v>
      </c>
      <c r="U21" s="8">
        <f t="shared" si="1"/>
        <v>33</v>
      </c>
      <c r="V21" s="7">
        <v>1989</v>
      </c>
      <c r="W21" t="s">
        <v>2071</v>
      </c>
      <c r="X21" s="2" t="s">
        <v>5</v>
      </c>
      <c r="Y21" s="6" t="e">
        <f t="shared" si="2"/>
        <v>#VALUE!</v>
      </c>
      <c r="AA21">
        <v>337870</v>
      </c>
      <c r="AB21">
        <v>32478</v>
      </c>
      <c r="AD21" t="s">
        <v>1</v>
      </c>
      <c r="AE21">
        <v>32</v>
      </c>
      <c r="AF21">
        <v>1</v>
      </c>
      <c r="AH21" t="s">
        <v>2695</v>
      </c>
      <c r="AI21" t="s">
        <v>2694</v>
      </c>
      <c r="AK21" t="s">
        <v>2693</v>
      </c>
      <c r="AL21">
        <v>0</v>
      </c>
      <c r="AM21" s="5">
        <f t="shared" si="3"/>
        <v>0</v>
      </c>
      <c r="AN21" s="4">
        <f t="shared" si="4"/>
        <v>0</v>
      </c>
      <c r="AO21" s="3"/>
      <c r="AP21">
        <v>0</v>
      </c>
      <c r="AR21" t="s">
        <v>0</v>
      </c>
      <c r="AT21" s="2" t="s">
        <v>5</v>
      </c>
      <c r="AU21" s="1" t="e">
        <f t="shared" si="5"/>
        <v>#VALUE!</v>
      </c>
      <c r="AV21" s="1" t="e">
        <f t="shared" si="6"/>
        <v>#VALUE!</v>
      </c>
      <c r="AW21" s="1" t="e">
        <f t="shared" si="7"/>
        <v>#VALUE!</v>
      </c>
    </row>
    <row r="22" spans="1:49" x14ac:dyDescent="0.2">
      <c r="A22">
        <v>20</v>
      </c>
      <c r="B22" t="s">
        <v>2692</v>
      </c>
      <c r="F22" t="s">
        <v>2691</v>
      </c>
      <c r="G22" t="s">
        <v>4</v>
      </c>
      <c r="H22" t="s">
        <v>3</v>
      </c>
      <c r="I22" t="s">
        <v>2690</v>
      </c>
      <c r="N22">
        <v>2</v>
      </c>
      <c r="O22" t="s">
        <v>2689</v>
      </c>
      <c r="P22" t="s">
        <v>2688</v>
      </c>
      <c r="Q22" t="s">
        <v>51</v>
      </c>
      <c r="R22" s="7">
        <v>32843</v>
      </c>
      <c r="S22" s="8">
        <f t="shared" si="0"/>
        <v>1989</v>
      </c>
      <c r="T22" s="8">
        <v>1989</v>
      </c>
      <c r="U22" s="8">
        <f t="shared" si="1"/>
        <v>33</v>
      </c>
      <c r="V22" s="7">
        <v>1989</v>
      </c>
      <c r="W22" t="s">
        <v>2071</v>
      </c>
      <c r="X22" s="2" t="s">
        <v>5</v>
      </c>
      <c r="Y22" s="6" t="e">
        <f t="shared" si="2"/>
        <v>#VALUE!</v>
      </c>
      <c r="AA22">
        <v>337870</v>
      </c>
      <c r="AB22">
        <v>32478</v>
      </c>
      <c r="AD22" t="s">
        <v>1</v>
      </c>
      <c r="AE22">
        <v>32</v>
      </c>
      <c r="AF22">
        <v>2</v>
      </c>
      <c r="AH22" t="s">
        <v>1240</v>
      </c>
      <c r="AI22" t="s">
        <v>2687</v>
      </c>
      <c r="AK22" t="s">
        <v>2686</v>
      </c>
      <c r="AL22">
        <v>0</v>
      </c>
      <c r="AM22" s="5">
        <f t="shared" si="3"/>
        <v>0</v>
      </c>
      <c r="AN22" s="4">
        <f t="shared" si="4"/>
        <v>0</v>
      </c>
      <c r="AO22" s="3"/>
      <c r="AP22">
        <v>0</v>
      </c>
      <c r="AR22" t="s">
        <v>0</v>
      </c>
      <c r="AT22" s="2" t="s">
        <v>5</v>
      </c>
      <c r="AU22" s="1" t="e">
        <f t="shared" si="5"/>
        <v>#VALUE!</v>
      </c>
      <c r="AV22" s="1" t="e">
        <f t="shared" si="6"/>
        <v>#VALUE!</v>
      </c>
      <c r="AW22" s="1" t="e">
        <f t="shared" si="7"/>
        <v>#VALUE!</v>
      </c>
    </row>
    <row r="23" spans="1:49" x14ac:dyDescent="0.2">
      <c r="A23">
        <v>21</v>
      </c>
      <c r="B23" t="s">
        <v>2685</v>
      </c>
      <c r="F23" t="s">
        <v>2684</v>
      </c>
      <c r="G23" t="s">
        <v>4</v>
      </c>
      <c r="H23" t="s">
        <v>3</v>
      </c>
      <c r="I23" t="s">
        <v>2683</v>
      </c>
      <c r="N23">
        <v>2</v>
      </c>
      <c r="O23" t="s">
        <v>2682</v>
      </c>
      <c r="P23" t="s">
        <v>2681</v>
      </c>
      <c r="Q23" t="s">
        <v>51</v>
      </c>
      <c r="R23" s="7">
        <v>32843</v>
      </c>
      <c r="S23" s="8">
        <f t="shared" si="0"/>
        <v>1989</v>
      </c>
      <c r="T23" s="8">
        <v>1989</v>
      </c>
      <c r="U23" s="8">
        <f t="shared" si="1"/>
        <v>33</v>
      </c>
      <c r="V23" s="7">
        <v>1989</v>
      </c>
      <c r="W23" t="s">
        <v>2071</v>
      </c>
      <c r="X23" s="2" t="s">
        <v>5</v>
      </c>
      <c r="Y23" s="6" t="e">
        <f t="shared" si="2"/>
        <v>#VALUE!</v>
      </c>
      <c r="AA23">
        <v>337870</v>
      </c>
      <c r="AB23">
        <v>32478</v>
      </c>
      <c r="AD23" t="s">
        <v>1</v>
      </c>
      <c r="AE23">
        <v>32</v>
      </c>
      <c r="AF23">
        <v>2</v>
      </c>
      <c r="AH23" t="s">
        <v>2680</v>
      </c>
      <c r="AI23" t="s">
        <v>2679</v>
      </c>
      <c r="AK23" t="s">
        <v>2678</v>
      </c>
      <c r="AL23">
        <v>0</v>
      </c>
      <c r="AM23" s="5">
        <f t="shared" si="3"/>
        <v>0</v>
      </c>
      <c r="AN23" s="4">
        <f t="shared" si="4"/>
        <v>0</v>
      </c>
      <c r="AO23" s="3"/>
      <c r="AP23">
        <v>0</v>
      </c>
      <c r="AR23" t="s">
        <v>0</v>
      </c>
      <c r="AT23" s="2" t="s">
        <v>5</v>
      </c>
      <c r="AU23" s="1" t="e">
        <f t="shared" si="5"/>
        <v>#VALUE!</v>
      </c>
      <c r="AV23" s="1" t="e">
        <f t="shared" si="6"/>
        <v>#VALUE!</v>
      </c>
      <c r="AW23" s="1" t="e">
        <f t="shared" si="7"/>
        <v>#VALUE!</v>
      </c>
    </row>
    <row r="24" spans="1:49" x14ac:dyDescent="0.2">
      <c r="A24">
        <v>22</v>
      </c>
      <c r="B24" t="s">
        <v>2677</v>
      </c>
      <c r="F24" t="s">
        <v>2676</v>
      </c>
      <c r="G24" t="s">
        <v>4</v>
      </c>
      <c r="H24" t="s">
        <v>3</v>
      </c>
      <c r="I24" t="s">
        <v>2392</v>
      </c>
      <c r="N24">
        <v>3</v>
      </c>
      <c r="O24" t="s">
        <v>2675</v>
      </c>
      <c r="P24" t="s">
        <v>2674</v>
      </c>
      <c r="Q24" t="s">
        <v>20</v>
      </c>
      <c r="R24" s="7">
        <v>32843</v>
      </c>
      <c r="S24" s="8">
        <f t="shared" si="0"/>
        <v>1989</v>
      </c>
      <c r="T24" s="8">
        <v>1989</v>
      </c>
      <c r="U24" s="8">
        <f t="shared" si="1"/>
        <v>33</v>
      </c>
      <c r="V24" s="7">
        <v>1989</v>
      </c>
      <c r="W24" t="s">
        <v>2071</v>
      </c>
      <c r="X24" s="2" t="s">
        <v>5</v>
      </c>
      <c r="Y24" s="6" t="e">
        <f t="shared" si="2"/>
        <v>#VALUE!</v>
      </c>
      <c r="AA24">
        <v>337870</v>
      </c>
      <c r="AB24">
        <v>32478</v>
      </c>
      <c r="AD24" t="s">
        <v>1</v>
      </c>
      <c r="AE24">
        <v>32</v>
      </c>
      <c r="AF24">
        <v>2</v>
      </c>
      <c r="AH24" t="s">
        <v>2673</v>
      </c>
      <c r="AI24" t="s">
        <v>2672</v>
      </c>
      <c r="AK24" t="s">
        <v>2671</v>
      </c>
      <c r="AL24">
        <v>0</v>
      </c>
      <c r="AM24" s="5">
        <f t="shared" si="3"/>
        <v>0</v>
      </c>
      <c r="AN24" s="4">
        <f t="shared" si="4"/>
        <v>0</v>
      </c>
      <c r="AO24" s="3"/>
      <c r="AP24">
        <v>0</v>
      </c>
      <c r="AR24" t="s">
        <v>0</v>
      </c>
      <c r="AT24" s="2" t="s">
        <v>5</v>
      </c>
      <c r="AU24" s="1" t="e">
        <f t="shared" si="5"/>
        <v>#VALUE!</v>
      </c>
      <c r="AV24" s="1" t="e">
        <f t="shared" si="6"/>
        <v>#VALUE!</v>
      </c>
      <c r="AW24" s="1" t="e">
        <f t="shared" si="7"/>
        <v>#VALUE!</v>
      </c>
    </row>
    <row r="25" spans="1:49" x14ac:dyDescent="0.2">
      <c r="A25">
        <v>23</v>
      </c>
      <c r="B25" t="s">
        <v>2670</v>
      </c>
      <c r="F25" t="s">
        <v>2669</v>
      </c>
      <c r="G25" t="s">
        <v>4</v>
      </c>
      <c r="H25" t="s">
        <v>3</v>
      </c>
      <c r="I25" t="s">
        <v>2668</v>
      </c>
      <c r="N25">
        <v>4</v>
      </c>
      <c r="O25" t="s">
        <v>2667</v>
      </c>
      <c r="P25" t="s">
        <v>2666</v>
      </c>
      <c r="Q25" t="s">
        <v>250</v>
      </c>
      <c r="R25" s="7">
        <v>32843</v>
      </c>
      <c r="S25" s="8">
        <f t="shared" si="0"/>
        <v>1989</v>
      </c>
      <c r="T25" s="8">
        <v>1989</v>
      </c>
      <c r="U25" s="8">
        <f t="shared" si="1"/>
        <v>33</v>
      </c>
      <c r="V25" s="7">
        <v>1989</v>
      </c>
      <c r="W25" t="s">
        <v>52</v>
      </c>
      <c r="X25" s="2" t="s">
        <v>5</v>
      </c>
      <c r="Y25" s="6" t="e">
        <f t="shared" si="2"/>
        <v>#VALUE!</v>
      </c>
      <c r="AA25">
        <v>87566648</v>
      </c>
      <c r="AB25">
        <v>74127</v>
      </c>
      <c r="AD25" t="s">
        <v>1</v>
      </c>
      <c r="AE25">
        <v>34</v>
      </c>
      <c r="AF25">
        <v>16</v>
      </c>
      <c r="AH25" t="s">
        <v>2665</v>
      </c>
      <c r="AI25" t="s">
        <v>2664</v>
      </c>
      <c r="AK25" t="s">
        <v>2663</v>
      </c>
      <c r="AL25">
        <v>0</v>
      </c>
      <c r="AM25" s="5">
        <f t="shared" si="3"/>
        <v>0</v>
      </c>
      <c r="AN25" s="4">
        <f t="shared" si="4"/>
        <v>0</v>
      </c>
      <c r="AO25" s="3"/>
      <c r="AP25">
        <v>0</v>
      </c>
      <c r="AR25" t="s">
        <v>0</v>
      </c>
      <c r="AT25" s="2" t="s">
        <v>5</v>
      </c>
      <c r="AU25" s="1" t="e">
        <f t="shared" si="5"/>
        <v>#VALUE!</v>
      </c>
      <c r="AV25" s="1" t="e">
        <f t="shared" si="6"/>
        <v>#VALUE!</v>
      </c>
      <c r="AW25" s="1" t="e">
        <f t="shared" si="7"/>
        <v>#VALUE!</v>
      </c>
    </row>
    <row r="26" spans="1:49" x14ac:dyDescent="0.2">
      <c r="A26">
        <v>24</v>
      </c>
      <c r="B26" t="s">
        <v>2662</v>
      </c>
      <c r="F26" t="s">
        <v>2661</v>
      </c>
      <c r="G26" t="s">
        <v>4</v>
      </c>
      <c r="H26" t="s">
        <v>3</v>
      </c>
      <c r="I26" t="s">
        <v>2660</v>
      </c>
      <c r="N26">
        <v>2</v>
      </c>
      <c r="O26" t="s">
        <v>2659</v>
      </c>
      <c r="P26" t="s">
        <v>2658</v>
      </c>
      <c r="Q26" t="s">
        <v>51</v>
      </c>
      <c r="R26" s="7">
        <v>32843</v>
      </c>
      <c r="S26" s="8">
        <f t="shared" si="0"/>
        <v>1989</v>
      </c>
      <c r="T26" s="8">
        <v>1989</v>
      </c>
      <c r="U26" s="8">
        <f t="shared" si="1"/>
        <v>33</v>
      </c>
      <c r="V26" s="7">
        <v>1989</v>
      </c>
      <c r="W26" t="s">
        <v>2071</v>
      </c>
      <c r="X26" s="2" t="s">
        <v>5</v>
      </c>
      <c r="Y26" s="6" t="e">
        <f t="shared" si="2"/>
        <v>#VALUE!</v>
      </c>
      <c r="AA26">
        <v>337870</v>
      </c>
      <c r="AB26">
        <v>32478</v>
      </c>
      <c r="AD26" t="s">
        <v>1</v>
      </c>
      <c r="AE26">
        <v>32</v>
      </c>
      <c r="AF26">
        <v>5</v>
      </c>
      <c r="AH26" t="s">
        <v>2657</v>
      </c>
      <c r="AI26" t="s">
        <v>2656</v>
      </c>
      <c r="AK26" t="s">
        <v>2655</v>
      </c>
      <c r="AL26">
        <v>1</v>
      </c>
      <c r="AM26" s="5">
        <f t="shared" si="3"/>
        <v>3.0303030303030304E-2</v>
      </c>
      <c r="AN26" s="4">
        <f t="shared" si="4"/>
        <v>4.5896297316214016E-5</v>
      </c>
      <c r="AO26" s="3"/>
      <c r="AP26">
        <v>0</v>
      </c>
      <c r="AR26" t="s">
        <v>0</v>
      </c>
      <c r="AT26" s="2" t="s">
        <v>5</v>
      </c>
      <c r="AU26" s="1" t="e">
        <f t="shared" si="5"/>
        <v>#VALUE!</v>
      </c>
      <c r="AV26" s="1" t="e">
        <f t="shared" si="6"/>
        <v>#VALUE!</v>
      </c>
      <c r="AW26" s="1" t="e">
        <f t="shared" si="7"/>
        <v>#VALUE!</v>
      </c>
    </row>
    <row r="27" spans="1:49" x14ac:dyDescent="0.2">
      <c r="A27">
        <v>25</v>
      </c>
      <c r="B27" t="s">
        <v>2654</v>
      </c>
      <c r="F27" t="s">
        <v>2653</v>
      </c>
      <c r="G27" t="s">
        <v>4</v>
      </c>
      <c r="H27" t="s">
        <v>3</v>
      </c>
      <c r="I27" t="s">
        <v>265</v>
      </c>
      <c r="N27">
        <v>3</v>
      </c>
      <c r="O27" t="s">
        <v>264</v>
      </c>
      <c r="P27" t="s">
        <v>263</v>
      </c>
      <c r="Q27" t="s">
        <v>20</v>
      </c>
      <c r="R27" s="7">
        <v>32843</v>
      </c>
      <c r="S27" s="8">
        <f t="shared" si="0"/>
        <v>1989</v>
      </c>
      <c r="T27" s="8">
        <v>1989</v>
      </c>
      <c r="U27" s="8">
        <f t="shared" si="1"/>
        <v>33</v>
      </c>
      <c r="V27" s="7">
        <v>1989</v>
      </c>
      <c r="W27" t="s">
        <v>52</v>
      </c>
      <c r="X27" s="2" t="s">
        <v>5</v>
      </c>
      <c r="Y27" s="6" t="e">
        <f t="shared" si="2"/>
        <v>#VALUE!</v>
      </c>
      <c r="AA27">
        <v>87566648</v>
      </c>
      <c r="AB27">
        <v>74127</v>
      </c>
      <c r="AD27" t="s">
        <v>1</v>
      </c>
      <c r="AE27">
        <v>34</v>
      </c>
      <c r="AF27">
        <v>10</v>
      </c>
      <c r="AH27" t="s">
        <v>2652</v>
      </c>
      <c r="AI27" t="s">
        <v>2651</v>
      </c>
      <c r="AK27" t="s">
        <v>2650</v>
      </c>
      <c r="AL27">
        <v>0</v>
      </c>
      <c r="AM27" s="5">
        <f t="shared" si="3"/>
        <v>0</v>
      </c>
      <c r="AN27" s="4">
        <f t="shared" si="4"/>
        <v>0</v>
      </c>
      <c r="AO27" s="3"/>
      <c r="AP27">
        <v>0</v>
      </c>
      <c r="AR27" t="s">
        <v>0</v>
      </c>
      <c r="AT27" s="2" t="s">
        <v>5</v>
      </c>
      <c r="AU27" s="1" t="e">
        <f t="shared" si="5"/>
        <v>#VALUE!</v>
      </c>
      <c r="AV27" s="1" t="e">
        <f t="shared" si="6"/>
        <v>#VALUE!</v>
      </c>
      <c r="AW27" s="1" t="e">
        <f t="shared" si="7"/>
        <v>#VALUE!</v>
      </c>
    </row>
    <row r="28" spans="1:49" x14ac:dyDescent="0.2">
      <c r="A28">
        <v>26</v>
      </c>
      <c r="B28" t="s">
        <v>2649</v>
      </c>
      <c r="F28" t="s">
        <v>2648</v>
      </c>
      <c r="G28" t="s">
        <v>4</v>
      </c>
      <c r="H28" t="s">
        <v>3</v>
      </c>
      <c r="I28" t="s">
        <v>2647</v>
      </c>
      <c r="J28">
        <v>60092258</v>
      </c>
      <c r="K28" t="s">
        <v>164</v>
      </c>
      <c r="L28" t="s">
        <v>129</v>
      </c>
      <c r="M28" t="s">
        <v>13</v>
      </c>
      <c r="N28">
        <v>3</v>
      </c>
      <c r="O28" t="s">
        <v>2646</v>
      </c>
      <c r="P28" t="s">
        <v>2645</v>
      </c>
      <c r="Q28" t="s">
        <v>2644</v>
      </c>
      <c r="R28" s="7">
        <v>32843</v>
      </c>
      <c r="S28" s="8">
        <f t="shared" si="0"/>
        <v>1989</v>
      </c>
      <c r="T28" s="8">
        <v>1989</v>
      </c>
      <c r="U28" s="8">
        <f t="shared" si="1"/>
        <v>33</v>
      </c>
      <c r="V28" s="7">
        <v>1989</v>
      </c>
      <c r="W28" t="s">
        <v>185</v>
      </c>
      <c r="X28" s="2">
        <v>0.26400000000000001</v>
      </c>
      <c r="Y28" s="6">
        <f t="shared" si="2"/>
        <v>7.0473292223912874E-3</v>
      </c>
      <c r="AB28">
        <v>82000</v>
      </c>
      <c r="AD28" t="s">
        <v>1</v>
      </c>
      <c r="AE28">
        <v>2</v>
      </c>
      <c r="AH28" t="s">
        <v>2643</v>
      </c>
      <c r="AI28" t="s">
        <v>2642</v>
      </c>
      <c r="AK28" t="s">
        <v>2641</v>
      </c>
      <c r="AL28">
        <v>0</v>
      </c>
      <c r="AM28" s="5">
        <f t="shared" si="3"/>
        <v>0</v>
      </c>
      <c r="AN28" s="4">
        <f t="shared" si="4"/>
        <v>0</v>
      </c>
      <c r="AO28" s="3"/>
      <c r="AP28">
        <v>0</v>
      </c>
      <c r="AR28" t="s">
        <v>0</v>
      </c>
      <c r="AT28" s="2" t="s">
        <v>5</v>
      </c>
      <c r="AU28" s="1">
        <f t="shared" si="5"/>
        <v>0.49331304556739003</v>
      </c>
      <c r="AV28" s="1">
        <f t="shared" si="6"/>
        <v>0.35236646111956438</v>
      </c>
      <c r="AW28" s="1">
        <f t="shared" si="7"/>
        <v>0.21141987667173862</v>
      </c>
    </row>
    <row r="29" spans="1:49" x14ac:dyDescent="0.2">
      <c r="A29">
        <v>27</v>
      </c>
      <c r="B29" t="s">
        <v>2640</v>
      </c>
      <c r="F29" t="s">
        <v>2639</v>
      </c>
      <c r="G29" t="s">
        <v>4</v>
      </c>
      <c r="H29" t="s">
        <v>3</v>
      </c>
      <c r="I29" t="s">
        <v>1527</v>
      </c>
      <c r="N29">
        <v>1</v>
      </c>
      <c r="O29" t="s">
        <v>166</v>
      </c>
      <c r="P29">
        <v>1</v>
      </c>
      <c r="R29" s="7">
        <v>32843</v>
      </c>
      <c r="S29" s="8">
        <f t="shared" si="0"/>
        <v>1989</v>
      </c>
      <c r="T29" s="8">
        <v>1989</v>
      </c>
      <c r="U29" s="8">
        <f t="shared" si="1"/>
        <v>33</v>
      </c>
      <c r="V29" s="7">
        <v>1989</v>
      </c>
      <c r="W29" t="s">
        <v>2464</v>
      </c>
      <c r="X29" s="2" t="s">
        <v>5</v>
      </c>
      <c r="Y29" s="6" t="e">
        <f t="shared" si="2"/>
        <v>#VALUE!</v>
      </c>
      <c r="AA29">
        <v>10133119</v>
      </c>
      <c r="AB29">
        <v>18665</v>
      </c>
      <c r="AD29" t="s">
        <v>1</v>
      </c>
      <c r="AF29">
        <v>7</v>
      </c>
      <c r="AH29" s="10">
        <v>43405</v>
      </c>
      <c r="AI29" t="s">
        <v>2638</v>
      </c>
      <c r="AK29" t="s">
        <v>2637</v>
      </c>
      <c r="AL29">
        <v>0</v>
      </c>
      <c r="AM29" s="5">
        <f t="shared" si="3"/>
        <v>0</v>
      </c>
      <c r="AN29" s="4">
        <f t="shared" si="4"/>
        <v>0</v>
      </c>
      <c r="AO29" s="3"/>
      <c r="AP29">
        <v>0</v>
      </c>
      <c r="AR29" t="s">
        <v>0</v>
      </c>
      <c r="AT29" s="2" t="s">
        <v>5</v>
      </c>
      <c r="AU29" s="1" t="e">
        <f t="shared" si="5"/>
        <v>#VALUE!</v>
      </c>
      <c r="AV29" s="1" t="e">
        <f t="shared" si="6"/>
        <v>#VALUE!</v>
      </c>
      <c r="AW29" s="1" t="e">
        <f t="shared" si="7"/>
        <v>#VALUE!</v>
      </c>
    </row>
    <row r="30" spans="1:49" x14ac:dyDescent="0.2">
      <c r="A30">
        <v>28</v>
      </c>
      <c r="B30" t="s">
        <v>2636</v>
      </c>
      <c r="F30" t="s">
        <v>2635</v>
      </c>
      <c r="G30" t="s">
        <v>4</v>
      </c>
      <c r="H30" t="s">
        <v>3</v>
      </c>
      <c r="I30" t="s">
        <v>2634</v>
      </c>
      <c r="N30">
        <v>3</v>
      </c>
      <c r="O30" t="s">
        <v>2633</v>
      </c>
      <c r="P30" t="s">
        <v>2632</v>
      </c>
      <c r="Q30" t="s">
        <v>20</v>
      </c>
      <c r="R30" s="7">
        <v>32843</v>
      </c>
      <c r="S30" s="8">
        <f t="shared" si="0"/>
        <v>1989</v>
      </c>
      <c r="T30" s="8">
        <v>1989</v>
      </c>
      <c r="U30" s="8">
        <f t="shared" si="1"/>
        <v>33</v>
      </c>
      <c r="V30" s="7">
        <v>1989</v>
      </c>
      <c r="W30" t="s">
        <v>52</v>
      </c>
      <c r="X30" s="2" t="s">
        <v>5</v>
      </c>
      <c r="Y30" s="6" t="e">
        <f t="shared" si="2"/>
        <v>#VALUE!</v>
      </c>
      <c r="AA30">
        <v>87566648</v>
      </c>
      <c r="AB30">
        <v>74127</v>
      </c>
      <c r="AD30" t="s">
        <v>1</v>
      </c>
      <c r="AE30">
        <v>34</v>
      </c>
      <c r="AF30">
        <v>15</v>
      </c>
      <c r="AH30" t="s">
        <v>245</v>
      </c>
      <c r="AI30" t="s">
        <v>2631</v>
      </c>
      <c r="AK30" t="s">
        <v>2630</v>
      </c>
      <c r="AL30">
        <v>0</v>
      </c>
      <c r="AM30" s="5">
        <f t="shared" si="3"/>
        <v>0</v>
      </c>
      <c r="AN30" s="4">
        <f t="shared" si="4"/>
        <v>0</v>
      </c>
      <c r="AO30" s="3"/>
      <c r="AP30">
        <v>0</v>
      </c>
      <c r="AR30" t="s">
        <v>0</v>
      </c>
      <c r="AT30" s="2" t="s">
        <v>5</v>
      </c>
      <c r="AU30" s="1" t="e">
        <f t="shared" si="5"/>
        <v>#VALUE!</v>
      </c>
      <c r="AV30" s="1" t="e">
        <f t="shared" si="6"/>
        <v>#VALUE!</v>
      </c>
      <c r="AW30" s="1" t="e">
        <f t="shared" si="7"/>
        <v>#VALUE!</v>
      </c>
    </row>
    <row r="31" spans="1:49" x14ac:dyDescent="0.2">
      <c r="A31">
        <v>29</v>
      </c>
      <c r="B31" t="s">
        <v>2629</v>
      </c>
      <c r="F31" t="s">
        <v>2628</v>
      </c>
      <c r="G31" t="s">
        <v>4</v>
      </c>
      <c r="H31" t="s">
        <v>3</v>
      </c>
      <c r="I31" t="s">
        <v>2627</v>
      </c>
      <c r="J31">
        <v>100627959</v>
      </c>
      <c r="K31" t="s">
        <v>2626</v>
      </c>
      <c r="M31" t="s">
        <v>13</v>
      </c>
      <c r="N31">
        <v>3</v>
      </c>
      <c r="O31" t="s">
        <v>2625</v>
      </c>
      <c r="P31" t="s">
        <v>2624</v>
      </c>
      <c r="Q31" t="s">
        <v>2623</v>
      </c>
      <c r="R31" s="7">
        <v>32843</v>
      </c>
      <c r="S31" s="8">
        <f t="shared" si="0"/>
        <v>1989</v>
      </c>
      <c r="T31" s="8">
        <v>1989</v>
      </c>
      <c r="U31" s="8">
        <f t="shared" si="1"/>
        <v>33</v>
      </c>
      <c r="V31" s="7">
        <v>32843</v>
      </c>
      <c r="W31" t="s">
        <v>2622</v>
      </c>
      <c r="X31" s="2" t="s">
        <v>5</v>
      </c>
      <c r="Y31" s="6" t="e">
        <f t="shared" si="2"/>
        <v>#VALUE!</v>
      </c>
      <c r="AA31">
        <v>9248625</v>
      </c>
      <c r="AB31">
        <v>12897</v>
      </c>
      <c r="AD31" t="s">
        <v>1</v>
      </c>
      <c r="AE31">
        <v>7</v>
      </c>
      <c r="AF31">
        <v>1</v>
      </c>
      <c r="AH31" s="10">
        <v>43040</v>
      </c>
      <c r="AI31" t="s">
        <v>2621</v>
      </c>
      <c r="AK31" t="s">
        <v>2620</v>
      </c>
      <c r="AL31">
        <v>0</v>
      </c>
      <c r="AM31" s="5">
        <f t="shared" si="3"/>
        <v>0</v>
      </c>
      <c r="AN31" s="4">
        <f t="shared" si="4"/>
        <v>0</v>
      </c>
      <c r="AO31" s="3"/>
      <c r="AP31">
        <v>0</v>
      </c>
      <c r="AR31" t="s">
        <v>0</v>
      </c>
      <c r="AT31" s="2" t="s">
        <v>5</v>
      </c>
      <c r="AU31" s="1" t="e">
        <f t="shared" si="5"/>
        <v>#VALUE!</v>
      </c>
      <c r="AV31" s="1" t="e">
        <f t="shared" si="6"/>
        <v>#VALUE!</v>
      </c>
      <c r="AW31" s="1" t="e">
        <f t="shared" si="7"/>
        <v>#VALUE!</v>
      </c>
    </row>
    <row r="32" spans="1:49" x14ac:dyDescent="0.2">
      <c r="A32">
        <v>30</v>
      </c>
      <c r="B32" t="s">
        <v>2619</v>
      </c>
      <c r="F32" t="s">
        <v>2618</v>
      </c>
      <c r="G32" t="s">
        <v>4</v>
      </c>
      <c r="H32" t="s">
        <v>3</v>
      </c>
      <c r="I32" t="s">
        <v>2617</v>
      </c>
      <c r="N32">
        <v>2</v>
      </c>
      <c r="O32" t="s">
        <v>2616</v>
      </c>
      <c r="P32" t="s">
        <v>2615</v>
      </c>
      <c r="Q32" t="s">
        <v>51</v>
      </c>
      <c r="R32" s="7">
        <v>32843</v>
      </c>
      <c r="S32" s="8">
        <f t="shared" si="0"/>
        <v>1989</v>
      </c>
      <c r="T32" s="8">
        <v>1989</v>
      </c>
      <c r="U32" s="8">
        <f t="shared" si="1"/>
        <v>33</v>
      </c>
      <c r="V32" s="7">
        <v>1989</v>
      </c>
      <c r="W32" t="s">
        <v>52</v>
      </c>
      <c r="X32" s="2" t="s">
        <v>5</v>
      </c>
      <c r="Y32" s="6" t="e">
        <f t="shared" si="2"/>
        <v>#VALUE!</v>
      </c>
      <c r="AA32">
        <v>87566648</v>
      </c>
      <c r="AB32">
        <v>74127</v>
      </c>
      <c r="AD32" t="s">
        <v>1</v>
      </c>
      <c r="AE32">
        <v>34</v>
      </c>
      <c r="AF32">
        <v>16</v>
      </c>
      <c r="AH32" t="s">
        <v>2614</v>
      </c>
      <c r="AI32" t="s">
        <v>2613</v>
      </c>
      <c r="AK32" t="s">
        <v>2612</v>
      </c>
      <c r="AL32">
        <v>0</v>
      </c>
      <c r="AM32" s="5">
        <f t="shared" si="3"/>
        <v>0</v>
      </c>
      <c r="AN32" s="4">
        <f t="shared" si="4"/>
        <v>0</v>
      </c>
      <c r="AO32" s="3"/>
      <c r="AP32">
        <v>0</v>
      </c>
      <c r="AR32" t="s">
        <v>0</v>
      </c>
      <c r="AT32" s="2" t="s">
        <v>5</v>
      </c>
      <c r="AU32" s="1" t="e">
        <f t="shared" si="5"/>
        <v>#VALUE!</v>
      </c>
      <c r="AV32" s="1" t="e">
        <f t="shared" si="6"/>
        <v>#VALUE!</v>
      </c>
      <c r="AW32" s="1" t="e">
        <f t="shared" si="7"/>
        <v>#VALUE!</v>
      </c>
    </row>
    <row r="33" spans="1:49" x14ac:dyDescent="0.2">
      <c r="A33">
        <v>31</v>
      </c>
      <c r="B33" t="s">
        <v>2611</v>
      </c>
      <c r="F33" t="s">
        <v>2610</v>
      </c>
      <c r="G33" t="s">
        <v>4</v>
      </c>
      <c r="H33" t="s">
        <v>3</v>
      </c>
      <c r="I33" t="s">
        <v>1938</v>
      </c>
      <c r="N33">
        <v>1</v>
      </c>
      <c r="O33" t="s">
        <v>2609</v>
      </c>
      <c r="P33">
        <v>7003496334</v>
      </c>
      <c r="R33" s="7">
        <v>32843</v>
      </c>
      <c r="S33" s="8">
        <f t="shared" si="0"/>
        <v>1989</v>
      </c>
      <c r="T33" s="8">
        <v>1989</v>
      </c>
      <c r="U33" s="8">
        <f t="shared" si="1"/>
        <v>33</v>
      </c>
      <c r="V33" s="7">
        <v>1989</v>
      </c>
      <c r="W33" t="s">
        <v>2071</v>
      </c>
      <c r="X33" s="2" t="s">
        <v>5</v>
      </c>
      <c r="Y33" s="6" t="e">
        <f t="shared" si="2"/>
        <v>#VALUE!</v>
      </c>
      <c r="AA33">
        <v>337870</v>
      </c>
      <c r="AB33">
        <v>32478</v>
      </c>
      <c r="AD33" t="s">
        <v>1</v>
      </c>
      <c r="AE33">
        <v>32</v>
      </c>
      <c r="AF33">
        <v>9</v>
      </c>
      <c r="AH33" s="9">
        <v>44317</v>
      </c>
      <c r="AI33" t="s">
        <v>2608</v>
      </c>
      <c r="AK33" t="s">
        <v>2607</v>
      </c>
      <c r="AL33">
        <v>0</v>
      </c>
      <c r="AM33" s="5">
        <f t="shared" si="3"/>
        <v>0</v>
      </c>
      <c r="AN33" s="4">
        <f t="shared" si="4"/>
        <v>0</v>
      </c>
      <c r="AO33" s="3"/>
      <c r="AP33">
        <v>0</v>
      </c>
      <c r="AR33" t="s">
        <v>0</v>
      </c>
      <c r="AT33" s="2" t="s">
        <v>5</v>
      </c>
      <c r="AU33" s="1" t="e">
        <f t="shared" si="5"/>
        <v>#VALUE!</v>
      </c>
      <c r="AV33" s="1" t="e">
        <f t="shared" si="6"/>
        <v>#VALUE!</v>
      </c>
      <c r="AW33" s="1" t="e">
        <f t="shared" si="7"/>
        <v>#VALUE!</v>
      </c>
    </row>
    <row r="34" spans="1:49" x14ac:dyDescent="0.2">
      <c r="A34">
        <v>32</v>
      </c>
      <c r="B34" t="s">
        <v>2606</v>
      </c>
      <c r="F34" t="s">
        <v>2605</v>
      </c>
      <c r="G34" t="s">
        <v>4</v>
      </c>
      <c r="H34" t="s">
        <v>3</v>
      </c>
      <c r="I34" t="s">
        <v>2604</v>
      </c>
      <c r="N34">
        <v>2</v>
      </c>
      <c r="O34" t="s">
        <v>2603</v>
      </c>
      <c r="P34" t="s">
        <v>2602</v>
      </c>
      <c r="Q34" t="s">
        <v>51</v>
      </c>
      <c r="R34" s="7">
        <v>32843</v>
      </c>
      <c r="S34" s="8">
        <f t="shared" si="0"/>
        <v>1989</v>
      </c>
      <c r="T34" s="8">
        <v>1989</v>
      </c>
      <c r="U34" s="8">
        <f t="shared" si="1"/>
        <v>33</v>
      </c>
      <c r="V34" s="7">
        <v>1989</v>
      </c>
      <c r="W34" t="s">
        <v>2601</v>
      </c>
      <c r="X34" s="2" t="s">
        <v>5</v>
      </c>
      <c r="Y34" s="6" t="e">
        <f t="shared" si="2"/>
        <v>#VALUE!</v>
      </c>
      <c r="AA34">
        <v>1446622</v>
      </c>
      <c r="AB34">
        <v>39761</v>
      </c>
      <c r="AD34" t="s">
        <v>1</v>
      </c>
      <c r="AE34">
        <v>9</v>
      </c>
      <c r="AF34">
        <v>7</v>
      </c>
      <c r="AH34" t="s">
        <v>2600</v>
      </c>
      <c r="AI34" t="s">
        <v>2599</v>
      </c>
      <c r="AK34" t="s">
        <v>2598</v>
      </c>
      <c r="AL34">
        <v>0</v>
      </c>
      <c r="AM34" s="5">
        <f t="shared" si="3"/>
        <v>0</v>
      </c>
      <c r="AN34" s="4">
        <f t="shared" si="4"/>
        <v>0</v>
      </c>
      <c r="AO34" s="3"/>
      <c r="AP34">
        <v>0</v>
      </c>
      <c r="AR34" t="s">
        <v>0</v>
      </c>
      <c r="AT34" s="2" t="s">
        <v>5</v>
      </c>
      <c r="AU34" s="1" t="e">
        <f t="shared" si="5"/>
        <v>#VALUE!</v>
      </c>
      <c r="AV34" s="1" t="e">
        <f t="shared" si="6"/>
        <v>#VALUE!</v>
      </c>
      <c r="AW34" s="1" t="e">
        <f t="shared" si="7"/>
        <v>#VALUE!</v>
      </c>
    </row>
    <row r="35" spans="1:49" x14ac:dyDescent="0.2">
      <c r="A35">
        <v>33</v>
      </c>
      <c r="B35" t="s">
        <v>2597</v>
      </c>
      <c r="F35" t="s">
        <v>2596</v>
      </c>
      <c r="G35" t="s">
        <v>4</v>
      </c>
      <c r="H35" t="s">
        <v>3</v>
      </c>
      <c r="I35" t="s">
        <v>2595</v>
      </c>
      <c r="N35">
        <v>3</v>
      </c>
      <c r="O35" t="s">
        <v>2594</v>
      </c>
      <c r="P35" t="s">
        <v>2593</v>
      </c>
      <c r="Q35" t="s">
        <v>20</v>
      </c>
      <c r="R35" s="7">
        <v>32843</v>
      </c>
      <c r="S35" s="8">
        <f t="shared" si="0"/>
        <v>1989</v>
      </c>
      <c r="T35" s="8">
        <v>1989</v>
      </c>
      <c r="U35" s="8">
        <f t="shared" si="1"/>
        <v>33</v>
      </c>
      <c r="V35" s="7">
        <v>1989</v>
      </c>
      <c r="W35" t="s">
        <v>2071</v>
      </c>
      <c r="X35" s="2" t="s">
        <v>5</v>
      </c>
      <c r="Y35" s="6" t="e">
        <f t="shared" si="2"/>
        <v>#VALUE!</v>
      </c>
      <c r="AA35">
        <v>337870</v>
      </c>
      <c r="AB35">
        <v>32478</v>
      </c>
      <c r="AD35" t="s">
        <v>1</v>
      </c>
      <c r="AE35">
        <v>32</v>
      </c>
      <c r="AF35">
        <v>7</v>
      </c>
      <c r="AH35" t="s">
        <v>232</v>
      </c>
      <c r="AI35" t="s">
        <v>2592</v>
      </c>
      <c r="AK35" t="s">
        <v>2591</v>
      </c>
      <c r="AL35">
        <v>0</v>
      </c>
      <c r="AM35" s="5">
        <f t="shared" si="3"/>
        <v>0</v>
      </c>
      <c r="AN35" s="4">
        <f t="shared" si="4"/>
        <v>0</v>
      </c>
      <c r="AO35" s="3"/>
      <c r="AP35">
        <v>0</v>
      </c>
      <c r="AR35" t="s">
        <v>0</v>
      </c>
      <c r="AT35" s="2" t="s">
        <v>5</v>
      </c>
      <c r="AU35" s="1" t="e">
        <f t="shared" si="5"/>
        <v>#VALUE!</v>
      </c>
      <c r="AV35" s="1" t="e">
        <f t="shared" si="6"/>
        <v>#VALUE!</v>
      </c>
      <c r="AW35" s="1" t="e">
        <f t="shared" si="7"/>
        <v>#VALUE!</v>
      </c>
    </row>
    <row r="36" spans="1:49" x14ac:dyDescent="0.2">
      <c r="A36">
        <v>34</v>
      </c>
      <c r="B36" t="s">
        <v>2590</v>
      </c>
      <c r="F36" t="s">
        <v>2589</v>
      </c>
      <c r="G36" t="s">
        <v>4</v>
      </c>
      <c r="H36" t="s">
        <v>3</v>
      </c>
      <c r="I36" t="s">
        <v>2588</v>
      </c>
      <c r="N36">
        <v>2</v>
      </c>
      <c r="O36" t="s">
        <v>2587</v>
      </c>
      <c r="P36" t="s">
        <v>2586</v>
      </c>
      <c r="Q36" t="s">
        <v>51</v>
      </c>
      <c r="R36" s="7">
        <v>32843</v>
      </c>
      <c r="S36" s="8">
        <f t="shared" si="0"/>
        <v>1989</v>
      </c>
      <c r="T36" s="8">
        <v>1989</v>
      </c>
      <c r="U36" s="8">
        <f t="shared" si="1"/>
        <v>33</v>
      </c>
      <c r="V36" s="7">
        <v>1989</v>
      </c>
      <c r="W36" t="s">
        <v>2071</v>
      </c>
      <c r="X36" s="2" t="s">
        <v>5</v>
      </c>
      <c r="Y36" s="6" t="e">
        <f t="shared" si="2"/>
        <v>#VALUE!</v>
      </c>
      <c r="AA36">
        <v>337870</v>
      </c>
      <c r="AB36">
        <v>32478</v>
      </c>
      <c r="AD36" t="s">
        <v>1</v>
      </c>
      <c r="AE36">
        <v>32</v>
      </c>
      <c r="AF36">
        <v>7</v>
      </c>
      <c r="AH36" t="s">
        <v>2585</v>
      </c>
      <c r="AI36" t="s">
        <v>2584</v>
      </c>
      <c r="AK36" t="s">
        <v>2583</v>
      </c>
      <c r="AL36">
        <v>0</v>
      </c>
      <c r="AM36" s="5">
        <f t="shared" si="3"/>
        <v>0</v>
      </c>
      <c r="AN36" s="4">
        <f t="shared" si="4"/>
        <v>0</v>
      </c>
      <c r="AO36" s="3"/>
      <c r="AP36">
        <v>0</v>
      </c>
      <c r="AR36" t="s">
        <v>0</v>
      </c>
      <c r="AT36" s="2" t="s">
        <v>5</v>
      </c>
      <c r="AU36" s="1" t="e">
        <f t="shared" si="5"/>
        <v>#VALUE!</v>
      </c>
      <c r="AV36" s="1" t="e">
        <f t="shared" si="6"/>
        <v>#VALUE!</v>
      </c>
      <c r="AW36" s="1" t="e">
        <f t="shared" si="7"/>
        <v>#VALUE!</v>
      </c>
    </row>
    <row r="37" spans="1:49" x14ac:dyDescent="0.2">
      <c r="A37">
        <v>35</v>
      </c>
      <c r="B37" t="s">
        <v>2582</v>
      </c>
      <c r="F37" t="s">
        <v>2581</v>
      </c>
      <c r="G37" t="s">
        <v>4</v>
      </c>
      <c r="H37" t="s">
        <v>3</v>
      </c>
      <c r="I37" t="s">
        <v>2580</v>
      </c>
      <c r="J37">
        <v>60016218</v>
      </c>
      <c r="K37" t="s">
        <v>2579</v>
      </c>
      <c r="L37" t="s">
        <v>2578</v>
      </c>
      <c r="M37" t="s">
        <v>95</v>
      </c>
      <c r="N37">
        <v>3</v>
      </c>
      <c r="O37" t="s">
        <v>2577</v>
      </c>
      <c r="P37" t="s">
        <v>2576</v>
      </c>
      <c r="Q37" t="s">
        <v>2575</v>
      </c>
      <c r="R37" s="7">
        <v>32843</v>
      </c>
      <c r="S37" s="8">
        <f t="shared" si="0"/>
        <v>1989</v>
      </c>
      <c r="T37" s="8">
        <v>1989</v>
      </c>
      <c r="U37" s="8">
        <f t="shared" si="1"/>
        <v>33</v>
      </c>
      <c r="V37" s="7">
        <v>32843</v>
      </c>
      <c r="W37" t="s">
        <v>1121</v>
      </c>
      <c r="X37" s="2">
        <v>0.14099999999999999</v>
      </c>
      <c r="Y37" s="6">
        <f t="shared" si="2"/>
        <v>3.7639144710498915E-3</v>
      </c>
      <c r="AA37">
        <v>7252986</v>
      </c>
      <c r="AB37">
        <v>18037</v>
      </c>
      <c r="AD37" t="s">
        <v>1</v>
      </c>
      <c r="AE37">
        <v>9</v>
      </c>
      <c r="AF37">
        <v>4</v>
      </c>
      <c r="AH37" t="s">
        <v>2574</v>
      </c>
      <c r="AI37" t="s">
        <v>2573</v>
      </c>
      <c r="AK37" t="s">
        <v>2572</v>
      </c>
      <c r="AL37">
        <v>1</v>
      </c>
      <c r="AM37" s="5">
        <f t="shared" si="3"/>
        <v>3.0303030303030304E-2</v>
      </c>
      <c r="AN37" s="4">
        <f t="shared" si="4"/>
        <v>4.5896297316214016E-5</v>
      </c>
      <c r="AO37" s="3"/>
      <c r="AP37">
        <v>0</v>
      </c>
      <c r="AR37" t="s">
        <v>0</v>
      </c>
      <c r="AT37" s="2" t="s">
        <v>5</v>
      </c>
      <c r="AU37" s="1">
        <f t="shared" si="5"/>
        <v>0.26485090189297883</v>
      </c>
      <c r="AV37" s="1">
        <f t="shared" si="6"/>
        <v>0.19049053841830527</v>
      </c>
      <c r="AW37" s="1">
        <f t="shared" si="7"/>
        <v>0.1161301749436317</v>
      </c>
    </row>
    <row r="38" spans="1:49" x14ac:dyDescent="0.2">
      <c r="A38">
        <v>36</v>
      </c>
      <c r="B38" t="s">
        <v>2571</v>
      </c>
      <c r="F38" t="s">
        <v>2570</v>
      </c>
      <c r="G38" t="s">
        <v>4</v>
      </c>
      <c r="H38" t="s">
        <v>3</v>
      </c>
      <c r="I38" t="s">
        <v>2432</v>
      </c>
      <c r="N38">
        <v>2</v>
      </c>
      <c r="O38" t="s">
        <v>2569</v>
      </c>
      <c r="P38" t="s">
        <v>2568</v>
      </c>
      <c r="Q38" t="s">
        <v>51</v>
      </c>
      <c r="R38" s="7">
        <v>32843</v>
      </c>
      <c r="S38" s="8">
        <f t="shared" si="0"/>
        <v>1989</v>
      </c>
      <c r="T38" s="8">
        <v>1989</v>
      </c>
      <c r="U38" s="8">
        <f t="shared" si="1"/>
        <v>33</v>
      </c>
      <c r="V38" s="7">
        <v>1989</v>
      </c>
      <c r="W38" t="s">
        <v>2071</v>
      </c>
      <c r="X38" s="2" t="s">
        <v>5</v>
      </c>
      <c r="Y38" s="6" t="e">
        <f t="shared" si="2"/>
        <v>#VALUE!</v>
      </c>
      <c r="AA38">
        <v>337870</v>
      </c>
      <c r="AB38">
        <v>32478</v>
      </c>
      <c r="AD38" t="s">
        <v>1</v>
      </c>
      <c r="AE38">
        <v>32</v>
      </c>
      <c r="AF38">
        <v>2</v>
      </c>
      <c r="AH38" t="s">
        <v>2567</v>
      </c>
      <c r="AI38" t="s">
        <v>2566</v>
      </c>
      <c r="AK38" t="s">
        <v>2565</v>
      </c>
      <c r="AL38">
        <v>0</v>
      </c>
      <c r="AM38" s="5">
        <f t="shared" si="3"/>
        <v>0</v>
      </c>
      <c r="AN38" s="4">
        <f t="shared" si="4"/>
        <v>0</v>
      </c>
      <c r="AO38" s="3"/>
      <c r="AP38">
        <v>0</v>
      </c>
      <c r="AR38" t="s">
        <v>0</v>
      </c>
      <c r="AT38" s="2" t="s">
        <v>5</v>
      </c>
      <c r="AU38" s="1" t="e">
        <f t="shared" si="5"/>
        <v>#VALUE!</v>
      </c>
      <c r="AV38" s="1" t="e">
        <f t="shared" si="6"/>
        <v>#VALUE!</v>
      </c>
      <c r="AW38" s="1" t="e">
        <f t="shared" si="7"/>
        <v>#VALUE!</v>
      </c>
    </row>
    <row r="39" spans="1:49" x14ac:dyDescent="0.2">
      <c r="A39">
        <v>37</v>
      </c>
      <c r="B39" t="s">
        <v>2564</v>
      </c>
      <c r="F39" t="s">
        <v>2563</v>
      </c>
      <c r="G39" t="s">
        <v>4</v>
      </c>
      <c r="H39" t="s">
        <v>3</v>
      </c>
      <c r="I39" t="s">
        <v>2562</v>
      </c>
      <c r="N39">
        <v>3</v>
      </c>
      <c r="O39" t="s">
        <v>2561</v>
      </c>
      <c r="P39" t="s">
        <v>2560</v>
      </c>
      <c r="Q39" t="s">
        <v>20</v>
      </c>
      <c r="R39" s="7">
        <v>32843</v>
      </c>
      <c r="S39" s="8">
        <f t="shared" si="0"/>
        <v>1989</v>
      </c>
      <c r="T39" s="8">
        <v>1989</v>
      </c>
      <c r="U39" s="8">
        <f t="shared" si="1"/>
        <v>33</v>
      </c>
      <c r="V39" s="7">
        <v>32843</v>
      </c>
      <c r="W39" t="s">
        <v>52</v>
      </c>
      <c r="X39" s="2" t="s">
        <v>5</v>
      </c>
      <c r="Y39" s="6" t="e">
        <f t="shared" si="2"/>
        <v>#VALUE!</v>
      </c>
      <c r="AA39">
        <v>87566648</v>
      </c>
      <c r="AB39">
        <v>74127</v>
      </c>
      <c r="AD39" t="s">
        <v>1</v>
      </c>
      <c r="AE39">
        <v>34</v>
      </c>
      <c r="AF39">
        <v>12</v>
      </c>
      <c r="AH39" t="s">
        <v>2559</v>
      </c>
      <c r="AI39" t="s">
        <v>2558</v>
      </c>
      <c r="AK39" t="s">
        <v>2557</v>
      </c>
      <c r="AL39">
        <v>0</v>
      </c>
      <c r="AM39" s="5">
        <f t="shared" si="3"/>
        <v>0</v>
      </c>
      <c r="AN39" s="4">
        <f t="shared" si="4"/>
        <v>0</v>
      </c>
      <c r="AO39" s="3"/>
      <c r="AP39">
        <v>0</v>
      </c>
      <c r="AR39" t="s">
        <v>0</v>
      </c>
      <c r="AT39" s="2" t="s">
        <v>5</v>
      </c>
      <c r="AU39" s="1" t="e">
        <f t="shared" si="5"/>
        <v>#VALUE!</v>
      </c>
      <c r="AV39" s="1" t="e">
        <f t="shared" si="6"/>
        <v>#VALUE!</v>
      </c>
      <c r="AW39" s="1" t="e">
        <f t="shared" si="7"/>
        <v>#VALUE!</v>
      </c>
    </row>
    <row r="40" spans="1:49" x14ac:dyDescent="0.2">
      <c r="A40">
        <v>38</v>
      </c>
      <c r="B40" t="s">
        <v>2556</v>
      </c>
      <c r="F40" t="s">
        <v>2555</v>
      </c>
      <c r="G40" t="s">
        <v>4</v>
      </c>
      <c r="H40" t="s">
        <v>3</v>
      </c>
      <c r="I40" t="s">
        <v>2554</v>
      </c>
      <c r="N40">
        <v>3</v>
      </c>
      <c r="O40" t="s">
        <v>2553</v>
      </c>
      <c r="P40" t="s">
        <v>2552</v>
      </c>
      <c r="Q40" t="s">
        <v>20</v>
      </c>
      <c r="R40" s="7">
        <v>32843</v>
      </c>
      <c r="S40" s="8">
        <f t="shared" si="0"/>
        <v>1989</v>
      </c>
      <c r="T40" s="8">
        <v>1989</v>
      </c>
      <c r="U40" s="8">
        <f t="shared" si="1"/>
        <v>33</v>
      </c>
      <c r="V40" s="7">
        <v>1989</v>
      </c>
      <c r="W40" t="s">
        <v>2071</v>
      </c>
      <c r="X40" s="2" t="s">
        <v>5</v>
      </c>
      <c r="Y40" s="6" t="e">
        <f t="shared" si="2"/>
        <v>#VALUE!</v>
      </c>
      <c r="AA40">
        <v>337870</v>
      </c>
      <c r="AB40">
        <v>32478</v>
      </c>
      <c r="AD40" t="s">
        <v>1</v>
      </c>
      <c r="AE40">
        <v>32</v>
      </c>
      <c r="AF40">
        <v>1</v>
      </c>
      <c r="AH40" t="s">
        <v>2551</v>
      </c>
      <c r="AI40" t="s">
        <v>2550</v>
      </c>
      <c r="AK40" t="s">
        <v>2549</v>
      </c>
      <c r="AL40">
        <v>0</v>
      </c>
      <c r="AM40" s="5">
        <f t="shared" si="3"/>
        <v>0</v>
      </c>
      <c r="AN40" s="4">
        <f t="shared" si="4"/>
        <v>0</v>
      </c>
      <c r="AO40" s="3"/>
      <c r="AP40">
        <v>0</v>
      </c>
      <c r="AR40" t="s">
        <v>0</v>
      </c>
      <c r="AT40" s="2" t="s">
        <v>5</v>
      </c>
      <c r="AU40" s="1" t="e">
        <f t="shared" si="5"/>
        <v>#VALUE!</v>
      </c>
      <c r="AV40" s="1" t="e">
        <f t="shared" si="6"/>
        <v>#VALUE!</v>
      </c>
      <c r="AW40" s="1" t="e">
        <f t="shared" si="7"/>
        <v>#VALUE!</v>
      </c>
    </row>
    <row r="41" spans="1:49" x14ac:dyDescent="0.2">
      <c r="A41">
        <v>39</v>
      </c>
      <c r="B41" t="s">
        <v>2548</v>
      </c>
      <c r="F41" t="s">
        <v>2547</v>
      </c>
      <c r="G41" t="s">
        <v>4</v>
      </c>
      <c r="H41" t="s">
        <v>3</v>
      </c>
      <c r="I41" t="s">
        <v>378</v>
      </c>
      <c r="N41">
        <v>3</v>
      </c>
      <c r="O41" t="s">
        <v>2546</v>
      </c>
      <c r="P41" t="s">
        <v>2545</v>
      </c>
      <c r="Q41" t="s">
        <v>20</v>
      </c>
      <c r="R41" s="7">
        <v>32843</v>
      </c>
      <c r="S41" s="8">
        <f t="shared" si="0"/>
        <v>1989</v>
      </c>
      <c r="T41" s="8">
        <v>1989</v>
      </c>
      <c r="U41" s="8">
        <f t="shared" si="1"/>
        <v>33</v>
      </c>
      <c r="V41" s="7">
        <v>1989</v>
      </c>
      <c r="W41" t="s">
        <v>2071</v>
      </c>
      <c r="X41" s="2" t="s">
        <v>5</v>
      </c>
      <c r="Y41" s="6" t="e">
        <f t="shared" si="2"/>
        <v>#VALUE!</v>
      </c>
      <c r="AA41">
        <v>337870</v>
      </c>
      <c r="AB41">
        <v>32478</v>
      </c>
      <c r="AD41" t="s">
        <v>1</v>
      </c>
      <c r="AE41">
        <v>32</v>
      </c>
      <c r="AF41">
        <v>4</v>
      </c>
      <c r="AH41" t="s">
        <v>2544</v>
      </c>
      <c r="AI41" t="s">
        <v>2543</v>
      </c>
      <c r="AK41" t="s">
        <v>2542</v>
      </c>
      <c r="AL41">
        <v>0</v>
      </c>
      <c r="AM41" s="5">
        <f t="shared" si="3"/>
        <v>0</v>
      </c>
      <c r="AN41" s="4">
        <f t="shared" si="4"/>
        <v>0</v>
      </c>
      <c r="AO41" s="3"/>
      <c r="AP41">
        <v>0</v>
      </c>
      <c r="AR41" t="s">
        <v>0</v>
      </c>
      <c r="AT41" s="2" t="s">
        <v>5</v>
      </c>
      <c r="AU41" s="1" t="e">
        <f t="shared" si="5"/>
        <v>#VALUE!</v>
      </c>
      <c r="AV41" s="1" t="e">
        <f t="shared" si="6"/>
        <v>#VALUE!</v>
      </c>
      <c r="AW41" s="1" t="e">
        <f t="shared" si="7"/>
        <v>#VALUE!</v>
      </c>
    </row>
    <row r="42" spans="1:49" x14ac:dyDescent="0.2">
      <c r="A42">
        <v>40</v>
      </c>
      <c r="B42" t="s">
        <v>2541</v>
      </c>
      <c r="F42" t="s">
        <v>2540</v>
      </c>
      <c r="G42" t="s">
        <v>4</v>
      </c>
      <c r="H42" t="s">
        <v>3</v>
      </c>
      <c r="I42" t="s">
        <v>643</v>
      </c>
      <c r="N42">
        <v>2</v>
      </c>
      <c r="O42" t="s">
        <v>2539</v>
      </c>
      <c r="P42" t="s">
        <v>2538</v>
      </c>
      <c r="Q42" t="s">
        <v>51</v>
      </c>
      <c r="R42" s="7">
        <v>32843</v>
      </c>
      <c r="S42" s="8">
        <f t="shared" si="0"/>
        <v>1989</v>
      </c>
      <c r="T42" s="8">
        <v>1989</v>
      </c>
      <c r="U42" s="8">
        <f t="shared" si="1"/>
        <v>33</v>
      </c>
      <c r="V42" s="7">
        <v>1989</v>
      </c>
      <c r="W42" t="s">
        <v>52</v>
      </c>
      <c r="X42" s="2" t="s">
        <v>5</v>
      </c>
      <c r="Y42" s="6" t="e">
        <f t="shared" si="2"/>
        <v>#VALUE!</v>
      </c>
      <c r="AA42">
        <v>87566648</v>
      </c>
      <c r="AB42">
        <v>74127</v>
      </c>
      <c r="AD42" t="s">
        <v>1</v>
      </c>
      <c r="AE42">
        <v>34</v>
      </c>
      <c r="AF42">
        <v>15</v>
      </c>
      <c r="AH42" t="s">
        <v>2537</v>
      </c>
      <c r="AI42" t="s">
        <v>2536</v>
      </c>
      <c r="AK42" t="s">
        <v>2535</v>
      </c>
      <c r="AL42">
        <v>2</v>
      </c>
      <c r="AM42" s="5">
        <f t="shared" si="3"/>
        <v>6.0606060606060608E-2</v>
      </c>
      <c r="AN42" s="4">
        <f t="shared" si="4"/>
        <v>9.1792594632428032E-5</v>
      </c>
      <c r="AO42" s="3"/>
      <c r="AP42">
        <v>0</v>
      </c>
      <c r="AR42" t="s">
        <v>0</v>
      </c>
      <c r="AT42" s="2" t="s">
        <v>5</v>
      </c>
      <c r="AU42" s="1" t="e">
        <f t="shared" si="5"/>
        <v>#VALUE!</v>
      </c>
      <c r="AV42" s="1" t="e">
        <f t="shared" si="6"/>
        <v>#VALUE!</v>
      </c>
      <c r="AW42" s="1" t="e">
        <f t="shared" si="7"/>
        <v>#VALUE!</v>
      </c>
    </row>
    <row r="43" spans="1:49" x14ac:dyDescent="0.2">
      <c r="A43">
        <v>41</v>
      </c>
      <c r="B43" t="s">
        <v>2534</v>
      </c>
      <c r="F43" t="s">
        <v>2533</v>
      </c>
      <c r="G43" t="s">
        <v>4</v>
      </c>
      <c r="H43" t="s">
        <v>3</v>
      </c>
      <c r="I43" t="s">
        <v>2532</v>
      </c>
      <c r="N43">
        <v>1</v>
      </c>
      <c r="O43" t="s">
        <v>2531</v>
      </c>
      <c r="P43">
        <v>57217697599</v>
      </c>
      <c r="R43" s="7">
        <v>32843</v>
      </c>
      <c r="S43" s="8">
        <f t="shared" si="0"/>
        <v>1989</v>
      </c>
      <c r="T43" s="8">
        <v>1989</v>
      </c>
      <c r="U43" s="8">
        <f t="shared" si="1"/>
        <v>33</v>
      </c>
      <c r="V43" s="7">
        <v>1989</v>
      </c>
      <c r="W43" t="s">
        <v>2071</v>
      </c>
      <c r="X43" s="2" t="s">
        <v>5</v>
      </c>
      <c r="Y43" s="6" t="e">
        <f t="shared" si="2"/>
        <v>#VALUE!</v>
      </c>
      <c r="AA43">
        <v>337870</v>
      </c>
      <c r="AB43">
        <v>32478</v>
      </c>
      <c r="AD43" t="s">
        <v>1</v>
      </c>
      <c r="AE43">
        <v>32</v>
      </c>
      <c r="AF43">
        <v>3</v>
      </c>
      <c r="AH43" t="s">
        <v>1598</v>
      </c>
      <c r="AI43" t="s">
        <v>2530</v>
      </c>
      <c r="AK43" t="s">
        <v>2529</v>
      </c>
      <c r="AL43">
        <v>0</v>
      </c>
      <c r="AM43" s="5">
        <f t="shared" si="3"/>
        <v>0</v>
      </c>
      <c r="AN43" s="4">
        <f t="shared" si="4"/>
        <v>0</v>
      </c>
      <c r="AO43" s="3"/>
      <c r="AP43">
        <v>0</v>
      </c>
      <c r="AR43" t="s">
        <v>0</v>
      </c>
      <c r="AT43" s="2" t="s">
        <v>5</v>
      </c>
      <c r="AU43" s="1" t="e">
        <f t="shared" si="5"/>
        <v>#VALUE!</v>
      </c>
      <c r="AV43" s="1" t="e">
        <f t="shared" si="6"/>
        <v>#VALUE!</v>
      </c>
      <c r="AW43" s="1" t="e">
        <f t="shared" si="7"/>
        <v>#VALUE!</v>
      </c>
    </row>
    <row r="44" spans="1:49" x14ac:dyDescent="0.2">
      <c r="A44">
        <v>42</v>
      </c>
      <c r="B44" t="s">
        <v>2528</v>
      </c>
      <c r="F44" t="s">
        <v>2527</v>
      </c>
      <c r="G44" t="s">
        <v>4</v>
      </c>
      <c r="H44" t="s">
        <v>3</v>
      </c>
      <c r="I44" t="s">
        <v>2526</v>
      </c>
      <c r="N44">
        <v>2</v>
      </c>
      <c r="O44" t="s">
        <v>2525</v>
      </c>
      <c r="P44" t="s">
        <v>2524</v>
      </c>
      <c r="Q44" t="s">
        <v>51</v>
      </c>
      <c r="R44" s="7">
        <v>32843</v>
      </c>
      <c r="S44" s="8">
        <f t="shared" si="0"/>
        <v>1989</v>
      </c>
      <c r="T44" s="8">
        <v>1989</v>
      </c>
      <c r="U44" s="8">
        <f t="shared" si="1"/>
        <v>33</v>
      </c>
      <c r="V44" s="7">
        <v>1989</v>
      </c>
      <c r="W44" t="s">
        <v>52</v>
      </c>
      <c r="X44" s="2" t="s">
        <v>5</v>
      </c>
      <c r="Y44" s="6" t="e">
        <f t="shared" si="2"/>
        <v>#VALUE!</v>
      </c>
      <c r="AA44">
        <v>87566648</v>
      </c>
      <c r="AB44">
        <v>74127</v>
      </c>
      <c r="AD44" t="s">
        <v>1</v>
      </c>
      <c r="AE44">
        <v>34</v>
      </c>
      <c r="AF44">
        <v>15</v>
      </c>
      <c r="AH44" t="s">
        <v>2523</v>
      </c>
      <c r="AI44" t="s">
        <v>2522</v>
      </c>
      <c r="AK44" t="s">
        <v>2521</v>
      </c>
      <c r="AL44">
        <v>0</v>
      </c>
      <c r="AM44" s="5">
        <f t="shared" si="3"/>
        <v>0</v>
      </c>
      <c r="AN44" s="4">
        <f t="shared" si="4"/>
        <v>0</v>
      </c>
      <c r="AO44" s="3"/>
      <c r="AP44">
        <v>0</v>
      </c>
      <c r="AR44" t="s">
        <v>0</v>
      </c>
      <c r="AT44" s="2" t="s">
        <v>5</v>
      </c>
      <c r="AU44" s="1" t="e">
        <f t="shared" si="5"/>
        <v>#VALUE!</v>
      </c>
      <c r="AV44" s="1" t="e">
        <f t="shared" si="6"/>
        <v>#VALUE!</v>
      </c>
      <c r="AW44" s="1" t="e">
        <f t="shared" si="7"/>
        <v>#VALUE!</v>
      </c>
    </row>
    <row r="45" spans="1:49" x14ac:dyDescent="0.2">
      <c r="A45">
        <v>43</v>
      </c>
      <c r="B45" t="s">
        <v>2520</v>
      </c>
      <c r="F45" t="s">
        <v>2519</v>
      </c>
      <c r="G45" t="s">
        <v>4</v>
      </c>
      <c r="H45" t="s">
        <v>3</v>
      </c>
      <c r="I45" t="s">
        <v>2518</v>
      </c>
      <c r="N45">
        <v>1</v>
      </c>
      <c r="O45" t="s">
        <v>2517</v>
      </c>
      <c r="P45">
        <v>7004025847</v>
      </c>
      <c r="R45" s="7">
        <v>32843</v>
      </c>
      <c r="S45" s="8">
        <f t="shared" si="0"/>
        <v>1989</v>
      </c>
      <c r="T45" s="8">
        <v>1989</v>
      </c>
      <c r="U45" s="8">
        <f t="shared" si="1"/>
        <v>33</v>
      </c>
      <c r="V45" s="7">
        <v>1989</v>
      </c>
      <c r="W45" t="s">
        <v>2071</v>
      </c>
      <c r="X45" s="2" t="s">
        <v>5</v>
      </c>
      <c r="Y45" s="6" t="e">
        <f t="shared" si="2"/>
        <v>#VALUE!</v>
      </c>
      <c r="AA45">
        <v>337870</v>
      </c>
      <c r="AB45">
        <v>32478</v>
      </c>
      <c r="AD45" t="s">
        <v>1</v>
      </c>
      <c r="AE45">
        <v>32</v>
      </c>
      <c r="AF45">
        <v>5</v>
      </c>
      <c r="AH45" s="10">
        <v>42309</v>
      </c>
      <c r="AI45" t="s">
        <v>2516</v>
      </c>
      <c r="AK45" t="s">
        <v>2515</v>
      </c>
      <c r="AL45">
        <v>0</v>
      </c>
      <c r="AM45" s="5">
        <f t="shared" si="3"/>
        <v>0</v>
      </c>
      <c r="AN45" s="4">
        <f t="shared" si="4"/>
        <v>0</v>
      </c>
      <c r="AO45" s="3"/>
      <c r="AP45">
        <v>0</v>
      </c>
      <c r="AR45" t="s">
        <v>0</v>
      </c>
      <c r="AT45" s="2" t="s">
        <v>5</v>
      </c>
      <c r="AU45" s="1" t="e">
        <f t="shared" si="5"/>
        <v>#VALUE!</v>
      </c>
      <c r="AV45" s="1" t="e">
        <f t="shared" si="6"/>
        <v>#VALUE!</v>
      </c>
      <c r="AW45" s="1" t="e">
        <f t="shared" si="7"/>
        <v>#VALUE!</v>
      </c>
    </row>
    <row r="46" spans="1:49" x14ac:dyDescent="0.2">
      <c r="A46">
        <v>44</v>
      </c>
      <c r="B46" t="s">
        <v>2514</v>
      </c>
      <c r="F46" t="s">
        <v>2513</v>
      </c>
      <c r="G46" t="s">
        <v>4</v>
      </c>
      <c r="H46" t="s">
        <v>3</v>
      </c>
      <c r="I46" t="s">
        <v>2512</v>
      </c>
      <c r="N46">
        <v>6</v>
      </c>
      <c r="O46" t="s">
        <v>2511</v>
      </c>
      <c r="P46" t="s">
        <v>2510</v>
      </c>
      <c r="Q46" t="s">
        <v>108</v>
      </c>
      <c r="R46" s="7">
        <v>32843</v>
      </c>
      <c r="S46" s="8">
        <f t="shared" si="0"/>
        <v>1989</v>
      </c>
      <c r="T46" s="8">
        <v>1989</v>
      </c>
      <c r="U46" s="8">
        <f t="shared" si="1"/>
        <v>33</v>
      </c>
      <c r="V46" s="7">
        <v>1989</v>
      </c>
      <c r="W46" t="s">
        <v>2071</v>
      </c>
      <c r="X46" s="2" t="s">
        <v>5</v>
      </c>
      <c r="Y46" s="6" t="e">
        <f t="shared" si="2"/>
        <v>#VALUE!</v>
      </c>
      <c r="AA46">
        <v>337870</v>
      </c>
      <c r="AB46">
        <v>32478</v>
      </c>
      <c r="AD46" t="s">
        <v>1</v>
      </c>
      <c r="AE46">
        <v>32</v>
      </c>
      <c r="AF46">
        <v>2</v>
      </c>
      <c r="AH46" t="s">
        <v>2509</v>
      </c>
      <c r="AI46" t="s">
        <v>2508</v>
      </c>
      <c r="AK46" t="s">
        <v>2507</v>
      </c>
      <c r="AL46">
        <v>0</v>
      </c>
      <c r="AM46" s="5">
        <f t="shared" si="3"/>
        <v>0</v>
      </c>
      <c r="AN46" s="4">
        <f t="shared" si="4"/>
        <v>0</v>
      </c>
      <c r="AO46" s="3"/>
      <c r="AP46">
        <v>0</v>
      </c>
      <c r="AR46" t="s">
        <v>0</v>
      </c>
      <c r="AT46" s="2" t="s">
        <v>5</v>
      </c>
      <c r="AU46" s="1" t="e">
        <f t="shared" si="5"/>
        <v>#VALUE!</v>
      </c>
      <c r="AV46" s="1" t="e">
        <f t="shared" si="6"/>
        <v>#VALUE!</v>
      </c>
      <c r="AW46" s="1" t="e">
        <f t="shared" si="7"/>
        <v>#VALUE!</v>
      </c>
    </row>
    <row r="47" spans="1:49" x14ac:dyDescent="0.2">
      <c r="A47">
        <v>45</v>
      </c>
      <c r="B47" t="s">
        <v>2506</v>
      </c>
      <c r="F47" t="s">
        <v>2505</v>
      </c>
      <c r="G47" t="s">
        <v>4</v>
      </c>
      <c r="H47" t="s">
        <v>3</v>
      </c>
      <c r="I47" t="s">
        <v>2504</v>
      </c>
      <c r="N47">
        <v>1</v>
      </c>
      <c r="O47" t="s">
        <v>2503</v>
      </c>
      <c r="P47">
        <v>7005137443</v>
      </c>
      <c r="R47" s="7">
        <v>32843</v>
      </c>
      <c r="S47" s="8">
        <f t="shared" si="0"/>
        <v>1989</v>
      </c>
      <c r="T47" s="8">
        <v>1989</v>
      </c>
      <c r="U47" s="8">
        <f t="shared" si="1"/>
        <v>33</v>
      </c>
      <c r="V47" s="7">
        <v>32509</v>
      </c>
      <c r="W47" t="s">
        <v>2502</v>
      </c>
      <c r="X47" s="2" t="s">
        <v>5</v>
      </c>
      <c r="Y47" s="6" t="e">
        <f t="shared" si="2"/>
        <v>#VALUE!</v>
      </c>
      <c r="AA47">
        <v>119407</v>
      </c>
      <c r="AB47">
        <v>16022</v>
      </c>
      <c r="AD47" t="s">
        <v>1</v>
      </c>
      <c r="AE47">
        <v>45</v>
      </c>
      <c r="AF47" t="s">
        <v>2501</v>
      </c>
      <c r="AI47" t="s">
        <v>2500</v>
      </c>
      <c r="AK47" t="s">
        <v>2499</v>
      </c>
      <c r="AL47">
        <v>0</v>
      </c>
      <c r="AM47" s="5">
        <f t="shared" si="3"/>
        <v>0</v>
      </c>
      <c r="AN47" s="4">
        <f t="shared" si="4"/>
        <v>0</v>
      </c>
      <c r="AO47" s="3"/>
      <c r="AP47">
        <v>0</v>
      </c>
      <c r="AR47" t="s">
        <v>0</v>
      </c>
      <c r="AT47" s="2" t="s">
        <v>5</v>
      </c>
      <c r="AU47" s="1" t="e">
        <f t="shared" si="5"/>
        <v>#VALUE!</v>
      </c>
      <c r="AV47" s="1" t="e">
        <f t="shared" si="6"/>
        <v>#VALUE!</v>
      </c>
      <c r="AW47" s="1" t="e">
        <f t="shared" si="7"/>
        <v>#VALUE!</v>
      </c>
    </row>
    <row r="48" spans="1:49" x14ac:dyDescent="0.2">
      <c r="A48">
        <v>46</v>
      </c>
      <c r="B48" t="s">
        <v>2498</v>
      </c>
      <c r="F48" t="s">
        <v>2497</v>
      </c>
      <c r="G48" t="s">
        <v>4</v>
      </c>
      <c r="H48" t="s">
        <v>3</v>
      </c>
      <c r="I48" t="s">
        <v>2496</v>
      </c>
      <c r="N48">
        <v>1</v>
      </c>
      <c r="O48" t="s">
        <v>2495</v>
      </c>
      <c r="P48">
        <v>6602851818</v>
      </c>
      <c r="R48" s="7">
        <v>32843</v>
      </c>
      <c r="S48" s="8">
        <f t="shared" si="0"/>
        <v>1989</v>
      </c>
      <c r="T48" s="8">
        <v>1989</v>
      </c>
      <c r="U48" s="8">
        <f t="shared" si="1"/>
        <v>33</v>
      </c>
      <c r="V48" s="7">
        <v>1989</v>
      </c>
      <c r="W48" t="s">
        <v>2071</v>
      </c>
      <c r="X48" s="2" t="s">
        <v>5</v>
      </c>
      <c r="Y48" s="6" t="e">
        <f t="shared" si="2"/>
        <v>#VALUE!</v>
      </c>
      <c r="AA48">
        <v>337870</v>
      </c>
      <c r="AB48">
        <v>32478</v>
      </c>
      <c r="AD48" t="s">
        <v>1</v>
      </c>
      <c r="AE48">
        <v>32</v>
      </c>
      <c r="AF48">
        <v>2</v>
      </c>
      <c r="AH48" t="s">
        <v>2494</v>
      </c>
      <c r="AI48" t="s">
        <v>2493</v>
      </c>
      <c r="AK48" t="s">
        <v>2492</v>
      </c>
      <c r="AL48">
        <v>0</v>
      </c>
      <c r="AM48" s="5">
        <f t="shared" si="3"/>
        <v>0</v>
      </c>
      <c r="AN48" s="4">
        <f t="shared" si="4"/>
        <v>0</v>
      </c>
      <c r="AO48" s="3"/>
      <c r="AP48">
        <v>0</v>
      </c>
      <c r="AR48" t="s">
        <v>0</v>
      </c>
      <c r="AT48" s="2" t="s">
        <v>5</v>
      </c>
      <c r="AU48" s="1" t="e">
        <f t="shared" si="5"/>
        <v>#VALUE!</v>
      </c>
      <c r="AV48" s="1" t="e">
        <f t="shared" si="6"/>
        <v>#VALUE!</v>
      </c>
      <c r="AW48" s="1" t="e">
        <f t="shared" si="7"/>
        <v>#VALUE!</v>
      </c>
    </row>
    <row r="49" spans="1:49" x14ac:dyDescent="0.2">
      <c r="A49">
        <v>47</v>
      </c>
      <c r="B49" t="s">
        <v>2491</v>
      </c>
      <c r="F49" t="s">
        <v>2490</v>
      </c>
      <c r="G49" t="s">
        <v>4</v>
      </c>
      <c r="H49" t="s">
        <v>3</v>
      </c>
      <c r="I49" t="s">
        <v>2489</v>
      </c>
      <c r="N49">
        <v>1</v>
      </c>
      <c r="O49" t="s">
        <v>2488</v>
      </c>
      <c r="P49">
        <v>7006887703</v>
      </c>
      <c r="R49" s="7">
        <v>32843</v>
      </c>
      <c r="S49" s="8">
        <f t="shared" si="0"/>
        <v>1989</v>
      </c>
      <c r="T49" s="8">
        <v>1989</v>
      </c>
      <c r="U49" s="8">
        <f t="shared" si="1"/>
        <v>33</v>
      </c>
      <c r="V49" s="7">
        <v>1989</v>
      </c>
      <c r="W49" t="s">
        <v>2071</v>
      </c>
      <c r="X49" s="2" t="s">
        <v>5</v>
      </c>
      <c r="Y49" s="6" t="e">
        <f t="shared" si="2"/>
        <v>#VALUE!</v>
      </c>
      <c r="AA49">
        <v>337870</v>
      </c>
      <c r="AB49">
        <v>32478</v>
      </c>
      <c r="AD49" t="s">
        <v>1</v>
      </c>
      <c r="AE49">
        <v>32</v>
      </c>
      <c r="AF49">
        <v>9</v>
      </c>
      <c r="AH49" t="s">
        <v>2275</v>
      </c>
      <c r="AI49" t="s">
        <v>2487</v>
      </c>
      <c r="AK49" t="s">
        <v>2486</v>
      </c>
      <c r="AL49">
        <v>0</v>
      </c>
      <c r="AM49" s="5">
        <f t="shared" si="3"/>
        <v>0</v>
      </c>
      <c r="AN49" s="4">
        <f t="shared" si="4"/>
        <v>0</v>
      </c>
      <c r="AO49" s="3"/>
      <c r="AP49">
        <v>0</v>
      </c>
      <c r="AR49" t="s">
        <v>0</v>
      </c>
      <c r="AT49" s="2" t="s">
        <v>5</v>
      </c>
      <c r="AU49" s="1" t="e">
        <f t="shared" si="5"/>
        <v>#VALUE!</v>
      </c>
      <c r="AV49" s="1" t="e">
        <f t="shared" si="6"/>
        <v>#VALUE!</v>
      </c>
      <c r="AW49" s="1" t="e">
        <f t="shared" si="7"/>
        <v>#VALUE!</v>
      </c>
    </row>
    <row r="50" spans="1:49" x14ac:dyDescent="0.2">
      <c r="A50">
        <v>48</v>
      </c>
      <c r="B50" t="s">
        <v>2485</v>
      </c>
      <c r="F50" t="s">
        <v>2484</v>
      </c>
      <c r="G50" t="s">
        <v>4</v>
      </c>
      <c r="H50" t="s">
        <v>3</v>
      </c>
      <c r="I50" t="s">
        <v>2483</v>
      </c>
      <c r="J50">
        <v>60028229</v>
      </c>
      <c r="K50" t="s">
        <v>2482</v>
      </c>
      <c r="L50" t="s">
        <v>2481</v>
      </c>
      <c r="M50" t="s">
        <v>18</v>
      </c>
      <c r="N50">
        <v>4</v>
      </c>
      <c r="O50" t="s">
        <v>2480</v>
      </c>
      <c r="P50" t="s">
        <v>2479</v>
      </c>
      <c r="Q50" t="s">
        <v>2478</v>
      </c>
      <c r="R50" s="7">
        <v>32843</v>
      </c>
      <c r="S50" s="8">
        <f t="shared" si="0"/>
        <v>1989</v>
      </c>
      <c r="T50" s="8">
        <v>1989</v>
      </c>
      <c r="U50" s="8">
        <f t="shared" si="1"/>
        <v>33</v>
      </c>
      <c r="V50" s="7">
        <v>1989</v>
      </c>
      <c r="W50" t="s">
        <v>185</v>
      </c>
      <c r="X50" s="2">
        <v>0.26400000000000001</v>
      </c>
      <c r="Y50" s="6">
        <f t="shared" si="2"/>
        <v>7.0473292223912874E-3</v>
      </c>
      <c r="AB50">
        <v>82000</v>
      </c>
      <c r="AD50" t="s">
        <v>1</v>
      </c>
      <c r="AE50">
        <v>2</v>
      </c>
      <c r="AH50" t="s">
        <v>2477</v>
      </c>
      <c r="AI50" t="s">
        <v>2476</v>
      </c>
      <c r="AK50" t="s">
        <v>2475</v>
      </c>
      <c r="AL50">
        <v>2</v>
      </c>
      <c r="AM50" s="5">
        <f t="shared" si="3"/>
        <v>6.0606060606060608E-2</v>
      </c>
      <c r="AN50" s="4">
        <f t="shared" si="4"/>
        <v>9.1792594632428032E-5</v>
      </c>
      <c r="AO50" s="3"/>
      <c r="AP50">
        <v>0</v>
      </c>
      <c r="AR50" t="s">
        <v>0</v>
      </c>
      <c r="AT50" s="2" t="s">
        <v>5</v>
      </c>
      <c r="AU50" s="1">
        <f t="shared" si="5"/>
        <v>0.49606682340636293</v>
      </c>
      <c r="AV50" s="1">
        <f t="shared" si="6"/>
        <v>0.35695609085118574</v>
      </c>
      <c r="AW50" s="1">
        <f t="shared" si="7"/>
        <v>0.21784535829600854</v>
      </c>
    </row>
    <row r="51" spans="1:49" x14ac:dyDescent="0.2">
      <c r="A51">
        <v>49</v>
      </c>
      <c r="B51" t="s">
        <v>2474</v>
      </c>
      <c r="F51" t="s">
        <v>2473</v>
      </c>
      <c r="G51" t="s">
        <v>4</v>
      </c>
      <c r="H51" t="s">
        <v>3</v>
      </c>
      <c r="I51" t="s">
        <v>2472</v>
      </c>
      <c r="J51">
        <v>100314754</v>
      </c>
      <c r="K51" t="s">
        <v>2471</v>
      </c>
      <c r="L51" t="s">
        <v>2470</v>
      </c>
      <c r="M51" t="s">
        <v>6</v>
      </c>
      <c r="N51">
        <v>1</v>
      </c>
      <c r="O51" t="s">
        <v>2469</v>
      </c>
      <c r="P51">
        <v>7103236887</v>
      </c>
      <c r="Q51">
        <v>100314754</v>
      </c>
      <c r="R51" s="7">
        <v>32843</v>
      </c>
      <c r="S51" s="8">
        <f t="shared" si="0"/>
        <v>1989</v>
      </c>
      <c r="T51" s="8">
        <v>1989</v>
      </c>
      <c r="U51" s="8">
        <f t="shared" si="1"/>
        <v>33</v>
      </c>
      <c r="V51" s="7">
        <v>1989</v>
      </c>
      <c r="W51" t="s">
        <v>185</v>
      </c>
      <c r="X51" s="2">
        <v>0.26400000000000001</v>
      </c>
      <c r="Y51" s="6">
        <f t="shared" si="2"/>
        <v>7.0473292223912874E-3</v>
      </c>
      <c r="AB51">
        <v>82000</v>
      </c>
      <c r="AD51" t="s">
        <v>1</v>
      </c>
      <c r="AE51">
        <v>2</v>
      </c>
      <c r="AH51">
        <v>927</v>
      </c>
      <c r="AI51" t="s">
        <v>2468</v>
      </c>
      <c r="AK51" t="s">
        <v>2467</v>
      </c>
      <c r="AL51">
        <v>0</v>
      </c>
      <c r="AM51" s="5">
        <f t="shared" si="3"/>
        <v>0</v>
      </c>
      <c r="AN51" s="4">
        <f t="shared" si="4"/>
        <v>0</v>
      </c>
      <c r="AO51" s="3"/>
      <c r="AP51">
        <v>0</v>
      </c>
      <c r="AR51" t="s">
        <v>0</v>
      </c>
      <c r="AT51" s="2" t="s">
        <v>5</v>
      </c>
      <c r="AU51" s="1">
        <f t="shared" si="5"/>
        <v>0.49331304556739003</v>
      </c>
      <c r="AV51" s="1">
        <f t="shared" si="6"/>
        <v>0.35236646111956438</v>
      </c>
      <c r="AW51" s="1">
        <f t="shared" si="7"/>
        <v>0.21141987667173862</v>
      </c>
    </row>
    <row r="52" spans="1:49" x14ac:dyDescent="0.2">
      <c r="A52">
        <v>50</v>
      </c>
      <c r="B52" t="s">
        <v>2466</v>
      </c>
      <c r="F52" t="s">
        <v>2465</v>
      </c>
      <c r="G52" t="s">
        <v>4</v>
      </c>
      <c r="H52" t="s">
        <v>3</v>
      </c>
      <c r="I52" t="s">
        <v>1527</v>
      </c>
      <c r="N52">
        <v>1</v>
      </c>
      <c r="O52" t="s">
        <v>166</v>
      </c>
      <c r="P52">
        <v>1</v>
      </c>
      <c r="R52" s="7">
        <v>32843</v>
      </c>
      <c r="S52" s="8">
        <f t="shared" si="0"/>
        <v>1989</v>
      </c>
      <c r="T52" s="8">
        <v>1989</v>
      </c>
      <c r="U52" s="8">
        <f t="shared" si="1"/>
        <v>33</v>
      </c>
      <c r="V52" s="7">
        <v>1989</v>
      </c>
      <c r="W52" t="s">
        <v>2464</v>
      </c>
      <c r="X52" s="2" t="s">
        <v>5</v>
      </c>
      <c r="Y52" s="6" t="e">
        <f t="shared" si="2"/>
        <v>#VALUE!</v>
      </c>
      <c r="AA52">
        <v>10133119</v>
      </c>
      <c r="AB52">
        <v>18665</v>
      </c>
      <c r="AD52" t="s">
        <v>1</v>
      </c>
      <c r="AF52" s="9">
        <v>44447</v>
      </c>
      <c r="AH52" t="s">
        <v>2463</v>
      </c>
      <c r="AI52" t="s">
        <v>2462</v>
      </c>
      <c r="AK52" t="s">
        <v>2461</v>
      </c>
      <c r="AL52">
        <v>0</v>
      </c>
      <c r="AM52" s="5">
        <f t="shared" si="3"/>
        <v>0</v>
      </c>
      <c r="AN52" s="4">
        <f t="shared" si="4"/>
        <v>0</v>
      </c>
      <c r="AO52" s="3"/>
      <c r="AP52">
        <v>0</v>
      </c>
      <c r="AR52" t="s">
        <v>0</v>
      </c>
      <c r="AT52" s="2" t="s">
        <v>5</v>
      </c>
      <c r="AU52" s="1" t="e">
        <f t="shared" si="5"/>
        <v>#VALUE!</v>
      </c>
      <c r="AV52" s="1" t="e">
        <f t="shared" si="6"/>
        <v>#VALUE!</v>
      </c>
      <c r="AW52" s="1" t="e">
        <f t="shared" si="7"/>
        <v>#VALUE!</v>
      </c>
    </row>
    <row r="53" spans="1:49" x14ac:dyDescent="0.2">
      <c r="A53">
        <v>51</v>
      </c>
      <c r="B53" t="s">
        <v>2460</v>
      </c>
      <c r="F53" t="s">
        <v>2459</v>
      </c>
      <c r="G53" t="s">
        <v>4</v>
      </c>
      <c r="H53" t="s">
        <v>3</v>
      </c>
      <c r="I53" t="s">
        <v>2458</v>
      </c>
      <c r="N53">
        <v>3</v>
      </c>
      <c r="O53" t="s">
        <v>2457</v>
      </c>
      <c r="P53" t="s">
        <v>2456</v>
      </c>
      <c r="Q53" t="s">
        <v>20</v>
      </c>
      <c r="R53" s="7">
        <v>32843</v>
      </c>
      <c r="S53" s="8">
        <f t="shared" si="0"/>
        <v>1989</v>
      </c>
      <c r="T53" s="8">
        <v>1989</v>
      </c>
      <c r="U53" s="8">
        <f t="shared" si="1"/>
        <v>33</v>
      </c>
      <c r="V53" s="7">
        <v>1989</v>
      </c>
      <c r="W53" t="s">
        <v>2455</v>
      </c>
      <c r="X53" s="2" t="s">
        <v>5</v>
      </c>
      <c r="Y53" s="6" t="e">
        <f t="shared" si="2"/>
        <v>#VALUE!</v>
      </c>
      <c r="AA53">
        <v>1476858</v>
      </c>
      <c r="AB53">
        <v>30293</v>
      </c>
      <c r="AD53" t="s">
        <v>1</v>
      </c>
      <c r="AF53">
        <v>12</v>
      </c>
      <c r="AH53" t="s">
        <v>997</v>
      </c>
      <c r="AI53" t="s">
        <v>2454</v>
      </c>
      <c r="AK53" t="s">
        <v>2453</v>
      </c>
      <c r="AL53">
        <v>0</v>
      </c>
      <c r="AM53" s="5">
        <f t="shared" si="3"/>
        <v>0</v>
      </c>
      <c r="AN53" s="4">
        <f t="shared" si="4"/>
        <v>0</v>
      </c>
      <c r="AO53" s="3"/>
      <c r="AP53">
        <v>0</v>
      </c>
      <c r="AR53" t="s">
        <v>0</v>
      </c>
      <c r="AT53" s="2" t="s">
        <v>5</v>
      </c>
      <c r="AU53" s="1" t="e">
        <f t="shared" si="5"/>
        <v>#VALUE!</v>
      </c>
      <c r="AV53" s="1" t="e">
        <f t="shared" si="6"/>
        <v>#VALUE!</v>
      </c>
      <c r="AW53" s="1" t="e">
        <f t="shared" si="7"/>
        <v>#VALUE!</v>
      </c>
    </row>
    <row r="54" spans="1:49" x14ac:dyDescent="0.2">
      <c r="A54">
        <v>52</v>
      </c>
      <c r="B54" t="s">
        <v>2452</v>
      </c>
      <c r="F54" t="s">
        <v>2451</v>
      </c>
      <c r="G54" t="s">
        <v>4</v>
      </c>
      <c r="H54" t="s">
        <v>3</v>
      </c>
      <c r="I54" t="s">
        <v>2450</v>
      </c>
      <c r="N54">
        <v>2</v>
      </c>
      <c r="O54" t="s">
        <v>2449</v>
      </c>
      <c r="P54" t="s">
        <v>2448</v>
      </c>
      <c r="Q54" t="s">
        <v>51</v>
      </c>
      <c r="R54" s="7">
        <v>32843</v>
      </c>
      <c r="S54" s="8">
        <f t="shared" si="0"/>
        <v>1989</v>
      </c>
      <c r="T54" s="8">
        <v>1989</v>
      </c>
      <c r="U54" s="8">
        <f t="shared" si="1"/>
        <v>33</v>
      </c>
      <c r="V54" s="7">
        <v>1989</v>
      </c>
      <c r="W54" t="s">
        <v>2071</v>
      </c>
      <c r="X54" s="2" t="s">
        <v>5</v>
      </c>
      <c r="Y54" s="6" t="e">
        <f t="shared" si="2"/>
        <v>#VALUE!</v>
      </c>
      <c r="AA54">
        <v>337870</v>
      </c>
      <c r="AB54">
        <v>32478</v>
      </c>
      <c r="AD54" t="s">
        <v>1</v>
      </c>
      <c r="AE54">
        <v>32</v>
      </c>
      <c r="AF54">
        <v>4</v>
      </c>
      <c r="AH54" t="s">
        <v>2447</v>
      </c>
      <c r="AI54" t="s">
        <v>2446</v>
      </c>
      <c r="AK54" t="s">
        <v>2445</v>
      </c>
      <c r="AL54">
        <v>2</v>
      </c>
      <c r="AM54" s="5">
        <f t="shared" si="3"/>
        <v>6.0606060606060608E-2</v>
      </c>
      <c r="AN54" s="4">
        <f t="shared" si="4"/>
        <v>9.1792594632428032E-5</v>
      </c>
      <c r="AO54" s="3"/>
      <c r="AP54">
        <v>0</v>
      </c>
      <c r="AR54" t="s">
        <v>0</v>
      </c>
      <c r="AT54" s="2" t="s">
        <v>5</v>
      </c>
      <c r="AU54" s="1" t="e">
        <f t="shared" si="5"/>
        <v>#VALUE!</v>
      </c>
      <c r="AV54" s="1" t="e">
        <f t="shared" si="6"/>
        <v>#VALUE!</v>
      </c>
      <c r="AW54" s="1" t="e">
        <f t="shared" si="7"/>
        <v>#VALUE!</v>
      </c>
    </row>
    <row r="55" spans="1:49" x14ac:dyDescent="0.2">
      <c r="A55">
        <v>53</v>
      </c>
      <c r="B55" t="s">
        <v>2444</v>
      </c>
      <c r="F55" t="s">
        <v>2443</v>
      </c>
      <c r="G55" t="s">
        <v>4</v>
      </c>
      <c r="H55" t="s">
        <v>3</v>
      </c>
      <c r="I55" t="s">
        <v>2442</v>
      </c>
      <c r="J55">
        <v>60012132</v>
      </c>
      <c r="K55" t="s">
        <v>2441</v>
      </c>
      <c r="L55" t="s">
        <v>184</v>
      </c>
      <c r="M55" t="s">
        <v>6</v>
      </c>
      <c r="N55">
        <v>2</v>
      </c>
      <c r="O55" t="s">
        <v>2440</v>
      </c>
      <c r="P55" t="s">
        <v>2439</v>
      </c>
      <c r="Q55" t="s">
        <v>2438</v>
      </c>
      <c r="R55" s="7">
        <v>32843</v>
      </c>
      <c r="S55" s="8">
        <f t="shared" si="0"/>
        <v>1989</v>
      </c>
      <c r="T55" s="8">
        <v>1989</v>
      </c>
      <c r="U55" s="8">
        <f t="shared" si="1"/>
        <v>33</v>
      </c>
      <c r="V55" s="7">
        <v>32843</v>
      </c>
      <c r="W55" t="s">
        <v>2437</v>
      </c>
      <c r="X55" s="2" t="s">
        <v>5</v>
      </c>
      <c r="Y55" s="6" t="e">
        <f t="shared" si="2"/>
        <v>#VALUE!</v>
      </c>
      <c r="AA55">
        <v>7471599</v>
      </c>
      <c r="AB55">
        <v>35164</v>
      </c>
      <c r="AD55" t="s">
        <v>1</v>
      </c>
      <c r="AE55">
        <v>6</v>
      </c>
      <c r="AF55">
        <v>12</v>
      </c>
      <c r="AH55" s="10">
        <v>42248</v>
      </c>
      <c r="AI55" t="s">
        <v>2436</v>
      </c>
      <c r="AK55" t="s">
        <v>2435</v>
      </c>
      <c r="AL55">
        <v>0</v>
      </c>
      <c r="AM55" s="5">
        <f t="shared" si="3"/>
        <v>0</v>
      </c>
      <c r="AN55" s="4">
        <f t="shared" si="4"/>
        <v>0</v>
      </c>
      <c r="AO55" s="3"/>
      <c r="AP55">
        <v>0</v>
      </c>
      <c r="AR55" t="s">
        <v>0</v>
      </c>
      <c r="AT55" s="2" t="s">
        <v>5</v>
      </c>
      <c r="AU55" s="1" t="e">
        <f t="shared" si="5"/>
        <v>#VALUE!</v>
      </c>
      <c r="AV55" s="1" t="e">
        <f t="shared" si="6"/>
        <v>#VALUE!</v>
      </c>
      <c r="AW55" s="1" t="e">
        <f t="shared" si="7"/>
        <v>#VALUE!</v>
      </c>
    </row>
    <row r="56" spans="1:49" x14ac:dyDescent="0.2">
      <c r="A56">
        <v>54</v>
      </c>
      <c r="B56" t="s">
        <v>2434</v>
      </c>
      <c r="F56" t="s">
        <v>2433</v>
      </c>
      <c r="G56" t="s">
        <v>4</v>
      </c>
      <c r="H56" t="s">
        <v>3</v>
      </c>
      <c r="I56" t="s">
        <v>2432</v>
      </c>
      <c r="N56">
        <v>2</v>
      </c>
      <c r="O56" t="s">
        <v>2431</v>
      </c>
      <c r="P56" t="s">
        <v>2430</v>
      </c>
      <c r="Q56" t="s">
        <v>51</v>
      </c>
      <c r="R56" s="7">
        <v>32843</v>
      </c>
      <c r="S56" s="8">
        <f t="shared" si="0"/>
        <v>1989</v>
      </c>
      <c r="T56" s="8">
        <v>1989</v>
      </c>
      <c r="U56" s="8">
        <f t="shared" si="1"/>
        <v>33</v>
      </c>
      <c r="V56" s="7">
        <v>1989</v>
      </c>
      <c r="W56" t="s">
        <v>2071</v>
      </c>
      <c r="X56" s="2" t="s">
        <v>5</v>
      </c>
      <c r="Y56" s="6" t="e">
        <f t="shared" si="2"/>
        <v>#VALUE!</v>
      </c>
      <c r="AA56">
        <v>337870</v>
      </c>
      <c r="AB56">
        <v>32478</v>
      </c>
      <c r="AD56" t="s">
        <v>1</v>
      </c>
      <c r="AE56">
        <v>32</v>
      </c>
      <c r="AF56">
        <v>2</v>
      </c>
      <c r="AH56" t="s">
        <v>2429</v>
      </c>
      <c r="AI56" t="s">
        <v>2428</v>
      </c>
      <c r="AK56" t="s">
        <v>2427</v>
      </c>
      <c r="AL56">
        <v>0</v>
      </c>
      <c r="AM56" s="5">
        <f t="shared" si="3"/>
        <v>0</v>
      </c>
      <c r="AN56" s="4">
        <f t="shared" si="4"/>
        <v>0</v>
      </c>
      <c r="AO56" s="3"/>
      <c r="AP56">
        <v>0</v>
      </c>
      <c r="AR56" t="s">
        <v>0</v>
      </c>
      <c r="AT56" s="2" t="s">
        <v>5</v>
      </c>
      <c r="AU56" s="1" t="e">
        <f t="shared" si="5"/>
        <v>#VALUE!</v>
      </c>
      <c r="AV56" s="1" t="e">
        <f t="shared" si="6"/>
        <v>#VALUE!</v>
      </c>
      <c r="AW56" s="1" t="e">
        <f t="shared" si="7"/>
        <v>#VALUE!</v>
      </c>
    </row>
    <row r="57" spans="1:49" x14ac:dyDescent="0.2">
      <c r="A57">
        <v>55</v>
      </c>
      <c r="B57" t="s">
        <v>2426</v>
      </c>
      <c r="F57" t="s">
        <v>2425</v>
      </c>
      <c r="G57" t="s">
        <v>4</v>
      </c>
      <c r="H57" t="s">
        <v>3</v>
      </c>
      <c r="I57" t="s">
        <v>2413</v>
      </c>
      <c r="N57">
        <v>1</v>
      </c>
      <c r="O57" t="s">
        <v>2412</v>
      </c>
      <c r="P57">
        <v>6602923776</v>
      </c>
      <c r="R57" s="7">
        <v>32843</v>
      </c>
      <c r="S57" s="8">
        <f t="shared" si="0"/>
        <v>1989</v>
      </c>
      <c r="T57" s="8">
        <v>1989</v>
      </c>
      <c r="U57" s="8">
        <f t="shared" si="1"/>
        <v>33</v>
      </c>
      <c r="V57" s="7">
        <v>1989</v>
      </c>
      <c r="W57" t="s">
        <v>2071</v>
      </c>
      <c r="X57" s="2" t="s">
        <v>5</v>
      </c>
      <c r="Y57" s="6" t="e">
        <f t="shared" si="2"/>
        <v>#VALUE!</v>
      </c>
      <c r="AA57">
        <v>337870</v>
      </c>
      <c r="AB57">
        <v>32478</v>
      </c>
      <c r="AD57" t="s">
        <v>1</v>
      </c>
      <c r="AE57">
        <v>32</v>
      </c>
      <c r="AF57">
        <v>2</v>
      </c>
      <c r="AH57" t="s">
        <v>94</v>
      </c>
      <c r="AI57" t="s">
        <v>2424</v>
      </c>
      <c r="AK57" t="s">
        <v>2423</v>
      </c>
      <c r="AL57">
        <v>0</v>
      </c>
      <c r="AM57" s="5">
        <f t="shared" si="3"/>
        <v>0</v>
      </c>
      <c r="AN57" s="4">
        <f t="shared" si="4"/>
        <v>0</v>
      </c>
      <c r="AO57" s="3"/>
      <c r="AP57">
        <v>0</v>
      </c>
      <c r="AR57" t="s">
        <v>0</v>
      </c>
      <c r="AT57" s="2" t="s">
        <v>5</v>
      </c>
      <c r="AU57" s="1" t="e">
        <f t="shared" si="5"/>
        <v>#VALUE!</v>
      </c>
      <c r="AV57" s="1" t="e">
        <f t="shared" si="6"/>
        <v>#VALUE!</v>
      </c>
      <c r="AW57" s="1" t="e">
        <f t="shared" si="7"/>
        <v>#VALUE!</v>
      </c>
    </row>
    <row r="58" spans="1:49" x14ac:dyDescent="0.2">
      <c r="A58">
        <v>56</v>
      </c>
      <c r="B58" t="s">
        <v>2422</v>
      </c>
      <c r="F58" t="s">
        <v>2421</v>
      </c>
      <c r="G58" t="s">
        <v>4</v>
      </c>
      <c r="H58" t="s">
        <v>3</v>
      </c>
      <c r="I58" t="s">
        <v>1334</v>
      </c>
      <c r="N58">
        <v>2</v>
      </c>
      <c r="O58" t="s">
        <v>2420</v>
      </c>
      <c r="P58" t="s">
        <v>2419</v>
      </c>
      <c r="Q58" t="s">
        <v>51</v>
      </c>
      <c r="R58" s="7">
        <v>32843</v>
      </c>
      <c r="S58" s="8">
        <f t="shared" si="0"/>
        <v>1989</v>
      </c>
      <c r="T58" s="8">
        <v>1989</v>
      </c>
      <c r="U58" s="8">
        <f t="shared" si="1"/>
        <v>33</v>
      </c>
      <c r="V58" s="7">
        <v>1989</v>
      </c>
      <c r="W58" t="s">
        <v>2071</v>
      </c>
      <c r="X58" s="2" t="s">
        <v>5</v>
      </c>
      <c r="Y58" s="6" t="e">
        <f t="shared" si="2"/>
        <v>#VALUE!</v>
      </c>
      <c r="AA58">
        <v>337870</v>
      </c>
      <c r="AB58">
        <v>32478</v>
      </c>
      <c r="AD58" t="s">
        <v>1</v>
      </c>
      <c r="AE58">
        <v>32</v>
      </c>
      <c r="AF58">
        <v>4</v>
      </c>
      <c r="AH58" t="s">
        <v>2418</v>
      </c>
      <c r="AI58" t="s">
        <v>2417</v>
      </c>
      <c r="AK58" t="s">
        <v>2416</v>
      </c>
      <c r="AL58">
        <v>1</v>
      </c>
      <c r="AM58" s="5">
        <f t="shared" si="3"/>
        <v>3.0303030303030304E-2</v>
      </c>
      <c r="AN58" s="4">
        <f t="shared" si="4"/>
        <v>4.5896297316214016E-5</v>
      </c>
      <c r="AO58" s="3"/>
      <c r="AP58">
        <v>0</v>
      </c>
      <c r="AR58" t="s">
        <v>0</v>
      </c>
      <c r="AT58" s="2" t="s">
        <v>5</v>
      </c>
      <c r="AU58" s="1" t="e">
        <f t="shared" si="5"/>
        <v>#VALUE!</v>
      </c>
      <c r="AV58" s="1" t="e">
        <f t="shared" si="6"/>
        <v>#VALUE!</v>
      </c>
      <c r="AW58" s="1" t="e">
        <f t="shared" si="7"/>
        <v>#VALUE!</v>
      </c>
    </row>
    <row r="59" spans="1:49" x14ac:dyDescent="0.2">
      <c r="A59">
        <v>57</v>
      </c>
      <c r="B59" t="s">
        <v>2415</v>
      </c>
      <c r="F59" t="s">
        <v>2414</v>
      </c>
      <c r="G59" t="s">
        <v>4</v>
      </c>
      <c r="H59" t="s">
        <v>3</v>
      </c>
      <c r="I59" t="s">
        <v>2413</v>
      </c>
      <c r="N59">
        <v>1</v>
      </c>
      <c r="O59" t="s">
        <v>2412</v>
      </c>
      <c r="P59">
        <v>6602923776</v>
      </c>
      <c r="R59" s="7">
        <v>32843</v>
      </c>
      <c r="S59" s="8">
        <f t="shared" si="0"/>
        <v>1989</v>
      </c>
      <c r="T59" s="8">
        <v>1989</v>
      </c>
      <c r="U59" s="8">
        <f t="shared" si="1"/>
        <v>33</v>
      </c>
      <c r="V59" s="7">
        <v>1989</v>
      </c>
      <c r="W59" t="s">
        <v>2071</v>
      </c>
      <c r="X59" s="2" t="s">
        <v>5</v>
      </c>
      <c r="Y59" s="6" t="e">
        <f t="shared" si="2"/>
        <v>#VALUE!</v>
      </c>
      <c r="AA59">
        <v>337870</v>
      </c>
      <c r="AB59">
        <v>32478</v>
      </c>
      <c r="AD59" t="s">
        <v>1</v>
      </c>
      <c r="AE59">
        <v>32</v>
      </c>
      <c r="AF59">
        <v>2</v>
      </c>
      <c r="AH59" t="s">
        <v>2411</v>
      </c>
      <c r="AI59" t="s">
        <v>2410</v>
      </c>
      <c r="AK59" t="s">
        <v>2409</v>
      </c>
      <c r="AL59">
        <v>0</v>
      </c>
      <c r="AM59" s="5">
        <f t="shared" si="3"/>
        <v>0</v>
      </c>
      <c r="AN59" s="4">
        <f t="shared" si="4"/>
        <v>0</v>
      </c>
      <c r="AO59" s="3"/>
      <c r="AP59">
        <v>0</v>
      </c>
      <c r="AR59" t="s">
        <v>0</v>
      </c>
      <c r="AT59" s="2" t="s">
        <v>5</v>
      </c>
      <c r="AU59" s="1" t="e">
        <f t="shared" si="5"/>
        <v>#VALUE!</v>
      </c>
      <c r="AV59" s="1" t="e">
        <f t="shared" si="6"/>
        <v>#VALUE!</v>
      </c>
      <c r="AW59" s="1" t="e">
        <f t="shared" si="7"/>
        <v>#VALUE!</v>
      </c>
    </row>
    <row r="60" spans="1:49" x14ac:dyDescent="0.2">
      <c r="A60">
        <v>58</v>
      </c>
      <c r="B60" t="s">
        <v>2408</v>
      </c>
      <c r="F60" t="s">
        <v>2407</v>
      </c>
      <c r="G60" t="s">
        <v>4</v>
      </c>
      <c r="H60" t="s">
        <v>3</v>
      </c>
      <c r="I60" t="s">
        <v>2406</v>
      </c>
      <c r="N60">
        <v>1</v>
      </c>
      <c r="O60" t="s">
        <v>2405</v>
      </c>
      <c r="P60">
        <v>6602711218</v>
      </c>
      <c r="R60" s="7">
        <v>32843</v>
      </c>
      <c r="S60" s="8">
        <f t="shared" si="0"/>
        <v>1989</v>
      </c>
      <c r="T60" s="8">
        <v>1989</v>
      </c>
      <c r="U60" s="8">
        <f t="shared" si="1"/>
        <v>33</v>
      </c>
      <c r="V60" s="7">
        <v>1989</v>
      </c>
      <c r="W60" t="s">
        <v>2071</v>
      </c>
      <c r="X60" s="2" t="s">
        <v>5</v>
      </c>
      <c r="Y60" s="6" t="e">
        <f t="shared" si="2"/>
        <v>#VALUE!</v>
      </c>
      <c r="AA60">
        <v>337870</v>
      </c>
      <c r="AB60">
        <v>32478</v>
      </c>
      <c r="AD60" t="s">
        <v>1</v>
      </c>
      <c r="AE60">
        <v>32</v>
      </c>
      <c r="AF60">
        <v>2</v>
      </c>
      <c r="AH60" t="s">
        <v>266</v>
      </c>
      <c r="AI60" t="s">
        <v>2404</v>
      </c>
      <c r="AK60" t="s">
        <v>2403</v>
      </c>
      <c r="AL60">
        <v>0</v>
      </c>
      <c r="AM60" s="5">
        <f t="shared" si="3"/>
        <v>0</v>
      </c>
      <c r="AN60" s="4">
        <f t="shared" si="4"/>
        <v>0</v>
      </c>
      <c r="AO60" s="3"/>
      <c r="AP60">
        <v>0</v>
      </c>
      <c r="AR60" t="s">
        <v>0</v>
      </c>
      <c r="AT60" s="2" t="s">
        <v>5</v>
      </c>
      <c r="AU60" s="1" t="e">
        <f t="shared" si="5"/>
        <v>#VALUE!</v>
      </c>
      <c r="AV60" s="1" t="e">
        <f t="shared" si="6"/>
        <v>#VALUE!</v>
      </c>
      <c r="AW60" s="1" t="e">
        <f t="shared" si="7"/>
        <v>#VALUE!</v>
      </c>
    </row>
    <row r="61" spans="1:49" x14ac:dyDescent="0.2">
      <c r="A61">
        <v>59</v>
      </c>
      <c r="B61" t="s">
        <v>2402</v>
      </c>
      <c r="F61" t="s">
        <v>2401</v>
      </c>
      <c r="G61" t="s">
        <v>4</v>
      </c>
      <c r="H61" t="s">
        <v>3</v>
      </c>
      <c r="I61" t="s">
        <v>2400</v>
      </c>
      <c r="N61">
        <v>2</v>
      </c>
      <c r="O61" t="s">
        <v>2399</v>
      </c>
      <c r="P61" t="s">
        <v>2398</v>
      </c>
      <c r="Q61" t="s">
        <v>51</v>
      </c>
      <c r="R61" s="7">
        <v>32843</v>
      </c>
      <c r="S61" s="8">
        <f t="shared" si="0"/>
        <v>1989</v>
      </c>
      <c r="T61" s="8">
        <v>1989</v>
      </c>
      <c r="U61" s="8">
        <f t="shared" si="1"/>
        <v>33</v>
      </c>
      <c r="V61" s="7">
        <v>1989</v>
      </c>
      <c r="W61" t="s">
        <v>2071</v>
      </c>
      <c r="X61" s="2" t="s">
        <v>5</v>
      </c>
      <c r="Y61" s="6" t="e">
        <f t="shared" si="2"/>
        <v>#VALUE!</v>
      </c>
      <c r="AA61">
        <v>337870</v>
      </c>
      <c r="AB61">
        <v>32478</v>
      </c>
      <c r="AD61" t="s">
        <v>1</v>
      </c>
      <c r="AE61">
        <v>32</v>
      </c>
      <c r="AF61">
        <v>2</v>
      </c>
      <c r="AH61" t="s">
        <v>2397</v>
      </c>
      <c r="AI61" t="s">
        <v>2396</v>
      </c>
      <c r="AK61" t="s">
        <v>2395</v>
      </c>
      <c r="AL61">
        <v>0</v>
      </c>
      <c r="AM61" s="5">
        <f t="shared" si="3"/>
        <v>0</v>
      </c>
      <c r="AN61" s="4">
        <f t="shared" si="4"/>
        <v>0</v>
      </c>
      <c r="AO61" s="3"/>
      <c r="AP61">
        <v>0</v>
      </c>
      <c r="AR61" t="s">
        <v>0</v>
      </c>
      <c r="AT61" s="2" t="s">
        <v>5</v>
      </c>
      <c r="AU61" s="1" t="e">
        <f t="shared" si="5"/>
        <v>#VALUE!</v>
      </c>
      <c r="AV61" s="1" t="e">
        <f t="shared" si="6"/>
        <v>#VALUE!</v>
      </c>
      <c r="AW61" s="1" t="e">
        <f t="shared" si="7"/>
        <v>#VALUE!</v>
      </c>
    </row>
    <row r="62" spans="1:49" x14ac:dyDescent="0.2">
      <c r="A62">
        <v>60</v>
      </c>
      <c r="B62" t="s">
        <v>2394</v>
      </c>
      <c r="F62" t="s">
        <v>2393</v>
      </c>
      <c r="G62" t="s">
        <v>4</v>
      </c>
      <c r="H62" t="s">
        <v>3</v>
      </c>
      <c r="I62" t="s">
        <v>2392</v>
      </c>
      <c r="N62">
        <v>2</v>
      </c>
      <c r="O62" t="s">
        <v>2391</v>
      </c>
      <c r="P62" t="s">
        <v>2390</v>
      </c>
      <c r="Q62" t="s">
        <v>51</v>
      </c>
      <c r="R62" s="7">
        <v>32843</v>
      </c>
      <c r="S62" s="8">
        <f t="shared" si="0"/>
        <v>1989</v>
      </c>
      <c r="T62" s="8">
        <v>1989</v>
      </c>
      <c r="U62" s="8">
        <f t="shared" si="1"/>
        <v>33</v>
      </c>
      <c r="V62" s="7">
        <v>1989</v>
      </c>
      <c r="W62" t="s">
        <v>2071</v>
      </c>
      <c r="X62" s="2" t="s">
        <v>5</v>
      </c>
      <c r="Y62" s="6" t="e">
        <f t="shared" si="2"/>
        <v>#VALUE!</v>
      </c>
      <c r="AA62">
        <v>337870</v>
      </c>
      <c r="AB62">
        <v>32478</v>
      </c>
      <c r="AD62" t="s">
        <v>1</v>
      </c>
      <c r="AE62">
        <v>32</v>
      </c>
      <c r="AF62">
        <v>2</v>
      </c>
      <c r="AH62" t="s">
        <v>2389</v>
      </c>
      <c r="AI62" t="s">
        <v>2388</v>
      </c>
      <c r="AK62" t="s">
        <v>2387</v>
      </c>
      <c r="AL62">
        <v>0</v>
      </c>
      <c r="AM62" s="5">
        <f t="shared" si="3"/>
        <v>0</v>
      </c>
      <c r="AN62" s="4">
        <f t="shared" si="4"/>
        <v>0</v>
      </c>
      <c r="AO62" s="3"/>
      <c r="AP62">
        <v>0</v>
      </c>
      <c r="AR62" t="s">
        <v>0</v>
      </c>
      <c r="AT62" s="2" t="s">
        <v>5</v>
      </c>
      <c r="AU62" s="1" t="e">
        <f t="shared" si="5"/>
        <v>#VALUE!</v>
      </c>
      <c r="AV62" s="1" t="e">
        <f t="shared" si="6"/>
        <v>#VALUE!</v>
      </c>
      <c r="AW62" s="1" t="e">
        <f t="shared" si="7"/>
        <v>#VALUE!</v>
      </c>
    </row>
    <row r="63" spans="1:49" x14ac:dyDescent="0.2">
      <c r="A63">
        <v>61</v>
      </c>
      <c r="B63" t="s">
        <v>2386</v>
      </c>
      <c r="F63" t="s">
        <v>2385</v>
      </c>
      <c r="G63" t="s">
        <v>4</v>
      </c>
      <c r="H63" t="s">
        <v>3</v>
      </c>
      <c r="I63" t="s">
        <v>2384</v>
      </c>
      <c r="J63">
        <v>109339285</v>
      </c>
      <c r="K63" t="s">
        <v>2383</v>
      </c>
      <c r="N63">
        <v>1</v>
      </c>
      <c r="O63" t="s">
        <v>2382</v>
      </c>
      <c r="P63">
        <v>57203479342</v>
      </c>
      <c r="Q63">
        <v>109339285</v>
      </c>
      <c r="R63" s="7">
        <v>32843</v>
      </c>
      <c r="S63" s="8">
        <f t="shared" si="0"/>
        <v>1989</v>
      </c>
      <c r="T63" s="8">
        <v>1989</v>
      </c>
      <c r="U63" s="8">
        <f t="shared" si="1"/>
        <v>33</v>
      </c>
      <c r="V63" s="7">
        <v>1989</v>
      </c>
      <c r="W63" t="s">
        <v>2381</v>
      </c>
      <c r="X63" s="2" t="s">
        <v>5</v>
      </c>
      <c r="Y63" s="6" t="e">
        <f t="shared" si="2"/>
        <v>#VALUE!</v>
      </c>
      <c r="AA63">
        <v>2649187</v>
      </c>
      <c r="AB63">
        <v>36931</v>
      </c>
      <c r="AD63" t="s">
        <v>1</v>
      </c>
      <c r="AE63">
        <v>7</v>
      </c>
      <c r="AF63">
        <v>1</v>
      </c>
      <c r="AH63" s="9">
        <v>44378</v>
      </c>
      <c r="AI63" t="s">
        <v>2380</v>
      </c>
      <c r="AK63" t="s">
        <v>2379</v>
      </c>
      <c r="AL63">
        <v>0</v>
      </c>
      <c r="AM63" s="5">
        <f t="shared" si="3"/>
        <v>0</v>
      </c>
      <c r="AN63" s="4">
        <f t="shared" si="4"/>
        <v>0</v>
      </c>
      <c r="AO63" s="3"/>
      <c r="AP63">
        <v>0</v>
      </c>
      <c r="AR63" t="s">
        <v>0</v>
      </c>
      <c r="AT63" s="2" t="s">
        <v>5</v>
      </c>
      <c r="AU63" s="1" t="e">
        <f t="shared" si="5"/>
        <v>#VALUE!</v>
      </c>
      <c r="AV63" s="1" t="e">
        <f t="shared" si="6"/>
        <v>#VALUE!</v>
      </c>
      <c r="AW63" s="1" t="e">
        <f t="shared" si="7"/>
        <v>#VALUE!</v>
      </c>
    </row>
    <row r="64" spans="1:49" x14ac:dyDescent="0.2">
      <c r="A64">
        <v>62</v>
      </c>
      <c r="B64" t="s">
        <v>2378</v>
      </c>
      <c r="F64" t="s">
        <v>2377</v>
      </c>
      <c r="G64" t="s">
        <v>4</v>
      </c>
      <c r="H64" t="s">
        <v>3</v>
      </c>
      <c r="I64" t="s">
        <v>2376</v>
      </c>
      <c r="N64">
        <v>1</v>
      </c>
      <c r="O64" t="s">
        <v>2375</v>
      </c>
      <c r="P64">
        <v>6602372588</v>
      </c>
      <c r="R64" s="7">
        <v>32843</v>
      </c>
      <c r="S64" s="8">
        <f t="shared" si="0"/>
        <v>1989</v>
      </c>
      <c r="T64" s="8">
        <v>1989</v>
      </c>
      <c r="U64" s="8">
        <f t="shared" si="1"/>
        <v>33</v>
      </c>
      <c r="V64" s="7">
        <v>1989</v>
      </c>
      <c r="W64" t="s">
        <v>2071</v>
      </c>
      <c r="X64" s="2" t="s">
        <v>5</v>
      </c>
      <c r="Y64" s="6" t="e">
        <f t="shared" si="2"/>
        <v>#VALUE!</v>
      </c>
      <c r="AA64">
        <v>337870</v>
      </c>
      <c r="AB64">
        <v>32478</v>
      </c>
      <c r="AD64" t="s">
        <v>1</v>
      </c>
      <c r="AE64">
        <v>32</v>
      </c>
      <c r="AF64">
        <v>2</v>
      </c>
      <c r="AH64" t="s">
        <v>2374</v>
      </c>
      <c r="AI64" t="s">
        <v>2373</v>
      </c>
      <c r="AK64" t="s">
        <v>2372</v>
      </c>
      <c r="AL64">
        <v>0</v>
      </c>
      <c r="AM64" s="5">
        <f t="shared" si="3"/>
        <v>0</v>
      </c>
      <c r="AN64" s="4">
        <f t="shared" si="4"/>
        <v>0</v>
      </c>
      <c r="AO64" s="3"/>
      <c r="AP64">
        <v>0</v>
      </c>
      <c r="AR64" t="s">
        <v>0</v>
      </c>
      <c r="AT64" s="2" t="s">
        <v>5</v>
      </c>
      <c r="AU64" s="1" t="e">
        <f t="shared" si="5"/>
        <v>#VALUE!</v>
      </c>
      <c r="AV64" s="1" t="e">
        <f t="shared" si="6"/>
        <v>#VALUE!</v>
      </c>
      <c r="AW64" s="1" t="e">
        <f t="shared" si="7"/>
        <v>#VALUE!</v>
      </c>
    </row>
    <row r="65" spans="1:49" x14ac:dyDescent="0.2">
      <c r="A65">
        <v>63</v>
      </c>
      <c r="B65" t="s">
        <v>2371</v>
      </c>
      <c r="F65" t="s">
        <v>2370</v>
      </c>
      <c r="G65" t="s">
        <v>4</v>
      </c>
      <c r="H65" t="s">
        <v>3</v>
      </c>
      <c r="I65" t="s">
        <v>2369</v>
      </c>
      <c r="N65">
        <v>1</v>
      </c>
      <c r="O65" t="s">
        <v>2368</v>
      </c>
      <c r="P65">
        <v>6602612449</v>
      </c>
      <c r="R65" s="7">
        <v>32843</v>
      </c>
      <c r="S65" s="8">
        <f t="shared" si="0"/>
        <v>1989</v>
      </c>
      <c r="T65" s="8">
        <v>1989</v>
      </c>
      <c r="U65" s="8">
        <f t="shared" si="1"/>
        <v>33</v>
      </c>
      <c r="V65" s="7">
        <v>1989</v>
      </c>
      <c r="W65" t="s">
        <v>52</v>
      </c>
      <c r="X65" s="2" t="s">
        <v>5</v>
      </c>
      <c r="Y65" s="6" t="e">
        <f t="shared" si="2"/>
        <v>#VALUE!</v>
      </c>
      <c r="AA65">
        <v>87566648</v>
      </c>
      <c r="AB65">
        <v>74127</v>
      </c>
      <c r="AD65" t="s">
        <v>1</v>
      </c>
      <c r="AE65">
        <v>34</v>
      </c>
      <c r="AF65">
        <v>14</v>
      </c>
      <c r="AH65" t="s">
        <v>2367</v>
      </c>
      <c r="AI65" t="s">
        <v>2366</v>
      </c>
      <c r="AK65" t="s">
        <v>2365</v>
      </c>
      <c r="AL65">
        <v>0</v>
      </c>
      <c r="AM65" s="5">
        <f t="shared" si="3"/>
        <v>0</v>
      </c>
      <c r="AN65" s="4">
        <f t="shared" si="4"/>
        <v>0</v>
      </c>
      <c r="AO65" s="3"/>
      <c r="AP65">
        <v>0</v>
      </c>
      <c r="AR65" t="s">
        <v>0</v>
      </c>
      <c r="AT65" s="2" t="s">
        <v>5</v>
      </c>
      <c r="AU65" s="1" t="e">
        <f t="shared" si="5"/>
        <v>#VALUE!</v>
      </c>
      <c r="AV65" s="1" t="e">
        <f t="shared" si="6"/>
        <v>#VALUE!</v>
      </c>
      <c r="AW65" s="1" t="e">
        <f t="shared" si="7"/>
        <v>#VALUE!</v>
      </c>
    </row>
    <row r="66" spans="1:49" x14ac:dyDescent="0.2">
      <c r="A66">
        <v>64</v>
      </c>
      <c r="B66" t="s">
        <v>2364</v>
      </c>
      <c r="F66" t="s">
        <v>2363</v>
      </c>
      <c r="G66" t="s">
        <v>4</v>
      </c>
      <c r="H66" t="s">
        <v>3</v>
      </c>
      <c r="I66" t="s">
        <v>2362</v>
      </c>
      <c r="N66">
        <v>1</v>
      </c>
      <c r="O66" t="s">
        <v>2361</v>
      </c>
      <c r="P66">
        <v>35583161300</v>
      </c>
      <c r="R66" s="7">
        <v>32843</v>
      </c>
      <c r="S66" s="8">
        <f t="shared" ref="S66:S129" si="8">YEAR(R66)</f>
        <v>1989</v>
      </c>
      <c r="T66" s="8">
        <v>1989</v>
      </c>
      <c r="U66" s="8">
        <f t="shared" ref="U66:U129" si="9">2022-T66</f>
        <v>33</v>
      </c>
      <c r="V66" s="7">
        <v>1989</v>
      </c>
      <c r="W66" t="s">
        <v>52</v>
      </c>
      <c r="X66" s="2" t="s">
        <v>5</v>
      </c>
      <c r="Y66" s="6" t="e">
        <f t="shared" ref="Y66:Y129" si="10">(X66-$Z$4)/($Z$3-$Z$4)</f>
        <v>#VALUE!</v>
      </c>
      <c r="AA66">
        <v>87566648</v>
      </c>
      <c r="AB66">
        <v>74127</v>
      </c>
      <c r="AD66" t="s">
        <v>1</v>
      </c>
      <c r="AE66">
        <v>34</v>
      </c>
      <c r="AF66">
        <v>15</v>
      </c>
      <c r="AH66" t="s">
        <v>2360</v>
      </c>
      <c r="AI66" t="s">
        <v>2359</v>
      </c>
      <c r="AK66" t="s">
        <v>2358</v>
      </c>
      <c r="AL66">
        <v>1</v>
      </c>
      <c r="AM66" s="5">
        <f t="shared" ref="AM66:AM129" si="11">AL66/U66</f>
        <v>3.0303030303030304E-2</v>
      </c>
      <c r="AN66" s="4">
        <f t="shared" ref="AN66:AN129" si="12">(AM66-$AO$4)/($AO$3-$AO$4)</f>
        <v>4.5896297316214016E-5</v>
      </c>
      <c r="AO66" s="3"/>
      <c r="AP66">
        <v>0</v>
      </c>
      <c r="AR66" t="s">
        <v>0</v>
      </c>
      <c r="AT66" s="2" t="s">
        <v>5</v>
      </c>
      <c r="AU66" s="1" t="e">
        <f t="shared" ref="AU66:AU129" si="13">(Y66*0.7+AN66*0.3)*100</f>
        <v>#VALUE!</v>
      </c>
      <c r="AV66" s="1" t="e">
        <f t="shared" ref="AV66:AV129" si="14">(Y66*0.5+AN66*0.5)*100</f>
        <v>#VALUE!</v>
      </c>
      <c r="AW66" s="1" t="e">
        <f t="shared" ref="AW66:AW129" si="15">(Y66*0.3+AN66*0.7)*100</f>
        <v>#VALUE!</v>
      </c>
    </row>
    <row r="67" spans="1:49" x14ac:dyDescent="0.2">
      <c r="A67">
        <v>65</v>
      </c>
      <c r="B67" t="s">
        <v>2357</v>
      </c>
      <c r="F67" t="s">
        <v>2356</v>
      </c>
      <c r="G67" t="s">
        <v>4</v>
      </c>
      <c r="H67" t="s">
        <v>3</v>
      </c>
      <c r="I67" t="s">
        <v>1334</v>
      </c>
      <c r="N67">
        <v>3</v>
      </c>
      <c r="O67" t="s">
        <v>2135</v>
      </c>
      <c r="P67" t="s">
        <v>2134</v>
      </c>
      <c r="Q67" t="s">
        <v>20</v>
      </c>
      <c r="R67" s="7">
        <v>32843</v>
      </c>
      <c r="S67" s="8">
        <f t="shared" si="8"/>
        <v>1989</v>
      </c>
      <c r="T67" s="8">
        <v>1989</v>
      </c>
      <c r="U67" s="8">
        <f t="shared" si="9"/>
        <v>33</v>
      </c>
      <c r="V67" s="7">
        <v>1989</v>
      </c>
      <c r="W67" t="s">
        <v>2071</v>
      </c>
      <c r="X67" s="2" t="s">
        <v>5</v>
      </c>
      <c r="Y67" s="6" t="e">
        <f t="shared" si="10"/>
        <v>#VALUE!</v>
      </c>
      <c r="AA67">
        <v>337870</v>
      </c>
      <c r="AB67">
        <v>32478</v>
      </c>
      <c r="AD67" t="s">
        <v>1</v>
      </c>
      <c r="AE67">
        <v>32</v>
      </c>
      <c r="AF67">
        <v>1</v>
      </c>
      <c r="AH67" s="9">
        <v>44317</v>
      </c>
      <c r="AI67" t="s">
        <v>2355</v>
      </c>
      <c r="AK67" t="s">
        <v>2354</v>
      </c>
      <c r="AL67">
        <v>0</v>
      </c>
      <c r="AM67" s="5">
        <f t="shared" si="11"/>
        <v>0</v>
      </c>
      <c r="AN67" s="4">
        <f t="shared" si="12"/>
        <v>0</v>
      </c>
      <c r="AO67" s="3"/>
      <c r="AP67">
        <v>0</v>
      </c>
      <c r="AR67" t="s">
        <v>0</v>
      </c>
      <c r="AT67" s="2" t="s">
        <v>5</v>
      </c>
      <c r="AU67" s="1" t="e">
        <f t="shared" si="13"/>
        <v>#VALUE!</v>
      </c>
      <c r="AV67" s="1" t="e">
        <f t="shared" si="14"/>
        <v>#VALUE!</v>
      </c>
      <c r="AW67" s="1" t="e">
        <f t="shared" si="15"/>
        <v>#VALUE!</v>
      </c>
    </row>
    <row r="68" spans="1:49" x14ac:dyDescent="0.2">
      <c r="A68">
        <v>66</v>
      </c>
      <c r="B68" t="s">
        <v>2353</v>
      </c>
      <c r="F68" t="s">
        <v>2352</v>
      </c>
      <c r="G68" t="s">
        <v>4</v>
      </c>
      <c r="H68" t="s">
        <v>3</v>
      </c>
      <c r="I68" t="s">
        <v>371</v>
      </c>
      <c r="N68">
        <v>4</v>
      </c>
      <c r="O68" t="s">
        <v>2351</v>
      </c>
      <c r="P68" t="s">
        <v>2350</v>
      </c>
      <c r="Q68" t="s">
        <v>250</v>
      </c>
      <c r="R68" s="7">
        <v>32843</v>
      </c>
      <c r="S68" s="8">
        <f t="shared" si="8"/>
        <v>1989</v>
      </c>
      <c r="T68" s="8">
        <v>1989</v>
      </c>
      <c r="U68" s="8">
        <f t="shared" si="9"/>
        <v>33</v>
      </c>
      <c r="V68" s="7">
        <v>1989</v>
      </c>
      <c r="W68" t="s">
        <v>52</v>
      </c>
      <c r="X68" s="2" t="s">
        <v>5</v>
      </c>
      <c r="Y68" s="6" t="e">
        <f t="shared" si="10"/>
        <v>#VALUE!</v>
      </c>
      <c r="AA68">
        <v>87566648</v>
      </c>
      <c r="AB68">
        <v>74127</v>
      </c>
      <c r="AD68" t="s">
        <v>1</v>
      </c>
      <c r="AE68">
        <v>34</v>
      </c>
      <c r="AF68">
        <v>10</v>
      </c>
      <c r="AH68" t="s">
        <v>2349</v>
      </c>
      <c r="AI68" t="s">
        <v>2348</v>
      </c>
      <c r="AK68" t="s">
        <v>2347</v>
      </c>
      <c r="AL68">
        <v>0</v>
      </c>
      <c r="AM68" s="5">
        <f t="shared" si="11"/>
        <v>0</v>
      </c>
      <c r="AN68" s="4">
        <f t="shared" si="12"/>
        <v>0</v>
      </c>
      <c r="AO68" s="3"/>
      <c r="AP68">
        <v>0</v>
      </c>
      <c r="AR68" t="s">
        <v>0</v>
      </c>
      <c r="AT68" s="2" t="s">
        <v>5</v>
      </c>
      <c r="AU68" s="1" t="e">
        <f t="shared" si="13"/>
        <v>#VALUE!</v>
      </c>
      <c r="AV68" s="1" t="e">
        <f t="shared" si="14"/>
        <v>#VALUE!</v>
      </c>
      <c r="AW68" s="1" t="e">
        <f t="shared" si="15"/>
        <v>#VALUE!</v>
      </c>
    </row>
    <row r="69" spans="1:49" x14ac:dyDescent="0.2">
      <c r="A69">
        <v>67</v>
      </c>
      <c r="B69" t="s">
        <v>2346</v>
      </c>
      <c r="F69" t="s">
        <v>2345</v>
      </c>
      <c r="G69" t="s">
        <v>4</v>
      </c>
      <c r="H69" t="s">
        <v>3</v>
      </c>
      <c r="I69" t="s">
        <v>2344</v>
      </c>
      <c r="N69">
        <v>1</v>
      </c>
      <c r="O69" t="s">
        <v>2343</v>
      </c>
      <c r="P69">
        <v>7004506153</v>
      </c>
      <c r="R69" s="7">
        <v>32843</v>
      </c>
      <c r="S69" s="8">
        <f t="shared" si="8"/>
        <v>1989</v>
      </c>
      <c r="T69" s="8">
        <v>1989</v>
      </c>
      <c r="U69" s="8">
        <f t="shared" si="9"/>
        <v>33</v>
      </c>
      <c r="V69" s="7">
        <v>1989</v>
      </c>
      <c r="W69" t="s">
        <v>2071</v>
      </c>
      <c r="X69" s="2" t="s">
        <v>5</v>
      </c>
      <c r="Y69" s="6" t="e">
        <f t="shared" si="10"/>
        <v>#VALUE!</v>
      </c>
      <c r="AA69">
        <v>337870</v>
      </c>
      <c r="AB69">
        <v>32478</v>
      </c>
      <c r="AD69" t="s">
        <v>1</v>
      </c>
      <c r="AE69">
        <v>32</v>
      </c>
      <c r="AF69">
        <v>1</v>
      </c>
      <c r="AH69" t="s">
        <v>2342</v>
      </c>
      <c r="AI69" t="s">
        <v>2341</v>
      </c>
      <c r="AK69" t="s">
        <v>2340</v>
      </c>
      <c r="AL69">
        <v>0</v>
      </c>
      <c r="AM69" s="5">
        <f t="shared" si="11"/>
        <v>0</v>
      </c>
      <c r="AN69" s="4">
        <f t="shared" si="12"/>
        <v>0</v>
      </c>
      <c r="AO69" s="3"/>
      <c r="AP69">
        <v>0</v>
      </c>
      <c r="AR69" t="s">
        <v>0</v>
      </c>
      <c r="AT69" s="2" t="s">
        <v>5</v>
      </c>
      <c r="AU69" s="1" t="e">
        <f t="shared" si="13"/>
        <v>#VALUE!</v>
      </c>
      <c r="AV69" s="1" t="e">
        <f t="shared" si="14"/>
        <v>#VALUE!</v>
      </c>
      <c r="AW69" s="1" t="e">
        <f t="shared" si="15"/>
        <v>#VALUE!</v>
      </c>
    </row>
    <row r="70" spans="1:49" x14ac:dyDescent="0.2">
      <c r="A70">
        <v>68</v>
      </c>
      <c r="B70" t="s">
        <v>2339</v>
      </c>
      <c r="F70" t="s">
        <v>2338</v>
      </c>
      <c r="G70" t="s">
        <v>4</v>
      </c>
      <c r="H70" t="s">
        <v>3</v>
      </c>
      <c r="I70" t="s">
        <v>2337</v>
      </c>
      <c r="J70">
        <v>100321467</v>
      </c>
      <c r="K70" t="s">
        <v>2336</v>
      </c>
      <c r="L70" t="s">
        <v>2335</v>
      </c>
      <c r="M70" t="s">
        <v>6</v>
      </c>
      <c r="N70">
        <v>1</v>
      </c>
      <c r="O70" t="s">
        <v>2334</v>
      </c>
      <c r="P70">
        <v>7102734848</v>
      </c>
      <c r="Q70">
        <v>100321467</v>
      </c>
      <c r="R70" s="7">
        <v>32843</v>
      </c>
      <c r="S70" s="8">
        <f t="shared" si="8"/>
        <v>1989</v>
      </c>
      <c r="T70" s="8">
        <v>1989</v>
      </c>
      <c r="U70" s="8">
        <f t="shared" si="9"/>
        <v>33</v>
      </c>
      <c r="V70" s="7">
        <v>32843</v>
      </c>
      <c r="W70" t="s">
        <v>252</v>
      </c>
      <c r="X70" s="2">
        <v>0.11600000000000001</v>
      </c>
      <c r="Y70" s="6">
        <f t="shared" si="10"/>
        <v>3.0965537492325355E-3</v>
      </c>
      <c r="AA70">
        <v>7311230</v>
      </c>
      <c r="AB70">
        <v>12865</v>
      </c>
      <c r="AD70" t="s">
        <v>1</v>
      </c>
      <c r="AE70">
        <v>23</v>
      </c>
      <c r="AF70">
        <v>12</v>
      </c>
      <c r="AI70" t="s">
        <v>2333</v>
      </c>
      <c r="AK70" t="s">
        <v>2332</v>
      </c>
      <c r="AL70">
        <v>2</v>
      </c>
      <c r="AM70" s="5">
        <f t="shared" si="11"/>
        <v>6.0606060606060608E-2</v>
      </c>
      <c r="AN70" s="4">
        <f t="shared" si="12"/>
        <v>9.1792594632428032E-5</v>
      </c>
      <c r="AO70" s="3"/>
      <c r="AP70">
        <v>0</v>
      </c>
      <c r="AR70" t="s">
        <v>0</v>
      </c>
      <c r="AT70" s="2" t="s">
        <v>5</v>
      </c>
      <c r="AU70" s="1">
        <f t="shared" si="13"/>
        <v>0.2195125402852503</v>
      </c>
      <c r="AV70" s="1">
        <f t="shared" si="14"/>
        <v>0.1594173171932482</v>
      </c>
      <c r="AW70" s="1">
        <f t="shared" si="15"/>
        <v>9.9322094101246011E-2</v>
      </c>
    </row>
    <row r="71" spans="1:49" x14ac:dyDescent="0.2">
      <c r="A71">
        <v>69</v>
      </c>
      <c r="B71" t="s">
        <v>2331</v>
      </c>
      <c r="F71" t="s">
        <v>2330</v>
      </c>
      <c r="G71" t="s">
        <v>4</v>
      </c>
      <c r="H71" t="s">
        <v>3</v>
      </c>
      <c r="I71" t="s">
        <v>2329</v>
      </c>
      <c r="J71">
        <v>100317072</v>
      </c>
      <c r="K71" t="s">
        <v>2328</v>
      </c>
      <c r="L71" t="s">
        <v>46</v>
      </c>
      <c r="M71" t="s">
        <v>19</v>
      </c>
      <c r="N71">
        <v>2</v>
      </c>
      <c r="O71" t="s">
        <v>2327</v>
      </c>
      <c r="P71" t="s">
        <v>2326</v>
      </c>
      <c r="Q71" t="s">
        <v>2325</v>
      </c>
      <c r="R71" s="7">
        <v>32843</v>
      </c>
      <c r="S71" s="8">
        <f t="shared" si="8"/>
        <v>1989</v>
      </c>
      <c r="T71" s="8">
        <v>1989</v>
      </c>
      <c r="U71" s="8">
        <f t="shared" si="9"/>
        <v>33</v>
      </c>
      <c r="V71" s="7">
        <v>1989</v>
      </c>
      <c r="W71" t="s">
        <v>2324</v>
      </c>
      <c r="X71" s="2" t="s">
        <v>5</v>
      </c>
      <c r="Y71" s="6" t="e">
        <f t="shared" si="10"/>
        <v>#VALUE!</v>
      </c>
      <c r="AA71">
        <v>8929270</v>
      </c>
      <c r="AB71">
        <v>30115</v>
      </c>
      <c r="AD71" t="s">
        <v>1</v>
      </c>
      <c r="AE71">
        <v>8</v>
      </c>
      <c r="AF71">
        <v>4</v>
      </c>
      <c r="AH71" t="s">
        <v>2323</v>
      </c>
      <c r="AI71" t="s">
        <v>2322</v>
      </c>
      <c r="AK71" t="s">
        <v>2321</v>
      </c>
      <c r="AL71">
        <v>0</v>
      </c>
      <c r="AM71" s="5">
        <f t="shared" si="11"/>
        <v>0</v>
      </c>
      <c r="AN71" s="4">
        <f t="shared" si="12"/>
        <v>0</v>
      </c>
      <c r="AO71" s="3"/>
      <c r="AP71">
        <v>0</v>
      </c>
      <c r="AR71" t="s">
        <v>0</v>
      </c>
      <c r="AT71" s="2" t="s">
        <v>5</v>
      </c>
      <c r="AU71" s="1" t="e">
        <f t="shared" si="13"/>
        <v>#VALUE!</v>
      </c>
      <c r="AV71" s="1" t="e">
        <f t="shared" si="14"/>
        <v>#VALUE!</v>
      </c>
      <c r="AW71" s="1" t="e">
        <f t="shared" si="15"/>
        <v>#VALUE!</v>
      </c>
    </row>
    <row r="72" spans="1:49" x14ac:dyDescent="0.2">
      <c r="A72">
        <v>70</v>
      </c>
      <c r="B72" t="s">
        <v>2320</v>
      </c>
      <c r="F72" t="s">
        <v>2319</v>
      </c>
      <c r="G72" t="s">
        <v>4</v>
      </c>
      <c r="H72" t="s">
        <v>3</v>
      </c>
      <c r="I72" t="s">
        <v>2318</v>
      </c>
      <c r="N72">
        <v>1</v>
      </c>
      <c r="O72" t="s">
        <v>2317</v>
      </c>
      <c r="P72">
        <v>55898580600</v>
      </c>
      <c r="R72" s="7">
        <v>32843</v>
      </c>
      <c r="S72" s="8">
        <f t="shared" si="8"/>
        <v>1989</v>
      </c>
      <c r="T72" s="8">
        <v>1989</v>
      </c>
      <c r="U72" s="8">
        <f t="shared" si="9"/>
        <v>33</v>
      </c>
      <c r="V72" s="7">
        <v>1989</v>
      </c>
      <c r="W72" t="s">
        <v>2071</v>
      </c>
      <c r="X72" s="2" t="s">
        <v>5</v>
      </c>
      <c r="Y72" s="6" t="e">
        <f t="shared" si="10"/>
        <v>#VALUE!</v>
      </c>
      <c r="AA72">
        <v>337870</v>
      </c>
      <c r="AB72">
        <v>32478</v>
      </c>
      <c r="AD72" t="s">
        <v>1</v>
      </c>
      <c r="AE72">
        <v>32</v>
      </c>
      <c r="AF72">
        <v>9</v>
      </c>
      <c r="AH72" t="s">
        <v>2316</v>
      </c>
      <c r="AI72" t="s">
        <v>2315</v>
      </c>
      <c r="AK72" t="s">
        <v>2314</v>
      </c>
      <c r="AL72">
        <v>0</v>
      </c>
      <c r="AM72" s="5">
        <f t="shared" si="11"/>
        <v>0</v>
      </c>
      <c r="AN72" s="4">
        <f t="shared" si="12"/>
        <v>0</v>
      </c>
      <c r="AO72" s="3"/>
      <c r="AP72">
        <v>0</v>
      </c>
      <c r="AR72" t="s">
        <v>0</v>
      </c>
      <c r="AT72" s="2" t="s">
        <v>5</v>
      </c>
      <c r="AU72" s="1" t="e">
        <f t="shared" si="13"/>
        <v>#VALUE!</v>
      </c>
      <c r="AV72" s="1" t="e">
        <f t="shared" si="14"/>
        <v>#VALUE!</v>
      </c>
      <c r="AW72" s="1" t="e">
        <f t="shared" si="15"/>
        <v>#VALUE!</v>
      </c>
    </row>
    <row r="73" spans="1:49" x14ac:dyDescent="0.2">
      <c r="A73">
        <v>71</v>
      </c>
      <c r="B73" t="s">
        <v>2313</v>
      </c>
      <c r="F73" t="s">
        <v>2312</v>
      </c>
      <c r="G73" t="s">
        <v>4</v>
      </c>
      <c r="H73" t="s">
        <v>3</v>
      </c>
      <c r="I73" t="s">
        <v>2311</v>
      </c>
      <c r="N73">
        <v>1</v>
      </c>
      <c r="O73" t="s">
        <v>2310</v>
      </c>
      <c r="P73">
        <v>7005535248</v>
      </c>
      <c r="R73" s="7">
        <v>32843</v>
      </c>
      <c r="S73" s="8">
        <f t="shared" si="8"/>
        <v>1989</v>
      </c>
      <c r="T73" s="8">
        <v>1989</v>
      </c>
      <c r="U73" s="8">
        <f t="shared" si="9"/>
        <v>33</v>
      </c>
      <c r="V73" s="7">
        <v>1989</v>
      </c>
      <c r="W73" t="s">
        <v>2071</v>
      </c>
      <c r="X73" s="2" t="s">
        <v>5</v>
      </c>
      <c r="Y73" s="6" t="e">
        <f t="shared" si="10"/>
        <v>#VALUE!</v>
      </c>
      <c r="AA73">
        <v>337870</v>
      </c>
      <c r="AB73">
        <v>32478</v>
      </c>
      <c r="AD73" t="s">
        <v>1</v>
      </c>
      <c r="AE73">
        <v>32</v>
      </c>
      <c r="AF73">
        <v>9</v>
      </c>
      <c r="AH73" t="s">
        <v>2309</v>
      </c>
      <c r="AI73" t="s">
        <v>2308</v>
      </c>
      <c r="AK73" t="s">
        <v>2307</v>
      </c>
      <c r="AL73">
        <v>0</v>
      </c>
      <c r="AM73" s="5">
        <f t="shared" si="11"/>
        <v>0</v>
      </c>
      <c r="AN73" s="4">
        <f t="shared" si="12"/>
        <v>0</v>
      </c>
      <c r="AO73" s="3"/>
      <c r="AP73">
        <v>0</v>
      </c>
      <c r="AR73" t="s">
        <v>0</v>
      </c>
      <c r="AT73" s="2" t="s">
        <v>5</v>
      </c>
      <c r="AU73" s="1" t="e">
        <f t="shared" si="13"/>
        <v>#VALUE!</v>
      </c>
      <c r="AV73" s="1" t="e">
        <f t="shared" si="14"/>
        <v>#VALUE!</v>
      </c>
      <c r="AW73" s="1" t="e">
        <f t="shared" si="15"/>
        <v>#VALUE!</v>
      </c>
    </row>
    <row r="74" spans="1:49" x14ac:dyDescent="0.2">
      <c r="A74">
        <v>72</v>
      </c>
      <c r="B74" t="s">
        <v>2306</v>
      </c>
      <c r="F74" t="s">
        <v>2305</v>
      </c>
      <c r="G74" t="s">
        <v>4</v>
      </c>
      <c r="H74" t="s">
        <v>3</v>
      </c>
      <c r="I74" t="s">
        <v>2304</v>
      </c>
      <c r="J74">
        <v>60028358</v>
      </c>
      <c r="K74" t="s">
        <v>2303</v>
      </c>
      <c r="L74" t="s">
        <v>7</v>
      </c>
      <c r="M74" t="s">
        <v>6</v>
      </c>
      <c r="N74">
        <v>2</v>
      </c>
      <c r="O74" t="s">
        <v>2302</v>
      </c>
      <c r="P74" t="s">
        <v>2301</v>
      </c>
      <c r="Q74" t="s">
        <v>2300</v>
      </c>
      <c r="R74" s="7">
        <v>32843</v>
      </c>
      <c r="S74" s="8">
        <f t="shared" si="8"/>
        <v>1989</v>
      </c>
      <c r="T74" s="8">
        <v>1989</v>
      </c>
      <c r="U74" s="8">
        <f t="shared" si="9"/>
        <v>33</v>
      </c>
      <c r="V74" s="7">
        <v>1989</v>
      </c>
      <c r="W74" t="s">
        <v>185</v>
      </c>
      <c r="X74" s="2">
        <v>0.26400000000000001</v>
      </c>
      <c r="Y74" s="6">
        <f t="shared" si="10"/>
        <v>7.0473292223912874E-3</v>
      </c>
      <c r="AB74">
        <v>82000</v>
      </c>
      <c r="AD74" t="s">
        <v>1</v>
      </c>
      <c r="AE74">
        <v>2</v>
      </c>
      <c r="AH74">
        <v>533</v>
      </c>
      <c r="AI74" t="s">
        <v>2299</v>
      </c>
      <c r="AK74" t="s">
        <v>2298</v>
      </c>
      <c r="AL74">
        <v>0</v>
      </c>
      <c r="AM74" s="5">
        <f t="shared" si="11"/>
        <v>0</v>
      </c>
      <c r="AN74" s="4">
        <f t="shared" si="12"/>
        <v>0</v>
      </c>
      <c r="AO74" s="3"/>
      <c r="AP74">
        <v>0</v>
      </c>
      <c r="AR74" t="s">
        <v>0</v>
      </c>
      <c r="AT74" s="2" t="s">
        <v>5</v>
      </c>
      <c r="AU74" s="1">
        <f t="shared" si="13"/>
        <v>0.49331304556739003</v>
      </c>
      <c r="AV74" s="1">
        <f t="shared" si="14"/>
        <v>0.35236646111956438</v>
      </c>
      <c r="AW74" s="1">
        <f t="shared" si="15"/>
        <v>0.21141987667173862</v>
      </c>
    </row>
    <row r="75" spans="1:49" x14ac:dyDescent="0.2">
      <c r="A75">
        <v>73</v>
      </c>
      <c r="B75" t="s">
        <v>2297</v>
      </c>
      <c r="F75" t="s">
        <v>2296</v>
      </c>
      <c r="G75" t="s">
        <v>4</v>
      </c>
      <c r="H75" t="s">
        <v>3</v>
      </c>
      <c r="I75" t="s">
        <v>2295</v>
      </c>
      <c r="J75">
        <v>60002286</v>
      </c>
      <c r="K75" t="s">
        <v>187</v>
      </c>
      <c r="L75" t="s">
        <v>16</v>
      </c>
      <c r="M75" t="s">
        <v>15</v>
      </c>
      <c r="N75">
        <v>3</v>
      </c>
      <c r="O75" t="s">
        <v>2294</v>
      </c>
      <c r="P75" t="s">
        <v>2293</v>
      </c>
      <c r="Q75" t="s">
        <v>2292</v>
      </c>
      <c r="R75" s="7">
        <v>32843</v>
      </c>
      <c r="S75" s="8">
        <f t="shared" si="8"/>
        <v>1989</v>
      </c>
      <c r="T75" s="8">
        <v>1989</v>
      </c>
      <c r="U75" s="8">
        <f t="shared" si="9"/>
        <v>33</v>
      </c>
      <c r="V75" s="7">
        <v>1989</v>
      </c>
      <c r="W75" t="s">
        <v>185</v>
      </c>
      <c r="X75" s="2">
        <v>0.26400000000000001</v>
      </c>
      <c r="Y75" s="6">
        <f t="shared" si="10"/>
        <v>7.0473292223912874E-3</v>
      </c>
      <c r="AB75">
        <v>82000</v>
      </c>
      <c r="AD75" t="s">
        <v>1</v>
      </c>
      <c r="AE75">
        <v>2</v>
      </c>
      <c r="AH75" t="s">
        <v>2291</v>
      </c>
      <c r="AI75" t="s">
        <v>2290</v>
      </c>
      <c r="AK75" t="s">
        <v>2289</v>
      </c>
      <c r="AL75">
        <v>0</v>
      </c>
      <c r="AM75" s="5">
        <f t="shared" si="11"/>
        <v>0</v>
      </c>
      <c r="AN75" s="4">
        <f t="shared" si="12"/>
        <v>0</v>
      </c>
      <c r="AO75" s="3"/>
      <c r="AP75">
        <v>0</v>
      </c>
      <c r="AR75" t="s">
        <v>0</v>
      </c>
      <c r="AT75" s="2" t="s">
        <v>5</v>
      </c>
      <c r="AU75" s="1">
        <f t="shared" si="13"/>
        <v>0.49331304556739003</v>
      </c>
      <c r="AV75" s="1">
        <f t="shared" si="14"/>
        <v>0.35236646111956438</v>
      </c>
      <c r="AW75" s="1">
        <f t="shared" si="15"/>
        <v>0.21141987667173862</v>
      </c>
    </row>
    <row r="76" spans="1:49" x14ac:dyDescent="0.2">
      <c r="A76">
        <v>74</v>
      </c>
      <c r="B76" t="s">
        <v>2288</v>
      </c>
      <c r="F76" t="s">
        <v>2287</v>
      </c>
      <c r="G76" t="s">
        <v>4</v>
      </c>
      <c r="H76" t="s">
        <v>3</v>
      </c>
      <c r="I76" t="s">
        <v>2286</v>
      </c>
      <c r="N76">
        <v>2</v>
      </c>
      <c r="O76" t="s">
        <v>2285</v>
      </c>
      <c r="P76" t="s">
        <v>2284</v>
      </c>
      <c r="Q76" t="s">
        <v>51</v>
      </c>
      <c r="R76" s="7">
        <v>32843</v>
      </c>
      <c r="S76" s="8">
        <f t="shared" si="8"/>
        <v>1989</v>
      </c>
      <c r="T76" s="8">
        <v>1989</v>
      </c>
      <c r="U76" s="8">
        <f t="shared" si="9"/>
        <v>33</v>
      </c>
      <c r="V76" s="7">
        <v>1989</v>
      </c>
      <c r="W76" t="s">
        <v>2071</v>
      </c>
      <c r="X76" s="2" t="s">
        <v>5</v>
      </c>
      <c r="Y76" s="6" t="e">
        <f t="shared" si="10"/>
        <v>#VALUE!</v>
      </c>
      <c r="AA76">
        <v>337870</v>
      </c>
      <c r="AB76">
        <v>32478</v>
      </c>
      <c r="AD76" t="s">
        <v>1</v>
      </c>
      <c r="AE76">
        <v>32</v>
      </c>
      <c r="AF76">
        <v>7</v>
      </c>
      <c r="AH76" t="s">
        <v>2283</v>
      </c>
      <c r="AI76" t="s">
        <v>2282</v>
      </c>
      <c r="AK76" t="s">
        <v>2281</v>
      </c>
      <c r="AL76">
        <v>0</v>
      </c>
      <c r="AM76" s="5">
        <f t="shared" si="11"/>
        <v>0</v>
      </c>
      <c r="AN76" s="4">
        <f t="shared" si="12"/>
        <v>0</v>
      </c>
      <c r="AO76" s="3"/>
      <c r="AP76">
        <v>0</v>
      </c>
      <c r="AR76" t="s">
        <v>0</v>
      </c>
      <c r="AT76" s="2" t="s">
        <v>5</v>
      </c>
      <c r="AU76" s="1" t="e">
        <f t="shared" si="13"/>
        <v>#VALUE!</v>
      </c>
      <c r="AV76" s="1" t="e">
        <f t="shared" si="14"/>
        <v>#VALUE!</v>
      </c>
      <c r="AW76" s="1" t="e">
        <f t="shared" si="15"/>
        <v>#VALUE!</v>
      </c>
    </row>
    <row r="77" spans="1:49" x14ac:dyDescent="0.2">
      <c r="A77">
        <v>75</v>
      </c>
      <c r="B77" t="s">
        <v>2280</v>
      </c>
      <c r="F77" t="s">
        <v>2279</v>
      </c>
      <c r="G77" t="s">
        <v>4</v>
      </c>
      <c r="H77" t="s">
        <v>3</v>
      </c>
      <c r="I77" t="s">
        <v>2278</v>
      </c>
      <c r="N77">
        <v>3</v>
      </c>
      <c r="O77" t="s">
        <v>2277</v>
      </c>
      <c r="P77" t="s">
        <v>2276</v>
      </c>
      <c r="Q77" t="s">
        <v>20</v>
      </c>
      <c r="R77" s="7">
        <v>32843</v>
      </c>
      <c r="S77" s="8">
        <f t="shared" si="8"/>
        <v>1989</v>
      </c>
      <c r="T77" s="8">
        <v>1989</v>
      </c>
      <c r="U77" s="8">
        <f t="shared" si="9"/>
        <v>33</v>
      </c>
      <c r="V77" s="7">
        <v>1989</v>
      </c>
      <c r="W77" t="s">
        <v>2071</v>
      </c>
      <c r="X77" s="2" t="s">
        <v>5</v>
      </c>
      <c r="Y77" s="6" t="e">
        <f t="shared" si="10"/>
        <v>#VALUE!</v>
      </c>
      <c r="AA77">
        <v>337870</v>
      </c>
      <c r="AB77">
        <v>32478</v>
      </c>
      <c r="AD77" t="s">
        <v>1</v>
      </c>
      <c r="AE77">
        <v>32</v>
      </c>
      <c r="AF77">
        <v>8</v>
      </c>
      <c r="AH77" t="s">
        <v>2275</v>
      </c>
      <c r="AI77" t="s">
        <v>2274</v>
      </c>
      <c r="AK77" t="s">
        <v>2273</v>
      </c>
      <c r="AL77">
        <v>0</v>
      </c>
      <c r="AM77" s="5">
        <f t="shared" si="11"/>
        <v>0</v>
      </c>
      <c r="AN77" s="4">
        <f t="shared" si="12"/>
        <v>0</v>
      </c>
      <c r="AO77" s="3"/>
      <c r="AP77">
        <v>0</v>
      </c>
      <c r="AR77" t="s">
        <v>0</v>
      </c>
      <c r="AT77" s="2" t="s">
        <v>5</v>
      </c>
      <c r="AU77" s="1" t="e">
        <f t="shared" si="13"/>
        <v>#VALUE!</v>
      </c>
      <c r="AV77" s="1" t="e">
        <f t="shared" si="14"/>
        <v>#VALUE!</v>
      </c>
      <c r="AW77" s="1" t="e">
        <f t="shared" si="15"/>
        <v>#VALUE!</v>
      </c>
    </row>
    <row r="78" spans="1:49" x14ac:dyDescent="0.2">
      <c r="A78">
        <v>76</v>
      </c>
      <c r="B78" t="s">
        <v>2272</v>
      </c>
      <c r="F78" t="s">
        <v>2271</v>
      </c>
      <c r="G78" t="s">
        <v>4</v>
      </c>
      <c r="H78" t="s">
        <v>3</v>
      </c>
      <c r="I78" t="s">
        <v>2270</v>
      </c>
      <c r="J78">
        <v>60018276</v>
      </c>
      <c r="K78" t="s">
        <v>2269</v>
      </c>
      <c r="L78" t="s">
        <v>2268</v>
      </c>
      <c r="M78" t="s">
        <v>18</v>
      </c>
      <c r="N78">
        <v>2</v>
      </c>
      <c r="O78" t="s">
        <v>2267</v>
      </c>
      <c r="P78" t="s">
        <v>2266</v>
      </c>
      <c r="Q78" t="s">
        <v>2265</v>
      </c>
      <c r="R78" s="7">
        <v>32843</v>
      </c>
      <c r="S78" s="8">
        <f t="shared" si="8"/>
        <v>1989</v>
      </c>
      <c r="T78" s="8">
        <v>1989</v>
      </c>
      <c r="U78" s="8">
        <f t="shared" si="9"/>
        <v>33</v>
      </c>
      <c r="V78" s="7">
        <v>1989</v>
      </c>
      <c r="W78" t="s">
        <v>185</v>
      </c>
      <c r="X78" s="2">
        <v>0.26400000000000001</v>
      </c>
      <c r="Y78" s="6">
        <f t="shared" si="10"/>
        <v>7.0473292223912874E-3</v>
      </c>
      <c r="AB78">
        <v>82000</v>
      </c>
      <c r="AD78" t="s">
        <v>1</v>
      </c>
      <c r="AE78">
        <v>5</v>
      </c>
      <c r="AH78" t="s">
        <v>2264</v>
      </c>
      <c r="AI78" t="s">
        <v>2263</v>
      </c>
      <c r="AK78" t="s">
        <v>2262</v>
      </c>
      <c r="AL78">
        <v>1</v>
      </c>
      <c r="AM78" s="5">
        <f t="shared" si="11"/>
        <v>3.0303030303030304E-2</v>
      </c>
      <c r="AN78" s="4">
        <f t="shared" si="12"/>
        <v>4.5896297316214016E-5</v>
      </c>
      <c r="AO78" s="3"/>
      <c r="AP78">
        <v>0</v>
      </c>
      <c r="AR78" t="s">
        <v>0</v>
      </c>
      <c r="AT78" s="2" t="s">
        <v>5</v>
      </c>
      <c r="AU78" s="1">
        <f t="shared" si="13"/>
        <v>0.49468993448687648</v>
      </c>
      <c r="AV78" s="1">
        <f t="shared" si="14"/>
        <v>0.35466127598537511</v>
      </c>
      <c r="AW78" s="1">
        <f t="shared" si="15"/>
        <v>0.21463261748387361</v>
      </c>
    </row>
    <row r="79" spans="1:49" x14ac:dyDescent="0.2">
      <c r="A79">
        <v>77</v>
      </c>
      <c r="B79" t="s">
        <v>2261</v>
      </c>
      <c r="F79" t="s">
        <v>2260</v>
      </c>
      <c r="G79" t="s">
        <v>4</v>
      </c>
      <c r="H79" t="s">
        <v>3</v>
      </c>
      <c r="I79" t="s">
        <v>2259</v>
      </c>
      <c r="J79">
        <v>60077590</v>
      </c>
      <c r="K79" t="s">
        <v>2198</v>
      </c>
      <c r="L79" t="s">
        <v>21</v>
      </c>
      <c r="M79" t="s">
        <v>6</v>
      </c>
      <c r="N79">
        <v>3</v>
      </c>
      <c r="O79" t="s">
        <v>2258</v>
      </c>
      <c r="P79" t="s">
        <v>2257</v>
      </c>
      <c r="Q79" t="s">
        <v>2195</v>
      </c>
      <c r="R79" s="7">
        <v>32843</v>
      </c>
      <c r="S79" s="8">
        <f t="shared" si="8"/>
        <v>1989</v>
      </c>
      <c r="T79" s="8">
        <v>1989</v>
      </c>
      <c r="U79" s="8">
        <f t="shared" si="9"/>
        <v>33</v>
      </c>
      <c r="V79" s="7">
        <v>1989</v>
      </c>
      <c r="W79" t="s">
        <v>185</v>
      </c>
      <c r="X79" s="2">
        <v>0.26400000000000001</v>
      </c>
      <c r="Y79" s="6">
        <f t="shared" si="10"/>
        <v>7.0473292223912874E-3</v>
      </c>
      <c r="AB79">
        <v>82000</v>
      </c>
      <c r="AD79" t="s">
        <v>1</v>
      </c>
      <c r="AE79">
        <v>5</v>
      </c>
      <c r="AH79">
        <v>2856</v>
      </c>
      <c r="AI79" t="s">
        <v>2256</v>
      </c>
      <c r="AK79" t="s">
        <v>2255</v>
      </c>
      <c r="AL79">
        <v>0</v>
      </c>
      <c r="AM79" s="5">
        <f t="shared" si="11"/>
        <v>0</v>
      </c>
      <c r="AN79" s="4">
        <f t="shared" si="12"/>
        <v>0</v>
      </c>
      <c r="AO79" s="3"/>
      <c r="AP79">
        <v>0</v>
      </c>
      <c r="AR79" t="s">
        <v>0</v>
      </c>
      <c r="AT79" s="2" t="s">
        <v>5</v>
      </c>
      <c r="AU79" s="1">
        <f t="shared" si="13"/>
        <v>0.49331304556739003</v>
      </c>
      <c r="AV79" s="1">
        <f t="shared" si="14"/>
        <v>0.35236646111956438</v>
      </c>
      <c r="AW79" s="1">
        <f t="shared" si="15"/>
        <v>0.21141987667173862</v>
      </c>
    </row>
    <row r="80" spans="1:49" x14ac:dyDescent="0.2">
      <c r="A80">
        <v>78</v>
      </c>
      <c r="B80" t="s">
        <v>2254</v>
      </c>
      <c r="F80" t="s">
        <v>2253</v>
      </c>
      <c r="G80" t="s">
        <v>4</v>
      </c>
      <c r="H80" t="s">
        <v>3</v>
      </c>
      <c r="I80" t="s">
        <v>2252</v>
      </c>
      <c r="J80">
        <v>60009037</v>
      </c>
      <c r="K80" t="s">
        <v>82</v>
      </c>
      <c r="L80" t="s">
        <v>81</v>
      </c>
      <c r="M80" t="s">
        <v>6</v>
      </c>
      <c r="N80">
        <v>1</v>
      </c>
      <c r="O80" t="s">
        <v>2251</v>
      </c>
      <c r="P80">
        <v>7103099518</v>
      </c>
      <c r="Q80">
        <v>60009037</v>
      </c>
      <c r="R80" s="7">
        <v>32843</v>
      </c>
      <c r="S80" s="8">
        <f t="shared" si="8"/>
        <v>1989</v>
      </c>
      <c r="T80" s="8">
        <v>1989</v>
      </c>
      <c r="U80" s="8">
        <f t="shared" si="9"/>
        <v>33</v>
      </c>
      <c r="V80" s="7">
        <v>1989</v>
      </c>
      <c r="W80" t="s">
        <v>185</v>
      </c>
      <c r="X80" s="2">
        <v>0.26400000000000001</v>
      </c>
      <c r="Y80" s="6">
        <f t="shared" si="10"/>
        <v>7.0473292223912874E-3</v>
      </c>
      <c r="AB80">
        <v>82000</v>
      </c>
      <c r="AD80" t="s">
        <v>1</v>
      </c>
      <c r="AE80">
        <v>5</v>
      </c>
      <c r="AH80" t="s">
        <v>2250</v>
      </c>
      <c r="AI80" t="s">
        <v>2249</v>
      </c>
      <c r="AK80" t="s">
        <v>2248</v>
      </c>
      <c r="AL80">
        <v>2</v>
      </c>
      <c r="AM80" s="5">
        <f t="shared" si="11"/>
        <v>6.0606060606060608E-2</v>
      </c>
      <c r="AN80" s="4">
        <f t="shared" si="12"/>
        <v>9.1792594632428032E-5</v>
      </c>
      <c r="AO80" s="3"/>
      <c r="AP80">
        <v>0</v>
      </c>
      <c r="AR80" t="s">
        <v>0</v>
      </c>
      <c r="AT80" s="2" t="s">
        <v>5</v>
      </c>
      <c r="AU80" s="1">
        <f t="shared" si="13"/>
        <v>0.49606682340636293</v>
      </c>
      <c r="AV80" s="1">
        <f t="shared" si="14"/>
        <v>0.35695609085118574</v>
      </c>
      <c r="AW80" s="1">
        <f t="shared" si="15"/>
        <v>0.21784535829600854</v>
      </c>
    </row>
    <row r="81" spans="1:49" x14ac:dyDescent="0.2">
      <c r="A81">
        <v>79</v>
      </c>
      <c r="B81" t="s">
        <v>2247</v>
      </c>
      <c r="F81" t="s">
        <v>2246</v>
      </c>
      <c r="G81" t="s">
        <v>4</v>
      </c>
      <c r="H81" t="s">
        <v>3</v>
      </c>
      <c r="I81" t="s">
        <v>2245</v>
      </c>
      <c r="J81">
        <v>60010294</v>
      </c>
      <c r="K81" t="s">
        <v>2244</v>
      </c>
      <c r="L81" t="s">
        <v>2243</v>
      </c>
      <c r="M81" t="s">
        <v>149</v>
      </c>
      <c r="N81">
        <v>2</v>
      </c>
      <c r="O81" t="s">
        <v>2242</v>
      </c>
      <c r="P81" t="s">
        <v>2241</v>
      </c>
      <c r="Q81" t="s">
        <v>2240</v>
      </c>
      <c r="R81" s="7">
        <v>32843</v>
      </c>
      <c r="S81" s="8">
        <f t="shared" si="8"/>
        <v>1989</v>
      </c>
      <c r="T81" s="8">
        <v>1989</v>
      </c>
      <c r="U81" s="8">
        <f t="shared" si="9"/>
        <v>33</v>
      </c>
      <c r="V81" s="7">
        <v>1989</v>
      </c>
      <c r="W81" t="s">
        <v>185</v>
      </c>
      <c r="X81" s="2">
        <v>0.26400000000000001</v>
      </c>
      <c r="Y81" s="6">
        <f t="shared" si="10"/>
        <v>7.0473292223912874E-3</v>
      </c>
      <c r="AB81">
        <v>82000</v>
      </c>
      <c r="AD81" t="s">
        <v>1</v>
      </c>
      <c r="AE81">
        <v>5</v>
      </c>
      <c r="AH81">
        <v>2874</v>
      </c>
      <c r="AI81" t="s">
        <v>2239</v>
      </c>
      <c r="AK81" t="s">
        <v>2238</v>
      </c>
      <c r="AL81">
        <v>0</v>
      </c>
      <c r="AM81" s="5">
        <f t="shared" si="11"/>
        <v>0</v>
      </c>
      <c r="AN81" s="4">
        <f t="shared" si="12"/>
        <v>0</v>
      </c>
      <c r="AO81" s="3"/>
      <c r="AP81">
        <v>0</v>
      </c>
      <c r="AR81" t="s">
        <v>0</v>
      </c>
      <c r="AT81" s="2" t="s">
        <v>5</v>
      </c>
      <c r="AU81" s="1">
        <f t="shared" si="13"/>
        <v>0.49331304556739003</v>
      </c>
      <c r="AV81" s="1">
        <f t="shared" si="14"/>
        <v>0.35236646111956438</v>
      </c>
      <c r="AW81" s="1">
        <f t="shared" si="15"/>
        <v>0.21141987667173862</v>
      </c>
    </row>
    <row r="82" spans="1:49" x14ac:dyDescent="0.2">
      <c r="A82">
        <v>80</v>
      </c>
      <c r="B82" t="s">
        <v>2237</v>
      </c>
      <c r="F82" t="s">
        <v>2236</v>
      </c>
      <c r="G82" t="s">
        <v>4</v>
      </c>
      <c r="H82" t="s">
        <v>3</v>
      </c>
      <c r="I82" t="s">
        <v>2235</v>
      </c>
      <c r="J82">
        <v>60006337</v>
      </c>
      <c r="K82" t="s">
        <v>2209</v>
      </c>
      <c r="L82" t="s">
        <v>2208</v>
      </c>
      <c r="M82" t="s">
        <v>6</v>
      </c>
      <c r="N82">
        <v>2</v>
      </c>
      <c r="O82" t="s">
        <v>2234</v>
      </c>
      <c r="P82" t="s">
        <v>2233</v>
      </c>
      <c r="Q82" t="s">
        <v>2232</v>
      </c>
      <c r="R82" s="7">
        <v>32843</v>
      </c>
      <c r="S82" s="8">
        <f t="shared" si="8"/>
        <v>1989</v>
      </c>
      <c r="T82" s="8">
        <v>1989</v>
      </c>
      <c r="U82" s="8">
        <f t="shared" si="9"/>
        <v>33</v>
      </c>
      <c r="V82" s="7">
        <v>1989</v>
      </c>
      <c r="W82" t="s">
        <v>185</v>
      </c>
      <c r="X82" s="2">
        <v>0.26400000000000001</v>
      </c>
      <c r="Y82" s="6">
        <f t="shared" si="10"/>
        <v>7.0473292223912874E-3</v>
      </c>
      <c r="AB82">
        <v>82000</v>
      </c>
      <c r="AD82" t="s">
        <v>1</v>
      </c>
      <c r="AE82">
        <v>5</v>
      </c>
      <c r="AH82">
        <v>2847</v>
      </c>
      <c r="AI82" t="s">
        <v>2231</v>
      </c>
      <c r="AK82" t="s">
        <v>2230</v>
      </c>
      <c r="AL82">
        <v>1</v>
      </c>
      <c r="AM82" s="5">
        <f t="shared" si="11"/>
        <v>3.0303030303030304E-2</v>
      </c>
      <c r="AN82" s="4">
        <f t="shared" si="12"/>
        <v>4.5896297316214016E-5</v>
      </c>
      <c r="AO82" s="3"/>
      <c r="AP82">
        <v>0</v>
      </c>
      <c r="AR82" t="s">
        <v>0</v>
      </c>
      <c r="AT82" s="2" t="s">
        <v>5</v>
      </c>
      <c r="AU82" s="1">
        <f t="shared" si="13"/>
        <v>0.49468993448687648</v>
      </c>
      <c r="AV82" s="1">
        <f t="shared" si="14"/>
        <v>0.35466127598537511</v>
      </c>
      <c r="AW82" s="1">
        <f t="shared" si="15"/>
        <v>0.21463261748387361</v>
      </c>
    </row>
    <row r="83" spans="1:49" x14ac:dyDescent="0.2">
      <c r="A83">
        <v>81</v>
      </c>
      <c r="B83" t="s">
        <v>2229</v>
      </c>
      <c r="F83" t="s">
        <v>2228</v>
      </c>
      <c r="G83" t="s">
        <v>4</v>
      </c>
      <c r="H83" t="s">
        <v>3</v>
      </c>
      <c r="I83" t="s">
        <v>2227</v>
      </c>
      <c r="J83">
        <v>60023345</v>
      </c>
      <c r="K83" t="s">
        <v>143</v>
      </c>
      <c r="L83" t="s">
        <v>142</v>
      </c>
      <c r="M83" t="s">
        <v>45</v>
      </c>
      <c r="N83">
        <v>3</v>
      </c>
      <c r="O83" t="s">
        <v>2226</v>
      </c>
      <c r="P83" t="s">
        <v>2225</v>
      </c>
      <c r="Q83" t="s">
        <v>2224</v>
      </c>
      <c r="R83" s="7">
        <v>32843</v>
      </c>
      <c r="S83" s="8">
        <f t="shared" si="8"/>
        <v>1989</v>
      </c>
      <c r="T83" s="8">
        <v>1989</v>
      </c>
      <c r="U83" s="8">
        <f t="shared" si="9"/>
        <v>33</v>
      </c>
      <c r="V83" s="7">
        <v>1989</v>
      </c>
      <c r="W83" t="s">
        <v>185</v>
      </c>
      <c r="X83" s="2">
        <v>0.26400000000000001</v>
      </c>
      <c r="Y83" s="6">
        <f t="shared" si="10"/>
        <v>7.0473292223912874E-3</v>
      </c>
      <c r="AB83">
        <v>82000</v>
      </c>
      <c r="AD83" t="s">
        <v>1</v>
      </c>
      <c r="AE83">
        <v>4</v>
      </c>
      <c r="AH83" t="s">
        <v>2223</v>
      </c>
      <c r="AI83" t="s">
        <v>2222</v>
      </c>
      <c r="AK83" t="s">
        <v>2221</v>
      </c>
      <c r="AL83">
        <v>1</v>
      </c>
      <c r="AM83" s="5">
        <f t="shared" si="11"/>
        <v>3.0303030303030304E-2</v>
      </c>
      <c r="AN83" s="4">
        <f t="shared" si="12"/>
        <v>4.5896297316214016E-5</v>
      </c>
      <c r="AO83" s="3"/>
      <c r="AP83">
        <v>0</v>
      </c>
      <c r="AR83" t="s">
        <v>0</v>
      </c>
      <c r="AT83" s="2" t="s">
        <v>5</v>
      </c>
      <c r="AU83" s="1">
        <f t="shared" si="13"/>
        <v>0.49468993448687648</v>
      </c>
      <c r="AV83" s="1">
        <f t="shared" si="14"/>
        <v>0.35466127598537511</v>
      </c>
      <c r="AW83" s="1">
        <f t="shared" si="15"/>
        <v>0.21463261748387361</v>
      </c>
    </row>
    <row r="84" spans="1:49" x14ac:dyDescent="0.2">
      <c r="A84">
        <v>82</v>
      </c>
      <c r="B84" t="s">
        <v>2220</v>
      </c>
      <c r="F84" t="s">
        <v>2219</v>
      </c>
      <c r="G84" t="s">
        <v>4</v>
      </c>
      <c r="H84" t="s">
        <v>3</v>
      </c>
      <c r="I84" t="s">
        <v>2218</v>
      </c>
      <c r="N84">
        <v>2</v>
      </c>
      <c r="O84" t="s">
        <v>2217</v>
      </c>
      <c r="P84" t="s">
        <v>2216</v>
      </c>
      <c r="Q84" t="s">
        <v>51</v>
      </c>
      <c r="R84" s="7">
        <v>32843</v>
      </c>
      <c r="S84" s="8">
        <f t="shared" si="8"/>
        <v>1989</v>
      </c>
      <c r="T84" s="8">
        <v>1989</v>
      </c>
      <c r="U84" s="8">
        <f t="shared" si="9"/>
        <v>33</v>
      </c>
      <c r="V84" s="7">
        <v>1989</v>
      </c>
      <c r="W84" t="s">
        <v>2071</v>
      </c>
      <c r="X84" s="2" t="s">
        <v>5</v>
      </c>
      <c r="Y84" s="6" t="e">
        <f t="shared" si="10"/>
        <v>#VALUE!</v>
      </c>
      <c r="AA84">
        <v>337870</v>
      </c>
      <c r="AB84">
        <v>32478</v>
      </c>
      <c r="AD84" t="s">
        <v>1</v>
      </c>
      <c r="AE84">
        <v>32</v>
      </c>
      <c r="AF84">
        <v>8</v>
      </c>
      <c r="AH84" t="s">
        <v>2215</v>
      </c>
      <c r="AI84" t="s">
        <v>2214</v>
      </c>
      <c r="AK84" t="s">
        <v>2213</v>
      </c>
      <c r="AL84">
        <v>0</v>
      </c>
      <c r="AM84" s="5">
        <f t="shared" si="11"/>
        <v>0</v>
      </c>
      <c r="AN84" s="4">
        <f t="shared" si="12"/>
        <v>0</v>
      </c>
      <c r="AO84" s="3"/>
      <c r="AP84">
        <v>0</v>
      </c>
      <c r="AR84" t="s">
        <v>0</v>
      </c>
      <c r="AT84" s="2" t="s">
        <v>5</v>
      </c>
      <c r="AU84" s="1" t="e">
        <f t="shared" si="13"/>
        <v>#VALUE!</v>
      </c>
      <c r="AV84" s="1" t="e">
        <f t="shared" si="14"/>
        <v>#VALUE!</v>
      </c>
      <c r="AW84" s="1" t="e">
        <f t="shared" si="15"/>
        <v>#VALUE!</v>
      </c>
    </row>
    <row r="85" spans="1:49" x14ac:dyDescent="0.2">
      <c r="A85">
        <v>83</v>
      </c>
      <c r="B85" t="s">
        <v>2212</v>
      </c>
      <c r="F85" t="s">
        <v>2211</v>
      </c>
      <c r="G85" t="s">
        <v>4</v>
      </c>
      <c r="H85" t="s">
        <v>3</v>
      </c>
      <c r="I85" t="s">
        <v>2210</v>
      </c>
      <c r="J85">
        <v>60006337</v>
      </c>
      <c r="K85" t="s">
        <v>2209</v>
      </c>
      <c r="L85" t="s">
        <v>2208</v>
      </c>
      <c r="M85" t="s">
        <v>6</v>
      </c>
      <c r="N85">
        <v>5</v>
      </c>
      <c r="O85" t="s">
        <v>2207</v>
      </c>
      <c r="P85" t="s">
        <v>2206</v>
      </c>
      <c r="Q85" t="s">
        <v>2205</v>
      </c>
      <c r="R85" s="7">
        <v>32843</v>
      </c>
      <c r="S85" s="8">
        <f t="shared" si="8"/>
        <v>1989</v>
      </c>
      <c r="T85" s="8">
        <v>1989</v>
      </c>
      <c r="U85" s="8">
        <f t="shared" si="9"/>
        <v>33</v>
      </c>
      <c r="V85" s="7">
        <v>1989</v>
      </c>
      <c r="W85" t="s">
        <v>185</v>
      </c>
      <c r="X85" s="2">
        <v>0.26400000000000001</v>
      </c>
      <c r="Y85" s="6">
        <f t="shared" si="10"/>
        <v>7.0473292223912874E-3</v>
      </c>
      <c r="AB85">
        <v>82000</v>
      </c>
      <c r="AD85" t="s">
        <v>1</v>
      </c>
      <c r="AE85">
        <v>1</v>
      </c>
      <c r="AH85" t="s">
        <v>2204</v>
      </c>
      <c r="AI85" t="s">
        <v>2203</v>
      </c>
      <c r="AK85" t="s">
        <v>2202</v>
      </c>
      <c r="AL85">
        <v>0</v>
      </c>
      <c r="AM85" s="5">
        <f t="shared" si="11"/>
        <v>0</v>
      </c>
      <c r="AN85" s="4">
        <f t="shared" si="12"/>
        <v>0</v>
      </c>
      <c r="AO85" s="3"/>
      <c r="AP85">
        <v>0</v>
      </c>
      <c r="AR85" t="s">
        <v>0</v>
      </c>
      <c r="AT85" s="2" t="s">
        <v>5</v>
      </c>
      <c r="AU85" s="1">
        <f t="shared" si="13"/>
        <v>0.49331304556739003</v>
      </c>
      <c r="AV85" s="1">
        <f t="shared" si="14"/>
        <v>0.35236646111956438</v>
      </c>
      <c r="AW85" s="1">
        <f t="shared" si="15"/>
        <v>0.21141987667173862</v>
      </c>
    </row>
    <row r="86" spans="1:49" x14ac:dyDescent="0.2">
      <c r="A86">
        <v>84</v>
      </c>
      <c r="B86" t="s">
        <v>2201</v>
      </c>
      <c r="F86" t="s">
        <v>2200</v>
      </c>
      <c r="G86" t="s">
        <v>4</v>
      </c>
      <c r="H86" t="s">
        <v>3</v>
      </c>
      <c r="I86" t="s">
        <v>2199</v>
      </c>
      <c r="J86">
        <v>60077590</v>
      </c>
      <c r="K86" t="s">
        <v>2198</v>
      </c>
      <c r="L86" t="s">
        <v>21</v>
      </c>
      <c r="M86" t="s">
        <v>6</v>
      </c>
      <c r="N86">
        <v>3</v>
      </c>
      <c r="O86" t="s">
        <v>2197</v>
      </c>
      <c r="P86" t="s">
        <v>2196</v>
      </c>
      <c r="Q86" t="s">
        <v>2195</v>
      </c>
      <c r="R86" s="7">
        <v>32843</v>
      </c>
      <c r="S86" s="8">
        <f t="shared" si="8"/>
        <v>1989</v>
      </c>
      <c r="T86" s="8">
        <v>1989</v>
      </c>
      <c r="U86" s="8">
        <f t="shared" si="9"/>
        <v>33</v>
      </c>
      <c r="V86" s="7">
        <v>1989</v>
      </c>
      <c r="W86" t="s">
        <v>185</v>
      </c>
      <c r="X86" s="2">
        <v>0.26400000000000001</v>
      </c>
      <c r="Y86" s="6">
        <f t="shared" si="10"/>
        <v>7.0473292223912874E-3</v>
      </c>
      <c r="AB86">
        <v>82000</v>
      </c>
      <c r="AD86" t="s">
        <v>1</v>
      </c>
      <c r="AE86">
        <v>5</v>
      </c>
      <c r="AH86">
        <v>2855</v>
      </c>
      <c r="AI86" t="s">
        <v>2194</v>
      </c>
      <c r="AK86" t="s">
        <v>2193</v>
      </c>
      <c r="AL86">
        <v>0</v>
      </c>
      <c r="AM86" s="5">
        <f t="shared" si="11"/>
        <v>0</v>
      </c>
      <c r="AN86" s="4">
        <f t="shared" si="12"/>
        <v>0</v>
      </c>
      <c r="AO86" s="3"/>
      <c r="AP86">
        <v>0</v>
      </c>
      <c r="AR86" t="s">
        <v>0</v>
      </c>
      <c r="AT86" s="2" t="s">
        <v>5</v>
      </c>
      <c r="AU86" s="1">
        <f t="shared" si="13"/>
        <v>0.49331304556739003</v>
      </c>
      <c r="AV86" s="1">
        <f t="shared" si="14"/>
        <v>0.35236646111956438</v>
      </c>
      <c r="AW86" s="1">
        <f t="shared" si="15"/>
        <v>0.21141987667173862</v>
      </c>
    </row>
    <row r="87" spans="1:49" x14ac:dyDescent="0.2">
      <c r="A87">
        <v>85</v>
      </c>
      <c r="B87" t="s">
        <v>2192</v>
      </c>
      <c r="F87" t="s">
        <v>2191</v>
      </c>
      <c r="G87" t="s">
        <v>4</v>
      </c>
      <c r="H87" t="s">
        <v>3</v>
      </c>
      <c r="I87" t="s">
        <v>2190</v>
      </c>
      <c r="J87">
        <v>60025778</v>
      </c>
      <c r="K87" t="s">
        <v>84</v>
      </c>
      <c r="L87" t="s">
        <v>54</v>
      </c>
      <c r="M87" t="s">
        <v>6</v>
      </c>
      <c r="N87">
        <v>2</v>
      </c>
      <c r="O87" t="s">
        <v>2189</v>
      </c>
      <c r="P87" t="s">
        <v>2188</v>
      </c>
      <c r="Q87" t="s">
        <v>154</v>
      </c>
      <c r="R87" s="7">
        <v>32843</v>
      </c>
      <c r="S87" s="8">
        <f t="shared" si="8"/>
        <v>1989</v>
      </c>
      <c r="T87" s="8">
        <v>1989</v>
      </c>
      <c r="U87" s="8">
        <f t="shared" si="9"/>
        <v>33</v>
      </c>
      <c r="V87" s="7">
        <v>1989</v>
      </c>
      <c r="W87" t="s">
        <v>185</v>
      </c>
      <c r="X87" s="2">
        <v>0.26400000000000001</v>
      </c>
      <c r="Y87" s="6">
        <f t="shared" si="10"/>
        <v>7.0473292223912874E-3</v>
      </c>
      <c r="AB87">
        <v>82000</v>
      </c>
      <c r="AD87" t="s">
        <v>1</v>
      </c>
      <c r="AE87">
        <v>5</v>
      </c>
      <c r="AH87" t="s">
        <v>2187</v>
      </c>
      <c r="AI87" t="s">
        <v>2186</v>
      </c>
      <c r="AK87" t="s">
        <v>2185</v>
      </c>
      <c r="AL87">
        <v>0</v>
      </c>
      <c r="AM87" s="5">
        <f t="shared" si="11"/>
        <v>0</v>
      </c>
      <c r="AN87" s="4">
        <f t="shared" si="12"/>
        <v>0</v>
      </c>
      <c r="AO87" s="3"/>
      <c r="AP87">
        <v>0</v>
      </c>
      <c r="AR87" t="s">
        <v>0</v>
      </c>
      <c r="AT87" s="2" t="s">
        <v>5</v>
      </c>
      <c r="AU87" s="1">
        <f t="shared" si="13"/>
        <v>0.49331304556739003</v>
      </c>
      <c r="AV87" s="1">
        <f t="shared" si="14"/>
        <v>0.35236646111956438</v>
      </c>
      <c r="AW87" s="1">
        <f t="shared" si="15"/>
        <v>0.21141987667173862</v>
      </c>
    </row>
    <row r="88" spans="1:49" x14ac:dyDescent="0.2">
      <c r="A88">
        <v>86</v>
      </c>
      <c r="B88" t="s">
        <v>2184</v>
      </c>
      <c r="F88" t="s">
        <v>2183</v>
      </c>
      <c r="G88" t="s">
        <v>4</v>
      </c>
      <c r="H88" t="s">
        <v>3</v>
      </c>
      <c r="I88" t="s">
        <v>2182</v>
      </c>
      <c r="N88">
        <v>2</v>
      </c>
      <c r="O88" t="s">
        <v>2181</v>
      </c>
      <c r="P88" t="s">
        <v>2180</v>
      </c>
      <c r="Q88" t="s">
        <v>51</v>
      </c>
      <c r="R88" s="7">
        <v>32843</v>
      </c>
      <c r="S88" s="8">
        <f t="shared" si="8"/>
        <v>1989</v>
      </c>
      <c r="T88" s="8">
        <v>1989</v>
      </c>
      <c r="U88" s="8">
        <f t="shared" si="9"/>
        <v>33</v>
      </c>
      <c r="V88" s="7">
        <v>1989</v>
      </c>
      <c r="W88" t="s">
        <v>2071</v>
      </c>
      <c r="X88" s="2" t="s">
        <v>5</v>
      </c>
      <c r="Y88" s="6" t="e">
        <f t="shared" si="10"/>
        <v>#VALUE!</v>
      </c>
      <c r="AA88">
        <v>337870</v>
      </c>
      <c r="AB88">
        <v>32478</v>
      </c>
      <c r="AD88" t="s">
        <v>1</v>
      </c>
      <c r="AE88">
        <v>32</v>
      </c>
      <c r="AF88">
        <v>8</v>
      </c>
      <c r="AH88" t="s">
        <v>1515</v>
      </c>
      <c r="AI88" t="s">
        <v>2179</v>
      </c>
      <c r="AK88" t="s">
        <v>2178</v>
      </c>
      <c r="AL88">
        <v>0</v>
      </c>
      <c r="AM88" s="5">
        <f t="shared" si="11"/>
        <v>0</v>
      </c>
      <c r="AN88" s="4">
        <f t="shared" si="12"/>
        <v>0</v>
      </c>
      <c r="AO88" s="3"/>
      <c r="AP88">
        <v>0</v>
      </c>
      <c r="AR88" t="s">
        <v>0</v>
      </c>
      <c r="AT88" s="2" t="s">
        <v>5</v>
      </c>
      <c r="AU88" s="1" t="e">
        <f t="shared" si="13"/>
        <v>#VALUE!</v>
      </c>
      <c r="AV88" s="1" t="e">
        <f t="shared" si="14"/>
        <v>#VALUE!</v>
      </c>
      <c r="AW88" s="1" t="e">
        <f t="shared" si="15"/>
        <v>#VALUE!</v>
      </c>
    </row>
    <row r="89" spans="1:49" x14ac:dyDescent="0.2">
      <c r="A89">
        <v>87</v>
      </c>
      <c r="B89" t="s">
        <v>2177</v>
      </c>
      <c r="F89" t="s">
        <v>2176</v>
      </c>
      <c r="G89" t="s">
        <v>4</v>
      </c>
      <c r="H89" t="s">
        <v>3</v>
      </c>
      <c r="I89" t="s">
        <v>2129</v>
      </c>
      <c r="J89">
        <v>60026227</v>
      </c>
      <c r="K89" t="s">
        <v>2128</v>
      </c>
      <c r="L89" t="s">
        <v>2127</v>
      </c>
      <c r="M89" t="s">
        <v>6</v>
      </c>
      <c r="N89">
        <v>2</v>
      </c>
      <c r="O89" t="s">
        <v>2126</v>
      </c>
      <c r="P89" t="s">
        <v>2125</v>
      </c>
      <c r="Q89" t="s">
        <v>2124</v>
      </c>
      <c r="R89" s="7">
        <v>32843</v>
      </c>
      <c r="S89" s="8">
        <f t="shared" si="8"/>
        <v>1989</v>
      </c>
      <c r="T89" s="8">
        <v>1989</v>
      </c>
      <c r="U89" s="8">
        <f t="shared" si="9"/>
        <v>33</v>
      </c>
      <c r="V89" s="7">
        <v>1989</v>
      </c>
      <c r="W89" t="s">
        <v>185</v>
      </c>
      <c r="X89" s="2">
        <v>0.26400000000000001</v>
      </c>
      <c r="Y89" s="6">
        <f t="shared" si="10"/>
        <v>7.0473292223912874E-3</v>
      </c>
      <c r="AB89">
        <v>82000</v>
      </c>
      <c r="AD89" t="s">
        <v>1</v>
      </c>
      <c r="AE89">
        <v>5</v>
      </c>
      <c r="AH89" t="s">
        <v>2175</v>
      </c>
      <c r="AI89" t="s">
        <v>2174</v>
      </c>
      <c r="AK89" t="s">
        <v>2173</v>
      </c>
      <c r="AL89">
        <v>0</v>
      </c>
      <c r="AM89" s="5">
        <f t="shared" si="11"/>
        <v>0</v>
      </c>
      <c r="AN89" s="4">
        <f t="shared" si="12"/>
        <v>0</v>
      </c>
      <c r="AO89" s="3"/>
      <c r="AP89">
        <v>0</v>
      </c>
      <c r="AR89" t="s">
        <v>0</v>
      </c>
      <c r="AT89" s="2" t="s">
        <v>5</v>
      </c>
      <c r="AU89" s="1">
        <f t="shared" si="13"/>
        <v>0.49331304556739003</v>
      </c>
      <c r="AV89" s="1">
        <f t="shared" si="14"/>
        <v>0.35236646111956438</v>
      </c>
      <c r="AW89" s="1">
        <f t="shared" si="15"/>
        <v>0.21141987667173862</v>
      </c>
    </row>
    <row r="90" spans="1:49" x14ac:dyDescent="0.2">
      <c r="A90">
        <v>88</v>
      </c>
      <c r="B90" t="s">
        <v>2172</v>
      </c>
      <c r="F90" t="s">
        <v>2171</v>
      </c>
      <c r="G90" t="s">
        <v>4</v>
      </c>
      <c r="H90" t="s">
        <v>3</v>
      </c>
      <c r="I90" t="s">
        <v>2170</v>
      </c>
      <c r="J90">
        <v>60009037</v>
      </c>
      <c r="K90" t="s">
        <v>82</v>
      </c>
      <c r="L90" t="s">
        <v>81</v>
      </c>
      <c r="M90" t="s">
        <v>6</v>
      </c>
      <c r="N90">
        <v>2</v>
      </c>
      <c r="O90" t="s">
        <v>2169</v>
      </c>
      <c r="P90" t="s">
        <v>2168</v>
      </c>
      <c r="Q90" t="s">
        <v>80</v>
      </c>
      <c r="R90" s="7">
        <v>32843</v>
      </c>
      <c r="S90" s="8">
        <f t="shared" si="8"/>
        <v>1989</v>
      </c>
      <c r="T90" s="8">
        <v>1989</v>
      </c>
      <c r="U90" s="8">
        <f t="shared" si="9"/>
        <v>33</v>
      </c>
      <c r="V90" s="7">
        <v>1989</v>
      </c>
      <c r="W90" t="s">
        <v>185</v>
      </c>
      <c r="X90" s="2">
        <v>0.26400000000000001</v>
      </c>
      <c r="Y90" s="6">
        <f t="shared" si="10"/>
        <v>7.0473292223912874E-3</v>
      </c>
      <c r="AB90">
        <v>82000</v>
      </c>
      <c r="AD90" t="s">
        <v>1</v>
      </c>
      <c r="AE90">
        <v>4</v>
      </c>
      <c r="AH90" t="s">
        <v>2167</v>
      </c>
      <c r="AI90" t="s">
        <v>2166</v>
      </c>
      <c r="AK90" t="s">
        <v>2165</v>
      </c>
      <c r="AL90">
        <v>17</v>
      </c>
      <c r="AM90" s="5">
        <f t="shared" si="11"/>
        <v>0.51515151515151514</v>
      </c>
      <c r="AN90" s="4">
        <f t="shared" si="12"/>
        <v>7.8023705437563825E-4</v>
      </c>
      <c r="AO90" s="3"/>
      <c r="AP90">
        <v>0</v>
      </c>
      <c r="AR90" t="s">
        <v>0</v>
      </c>
      <c r="AT90" s="2" t="s">
        <v>5</v>
      </c>
      <c r="AU90" s="1">
        <f t="shared" si="13"/>
        <v>0.51672015719865927</v>
      </c>
      <c r="AV90" s="1">
        <f t="shared" si="14"/>
        <v>0.39137831383834631</v>
      </c>
      <c r="AW90" s="1">
        <f t="shared" si="15"/>
        <v>0.26603647047803325</v>
      </c>
    </row>
    <row r="91" spans="1:49" x14ac:dyDescent="0.2">
      <c r="A91">
        <v>89</v>
      </c>
      <c r="B91" t="s">
        <v>2164</v>
      </c>
      <c r="F91" t="s">
        <v>2163</v>
      </c>
      <c r="G91" t="s">
        <v>4</v>
      </c>
      <c r="H91" t="s">
        <v>3</v>
      </c>
      <c r="I91" t="s">
        <v>2162</v>
      </c>
      <c r="J91">
        <v>60009037</v>
      </c>
      <c r="K91" t="s">
        <v>82</v>
      </c>
      <c r="L91" t="s">
        <v>81</v>
      </c>
      <c r="M91" t="s">
        <v>6</v>
      </c>
      <c r="N91">
        <v>3</v>
      </c>
      <c r="O91" t="s">
        <v>2161</v>
      </c>
      <c r="P91" t="s">
        <v>2160</v>
      </c>
      <c r="Q91" t="s">
        <v>186</v>
      </c>
      <c r="R91" s="7">
        <v>32843</v>
      </c>
      <c r="S91" s="8">
        <f t="shared" si="8"/>
        <v>1989</v>
      </c>
      <c r="T91" s="8">
        <v>1989</v>
      </c>
      <c r="U91" s="8">
        <f t="shared" si="9"/>
        <v>33</v>
      </c>
      <c r="V91" s="7">
        <v>1989</v>
      </c>
      <c r="W91" t="s">
        <v>185</v>
      </c>
      <c r="X91" s="2">
        <v>0.26400000000000001</v>
      </c>
      <c r="Y91" s="6">
        <f t="shared" si="10"/>
        <v>7.0473292223912874E-3</v>
      </c>
      <c r="AB91">
        <v>82000</v>
      </c>
      <c r="AD91" t="s">
        <v>1</v>
      </c>
      <c r="AE91">
        <v>1</v>
      </c>
      <c r="AH91" t="s">
        <v>2159</v>
      </c>
      <c r="AI91" t="s">
        <v>2158</v>
      </c>
      <c r="AK91" t="s">
        <v>2157</v>
      </c>
      <c r="AL91">
        <v>1</v>
      </c>
      <c r="AM91" s="5">
        <f t="shared" si="11"/>
        <v>3.0303030303030304E-2</v>
      </c>
      <c r="AN91" s="4">
        <f t="shared" si="12"/>
        <v>4.5896297316214016E-5</v>
      </c>
      <c r="AO91" s="3"/>
      <c r="AP91">
        <v>0</v>
      </c>
      <c r="AR91" t="s">
        <v>0</v>
      </c>
      <c r="AT91" s="2" t="s">
        <v>5</v>
      </c>
      <c r="AU91" s="1">
        <f t="shared" si="13"/>
        <v>0.49468993448687648</v>
      </c>
      <c r="AV91" s="1">
        <f t="shared" si="14"/>
        <v>0.35466127598537511</v>
      </c>
      <c r="AW91" s="1">
        <f t="shared" si="15"/>
        <v>0.21463261748387361</v>
      </c>
    </row>
    <row r="92" spans="1:49" x14ac:dyDescent="0.2">
      <c r="A92">
        <v>90</v>
      </c>
      <c r="B92" t="s">
        <v>2156</v>
      </c>
      <c r="F92" t="s">
        <v>2155</v>
      </c>
      <c r="G92" t="s">
        <v>4</v>
      </c>
      <c r="H92" t="s">
        <v>3</v>
      </c>
      <c r="I92" t="s">
        <v>1995</v>
      </c>
      <c r="J92">
        <v>60032987</v>
      </c>
      <c r="K92" t="s">
        <v>43</v>
      </c>
      <c r="L92" t="s">
        <v>42</v>
      </c>
      <c r="M92" t="s">
        <v>41</v>
      </c>
      <c r="N92">
        <v>1</v>
      </c>
      <c r="O92" t="s">
        <v>1994</v>
      </c>
      <c r="P92">
        <v>36893654800</v>
      </c>
      <c r="Q92">
        <v>60032987</v>
      </c>
      <c r="R92" s="7">
        <v>32843</v>
      </c>
      <c r="S92" s="8">
        <f t="shared" si="8"/>
        <v>1989</v>
      </c>
      <c r="T92" s="8">
        <v>1989</v>
      </c>
      <c r="U92" s="8">
        <f t="shared" si="9"/>
        <v>33</v>
      </c>
      <c r="V92" s="7">
        <v>1989</v>
      </c>
      <c r="W92" t="s">
        <v>185</v>
      </c>
      <c r="X92" s="2">
        <v>0.26400000000000001</v>
      </c>
      <c r="Y92" s="6">
        <f t="shared" si="10"/>
        <v>7.0473292223912874E-3</v>
      </c>
      <c r="AB92">
        <v>82000</v>
      </c>
      <c r="AD92" t="s">
        <v>1</v>
      </c>
      <c r="AE92">
        <v>5</v>
      </c>
      <c r="AH92">
        <v>2875</v>
      </c>
      <c r="AI92" t="s">
        <v>2154</v>
      </c>
      <c r="AK92" t="s">
        <v>2153</v>
      </c>
      <c r="AL92">
        <v>0</v>
      </c>
      <c r="AM92" s="5">
        <f t="shared" si="11"/>
        <v>0</v>
      </c>
      <c r="AN92" s="4">
        <f t="shared" si="12"/>
        <v>0</v>
      </c>
      <c r="AO92" s="3"/>
      <c r="AP92">
        <v>0</v>
      </c>
      <c r="AR92" t="s">
        <v>0</v>
      </c>
      <c r="AT92" s="2" t="s">
        <v>5</v>
      </c>
      <c r="AU92" s="1">
        <f t="shared" si="13"/>
        <v>0.49331304556739003</v>
      </c>
      <c r="AV92" s="1">
        <f t="shared" si="14"/>
        <v>0.35236646111956438</v>
      </c>
      <c r="AW92" s="1">
        <f t="shared" si="15"/>
        <v>0.21141987667173862</v>
      </c>
    </row>
    <row r="93" spans="1:49" x14ac:dyDescent="0.2">
      <c r="A93">
        <v>91</v>
      </c>
      <c r="B93" t="s">
        <v>2152</v>
      </c>
      <c r="F93" t="s">
        <v>2151</v>
      </c>
      <c r="G93" t="s">
        <v>4</v>
      </c>
      <c r="H93" t="s">
        <v>3</v>
      </c>
      <c r="I93" t="s">
        <v>2150</v>
      </c>
      <c r="J93">
        <v>60009037</v>
      </c>
      <c r="K93" t="s">
        <v>82</v>
      </c>
      <c r="L93" t="s">
        <v>81</v>
      </c>
      <c r="M93" t="s">
        <v>6</v>
      </c>
      <c r="N93">
        <v>1</v>
      </c>
      <c r="O93" t="s">
        <v>2149</v>
      </c>
      <c r="P93">
        <v>57201232259</v>
      </c>
      <c r="Q93">
        <v>60009037</v>
      </c>
      <c r="R93" s="7">
        <v>32843</v>
      </c>
      <c r="S93" s="8">
        <f t="shared" si="8"/>
        <v>1989</v>
      </c>
      <c r="T93" s="8">
        <v>1989</v>
      </c>
      <c r="U93" s="8">
        <f t="shared" si="9"/>
        <v>33</v>
      </c>
      <c r="V93" s="7">
        <v>1989</v>
      </c>
      <c r="W93" t="s">
        <v>185</v>
      </c>
      <c r="X93" s="2">
        <v>0.26400000000000001</v>
      </c>
      <c r="Y93" s="6">
        <f t="shared" si="10"/>
        <v>7.0473292223912874E-3</v>
      </c>
      <c r="AB93">
        <v>82000</v>
      </c>
      <c r="AD93" t="s">
        <v>1</v>
      </c>
      <c r="AE93">
        <v>4</v>
      </c>
      <c r="AH93">
        <v>2478</v>
      </c>
      <c r="AI93" t="s">
        <v>2148</v>
      </c>
      <c r="AK93" t="s">
        <v>2147</v>
      </c>
      <c r="AL93">
        <v>0</v>
      </c>
      <c r="AM93" s="5">
        <f t="shared" si="11"/>
        <v>0</v>
      </c>
      <c r="AN93" s="4">
        <f t="shared" si="12"/>
        <v>0</v>
      </c>
      <c r="AO93" s="3"/>
      <c r="AP93">
        <v>0</v>
      </c>
      <c r="AR93" t="s">
        <v>0</v>
      </c>
      <c r="AT93" s="2" t="s">
        <v>5</v>
      </c>
      <c r="AU93" s="1">
        <f t="shared" si="13"/>
        <v>0.49331304556739003</v>
      </c>
      <c r="AV93" s="1">
        <f t="shared" si="14"/>
        <v>0.35236646111956438</v>
      </c>
      <c r="AW93" s="1">
        <f t="shared" si="15"/>
        <v>0.21141987667173862</v>
      </c>
    </row>
    <row r="94" spans="1:49" x14ac:dyDescent="0.2">
      <c r="A94">
        <v>92</v>
      </c>
      <c r="B94" t="s">
        <v>2146</v>
      </c>
      <c r="F94" t="s">
        <v>2145</v>
      </c>
      <c r="G94" t="s">
        <v>4</v>
      </c>
      <c r="H94" t="s">
        <v>3</v>
      </c>
      <c r="I94" t="s">
        <v>2144</v>
      </c>
      <c r="J94">
        <v>60022990</v>
      </c>
      <c r="K94" t="s">
        <v>199</v>
      </c>
      <c r="L94" t="s">
        <v>198</v>
      </c>
      <c r="M94" t="s">
        <v>13</v>
      </c>
      <c r="N94">
        <v>2</v>
      </c>
      <c r="O94" t="s">
        <v>2143</v>
      </c>
      <c r="P94" t="s">
        <v>2142</v>
      </c>
      <c r="Q94" t="s">
        <v>2141</v>
      </c>
      <c r="R94" s="7">
        <v>32843</v>
      </c>
      <c r="S94" s="8">
        <f t="shared" si="8"/>
        <v>1989</v>
      </c>
      <c r="T94" s="8">
        <v>1989</v>
      </c>
      <c r="U94" s="8">
        <f t="shared" si="9"/>
        <v>33</v>
      </c>
      <c r="V94" s="7">
        <v>1989</v>
      </c>
      <c r="W94" t="s">
        <v>185</v>
      </c>
      <c r="X94" s="2">
        <v>0.26400000000000001</v>
      </c>
      <c r="Y94" s="6">
        <f t="shared" si="10"/>
        <v>7.0473292223912874E-3</v>
      </c>
      <c r="AB94">
        <v>82000</v>
      </c>
      <c r="AD94" t="s">
        <v>1</v>
      </c>
      <c r="AE94">
        <v>1</v>
      </c>
      <c r="AH94" t="s">
        <v>2140</v>
      </c>
      <c r="AI94" t="s">
        <v>2139</v>
      </c>
      <c r="AK94" t="s">
        <v>2138</v>
      </c>
      <c r="AL94">
        <v>0</v>
      </c>
      <c r="AM94" s="5">
        <f t="shared" si="11"/>
        <v>0</v>
      </c>
      <c r="AN94" s="4">
        <f t="shared" si="12"/>
        <v>0</v>
      </c>
      <c r="AO94" s="3"/>
      <c r="AP94">
        <v>0</v>
      </c>
      <c r="AR94" t="s">
        <v>0</v>
      </c>
      <c r="AT94" s="2" t="s">
        <v>5</v>
      </c>
      <c r="AU94" s="1">
        <f t="shared" si="13"/>
        <v>0.49331304556739003</v>
      </c>
      <c r="AV94" s="1">
        <f t="shared" si="14"/>
        <v>0.35236646111956438</v>
      </c>
      <c r="AW94" s="1">
        <f t="shared" si="15"/>
        <v>0.21141987667173862</v>
      </c>
    </row>
    <row r="95" spans="1:49" x14ac:dyDescent="0.2">
      <c r="A95">
        <v>93</v>
      </c>
      <c r="B95" t="s">
        <v>2137</v>
      </c>
      <c r="F95" t="s">
        <v>2136</v>
      </c>
      <c r="G95" t="s">
        <v>4</v>
      </c>
      <c r="H95" t="s">
        <v>3</v>
      </c>
      <c r="I95" t="s">
        <v>1334</v>
      </c>
      <c r="N95">
        <v>3</v>
      </c>
      <c r="O95" t="s">
        <v>2135</v>
      </c>
      <c r="P95" t="s">
        <v>2134</v>
      </c>
      <c r="Q95" t="s">
        <v>20</v>
      </c>
      <c r="R95" s="7">
        <v>32843</v>
      </c>
      <c r="S95" s="8">
        <f t="shared" si="8"/>
        <v>1989</v>
      </c>
      <c r="T95" s="8">
        <v>1989</v>
      </c>
      <c r="U95" s="8">
        <f t="shared" si="9"/>
        <v>33</v>
      </c>
      <c r="V95" s="7">
        <v>1989</v>
      </c>
      <c r="W95" t="s">
        <v>2071</v>
      </c>
      <c r="X95" s="2" t="s">
        <v>5</v>
      </c>
      <c r="Y95" s="6" t="e">
        <f t="shared" si="10"/>
        <v>#VALUE!</v>
      </c>
      <c r="AA95">
        <v>337870</v>
      </c>
      <c r="AB95">
        <v>32478</v>
      </c>
      <c r="AD95" t="s">
        <v>1</v>
      </c>
      <c r="AE95">
        <v>32</v>
      </c>
      <c r="AF95">
        <v>8</v>
      </c>
      <c r="AH95" s="10">
        <v>41518</v>
      </c>
      <c r="AI95" t="s">
        <v>2133</v>
      </c>
      <c r="AK95" t="s">
        <v>2132</v>
      </c>
      <c r="AL95">
        <v>0</v>
      </c>
      <c r="AM95" s="5">
        <f t="shared" si="11"/>
        <v>0</v>
      </c>
      <c r="AN95" s="4">
        <f t="shared" si="12"/>
        <v>0</v>
      </c>
      <c r="AO95" s="3"/>
      <c r="AP95">
        <v>0</v>
      </c>
      <c r="AR95" t="s">
        <v>0</v>
      </c>
      <c r="AT95" s="2" t="s">
        <v>5</v>
      </c>
      <c r="AU95" s="1" t="e">
        <f t="shared" si="13"/>
        <v>#VALUE!</v>
      </c>
      <c r="AV95" s="1" t="e">
        <f t="shared" si="14"/>
        <v>#VALUE!</v>
      </c>
      <c r="AW95" s="1" t="e">
        <f t="shared" si="15"/>
        <v>#VALUE!</v>
      </c>
    </row>
    <row r="96" spans="1:49" x14ac:dyDescent="0.2">
      <c r="A96">
        <v>94</v>
      </c>
      <c r="B96" t="s">
        <v>2131</v>
      </c>
      <c r="F96" t="s">
        <v>2130</v>
      </c>
      <c r="G96" t="s">
        <v>4</v>
      </c>
      <c r="H96" t="s">
        <v>3</v>
      </c>
      <c r="I96" t="s">
        <v>2129</v>
      </c>
      <c r="J96">
        <v>60026227</v>
      </c>
      <c r="K96" t="s">
        <v>2128</v>
      </c>
      <c r="L96" t="s">
        <v>2127</v>
      </c>
      <c r="M96" t="s">
        <v>6</v>
      </c>
      <c r="N96">
        <v>2</v>
      </c>
      <c r="O96" t="s">
        <v>2126</v>
      </c>
      <c r="P96" t="s">
        <v>2125</v>
      </c>
      <c r="Q96" t="s">
        <v>2124</v>
      </c>
      <c r="R96" s="7">
        <v>32843</v>
      </c>
      <c r="S96" s="8">
        <f t="shared" si="8"/>
        <v>1989</v>
      </c>
      <c r="T96" s="8">
        <v>1989</v>
      </c>
      <c r="U96" s="8">
        <f t="shared" si="9"/>
        <v>33</v>
      </c>
      <c r="V96" s="7">
        <v>1989</v>
      </c>
      <c r="W96" t="s">
        <v>185</v>
      </c>
      <c r="X96" s="2">
        <v>0.26400000000000001</v>
      </c>
      <c r="Y96" s="6">
        <f t="shared" si="10"/>
        <v>7.0473292223912874E-3</v>
      </c>
      <c r="AB96">
        <v>82000</v>
      </c>
      <c r="AD96" t="s">
        <v>1</v>
      </c>
      <c r="AE96">
        <v>5</v>
      </c>
      <c r="AH96" t="s">
        <v>2123</v>
      </c>
      <c r="AI96" t="s">
        <v>2122</v>
      </c>
      <c r="AK96" t="s">
        <v>2121</v>
      </c>
      <c r="AL96">
        <v>1</v>
      </c>
      <c r="AM96" s="5">
        <f t="shared" si="11"/>
        <v>3.0303030303030304E-2</v>
      </c>
      <c r="AN96" s="4">
        <f t="shared" si="12"/>
        <v>4.5896297316214016E-5</v>
      </c>
      <c r="AO96" s="3"/>
      <c r="AP96">
        <v>0</v>
      </c>
      <c r="AR96" t="s">
        <v>0</v>
      </c>
      <c r="AT96" s="2" t="s">
        <v>5</v>
      </c>
      <c r="AU96" s="1">
        <f t="shared" si="13"/>
        <v>0.49468993448687648</v>
      </c>
      <c r="AV96" s="1">
        <f t="shared" si="14"/>
        <v>0.35466127598537511</v>
      </c>
      <c r="AW96" s="1">
        <f t="shared" si="15"/>
        <v>0.21463261748387361</v>
      </c>
    </row>
    <row r="97" spans="1:49" x14ac:dyDescent="0.2">
      <c r="A97">
        <v>95</v>
      </c>
      <c r="B97" t="s">
        <v>2120</v>
      </c>
      <c r="F97" t="s">
        <v>2119</v>
      </c>
      <c r="G97" t="s">
        <v>4</v>
      </c>
      <c r="H97" t="s">
        <v>3</v>
      </c>
      <c r="I97" t="s">
        <v>2118</v>
      </c>
      <c r="J97">
        <v>60013506</v>
      </c>
      <c r="K97" t="s">
        <v>2117</v>
      </c>
      <c r="L97" t="s">
        <v>2116</v>
      </c>
      <c r="M97" t="s">
        <v>19</v>
      </c>
      <c r="N97">
        <v>4</v>
      </c>
      <c r="O97" t="s">
        <v>2115</v>
      </c>
      <c r="P97" t="s">
        <v>2114</v>
      </c>
      <c r="Q97" t="s">
        <v>2113</v>
      </c>
      <c r="R97" s="7">
        <v>32843</v>
      </c>
      <c r="S97" s="8">
        <f t="shared" si="8"/>
        <v>1989</v>
      </c>
      <c r="T97" s="8">
        <v>1989</v>
      </c>
      <c r="U97" s="8">
        <f t="shared" si="9"/>
        <v>33</v>
      </c>
      <c r="V97" s="7">
        <v>1989</v>
      </c>
      <c r="W97" t="s">
        <v>185</v>
      </c>
      <c r="X97" s="2">
        <v>0.26400000000000001</v>
      </c>
      <c r="Y97" s="6">
        <f t="shared" si="10"/>
        <v>7.0473292223912874E-3</v>
      </c>
      <c r="AB97">
        <v>82000</v>
      </c>
      <c r="AD97" t="s">
        <v>1</v>
      </c>
      <c r="AE97">
        <v>4</v>
      </c>
      <c r="AH97" t="s">
        <v>2112</v>
      </c>
      <c r="AI97" t="s">
        <v>2111</v>
      </c>
      <c r="AK97" t="s">
        <v>2110</v>
      </c>
      <c r="AL97">
        <v>1</v>
      </c>
      <c r="AM97" s="5">
        <f t="shared" si="11"/>
        <v>3.0303030303030304E-2</v>
      </c>
      <c r="AN97" s="4">
        <f t="shared" si="12"/>
        <v>4.5896297316214016E-5</v>
      </c>
      <c r="AO97" s="3"/>
      <c r="AP97">
        <v>0</v>
      </c>
      <c r="AR97" t="s">
        <v>0</v>
      </c>
      <c r="AT97" s="2" t="s">
        <v>5</v>
      </c>
      <c r="AU97" s="1">
        <f t="shared" si="13"/>
        <v>0.49468993448687648</v>
      </c>
      <c r="AV97" s="1">
        <f t="shared" si="14"/>
        <v>0.35466127598537511</v>
      </c>
      <c r="AW97" s="1">
        <f t="shared" si="15"/>
        <v>0.21463261748387361</v>
      </c>
    </row>
    <row r="98" spans="1:49" x14ac:dyDescent="0.2">
      <c r="A98">
        <v>96</v>
      </c>
      <c r="B98" t="s">
        <v>2109</v>
      </c>
      <c r="F98" t="s">
        <v>2108</v>
      </c>
      <c r="G98" t="s">
        <v>4</v>
      </c>
      <c r="H98" t="s">
        <v>3</v>
      </c>
      <c r="I98" t="s">
        <v>2107</v>
      </c>
      <c r="J98">
        <v>100326029</v>
      </c>
      <c r="K98" t="s">
        <v>2106</v>
      </c>
      <c r="L98" t="s">
        <v>2105</v>
      </c>
      <c r="M98" t="s">
        <v>19</v>
      </c>
      <c r="N98">
        <v>3</v>
      </c>
      <c r="O98" t="s">
        <v>2104</v>
      </c>
      <c r="P98" t="s">
        <v>2103</v>
      </c>
      <c r="Q98" t="s">
        <v>2102</v>
      </c>
      <c r="R98" s="7">
        <v>32843</v>
      </c>
      <c r="S98" s="8">
        <f t="shared" si="8"/>
        <v>1989</v>
      </c>
      <c r="T98" s="8">
        <v>1989</v>
      </c>
      <c r="U98" s="8">
        <f t="shared" si="9"/>
        <v>33</v>
      </c>
      <c r="V98" s="7">
        <v>1989</v>
      </c>
      <c r="W98" t="s">
        <v>185</v>
      </c>
      <c r="X98" s="2">
        <v>0.26400000000000001</v>
      </c>
      <c r="Y98" s="6">
        <f t="shared" si="10"/>
        <v>7.0473292223912874E-3</v>
      </c>
      <c r="AB98">
        <v>82000</v>
      </c>
      <c r="AD98" t="s">
        <v>1</v>
      </c>
      <c r="AE98">
        <v>4</v>
      </c>
      <c r="AH98" t="s">
        <v>2101</v>
      </c>
      <c r="AI98" t="s">
        <v>2100</v>
      </c>
      <c r="AK98" t="s">
        <v>2099</v>
      </c>
      <c r="AL98">
        <v>0</v>
      </c>
      <c r="AM98" s="5">
        <f t="shared" si="11"/>
        <v>0</v>
      </c>
      <c r="AN98" s="4">
        <f t="shared" si="12"/>
        <v>0</v>
      </c>
      <c r="AO98" s="3"/>
      <c r="AP98">
        <v>0</v>
      </c>
      <c r="AR98" t="s">
        <v>0</v>
      </c>
      <c r="AT98" s="2" t="s">
        <v>5</v>
      </c>
      <c r="AU98" s="1">
        <f t="shared" si="13"/>
        <v>0.49331304556739003</v>
      </c>
      <c r="AV98" s="1">
        <f t="shared" si="14"/>
        <v>0.35236646111956438</v>
      </c>
      <c r="AW98" s="1">
        <f t="shared" si="15"/>
        <v>0.21141987667173862</v>
      </c>
    </row>
    <row r="99" spans="1:49" x14ac:dyDescent="0.2">
      <c r="A99">
        <v>97</v>
      </c>
      <c r="B99" t="s">
        <v>2098</v>
      </c>
      <c r="F99" t="s">
        <v>2097</v>
      </c>
      <c r="G99" t="s">
        <v>4</v>
      </c>
      <c r="H99" t="s">
        <v>3</v>
      </c>
      <c r="I99" t="s">
        <v>2096</v>
      </c>
      <c r="J99">
        <v>60019106</v>
      </c>
      <c r="K99" t="s">
        <v>2095</v>
      </c>
      <c r="L99" t="s">
        <v>2094</v>
      </c>
      <c r="M99" t="s">
        <v>45</v>
      </c>
      <c r="N99">
        <v>2</v>
      </c>
      <c r="O99" t="s">
        <v>2093</v>
      </c>
      <c r="P99" t="s">
        <v>2092</v>
      </c>
      <c r="Q99" t="s">
        <v>2091</v>
      </c>
      <c r="R99" s="7">
        <v>32843</v>
      </c>
      <c r="S99" s="8">
        <f t="shared" si="8"/>
        <v>1989</v>
      </c>
      <c r="T99" s="8">
        <v>1989</v>
      </c>
      <c r="U99" s="8">
        <f t="shared" si="9"/>
        <v>33</v>
      </c>
      <c r="V99" s="7">
        <v>1989</v>
      </c>
      <c r="W99" t="s">
        <v>185</v>
      </c>
      <c r="X99" s="2">
        <v>0.26400000000000001</v>
      </c>
      <c r="Y99" s="6">
        <f t="shared" si="10"/>
        <v>7.0473292223912874E-3</v>
      </c>
      <c r="AB99">
        <v>82000</v>
      </c>
      <c r="AD99" t="s">
        <v>1</v>
      </c>
      <c r="AE99">
        <v>4</v>
      </c>
      <c r="AH99" t="s">
        <v>2090</v>
      </c>
      <c r="AI99" t="s">
        <v>2089</v>
      </c>
      <c r="AK99" t="s">
        <v>2088</v>
      </c>
      <c r="AL99">
        <v>0</v>
      </c>
      <c r="AM99" s="5">
        <f t="shared" si="11"/>
        <v>0</v>
      </c>
      <c r="AN99" s="4">
        <f t="shared" si="12"/>
        <v>0</v>
      </c>
      <c r="AO99" s="3"/>
      <c r="AP99">
        <v>0</v>
      </c>
      <c r="AR99" t="s">
        <v>0</v>
      </c>
      <c r="AT99" s="2" t="s">
        <v>5</v>
      </c>
      <c r="AU99" s="1">
        <f t="shared" si="13"/>
        <v>0.49331304556739003</v>
      </c>
      <c r="AV99" s="1">
        <f t="shared" si="14"/>
        <v>0.35236646111956438</v>
      </c>
      <c r="AW99" s="1">
        <f t="shared" si="15"/>
        <v>0.21141987667173862</v>
      </c>
    </row>
    <row r="100" spans="1:49" x14ac:dyDescent="0.2">
      <c r="A100">
        <v>98</v>
      </c>
      <c r="B100" t="s">
        <v>2087</v>
      </c>
      <c r="F100" t="s">
        <v>2086</v>
      </c>
      <c r="G100" t="s">
        <v>4</v>
      </c>
      <c r="H100" t="s">
        <v>3</v>
      </c>
      <c r="I100" t="s">
        <v>2085</v>
      </c>
      <c r="J100">
        <v>60005803</v>
      </c>
      <c r="K100" t="s">
        <v>2084</v>
      </c>
      <c r="L100" t="s">
        <v>2083</v>
      </c>
      <c r="M100" t="s">
        <v>65</v>
      </c>
      <c r="N100">
        <v>2</v>
      </c>
      <c r="O100" t="s">
        <v>2082</v>
      </c>
      <c r="P100" t="s">
        <v>2081</v>
      </c>
      <c r="Q100" t="s">
        <v>2080</v>
      </c>
      <c r="R100" s="7">
        <v>32843</v>
      </c>
      <c r="S100" s="8">
        <f t="shared" si="8"/>
        <v>1989</v>
      </c>
      <c r="T100" s="8">
        <v>1989</v>
      </c>
      <c r="U100" s="8">
        <f t="shared" si="9"/>
        <v>33</v>
      </c>
      <c r="V100" s="7">
        <v>1989</v>
      </c>
      <c r="W100" t="s">
        <v>185</v>
      </c>
      <c r="X100" s="2">
        <v>0.26400000000000001</v>
      </c>
      <c r="Y100" s="6">
        <f t="shared" si="10"/>
        <v>7.0473292223912874E-3</v>
      </c>
      <c r="AB100">
        <v>82000</v>
      </c>
      <c r="AD100" t="s">
        <v>1</v>
      </c>
      <c r="AE100">
        <v>5</v>
      </c>
      <c r="AH100" t="s">
        <v>2079</v>
      </c>
      <c r="AI100" t="s">
        <v>2078</v>
      </c>
      <c r="AK100" t="s">
        <v>2077</v>
      </c>
      <c r="AL100">
        <v>0</v>
      </c>
      <c r="AM100" s="5">
        <f t="shared" si="11"/>
        <v>0</v>
      </c>
      <c r="AN100" s="4">
        <f t="shared" si="12"/>
        <v>0</v>
      </c>
      <c r="AO100" s="3"/>
      <c r="AP100">
        <v>0</v>
      </c>
      <c r="AR100" t="s">
        <v>0</v>
      </c>
      <c r="AT100" s="2" t="s">
        <v>5</v>
      </c>
      <c r="AU100" s="1">
        <f t="shared" si="13"/>
        <v>0.49331304556739003</v>
      </c>
      <c r="AV100" s="1">
        <f t="shared" si="14"/>
        <v>0.35236646111956438</v>
      </c>
      <c r="AW100" s="1">
        <f t="shared" si="15"/>
        <v>0.21141987667173862</v>
      </c>
    </row>
    <row r="101" spans="1:49" x14ac:dyDescent="0.2">
      <c r="A101">
        <v>99</v>
      </c>
      <c r="B101" t="s">
        <v>2076</v>
      </c>
      <c r="F101" t="s">
        <v>2075</v>
      </c>
      <c r="G101" t="s">
        <v>4</v>
      </c>
      <c r="H101" t="s">
        <v>3</v>
      </c>
      <c r="I101" t="s">
        <v>2074</v>
      </c>
      <c r="N101">
        <v>2</v>
      </c>
      <c r="O101" t="s">
        <v>2073</v>
      </c>
      <c r="P101" t="s">
        <v>2072</v>
      </c>
      <c r="Q101" t="s">
        <v>51</v>
      </c>
      <c r="R101" s="7">
        <v>32843</v>
      </c>
      <c r="S101" s="8">
        <f t="shared" si="8"/>
        <v>1989</v>
      </c>
      <c r="T101" s="8">
        <v>1989</v>
      </c>
      <c r="U101" s="8">
        <f t="shared" si="9"/>
        <v>33</v>
      </c>
      <c r="V101" s="7">
        <v>1989</v>
      </c>
      <c r="W101" t="s">
        <v>2071</v>
      </c>
      <c r="X101" s="2" t="s">
        <v>5</v>
      </c>
      <c r="Y101" s="6" t="e">
        <f t="shared" si="10"/>
        <v>#VALUE!</v>
      </c>
      <c r="AA101">
        <v>337870</v>
      </c>
      <c r="AB101">
        <v>32478</v>
      </c>
      <c r="AD101" t="s">
        <v>1</v>
      </c>
      <c r="AE101">
        <v>32</v>
      </c>
      <c r="AF101">
        <v>8</v>
      </c>
      <c r="AH101" s="9">
        <v>44413</v>
      </c>
      <c r="AI101" t="s">
        <v>2070</v>
      </c>
      <c r="AK101" t="s">
        <v>2069</v>
      </c>
      <c r="AL101">
        <v>0</v>
      </c>
      <c r="AM101" s="5">
        <f t="shared" si="11"/>
        <v>0</v>
      </c>
      <c r="AN101" s="4">
        <f t="shared" si="12"/>
        <v>0</v>
      </c>
      <c r="AO101" s="3"/>
      <c r="AP101">
        <v>0</v>
      </c>
      <c r="AR101" t="s">
        <v>0</v>
      </c>
      <c r="AT101" s="2" t="s">
        <v>5</v>
      </c>
      <c r="AU101" s="1" t="e">
        <f t="shared" si="13"/>
        <v>#VALUE!</v>
      </c>
      <c r="AV101" s="1" t="e">
        <f t="shared" si="14"/>
        <v>#VALUE!</v>
      </c>
      <c r="AW101" s="1" t="e">
        <f t="shared" si="15"/>
        <v>#VALUE!</v>
      </c>
    </row>
    <row r="102" spans="1:49" x14ac:dyDescent="0.2">
      <c r="A102">
        <v>100</v>
      </c>
      <c r="B102" t="s">
        <v>2068</v>
      </c>
      <c r="F102" t="s">
        <v>2067</v>
      </c>
      <c r="G102" t="s">
        <v>4</v>
      </c>
      <c r="H102" t="s">
        <v>3</v>
      </c>
      <c r="I102" t="s">
        <v>106</v>
      </c>
      <c r="J102">
        <v>60022990</v>
      </c>
      <c r="K102" t="s">
        <v>199</v>
      </c>
      <c r="L102" t="s">
        <v>198</v>
      </c>
      <c r="M102" t="s">
        <v>13</v>
      </c>
      <c r="N102">
        <v>4</v>
      </c>
      <c r="O102" t="s">
        <v>2066</v>
      </c>
      <c r="P102" t="s">
        <v>2065</v>
      </c>
      <c r="Q102" t="s">
        <v>2064</v>
      </c>
      <c r="R102" s="7">
        <v>32843</v>
      </c>
      <c r="S102" s="8">
        <f t="shared" si="8"/>
        <v>1989</v>
      </c>
      <c r="T102" s="8">
        <v>1989</v>
      </c>
      <c r="U102" s="8">
        <f t="shared" si="9"/>
        <v>33</v>
      </c>
      <c r="V102" s="7">
        <v>1989</v>
      </c>
      <c r="W102" t="s">
        <v>185</v>
      </c>
      <c r="X102" s="2">
        <v>0.26400000000000001</v>
      </c>
      <c r="Y102" s="6">
        <f t="shared" si="10"/>
        <v>7.0473292223912874E-3</v>
      </c>
      <c r="AB102">
        <v>82000</v>
      </c>
      <c r="AD102" t="s">
        <v>1</v>
      </c>
      <c r="AE102">
        <v>1</v>
      </c>
      <c r="AH102" t="s">
        <v>1625</v>
      </c>
      <c r="AI102" t="s">
        <v>2063</v>
      </c>
      <c r="AK102" t="s">
        <v>2062</v>
      </c>
      <c r="AL102">
        <v>0</v>
      </c>
      <c r="AM102" s="5">
        <f t="shared" si="11"/>
        <v>0</v>
      </c>
      <c r="AN102" s="4">
        <f t="shared" si="12"/>
        <v>0</v>
      </c>
      <c r="AO102" s="3"/>
      <c r="AP102">
        <v>0</v>
      </c>
      <c r="AR102" t="s">
        <v>0</v>
      </c>
      <c r="AT102" s="2" t="s">
        <v>5</v>
      </c>
      <c r="AU102" s="1">
        <f t="shared" si="13"/>
        <v>0.49331304556739003</v>
      </c>
      <c r="AV102" s="1">
        <f t="shared" si="14"/>
        <v>0.35236646111956438</v>
      </c>
      <c r="AW102" s="1">
        <f t="shared" si="15"/>
        <v>0.21141987667173862</v>
      </c>
    </row>
    <row r="103" spans="1:49" x14ac:dyDescent="0.2">
      <c r="A103">
        <v>101</v>
      </c>
      <c r="B103" t="s">
        <v>2061</v>
      </c>
      <c r="F103" t="s">
        <v>2060</v>
      </c>
      <c r="G103" t="s">
        <v>4</v>
      </c>
      <c r="H103" t="s">
        <v>3</v>
      </c>
      <c r="I103" t="s">
        <v>2059</v>
      </c>
      <c r="J103">
        <v>100331655</v>
      </c>
      <c r="K103" t="s">
        <v>2058</v>
      </c>
      <c r="M103" t="s">
        <v>19</v>
      </c>
      <c r="N103">
        <v>1</v>
      </c>
      <c r="O103" t="s">
        <v>2057</v>
      </c>
      <c r="P103">
        <v>7406623160</v>
      </c>
      <c r="Q103">
        <v>100331655</v>
      </c>
      <c r="R103" s="7">
        <v>32843</v>
      </c>
      <c r="S103" s="8">
        <f t="shared" si="8"/>
        <v>1989</v>
      </c>
      <c r="T103" s="8">
        <v>1989</v>
      </c>
      <c r="U103" s="8">
        <f t="shared" si="9"/>
        <v>33</v>
      </c>
      <c r="V103" s="7">
        <v>1989</v>
      </c>
      <c r="W103" t="s">
        <v>185</v>
      </c>
      <c r="X103" s="2">
        <v>0.26400000000000001</v>
      </c>
      <c r="Y103" s="6">
        <f t="shared" si="10"/>
        <v>7.0473292223912874E-3</v>
      </c>
      <c r="AB103">
        <v>82000</v>
      </c>
      <c r="AD103" t="s">
        <v>1</v>
      </c>
      <c r="AE103">
        <v>1</v>
      </c>
      <c r="AH103" t="s">
        <v>2056</v>
      </c>
      <c r="AI103" t="s">
        <v>2055</v>
      </c>
      <c r="AK103" t="s">
        <v>2054</v>
      </c>
      <c r="AL103">
        <v>3</v>
      </c>
      <c r="AM103" s="5">
        <f t="shared" si="11"/>
        <v>9.0909090909090912E-2</v>
      </c>
      <c r="AN103" s="4">
        <f t="shared" si="12"/>
        <v>1.3768889194864205E-4</v>
      </c>
      <c r="AO103" s="3"/>
      <c r="AP103">
        <v>0</v>
      </c>
      <c r="AR103" t="s">
        <v>0</v>
      </c>
      <c r="AT103" s="2" t="s">
        <v>5</v>
      </c>
      <c r="AU103" s="1">
        <f t="shared" si="13"/>
        <v>0.49744371232584927</v>
      </c>
      <c r="AV103" s="1">
        <f t="shared" si="14"/>
        <v>0.35925090571699647</v>
      </c>
      <c r="AW103" s="1">
        <f t="shared" si="15"/>
        <v>0.22105809910814353</v>
      </c>
    </row>
    <row r="104" spans="1:49" x14ac:dyDescent="0.2">
      <c r="A104">
        <v>102</v>
      </c>
      <c r="B104" t="s">
        <v>2053</v>
      </c>
      <c r="F104" t="s">
        <v>2052</v>
      </c>
      <c r="G104" t="s">
        <v>4</v>
      </c>
      <c r="H104" t="s">
        <v>3</v>
      </c>
      <c r="I104" t="s">
        <v>157</v>
      </c>
      <c r="J104">
        <v>60023053</v>
      </c>
      <c r="K104" t="s">
        <v>156</v>
      </c>
      <c r="L104" t="s">
        <v>83</v>
      </c>
      <c r="M104" t="s">
        <v>6</v>
      </c>
      <c r="N104">
        <v>1</v>
      </c>
      <c r="O104" t="s">
        <v>155</v>
      </c>
      <c r="P104">
        <v>56050028200</v>
      </c>
      <c r="Q104">
        <v>60023053</v>
      </c>
      <c r="R104" s="7">
        <v>32843</v>
      </c>
      <c r="S104" s="8">
        <f t="shared" si="8"/>
        <v>1989</v>
      </c>
      <c r="T104" s="8">
        <v>1989</v>
      </c>
      <c r="U104" s="8">
        <f t="shared" si="9"/>
        <v>33</v>
      </c>
      <c r="V104" s="7">
        <v>1989</v>
      </c>
      <c r="W104" t="s">
        <v>185</v>
      </c>
      <c r="X104" s="2">
        <v>0.26400000000000001</v>
      </c>
      <c r="Y104" s="6">
        <f t="shared" si="10"/>
        <v>7.0473292223912874E-3</v>
      </c>
      <c r="AB104">
        <v>82000</v>
      </c>
      <c r="AD104" t="s">
        <v>1</v>
      </c>
      <c r="AE104">
        <v>5</v>
      </c>
      <c r="AH104">
        <v>2854</v>
      </c>
      <c r="AI104" t="s">
        <v>2051</v>
      </c>
      <c r="AK104" t="s">
        <v>2050</v>
      </c>
      <c r="AL104">
        <v>0</v>
      </c>
      <c r="AM104" s="5">
        <f t="shared" si="11"/>
        <v>0</v>
      </c>
      <c r="AN104" s="4">
        <f t="shared" si="12"/>
        <v>0</v>
      </c>
      <c r="AO104" s="3"/>
      <c r="AP104">
        <v>0</v>
      </c>
      <c r="AR104" t="s">
        <v>0</v>
      </c>
      <c r="AT104" s="2" t="s">
        <v>5</v>
      </c>
      <c r="AU104" s="1">
        <f t="shared" si="13"/>
        <v>0.49331304556739003</v>
      </c>
      <c r="AV104" s="1">
        <f t="shared" si="14"/>
        <v>0.35236646111956438</v>
      </c>
      <c r="AW104" s="1">
        <f t="shared" si="15"/>
        <v>0.21141987667173862</v>
      </c>
    </row>
    <row r="105" spans="1:49" x14ac:dyDescent="0.2">
      <c r="A105">
        <v>103</v>
      </c>
      <c r="B105" t="s">
        <v>2049</v>
      </c>
      <c r="F105" t="s">
        <v>2048</v>
      </c>
      <c r="G105" t="s">
        <v>4</v>
      </c>
      <c r="H105" t="s">
        <v>3</v>
      </c>
      <c r="I105" t="s">
        <v>2047</v>
      </c>
      <c r="J105">
        <v>60027271</v>
      </c>
      <c r="K105" t="s">
        <v>107</v>
      </c>
      <c r="L105" t="s">
        <v>7</v>
      </c>
      <c r="M105" t="s">
        <v>6</v>
      </c>
      <c r="N105">
        <v>2</v>
      </c>
      <c r="O105" t="s">
        <v>2046</v>
      </c>
      <c r="P105" t="s">
        <v>2045</v>
      </c>
      <c r="Q105" t="s">
        <v>2009</v>
      </c>
      <c r="R105" s="7">
        <v>32843</v>
      </c>
      <c r="S105" s="8">
        <f t="shared" si="8"/>
        <v>1989</v>
      </c>
      <c r="T105" s="8">
        <v>1989</v>
      </c>
      <c r="U105" s="8">
        <f t="shared" si="9"/>
        <v>33</v>
      </c>
      <c r="V105" s="7">
        <v>1989</v>
      </c>
      <c r="W105" t="s">
        <v>185</v>
      </c>
      <c r="X105" s="2">
        <v>0.26400000000000001</v>
      </c>
      <c r="Y105" s="6">
        <f t="shared" si="10"/>
        <v>7.0473292223912874E-3</v>
      </c>
      <c r="AB105">
        <v>82000</v>
      </c>
      <c r="AD105" t="s">
        <v>1</v>
      </c>
      <c r="AE105">
        <v>4</v>
      </c>
      <c r="AH105" t="s">
        <v>2044</v>
      </c>
      <c r="AI105" t="s">
        <v>2043</v>
      </c>
      <c r="AK105" t="s">
        <v>2042</v>
      </c>
      <c r="AL105">
        <v>0</v>
      </c>
      <c r="AM105" s="5">
        <f t="shared" si="11"/>
        <v>0</v>
      </c>
      <c r="AN105" s="4">
        <f t="shared" si="12"/>
        <v>0</v>
      </c>
      <c r="AO105" s="3"/>
      <c r="AP105">
        <v>0</v>
      </c>
      <c r="AR105" t="s">
        <v>0</v>
      </c>
      <c r="AT105" s="2" t="s">
        <v>5</v>
      </c>
      <c r="AU105" s="1">
        <f t="shared" si="13"/>
        <v>0.49331304556739003</v>
      </c>
      <c r="AV105" s="1">
        <f t="shared" si="14"/>
        <v>0.35236646111956438</v>
      </c>
      <c r="AW105" s="1">
        <f t="shared" si="15"/>
        <v>0.21141987667173862</v>
      </c>
    </row>
    <row r="106" spans="1:49" x14ac:dyDescent="0.2">
      <c r="A106">
        <v>104</v>
      </c>
      <c r="B106" t="s">
        <v>2041</v>
      </c>
      <c r="F106" t="s">
        <v>2040</v>
      </c>
      <c r="G106" t="s">
        <v>4</v>
      </c>
      <c r="H106" t="s">
        <v>3</v>
      </c>
      <c r="I106" t="s">
        <v>2039</v>
      </c>
      <c r="J106">
        <v>60032121</v>
      </c>
      <c r="K106" t="s">
        <v>2038</v>
      </c>
      <c r="L106" t="s">
        <v>2037</v>
      </c>
      <c r="M106" t="s">
        <v>6</v>
      </c>
      <c r="N106">
        <v>2</v>
      </c>
      <c r="O106" t="s">
        <v>2036</v>
      </c>
      <c r="P106" t="s">
        <v>2035</v>
      </c>
      <c r="Q106" t="s">
        <v>2034</v>
      </c>
      <c r="R106" s="7">
        <v>32843</v>
      </c>
      <c r="S106" s="8">
        <f t="shared" si="8"/>
        <v>1989</v>
      </c>
      <c r="T106" s="8">
        <v>1989</v>
      </c>
      <c r="U106" s="8">
        <f t="shared" si="9"/>
        <v>33</v>
      </c>
      <c r="V106" s="7">
        <v>1989</v>
      </c>
      <c r="W106" t="s">
        <v>185</v>
      </c>
      <c r="X106" s="2">
        <v>0.26400000000000001</v>
      </c>
      <c r="Y106" s="6">
        <f t="shared" si="10"/>
        <v>7.0473292223912874E-3</v>
      </c>
      <c r="AB106">
        <v>82000</v>
      </c>
      <c r="AD106" t="s">
        <v>1</v>
      </c>
      <c r="AE106">
        <v>4</v>
      </c>
      <c r="AH106" t="s">
        <v>2033</v>
      </c>
      <c r="AI106" t="s">
        <v>2032</v>
      </c>
      <c r="AK106" t="s">
        <v>2031</v>
      </c>
      <c r="AL106">
        <v>0</v>
      </c>
      <c r="AM106" s="5">
        <f t="shared" si="11"/>
        <v>0</v>
      </c>
      <c r="AN106" s="4">
        <f t="shared" si="12"/>
        <v>0</v>
      </c>
      <c r="AO106" s="3"/>
      <c r="AP106">
        <v>0</v>
      </c>
      <c r="AR106" t="s">
        <v>0</v>
      </c>
      <c r="AT106" s="2" t="s">
        <v>5</v>
      </c>
      <c r="AU106" s="1">
        <f t="shared" si="13"/>
        <v>0.49331304556739003</v>
      </c>
      <c r="AV106" s="1">
        <f t="shared" si="14"/>
        <v>0.35236646111956438</v>
      </c>
      <c r="AW106" s="1">
        <f t="shared" si="15"/>
        <v>0.21141987667173862</v>
      </c>
    </row>
    <row r="107" spans="1:49" x14ac:dyDescent="0.2">
      <c r="A107">
        <v>105</v>
      </c>
      <c r="B107" t="s">
        <v>2030</v>
      </c>
      <c r="F107" t="s">
        <v>2029</v>
      </c>
      <c r="G107" t="s">
        <v>4</v>
      </c>
      <c r="H107" t="s">
        <v>3</v>
      </c>
      <c r="I107" t="s">
        <v>2028</v>
      </c>
      <c r="J107">
        <v>60009037</v>
      </c>
      <c r="K107" t="s">
        <v>82</v>
      </c>
      <c r="L107" t="s">
        <v>81</v>
      </c>
      <c r="M107" t="s">
        <v>6</v>
      </c>
      <c r="N107">
        <v>3</v>
      </c>
      <c r="O107" t="s">
        <v>2027</v>
      </c>
      <c r="P107" t="s">
        <v>2026</v>
      </c>
      <c r="Q107" t="s">
        <v>186</v>
      </c>
      <c r="R107" s="7">
        <v>32843</v>
      </c>
      <c r="S107" s="8">
        <f t="shared" si="8"/>
        <v>1989</v>
      </c>
      <c r="T107" s="8">
        <v>1989</v>
      </c>
      <c r="U107" s="8">
        <f t="shared" si="9"/>
        <v>33</v>
      </c>
      <c r="V107" s="7">
        <v>1989</v>
      </c>
      <c r="W107" t="s">
        <v>185</v>
      </c>
      <c r="X107" s="2">
        <v>0.26400000000000001</v>
      </c>
      <c r="Y107" s="6">
        <f t="shared" si="10"/>
        <v>7.0473292223912874E-3</v>
      </c>
      <c r="AB107">
        <v>82000</v>
      </c>
      <c r="AD107" t="s">
        <v>1</v>
      </c>
      <c r="AE107">
        <v>1</v>
      </c>
      <c r="AH107" t="s">
        <v>2025</v>
      </c>
      <c r="AI107" t="s">
        <v>2024</v>
      </c>
      <c r="AK107" t="s">
        <v>2023</v>
      </c>
      <c r="AL107">
        <v>0</v>
      </c>
      <c r="AM107" s="5">
        <f t="shared" si="11"/>
        <v>0</v>
      </c>
      <c r="AN107" s="4">
        <f t="shared" si="12"/>
        <v>0</v>
      </c>
      <c r="AO107" s="3"/>
      <c r="AP107">
        <v>0</v>
      </c>
      <c r="AR107" t="s">
        <v>0</v>
      </c>
      <c r="AT107" s="2" t="s">
        <v>5</v>
      </c>
      <c r="AU107" s="1">
        <f t="shared" si="13"/>
        <v>0.49331304556739003</v>
      </c>
      <c r="AV107" s="1">
        <f t="shared" si="14"/>
        <v>0.35236646111956438</v>
      </c>
      <c r="AW107" s="1">
        <f t="shared" si="15"/>
        <v>0.21141987667173862</v>
      </c>
    </row>
    <row r="108" spans="1:49" x14ac:dyDescent="0.2">
      <c r="A108">
        <v>106</v>
      </c>
      <c r="B108" t="s">
        <v>2022</v>
      </c>
      <c r="F108" t="s">
        <v>2021</v>
      </c>
      <c r="G108" t="s">
        <v>4</v>
      </c>
      <c r="H108" t="s">
        <v>3</v>
      </c>
      <c r="I108" t="s">
        <v>2020</v>
      </c>
      <c r="J108">
        <v>60006164</v>
      </c>
      <c r="K108" t="s">
        <v>2019</v>
      </c>
      <c r="L108" t="s">
        <v>2018</v>
      </c>
      <c r="M108" t="s">
        <v>6</v>
      </c>
      <c r="N108">
        <v>1</v>
      </c>
      <c r="O108" t="s">
        <v>2017</v>
      </c>
      <c r="P108">
        <v>57197433345</v>
      </c>
      <c r="Q108">
        <v>60006164</v>
      </c>
      <c r="R108" s="7">
        <v>32843</v>
      </c>
      <c r="S108" s="8">
        <f t="shared" si="8"/>
        <v>1989</v>
      </c>
      <c r="T108" s="8">
        <v>1989</v>
      </c>
      <c r="U108" s="8">
        <f t="shared" si="9"/>
        <v>33</v>
      </c>
      <c r="V108" s="7">
        <v>1989</v>
      </c>
      <c r="W108" t="s">
        <v>185</v>
      </c>
      <c r="X108" s="2">
        <v>0.26400000000000001</v>
      </c>
      <c r="Y108" s="6">
        <f t="shared" si="10"/>
        <v>7.0473292223912874E-3</v>
      </c>
      <c r="AB108">
        <v>82000</v>
      </c>
      <c r="AD108" t="s">
        <v>1</v>
      </c>
      <c r="AE108">
        <v>5</v>
      </c>
      <c r="AH108">
        <v>2940</v>
      </c>
      <c r="AI108" t="s">
        <v>2016</v>
      </c>
      <c r="AK108" t="s">
        <v>2015</v>
      </c>
      <c r="AL108">
        <v>0</v>
      </c>
      <c r="AM108" s="5">
        <f t="shared" si="11"/>
        <v>0</v>
      </c>
      <c r="AN108" s="4">
        <f t="shared" si="12"/>
        <v>0</v>
      </c>
      <c r="AO108" s="3"/>
      <c r="AP108">
        <v>0</v>
      </c>
      <c r="AR108" t="s">
        <v>0</v>
      </c>
      <c r="AT108" s="2" t="s">
        <v>5</v>
      </c>
      <c r="AU108" s="1">
        <f t="shared" si="13"/>
        <v>0.49331304556739003</v>
      </c>
      <c r="AV108" s="1">
        <f t="shared" si="14"/>
        <v>0.35236646111956438</v>
      </c>
      <c r="AW108" s="1">
        <f t="shared" si="15"/>
        <v>0.21141987667173862</v>
      </c>
    </row>
    <row r="109" spans="1:49" x14ac:dyDescent="0.2">
      <c r="A109">
        <v>107</v>
      </c>
      <c r="B109" t="s">
        <v>2014</v>
      </c>
      <c r="F109" t="s">
        <v>2013</v>
      </c>
      <c r="G109" t="s">
        <v>4</v>
      </c>
      <c r="H109" t="s">
        <v>3</v>
      </c>
      <c r="I109" t="s">
        <v>2012</v>
      </c>
      <c r="J109">
        <v>60027271</v>
      </c>
      <c r="K109" t="s">
        <v>107</v>
      </c>
      <c r="L109" t="s">
        <v>7</v>
      </c>
      <c r="M109" t="s">
        <v>6</v>
      </c>
      <c r="N109">
        <v>2</v>
      </c>
      <c r="O109" t="s">
        <v>2011</v>
      </c>
      <c r="P109" t="s">
        <v>2010</v>
      </c>
      <c r="Q109" t="s">
        <v>2009</v>
      </c>
      <c r="R109" s="7">
        <v>32843</v>
      </c>
      <c r="S109" s="8">
        <f t="shared" si="8"/>
        <v>1989</v>
      </c>
      <c r="T109" s="8">
        <v>1989</v>
      </c>
      <c r="U109" s="8">
        <f t="shared" si="9"/>
        <v>33</v>
      </c>
      <c r="V109" s="7">
        <v>1989</v>
      </c>
      <c r="W109" t="s">
        <v>185</v>
      </c>
      <c r="X109" s="2">
        <v>0.26400000000000001</v>
      </c>
      <c r="Y109" s="6">
        <f t="shared" si="10"/>
        <v>7.0473292223912874E-3</v>
      </c>
      <c r="AB109">
        <v>82000</v>
      </c>
      <c r="AD109" t="s">
        <v>1</v>
      </c>
      <c r="AE109">
        <v>5</v>
      </c>
      <c r="AH109">
        <v>2985</v>
      </c>
      <c r="AI109" t="s">
        <v>2008</v>
      </c>
      <c r="AK109" t="s">
        <v>2007</v>
      </c>
      <c r="AL109">
        <v>0</v>
      </c>
      <c r="AM109" s="5">
        <f t="shared" si="11"/>
        <v>0</v>
      </c>
      <c r="AN109" s="4">
        <f t="shared" si="12"/>
        <v>0</v>
      </c>
      <c r="AO109" s="3"/>
      <c r="AP109">
        <v>0</v>
      </c>
      <c r="AR109" t="s">
        <v>0</v>
      </c>
      <c r="AT109" s="2" t="s">
        <v>5</v>
      </c>
      <c r="AU109" s="1">
        <f t="shared" si="13"/>
        <v>0.49331304556739003</v>
      </c>
      <c r="AV109" s="1">
        <f t="shared" si="14"/>
        <v>0.35236646111956438</v>
      </c>
      <c r="AW109" s="1">
        <f t="shared" si="15"/>
        <v>0.21141987667173862</v>
      </c>
    </row>
    <row r="110" spans="1:49" x14ac:dyDescent="0.2">
      <c r="A110">
        <v>108</v>
      </c>
      <c r="B110" t="s">
        <v>2006</v>
      </c>
      <c r="F110" t="s">
        <v>2005</v>
      </c>
      <c r="G110" t="s">
        <v>4</v>
      </c>
      <c r="H110" t="s">
        <v>3</v>
      </c>
      <c r="I110" t="s">
        <v>2004</v>
      </c>
      <c r="J110">
        <v>60002286</v>
      </c>
      <c r="K110" t="s">
        <v>187</v>
      </c>
      <c r="L110" t="s">
        <v>16</v>
      </c>
      <c r="M110" t="s">
        <v>15</v>
      </c>
      <c r="N110">
        <v>2</v>
      </c>
      <c r="O110" t="s">
        <v>2003</v>
      </c>
      <c r="P110" t="s">
        <v>2002</v>
      </c>
      <c r="Q110" t="s">
        <v>2001</v>
      </c>
      <c r="R110" s="7">
        <v>32843</v>
      </c>
      <c r="S110" s="8">
        <f t="shared" si="8"/>
        <v>1989</v>
      </c>
      <c r="T110" s="8">
        <v>1989</v>
      </c>
      <c r="U110" s="8">
        <f t="shared" si="9"/>
        <v>33</v>
      </c>
      <c r="V110" s="7">
        <v>1989</v>
      </c>
      <c r="W110" t="s">
        <v>185</v>
      </c>
      <c r="X110" s="2">
        <v>0.26400000000000001</v>
      </c>
      <c r="Y110" s="6">
        <f t="shared" si="10"/>
        <v>7.0473292223912874E-3</v>
      </c>
      <c r="AB110">
        <v>82000</v>
      </c>
      <c r="AD110" t="s">
        <v>1</v>
      </c>
      <c r="AE110">
        <v>4</v>
      </c>
      <c r="AH110" t="s">
        <v>2000</v>
      </c>
      <c r="AI110" t="s">
        <v>1999</v>
      </c>
      <c r="AK110" t="s">
        <v>1998</v>
      </c>
      <c r="AL110">
        <v>0</v>
      </c>
      <c r="AM110" s="5">
        <f t="shared" si="11"/>
        <v>0</v>
      </c>
      <c r="AN110" s="4">
        <f t="shared" si="12"/>
        <v>0</v>
      </c>
      <c r="AO110" s="3"/>
      <c r="AP110">
        <v>0</v>
      </c>
      <c r="AR110" t="s">
        <v>0</v>
      </c>
      <c r="AT110" s="2" t="s">
        <v>5</v>
      </c>
      <c r="AU110" s="1">
        <f t="shared" si="13"/>
        <v>0.49331304556739003</v>
      </c>
      <c r="AV110" s="1">
        <f t="shared" si="14"/>
        <v>0.35236646111956438</v>
      </c>
      <c r="AW110" s="1">
        <f t="shared" si="15"/>
        <v>0.21141987667173862</v>
      </c>
    </row>
    <row r="111" spans="1:49" x14ac:dyDescent="0.2">
      <c r="A111">
        <v>109</v>
      </c>
      <c r="B111" t="s">
        <v>1997</v>
      </c>
      <c r="F111" t="s">
        <v>1996</v>
      </c>
      <c r="G111" t="s">
        <v>4</v>
      </c>
      <c r="H111" t="s">
        <v>3</v>
      </c>
      <c r="I111" t="s">
        <v>1995</v>
      </c>
      <c r="J111">
        <v>60032987</v>
      </c>
      <c r="K111" t="s">
        <v>43</v>
      </c>
      <c r="L111" t="s">
        <v>42</v>
      </c>
      <c r="M111" t="s">
        <v>41</v>
      </c>
      <c r="N111">
        <v>1</v>
      </c>
      <c r="O111" t="s">
        <v>1994</v>
      </c>
      <c r="P111">
        <v>36893654800</v>
      </c>
      <c r="Q111">
        <v>60032987</v>
      </c>
      <c r="R111" s="7">
        <v>32843</v>
      </c>
      <c r="S111" s="8">
        <f t="shared" si="8"/>
        <v>1989</v>
      </c>
      <c r="T111" s="8">
        <v>1989</v>
      </c>
      <c r="U111" s="8">
        <f t="shared" si="9"/>
        <v>33</v>
      </c>
      <c r="V111" s="7">
        <v>1989</v>
      </c>
      <c r="W111" t="s">
        <v>185</v>
      </c>
      <c r="X111" s="2">
        <v>0.26400000000000001</v>
      </c>
      <c r="Y111" s="6">
        <f t="shared" si="10"/>
        <v>7.0473292223912874E-3</v>
      </c>
      <c r="AB111">
        <v>82000</v>
      </c>
      <c r="AD111" t="s">
        <v>1</v>
      </c>
      <c r="AE111">
        <v>5</v>
      </c>
      <c r="AH111">
        <v>2876</v>
      </c>
      <c r="AI111" t="s">
        <v>1993</v>
      </c>
      <c r="AK111" t="s">
        <v>1992</v>
      </c>
      <c r="AL111">
        <v>0</v>
      </c>
      <c r="AM111" s="5">
        <f t="shared" si="11"/>
        <v>0</v>
      </c>
      <c r="AN111" s="4">
        <f t="shared" si="12"/>
        <v>0</v>
      </c>
      <c r="AO111" s="3"/>
      <c r="AP111">
        <v>0</v>
      </c>
      <c r="AR111" t="s">
        <v>0</v>
      </c>
      <c r="AT111" s="2" t="s">
        <v>5</v>
      </c>
      <c r="AU111" s="1">
        <f t="shared" si="13"/>
        <v>0.49331304556739003</v>
      </c>
      <c r="AV111" s="1">
        <f t="shared" si="14"/>
        <v>0.35236646111956438</v>
      </c>
      <c r="AW111" s="1">
        <f t="shared" si="15"/>
        <v>0.21141987667173862</v>
      </c>
    </row>
    <row r="112" spans="1:49" x14ac:dyDescent="0.2">
      <c r="A112">
        <v>110</v>
      </c>
      <c r="B112" t="s">
        <v>1991</v>
      </c>
      <c r="F112" t="s">
        <v>1990</v>
      </c>
      <c r="G112" t="s">
        <v>4</v>
      </c>
      <c r="H112" t="s">
        <v>3</v>
      </c>
      <c r="I112" t="s">
        <v>1989</v>
      </c>
      <c r="J112">
        <v>60071032</v>
      </c>
      <c r="K112" t="s">
        <v>1988</v>
      </c>
      <c r="L112" t="s">
        <v>1987</v>
      </c>
      <c r="M112" t="s">
        <v>19</v>
      </c>
      <c r="N112">
        <v>2</v>
      </c>
      <c r="O112" t="s">
        <v>1986</v>
      </c>
      <c r="P112" t="s">
        <v>1985</v>
      </c>
      <c r="Q112" t="s">
        <v>1984</v>
      </c>
      <c r="R112" s="7">
        <v>32843</v>
      </c>
      <c r="S112" s="8">
        <f t="shared" si="8"/>
        <v>1989</v>
      </c>
      <c r="T112" s="8">
        <v>1989</v>
      </c>
      <c r="U112" s="8">
        <f t="shared" si="9"/>
        <v>33</v>
      </c>
      <c r="V112" s="7">
        <v>1989</v>
      </c>
      <c r="W112" t="s">
        <v>185</v>
      </c>
      <c r="X112" s="2">
        <v>0.26400000000000001</v>
      </c>
      <c r="Y112" s="6">
        <f t="shared" si="10"/>
        <v>7.0473292223912874E-3</v>
      </c>
      <c r="AB112">
        <v>82000</v>
      </c>
      <c r="AD112" t="s">
        <v>1</v>
      </c>
      <c r="AE112">
        <v>4</v>
      </c>
      <c r="AH112" t="s">
        <v>1983</v>
      </c>
      <c r="AI112" t="s">
        <v>1982</v>
      </c>
      <c r="AK112" t="s">
        <v>1981</v>
      </c>
      <c r="AL112">
        <v>20</v>
      </c>
      <c r="AM112" s="5">
        <f t="shared" si="11"/>
        <v>0.60606060606060608</v>
      </c>
      <c r="AN112" s="4">
        <f t="shared" si="12"/>
        <v>9.1792594632428032E-4</v>
      </c>
      <c r="AO112" s="3"/>
      <c r="AP112">
        <v>0</v>
      </c>
      <c r="AR112" t="s">
        <v>0</v>
      </c>
      <c r="AT112" s="2" t="s">
        <v>5</v>
      </c>
      <c r="AU112" s="1">
        <f t="shared" si="13"/>
        <v>0.52085082395711846</v>
      </c>
      <c r="AV112" s="1">
        <f t="shared" si="14"/>
        <v>0.39826275843577841</v>
      </c>
      <c r="AW112" s="1">
        <f t="shared" si="15"/>
        <v>0.27567469291443819</v>
      </c>
    </row>
    <row r="113" spans="1:49" x14ac:dyDescent="0.2">
      <c r="A113">
        <v>111</v>
      </c>
      <c r="B113" t="s">
        <v>1980</v>
      </c>
      <c r="F113" t="s">
        <v>1979</v>
      </c>
      <c r="G113" t="s">
        <v>4</v>
      </c>
      <c r="H113" t="s">
        <v>3</v>
      </c>
      <c r="I113" t="s">
        <v>1978</v>
      </c>
      <c r="J113">
        <v>60015623</v>
      </c>
      <c r="K113" t="s">
        <v>231</v>
      </c>
      <c r="L113" t="s">
        <v>110</v>
      </c>
      <c r="M113" t="s">
        <v>6</v>
      </c>
      <c r="N113">
        <v>1</v>
      </c>
      <c r="O113" t="s">
        <v>1977</v>
      </c>
      <c r="P113">
        <v>7006807417</v>
      </c>
      <c r="Q113">
        <v>60015623</v>
      </c>
      <c r="R113" s="7">
        <v>32843</v>
      </c>
      <c r="S113" s="8">
        <f t="shared" si="8"/>
        <v>1989</v>
      </c>
      <c r="T113" s="8">
        <v>1989</v>
      </c>
      <c r="U113" s="8">
        <f t="shared" si="9"/>
        <v>33</v>
      </c>
      <c r="V113" s="7">
        <v>1989</v>
      </c>
      <c r="W113" t="s">
        <v>185</v>
      </c>
      <c r="X113" s="2">
        <v>0.26400000000000001</v>
      </c>
      <c r="Y113" s="6">
        <f t="shared" si="10"/>
        <v>7.0473292223912874E-3</v>
      </c>
      <c r="AB113">
        <v>82000</v>
      </c>
      <c r="AD113" t="s">
        <v>1</v>
      </c>
      <c r="AE113">
        <v>4</v>
      </c>
      <c r="AH113" t="s">
        <v>1976</v>
      </c>
      <c r="AI113" t="s">
        <v>1975</v>
      </c>
      <c r="AK113" t="s">
        <v>1974</v>
      </c>
      <c r="AL113">
        <v>0</v>
      </c>
      <c r="AM113" s="5">
        <f t="shared" si="11"/>
        <v>0</v>
      </c>
      <c r="AN113" s="4">
        <f t="shared" si="12"/>
        <v>0</v>
      </c>
      <c r="AO113" s="3"/>
      <c r="AP113">
        <v>0</v>
      </c>
      <c r="AR113" t="s">
        <v>0</v>
      </c>
      <c r="AT113" s="2" t="s">
        <v>5</v>
      </c>
      <c r="AU113" s="1">
        <f t="shared" si="13"/>
        <v>0.49331304556739003</v>
      </c>
      <c r="AV113" s="1">
        <f t="shared" si="14"/>
        <v>0.35236646111956438</v>
      </c>
      <c r="AW113" s="1">
        <f t="shared" si="15"/>
        <v>0.21141987667173862</v>
      </c>
    </row>
    <row r="114" spans="1:49" x14ac:dyDescent="0.2">
      <c r="A114">
        <v>112</v>
      </c>
      <c r="B114" t="s">
        <v>1973</v>
      </c>
      <c r="F114" t="s">
        <v>1972</v>
      </c>
      <c r="G114" t="s">
        <v>4</v>
      </c>
      <c r="H114" t="s">
        <v>3</v>
      </c>
      <c r="I114" t="s">
        <v>1971</v>
      </c>
      <c r="J114">
        <v>60004855</v>
      </c>
      <c r="K114" t="s">
        <v>1970</v>
      </c>
      <c r="L114" t="s">
        <v>1969</v>
      </c>
      <c r="M114" t="s">
        <v>2</v>
      </c>
      <c r="N114">
        <v>3</v>
      </c>
      <c r="O114" t="s">
        <v>1968</v>
      </c>
      <c r="P114" t="s">
        <v>1967</v>
      </c>
      <c r="Q114" t="s">
        <v>1966</v>
      </c>
      <c r="R114" s="7">
        <v>32843</v>
      </c>
      <c r="S114" s="8">
        <f t="shared" si="8"/>
        <v>1989</v>
      </c>
      <c r="T114" s="8">
        <v>1989</v>
      </c>
      <c r="U114" s="8">
        <f t="shared" si="9"/>
        <v>33</v>
      </c>
      <c r="V114" s="7">
        <v>1989</v>
      </c>
      <c r="W114" t="s">
        <v>185</v>
      </c>
      <c r="X114" s="2">
        <v>0.26400000000000001</v>
      </c>
      <c r="Y114" s="6">
        <f t="shared" si="10"/>
        <v>7.0473292223912874E-3</v>
      </c>
      <c r="AB114">
        <v>82000</v>
      </c>
      <c r="AD114" t="s">
        <v>1</v>
      </c>
      <c r="AE114">
        <v>1</v>
      </c>
      <c r="AH114" t="s">
        <v>1965</v>
      </c>
      <c r="AI114" t="s">
        <v>1964</v>
      </c>
      <c r="AK114" t="s">
        <v>1963</v>
      </c>
      <c r="AL114">
        <v>0</v>
      </c>
      <c r="AM114" s="5">
        <f t="shared" si="11"/>
        <v>0</v>
      </c>
      <c r="AN114" s="4">
        <f t="shared" si="12"/>
        <v>0</v>
      </c>
      <c r="AO114" s="3"/>
      <c r="AP114">
        <v>0</v>
      </c>
      <c r="AR114" t="s">
        <v>0</v>
      </c>
      <c r="AT114" s="2" t="s">
        <v>5</v>
      </c>
      <c r="AU114" s="1">
        <f t="shared" si="13"/>
        <v>0.49331304556739003</v>
      </c>
      <c r="AV114" s="1">
        <f t="shared" si="14"/>
        <v>0.35236646111956438</v>
      </c>
      <c r="AW114" s="1">
        <f t="shared" si="15"/>
        <v>0.21141987667173862</v>
      </c>
    </row>
    <row r="115" spans="1:49" x14ac:dyDescent="0.2">
      <c r="A115">
        <v>113</v>
      </c>
      <c r="B115" t="s">
        <v>1962</v>
      </c>
      <c r="F115" t="s">
        <v>1961</v>
      </c>
      <c r="G115" t="s">
        <v>4</v>
      </c>
      <c r="H115" t="s">
        <v>3</v>
      </c>
      <c r="I115" t="s">
        <v>1960</v>
      </c>
      <c r="N115">
        <v>2</v>
      </c>
      <c r="O115" t="s">
        <v>1959</v>
      </c>
      <c r="P115" t="s">
        <v>1958</v>
      </c>
      <c r="Q115" t="s">
        <v>51</v>
      </c>
      <c r="R115" s="7">
        <v>32843</v>
      </c>
      <c r="S115" s="8">
        <f t="shared" si="8"/>
        <v>1989</v>
      </c>
      <c r="T115" s="8">
        <v>1989</v>
      </c>
      <c r="U115" s="8">
        <f t="shared" si="9"/>
        <v>33</v>
      </c>
      <c r="V115" s="7">
        <v>32843</v>
      </c>
      <c r="W115" t="s">
        <v>50</v>
      </c>
      <c r="X115" s="2">
        <v>0.14099999999999999</v>
      </c>
      <c r="Y115" s="6">
        <f t="shared" si="10"/>
        <v>3.7639144710498915E-3</v>
      </c>
      <c r="AA115">
        <v>402508</v>
      </c>
      <c r="AB115">
        <v>20868</v>
      </c>
      <c r="AD115" t="s">
        <v>1</v>
      </c>
      <c r="AE115">
        <v>44</v>
      </c>
      <c r="AF115">
        <v>12</v>
      </c>
      <c r="AH115" t="s">
        <v>1957</v>
      </c>
      <c r="AI115" t="s">
        <v>1956</v>
      </c>
      <c r="AK115" t="s">
        <v>1955</v>
      </c>
      <c r="AL115">
        <v>0</v>
      </c>
      <c r="AM115" s="5">
        <f t="shared" si="11"/>
        <v>0</v>
      </c>
      <c r="AN115" s="4">
        <f t="shared" si="12"/>
        <v>0</v>
      </c>
      <c r="AO115" s="3"/>
      <c r="AP115">
        <v>0</v>
      </c>
      <c r="AR115" t="s">
        <v>0</v>
      </c>
      <c r="AT115" s="2" t="s">
        <v>5</v>
      </c>
      <c r="AU115" s="1">
        <f t="shared" si="13"/>
        <v>0.26347401297349238</v>
      </c>
      <c r="AV115" s="1">
        <f t="shared" si="14"/>
        <v>0.18819572355249459</v>
      </c>
      <c r="AW115" s="1">
        <f t="shared" si="15"/>
        <v>0.11291743413149673</v>
      </c>
    </row>
    <row r="116" spans="1:49" x14ac:dyDescent="0.2">
      <c r="A116">
        <v>114</v>
      </c>
      <c r="B116" t="s">
        <v>1954</v>
      </c>
      <c r="F116" t="s">
        <v>1953</v>
      </c>
      <c r="G116" t="s">
        <v>4</v>
      </c>
      <c r="H116" t="s">
        <v>3</v>
      </c>
      <c r="I116" t="s">
        <v>1952</v>
      </c>
      <c r="N116">
        <v>2</v>
      </c>
      <c r="O116" t="s">
        <v>1951</v>
      </c>
      <c r="P116" t="s">
        <v>1950</v>
      </c>
      <c r="Q116" t="s">
        <v>51</v>
      </c>
      <c r="R116" s="7">
        <v>32843</v>
      </c>
      <c r="S116" s="8">
        <f t="shared" si="8"/>
        <v>1989</v>
      </c>
      <c r="T116" s="8">
        <v>1989</v>
      </c>
      <c r="U116" s="8">
        <f t="shared" si="9"/>
        <v>33</v>
      </c>
      <c r="V116" s="7">
        <v>32843</v>
      </c>
      <c r="W116" t="s">
        <v>50</v>
      </c>
      <c r="X116" s="2">
        <v>0.14099999999999999</v>
      </c>
      <c r="Y116" s="6">
        <f t="shared" si="10"/>
        <v>3.7639144710498915E-3</v>
      </c>
      <c r="AA116">
        <v>402508</v>
      </c>
      <c r="AB116">
        <v>20868</v>
      </c>
      <c r="AD116" t="s">
        <v>1</v>
      </c>
      <c r="AE116">
        <v>44</v>
      </c>
      <c r="AF116">
        <v>12</v>
      </c>
      <c r="AH116" t="s">
        <v>1949</v>
      </c>
      <c r="AI116" t="s">
        <v>1948</v>
      </c>
      <c r="AK116" t="s">
        <v>1947</v>
      </c>
      <c r="AL116">
        <v>0</v>
      </c>
      <c r="AM116" s="5">
        <f t="shared" si="11"/>
        <v>0</v>
      </c>
      <c r="AN116" s="4">
        <f t="shared" si="12"/>
        <v>0</v>
      </c>
      <c r="AO116" s="3"/>
      <c r="AP116">
        <v>0</v>
      </c>
      <c r="AR116" t="s">
        <v>0</v>
      </c>
      <c r="AT116" s="2" t="s">
        <v>5</v>
      </c>
      <c r="AU116" s="1">
        <f t="shared" si="13"/>
        <v>0.26347401297349238</v>
      </c>
      <c r="AV116" s="1">
        <f t="shared" si="14"/>
        <v>0.18819572355249459</v>
      </c>
      <c r="AW116" s="1">
        <f t="shared" si="15"/>
        <v>0.11291743413149673</v>
      </c>
    </row>
    <row r="117" spans="1:49" x14ac:dyDescent="0.2">
      <c r="A117">
        <v>115</v>
      </c>
      <c r="B117" t="s">
        <v>1946</v>
      </c>
      <c r="F117" t="s">
        <v>1945</v>
      </c>
      <c r="G117" t="s">
        <v>4</v>
      </c>
      <c r="H117" t="s">
        <v>3</v>
      </c>
      <c r="I117" t="s">
        <v>385</v>
      </c>
      <c r="N117">
        <v>1</v>
      </c>
      <c r="O117" t="s">
        <v>1944</v>
      </c>
      <c r="P117">
        <v>7003805994</v>
      </c>
      <c r="R117" s="7">
        <v>32843</v>
      </c>
      <c r="S117" s="8">
        <f t="shared" si="8"/>
        <v>1989</v>
      </c>
      <c r="T117" s="8">
        <v>1989</v>
      </c>
      <c r="U117" s="8">
        <f t="shared" si="9"/>
        <v>33</v>
      </c>
      <c r="V117" s="7">
        <v>32843</v>
      </c>
      <c r="W117" t="s">
        <v>50</v>
      </c>
      <c r="X117" s="2">
        <v>0.14099999999999999</v>
      </c>
      <c r="Y117" s="6">
        <f t="shared" si="10"/>
        <v>3.7639144710498915E-3</v>
      </c>
      <c r="AA117">
        <v>402508</v>
      </c>
      <c r="AB117">
        <v>20868</v>
      </c>
      <c r="AD117" t="s">
        <v>1</v>
      </c>
      <c r="AE117">
        <v>44</v>
      </c>
      <c r="AF117">
        <v>12</v>
      </c>
      <c r="AH117" t="s">
        <v>1943</v>
      </c>
      <c r="AI117" t="s">
        <v>1942</v>
      </c>
      <c r="AK117" t="s">
        <v>1941</v>
      </c>
      <c r="AL117">
        <v>0</v>
      </c>
      <c r="AM117" s="5">
        <f t="shared" si="11"/>
        <v>0</v>
      </c>
      <c r="AN117" s="4">
        <f t="shared" si="12"/>
        <v>0</v>
      </c>
      <c r="AO117" s="3"/>
      <c r="AP117">
        <v>0</v>
      </c>
      <c r="AR117" t="s">
        <v>0</v>
      </c>
      <c r="AT117" s="2" t="s">
        <v>5</v>
      </c>
      <c r="AU117" s="1">
        <f t="shared" si="13"/>
        <v>0.26347401297349238</v>
      </c>
      <c r="AV117" s="1">
        <f t="shared" si="14"/>
        <v>0.18819572355249459</v>
      </c>
      <c r="AW117" s="1">
        <f t="shared" si="15"/>
        <v>0.11291743413149673</v>
      </c>
    </row>
    <row r="118" spans="1:49" x14ac:dyDescent="0.2">
      <c r="A118">
        <v>116</v>
      </c>
      <c r="B118" t="s">
        <v>1940</v>
      </c>
      <c r="F118" t="s">
        <v>1939</v>
      </c>
      <c r="G118" t="s">
        <v>4</v>
      </c>
      <c r="H118" t="s">
        <v>3</v>
      </c>
      <c r="I118" t="s">
        <v>1938</v>
      </c>
      <c r="N118">
        <v>2</v>
      </c>
      <c r="O118" t="s">
        <v>1937</v>
      </c>
      <c r="P118" t="s">
        <v>1936</v>
      </c>
      <c r="Q118" t="s">
        <v>51</v>
      </c>
      <c r="R118" s="7">
        <v>32843</v>
      </c>
      <c r="S118" s="8">
        <f t="shared" si="8"/>
        <v>1989</v>
      </c>
      <c r="T118" s="8">
        <v>1989</v>
      </c>
      <c r="U118" s="8">
        <f t="shared" si="9"/>
        <v>33</v>
      </c>
      <c r="V118" s="7">
        <v>1989</v>
      </c>
      <c r="W118" t="s">
        <v>52</v>
      </c>
      <c r="X118" s="2" t="s">
        <v>5</v>
      </c>
      <c r="Y118" s="6" t="e">
        <f t="shared" si="10"/>
        <v>#VALUE!</v>
      </c>
      <c r="AA118">
        <v>87566648</v>
      </c>
      <c r="AB118">
        <v>74127</v>
      </c>
      <c r="AD118" t="s">
        <v>1</v>
      </c>
      <c r="AE118">
        <v>34</v>
      </c>
      <c r="AF118">
        <v>13</v>
      </c>
      <c r="AH118" t="s">
        <v>1935</v>
      </c>
      <c r="AI118" t="s">
        <v>1934</v>
      </c>
      <c r="AK118" t="s">
        <v>1933</v>
      </c>
      <c r="AL118">
        <v>0</v>
      </c>
      <c r="AM118" s="5">
        <f t="shared" si="11"/>
        <v>0</v>
      </c>
      <c r="AN118" s="4">
        <f t="shared" si="12"/>
        <v>0</v>
      </c>
      <c r="AO118" s="3"/>
      <c r="AP118">
        <v>0</v>
      </c>
      <c r="AR118" t="s">
        <v>0</v>
      </c>
      <c r="AT118" s="2" t="s">
        <v>5</v>
      </c>
      <c r="AU118" s="1" t="e">
        <f t="shared" si="13"/>
        <v>#VALUE!</v>
      </c>
      <c r="AV118" s="1" t="e">
        <f t="shared" si="14"/>
        <v>#VALUE!</v>
      </c>
      <c r="AW118" s="1" t="e">
        <f t="shared" si="15"/>
        <v>#VALUE!</v>
      </c>
    </row>
    <row r="119" spans="1:49" x14ac:dyDescent="0.2">
      <c r="A119">
        <v>117</v>
      </c>
      <c r="B119" t="s">
        <v>1932</v>
      </c>
      <c r="F119" t="s">
        <v>1931</v>
      </c>
      <c r="G119" t="s">
        <v>4</v>
      </c>
      <c r="H119" t="s">
        <v>3</v>
      </c>
      <c r="I119" t="s">
        <v>1930</v>
      </c>
      <c r="J119">
        <v>100311831</v>
      </c>
      <c r="K119" t="s">
        <v>1929</v>
      </c>
      <c r="L119" t="s">
        <v>1928</v>
      </c>
      <c r="M119" t="s">
        <v>45</v>
      </c>
      <c r="N119">
        <v>5</v>
      </c>
      <c r="O119" t="s">
        <v>1927</v>
      </c>
      <c r="P119" t="s">
        <v>1926</v>
      </c>
      <c r="Q119" t="s">
        <v>1925</v>
      </c>
      <c r="R119" s="7">
        <v>32843</v>
      </c>
      <c r="S119" s="8">
        <f t="shared" si="8"/>
        <v>1989</v>
      </c>
      <c r="T119" s="8">
        <v>1989</v>
      </c>
      <c r="U119" s="8">
        <f t="shared" si="9"/>
        <v>33</v>
      </c>
      <c r="V119" s="7">
        <v>1989</v>
      </c>
      <c r="W119" t="s">
        <v>1924</v>
      </c>
      <c r="X119" s="2" t="s">
        <v>5</v>
      </c>
      <c r="Y119" s="6" t="e">
        <f t="shared" si="10"/>
        <v>#VALUE!</v>
      </c>
      <c r="AA119">
        <v>7612508</v>
      </c>
      <c r="AB119">
        <v>28513</v>
      </c>
      <c r="AD119" t="s">
        <v>1</v>
      </c>
      <c r="AE119">
        <v>22</v>
      </c>
      <c r="AF119">
        <v>1</v>
      </c>
      <c r="AH119" s="10">
        <v>13332</v>
      </c>
      <c r="AI119" t="s">
        <v>1923</v>
      </c>
      <c r="AK119" t="s">
        <v>1922</v>
      </c>
      <c r="AL119">
        <v>0</v>
      </c>
      <c r="AM119" s="5">
        <f t="shared" si="11"/>
        <v>0</v>
      </c>
      <c r="AN119" s="4">
        <f t="shared" si="12"/>
        <v>0</v>
      </c>
      <c r="AO119" s="3"/>
      <c r="AP119">
        <v>0</v>
      </c>
      <c r="AR119" t="s">
        <v>0</v>
      </c>
      <c r="AT119" s="2" t="s">
        <v>5</v>
      </c>
      <c r="AU119" s="1" t="e">
        <f t="shared" si="13"/>
        <v>#VALUE!</v>
      </c>
      <c r="AV119" s="1" t="e">
        <f t="shared" si="14"/>
        <v>#VALUE!</v>
      </c>
      <c r="AW119" s="1" t="e">
        <f t="shared" si="15"/>
        <v>#VALUE!</v>
      </c>
    </row>
    <row r="120" spans="1:49" x14ac:dyDescent="0.2">
      <c r="A120">
        <v>118</v>
      </c>
      <c r="B120" t="s">
        <v>1921</v>
      </c>
      <c r="F120" t="s">
        <v>1920</v>
      </c>
      <c r="G120" t="s">
        <v>4</v>
      </c>
      <c r="H120" t="s">
        <v>3</v>
      </c>
      <c r="I120" t="s">
        <v>1919</v>
      </c>
      <c r="N120">
        <v>3</v>
      </c>
      <c r="O120" t="s">
        <v>1918</v>
      </c>
      <c r="P120" t="s">
        <v>1917</v>
      </c>
      <c r="Q120" t="s">
        <v>20</v>
      </c>
      <c r="R120" s="7">
        <v>32843</v>
      </c>
      <c r="S120" s="8">
        <f t="shared" si="8"/>
        <v>1989</v>
      </c>
      <c r="T120" s="8">
        <v>1989</v>
      </c>
      <c r="U120" s="8">
        <f t="shared" si="9"/>
        <v>33</v>
      </c>
      <c r="V120" s="7">
        <v>32843</v>
      </c>
      <c r="W120" t="s">
        <v>50</v>
      </c>
      <c r="X120" s="2">
        <v>0.14099999999999999</v>
      </c>
      <c r="Y120" s="6">
        <f t="shared" si="10"/>
        <v>3.7639144710498915E-3</v>
      </c>
      <c r="AA120">
        <v>402508</v>
      </c>
      <c r="AB120">
        <v>20868</v>
      </c>
      <c r="AD120" t="s">
        <v>1</v>
      </c>
      <c r="AE120">
        <v>44</v>
      </c>
      <c r="AF120">
        <v>12</v>
      </c>
      <c r="AH120" t="s">
        <v>48</v>
      </c>
      <c r="AI120" t="s">
        <v>1916</v>
      </c>
      <c r="AK120" t="s">
        <v>1915</v>
      </c>
      <c r="AL120">
        <v>0</v>
      </c>
      <c r="AM120" s="5">
        <f t="shared" si="11"/>
        <v>0</v>
      </c>
      <c r="AN120" s="4">
        <f t="shared" si="12"/>
        <v>0</v>
      </c>
      <c r="AO120" s="3"/>
      <c r="AP120">
        <v>0</v>
      </c>
      <c r="AR120" t="s">
        <v>0</v>
      </c>
      <c r="AT120" s="2" t="s">
        <v>5</v>
      </c>
      <c r="AU120" s="1">
        <f t="shared" si="13"/>
        <v>0.26347401297349238</v>
      </c>
      <c r="AV120" s="1">
        <f t="shared" si="14"/>
        <v>0.18819572355249459</v>
      </c>
      <c r="AW120" s="1">
        <f t="shared" si="15"/>
        <v>0.11291743413149673</v>
      </c>
    </row>
    <row r="121" spans="1:49" x14ac:dyDescent="0.2">
      <c r="A121">
        <v>119</v>
      </c>
      <c r="B121" t="s">
        <v>1914</v>
      </c>
      <c r="C121" t="s">
        <v>1913</v>
      </c>
      <c r="E121">
        <v>2611858</v>
      </c>
      <c r="F121" t="s">
        <v>1912</v>
      </c>
      <c r="G121" t="s">
        <v>4</v>
      </c>
      <c r="H121" t="s">
        <v>3</v>
      </c>
      <c r="I121" t="s">
        <v>1911</v>
      </c>
      <c r="J121" t="s">
        <v>1910</v>
      </c>
      <c r="K121" t="s">
        <v>1909</v>
      </c>
      <c r="L121" t="s">
        <v>1908</v>
      </c>
      <c r="M121" t="s">
        <v>1907</v>
      </c>
      <c r="N121">
        <v>3</v>
      </c>
      <c r="O121" t="s">
        <v>1906</v>
      </c>
      <c r="P121" t="s">
        <v>1905</v>
      </c>
      <c r="Q121" t="s">
        <v>1904</v>
      </c>
      <c r="R121" s="7">
        <v>32843</v>
      </c>
      <c r="S121" s="8">
        <f t="shared" si="8"/>
        <v>1989</v>
      </c>
      <c r="T121" s="8">
        <v>1989</v>
      </c>
      <c r="U121" s="8">
        <f t="shared" si="9"/>
        <v>33</v>
      </c>
      <c r="V121" s="7">
        <v>32843</v>
      </c>
      <c r="W121" t="s">
        <v>179</v>
      </c>
      <c r="X121" s="2">
        <v>1.64</v>
      </c>
      <c r="Y121" s="6">
        <f t="shared" si="10"/>
        <v>4.3778863351218597E-2</v>
      </c>
      <c r="AA121" t="s">
        <v>178</v>
      </c>
      <c r="AB121">
        <v>18446</v>
      </c>
      <c r="AC121">
        <v>14320878</v>
      </c>
      <c r="AD121" t="s">
        <v>1</v>
      </c>
      <c r="AE121">
        <v>258</v>
      </c>
      <c r="AF121">
        <v>3</v>
      </c>
      <c r="AH121" t="s">
        <v>1903</v>
      </c>
      <c r="AI121" t="s">
        <v>1902</v>
      </c>
      <c r="AJ121" t="s">
        <v>1901</v>
      </c>
      <c r="AK121" t="s">
        <v>1900</v>
      </c>
      <c r="AL121">
        <v>18</v>
      </c>
      <c r="AM121" s="5">
        <f t="shared" si="11"/>
        <v>0.54545454545454541</v>
      </c>
      <c r="AN121" s="4">
        <f t="shared" si="12"/>
        <v>8.2613335169185224E-4</v>
      </c>
      <c r="AO121" s="3"/>
      <c r="AP121">
        <v>0</v>
      </c>
      <c r="AR121" t="s">
        <v>0</v>
      </c>
      <c r="AT121" s="2">
        <v>5.2489999999999997</v>
      </c>
      <c r="AU121" s="1">
        <f t="shared" si="13"/>
        <v>3.0893044351360572</v>
      </c>
      <c r="AV121" s="1">
        <f t="shared" si="14"/>
        <v>2.2302498351455222</v>
      </c>
      <c r="AW121" s="1">
        <f t="shared" si="15"/>
        <v>1.3711952351549876</v>
      </c>
    </row>
    <row r="122" spans="1:49" x14ac:dyDescent="0.2">
      <c r="A122">
        <v>120</v>
      </c>
      <c r="B122" t="s">
        <v>1899</v>
      </c>
      <c r="C122" t="s">
        <v>1898</v>
      </c>
      <c r="E122">
        <v>2616641</v>
      </c>
      <c r="F122" t="s">
        <v>1897</v>
      </c>
      <c r="G122" t="s">
        <v>4</v>
      </c>
      <c r="H122" t="s">
        <v>3</v>
      </c>
      <c r="I122" t="s">
        <v>1896</v>
      </c>
      <c r="J122">
        <v>60000990</v>
      </c>
      <c r="K122" t="s">
        <v>105</v>
      </c>
      <c r="L122" t="s">
        <v>104</v>
      </c>
      <c r="M122" t="s">
        <v>2</v>
      </c>
      <c r="N122">
        <v>5</v>
      </c>
      <c r="O122" t="s">
        <v>1895</v>
      </c>
      <c r="P122" t="s">
        <v>1894</v>
      </c>
      <c r="Q122" t="s">
        <v>1893</v>
      </c>
      <c r="R122" s="7">
        <v>32843</v>
      </c>
      <c r="S122" s="8">
        <f t="shared" si="8"/>
        <v>1989</v>
      </c>
      <c r="T122" s="8">
        <v>1989</v>
      </c>
      <c r="U122" s="8">
        <f t="shared" si="9"/>
        <v>33</v>
      </c>
      <c r="V122" s="7">
        <v>1989</v>
      </c>
      <c r="W122" t="s">
        <v>1892</v>
      </c>
      <c r="X122" s="2">
        <v>1.3120000000000001</v>
      </c>
      <c r="Y122" s="6">
        <f t="shared" si="10"/>
        <v>3.502309068097488E-2</v>
      </c>
      <c r="AA122">
        <v>319155</v>
      </c>
      <c r="AB122">
        <v>29203</v>
      </c>
      <c r="AD122" t="s">
        <v>1</v>
      </c>
      <c r="AE122">
        <v>34</v>
      </c>
      <c r="AF122">
        <v>12</v>
      </c>
      <c r="AG122">
        <v>13</v>
      </c>
      <c r="AH122" t="s">
        <v>1891</v>
      </c>
      <c r="AI122" t="s">
        <v>1890</v>
      </c>
      <c r="AK122" t="s">
        <v>1889</v>
      </c>
      <c r="AL122">
        <v>9</v>
      </c>
      <c r="AM122" s="5">
        <f t="shared" si="11"/>
        <v>0.27272727272727271</v>
      </c>
      <c r="AN122" s="4">
        <f t="shared" si="12"/>
        <v>4.1306667584592612E-4</v>
      </c>
      <c r="AO122" s="3"/>
      <c r="AP122">
        <v>0</v>
      </c>
      <c r="AR122" t="s">
        <v>0</v>
      </c>
      <c r="AT122" s="2">
        <v>3.609</v>
      </c>
      <c r="AU122" s="1">
        <f t="shared" si="13"/>
        <v>2.4640083479436194</v>
      </c>
      <c r="AV122" s="1">
        <f t="shared" si="14"/>
        <v>1.7718078678410403</v>
      </c>
      <c r="AW122" s="1">
        <f t="shared" si="15"/>
        <v>1.0796073877384613</v>
      </c>
    </row>
    <row r="123" spans="1:49" x14ac:dyDescent="0.2">
      <c r="A123">
        <v>121</v>
      </c>
      <c r="B123" t="s">
        <v>1888</v>
      </c>
      <c r="C123" t="s">
        <v>1887</v>
      </c>
      <c r="F123" t="s">
        <v>1886</v>
      </c>
      <c r="G123" t="s">
        <v>4</v>
      </c>
      <c r="H123" t="s">
        <v>3</v>
      </c>
      <c r="I123" t="s">
        <v>117</v>
      </c>
      <c r="J123">
        <v>60017366</v>
      </c>
      <c r="K123" t="s">
        <v>116</v>
      </c>
      <c r="L123" t="s">
        <v>115</v>
      </c>
      <c r="M123" t="s">
        <v>6</v>
      </c>
      <c r="N123">
        <v>4</v>
      </c>
      <c r="O123" t="s">
        <v>1885</v>
      </c>
      <c r="P123" t="s">
        <v>1884</v>
      </c>
      <c r="Q123" t="s">
        <v>112</v>
      </c>
      <c r="R123" s="7">
        <v>32843</v>
      </c>
      <c r="S123" s="8">
        <f t="shared" si="8"/>
        <v>1989</v>
      </c>
      <c r="T123" s="8">
        <v>1989</v>
      </c>
      <c r="U123" s="8">
        <f t="shared" si="9"/>
        <v>33</v>
      </c>
      <c r="V123" s="7">
        <v>1989</v>
      </c>
      <c r="W123" t="s">
        <v>1858</v>
      </c>
      <c r="X123" s="2">
        <v>1.1819999999999999</v>
      </c>
      <c r="Y123" s="6">
        <f t="shared" si="10"/>
        <v>3.1552814927524625E-2</v>
      </c>
      <c r="AA123">
        <v>36951</v>
      </c>
      <c r="AB123">
        <v>27030</v>
      </c>
      <c r="AD123" t="s">
        <v>1</v>
      </c>
      <c r="AE123">
        <v>55</v>
      </c>
      <c r="AF123">
        <v>22</v>
      </c>
      <c r="AH123" t="s">
        <v>1883</v>
      </c>
      <c r="AI123" t="s">
        <v>1882</v>
      </c>
      <c r="AK123" t="s">
        <v>1881</v>
      </c>
      <c r="AL123">
        <v>26</v>
      </c>
      <c r="AM123" s="5">
        <f t="shared" si="11"/>
        <v>0.78787878787878785</v>
      </c>
      <c r="AN123" s="4">
        <f t="shared" si="12"/>
        <v>1.1933037302215644E-3</v>
      </c>
      <c r="AO123" s="3"/>
      <c r="AP123">
        <v>0</v>
      </c>
      <c r="AR123" t="s">
        <v>0</v>
      </c>
      <c r="AT123" s="2">
        <v>3.7909999999999999</v>
      </c>
      <c r="AU123" s="1">
        <f t="shared" si="13"/>
        <v>2.2444961568333706</v>
      </c>
      <c r="AV123" s="1">
        <f t="shared" si="14"/>
        <v>1.6373059328873094</v>
      </c>
      <c r="AW123" s="1">
        <f t="shared" si="15"/>
        <v>1.0301157089412483</v>
      </c>
    </row>
    <row r="124" spans="1:49" x14ac:dyDescent="0.2">
      <c r="A124">
        <v>122</v>
      </c>
      <c r="B124" t="s">
        <v>1880</v>
      </c>
      <c r="C124" t="s">
        <v>1879</v>
      </c>
      <c r="F124" t="s">
        <v>1878</v>
      </c>
      <c r="G124" t="s">
        <v>4</v>
      </c>
      <c r="H124" t="s">
        <v>3</v>
      </c>
      <c r="I124" t="s">
        <v>1877</v>
      </c>
      <c r="J124">
        <v>60103678</v>
      </c>
      <c r="K124" t="s">
        <v>61</v>
      </c>
      <c r="L124" t="s">
        <v>60</v>
      </c>
      <c r="M124" t="s">
        <v>6</v>
      </c>
      <c r="N124">
        <v>3</v>
      </c>
      <c r="O124" t="s">
        <v>1876</v>
      </c>
      <c r="P124" t="s">
        <v>1875</v>
      </c>
      <c r="Q124" t="s">
        <v>1874</v>
      </c>
      <c r="R124" s="7">
        <v>32843</v>
      </c>
      <c r="S124" s="8">
        <f t="shared" si="8"/>
        <v>1989</v>
      </c>
      <c r="T124" s="8">
        <v>1989</v>
      </c>
      <c r="U124" s="8">
        <f t="shared" si="9"/>
        <v>33</v>
      </c>
      <c r="V124" s="7">
        <v>32843</v>
      </c>
      <c r="W124" t="s">
        <v>223</v>
      </c>
      <c r="X124" s="2">
        <v>0.85499999999999998</v>
      </c>
      <c r="Y124" s="6">
        <f t="shared" si="10"/>
        <v>2.28237366861536E-2</v>
      </c>
      <c r="AA124">
        <v>980331</v>
      </c>
      <c r="AB124">
        <v>23342</v>
      </c>
      <c r="AC124">
        <v>15731561</v>
      </c>
      <c r="AD124" t="s">
        <v>1</v>
      </c>
      <c r="AE124">
        <v>15</v>
      </c>
      <c r="AF124">
        <v>12</v>
      </c>
      <c r="AH124" t="s">
        <v>1873</v>
      </c>
      <c r="AI124" t="s">
        <v>1872</v>
      </c>
      <c r="AJ124" t="s">
        <v>1871</v>
      </c>
      <c r="AK124" t="s">
        <v>1870</v>
      </c>
      <c r="AL124">
        <v>23</v>
      </c>
      <c r="AM124" s="5">
        <f t="shared" si="11"/>
        <v>0.69696969696969702</v>
      </c>
      <c r="AN124" s="4">
        <f t="shared" si="12"/>
        <v>1.0556148382729225E-3</v>
      </c>
      <c r="AO124" s="3"/>
      <c r="AP124">
        <v>0</v>
      </c>
      <c r="AR124" t="s">
        <v>0</v>
      </c>
      <c r="AT124" s="2">
        <v>2.6259999999999999</v>
      </c>
      <c r="AU124" s="1">
        <f t="shared" si="13"/>
        <v>1.6293300131789397</v>
      </c>
      <c r="AV124" s="1">
        <f t="shared" si="14"/>
        <v>1.1939675762213262</v>
      </c>
      <c r="AW124" s="1">
        <f t="shared" si="15"/>
        <v>0.75860513926371254</v>
      </c>
    </row>
    <row r="125" spans="1:49" x14ac:dyDescent="0.2">
      <c r="A125">
        <v>123</v>
      </c>
      <c r="B125" t="s">
        <v>1869</v>
      </c>
      <c r="C125" t="s">
        <v>1868</v>
      </c>
      <c r="F125" t="s">
        <v>1867</v>
      </c>
      <c r="G125" t="s">
        <v>4</v>
      </c>
      <c r="H125" t="s">
        <v>3</v>
      </c>
      <c r="I125" t="s">
        <v>102</v>
      </c>
      <c r="J125">
        <v>60025038</v>
      </c>
      <c r="K125" t="s">
        <v>25</v>
      </c>
      <c r="L125" t="s">
        <v>24</v>
      </c>
      <c r="M125" t="s">
        <v>6</v>
      </c>
      <c r="N125">
        <v>2</v>
      </c>
      <c r="O125" t="s">
        <v>1866</v>
      </c>
      <c r="P125" t="s">
        <v>1865</v>
      </c>
      <c r="Q125" t="s">
        <v>23</v>
      </c>
      <c r="R125" s="7">
        <v>32843</v>
      </c>
      <c r="S125" s="8">
        <f t="shared" si="8"/>
        <v>1989</v>
      </c>
      <c r="T125" s="8">
        <v>1989</v>
      </c>
      <c r="U125" s="8">
        <f t="shared" si="9"/>
        <v>33</v>
      </c>
      <c r="V125" s="7">
        <v>1989</v>
      </c>
      <c r="W125" t="s">
        <v>1858</v>
      </c>
      <c r="X125" s="2">
        <v>1.1819999999999999</v>
      </c>
      <c r="Y125" s="6">
        <f t="shared" si="10"/>
        <v>3.1552814927524625E-2</v>
      </c>
      <c r="AA125">
        <v>36951</v>
      </c>
      <c r="AB125">
        <v>27030</v>
      </c>
      <c r="AD125" t="s">
        <v>1</v>
      </c>
      <c r="AE125">
        <v>55</v>
      </c>
      <c r="AF125">
        <v>23</v>
      </c>
      <c r="AH125" t="s">
        <v>1864</v>
      </c>
      <c r="AI125" t="s">
        <v>1863</v>
      </c>
      <c r="AK125" t="s">
        <v>1862</v>
      </c>
      <c r="AL125">
        <v>87</v>
      </c>
      <c r="AM125" s="5">
        <f t="shared" si="11"/>
        <v>2.6363636363636362</v>
      </c>
      <c r="AN125" s="4">
        <f t="shared" si="12"/>
        <v>3.9929778665106193E-3</v>
      </c>
      <c r="AO125" s="3"/>
      <c r="AP125">
        <v>0</v>
      </c>
      <c r="AR125" t="s">
        <v>0</v>
      </c>
      <c r="AT125" s="2">
        <v>3.7909999999999999</v>
      </c>
      <c r="AU125" s="1">
        <f t="shared" si="13"/>
        <v>2.3284863809220422</v>
      </c>
      <c r="AV125" s="1">
        <f t="shared" si="14"/>
        <v>1.7772896397017623</v>
      </c>
      <c r="AW125" s="1">
        <f t="shared" si="15"/>
        <v>1.2260928984814821</v>
      </c>
    </row>
    <row r="126" spans="1:49" x14ac:dyDescent="0.2">
      <c r="A126">
        <v>124</v>
      </c>
      <c r="B126" t="s">
        <v>1861</v>
      </c>
      <c r="C126" t="s">
        <v>1860</v>
      </c>
      <c r="F126" t="s">
        <v>1859</v>
      </c>
      <c r="G126" t="s">
        <v>4</v>
      </c>
      <c r="H126" t="s">
        <v>3</v>
      </c>
      <c r="I126" t="s">
        <v>117</v>
      </c>
      <c r="J126">
        <v>60017366</v>
      </c>
      <c r="K126" t="s">
        <v>116</v>
      </c>
      <c r="L126" t="s">
        <v>115</v>
      </c>
      <c r="M126" t="s">
        <v>6</v>
      </c>
      <c r="N126">
        <v>4</v>
      </c>
      <c r="O126" t="s">
        <v>114</v>
      </c>
      <c r="P126" t="s">
        <v>113</v>
      </c>
      <c r="Q126" t="s">
        <v>112</v>
      </c>
      <c r="R126" s="7">
        <v>32843</v>
      </c>
      <c r="S126" s="8">
        <f t="shared" si="8"/>
        <v>1989</v>
      </c>
      <c r="T126" s="8">
        <v>1989</v>
      </c>
      <c r="U126" s="8">
        <f t="shared" si="9"/>
        <v>33</v>
      </c>
      <c r="V126" s="7">
        <v>1989</v>
      </c>
      <c r="W126" t="s">
        <v>1858</v>
      </c>
      <c r="X126" s="2">
        <v>1.1819999999999999</v>
      </c>
      <c r="Y126" s="6">
        <f t="shared" si="10"/>
        <v>3.1552814927524625E-2</v>
      </c>
      <c r="AA126">
        <v>36951</v>
      </c>
      <c r="AB126">
        <v>27030</v>
      </c>
      <c r="AD126" t="s">
        <v>1</v>
      </c>
      <c r="AE126">
        <v>54</v>
      </c>
      <c r="AF126">
        <v>4</v>
      </c>
      <c r="AH126" t="s">
        <v>1857</v>
      </c>
      <c r="AI126" t="s">
        <v>1856</v>
      </c>
      <c r="AK126" t="s">
        <v>1855</v>
      </c>
      <c r="AL126">
        <v>37</v>
      </c>
      <c r="AM126" s="5">
        <f t="shared" si="11"/>
        <v>1.1212121212121211</v>
      </c>
      <c r="AN126" s="4">
        <f t="shared" si="12"/>
        <v>1.6981630006999184E-3</v>
      </c>
      <c r="AO126" s="3"/>
      <c r="AP126">
        <v>0</v>
      </c>
      <c r="AR126" t="s">
        <v>0</v>
      </c>
      <c r="AT126" s="2">
        <v>3.7909999999999999</v>
      </c>
      <c r="AU126" s="1">
        <f t="shared" si="13"/>
        <v>2.2596419349477213</v>
      </c>
      <c r="AV126" s="1">
        <f t="shared" si="14"/>
        <v>1.6625488964112269</v>
      </c>
      <c r="AW126" s="1">
        <f t="shared" si="15"/>
        <v>1.0654558578747331</v>
      </c>
    </row>
    <row r="127" spans="1:49" x14ac:dyDescent="0.2">
      <c r="A127">
        <v>125</v>
      </c>
      <c r="B127" t="s">
        <v>1854</v>
      </c>
      <c r="C127" t="s">
        <v>1853</v>
      </c>
      <c r="F127" t="s">
        <v>1852</v>
      </c>
      <c r="G127" t="s">
        <v>4</v>
      </c>
      <c r="H127" t="s">
        <v>3</v>
      </c>
      <c r="I127" t="s">
        <v>1851</v>
      </c>
      <c r="J127">
        <v>60015150</v>
      </c>
      <c r="K127" t="s">
        <v>1850</v>
      </c>
      <c r="L127" t="s">
        <v>68</v>
      </c>
      <c r="M127" t="s">
        <v>37</v>
      </c>
      <c r="N127">
        <v>5</v>
      </c>
      <c r="O127" t="s">
        <v>1849</v>
      </c>
      <c r="P127" t="s">
        <v>1848</v>
      </c>
      <c r="Q127" t="s">
        <v>1847</v>
      </c>
      <c r="R127" s="7">
        <v>32843</v>
      </c>
      <c r="S127" s="8">
        <f t="shared" si="8"/>
        <v>1989</v>
      </c>
      <c r="T127" s="8">
        <v>1989</v>
      </c>
      <c r="U127" s="8">
        <f t="shared" si="9"/>
        <v>33</v>
      </c>
      <c r="V127" s="7">
        <v>32843</v>
      </c>
      <c r="W127" t="s">
        <v>14</v>
      </c>
      <c r="X127" s="2">
        <v>1.1579999999999999</v>
      </c>
      <c r="Y127" s="6">
        <f t="shared" si="10"/>
        <v>3.0912148634579962E-2</v>
      </c>
      <c r="AA127">
        <v>1668595</v>
      </c>
      <c r="AB127">
        <v>14223</v>
      </c>
      <c r="AC127">
        <v>15735079</v>
      </c>
      <c r="AD127" t="s">
        <v>1</v>
      </c>
      <c r="AE127">
        <v>22</v>
      </c>
      <c r="AF127">
        <v>3</v>
      </c>
      <c r="AH127" t="s">
        <v>1846</v>
      </c>
      <c r="AI127" t="s">
        <v>1845</v>
      </c>
      <c r="AJ127" t="s">
        <v>1844</v>
      </c>
      <c r="AK127" t="s">
        <v>1843</v>
      </c>
      <c r="AL127">
        <v>23</v>
      </c>
      <c r="AM127" s="5">
        <f t="shared" si="11"/>
        <v>0.69696969696969702</v>
      </c>
      <c r="AN127" s="4">
        <f t="shared" si="12"/>
        <v>1.0556148382729225E-3</v>
      </c>
      <c r="AO127" s="3"/>
      <c r="AP127">
        <v>0</v>
      </c>
      <c r="AR127" t="s">
        <v>0</v>
      </c>
      <c r="AT127" s="2">
        <v>3.573</v>
      </c>
      <c r="AU127" s="1">
        <f t="shared" si="13"/>
        <v>2.195518849568785</v>
      </c>
      <c r="AV127" s="1">
        <f t="shared" si="14"/>
        <v>1.5983881736426442</v>
      </c>
      <c r="AW127" s="1">
        <f t="shared" si="15"/>
        <v>1.0012574977165034</v>
      </c>
    </row>
    <row r="128" spans="1:49" x14ac:dyDescent="0.2">
      <c r="A128">
        <v>126</v>
      </c>
      <c r="B128" t="s">
        <v>1842</v>
      </c>
      <c r="C128" t="s">
        <v>1841</v>
      </c>
      <c r="F128" t="s">
        <v>1840</v>
      </c>
      <c r="G128" t="s">
        <v>4</v>
      </c>
      <c r="H128" t="s">
        <v>3</v>
      </c>
      <c r="I128" t="s">
        <v>1839</v>
      </c>
      <c r="J128" t="s">
        <v>1838</v>
      </c>
      <c r="K128" t="s">
        <v>1837</v>
      </c>
      <c r="L128" t="s">
        <v>1836</v>
      </c>
      <c r="M128" t="s">
        <v>1835</v>
      </c>
      <c r="N128">
        <v>5</v>
      </c>
      <c r="O128" t="s">
        <v>1834</v>
      </c>
      <c r="P128" t="s">
        <v>1833</v>
      </c>
      <c r="Q128" t="s">
        <v>1832</v>
      </c>
      <c r="R128" s="7">
        <v>32843</v>
      </c>
      <c r="S128" s="8">
        <f t="shared" si="8"/>
        <v>1989</v>
      </c>
      <c r="T128" s="8">
        <v>1989</v>
      </c>
      <c r="U128" s="8">
        <f t="shared" si="9"/>
        <v>33</v>
      </c>
      <c r="V128" s="7">
        <v>32843</v>
      </c>
      <c r="W128" t="s">
        <v>14</v>
      </c>
      <c r="X128" s="2">
        <v>1.1579999999999999</v>
      </c>
      <c r="Y128" s="6">
        <f t="shared" si="10"/>
        <v>3.0912148634579962E-2</v>
      </c>
      <c r="AA128">
        <v>1668595</v>
      </c>
      <c r="AB128">
        <v>14223</v>
      </c>
      <c r="AC128">
        <v>15735079</v>
      </c>
      <c r="AD128" t="s">
        <v>1</v>
      </c>
      <c r="AE128">
        <v>22</v>
      </c>
      <c r="AF128">
        <v>3</v>
      </c>
      <c r="AH128" t="s">
        <v>1831</v>
      </c>
      <c r="AI128" t="s">
        <v>1830</v>
      </c>
      <c r="AJ128" t="s">
        <v>1829</v>
      </c>
      <c r="AK128" t="s">
        <v>1828</v>
      </c>
      <c r="AL128">
        <v>90</v>
      </c>
      <c r="AM128" s="5">
        <f t="shared" si="11"/>
        <v>2.7272727272727271</v>
      </c>
      <c r="AN128" s="4">
        <f t="shared" si="12"/>
        <v>4.1306667584592614E-3</v>
      </c>
      <c r="AO128" s="3"/>
      <c r="AP128">
        <v>0</v>
      </c>
      <c r="AR128" t="s">
        <v>0</v>
      </c>
      <c r="AT128" s="2">
        <v>3.573</v>
      </c>
      <c r="AU128" s="1">
        <f t="shared" si="13"/>
        <v>2.2877704071743747</v>
      </c>
      <c r="AV128" s="1">
        <f t="shared" si="14"/>
        <v>1.7521407696519613</v>
      </c>
      <c r="AW128" s="1">
        <f t="shared" si="15"/>
        <v>1.2165111321295472</v>
      </c>
    </row>
    <row r="129" spans="1:49" x14ac:dyDescent="0.2">
      <c r="A129">
        <v>127</v>
      </c>
      <c r="B129" t="s">
        <v>1827</v>
      </c>
      <c r="C129" t="s">
        <v>1826</v>
      </c>
      <c r="D129">
        <v>40609089900527</v>
      </c>
      <c r="F129" t="s">
        <v>1825</v>
      </c>
      <c r="G129" t="s">
        <v>4</v>
      </c>
      <c r="H129" t="s">
        <v>3</v>
      </c>
      <c r="I129" t="s">
        <v>1824</v>
      </c>
      <c r="J129">
        <v>60031126</v>
      </c>
      <c r="K129" t="s">
        <v>73</v>
      </c>
      <c r="L129" t="s">
        <v>72</v>
      </c>
      <c r="M129" t="s">
        <v>13</v>
      </c>
      <c r="N129">
        <v>3</v>
      </c>
      <c r="O129" t="s">
        <v>1823</v>
      </c>
      <c r="P129" t="s">
        <v>1822</v>
      </c>
      <c r="Q129" t="s">
        <v>71</v>
      </c>
      <c r="R129" s="7">
        <v>32833</v>
      </c>
      <c r="S129" s="8">
        <f t="shared" si="8"/>
        <v>1989</v>
      </c>
      <c r="T129" s="8">
        <v>1989</v>
      </c>
      <c r="U129" s="8">
        <f t="shared" si="9"/>
        <v>33</v>
      </c>
      <c r="V129" s="7">
        <v>32833</v>
      </c>
      <c r="W129" t="s">
        <v>1821</v>
      </c>
      <c r="X129" s="2">
        <v>0.54400000000000004</v>
      </c>
      <c r="Y129" s="6">
        <f t="shared" si="10"/>
        <v>1.4521769306745683E-2</v>
      </c>
      <c r="AA129">
        <v>406090</v>
      </c>
      <c r="AB129">
        <v>12347</v>
      </c>
      <c r="AD129" t="s">
        <v>1</v>
      </c>
      <c r="AE129">
        <v>180</v>
      </c>
      <c r="AF129" s="9">
        <v>44228</v>
      </c>
      <c r="AH129" t="s">
        <v>1820</v>
      </c>
      <c r="AI129" t="s">
        <v>1819</v>
      </c>
      <c r="AK129" t="s">
        <v>1818</v>
      </c>
      <c r="AL129">
        <v>55</v>
      </c>
      <c r="AM129" s="5">
        <f t="shared" si="11"/>
        <v>1.6666666666666667</v>
      </c>
      <c r="AN129" s="4">
        <f t="shared" si="12"/>
        <v>2.5242963523917708E-3</v>
      </c>
      <c r="AO129" s="3"/>
      <c r="AP129">
        <v>0</v>
      </c>
      <c r="AR129" t="s">
        <v>0</v>
      </c>
      <c r="AT129" s="2">
        <v>2.1829999999999998</v>
      </c>
      <c r="AU129" s="1">
        <f t="shared" si="13"/>
        <v>1.0922527420439507</v>
      </c>
      <c r="AV129" s="1">
        <f t="shared" si="14"/>
        <v>0.85230328295687263</v>
      </c>
      <c r="AW129" s="1">
        <f t="shared" si="15"/>
        <v>0.61235382386979442</v>
      </c>
    </row>
    <row r="130" spans="1:49" x14ac:dyDescent="0.2">
      <c r="A130">
        <v>128</v>
      </c>
      <c r="B130" t="s">
        <v>1817</v>
      </c>
      <c r="C130" t="s">
        <v>1816</v>
      </c>
      <c r="F130" t="s">
        <v>1815</v>
      </c>
      <c r="G130" t="s">
        <v>4</v>
      </c>
      <c r="H130" t="s">
        <v>3</v>
      </c>
      <c r="I130" t="s">
        <v>1814</v>
      </c>
      <c r="J130" t="s">
        <v>1813</v>
      </c>
      <c r="K130" t="s">
        <v>1812</v>
      </c>
      <c r="L130" t="s">
        <v>1811</v>
      </c>
      <c r="M130" t="s">
        <v>1810</v>
      </c>
      <c r="N130">
        <v>2</v>
      </c>
      <c r="O130" t="s">
        <v>1809</v>
      </c>
      <c r="P130" t="s">
        <v>1808</v>
      </c>
      <c r="Q130" t="s">
        <v>1807</v>
      </c>
      <c r="R130" s="7">
        <v>32827</v>
      </c>
      <c r="S130" s="8">
        <f t="shared" ref="S130:S193" si="16">YEAR(R130)</f>
        <v>1989</v>
      </c>
      <c r="T130" s="8">
        <v>1989</v>
      </c>
      <c r="U130" s="8">
        <f t="shared" ref="U130:U193" si="17">2022-T130</f>
        <v>33</v>
      </c>
      <c r="V130" s="7">
        <v>32827</v>
      </c>
      <c r="W130" t="s">
        <v>1806</v>
      </c>
      <c r="X130" s="2" t="s">
        <v>5</v>
      </c>
      <c r="Y130" s="6" t="e">
        <f t="shared" ref="Y130:Y193" si="18">(X130-$Z$4)/($Z$3-$Z$4)</f>
        <v>#VALUE!</v>
      </c>
      <c r="AA130">
        <v>364827</v>
      </c>
      <c r="AB130">
        <v>13626</v>
      </c>
      <c r="AD130" t="s">
        <v>1</v>
      </c>
      <c r="AE130">
        <v>74</v>
      </c>
      <c r="AF130">
        <v>3</v>
      </c>
      <c r="AH130" t="s">
        <v>1805</v>
      </c>
      <c r="AI130" t="s">
        <v>1804</v>
      </c>
      <c r="AK130" t="s">
        <v>1803</v>
      </c>
      <c r="AL130">
        <v>27</v>
      </c>
      <c r="AM130" s="5">
        <f t="shared" ref="AM130:AM193" si="19">AL130/U130</f>
        <v>0.81818181818181823</v>
      </c>
      <c r="AN130" s="4">
        <f t="shared" ref="AN130:AN193" si="20">(AM130-$AO$4)/($AO$3-$AO$4)</f>
        <v>1.2392000275377785E-3</v>
      </c>
      <c r="AO130" s="3"/>
      <c r="AP130">
        <v>0</v>
      </c>
      <c r="AR130" t="s">
        <v>0</v>
      </c>
      <c r="AT130" s="2" t="s">
        <v>5</v>
      </c>
      <c r="AU130" s="1" t="e">
        <f t="shared" ref="AU130:AU193" si="21">(Y130*0.7+AN130*0.3)*100</f>
        <v>#VALUE!</v>
      </c>
      <c r="AV130" s="1" t="e">
        <f t="shared" ref="AV130:AV193" si="22">(Y130*0.5+AN130*0.5)*100</f>
        <v>#VALUE!</v>
      </c>
      <c r="AW130" s="1" t="e">
        <f t="shared" ref="AW130:AW193" si="23">(Y130*0.3+AN130*0.7)*100</f>
        <v>#VALUE!</v>
      </c>
    </row>
    <row r="131" spans="1:49" x14ac:dyDescent="0.2">
      <c r="A131">
        <v>129</v>
      </c>
      <c r="B131" t="s">
        <v>1802</v>
      </c>
      <c r="C131" t="s">
        <v>1801</v>
      </c>
      <c r="F131" t="s">
        <v>1800</v>
      </c>
      <c r="G131" t="s">
        <v>4</v>
      </c>
      <c r="H131" t="s">
        <v>3</v>
      </c>
      <c r="I131" t="s">
        <v>1799</v>
      </c>
      <c r="J131">
        <v>60023383</v>
      </c>
      <c r="K131" t="s">
        <v>1798</v>
      </c>
      <c r="L131" t="s">
        <v>1797</v>
      </c>
      <c r="M131" t="s">
        <v>1796</v>
      </c>
      <c r="N131">
        <v>3</v>
      </c>
      <c r="O131" t="s">
        <v>1795</v>
      </c>
      <c r="P131" t="s">
        <v>1794</v>
      </c>
      <c r="Q131" t="s">
        <v>1793</v>
      </c>
      <c r="R131" s="7">
        <v>32813</v>
      </c>
      <c r="S131" s="8">
        <f t="shared" si="16"/>
        <v>1989</v>
      </c>
      <c r="T131" s="8">
        <v>1989</v>
      </c>
      <c r="U131" s="8">
        <f t="shared" si="17"/>
        <v>33</v>
      </c>
      <c r="V131" s="7">
        <v>32813</v>
      </c>
      <c r="W131" t="s">
        <v>223</v>
      </c>
      <c r="X131" s="2">
        <v>0.85499999999999998</v>
      </c>
      <c r="Y131" s="6">
        <f t="shared" si="18"/>
        <v>2.28237366861536E-2</v>
      </c>
      <c r="AA131">
        <v>980331</v>
      </c>
      <c r="AB131">
        <v>23342</v>
      </c>
      <c r="AC131">
        <v>15731561</v>
      </c>
      <c r="AD131" t="s">
        <v>1</v>
      </c>
      <c r="AE131">
        <v>15</v>
      </c>
      <c r="AF131">
        <v>11</v>
      </c>
      <c r="AH131" t="s">
        <v>1792</v>
      </c>
      <c r="AI131" t="s">
        <v>1791</v>
      </c>
      <c r="AJ131" t="s">
        <v>1790</v>
      </c>
      <c r="AK131" t="s">
        <v>1789</v>
      </c>
      <c r="AL131">
        <v>9</v>
      </c>
      <c r="AM131" s="5">
        <f t="shared" si="19"/>
        <v>0.27272727272727271</v>
      </c>
      <c r="AN131" s="4">
        <f t="shared" si="20"/>
        <v>4.1306667584592612E-4</v>
      </c>
      <c r="AO131" s="3"/>
      <c r="AP131">
        <v>0</v>
      </c>
      <c r="AR131" t="s">
        <v>0</v>
      </c>
      <c r="AT131" s="2">
        <v>2.6259999999999999</v>
      </c>
      <c r="AU131" s="1">
        <f t="shared" si="21"/>
        <v>1.6100535683061297</v>
      </c>
      <c r="AV131" s="1">
        <f t="shared" si="22"/>
        <v>1.1618401680999761</v>
      </c>
      <c r="AW131" s="1">
        <f t="shared" si="23"/>
        <v>0.71362676789382284</v>
      </c>
    </row>
    <row r="132" spans="1:49" x14ac:dyDescent="0.2">
      <c r="A132">
        <v>130</v>
      </c>
      <c r="B132" t="s">
        <v>1788</v>
      </c>
      <c r="C132" t="s">
        <v>1787</v>
      </c>
      <c r="F132" t="s">
        <v>1786</v>
      </c>
      <c r="G132" t="s">
        <v>4</v>
      </c>
      <c r="H132" t="s">
        <v>3</v>
      </c>
      <c r="I132" t="s">
        <v>1785</v>
      </c>
      <c r="J132">
        <v>60074065</v>
      </c>
      <c r="K132" t="s">
        <v>1784</v>
      </c>
      <c r="L132" t="s">
        <v>29</v>
      </c>
      <c r="M132" t="s">
        <v>18</v>
      </c>
      <c r="N132">
        <v>4</v>
      </c>
      <c r="O132" t="s">
        <v>1783</v>
      </c>
      <c r="P132" t="s">
        <v>1782</v>
      </c>
      <c r="Q132" t="s">
        <v>1781</v>
      </c>
      <c r="R132" s="7">
        <v>32813</v>
      </c>
      <c r="S132" s="8">
        <f t="shared" si="16"/>
        <v>1989</v>
      </c>
      <c r="T132" s="8">
        <v>1989</v>
      </c>
      <c r="U132" s="8">
        <f t="shared" si="17"/>
        <v>33</v>
      </c>
      <c r="V132" s="7">
        <v>32813</v>
      </c>
      <c r="W132" t="s">
        <v>196</v>
      </c>
      <c r="X132" s="2">
        <v>0.61499999999999999</v>
      </c>
      <c r="Y132" s="6">
        <f t="shared" si="18"/>
        <v>1.6417073756706976E-2</v>
      </c>
      <c r="AA132">
        <v>1959271</v>
      </c>
      <c r="AB132">
        <v>12141</v>
      </c>
      <c r="AC132">
        <v>15729559</v>
      </c>
      <c r="AD132" t="s">
        <v>1</v>
      </c>
      <c r="AE132">
        <v>10</v>
      </c>
      <c r="AF132">
        <v>11</v>
      </c>
      <c r="AH132" t="s">
        <v>1780</v>
      </c>
      <c r="AI132" t="s">
        <v>1779</v>
      </c>
      <c r="AJ132" t="s">
        <v>1778</v>
      </c>
      <c r="AK132" t="s">
        <v>1777</v>
      </c>
      <c r="AL132">
        <v>13</v>
      </c>
      <c r="AM132" s="5">
        <f t="shared" si="19"/>
        <v>0.39393939393939392</v>
      </c>
      <c r="AN132" s="4">
        <f t="shared" si="20"/>
        <v>5.9665186511078218E-4</v>
      </c>
      <c r="AO132" s="3"/>
      <c r="AP132">
        <v>0</v>
      </c>
      <c r="AR132" t="s">
        <v>0</v>
      </c>
      <c r="AT132" s="2" t="s">
        <v>5</v>
      </c>
      <c r="AU132" s="1">
        <f t="shared" si="21"/>
        <v>1.1670947189228116</v>
      </c>
      <c r="AV132" s="1">
        <f t="shared" si="22"/>
        <v>0.85068628109088784</v>
      </c>
      <c r="AW132" s="1">
        <f t="shared" si="23"/>
        <v>0.53427784325896399</v>
      </c>
    </row>
    <row r="133" spans="1:49" x14ac:dyDescent="0.2">
      <c r="A133">
        <v>131</v>
      </c>
      <c r="B133" t="s">
        <v>1776</v>
      </c>
      <c r="C133" t="s">
        <v>1775</v>
      </c>
      <c r="F133" t="s">
        <v>1774</v>
      </c>
      <c r="G133" t="s">
        <v>4</v>
      </c>
      <c r="H133" t="s">
        <v>3</v>
      </c>
      <c r="I133" t="s">
        <v>1773</v>
      </c>
      <c r="J133">
        <v>60024025</v>
      </c>
      <c r="K133" t="s">
        <v>91</v>
      </c>
      <c r="L133" t="s">
        <v>90</v>
      </c>
      <c r="M133" t="s">
        <v>18</v>
      </c>
      <c r="N133">
        <v>2</v>
      </c>
      <c r="O133" t="s">
        <v>1772</v>
      </c>
      <c r="P133" t="s">
        <v>1771</v>
      </c>
      <c r="Q133" t="s">
        <v>89</v>
      </c>
      <c r="R133" s="7">
        <v>32813</v>
      </c>
      <c r="S133" s="8">
        <f t="shared" si="16"/>
        <v>1989</v>
      </c>
      <c r="T133" s="8">
        <v>1989</v>
      </c>
      <c r="U133" s="8">
        <f t="shared" si="17"/>
        <v>33</v>
      </c>
      <c r="V133" s="7">
        <v>32813</v>
      </c>
      <c r="W133" t="s">
        <v>32</v>
      </c>
      <c r="X133" s="2">
        <v>0.8</v>
      </c>
      <c r="Y133" s="6">
        <f t="shared" si="18"/>
        <v>2.1355543098155415E-2</v>
      </c>
      <c r="AA133">
        <v>3407594</v>
      </c>
      <c r="AB133">
        <v>23456</v>
      </c>
      <c r="AC133">
        <v>14321351</v>
      </c>
      <c r="AD133" t="s">
        <v>1</v>
      </c>
      <c r="AE133">
        <v>164</v>
      </c>
      <c r="AF133">
        <v>6</v>
      </c>
      <c r="AH133" t="s">
        <v>1770</v>
      </c>
      <c r="AI133" t="s">
        <v>1769</v>
      </c>
      <c r="AK133" t="s">
        <v>1768</v>
      </c>
      <c r="AL133">
        <v>17</v>
      </c>
      <c r="AM133" s="5">
        <f t="shared" si="19"/>
        <v>0.51515151515151514</v>
      </c>
      <c r="AN133" s="4">
        <f t="shared" si="20"/>
        <v>7.8023705437563825E-4</v>
      </c>
      <c r="AO133" s="3"/>
      <c r="AP133">
        <v>0</v>
      </c>
      <c r="AR133" t="s">
        <v>0</v>
      </c>
      <c r="AT133" s="2" t="s">
        <v>5</v>
      </c>
      <c r="AU133" s="1">
        <f t="shared" si="21"/>
        <v>1.518295128502148</v>
      </c>
      <c r="AV133" s="1">
        <f t="shared" si="22"/>
        <v>1.1067890076265527</v>
      </c>
      <c r="AW133" s="1">
        <f t="shared" si="23"/>
        <v>0.69528288675095706</v>
      </c>
    </row>
    <row r="134" spans="1:49" x14ac:dyDescent="0.2">
      <c r="A134">
        <v>132</v>
      </c>
      <c r="B134" t="s">
        <v>1767</v>
      </c>
      <c r="C134" t="s">
        <v>1766</v>
      </c>
      <c r="F134" t="s">
        <v>1765</v>
      </c>
      <c r="G134" t="s">
        <v>4</v>
      </c>
      <c r="H134" t="s">
        <v>3</v>
      </c>
      <c r="I134" t="s">
        <v>1764</v>
      </c>
      <c r="N134">
        <v>2</v>
      </c>
      <c r="O134" t="s">
        <v>1763</v>
      </c>
      <c r="P134" t="s">
        <v>1762</v>
      </c>
      <c r="Q134" t="s">
        <v>51</v>
      </c>
      <c r="R134" s="7">
        <v>32813</v>
      </c>
      <c r="S134" s="8">
        <f t="shared" si="16"/>
        <v>1989</v>
      </c>
      <c r="T134" s="8">
        <v>1989</v>
      </c>
      <c r="U134" s="8">
        <f t="shared" si="17"/>
        <v>33</v>
      </c>
      <c r="V134" s="7">
        <v>32813</v>
      </c>
      <c r="W134" t="s">
        <v>1761</v>
      </c>
      <c r="X134" s="2" t="s">
        <v>5</v>
      </c>
      <c r="Y134" s="6" t="e">
        <f t="shared" si="18"/>
        <v>#VALUE!</v>
      </c>
      <c r="AA134">
        <v>385298</v>
      </c>
      <c r="AB134">
        <v>37690</v>
      </c>
      <c r="AC134">
        <v>15738582</v>
      </c>
      <c r="AD134" t="s">
        <v>1</v>
      </c>
      <c r="AE134">
        <v>25</v>
      </c>
      <c r="AF134">
        <v>11</v>
      </c>
      <c r="AH134" t="s">
        <v>1760</v>
      </c>
      <c r="AL134">
        <v>3</v>
      </c>
      <c r="AM134" s="5">
        <f t="shared" si="19"/>
        <v>9.0909090909090912E-2</v>
      </c>
      <c r="AN134" s="4">
        <f t="shared" si="20"/>
        <v>1.3768889194864205E-4</v>
      </c>
      <c r="AO134" s="3"/>
      <c r="AP134">
        <v>0</v>
      </c>
      <c r="AR134" t="s">
        <v>0</v>
      </c>
      <c r="AT134" s="2" t="s">
        <v>5</v>
      </c>
      <c r="AU134" s="1" t="e">
        <f t="shared" si="21"/>
        <v>#VALUE!</v>
      </c>
      <c r="AV134" s="1" t="e">
        <f t="shared" si="22"/>
        <v>#VALUE!</v>
      </c>
      <c r="AW134" s="1" t="e">
        <f t="shared" si="23"/>
        <v>#VALUE!</v>
      </c>
    </row>
    <row r="135" spans="1:49" x14ac:dyDescent="0.2">
      <c r="A135">
        <v>133</v>
      </c>
      <c r="B135" t="s">
        <v>1759</v>
      </c>
      <c r="F135" t="s">
        <v>1758</v>
      </c>
      <c r="G135" t="s">
        <v>4</v>
      </c>
      <c r="H135" t="s">
        <v>3</v>
      </c>
      <c r="I135" t="s">
        <v>1757</v>
      </c>
      <c r="J135">
        <v>60010581</v>
      </c>
      <c r="K135" t="s">
        <v>1756</v>
      </c>
      <c r="L135" t="s">
        <v>68</v>
      </c>
      <c r="M135" t="s">
        <v>37</v>
      </c>
      <c r="N135">
        <v>1</v>
      </c>
      <c r="O135" t="s">
        <v>1755</v>
      </c>
      <c r="P135">
        <v>6701629303</v>
      </c>
      <c r="Q135">
        <v>60010581</v>
      </c>
      <c r="R135" s="7">
        <v>32813</v>
      </c>
      <c r="S135" s="8">
        <f t="shared" si="16"/>
        <v>1989</v>
      </c>
      <c r="T135" s="8">
        <v>1989</v>
      </c>
      <c r="U135" s="8">
        <f t="shared" si="17"/>
        <v>33</v>
      </c>
      <c r="V135" s="7">
        <v>32813</v>
      </c>
      <c r="W135" t="s">
        <v>1659</v>
      </c>
      <c r="X135" s="2" t="s">
        <v>5</v>
      </c>
      <c r="Y135" s="6" t="e">
        <f t="shared" si="18"/>
        <v>#VALUE!</v>
      </c>
      <c r="AA135">
        <v>302430</v>
      </c>
      <c r="AB135">
        <v>33411</v>
      </c>
      <c r="AD135" t="s">
        <v>1</v>
      </c>
      <c r="AE135">
        <v>69</v>
      </c>
      <c r="AF135">
        <v>6</v>
      </c>
      <c r="AH135" t="s">
        <v>1754</v>
      </c>
      <c r="AI135" t="s">
        <v>1753</v>
      </c>
      <c r="AK135" t="s">
        <v>1752</v>
      </c>
      <c r="AL135">
        <v>0</v>
      </c>
      <c r="AM135" s="5">
        <f t="shared" si="19"/>
        <v>0</v>
      </c>
      <c r="AN135" s="4">
        <f t="shared" si="20"/>
        <v>0</v>
      </c>
      <c r="AO135" s="3"/>
      <c r="AP135">
        <v>0</v>
      </c>
      <c r="AR135" t="s">
        <v>0</v>
      </c>
      <c r="AT135" s="2" t="s">
        <v>5</v>
      </c>
      <c r="AU135" s="1" t="e">
        <f t="shared" si="21"/>
        <v>#VALUE!</v>
      </c>
      <c r="AV135" s="1" t="e">
        <f t="shared" si="22"/>
        <v>#VALUE!</v>
      </c>
      <c r="AW135" s="1" t="e">
        <f t="shared" si="23"/>
        <v>#VALUE!</v>
      </c>
    </row>
    <row r="136" spans="1:49" x14ac:dyDescent="0.2">
      <c r="A136">
        <v>134</v>
      </c>
      <c r="B136" t="s">
        <v>1751</v>
      </c>
      <c r="F136" t="s">
        <v>1750</v>
      </c>
      <c r="G136" t="s">
        <v>4</v>
      </c>
      <c r="H136" t="s">
        <v>3</v>
      </c>
      <c r="I136" t="s">
        <v>1749</v>
      </c>
      <c r="N136">
        <v>2</v>
      </c>
      <c r="O136" t="s">
        <v>1748</v>
      </c>
      <c r="P136" t="s">
        <v>1747</v>
      </c>
      <c r="Q136" t="s">
        <v>51</v>
      </c>
      <c r="R136" s="7">
        <v>32813</v>
      </c>
      <c r="S136" s="8">
        <f t="shared" si="16"/>
        <v>1989</v>
      </c>
      <c r="T136" s="8">
        <v>1989</v>
      </c>
      <c r="U136" s="8">
        <f t="shared" si="17"/>
        <v>33</v>
      </c>
      <c r="V136" s="7">
        <v>32813</v>
      </c>
      <c r="W136" t="s">
        <v>50</v>
      </c>
      <c r="X136" s="2">
        <v>0.14099999999999999</v>
      </c>
      <c r="Y136" s="6">
        <f t="shared" si="18"/>
        <v>3.7639144710498915E-3</v>
      </c>
      <c r="AA136">
        <v>402508</v>
      </c>
      <c r="AB136">
        <v>20868</v>
      </c>
      <c r="AD136" t="s">
        <v>1</v>
      </c>
      <c r="AE136">
        <v>44</v>
      </c>
      <c r="AF136">
        <v>11</v>
      </c>
      <c r="AH136" t="s">
        <v>195</v>
      </c>
      <c r="AI136" t="s">
        <v>1746</v>
      </c>
      <c r="AK136" t="s">
        <v>1745</v>
      </c>
      <c r="AL136">
        <v>0</v>
      </c>
      <c r="AM136" s="5">
        <f t="shared" si="19"/>
        <v>0</v>
      </c>
      <c r="AN136" s="4">
        <f t="shared" si="20"/>
        <v>0</v>
      </c>
      <c r="AO136" s="3"/>
      <c r="AP136">
        <v>0</v>
      </c>
      <c r="AR136" t="s">
        <v>0</v>
      </c>
      <c r="AT136" s="2" t="s">
        <v>5</v>
      </c>
      <c r="AU136" s="1">
        <f t="shared" si="21"/>
        <v>0.26347401297349238</v>
      </c>
      <c r="AV136" s="1">
        <f t="shared" si="22"/>
        <v>0.18819572355249459</v>
      </c>
      <c r="AW136" s="1">
        <f t="shared" si="23"/>
        <v>0.11291743413149673</v>
      </c>
    </row>
    <row r="137" spans="1:49" x14ac:dyDescent="0.2">
      <c r="A137">
        <v>135</v>
      </c>
      <c r="B137" t="s">
        <v>1744</v>
      </c>
      <c r="F137" t="s">
        <v>1743</v>
      </c>
      <c r="G137" t="s">
        <v>4</v>
      </c>
      <c r="H137" t="s">
        <v>3</v>
      </c>
      <c r="I137" t="s">
        <v>1742</v>
      </c>
      <c r="J137">
        <v>60025555</v>
      </c>
      <c r="K137" t="s">
        <v>134</v>
      </c>
      <c r="L137" t="s">
        <v>72</v>
      </c>
      <c r="M137" t="s">
        <v>13</v>
      </c>
      <c r="N137">
        <v>2</v>
      </c>
      <c r="O137" t="s">
        <v>1741</v>
      </c>
      <c r="P137" t="s">
        <v>1740</v>
      </c>
      <c r="Q137" t="s">
        <v>168</v>
      </c>
      <c r="R137" s="7">
        <v>32813</v>
      </c>
      <c r="S137" s="8">
        <f t="shared" si="16"/>
        <v>1989</v>
      </c>
      <c r="T137" s="8">
        <v>1989</v>
      </c>
      <c r="U137" s="8">
        <f t="shared" si="17"/>
        <v>33</v>
      </c>
      <c r="V137" s="7">
        <v>32813</v>
      </c>
      <c r="W137" t="s">
        <v>399</v>
      </c>
      <c r="X137" s="2" t="s">
        <v>5</v>
      </c>
      <c r="Y137" s="6" t="e">
        <f t="shared" si="18"/>
        <v>#VALUE!</v>
      </c>
      <c r="AA137">
        <v>9152334</v>
      </c>
      <c r="AB137">
        <v>20160</v>
      </c>
      <c r="AD137" t="s">
        <v>1</v>
      </c>
      <c r="AE137">
        <v>1</v>
      </c>
      <c r="AF137">
        <v>4</v>
      </c>
      <c r="AH137" t="s">
        <v>1739</v>
      </c>
      <c r="AI137" t="s">
        <v>1738</v>
      </c>
      <c r="AK137" t="s">
        <v>1737</v>
      </c>
      <c r="AL137">
        <v>0</v>
      </c>
      <c r="AM137" s="5">
        <f t="shared" si="19"/>
        <v>0</v>
      </c>
      <c r="AN137" s="4">
        <f t="shared" si="20"/>
        <v>0</v>
      </c>
      <c r="AO137" s="3"/>
      <c r="AP137">
        <v>0</v>
      </c>
      <c r="AR137" t="s">
        <v>0</v>
      </c>
      <c r="AT137" s="2" t="s">
        <v>5</v>
      </c>
      <c r="AU137" s="1" t="e">
        <f t="shared" si="21"/>
        <v>#VALUE!</v>
      </c>
      <c r="AV137" s="1" t="e">
        <f t="shared" si="22"/>
        <v>#VALUE!</v>
      </c>
      <c r="AW137" s="1" t="e">
        <f t="shared" si="23"/>
        <v>#VALUE!</v>
      </c>
    </row>
    <row r="138" spans="1:49" x14ac:dyDescent="0.2">
      <c r="A138">
        <v>136</v>
      </c>
      <c r="B138" t="s">
        <v>1736</v>
      </c>
      <c r="F138" t="s">
        <v>1735</v>
      </c>
      <c r="G138" t="s">
        <v>4</v>
      </c>
      <c r="H138" t="s">
        <v>3</v>
      </c>
      <c r="I138" t="s">
        <v>1734</v>
      </c>
      <c r="J138">
        <v>60017366</v>
      </c>
      <c r="K138" t="s">
        <v>116</v>
      </c>
      <c r="L138" t="s">
        <v>115</v>
      </c>
      <c r="M138" t="s">
        <v>6</v>
      </c>
      <c r="N138">
        <v>4</v>
      </c>
      <c r="O138" t="s">
        <v>1733</v>
      </c>
      <c r="P138" t="s">
        <v>1732</v>
      </c>
      <c r="Q138" t="s">
        <v>112</v>
      </c>
      <c r="R138" s="7">
        <v>32813</v>
      </c>
      <c r="S138" s="8">
        <f t="shared" si="16"/>
        <v>1989</v>
      </c>
      <c r="T138" s="8">
        <v>1989</v>
      </c>
      <c r="U138" s="8">
        <f t="shared" si="17"/>
        <v>33</v>
      </c>
      <c r="V138" s="7">
        <v>32813</v>
      </c>
      <c r="W138" t="s">
        <v>224</v>
      </c>
      <c r="X138" s="2" t="s">
        <v>5</v>
      </c>
      <c r="Y138" s="6" t="e">
        <f t="shared" si="18"/>
        <v>#VALUE!</v>
      </c>
      <c r="AA138">
        <v>262897</v>
      </c>
      <c r="AB138">
        <v>18580</v>
      </c>
      <c r="AD138" t="s">
        <v>1</v>
      </c>
      <c r="AE138">
        <v>32</v>
      </c>
      <c r="AF138">
        <v>11</v>
      </c>
      <c r="AI138" t="s">
        <v>1731</v>
      </c>
      <c r="AK138" t="s">
        <v>1730</v>
      </c>
      <c r="AL138">
        <v>3</v>
      </c>
      <c r="AM138" s="5">
        <f t="shared" si="19"/>
        <v>9.0909090909090912E-2</v>
      </c>
      <c r="AN138" s="4">
        <f t="shared" si="20"/>
        <v>1.3768889194864205E-4</v>
      </c>
      <c r="AO138" s="3"/>
      <c r="AP138">
        <v>0</v>
      </c>
      <c r="AR138" t="s">
        <v>0</v>
      </c>
      <c r="AT138" s="2">
        <v>0.30599999999999999</v>
      </c>
      <c r="AU138" s="1" t="e">
        <f t="shared" si="21"/>
        <v>#VALUE!</v>
      </c>
      <c r="AV138" s="1" t="e">
        <f t="shared" si="22"/>
        <v>#VALUE!</v>
      </c>
      <c r="AW138" s="1" t="e">
        <f t="shared" si="23"/>
        <v>#VALUE!</v>
      </c>
    </row>
    <row r="139" spans="1:49" x14ac:dyDescent="0.2">
      <c r="A139">
        <v>137</v>
      </c>
      <c r="B139" t="s">
        <v>1729</v>
      </c>
      <c r="F139" t="s">
        <v>1728</v>
      </c>
      <c r="G139" t="s">
        <v>4</v>
      </c>
      <c r="H139" t="s">
        <v>3</v>
      </c>
      <c r="I139" t="s">
        <v>1727</v>
      </c>
      <c r="N139">
        <v>1</v>
      </c>
      <c r="O139" t="s">
        <v>1726</v>
      </c>
      <c r="P139">
        <v>6506119470</v>
      </c>
      <c r="R139" s="7">
        <v>32813</v>
      </c>
      <c r="S139" s="8">
        <f t="shared" si="16"/>
        <v>1989</v>
      </c>
      <c r="T139" s="8">
        <v>1989</v>
      </c>
      <c r="U139" s="8">
        <f t="shared" si="17"/>
        <v>33</v>
      </c>
      <c r="V139" s="7">
        <v>32813</v>
      </c>
      <c r="W139" t="s">
        <v>1659</v>
      </c>
      <c r="X139" s="2" t="s">
        <v>5</v>
      </c>
      <c r="Y139" s="6" t="e">
        <f t="shared" si="18"/>
        <v>#VALUE!</v>
      </c>
      <c r="AA139">
        <v>302430</v>
      </c>
      <c r="AB139">
        <v>33411</v>
      </c>
      <c r="AD139" t="s">
        <v>1</v>
      </c>
      <c r="AE139">
        <v>69</v>
      </c>
      <c r="AF139">
        <v>6</v>
      </c>
      <c r="AH139" t="s">
        <v>1725</v>
      </c>
      <c r="AI139" t="s">
        <v>1724</v>
      </c>
      <c r="AK139" t="s">
        <v>1723</v>
      </c>
      <c r="AL139">
        <v>0</v>
      </c>
      <c r="AM139" s="5">
        <f t="shared" si="19"/>
        <v>0</v>
      </c>
      <c r="AN139" s="4">
        <f t="shared" si="20"/>
        <v>0</v>
      </c>
      <c r="AO139" s="3"/>
      <c r="AP139">
        <v>0</v>
      </c>
      <c r="AR139" t="s">
        <v>0</v>
      </c>
      <c r="AT139" s="2" t="s">
        <v>5</v>
      </c>
      <c r="AU139" s="1" t="e">
        <f t="shared" si="21"/>
        <v>#VALUE!</v>
      </c>
      <c r="AV139" s="1" t="e">
        <f t="shared" si="22"/>
        <v>#VALUE!</v>
      </c>
      <c r="AW139" s="1" t="e">
        <f t="shared" si="23"/>
        <v>#VALUE!</v>
      </c>
    </row>
    <row r="140" spans="1:49" x14ac:dyDescent="0.2">
      <c r="A140">
        <v>138</v>
      </c>
      <c r="B140" t="s">
        <v>1722</v>
      </c>
      <c r="F140" t="s">
        <v>1721</v>
      </c>
      <c r="G140" t="s">
        <v>4</v>
      </c>
      <c r="H140" t="s">
        <v>3</v>
      </c>
      <c r="I140" t="s">
        <v>1720</v>
      </c>
      <c r="N140">
        <v>3</v>
      </c>
      <c r="O140" t="s">
        <v>1719</v>
      </c>
      <c r="P140" t="s">
        <v>1718</v>
      </c>
      <c r="Q140" t="s">
        <v>20</v>
      </c>
      <c r="R140" s="7">
        <v>32813</v>
      </c>
      <c r="S140" s="8">
        <f t="shared" si="16"/>
        <v>1989</v>
      </c>
      <c r="T140" s="8">
        <v>1989</v>
      </c>
      <c r="U140" s="8">
        <f t="shared" si="17"/>
        <v>33</v>
      </c>
      <c r="V140" s="7">
        <v>32813</v>
      </c>
      <c r="W140" t="s">
        <v>50</v>
      </c>
      <c r="X140" s="2">
        <v>0.14099999999999999</v>
      </c>
      <c r="Y140" s="6">
        <f t="shared" si="18"/>
        <v>3.7639144710498915E-3</v>
      </c>
      <c r="AA140">
        <v>402508</v>
      </c>
      <c r="AB140">
        <v>20868</v>
      </c>
      <c r="AD140" t="s">
        <v>1</v>
      </c>
      <c r="AE140">
        <v>44</v>
      </c>
      <c r="AF140">
        <v>11</v>
      </c>
      <c r="AH140" t="s">
        <v>1717</v>
      </c>
      <c r="AI140" t="s">
        <v>1716</v>
      </c>
      <c r="AK140" t="s">
        <v>1715</v>
      </c>
      <c r="AL140">
        <v>0</v>
      </c>
      <c r="AM140" s="5">
        <f t="shared" si="19"/>
        <v>0</v>
      </c>
      <c r="AN140" s="4">
        <f t="shared" si="20"/>
        <v>0</v>
      </c>
      <c r="AO140" s="3"/>
      <c r="AP140">
        <v>0</v>
      </c>
      <c r="AR140" t="s">
        <v>0</v>
      </c>
      <c r="AT140" s="2" t="s">
        <v>5</v>
      </c>
      <c r="AU140" s="1">
        <f t="shared" si="21"/>
        <v>0.26347401297349238</v>
      </c>
      <c r="AV140" s="1">
        <f t="shared" si="22"/>
        <v>0.18819572355249459</v>
      </c>
      <c r="AW140" s="1">
        <f t="shared" si="23"/>
        <v>0.11291743413149673</v>
      </c>
    </row>
    <row r="141" spans="1:49" x14ac:dyDescent="0.2">
      <c r="A141">
        <v>139</v>
      </c>
      <c r="B141" t="s">
        <v>1714</v>
      </c>
      <c r="F141" t="s">
        <v>1713</v>
      </c>
      <c r="G141" t="s">
        <v>4</v>
      </c>
      <c r="H141" t="s">
        <v>3</v>
      </c>
      <c r="I141" t="s">
        <v>1712</v>
      </c>
      <c r="J141">
        <v>60010491</v>
      </c>
      <c r="K141" t="s">
        <v>126</v>
      </c>
      <c r="L141" t="s">
        <v>125</v>
      </c>
      <c r="M141" t="s">
        <v>6</v>
      </c>
      <c r="N141">
        <v>1</v>
      </c>
      <c r="O141" t="s">
        <v>1711</v>
      </c>
      <c r="P141">
        <v>7005949569</v>
      </c>
      <c r="Q141">
        <v>60010491</v>
      </c>
      <c r="R141" s="7">
        <v>32813</v>
      </c>
      <c r="S141" s="8">
        <f t="shared" si="16"/>
        <v>1989</v>
      </c>
      <c r="T141" s="8">
        <v>1989</v>
      </c>
      <c r="U141" s="8">
        <f t="shared" si="17"/>
        <v>33</v>
      </c>
      <c r="V141" s="7">
        <v>32813</v>
      </c>
      <c r="W141" t="s">
        <v>239</v>
      </c>
      <c r="X141" s="2">
        <v>0.54700000000000004</v>
      </c>
      <c r="Y141" s="6">
        <f t="shared" si="18"/>
        <v>1.4601852593363766E-2</v>
      </c>
      <c r="AA141">
        <v>11096</v>
      </c>
      <c r="AB141">
        <v>31211</v>
      </c>
      <c r="AD141" t="s">
        <v>1</v>
      </c>
      <c r="AE141">
        <v>43</v>
      </c>
      <c r="AF141">
        <v>6</v>
      </c>
      <c r="AH141" t="s">
        <v>1710</v>
      </c>
      <c r="AI141" t="s">
        <v>1709</v>
      </c>
      <c r="AK141" t="s">
        <v>1708</v>
      </c>
      <c r="AL141">
        <v>0</v>
      </c>
      <c r="AM141" s="5">
        <f t="shared" si="19"/>
        <v>0</v>
      </c>
      <c r="AN141" s="4">
        <f t="shared" si="20"/>
        <v>0</v>
      </c>
      <c r="AO141" s="3"/>
      <c r="AP141">
        <v>0</v>
      </c>
      <c r="AR141" t="s">
        <v>0</v>
      </c>
      <c r="AT141" s="2" t="s">
        <v>5</v>
      </c>
      <c r="AU141" s="1">
        <f t="shared" si="21"/>
        <v>1.0221296815354637</v>
      </c>
      <c r="AV141" s="1">
        <f t="shared" si="22"/>
        <v>0.73009262966818833</v>
      </c>
      <c r="AW141" s="1">
        <f t="shared" si="23"/>
        <v>0.43805557780091298</v>
      </c>
    </row>
    <row r="142" spans="1:49" x14ac:dyDescent="0.2">
      <c r="A142">
        <v>140</v>
      </c>
      <c r="B142" t="s">
        <v>1707</v>
      </c>
      <c r="F142" t="s">
        <v>1706</v>
      </c>
      <c r="G142" t="s">
        <v>4</v>
      </c>
      <c r="H142" t="s">
        <v>3</v>
      </c>
      <c r="I142" t="s">
        <v>1705</v>
      </c>
      <c r="N142">
        <v>3</v>
      </c>
      <c r="O142" t="s">
        <v>1704</v>
      </c>
      <c r="P142" t="s">
        <v>1703</v>
      </c>
      <c r="Q142" t="s">
        <v>20</v>
      </c>
      <c r="R142" s="7">
        <v>32813</v>
      </c>
      <c r="S142" s="8">
        <f t="shared" si="16"/>
        <v>1989</v>
      </c>
      <c r="T142" s="8">
        <v>1989</v>
      </c>
      <c r="U142" s="8">
        <f t="shared" si="17"/>
        <v>33</v>
      </c>
      <c r="V142" s="7">
        <v>32813</v>
      </c>
      <c r="W142" t="s">
        <v>50</v>
      </c>
      <c r="X142" s="2">
        <v>0.14099999999999999</v>
      </c>
      <c r="Y142" s="6">
        <f t="shared" si="18"/>
        <v>3.7639144710498915E-3</v>
      </c>
      <c r="AA142">
        <v>402508</v>
      </c>
      <c r="AB142">
        <v>20868</v>
      </c>
      <c r="AD142" t="s">
        <v>1</v>
      </c>
      <c r="AE142">
        <v>44</v>
      </c>
      <c r="AF142">
        <v>11</v>
      </c>
      <c r="AH142" t="s">
        <v>1702</v>
      </c>
      <c r="AI142" t="s">
        <v>1701</v>
      </c>
      <c r="AK142" t="s">
        <v>1700</v>
      </c>
      <c r="AL142">
        <v>0</v>
      </c>
      <c r="AM142" s="5">
        <f t="shared" si="19"/>
        <v>0</v>
      </c>
      <c r="AN142" s="4">
        <f t="shared" si="20"/>
        <v>0</v>
      </c>
      <c r="AO142" s="3"/>
      <c r="AP142">
        <v>0</v>
      </c>
      <c r="AR142" t="s">
        <v>0</v>
      </c>
      <c r="AT142" s="2" t="s">
        <v>5</v>
      </c>
      <c r="AU142" s="1">
        <f t="shared" si="21"/>
        <v>0.26347401297349238</v>
      </c>
      <c r="AV142" s="1">
        <f t="shared" si="22"/>
        <v>0.18819572355249459</v>
      </c>
      <c r="AW142" s="1">
        <f t="shared" si="23"/>
        <v>0.11291743413149673</v>
      </c>
    </row>
    <row r="143" spans="1:49" x14ac:dyDescent="0.2">
      <c r="A143">
        <v>141</v>
      </c>
      <c r="B143" t="s">
        <v>1699</v>
      </c>
      <c r="F143" t="s">
        <v>1698</v>
      </c>
      <c r="G143" t="s">
        <v>4</v>
      </c>
      <c r="H143" t="s">
        <v>3</v>
      </c>
      <c r="I143" t="s">
        <v>170</v>
      </c>
      <c r="J143">
        <v>60009658</v>
      </c>
      <c r="K143" t="s">
        <v>161</v>
      </c>
      <c r="L143" t="s">
        <v>160</v>
      </c>
      <c r="M143" t="s">
        <v>37</v>
      </c>
      <c r="N143">
        <v>1</v>
      </c>
      <c r="O143" t="s">
        <v>177</v>
      </c>
      <c r="P143">
        <v>57213425197</v>
      </c>
      <c r="Q143">
        <v>60009658</v>
      </c>
      <c r="R143" s="7">
        <v>32813</v>
      </c>
      <c r="S143" s="8">
        <f t="shared" si="16"/>
        <v>1989</v>
      </c>
      <c r="T143" s="8">
        <v>1989</v>
      </c>
      <c r="U143" s="8">
        <f t="shared" si="17"/>
        <v>33</v>
      </c>
      <c r="V143" s="7">
        <v>32509</v>
      </c>
      <c r="W143" t="s">
        <v>111</v>
      </c>
      <c r="X143" s="2">
        <v>0.375</v>
      </c>
      <c r="Y143" s="6">
        <f t="shared" si="18"/>
        <v>1.0010410827260351E-2</v>
      </c>
      <c r="AA143">
        <v>135194</v>
      </c>
      <c r="AB143">
        <v>24918</v>
      </c>
      <c r="AD143" t="s">
        <v>1</v>
      </c>
      <c r="AE143">
        <v>25</v>
      </c>
      <c r="AH143" t="s">
        <v>230</v>
      </c>
      <c r="AI143" t="s">
        <v>1697</v>
      </c>
      <c r="AK143" t="s">
        <v>1696</v>
      </c>
      <c r="AL143">
        <v>0</v>
      </c>
      <c r="AM143" s="5">
        <f t="shared" si="19"/>
        <v>0</v>
      </c>
      <c r="AN143" s="4">
        <f t="shared" si="20"/>
        <v>0</v>
      </c>
      <c r="AO143" s="3"/>
      <c r="AP143">
        <v>0</v>
      </c>
      <c r="AR143" t="s">
        <v>0</v>
      </c>
      <c r="AT143" s="2">
        <v>1.3140000000000001</v>
      </c>
      <c r="AU143" s="1">
        <f t="shared" si="21"/>
        <v>0.70072875790822453</v>
      </c>
      <c r="AV143" s="1">
        <f t="shared" si="22"/>
        <v>0.5005205413630176</v>
      </c>
      <c r="AW143" s="1">
        <f t="shared" si="23"/>
        <v>0.30031232481781051</v>
      </c>
    </row>
    <row r="144" spans="1:49" x14ac:dyDescent="0.2">
      <c r="A144">
        <v>142</v>
      </c>
      <c r="B144" t="s">
        <v>1695</v>
      </c>
      <c r="F144" t="s">
        <v>1694</v>
      </c>
      <c r="G144" t="s">
        <v>4</v>
      </c>
      <c r="H144" t="s">
        <v>3</v>
      </c>
      <c r="I144" t="s">
        <v>1693</v>
      </c>
      <c r="N144">
        <v>1</v>
      </c>
      <c r="O144" t="s">
        <v>1692</v>
      </c>
      <c r="P144">
        <v>6507124766</v>
      </c>
      <c r="R144" s="7">
        <v>32813</v>
      </c>
      <c r="S144" s="8">
        <f t="shared" si="16"/>
        <v>1989</v>
      </c>
      <c r="T144" s="8">
        <v>1989</v>
      </c>
      <c r="U144" s="8">
        <f t="shared" si="17"/>
        <v>33</v>
      </c>
      <c r="V144" s="7">
        <v>32813</v>
      </c>
      <c r="W144" t="s">
        <v>50</v>
      </c>
      <c r="X144" s="2">
        <v>0.14099999999999999</v>
      </c>
      <c r="Y144" s="6">
        <f t="shared" si="18"/>
        <v>3.7639144710498915E-3</v>
      </c>
      <c r="AA144">
        <v>402508</v>
      </c>
      <c r="AB144">
        <v>20868</v>
      </c>
      <c r="AD144" t="s">
        <v>1</v>
      </c>
      <c r="AE144">
        <v>44</v>
      </c>
      <c r="AF144">
        <v>11</v>
      </c>
      <c r="AH144" t="s">
        <v>1691</v>
      </c>
      <c r="AI144" t="s">
        <v>1690</v>
      </c>
      <c r="AK144" t="s">
        <v>1689</v>
      </c>
      <c r="AL144">
        <v>0</v>
      </c>
      <c r="AM144" s="5">
        <f t="shared" si="19"/>
        <v>0</v>
      </c>
      <c r="AN144" s="4">
        <f t="shared" si="20"/>
        <v>0</v>
      </c>
      <c r="AO144" s="3"/>
      <c r="AP144">
        <v>0</v>
      </c>
      <c r="AR144" t="s">
        <v>0</v>
      </c>
      <c r="AT144" s="2" t="s">
        <v>5</v>
      </c>
      <c r="AU144" s="1">
        <f t="shared" si="21"/>
        <v>0.26347401297349238</v>
      </c>
      <c r="AV144" s="1">
        <f t="shared" si="22"/>
        <v>0.18819572355249459</v>
      </c>
      <c r="AW144" s="1">
        <f t="shared" si="23"/>
        <v>0.11291743413149673</v>
      </c>
    </row>
    <row r="145" spans="1:49" x14ac:dyDescent="0.2">
      <c r="A145">
        <v>143</v>
      </c>
      <c r="B145" t="s">
        <v>1688</v>
      </c>
      <c r="F145" t="s">
        <v>1687</v>
      </c>
      <c r="G145" t="s">
        <v>4</v>
      </c>
      <c r="H145" t="s">
        <v>3</v>
      </c>
      <c r="I145" t="s">
        <v>1686</v>
      </c>
      <c r="J145">
        <v>60021208</v>
      </c>
      <c r="K145" t="s">
        <v>1685</v>
      </c>
      <c r="L145" t="s">
        <v>72</v>
      </c>
      <c r="M145" t="s">
        <v>13</v>
      </c>
      <c r="N145">
        <v>2</v>
      </c>
      <c r="O145" t="s">
        <v>1684</v>
      </c>
      <c r="P145" t="s">
        <v>1683</v>
      </c>
      <c r="Q145" t="s">
        <v>1682</v>
      </c>
      <c r="R145" s="7">
        <v>32813</v>
      </c>
      <c r="S145" s="8">
        <f t="shared" si="16"/>
        <v>1989</v>
      </c>
      <c r="T145" s="8">
        <v>1989</v>
      </c>
      <c r="U145" s="8">
        <f t="shared" si="17"/>
        <v>33</v>
      </c>
      <c r="V145" s="7">
        <v>32813</v>
      </c>
      <c r="W145" t="s">
        <v>228</v>
      </c>
      <c r="X145" s="2">
        <v>0.111</v>
      </c>
      <c r="Y145" s="6">
        <f t="shared" si="18"/>
        <v>2.9630816048690639E-3</v>
      </c>
      <c r="AA145">
        <v>87566621</v>
      </c>
      <c r="AB145">
        <v>24890</v>
      </c>
      <c r="AD145" t="s">
        <v>1</v>
      </c>
      <c r="AE145">
        <v>72</v>
      </c>
      <c r="AF145">
        <v>11</v>
      </c>
      <c r="AH145" s="10">
        <v>43405</v>
      </c>
      <c r="AI145" t="s">
        <v>1681</v>
      </c>
      <c r="AK145" t="s">
        <v>1680</v>
      </c>
      <c r="AL145">
        <v>3</v>
      </c>
      <c r="AM145" s="5">
        <f t="shared" si="19"/>
        <v>9.0909090909090912E-2</v>
      </c>
      <c r="AN145" s="4">
        <f t="shared" si="20"/>
        <v>1.3768889194864205E-4</v>
      </c>
      <c r="AO145" s="3"/>
      <c r="AP145">
        <v>0</v>
      </c>
      <c r="AR145" t="s">
        <v>0</v>
      </c>
      <c r="AT145" s="2" t="s">
        <v>5</v>
      </c>
      <c r="AU145" s="1">
        <f t="shared" si="21"/>
        <v>0.21154637909929372</v>
      </c>
      <c r="AV145" s="1">
        <f t="shared" si="22"/>
        <v>0.15503852484088529</v>
      </c>
      <c r="AW145" s="1">
        <f t="shared" si="23"/>
        <v>9.8530670582476845E-2</v>
      </c>
    </row>
    <row r="146" spans="1:49" x14ac:dyDescent="0.2">
      <c r="A146">
        <v>144</v>
      </c>
      <c r="B146" t="s">
        <v>1679</v>
      </c>
      <c r="F146" t="s">
        <v>1678</v>
      </c>
      <c r="G146" t="s">
        <v>4</v>
      </c>
      <c r="H146" t="s">
        <v>3</v>
      </c>
      <c r="I146" t="s">
        <v>1677</v>
      </c>
      <c r="J146">
        <v>60003537</v>
      </c>
      <c r="K146" t="s">
        <v>1676</v>
      </c>
      <c r="L146" t="s">
        <v>1675</v>
      </c>
      <c r="M146" t="s">
        <v>6</v>
      </c>
      <c r="N146">
        <v>1</v>
      </c>
      <c r="O146" t="s">
        <v>1674</v>
      </c>
      <c r="P146">
        <v>7102497136</v>
      </c>
      <c r="Q146">
        <v>60003537</v>
      </c>
      <c r="R146" s="7">
        <v>32813</v>
      </c>
      <c r="S146" s="8">
        <f t="shared" si="16"/>
        <v>1989</v>
      </c>
      <c r="T146" s="8">
        <v>1989</v>
      </c>
      <c r="U146" s="8">
        <f t="shared" si="17"/>
        <v>33</v>
      </c>
      <c r="V146" s="7">
        <v>32509</v>
      </c>
      <c r="W146" t="s">
        <v>111</v>
      </c>
      <c r="X146" s="2">
        <v>0.375</v>
      </c>
      <c r="Y146" s="6">
        <f t="shared" si="18"/>
        <v>1.0010410827260351E-2</v>
      </c>
      <c r="AA146">
        <v>135194</v>
      </c>
      <c r="AB146">
        <v>24918</v>
      </c>
      <c r="AD146" t="s">
        <v>1</v>
      </c>
      <c r="AE146">
        <v>25</v>
      </c>
      <c r="AH146" t="s">
        <v>70</v>
      </c>
      <c r="AI146" t="s">
        <v>1673</v>
      </c>
      <c r="AK146" t="s">
        <v>1672</v>
      </c>
      <c r="AL146">
        <v>0</v>
      </c>
      <c r="AM146" s="5">
        <f t="shared" si="19"/>
        <v>0</v>
      </c>
      <c r="AN146" s="4">
        <f t="shared" si="20"/>
        <v>0</v>
      </c>
      <c r="AO146" s="3"/>
      <c r="AP146">
        <v>0</v>
      </c>
      <c r="AR146" t="s">
        <v>0</v>
      </c>
      <c r="AT146" s="2">
        <v>1.3140000000000001</v>
      </c>
      <c r="AU146" s="1">
        <f t="shared" si="21"/>
        <v>0.70072875790822453</v>
      </c>
      <c r="AV146" s="1">
        <f t="shared" si="22"/>
        <v>0.5005205413630176</v>
      </c>
      <c r="AW146" s="1">
        <f t="shared" si="23"/>
        <v>0.30031232481781051</v>
      </c>
    </row>
    <row r="147" spans="1:49" x14ac:dyDescent="0.2">
      <c r="A147">
        <v>145</v>
      </c>
      <c r="B147" t="s">
        <v>1671</v>
      </c>
      <c r="F147" t="s">
        <v>1670</v>
      </c>
      <c r="G147" t="s">
        <v>4</v>
      </c>
      <c r="H147" t="s">
        <v>3</v>
      </c>
      <c r="I147" t="s">
        <v>1669</v>
      </c>
      <c r="J147">
        <v>60017597</v>
      </c>
      <c r="K147" t="s">
        <v>1668</v>
      </c>
      <c r="L147" t="s">
        <v>46</v>
      </c>
      <c r="M147" t="s">
        <v>19</v>
      </c>
      <c r="N147">
        <v>1</v>
      </c>
      <c r="O147" t="s">
        <v>1667</v>
      </c>
      <c r="P147">
        <v>6602115815</v>
      </c>
      <c r="Q147">
        <v>60017597</v>
      </c>
      <c r="R147" s="7">
        <v>32813</v>
      </c>
      <c r="S147" s="8">
        <f t="shared" si="16"/>
        <v>1989</v>
      </c>
      <c r="T147" s="8">
        <v>1989</v>
      </c>
      <c r="U147" s="8">
        <f t="shared" si="17"/>
        <v>33</v>
      </c>
      <c r="V147" s="7">
        <v>32813</v>
      </c>
      <c r="W147" t="s">
        <v>1659</v>
      </c>
      <c r="X147" s="2" t="s">
        <v>5</v>
      </c>
      <c r="Y147" s="6" t="e">
        <f t="shared" si="18"/>
        <v>#VALUE!</v>
      </c>
      <c r="AA147">
        <v>302430</v>
      </c>
      <c r="AB147">
        <v>33411</v>
      </c>
      <c r="AD147" t="s">
        <v>1</v>
      </c>
      <c r="AE147">
        <v>69</v>
      </c>
      <c r="AF147">
        <v>6</v>
      </c>
      <c r="AH147" t="s">
        <v>1666</v>
      </c>
      <c r="AI147" t="s">
        <v>1665</v>
      </c>
      <c r="AK147" t="s">
        <v>1664</v>
      </c>
      <c r="AL147">
        <v>1</v>
      </c>
      <c r="AM147" s="5">
        <f t="shared" si="19"/>
        <v>3.0303030303030304E-2</v>
      </c>
      <c r="AN147" s="4">
        <f t="shared" si="20"/>
        <v>4.5896297316214016E-5</v>
      </c>
      <c r="AO147" s="3"/>
      <c r="AP147">
        <v>0</v>
      </c>
      <c r="AR147" t="s">
        <v>0</v>
      </c>
      <c r="AT147" s="2" t="s">
        <v>5</v>
      </c>
      <c r="AU147" s="1" t="e">
        <f t="shared" si="21"/>
        <v>#VALUE!</v>
      </c>
      <c r="AV147" s="1" t="e">
        <f t="shared" si="22"/>
        <v>#VALUE!</v>
      </c>
      <c r="AW147" s="1" t="e">
        <f t="shared" si="23"/>
        <v>#VALUE!</v>
      </c>
    </row>
    <row r="148" spans="1:49" x14ac:dyDescent="0.2">
      <c r="A148">
        <v>146</v>
      </c>
      <c r="B148" t="s">
        <v>1663</v>
      </c>
      <c r="F148" t="s">
        <v>1662</v>
      </c>
      <c r="G148" t="s">
        <v>4</v>
      </c>
      <c r="H148" t="s">
        <v>3</v>
      </c>
      <c r="I148" t="s">
        <v>1661</v>
      </c>
      <c r="N148">
        <v>1</v>
      </c>
      <c r="O148" t="s">
        <v>1660</v>
      </c>
      <c r="P148">
        <v>7004196658</v>
      </c>
      <c r="R148" s="7">
        <v>32813</v>
      </c>
      <c r="S148" s="8">
        <f t="shared" si="16"/>
        <v>1989</v>
      </c>
      <c r="T148" s="8">
        <v>1989</v>
      </c>
      <c r="U148" s="8">
        <f t="shared" si="17"/>
        <v>33</v>
      </c>
      <c r="V148" s="7">
        <v>32813</v>
      </c>
      <c r="W148" t="s">
        <v>1659</v>
      </c>
      <c r="X148" s="2" t="s">
        <v>5</v>
      </c>
      <c r="Y148" s="6" t="e">
        <f t="shared" si="18"/>
        <v>#VALUE!</v>
      </c>
      <c r="AA148">
        <v>302430</v>
      </c>
      <c r="AB148">
        <v>33411</v>
      </c>
      <c r="AD148" t="s">
        <v>1</v>
      </c>
      <c r="AE148">
        <v>69</v>
      </c>
      <c r="AF148">
        <v>6</v>
      </c>
      <c r="AH148" t="s">
        <v>1658</v>
      </c>
      <c r="AI148" t="s">
        <v>1657</v>
      </c>
      <c r="AK148" t="s">
        <v>1656</v>
      </c>
      <c r="AL148">
        <v>1</v>
      </c>
      <c r="AM148" s="5">
        <f t="shared" si="19"/>
        <v>3.0303030303030304E-2</v>
      </c>
      <c r="AN148" s="4">
        <f t="shared" si="20"/>
        <v>4.5896297316214016E-5</v>
      </c>
      <c r="AO148" s="3"/>
      <c r="AP148">
        <v>0</v>
      </c>
      <c r="AR148" t="s">
        <v>0</v>
      </c>
      <c r="AT148" s="2" t="s">
        <v>5</v>
      </c>
      <c r="AU148" s="1" t="e">
        <f t="shared" si="21"/>
        <v>#VALUE!</v>
      </c>
      <c r="AV148" s="1" t="e">
        <f t="shared" si="22"/>
        <v>#VALUE!</v>
      </c>
      <c r="AW148" s="1" t="e">
        <f t="shared" si="23"/>
        <v>#VALUE!</v>
      </c>
    </row>
    <row r="149" spans="1:49" x14ac:dyDescent="0.2">
      <c r="A149">
        <v>147</v>
      </c>
      <c r="B149" t="s">
        <v>1655</v>
      </c>
      <c r="F149" t="s">
        <v>1654</v>
      </c>
      <c r="G149" t="s">
        <v>4</v>
      </c>
      <c r="H149" t="s">
        <v>3</v>
      </c>
      <c r="I149" t="s">
        <v>1653</v>
      </c>
      <c r="J149">
        <v>60031126</v>
      </c>
      <c r="K149" t="s">
        <v>73</v>
      </c>
      <c r="L149" t="s">
        <v>72</v>
      </c>
      <c r="M149" t="s">
        <v>13</v>
      </c>
      <c r="N149">
        <v>4</v>
      </c>
      <c r="O149" t="s">
        <v>1652</v>
      </c>
      <c r="P149" t="s">
        <v>1651</v>
      </c>
      <c r="Q149" t="s">
        <v>1650</v>
      </c>
      <c r="R149" s="7">
        <v>32813</v>
      </c>
      <c r="S149" s="8">
        <f t="shared" si="16"/>
        <v>1989</v>
      </c>
      <c r="T149" s="8">
        <v>1989</v>
      </c>
      <c r="U149" s="8">
        <f t="shared" si="17"/>
        <v>33</v>
      </c>
      <c r="V149" s="7">
        <v>32813</v>
      </c>
      <c r="W149" t="s">
        <v>228</v>
      </c>
      <c r="X149" s="2">
        <v>0.111</v>
      </c>
      <c r="Y149" s="6">
        <f t="shared" si="18"/>
        <v>2.9630816048690639E-3</v>
      </c>
      <c r="AA149">
        <v>87566621</v>
      </c>
      <c r="AB149">
        <v>24890</v>
      </c>
      <c r="AD149" t="s">
        <v>1</v>
      </c>
      <c r="AE149">
        <v>72</v>
      </c>
      <c r="AF149">
        <v>11</v>
      </c>
      <c r="AH149" t="s">
        <v>1649</v>
      </c>
      <c r="AI149" t="s">
        <v>1648</v>
      </c>
      <c r="AK149" t="s">
        <v>1647</v>
      </c>
      <c r="AL149">
        <v>0</v>
      </c>
      <c r="AM149" s="5">
        <f t="shared" si="19"/>
        <v>0</v>
      </c>
      <c r="AN149" s="4">
        <f t="shared" si="20"/>
        <v>0</v>
      </c>
      <c r="AO149" s="3"/>
      <c r="AP149">
        <v>0</v>
      </c>
      <c r="AR149" t="s">
        <v>0</v>
      </c>
      <c r="AT149" s="2" t="s">
        <v>5</v>
      </c>
      <c r="AU149" s="1">
        <f t="shared" si="21"/>
        <v>0.20741571234083445</v>
      </c>
      <c r="AV149" s="1">
        <f t="shared" si="22"/>
        <v>0.1481540802434532</v>
      </c>
      <c r="AW149" s="1">
        <f t="shared" si="23"/>
        <v>8.8892448146071903E-2</v>
      </c>
    </row>
    <row r="150" spans="1:49" x14ac:dyDescent="0.2">
      <c r="A150">
        <v>148</v>
      </c>
      <c r="B150" t="s">
        <v>1646</v>
      </c>
      <c r="F150" t="s">
        <v>1645</v>
      </c>
      <c r="G150" t="s">
        <v>4</v>
      </c>
      <c r="H150" t="s">
        <v>3</v>
      </c>
      <c r="I150" t="s">
        <v>1644</v>
      </c>
      <c r="J150">
        <v>101223109</v>
      </c>
      <c r="K150" t="s">
        <v>1643</v>
      </c>
      <c r="M150" t="s">
        <v>37</v>
      </c>
      <c r="N150">
        <v>2</v>
      </c>
      <c r="O150" t="s">
        <v>1642</v>
      </c>
      <c r="P150" t="s">
        <v>1641</v>
      </c>
      <c r="Q150" t="s">
        <v>1640</v>
      </c>
      <c r="R150" s="7">
        <v>32813</v>
      </c>
      <c r="S150" s="8">
        <f t="shared" si="16"/>
        <v>1989</v>
      </c>
      <c r="T150" s="8">
        <v>1989</v>
      </c>
      <c r="U150" s="8">
        <f t="shared" si="17"/>
        <v>33</v>
      </c>
      <c r="V150" s="7">
        <v>32509</v>
      </c>
      <c r="W150" t="s">
        <v>111</v>
      </c>
      <c r="X150" s="2">
        <v>0.375</v>
      </c>
      <c r="Y150" s="6">
        <f t="shared" si="18"/>
        <v>1.0010410827260351E-2</v>
      </c>
      <c r="AA150">
        <v>135194</v>
      </c>
      <c r="AB150">
        <v>24918</v>
      </c>
      <c r="AD150" t="s">
        <v>1</v>
      </c>
      <c r="AE150">
        <v>25</v>
      </c>
      <c r="AH150" s="9">
        <v>44447</v>
      </c>
      <c r="AI150" t="s">
        <v>1639</v>
      </c>
      <c r="AK150" t="s">
        <v>1638</v>
      </c>
      <c r="AL150">
        <v>0</v>
      </c>
      <c r="AM150" s="5">
        <f t="shared" si="19"/>
        <v>0</v>
      </c>
      <c r="AN150" s="4">
        <f t="shared" si="20"/>
        <v>0</v>
      </c>
      <c r="AO150" s="3"/>
      <c r="AP150">
        <v>0</v>
      </c>
      <c r="AR150" t="s">
        <v>0</v>
      </c>
      <c r="AT150" s="2">
        <v>1.3140000000000001</v>
      </c>
      <c r="AU150" s="1">
        <f t="shared" si="21"/>
        <v>0.70072875790822453</v>
      </c>
      <c r="AV150" s="1">
        <f t="shared" si="22"/>
        <v>0.5005205413630176</v>
      </c>
      <c r="AW150" s="1">
        <f t="shared" si="23"/>
        <v>0.30031232481781051</v>
      </c>
    </row>
    <row r="151" spans="1:49" x14ac:dyDescent="0.2">
      <c r="A151">
        <v>149</v>
      </c>
      <c r="B151" t="s">
        <v>1637</v>
      </c>
      <c r="F151" t="s">
        <v>1636</v>
      </c>
      <c r="G151" t="s">
        <v>4</v>
      </c>
      <c r="H151" t="s">
        <v>3</v>
      </c>
      <c r="I151" t="s">
        <v>1635</v>
      </c>
      <c r="J151">
        <v>60031126</v>
      </c>
      <c r="K151" t="s">
        <v>73</v>
      </c>
      <c r="L151" t="s">
        <v>72</v>
      </c>
      <c r="M151" t="s">
        <v>13</v>
      </c>
      <c r="N151">
        <v>3</v>
      </c>
      <c r="O151" t="s">
        <v>1634</v>
      </c>
      <c r="P151" t="s">
        <v>1633</v>
      </c>
      <c r="Q151" t="s">
        <v>71</v>
      </c>
      <c r="R151" s="7">
        <v>32813</v>
      </c>
      <c r="S151" s="8">
        <f t="shared" si="16"/>
        <v>1989</v>
      </c>
      <c r="T151" s="8">
        <v>1989</v>
      </c>
      <c r="U151" s="8">
        <f t="shared" si="17"/>
        <v>33</v>
      </c>
      <c r="V151" s="7">
        <v>32813</v>
      </c>
      <c r="W151" t="s">
        <v>228</v>
      </c>
      <c r="X151" s="2">
        <v>0.111</v>
      </c>
      <c r="Y151" s="6">
        <f t="shared" si="18"/>
        <v>2.9630816048690639E-3</v>
      </c>
      <c r="AA151">
        <v>87566621</v>
      </c>
      <c r="AB151">
        <v>24890</v>
      </c>
      <c r="AD151" t="s">
        <v>1</v>
      </c>
      <c r="AE151">
        <v>72</v>
      </c>
      <c r="AF151">
        <v>11</v>
      </c>
      <c r="AH151" t="s">
        <v>209</v>
      </c>
      <c r="AI151" t="s">
        <v>1632</v>
      </c>
      <c r="AK151" t="s">
        <v>1631</v>
      </c>
      <c r="AL151">
        <v>3</v>
      </c>
      <c r="AM151" s="5">
        <f t="shared" si="19"/>
        <v>9.0909090909090912E-2</v>
      </c>
      <c r="AN151" s="4">
        <f t="shared" si="20"/>
        <v>1.3768889194864205E-4</v>
      </c>
      <c r="AO151" s="3"/>
      <c r="AP151">
        <v>0</v>
      </c>
      <c r="AR151" t="s">
        <v>0</v>
      </c>
      <c r="AT151" s="2" t="s">
        <v>5</v>
      </c>
      <c r="AU151" s="1">
        <f t="shared" si="21"/>
        <v>0.21154637909929372</v>
      </c>
      <c r="AV151" s="1">
        <f t="shared" si="22"/>
        <v>0.15503852484088529</v>
      </c>
      <c r="AW151" s="1">
        <f t="shared" si="23"/>
        <v>9.8530670582476845E-2</v>
      </c>
    </row>
    <row r="152" spans="1:49" x14ac:dyDescent="0.2">
      <c r="A152">
        <v>150</v>
      </c>
      <c r="B152" t="s">
        <v>1630</v>
      </c>
      <c r="F152" t="s">
        <v>1629</v>
      </c>
      <c r="G152" t="s">
        <v>4</v>
      </c>
      <c r="H152" t="s">
        <v>3</v>
      </c>
      <c r="I152" t="s">
        <v>1628</v>
      </c>
      <c r="N152">
        <v>1</v>
      </c>
      <c r="O152" t="s">
        <v>1627</v>
      </c>
      <c r="P152">
        <v>6507024681</v>
      </c>
      <c r="R152" s="7">
        <v>32813</v>
      </c>
      <c r="S152" s="8">
        <f t="shared" si="16"/>
        <v>1989</v>
      </c>
      <c r="T152" s="8">
        <v>1989</v>
      </c>
      <c r="U152" s="8">
        <f t="shared" si="17"/>
        <v>33</v>
      </c>
      <c r="V152" s="7">
        <v>32813</v>
      </c>
      <c r="W152" t="s">
        <v>1626</v>
      </c>
      <c r="X152" s="2">
        <v>0.128</v>
      </c>
      <c r="Y152" s="6">
        <f t="shared" si="18"/>
        <v>3.4168868957048667E-3</v>
      </c>
      <c r="AA152">
        <v>135852</v>
      </c>
      <c r="AB152">
        <v>16651</v>
      </c>
      <c r="AD152" t="s">
        <v>1</v>
      </c>
      <c r="AE152">
        <v>56</v>
      </c>
      <c r="AF152">
        <v>5</v>
      </c>
      <c r="AH152" t="s">
        <v>1625</v>
      </c>
      <c r="AI152" t="s">
        <v>1624</v>
      </c>
      <c r="AK152" t="s">
        <v>1623</v>
      </c>
      <c r="AL152">
        <v>0</v>
      </c>
      <c r="AM152" s="5">
        <f t="shared" si="19"/>
        <v>0</v>
      </c>
      <c r="AN152" s="4">
        <f t="shared" si="20"/>
        <v>0</v>
      </c>
      <c r="AO152" s="3"/>
      <c r="AP152">
        <v>0</v>
      </c>
      <c r="AR152" t="s">
        <v>0</v>
      </c>
      <c r="AT152" s="2" t="s">
        <v>5</v>
      </c>
      <c r="AU152" s="1">
        <f t="shared" si="21"/>
        <v>0.23918208269934066</v>
      </c>
      <c r="AV152" s="1">
        <f t="shared" si="22"/>
        <v>0.17084434478524332</v>
      </c>
      <c r="AW152" s="1">
        <f t="shared" si="23"/>
        <v>0.10250660687114599</v>
      </c>
    </row>
    <row r="153" spans="1:49" x14ac:dyDescent="0.2">
      <c r="A153">
        <v>151</v>
      </c>
      <c r="B153" t="s">
        <v>1622</v>
      </c>
      <c r="F153" t="s">
        <v>1621</v>
      </c>
      <c r="G153" t="s">
        <v>4</v>
      </c>
      <c r="H153" t="s">
        <v>3</v>
      </c>
      <c r="I153" t="s">
        <v>1620</v>
      </c>
      <c r="N153">
        <v>2</v>
      </c>
      <c r="O153" t="s">
        <v>1619</v>
      </c>
      <c r="P153" t="s">
        <v>1618</v>
      </c>
      <c r="Q153" t="s">
        <v>51</v>
      </c>
      <c r="R153" s="7">
        <v>32813</v>
      </c>
      <c r="S153" s="8">
        <f t="shared" si="16"/>
        <v>1989</v>
      </c>
      <c r="T153" s="8">
        <v>1989</v>
      </c>
      <c r="U153" s="8">
        <f t="shared" si="17"/>
        <v>33</v>
      </c>
      <c r="V153" s="7">
        <v>32813</v>
      </c>
      <c r="W153" t="s">
        <v>50</v>
      </c>
      <c r="X153" s="2">
        <v>0.14099999999999999</v>
      </c>
      <c r="Y153" s="6">
        <f t="shared" si="18"/>
        <v>3.7639144710498915E-3</v>
      </c>
      <c r="AA153">
        <v>402508</v>
      </c>
      <c r="AB153">
        <v>20868</v>
      </c>
      <c r="AD153" t="s">
        <v>1</v>
      </c>
      <c r="AE153">
        <v>44</v>
      </c>
      <c r="AF153">
        <v>11</v>
      </c>
      <c r="AH153" t="s">
        <v>1617</v>
      </c>
      <c r="AI153" t="s">
        <v>1616</v>
      </c>
      <c r="AK153" t="s">
        <v>1615</v>
      </c>
      <c r="AL153">
        <v>0</v>
      </c>
      <c r="AM153" s="5">
        <f t="shared" si="19"/>
        <v>0</v>
      </c>
      <c r="AN153" s="4">
        <f t="shared" si="20"/>
        <v>0</v>
      </c>
      <c r="AO153" s="3"/>
      <c r="AP153">
        <v>0</v>
      </c>
      <c r="AR153" t="s">
        <v>0</v>
      </c>
      <c r="AT153" s="2" t="s">
        <v>5</v>
      </c>
      <c r="AU153" s="1">
        <f t="shared" si="21"/>
        <v>0.26347401297349238</v>
      </c>
      <c r="AV153" s="1">
        <f t="shared" si="22"/>
        <v>0.18819572355249459</v>
      </c>
      <c r="AW153" s="1">
        <f t="shared" si="23"/>
        <v>0.11291743413149673</v>
      </c>
    </row>
    <row r="154" spans="1:49" x14ac:dyDescent="0.2">
      <c r="A154">
        <v>152</v>
      </c>
      <c r="B154" t="s">
        <v>1614</v>
      </c>
      <c r="F154" t="s">
        <v>1613</v>
      </c>
      <c r="G154" t="s">
        <v>4</v>
      </c>
      <c r="H154" t="s">
        <v>3</v>
      </c>
      <c r="I154" t="s">
        <v>1612</v>
      </c>
      <c r="N154">
        <v>3</v>
      </c>
      <c r="O154" t="s">
        <v>1611</v>
      </c>
      <c r="P154" t="s">
        <v>1610</v>
      </c>
      <c r="Q154" t="s">
        <v>20</v>
      </c>
      <c r="R154" s="7">
        <v>32813</v>
      </c>
      <c r="S154" s="8">
        <f t="shared" si="16"/>
        <v>1989</v>
      </c>
      <c r="T154" s="8">
        <v>1989</v>
      </c>
      <c r="U154" s="8">
        <f t="shared" si="17"/>
        <v>33</v>
      </c>
      <c r="V154" s="7">
        <v>32813</v>
      </c>
      <c r="W154" t="s">
        <v>52</v>
      </c>
      <c r="X154" s="2" t="s">
        <v>5</v>
      </c>
      <c r="Y154" s="6" t="e">
        <f t="shared" si="18"/>
        <v>#VALUE!</v>
      </c>
      <c r="AA154">
        <v>87566648</v>
      </c>
      <c r="AB154">
        <v>74127</v>
      </c>
      <c r="AD154" t="s">
        <v>1</v>
      </c>
      <c r="AE154">
        <v>34</v>
      </c>
      <c r="AF154">
        <v>11</v>
      </c>
      <c r="AH154" t="s">
        <v>1609</v>
      </c>
      <c r="AI154" t="s">
        <v>1608</v>
      </c>
      <c r="AK154" t="s">
        <v>1607</v>
      </c>
      <c r="AL154">
        <v>0</v>
      </c>
      <c r="AM154" s="5">
        <f t="shared" si="19"/>
        <v>0</v>
      </c>
      <c r="AN154" s="4">
        <f t="shared" si="20"/>
        <v>0</v>
      </c>
      <c r="AO154" s="3"/>
      <c r="AP154">
        <v>0</v>
      </c>
      <c r="AR154" t="s">
        <v>0</v>
      </c>
      <c r="AT154" s="2" t="s">
        <v>5</v>
      </c>
      <c r="AU154" s="1" t="e">
        <f t="shared" si="21"/>
        <v>#VALUE!</v>
      </c>
      <c r="AV154" s="1" t="e">
        <f t="shared" si="22"/>
        <v>#VALUE!</v>
      </c>
      <c r="AW154" s="1" t="e">
        <f t="shared" si="23"/>
        <v>#VALUE!</v>
      </c>
    </row>
    <row r="155" spans="1:49" x14ac:dyDescent="0.2">
      <c r="A155">
        <v>153</v>
      </c>
      <c r="B155" t="s">
        <v>1606</v>
      </c>
      <c r="F155" t="s">
        <v>1605</v>
      </c>
      <c r="G155" t="s">
        <v>4</v>
      </c>
      <c r="H155" t="s">
        <v>3</v>
      </c>
      <c r="I155" t="s">
        <v>1604</v>
      </c>
      <c r="J155">
        <v>60019702</v>
      </c>
      <c r="K155" t="s">
        <v>1603</v>
      </c>
      <c r="L155" t="s">
        <v>1602</v>
      </c>
      <c r="M155" t="s">
        <v>37</v>
      </c>
      <c r="N155">
        <v>6</v>
      </c>
      <c r="O155" t="s">
        <v>1601</v>
      </c>
      <c r="P155" t="s">
        <v>1600</v>
      </c>
      <c r="Q155" t="s">
        <v>1599</v>
      </c>
      <c r="R155" s="7">
        <v>32813</v>
      </c>
      <c r="S155" s="8">
        <f t="shared" si="16"/>
        <v>1989</v>
      </c>
      <c r="T155" s="8">
        <v>1989</v>
      </c>
      <c r="U155" s="8">
        <f t="shared" si="17"/>
        <v>33</v>
      </c>
      <c r="V155" s="7">
        <v>32509</v>
      </c>
      <c r="W155" t="s">
        <v>111</v>
      </c>
      <c r="X155" s="2">
        <v>0.375</v>
      </c>
      <c r="Y155" s="6">
        <f t="shared" si="18"/>
        <v>1.0010410827260351E-2</v>
      </c>
      <c r="AA155">
        <v>135194</v>
      </c>
      <c r="AB155">
        <v>24918</v>
      </c>
      <c r="AD155" t="s">
        <v>1</v>
      </c>
      <c r="AE155">
        <v>25</v>
      </c>
      <c r="AH155" t="s">
        <v>1598</v>
      </c>
      <c r="AI155" t="s">
        <v>1597</v>
      </c>
      <c r="AK155" t="s">
        <v>1596</v>
      </c>
      <c r="AL155">
        <v>1</v>
      </c>
      <c r="AM155" s="5">
        <f t="shared" si="19"/>
        <v>3.0303030303030304E-2</v>
      </c>
      <c r="AN155" s="4">
        <f t="shared" si="20"/>
        <v>4.5896297316214016E-5</v>
      </c>
      <c r="AO155" s="3"/>
      <c r="AP155">
        <v>0</v>
      </c>
      <c r="AR155" t="s">
        <v>0</v>
      </c>
      <c r="AT155" s="2">
        <v>1.3140000000000001</v>
      </c>
      <c r="AU155" s="1">
        <f t="shared" si="21"/>
        <v>0.70210564682771104</v>
      </c>
      <c r="AV155" s="1">
        <f t="shared" si="22"/>
        <v>0.50281535622882823</v>
      </c>
      <c r="AW155" s="1">
        <f t="shared" si="23"/>
        <v>0.30352506562994552</v>
      </c>
    </row>
    <row r="156" spans="1:49" x14ac:dyDescent="0.2">
      <c r="A156">
        <v>154</v>
      </c>
      <c r="B156" t="s">
        <v>1595</v>
      </c>
      <c r="F156" t="s">
        <v>1594</v>
      </c>
      <c r="G156" t="s">
        <v>4</v>
      </c>
      <c r="H156" t="s">
        <v>3</v>
      </c>
      <c r="I156" t="s">
        <v>1593</v>
      </c>
      <c r="J156">
        <v>60101699</v>
      </c>
      <c r="K156" t="s">
        <v>169</v>
      </c>
      <c r="L156" t="s">
        <v>72</v>
      </c>
      <c r="M156" t="s">
        <v>13</v>
      </c>
      <c r="N156">
        <v>4</v>
      </c>
      <c r="O156" t="s">
        <v>1592</v>
      </c>
      <c r="P156" t="s">
        <v>1591</v>
      </c>
      <c r="Q156" t="s">
        <v>1590</v>
      </c>
      <c r="R156" s="7">
        <v>32813</v>
      </c>
      <c r="S156" s="8">
        <f t="shared" si="16"/>
        <v>1989</v>
      </c>
      <c r="T156" s="8">
        <v>1989</v>
      </c>
      <c r="U156" s="8">
        <f t="shared" si="17"/>
        <v>33</v>
      </c>
      <c r="V156" s="7">
        <v>32813</v>
      </c>
      <c r="W156" t="s">
        <v>228</v>
      </c>
      <c r="X156" s="2">
        <v>0.111</v>
      </c>
      <c r="Y156" s="6">
        <f t="shared" si="18"/>
        <v>2.9630816048690639E-3</v>
      </c>
      <c r="AA156">
        <v>87566621</v>
      </c>
      <c r="AB156">
        <v>24890</v>
      </c>
      <c r="AD156" t="s">
        <v>1</v>
      </c>
      <c r="AE156">
        <v>72</v>
      </c>
      <c r="AF156">
        <v>11</v>
      </c>
      <c r="AH156" t="s">
        <v>1589</v>
      </c>
      <c r="AI156" t="s">
        <v>1588</v>
      </c>
      <c r="AK156" t="s">
        <v>1587</v>
      </c>
      <c r="AL156">
        <v>0</v>
      </c>
      <c r="AM156" s="5">
        <f t="shared" si="19"/>
        <v>0</v>
      </c>
      <c r="AN156" s="4">
        <f t="shared" si="20"/>
        <v>0</v>
      </c>
      <c r="AO156" s="3"/>
      <c r="AP156">
        <v>0</v>
      </c>
      <c r="AR156" t="s">
        <v>0</v>
      </c>
      <c r="AT156" s="2" t="s">
        <v>5</v>
      </c>
      <c r="AU156" s="1">
        <f t="shared" si="21"/>
        <v>0.20741571234083445</v>
      </c>
      <c r="AV156" s="1">
        <f t="shared" si="22"/>
        <v>0.1481540802434532</v>
      </c>
      <c r="AW156" s="1">
        <f t="shared" si="23"/>
        <v>8.8892448146071903E-2</v>
      </c>
    </row>
    <row r="157" spans="1:49" x14ac:dyDescent="0.2">
      <c r="A157">
        <v>155</v>
      </c>
      <c r="B157" t="s">
        <v>1586</v>
      </c>
      <c r="F157" t="s">
        <v>1585</v>
      </c>
      <c r="G157" t="s">
        <v>4</v>
      </c>
      <c r="H157" t="s">
        <v>3</v>
      </c>
      <c r="I157" t="s">
        <v>1584</v>
      </c>
      <c r="J157">
        <v>60022109</v>
      </c>
      <c r="K157" t="s">
        <v>163</v>
      </c>
      <c r="L157" t="s">
        <v>68</v>
      </c>
      <c r="M157" t="s">
        <v>37</v>
      </c>
      <c r="N157">
        <v>2</v>
      </c>
      <c r="O157" t="s">
        <v>1583</v>
      </c>
      <c r="P157" t="s">
        <v>1582</v>
      </c>
      <c r="Q157" t="s">
        <v>1581</v>
      </c>
      <c r="R157" s="7">
        <v>32813</v>
      </c>
      <c r="S157" s="8">
        <f t="shared" si="16"/>
        <v>1989</v>
      </c>
      <c r="T157" s="8">
        <v>1989</v>
      </c>
      <c r="U157" s="8">
        <f t="shared" si="17"/>
        <v>33</v>
      </c>
      <c r="V157" s="7">
        <v>32509</v>
      </c>
      <c r="W157" t="s">
        <v>111</v>
      </c>
      <c r="X157" s="2">
        <v>0.375</v>
      </c>
      <c r="Y157" s="6">
        <f t="shared" si="18"/>
        <v>1.0010410827260351E-2</v>
      </c>
      <c r="AA157">
        <v>135194</v>
      </c>
      <c r="AB157">
        <v>24918</v>
      </c>
      <c r="AD157" t="s">
        <v>1</v>
      </c>
      <c r="AE157">
        <v>25</v>
      </c>
      <c r="AH157" s="9">
        <v>44509</v>
      </c>
      <c r="AI157" t="s">
        <v>1580</v>
      </c>
      <c r="AK157" t="s">
        <v>1579</v>
      </c>
      <c r="AL157">
        <v>0</v>
      </c>
      <c r="AM157" s="5">
        <f t="shared" si="19"/>
        <v>0</v>
      </c>
      <c r="AN157" s="4">
        <f t="shared" si="20"/>
        <v>0</v>
      </c>
      <c r="AO157" s="3"/>
      <c r="AP157">
        <v>0</v>
      </c>
      <c r="AR157" t="s">
        <v>0</v>
      </c>
      <c r="AT157" s="2">
        <v>1.3140000000000001</v>
      </c>
      <c r="AU157" s="1">
        <f t="shared" si="21"/>
        <v>0.70072875790822453</v>
      </c>
      <c r="AV157" s="1">
        <f t="shared" si="22"/>
        <v>0.5005205413630176</v>
      </c>
      <c r="AW157" s="1">
        <f t="shared" si="23"/>
        <v>0.30031232481781051</v>
      </c>
    </row>
    <row r="158" spans="1:49" x14ac:dyDescent="0.2">
      <c r="A158">
        <v>156</v>
      </c>
      <c r="B158" t="s">
        <v>1578</v>
      </c>
      <c r="F158" t="s">
        <v>1577</v>
      </c>
      <c r="G158" t="s">
        <v>4</v>
      </c>
      <c r="H158" t="s">
        <v>3</v>
      </c>
      <c r="I158" t="s">
        <v>1576</v>
      </c>
      <c r="J158">
        <v>100741115</v>
      </c>
      <c r="K158" t="s">
        <v>1575</v>
      </c>
      <c r="M158" t="s">
        <v>37</v>
      </c>
      <c r="N158">
        <v>2</v>
      </c>
      <c r="O158" t="s">
        <v>1574</v>
      </c>
      <c r="P158" t="s">
        <v>1573</v>
      </c>
      <c r="Q158" t="s">
        <v>1572</v>
      </c>
      <c r="R158" s="7">
        <v>32813</v>
      </c>
      <c r="S158" s="8">
        <f t="shared" si="16"/>
        <v>1989</v>
      </c>
      <c r="T158" s="8">
        <v>1989</v>
      </c>
      <c r="U158" s="8">
        <f t="shared" si="17"/>
        <v>33</v>
      </c>
      <c r="V158" s="7">
        <v>32509</v>
      </c>
      <c r="W158" t="s">
        <v>111</v>
      </c>
      <c r="X158" s="2">
        <v>0.375</v>
      </c>
      <c r="Y158" s="6">
        <f t="shared" si="18"/>
        <v>1.0010410827260351E-2</v>
      </c>
      <c r="AA158">
        <v>135194</v>
      </c>
      <c r="AB158">
        <v>24918</v>
      </c>
      <c r="AD158" t="s">
        <v>1</v>
      </c>
      <c r="AE158">
        <v>25</v>
      </c>
      <c r="AH158" t="s">
        <v>1571</v>
      </c>
      <c r="AI158" t="s">
        <v>1570</v>
      </c>
      <c r="AK158" t="s">
        <v>1569</v>
      </c>
      <c r="AL158">
        <v>0</v>
      </c>
      <c r="AM158" s="5">
        <f t="shared" si="19"/>
        <v>0</v>
      </c>
      <c r="AN158" s="4">
        <f t="shared" si="20"/>
        <v>0</v>
      </c>
      <c r="AO158" s="3"/>
      <c r="AP158">
        <v>0</v>
      </c>
      <c r="AR158" t="s">
        <v>0</v>
      </c>
      <c r="AT158" s="2">
        <v>1.3140000000000001</v>
      </c>
      <c r="AU158" s="1">
        <f t="shared" si="21"/>
        <v>0.70072875790822453</v>
      </c>
      <c r="AV158" s="1">
        <f t="shared" si="22"/>
        <v>0.5005205413630176</v>
      </c>
      <c r="AW158" s="1">
        <f t="shared" si="23"/>
        <v>0.30031232481781051</v>
      </c>
    </row>
    <row r="159" spans="1:49" x14ac:dyDescent="0.2">
      <c r="A159">
        <v>157</v>
      </c>
      <c r="B159" t="s">
        <v>1568</v>
      </c>
      <c r="C159" t="s">
        <v>1567</v>
      </c>
      <c r="F159" t="s">
        <v>1566</v>
      </c>
      <c r="G159" t="s">
        <v>4</v>
      </c>
      <c r="H159" t="s">
        <v>3</v>
      </c>
      <c r="I159" t="s">
        <v>1565</v>
      </c>
      <c r="J159">
        <v>60011132</v>
      </c>
      <c r="K159" t="s">
        <v>1564</v>
      </c>
      <c r="L159" t="s">
        <v>98</v>
      </c>
      <c r="M159" t="s">
        <v>6</v>
      </c>
      <c r="N159">
        <v>4</v>
      </c>
      <c r="O159" t="s">
        <v>1563</v>
      </c>
      <c r="P159" t="s">
        <v>1562</v>
      </c>
      <c r="Q159" t="s">
        <v>1561</v>
      </c>
      <c r="R159" s="7">
        <v>32813</v>
      </c>
      <c r="S159" s="8">
        <f t="shared" si="16"/>
        <v>1989</v>
      </c>
      <c r="T159" s="8">
        <v>1989</v>
      </c>
      <c r="U159" s="8">
        <f t="shared" si="17"/>
        <v>33</v>
      </c>
      <c r="V159" s="7">
        <v>32813</v>
      </c>
      <c r="W159" t="s">
        <v>75</v>
      </c>
      <c r="X159" s="2">
        <v>0.65500000000000003</v>
      </c>
      <c r="Y159" s="6">
        <f t="shared" si="18"/>
        <v>1.7484850911614749E-2</v>
      </c>
      <c r="AA159">
        <v>189375</v>
      </c>
      <c r="AB159">
        <v>26051</v>
      </c>
      <c r="AD159" t="s">
        <v>1</v>
      </c>
      <c r="AE159">
        <v>31</v>
      </c>
      <c r="AF159">
        <v>4</v>
      </c>
      <c r="AH159" t="s">
        <v>1560</v>
      </c>
      <c r="AI159" t="s">
        <v>1559</v>
      </c>
      <c r="AK159" t="s">
        <v>1558</v>
      </c>
      <c r="AL159">
        <v>2</v>
      </c>
      <c r="AM159" s="5">
        <f t="shared" si="19"/>
        <v>6.0606060606060608E-2</v>
      </c>
      <c r="AN159" s="4">
        <f t="shared" si="20"/>
        <v>9.1792594632428032E-5</v>
      </c>
      <c r="AO159" s="3"/>
      <c r="AP159">
        <v>0</v>
      </c>
      <c r="AR159" t="s">
        <v>0</v>
      </c>
      <c r="AT159" s="2" t="s">
        <v>5</v>
      </c>
      <c r="AU159" s="1">
        <f t="shared" si="21"/>
        <v>1.2266933416520052</v>
      </c>
      <c r="AV159" s="1">
        <f t="shared" si="22"/>
        <v>0.8788321753123588</v>
      </c>
      <c r="AW159" s="1">
        <f t="shared" si="23"/>
        <v>0.53097100897271243</v>
      </c>
    </row>
    <row r="160" spans="1:49" x14ac:dyDescent="0.2">
      <c r="A160">
        <v>158</v>
      </c>
      <c r="B160" t="s">
        <v>1557</v>
      </c>
      <c r="C160" t="s">
        <v>1556</v>
      </c>
      <c r="F160" t="s">
        <v>1555</v>
      </c>
      <c r="G160" t="s">
        <v>4</v>
      </c>
      <c r="H160" t="s">
        <v>3</v>
      </c>
      <c r="I160" t="s">
        <v>1554</v>
      </c>
      <c r="J160">
        <v>60001490</v>
      </c>
      <c r="K160" t="s">
        <v>148</v>
      </c>
      <c r="L160" t="s">
        <v>147</v>
      </c>
      <c r="M160" t="s">
        <v>37</v>
      </c>
      <c r="N160">
        <v>2</v>
      </c>
      <c r="O160" t="s">
        <v>1553</v>
      </c>
      <c r="P160" t="s">
        <v>1552</v>
      </c>
      <c r="Q160" t="s">
        <v>146</v>
      </c>
      <c r="R160" s="7">
        <v>32813</v>
      </c>
      <c r="S160" s="8">
        <f t="shared" si="16"/>
        <v>1989</v>
      </c>
      <c r="T160" s="8">
        <v>1989</v>
      </c>
      <c r="U160" s="8">
        <f t="shared" si="17"/>
        <v>33</v>
      </c>
      <c r="V160" s="7">
        <v>32813</v>
      </c>
      <c r="W160" t="s">
        <v>249</v>
      </c>
      <c r="X160" s="2" t="s">
        <v>5</v>
      </c>
      <c r="Y160" s="6" t="e">
        <f t="shared" si="18"/>
        <v>#VALUE!</v>
      </c>
      <c r="AA160">
        <v>7217269</v>
      </c>
      <c r="AB160">
        <v>39311</v>
      </c>
      <c r="AC160">
        <v>14320649</v>
      </c>
      <c r="AD160" t="s">
        <v>1</v>
      </c>
      <c r="AE160">
        <v>49</v>
      </c>
      <c r="AF160">
        <v>5</v>
      </c>
      <c r="AH160" t="s">
        <v>1551</v>
      </c>
      <c r="AI160" t="s">
        <v>1550</v>
      </c>
      <c r="AJ160" t="s">
        <v>1549</v>
      </c>
      <c r="AK160" t="s">
        <v>1548</v>
      </c>
      <c r="AL160">
        <v>19</v>
      </c>
      <c r="AM160" s="5">
        <f t="shared" si="19"/>
        <v>0.5757575757575758</v>
      </c>
      <c r="AN160" s="4">
        <f t="shared" si="20"/>
        <v>8.7202964900806633E-4</v>
      </c>
      <c r="AO160" s="3"/>
      <c r="AP160">
        <v>0</v>
      </c>
      <c r="AR160" t="s">
        <v>0</v>
      </c>
      <c r="AT160" s="2" t="s">
        <v>5</v>
      </c>
      <c r="AU160" s="1" t="e">
        <f t="shared" si="21"/>
        <v>#VALUE!</v>
      </c>
      <c r="AV160" s="1" t="e">
        <f t="shared" si="22"/>
        <v>#VALUE!</v>
      </c>
      <c r="AW160" s="1" t="e">
        <f t="shared" si="23"/>
        <v>#VALUE!</v>
      </c>
    </row>
    <row r="161" spans="1:49" x14ac:dyDescent="0.2">
      <c r="A161">
        <v>159</v>
      </c>
      <c r="B161" t="s">
        <v>1547</v>
      </c>
      <c r="F161" t="s">
        <v>1546</v>
      </c>
      <c r="G161" t="s">
        <v>4</v>
      </c>
      <c r="H161" t="s">
        <v>3</v>
      </c>
      <c r="I161" t="s">
        <v>1545</v>
      </c>
      <c r="N161">
        <v>2</v>
      </c>
      <c r="O161" t="s">
        <v>1544</v>
      </c>
      <c r="P161" t="s">
        <v>1543</v>
      </c>
      <c r="Q161" t="s">
        <v>51</v>
      </c>
      <c r="R161" s="7">
        <v>32813</v>
      </c>
      <c r="S161" s="8">
        <f t="shared" si="16"/>
        <v>1989</v>
      </c>
      <c r="T161" s="8">
        <v>1989</v>
      </c>
      <c r="U161" s="8">
        <f t="shared" si="17"/>
        <v>33</v>
      </c>
      <c r="V161" s="7">
        <v>32813</v>
      </c>
      <c r="W161" t="s">
        <v>50</v>
      </c>
      <c r="X161" s="2">
        <v>0.14099999999999999</v>
      </c>
      <c r="Y161" s="6">
        <f t="shared" si="18"/>
        <v>3.7639144710498915E-3</v>
      </c>
      <c r="AA161">
        <v>402508</v>
      </c>
      <c r="AB161">
        <v>20868</v>
      </c>
      <c r="AD161" t="s">
        <v>1</v>
      </c>
      <c r="AE161">
        <v>44</v>
      </c>
      <c r="AF161">
        <v>11</v>
      </c>
      <c r="AH161" t="s">
        <v>1542</v>
      </c>
      <c r="AI161" t="s">
        <v>1541</v>
      </c>
      <c r="AK161" t="s">
        <v>1540</v>
      </c>
      <c r="AL161">
        <v>0</v>
      </c>
      <c r="AM161" s="5">
        <f t="shared" si="19"/>
        <v>0</v>
      </c>
      <c r="AN161" s="4">
        <f t="shared" si="20"/>
        <v>0</v>
      </c>
      <c r="AO161" s="3"/>
      <c r="AP161">
        <v>0</v>
      </c>
      <c r="AR161" t="s">
        <v>0</v>
      </c>
      <c r="AT161" s="2" t="s">
        <v>5</v>
      </c>
      <c r="AU161" s="1">
        <f t="shared" si="21"/>
        <v>0.26347401297349238</v>
      </c>
      <c r="AV161" s="1">
        <f t="shared" si="22"/>
        <v>0.18819572355249459</v>
      </c>
      <c r="AW161" s="1">
        <f t="shared" si="23"/>
        <v>0.11291743413149673</v>
      </c>
    </row>
    <row r="162" spans="1:49" x14ac:dyDescent="0.2">
      <c r="A162">
        <v>160</v>
      </c>
      <c r="B162" t="s">
        <v>1539</v>
      </c>
      <c r="C162" t="s">
        <v>1538</v>
      </c>
      <c r="F162" t="s">
        <v>1537</v>
      </c>
      <c r="G162" t="s">
        <v>4</v>
      </c>
      <c r="H162" t="s">
        <v>3</v>
      </c>
      <c r="I162" t="s">
        <v>1536</v>
      </c>
      <c r="J162">
        <v>60018058</v>
      </c>
      <c r="K162" t="s">
        <v>1535</v>
      </c>
      <c r="L162" t="s">
        <v>147</v>
      </c>
      <c r="M162" t="s">
        <v>37</v>
      </c>
      <c r="N162">
        <v>4</v>
      </c>
      <c r="O162" t="s">
        <v>1534</v>
      </c>
      <c r="P162" t="s">
        <v>1533</v>
      </c>
      <c r="Q162" t="s">
        <v>1532</v>
      </c>
      <c r="R162" s="7">
        <v>32813</v>
      </c>
      <c r="S162" s="8">
        <f t="shared" si="16"/>
        <v>1989</v>
      </c>
      <c r="T162" s="8">
        <v>1989</v>
      </c>
      <c r="U162" s="8">
        <f t="shared" si="17"/>
        <v>33</v>
      </c>
      <c r="V162" s="7">
        <v>32813</v>
      </c>
      <c r="W162" t="s">
        <v>246</v>
      </c>
      <c r="X162" s="2" t="s">
        <v>5</v>
      </c>
      <c r="Y162" s="6" t="e">
        <f t="shared" si="18"/>
        <v>#VALUE!</v>
      </c>
      <c r="AA162">
        <v>1400118</v>
      </c>
      <c r="AB162">
        <v>17979</v>
      </c>
      <c r="AC162">
        <v>17410444</v>
      </c>
      <c r="AD162" t="s">
        <v>1</v>
      </c>
      <c r="AE162">
        <v>27</v>
      </c>
      <c r="AF162">
        <v>6</v>
      </c>
      <c r="AH162" t="s">
        <v>1531</v>
      </c>
      <c r="AJ162" t="s">
        <v>1530</v>
      </c>
      <c r="AL162">
        <v>0</v>
      </c>
      <c r="AM162" s="5">
        <f t="shared" si="19"/>
        <v>0</v>
      </c>
      <c r="AN162" s="4">
        <f t="shared" si="20"/>
        <v>0</v>
      </c>
      <c r="AO162" s="3"/>
      <c r="AP162">
        <v>0</v>
      </c>
      <c r="AR162" t="s">
        <v>0</v>
      </c>
      <c r="AT162" s="2" t="s">
        <v>5</v>
      </c>
      <c r="AU162" s="1" t="e">
        <f t="shared" si="21"/>
        <v>#VALUE!</v>
      </c>
      <c r="AV162" s="1" t="e">
        <f t="shared" si="22"/>
        <v>#VALUE!</v>
      </c>
      <c r="AW162" s="1" t="e">
        <f t="shared" si="23"/>
        <v>#VALUE!</v>
      </c>
    </row>
    <row r="163" spans="1:49" x14ac:dyDescent="0.2">
      <c r="A163">
        <v>161</v>
      </c>
      <c r="B163" t="s">
        <v>1529</v>
      </c>
      <c r="F163" t="s">
        <v>1528</v>
      </c>
      <c r="G163" t="s">
        <v>4</v>
      </c>
      <c r="H163" t="s">
        <v>3</v>
      </c>
      <c r="I163" t="s">
        <v>1527</v>
      </c>
      <c r="N163">
        <v>1</v>
      </c>
      <c r="O163" t="s">
        <v>166</v>
      </c>
      <c r="P163">
        <v>1</v>
      </c>
      <c r="R163" s="7">
        <v>32813</v>
      </c>
      <c r="S163" s="8">
        <f t="shared" si="16"/>
        <v>1989</v>
      </c>
      <c r="T163" s="8">
        <v>1989</v>
      </c>
      <c r="U163" s="8">
        <f t="shared" si="17"/>
        <v>33</v>
      </c>
      <c r="V163" s="7">
        <v>32813</v>
      </c>
      <c r="W163" t="s">
        <v>1526</v>
      </c>
      <c r="X163" s="2" t="s">
        <v>5</v>
      </c>
      <c r="Y163" s="6" t="e">
        <f t="shared" si="18"/>
        <v>#VALUE!</v>
      </c>
      <c r="AA163" t="s">
        <v>1525</v>
      </c>
      <c r="AB163">
        <v>33832</v>
      </c>
      <c r="AD163" t="s">
        <v>1</v>
      </c>
      <c r="AE163">
        <v>23</v>
      </c>
      <c r="AF163">
        <v>10</v>
      </c>
      <c r="AH163" t="s">
        <v>1524</v>
      </c>
      <c r="AI163" t="s">
        <v>1523</v>
      </c>
      <c r="AK163" t="s">
        <v>1522</v>
      </c>
      <c r="AL163">
        <v>0</v>
      </c>
      <c r="AM163" s="5">
        <f t="shared" si="19"/>
        <v>0</v>
      </c>
      <c r="AN163" s="4">
        <f t="shared" si="20"/>
        <v>0</v>
      </c>
      <c r="AO163" s="3"/>
      <c r="AP163">
        <v>0</v>
      </c>
      <c r="AR163" t="s">
        <v>0</v>
      </c>
      <c r="AT163" s="2" t="s">
        <v>5</v>
      </c>
      <c r="AU163" s="1" t="e">
        <f t="shared" si="21"/>
        <v>#VALUE!</v>
      </c>
      <c r="AV163" s="1" t="e">
        <f t="shared" si="22"/>
        <v>#VALUE!</v>
      </c>
      <c r="AW163" s="1" t="e">
        <f t="shared" si="23"/>
        <v>#VALUE!</v>
      </c>
    </row>
    <row r="164" spans="1:49" x14ac:dyDescent="0.2">
      <c r="A164">
        <v>162</v>
      </c>
      <c r="B164" t="s">
        <v>1521</v>
      </c>
      <c r="F164" t="s">
        <v>1520</v>
      </c>
      <c r="G164" t="s">
        <v>4</v>
      </c>
      <c r="H164" t="s">
        <v>3</v>
      </c>
      <c r="I164" t="s">
        <v>1519</v>
      </c>
      <c r="J164">
        <v>60021331</v>
      </c>
      <c r="K164" t="s">
        <v>315</v>
      </c>
      <c r="L164" t="s">
        <v>244</v>
      </c>
      <c r="M164" t="s">
        <v>153</v>
      </c>
      <c r="N164">
        <v>2</v>
      </c>
      <c r="O164" t="s">
        <v>1518</v>
      </c>
      <c r="P164" t="s">
        <v>1517</v>
      </c>
      <c r="Q164" t="s">
        <v>1516</v>
      </c>
      <c r="R164" s="7">
        <v>32813</v>
      </c>
      <c r="S164" s="8">
        <f t="shared" si="16"/>
        <v>1989</v>
      </c>
      <c r="T164" s="8">
        <v>1989</v>
      </c>
      <c r="U164" s="8">
        <f t="shared" si="17"/>
        <v>33</v>
      </c>
      <c r="V164" s="7">
        <v>32813</v>
      </c>
      <c r="W164" t="s">
        <v>243</v>
      </c>
      <c r="X164" s="2" t="s">
        <v>5</v>
      </c>
      <c r="Y164" s="6" t="e">
        <f t="shared" si="18"/>
        <v>#VALUE!</v>
      </c>
      <c r="AA164" t="s">
        <v>242</v>
      </c>
      <c r="AB164">
        <v>36319</v>
      </c>
      <c r="AD164" t="s">
        <v>1</v>
      </c>
      <c r="AE164">
        <v>309</v>
      </c>
      <c r="AF164">
        <v>6</v>
      </c>
      <c r="AH164" t="s">
        <v>1515</v>
      </c>
      <c r="AI164" t="s">
        <v>1514</v>
      </c>
      <c r="AK164" t="s">
        <v>1513</v>
      </c>
      <c r="AL164">
        <v>0</v>
      </c>
      <c r="AM164" s="5">
        <f t="shared" si="19"/>
        <v>0</v>
      </c>
      <c r="AN164" s="4">
        <f t="shared" si="20"/>
        <v>0</v>
      </c>
      <c r="AO164" s="3"/>
      <c r="AP164">
        <v>0</v>
      </c>
      <c r="AR164" t="s">
        <v>0</v>
      </c>
      <c r="AT164" s="2" t="s">
        <v>5</v>
      </c>
      <c r="AU164" s="1" t="e">
        <f t="shared" si="21"/>
        <v>#VALUE!</v>
      </c>
      <c r="AV164" s="1" t="e">
        <f t="shared" si="22"/>
        <v>#VALUE!</v>
      </c>
      <c r="AW164" s="1" t="e">
        <f t="shared" si="23"/>
        <v>#VALUE!</v>
      </c>
    </row>
    <row r="165" spans="1:49" x14ac:dyDescent="0.2">
      <c r="A165">
        <v>163</v>
      </c>
      <c r="B165" t="s">
        <v>1512</v>
      </c>
      <c r="C165" t="s">
        <v>1511</v>
      </c>
      <c r="F165" t="s">
        <v>1510</v>
      </c>
      <c r="G165" t="s">
        <v>4</v>
      </c>
      <c r="H165" t="s">
        <v>3</v>
      </c>
      <c r="I165" t="s">
        <v>1509</v>
      </c>
      <c r="J165" t="s">
        <v>236</v>
      </c>
      <c r="K165" t="s">
        <v>235</v>
      </c>
      <c r="L165" t="s">
        <v>234</v>
      </c>
      <c r="M165" t="s">
        <v>103</v>
      </c>
      <c r="N165">
        <v>4</v>
      </c>
      <c r="O165" t="s">
        <v>1508</v>
      </c>
      <c r="P165" t="s">
        <v>1507</v>
      </c>
      <c r="Q165" t="s">
        <v>1506</v>
      </c>
      <c r="R165" s="7">
        <v>32813</v>
      </c>
      <c r="S165" s="8">
        <f t="shared" si="16"/>
        <v>1989</v>
      </c>
      <c r="T165" s="8">
        <v>1989</v>
      </c>
      <c r="U165" s="8">
        <f t="shared" si="17"/>
        <v>33</v>
      </c>
      <c r="V165" s="7">
        <v>32813</v>
      </c>
      <c r="W165" t="s">
        <v>14</v>
      </c>
      <c r="X165" s="2">
        <v>1.1579999999999999</v>
      </c>
      <c r="Y165" s="6">
        <f t="shared" si="18"/>
        <v>3.0912148634579962E-2</v>
      </c>
      <c r="AA165">
        <v>1668595</v>
      </c>
      <c r="AB165">
        <v>14223</v>
      </c>
      <c r="AC165">
        <v>15735079</v>
      </c>
      <c r="AD165" t="s">
        <v>1</v>
      </c>
      <c r="AE165">
        <v>22</v>
      </c>
      <c r="AF165">
        <v>2</v>
      </c>
      <c r="AH165" t="s">
        <v>1505</v>
      </c>
      <c r="AI165" t="s">
        <v>1504</v>
      </c>
      <c r="AJ165" t="s">
        <v>1503</v>
      </c>
      <c r="AK165" t="s">
        <v>1502</v>
      </c>
      <c r="AL165">
        <v>31</v>
      </c>
      <c r="AM165" s="5">
        <f t="shared" si="19"/>
        <v>0.93939393939393945</v>
      </c>
      <c r="AN165" s="4">
        <f t="shared" si="20"/>
        <v>1.4227852168026346E-3</v>
      </c>
      <c r="AO165" s="3"/>
      <c r="AP165">
        <v>0</v>
      </c>
      <c r="AR165" t="s">
        <v>0</v>
      </c>
      <c r="AT165" s="2">
        <v>3.573</v>
      </c>
      <c r="AU165" s="1">
        <f t="shared" si="21"/>
        <v>2.2065339609246761</v>
      </c>
      <c r="AV165" s="1">
        <f t="shared" si="22"/>
        <v>1.6167466925691301</v>
      </c>
      <c r="AW165" s="1">
        <f t="shared" si="23"/>
        <v>1.0269594242135831</v>
      </c>
    </row>
    <row r="166" spans="1:49" x14ac:dyDescent="0.2">
      <c r="A166">
        <v>164</v>
      </c>
      <c r="B166" t="s">
        <v>1501</v>
      </c>
      <c r="C166" t="s">
        <v>1500</v>
      </c>
      <c r="F166" t="s">
        <v>1499</v>
      </c>
      <c r="G166" t="s">
        <v>4</v>
      </c>
      <c r="H166" t="s">
        <v>3</v>
      </c>
      <c r="I166" t="s">
        <v>1498</v>
      </c>
      <c r="J166">
        <v>60121576</v>
      </c>
      <c r="K166" t="s">
        <v>1497</v>
      </c>
      <c r="L166" t="s">
        <v>49</v>
      </c>
      <c r="M166" t="s">
        <v>6</v>
      </c>
      <c r="N166">
        <v>3</v>
      </c>
      <c r="O166" t="s">
        <v>1496</v>
      </c>
      <c r="P166" t="s">
        <v>1495</v>
      </c>
      <c r="Q166" t="s">
        <v>1494</v>
      </c>
      <c r="R166" s="7">
        <v>32813</v>
      </c>
      <c r="S166" s="8">
        <f t="shared" si="16"/>
        <v>1989</v>
      </c>
      <c r="T166" s="8">
        <v>1989</v>
      </c>
      <c r="U166" s="8">
        <f t="shared" si="17"/>
        <v>33</v>
      </c>
      <c r="V166" s="7">
        <v>32813</v>
      </c>
      <c r="W166" t="s">
        <v>267</v>
      </c>
      <c r="X166" s="2">
        <v>0.93</v>
      </c>
      <c r="Y166" s="6">
        <f t="shared" si="18"/>
        <v>2.4825818851605671E-2</v>
      </c>
      <c r="AA166">
        <v>253162</v>
      </c>
      <c r="AB166">
        <v>12165</v>
      </c>
      <c r="AC166">
        <v>14321793</v>
      </c>
      <c r="AD166" t="s">
        <v>1</v>
      </c>
      <c r="AE166">
        <v>103</v>
      </c>
      <c r="AF166">
        <v>3</v>
      </c>
      <c r="AH166" t="s">
        <v>1493</v>
      </c>
      <c r="AI166" t="s">
        <v>1492</v>
      </c>
      <c r="AK166" t="s">
        <v>1491</v>
      </c>
      <c r="AL166">
        <v>53</v>
      </c>
      <c r="AM166" s="5">
        <f t="shared" si="19"/>
        <v>1.606060606060606</v>
      </c>
      <c r="AN166" s="4">
        <f t="shared" si="20"/>
        <v>2.4325037577593426E-3</v>
      </c>
      <c r="AO166" s="3"/>
      <c r="AP166">
        <v>0</v>
      </c>
      <c r="AR166" t="s">
        <v>0</v>
      </c>
      <c r="AT166" s="2">
        <v>2.573</v>
      </c>
      <c r="AU166" s="1">
        <f t="shared" si="21"/>
        <v>1.8107824323451771</v>
      </c>
      <c r="AV166" s="1">
        <f t="shared" si="22"/>
        <v>1.3629161304682507</v>
      </c>
      <c r="AW166" s="1">
        <f t="shared" si="23"/>
        <v>0.91504982859132411</v>
      </c>
    </row>
    <row r="167" spans="1:49" x14ac:dyDescent="0.2">
      <c r="A167">
        <v>165</v>
      </c>
      <c r="B167" t="s">
        <v>1490</v>
      </c>
      <c r="C167" t="s">
        <v>1489</v>
      </c>
      <c r="F167" t="s">
        <v>1488</v>
      </c>
      <c r="G167" t="s">
        <v>4</v>
      </c>
      <c r="H167" t="s">
        <v>3</v>
      </c>
      <c r="I167" t="s">
        <v>1487</v>
      </c>
      <c r="J167" t="s">
        <v>1486</v>
      </c>
      <c r="K167" t="s">
        <v>1485</v>
      </c>
      <c r="L167" t="s">
        <v>1484</v>
      </c>
      <c r="M167" t="s">
        <v>1483</v>
      </c>
      <c r="N167">
        <v>4</v>
      </c>
      <c r="O167" t="s">
        <v>1482</v>
      </c>
      <c r="P167" t="s">
        <v>1481</v>
      </c>
      <c r="Q167" t="s">
        <v>1480</v>
      </c>
      <c r="R167" s="7">
        <v>32813</v>
      </c>
      <c r="S167" s="8">
        <f t="shared" si="16"/>
        <v>1989</v>
      </c>
      <c r="T167" s="8">
        <v>1989</v>
      </c>
      <c r="U167" s="8">
        <f t="shared" si="17"/>
        <v>33</v>
      </c>
      <c r="V167" s="7">
        <v>32813</v>
      </c>
      <c r="W167" t="s">
        <v>1479</v>
      </c>
      <c r="X167" s="2">
        <v>0.53400000000000003</v>
      </c>
      <c r="Y167" s="6">
        <f t="shared" si="18"/>
        <v>1.4254825018018741E-2</v>
      </c>
      <c r="AA167">
        <v>8927553</v>
      </c>
      <c r="AB167">
        <v>20484</v>
      </c>
      <c r="AC167">
        <v>15728889</v>
      </c>
      <c r="AD167" t="s">
        <v>1</v>
      </c>
      <c r="AE167">
        <v>2</v>
      </c>
      <c r="AF167">
        <v>6</v>
      </c>
      <c r="AH167" t="s">
        <v>1478</v>
      </c>
      <c r="AI167" t="s">
        <v>1477</v>
      </c>
      <c r="AJ167" t="s">
        <v>1476</v>
      </c>
      <c r="AK167" t="s">
        <v>1475</v>
      </c>
      <c r="AL167">
        <v>89</v>
      </c>
      <c r="AM167" s="5">
        <f t="shared" si="19"/>
        <v>2.6969696969696968</v>
      </c>
      <c r="AN167" s="4">
        <f t="shared" si="20"/>
        <v>4.0847704611430471E-3</v>
      </c>
      <c r="AO167" s="3"/>
      <c r="AP167">
        <v>0</v>
      </c>
      <c r="AR167" t="s">
        <v>0</v>
      </c>
      <c r="AT167" s="2">
        <v>1.3089999999999999</v>
      </c>
      <c r="AU167" s="1">
        <f t="shared" si="21"/>
        <v>1.1203808650956033</v>
      </c>
      <c r="AV167" s="1">
        <f t="shared" si="22"/>
        <v>0.91697977395808938</v>
      </c>
      <c r="AW167" s="1">
        <f t="shared" si="23"/>
        <v>0.71357868282057546</v>
      </c>
    </row>
    <row r="168" spans="1:49" x14ac:dyDescent="0.2">
      <c r="A168">
        <v>166</v>
      </c>
      <c r="B168" t="s">
        <v>1474</v>
      </c>
      <c r="C168" t="s">
        <v>1473</v>
      </c>
      <c r="D168" t="s">
        <v>1472</v>
      </c>
      <c r="F168" t="s">
        <v>1471</v>
      </c>
      <c r="G168" t="s">
        <v>4</v>
      </c>
      <c r="H168" t="s">
        <v>3</v>
      </c>
      <c r="I168" t="s">
        <v>1470</v>
      </c>
      <c r="J168" t="s">
        <v>1469</v>
      </c>
      <c r="K168" t="s">
        <v>1468</v>
      </c>
      <c r="L168" t="s">
        <v>76</v>
      </c>
      <c r="M168" t="s">
        <v>30</v>
      </c>
      <c r="N168">
        <v>5</v>
      </c>
      <c r="O168" t="s">
        <v>1467</v>
      </c>
      <c r="P168" t="s">
        <v>1466</v>
      </c>
      <c r="Q168" t="s">
        <v>1465</v>
      </c>
      <c r="R168" s="7">
        <v>32807</v>
      </c>
      <c r="S168" s="8">
        <f t="shared" si="16"/>
        <v>1989</v>
      </c>
      <c r="T168" s="8">
        <v>1989</v>
      </c>
      <c r="U168" s="8">
        <f t="shared" si="17"/>
        <v>33</v>
      </c>
      <c r="V168" s="7">
        <v>32807</v>
      </c>
      <c r="W168" t="s">
        <v>8</v>
      </c>
      <c r="X168" s="2">
        <v>1.59</v>
      </c>
      <c r="Y168" s="6">
        <f t="shared" si="18"/>
        <v>4.2444141907583888E-2</v>
      </c>
      <c r="AA168">
        <v>52728</v>
      </c>
      <c r="AB168">
        <v>16791</v>
      </c>
      <c r="AD168" t="s">
        <v>1</v>
      </c>
      <c r="AE168">
        <v>977</v>
      </c>
      <c r="AF168">
        <v>1</v>
      </c>
      <c r="AH168" t="s">
        <v>257</v>
      </c>
      <c r="AI168" t="s">
        <v>1464</v>
      </c>
      <c r="AJ168" t="s">
        <v>1463</v>
      </c>
      <c r="AK168" t="s">
        <v>1462</v>
      </c>
      <c r="AL168">
        <v>76</v>
      </c>
      <c r="AM168" s="5">
        <f t="shared" si="19"/>
        <v>2.3030303030303032</v>
      </c>
      <c r="AN168" s="4">
        <f t="shared" si="20"/>
        <v>3.4881185960322653E-3</v>
      </c>
      <c r="AO168" s="3"/>
      <c r="AP168">
        <v>0</v>
      </c>
      <c r="AR168" t="s">
        <v>0</v>
      </c>
      <c r="AT168" s="2" t="s">
        <v>5</v>
      </c>
      <c r="AU168" s="1">
        <f t="shared" si="21"/>
        <v>3.0757334914118402</v>
      </c>
      <c r="AV168" s="1">
        <f t="shared" si="22"/>
        <v>2.2966130251808075</v>
      </c>
      <c r="AW168" s="1">
        <f t="shared" si="23"/>
        <v>1.5174925589497752</v>
      </c>
    </row>
    <row r="169" spans="1:49" x14ac:dyDescent="0.2">
      <c r="A169">
        <v>167</v>
      </c>
      <c r="B169" t="s">
        <v>1461</v>
      </c>
      <c r="C169" t="s">
        <v>1460</v>
      </c>
      <c r="F169" t="s">
        <v>1459</v>
      </c>
      <c r="G169" t="s">
        <v>4</v>
      </c>
      <c r="H169" t="s">
        <v>3</v>
      </c>
      <c r="I169" t="s">
        <v>1458</v>
      </c>
      <c r="J169" t="s">
        <v>1457</v>
      </c>
      <c r="K169" t="s">
        <v>1456</v>
      </c>
      <c r="L169" t="s">
        <v>1455</v>
      </c>
      <c r="M169" t="s">
        <v>10</v>
      </c>
      <c r="N169">
        <v>5</v>
      </c>
      <c r="O169" t="s">
        <v>1454</v>
      </c>
      <c r="P169" t="s">
        <v>1453</v>
      </c>
      <c r="Q169" t="s">
        <v>1452</v>
      </c>
      <c r="R169" s="7">
        <v>32793</v>
      </c>
      <c r="S169" s="8">
        <f t="shared" si="16"/>
        <v>1989</v>
      </c>
      <c r="T169" s="8">
        <v>1989</v>
      </c>
      <c r="U169" s="8">
        <f t="shared" si="17"/>
        <v>33</v>
      </c>
      <c r="V169" s="7">
        <v>32793</v>
      </c>
      <c r="W169" t="s">
        <v>111</v>
      </c>
      <c r="X169" s="2">
        <v>0.375</v>
      </c>
      <c r="Y169" s="6">
        <f t="shared" si="18"/>
        <v>1.0010410827260351E-2</v>
      </c>
      <c r="AA169">
        <v>135194</v>
      </c>
      <c r="AB169">
        <v>24918</v>
      </c>
      <c r="AD169" t="s">
        <v>1</v>
      </c>
      <c r="AE169">
        <v>25</v>
      </c>
      <c r="AF169">
        <v>21</v>
      </c>
      <c r="AH169" t="s">
        <v>1451</v>
      </c>
      <c r="AI169" t="s">
        <v>1450</v>
      </c>
      <c r="AJ169" t="s">
        <v>1449</v>
      </c>
      <c r="AK169" t="s">
        <v>1448</v>
      </c>
      <c r="AL169">
        <v>18</v>
      </c>
      <c r="AM169" s="5">
        <f t="shared" si="19"/>
        <v>0.54545454545454541</v>
      </c>
      <c r="AN169" s="4">
        <f t="shared" si="20"/>
        <v>8.2613335169185224E-4</v>
      </c>
      <c r="AO169" s="3"/>
      <c r="AP169">
        <v>0</v>
      </c>
      <c r="AR169" t="s">
        <v>0</v>
      </c>
      <c r="AT169" s="2">
        <v>1.3140000000000001</v>
      </c>
      <c r="AU169" s="1">
        <f t="shared" si="21"/>
        <v>0.72551275845898011</v>
      </c>
      <c r="AV169" s="1">
        <f t="shared" si="22"/>
        <v>0.54182720894761016</v>
      </c>
      <c r="AW169" s="1">
        <f t="shared" si="23"/>
        <v>0.35814165943624016</v>
      </c>
    </row>
    <row r="170" spans="1:49" x14ac:dyDescent="0.2">
      <c r="A170">
        <v>168</v>
      </c>
      <c r="B170" t="s">
        <v>1447</v>
      </c>
      <c r="C170" t="s">
        <v>1446</v>
      </c>
      <c r="D170" t="s">
        <v>1445</v>
      </c>
      <c r="E170">
        <v>2806547</v>
      </c>
      <c r="F170" t="s">
        <v>1444</v>
      </c>
      <c r="G170" t="s">
        <v>4</v>
      </c>
      <c r="H170" t="s">
        <v>3</v>
      </c>
      <c r="I170" t="s">
        <v>1443</v>
      </c>
      <c r="J170">
        <v>60018373</v>
      </c>
      <c r="K170" t="s">
        <v>1442</v>
      </c>
      <c r="L170" t="s">
        <v>1441</v>
      </c>
      <c r="M170" t="s">
        <v>18</v>
      </c>
      <c r="N170">
        <v>3</v>
      </c>
      <c r="O170" t="s">
        <v>1440</v>
      </c>
      <c r="P170" t="s">
        <v>1439</v>
      </c>
      <c r="Q170" t="s">
        <v>1438</v>
      </c>
      <c r="R170" s="7">
        <v>32790</v>
      </c>
      <c r="S170" s="8">
        <f t="shared" si="16"/>
        <v>1989</v>
      </c>
      <c r="T170" s="8">
        <v>1989</v>
      </c>
      <c r="U170" s="8">
        <f t="shared" si="17"/>
        <v>33</v>
      </c>
      <c r="V170" s="7">
        <v>32790</v>
      </c>
      <c r="W170" t="s">
        <v>247</v>
      </c>
      <c r="X170" s="2">
        <v>1.593</v>
      </c>
      <c r="Y170" s="6">
        <f t="shared" si="18"/>
        <v>4.2524225194201973E-2</v>
      </c>
      <c r="AA170">
        <v>145793</v>
      </c>
      <c r="AB170">
        <v>17481</v>
      </c>
      <c r="AD170" t="s">
        <v>1</v>
      </c>
      <c r="AE170">
        <v>256</v>
      </c>
      <c r="AF170" s="9">
        <v>44228</v>
      </c>
      <c r="AH170" t="s">
        <v>1437</v>
      </c>
      <c r="AI170" t="s">
        <v>1436</v>
      </c>
      <c r="AK170" t="s">
        <v>1435</v>
      </c>
      <c r="AL170">
        <v>98</v>
      </c>
      <c r="AM170" s="5">
        <f t="shared" si="19"/>
        <v>2.9696969696969697</v>
      </c>
      <c r="AN170" s="4">
        <f t="shared" si="20"/>
        <v>4.4978371369889733E-3</v>
      </c>
      <c r="AO170" s="3"/>
      <c r="AP170">
        <v>1</v>
      </c>
      <c r="AQ170" t="s">
        <v>88</v>
      </c>
      <c r="AR170" t="s">
        <v>0</v>
      </c>
      <c r="AS170" t="s">
        <v>87</v>
      </c>
      <c r="AT170" s="2">
        <v>4.1239999999999997</v>
      </c>
      <c r="AU170" s="1">
        <f t="shared" si="21"/>
        <v>3.1116308777038073</v>
      </c>
      <c r="AV170" s="1">
        <f t="shared" si="22"/>
        <v>2.3511031165595475</v>
      </c>
      <c r="AW170" s="1">
        <f t="shared" si="23"/>
        <v>1.5905753554152871</v>
      </c>
    </row>
    <row r="171" spans="1:49" x14ac:dyDescent="0.2">
      <c r="A171">
        <v>169</v>
      </c>
      <c r="B171" t="s">
        <v>1434</v>
      </c>
      <c r="C171" t="s">
        <v>1433</v>
      </c>
      <c r="F171" t="s">
        <v>1432</v>
      </c>
      <c r="G171" t="s">
        <v>4</v>
      </c>
      <c r="H171" t="s">
        <v>3</v>
      </c>
      <c r="I171" t="s">
        <v>1228</v>
      </c>
      <c r="J171">
        <v>60001753</v>
      </c>
      <c r="K171" t="s">
        <v>1227</v>
      </c>
      <c r="L171" t="s">
        <v>1226</v>
      </c>
      <c r="M171" t="s">
        <v>9</v>
      </c>
      <c r="N171">
        <v>3</v>
      </c>
      <c r="O171" t="s">
        <v>1431</v>
      </c>
      <c r="P171" t="s">
        <v>1224</v>
      </c>
      <c r="Q171" t="s">
        <v>1223</v>
      </c>
      <c r="R171" s="7">
        <v>32782</v>
      </c>
      <c r="S171" s="8">
        <f t="shared" si="16"/>
        <v>1989</v>
      </c>
      <c r="T171" s="8">
        <v>1989</v>
      </c>
      <c r="U171" s="8">
        <f t="shared" si="17"/>
        <v>33</v>
      </c>
      <c r="V171" s="7">
        <v>32782</v>
      </c>
      <c r="W171" t="s">
        <v>196</v>
      </c>
      <c r="X171" s="2">
        <v>0.61499999999999999</v>
      </c>
      <c r="Y171" s="6">
        <f t="shared" si="18"/>
        <v>1.6417073756706976E-2</v>
      </c>
      <c r="AA171">
        <v>1959271</v>
      </c>
      <c r="AB171">
        <v>12141</v>
      </c>
      <c r="AC171">
        <v>15729559</v>
      </c>
      <c r="AD171" t="s">
        <v>1</v>
      </c>
      <c r="AE171">
        <v>10</v>
      </c>
      <c r="AF171">
        <v>10</v>
      </c>
      <c r="AH171" t="s">
        <v>1430</v>
      </c>
      <c r="AI171" t="s">
        <v>1221</v>
      </c>
      <c r="AJ171" t="s">
        <v>1220</v>
      </c>
      <c r="AK171" t="s">
        <v>1219</v>
      </c>
      <c r="AL171">
        <v>4</v>
      </c>
      <c r="AM171" s="5">
        <f t="shared" si="19"/>
        <v>0.12121212121212122</v>
      </c>
      <c r="AN171" s="4">
        <f t="shared" si="20"/>
        <v>1.8358518926485606E-4</v>
      </c>
      <c r="AO171" s="3"/>
      <c r="AP171">
        <v>0</v>
      </c>
      <c r="AR171" t="s">
        <v>0</v>
      </c>
      <c r="AT171" s="2" t="s">
        <v>5</v>
      </c>
      <c r="AU171" s="1">
        <f t="shared" si="21"/>
        <v>1.1547027186474339</v>
      </c>
      <c r="AV171" s="1">
        <f t="shared" si="22"/>
        <v>0.83003294729859167</v>
      </c>
      <c r="AW171" s="1">
        <f t="shared" si="23"/>
        <v>0.50536317594974911</v>
      </c>
    </row>
    <row r="172" spans="1:49" x14ac:dyDescent="0.2">
      <c r="A172">
        <v>170</v>
      </c>
      <c r="B172" t="s">
        <v>1429</v>
      </c>
      <c r="F172" t="s">
        <v>1428</v>
      </c>
      <c r="G172" t="s">
        <v>4</v>
      </c>
      <c r="H172" t="s">
        <v>3</v>
      </c>
      <c r="I172" t="s">
        <v>1427</v>
      </c>
      <c r="J172">
        <v>60020536</v>
      </c>
      <c r="K172" t="s">
        <v>1426</v>
      </c>
      <c r="L172" t="s">
        <v>184</v>
      </c>
      <c r="M172" t="s">
        <v>6</v>
      </c>
      <c r="N172">
        <v>2</v>
      </c>
      <c r="O172" t="s">
        <v>1425</v>
      </c>
      <c r="P172" t="s">
        <v>1424</v>
      </c>
      <c r="Q172" t="s">
        <v>1423</v>
      </c>
      <c r="R172" s="7">
        <v>32782</v>
      </c>
      <c r="S172" s="8">
        <f t="shared" si="16"/>
        <v>1989</v>
      </c>
      <c r="T172" s="8">
        <v>1989</v>
      </c>
      <c r="U172" s="8">
        <f t="shared" si="17"/>
        <v>33</v>
      </c>
      <c r="V172" s="7">
        <v>32782</v>
      </c>
      <c r="W172" t="s">
        <v>1422</v>
      </c>
      <c r="X172" s="2" t="s">
        <v>5</v>
      </c>
      <c r="Y172" s="6" t="e">
        <f t="shared" si="18"/>
        <v>#VALUE!</v>
      </c>
      <c r="AA172">
        <v>181153</v>
      </c>
      <c r="AB172">
        <v>80073</v>
      </c>
      <c r="AD172" t="s">
        <v>1</v>
      </c>
      <c r="AE172">
        <v>40</v>
      </c>
      <c r="AF172">
        <v>5</v>
      </c>
      <c r="AH172" t="s">
        <v>189</v>
      </c>
      <c r="AI172" t="s">
        <v>1421</v>
      </c>
      <c r="AK172" t="s">
        <v>1420</v>
      </c>
      <c r="AL172">
        <v>0</v>
      </c>
      <c r="AM172" s="5">
        <f t="shared" si="19"/>
        <v>0</v>
      </c>
      <c r="AN172" s="4">
        <f t="shared" si="20"/>
        <v>0</v>
      </c>
      <c r="AO172" s="3"/>
      <c r="AP172">
        <v>0</v>
      </c>
      <c r="AR172" t="s">
        <v>0</v>
      </c>
      <c r="AT172" s="2" t="s">
        <v>5</v>
      </c>
      <c r="AU172" s="1" t="e">
        <f t="shared" si="21"/>
        <v>#VALUE!</v>
      </c>
      <c r="AV172" s="1" t="e">
        <f t="shared" si="22"/>
        <v>#VALUE!</v>
      </c>
      <c r="AW172" s="1" t="e">
        <f t="shared" si="23"/>
        <v>#VALUE!</v>
      </c>
    </row>
    <row r="173" spans="1:49" x14ac:dyDescent="0.2">
      <c r="A173">
        <v>171</v>
      </c>
      <c r="B173" t="s">
        <v>1419</v>
      </c>
      <c r="F173" t="s">
        <v>1418</v>
      </c>
      <c r="G173" t="s">
        <v>4</v>
      </c>
      <c r="H173" t="s">
        <v>3</v>
      </c>
      <c r="I173" t="s">
        <v>1417</v>
      </c>
      <c r="N173">
        <v>2</v>
      </c>
      <c r="O173" t="s">
        <v>1416</v>
      </c>
      <c r="P173" t="s">
        <v>1415</v>
      </c>
      <c r="Q173" t="s">
        <v>51</v>
      </c>
      <c r="R173" s="7">
        <v>32782</v>
      </c>
      <c r="S173" s="8">
        <f t="shared" si="16"/>
        <v>1989</v>
      </c>
      <c r="T173" s="8">
        <v>1989</v>
      </c>
      <c r="U173" s="8">
        <f t="shared" si="17"/>
        <v>33</v>
      </c>
      <c r="V173" s="7">
        <v>32782</v>
      </c>
      <c r="W173" t="s">
        <v>130</v>
      </c>
      <c r="X173" s="2">
        <v>0.752</v>
      </c>
      <c r="Y173" s="6">
        <f t="shared" si="18"/>
        <v>2.0074210512266089E-2</v>
      </c>
      <c r="AA173">
        <v>3649059</v>
      </c>
      <c r="AB173">
        <v>17277</v>
      </c>
      <c r="AD173" t="s">
        <v>1</v>
      </c>
      <c r="AE173">
        <v>14</v>
      </c>
      <c r="AF173">
        <v>4</v>
      </c>
      <c r="AH173">
        <v>407</v>
      </c>
      <c r="AI173" t="s">
        <v>1414</v>
      </c>
      <c r="AK173" t="s">
        <v>1413</v>
      </c>
      <c r="AL173">
        <v>0</v>
      </c>
      <c r="AM173" s="5">
        <f t="shared" si="19"/>
        <v>0</v>
      </c>
      <c r="AN173" s="4">
        <f t="shared" si="20"/>
        <v>0</v>
      </c>
      <c r="AO173" s="3"/>
      <c r="AP173">
        <v>0</v>
      </c>
      <c r="AR173" t="s">
        <v>0</v>
      </c>
      <c r="AT173" s="2">
        <v>3.5539999999999998</v>
      </c>
      <c r="AU173" s="1">
        <f t="shared" si="21"/>
        <v>1.4051947358586261</v>
      </c>
      <c r="AV173" s="1">
        <f t="shared" si="22"/>
        <v>1.0037105256133045</v>
      </c>
      <c r="AW173" s="1">
        <f t="shared" si="23"/>
        <v>0.60222631536798266</v>
      </c>
    </row>
    <row r="174" spans="1:49" x14ac:dyDescent="0.2">
      <c r="A174">
        <v>172</v>
      </c>
      <c r="B174" t="s">
        <v>1412</v>
      </c>
      <c r="C174" t="s">
        <v>1411</v>
      </c>
      <c r="F174" t="s">
        <v>1410</v>
      </c>
      <c r="G174" t="s">
        <v>4</v>
      </c>
      <c r="H174" t="s">
        <v>3</v>
      </c>
      <c r="I174" t="s">
        <v>948</v>
      </c>
      <c r="J174" t="s">
        <v>1409</v>
      </c>
      <c r="K174" t="s">
        <v>1408</v>
      </c>
      <c r="L174" t="s">
        <v>1407</v>
      </c>
      <c r="M174" t="s">
        <v>1406</v>
      </c>
      <c r="N174">
        <v>3</v>
      </c>
      <c r="O174" t="s">
        <v>947</v>
      </c>
      <c r="P174" t="s">
        <v>946</v>
      </c>
      <c r="Q174" t="s">
        <v>1405</v>
      </c>
      <c r="R174" s="7">
        <v>32782</v>
      </c>
      <c r="S174" s="8">
        <f t="shared" si="16"/>
        <v>1989</v>
      </c>
      <c r="T174" s="8">
        <v>1989</v>
      </c>
      <c r="U174" s="8">
        <f t="shared" si="17"/>
        <v>33</v>
      </c>
      <c r="V174" s="7">
        <v>32782</v>
      </c>
      <c r="W174" t="s">
        <v>945</v>
      </c>
      <c r="X174" s="2">
        <v>1.994</v>
      </c>
      <c r="Y174" s="6">
        <f t="shared" si="18"/>
        <v>5.322869117215237E-2</v>
      </c>
      <c r="AA174">
        <v>249297</v>
      </c>
      <c r="AB174">
        <v>21100779404</v>
      </c>
      <c r="AC174">
        <v>15205835</v>
      </c>
      <c r="AD174" t="s">
        <v>1</v>
      </c>
      <c r="AE174">
        <v>22</v>
      </c>
      <c r="AF174">
        <v>10</v>
      </c>
      <c r="AH174" t="s">
        <v>1404</v>
      </c>
      <c r="AI174" t="s">
        <v>1403</v>
      </c>
      <c r="AK174" t="s">
        <v>1402</v>
      </c>
      <c r="AL174">
        <v>57</v>
      </c>
      <c r="AM174" s="5">
        <f t="shared" si="19"/>
        <v>1.7272727272727273</v>
      </c>
      <c r="AN174" s="4">
        <f t="shared" si="20"/>
        <v>2.616088947024199E-3</v>
      </c>
      <c r="AO174" s="3"/>
      <c r="AP174">
        <v>0</v>
      </c>
      <c r="AR174" t="s">
        <v>0</v>
      </c>
      <c r="AT174" s="2">
        <v>5.9850000000000003</v>
      </c>
      <c r="AU174" s="1">
        <f t="shared" si="21"/>
        <v>3.8044910504613916</v>
      </c>
      <c r="AV174" s="1">
        <f t="shared" si="22"/>
        <v>2.7922390059588285</v>
      </c>
      <c r="AW174" s="1">
        <f t="shared" si="23"/>
        <v>1.7799869614562651</v>
      </c>
    </row>
    <row r="175" spans="1:49" x14ac:dyDescent="0.2">
      <c r="A175">
        <v>173</v>
      </c>
      <c r="B175" t="s">
        <v>1401</v>
      </c>
      <c r="F175" t="s">
        <v>1400</v>
      </c>
      <c r="G175" t="s">
        <v>4</v>
      </c>
      <c r="H175" t="s">
        <v>3</v>
      </c>
      <c r="I175" t="s">
        <v>1399</v>
      </c>
      <c r="J175">
        <v>109531428</v>
      </c>
      <c r="K175" t="s">
        <v>1398</v>
      </c>
      <c r="L175" t="s">
        <v>244</v>
      </c>
      <c r="M175" t="s">
        <v>153</v>
      </c>
      <c r="N175">
        <v>1</v>
      </c>
      <c r="O175" t="s">
        <v>1397</v>
      </c>
      <c r="P175">
        <v>6701740029</v>
      </c>
      <c r="Q175">
        <v>109531428</v>
      </c>
      <c r="R175" s="7">
        <v>32782</v>
      </c>
      <c r="S175" s="8">
        <f t="shared" si="16"/>
        <v>1989</v>
      </c>
      <c r="T175" s="8">
        <v>1989</v>
      </c>
      <c r="U175" s="8">
        <f t="shared" si="17"/>
        <v>33</v>
      </c>
      <c r="V175" s="7">
        <v>32782</v>
      </c>
      <c r="W175" t="s">
        <v>1396</v>
      </c>
      <c r="X175" s="2" t="s">
        <v>5</v>
      </c>
      <c r="Y175" s="6" t="e">
        <f t="shared" si="18"/>
        <v>#VALUE!</v>
      </c>
      <c r="AA175">
        <v>385492</v>
      </c>
      <c r="AB175">
        <v>40903</v>
      </c>
      <c r="AD175" t="s">
        <v>1</v>
      </c>
      <c r="AE175">
        <v>25</v>
      </c>
      <c r="AF175">
        <v>2</v>
      </c>
      <c r="AH175" t="s">
        <v>1395</v>
      </c>
      <c r="AI175" t="s">
        <v>1394</v>
      </c>
      <c r="AK175" t="s">
        <v>1393</v>
      </c>
      <c r="AL175">
        <v>0</v>
      </c>
      <c r="AM175" s="5">
        <f t="shared" si="19"/>
        <v>0</v>
      </c>
      <c r="AN175" s="4">
        <f t="shared" si="20"/>
        <v>0</v>
      </c>
      <c r="AO175" s="3"/>
      <c r="AP175">
        <v>0</v>
      </c>
      <c r="AR175" t="s">
        <v>0</v>
      </c>
      <c r="AT175" s="2" t="s">
        <v>5</v>
      </c>
      <c r="AU175" s="1" t="e">
        <f t="shared" si="21"/>
        <v>#VALUE!</v>
      </c>
      <c r="AV175" s="1" t="e">
        <f t="shared" si="22"/>
        <v>#VALUE!</v>
      </c>
      <c r="AW175" s="1" t="e">
        <f t="shared" si="23"/>
        <v>#VALUE!</v>
      </c>
    </row>
    <row r="176" spans="1:49" x14ac:dyDescent="0.2">
      <c r="A176">
        <v>174</v>
      </c>
      <c r="B176" t="s">
        <v>1392</v>
      </c>
      <c r="F176" t="s">
        <v>1391</v>
      </c>
      <c r="G176" t="s">
        <v>4</v>
      </c>
      <c r="H176" t="s">
        <v>3</v>
      </c>
      <c r="I176" t="s">
        <v>193</v>
      </c>
      <c r="J176">
        <v>60033080</v>
      </c>
      <c r="K176" t="s">
        <v>1390</v>
      </c>
      <c r="L176" t="s">
        <v>192</v>
      </c>
      <c r="M176" t="s">
        <v>6</v>
      </c>
      <c r="N176">
        <v>1</v>
      </c>
      <c r="O176" t="s">
        <v>1389</v>
      </c>
      <c r="P176">
        <v>36776854500</v>
      </c>
      <c r="Q176">
        <v>60033080</v>
      </c>
      <c r="R176" s="7">
        <v>32782</v>
      </c>
      <c r="S176" s="8">
        <f t="shared" si="16"/>
        <v>1989</v>
      </c>
      <c r="T176" s="8">
        <v>1989</v>
      </c>
      <c r="U176" s="8">
        <f t="shared" si="17"/>
        <v>33</v>
      </c>
      <c r="V176" s="7">
        <v>32782</v>
      </c>
      <c r="W176" t="s">
        <v>1388</v>
      </c>
      <c r="X176" s="2" t="s">
        <v>5</v>
      </c>
      <c r="Y176" s="6" t="e">
        <f t="shared" si="18"/>
        <v>#VALUE!</v>
      </c>
      <c r="AA176">
        <v>7368607</v>
      </c>
      <c r="AB176">
        <v>73790</v>
      </c>
      <c r="AD176" t="s">
        <v>1</v>
      </c>
      <c r="AE176">
        <v>9</v>
      </c>
      <c r="AF176">
        <v>4</v>
      </c>
      <c r="AH176" t="s">
        <v>1387</v>
      </c>
      <c r="AI176" t="s">
        <v>1386</v>
      </c>
      <c r="AK176" t="s">
        <v>1385</v>
      </c>
      <c r="AL176">
        <v>0</v>
      </c>
      <c r="AM176" s="5">
        <f t="shared" si="19"/>
        <v>0</v>
      </c>
      <c r="AN176" s="4">
        <f t="shared" si="20"/>
        <v>0</v>
      </c>
      <c r="AO176" s="3"/>
      <c r="AP176">
        <v>0</v>
      </c>
      <c r="AR176" t="s">
        <v>0</v>
      </c>
      <c r="AT176" s="2" t="s">
        <v>5</v>
      </c>
      <c r="AU176" s="1" t="e">
        <f t="shared" si="21"/>
        <v>#VALUE!</v>
      </c>
      <c r="AV176" s="1" t="e">
        <f t="shared" si="22"/>
        <v>#VALUE!</v>
      </c>
      <c r="AW176" s="1" t="e">
        <f t="shared" si="23"/>
        <v>#VALUE!</v>
      </c>
    </row>
    <row r="177" spans="1:49" x14ac:dyDescent="0.2">
      <c r="A177">
        <v>175</v>
      </c>
      <c r="B177" t="s">
        <v>1384</v>
      </c>
      <c r="E177">
        <v>2640910</v>
      </c>
      <c r="F177" t="s">
        <v>1383</v>
      </c>
      <c r="G177" t="s">
        <v>4</v>
      </c>
      <c r="H177" t="s">
        <v>3</v>
      </c>
      <c r="I177" t="s">
        <v>1382</v>
      </c>
      <c r="J177">
        <v>60023691</v>
      </c>
      <c r="K177" t="s">
        <v>64</v>
      </c>
      <c r="L177" t="s">
        <v>63</v>
      </c>
      <c r="M177" t="s">
        <v>6</v>
      </c>
      <c r="N177">
        <v>9</v>
      </c>
      <c r="O177" t="s">
        <v>1381</v>
      </c>
      <c r="P177" t="s">
        <v>1380</v>
      </c>
      <c r="Q177" t="s">
        <v>1379</v>
      </c>
      <c r="R177" s="7">
        <v>32782</v>
      </c>
      <c r="S177" s="8">
        <f t="shared" si="16"/>
        <v>1989</v>
      </c>
      <c r="T177" s="8">
        <v>1989</v>
      </c>
      <c r="U177" s="8">
        <f t="shared" si="17"/>
        <v>33</v>
      </c>
      <c r="V177" s="7">
        <v>32782</v>
      </c>
      <c r="W177" t="s">
        <v>1378</v>
      </c>
      <c r="X177" s="2" t="s">
        <v>5</v>
      </c>
      <c r="Y177" s="6" t="e">
        <f t="shared" si="18"/>
        <v>#VALUE!</v>
      </c>
      <c r="AA177">
        <v>8999422</v>
      </c>
      <c r="AB177">
        <v>60575</v>
      </c>
      <c r="AD177" t="s">
        <v>1</v>
      </c>
      <c r="AE177">
        <v>5</v>
      </c>
      <c r="AF177">
        <v>4</v>
      </c>
      <c r="AH177" t="s">
        <v>1377</v>
      </c>
      <c r="AI177" t="s">
        <v>1376</v>
      </c>
      <c r="AK177" t="s">
        <v>1375</v>
      </c>
      <c r="AL177">
        <v>30</v>
      </c>
      <c r="AM177" s="5">
        <f t="shared" si="19"/>
        <v>0.90909090909090906</v>
      </c>
      <c r="AN177" s="4">
        <f t="shared" si="20"/>
        <v>1.3768889194864203E-3</v>
      </c>
      <c r="AO177" s="3"/>
      <c r="AP177">
        <v>0</v>
      </c>
      <c r="AR177" t="s">
        <v>0</v>
      </c>
      <c r="AT177" s="2" t="s">
        <v>5</v>
      </c>
      <c r="AU177" s="1" t="e">
        <f t="shared" si="21"/>
        <v>#VALUE!</v>
      </c>
      <c r="AV177" s="1" t="e">
        <f t="shared" si="22"/>
        <v>#VALUE!</v>
      </c>
      <c r="AW177" s="1" t="e">
        <f t="shared" si="23"/>
        <v>#VALUE!</v>
      </c>
    </row>
    <row r="178" spans="1:49" x14ac:dyDescent="0.2">
      <c r="A178">
        <v>176</v>
      </c>
      <c r="B178" t="s">
        <v>1374</v>
      </c>
      <c r="F178" t="s">
        <v>1373</v>
      </c>
      <c r="G178" t="s">
        <v>4</v>
      </c>
      <c r="H178" t="s">
        <v>3</v>
      </c>
      <c r="I178" t="s">
        <v>1372</v>
      </c>
      <c r="N178">
        <v>3</v>
      </c>
      <c r="O178" t="s">
        <v>1371</v>
      </c>
      <c r="P178" t="s">
        <v>1370</v>
      </c>
      <c r="Q178" t="s">
        <v>20</v>
      </c>
      <c r="R178" s="7">
        <v>32782</v>
      </c>
      <c r="S178" s="8">
        <f t="shared" si="16"/>
        <v>1989</v>
      </c>
      <c r="T178" s="8">
        <v>1989</v>
      </c>
      <c r="U178" s="8">
        <f t="shared" si="17"/>
        <v>33</v>
      </c>
      <c r="V178" s="7">
        <v>32782</v>
      </c>
      <c r="W178" t="s">
        <v>50</v>
      </c>
      <c r="X178" s="2">
        <v>0.14099999999999999</v>
      </c>
      <c r="Y178" s="6">
        <f t="shared" si="18"/>
        <v>3.7639144710498915E-3</v>
      </c>
      <c r="AA178">
        <v>402508</v>
      </c>
      <c r="AB178">
        <v>20868</v>
      </c>
      <c r="AD178" t="s">
        <v>1</v>
      </c>
      <c r="AE178">
        <v>44</v>
      </c>
      <c r="AF178">
        <v>10</v>
      </c>
      <c r="AH178" t="s">
        <v>1369</v>
      </c>
      <c r="AI178" t="s">
        <v>1368</v>
      </c>
      <c r="AK178" t="s">
        <v>1367</v>
      </c>
      <c r="AL178">
        <v>0</v>
      </c>
      <c r="AM178" s="5">
        <f t="shared" si="19"/>
        <v>0</v>
      </c>
      <c r="AN178" s="4">
        <f t="shared" si="20"/>
        <v>0</v>
      </c>
      <c r="AO178" s="3"/>
      <c r="AP178">
        <v>0</v>
      </c>
      <c r="AR178" t="s">
        <v>0</v>
      </c>
      <c r="AT178" s="2" t="s">
        <v>5</v>
      </c>
      <c r="AU178" s="1">
        <f t="shared" si="21"/>
        <v>0.26347401297349238</v>
      </c>
      <c r="AV178" s="1">
        <f t="shared" si="22"/>
        <v>0.18819572355249459</v>
      </c>
      <c r="AW178" s="1">
        <f t="shared" si="23"/>
        <v>0.11291743413149673</v>
      </c>
    </row>
    <row r="179" spans="1:49" x14ac:dyDescent="0.2">
      <c r="A179">
        <v>177</v>
      </c>
      <c r="B179" t="s">
        <v>1366</v>
      </c>
      <c r="F179" t="s">
        <v>1365</v>
      </c>
      <c r="G179" t="s">
        <v>4</v>
      </c>
      <c r="H179" t="s">
        <v>3</v>
      </c>
      <c r="I179" t="s">
        <v>1364</v>
      </c>
      <c r="N179">
        <v>2</v>
      </c>
      <c r="O179" t="s">
        <v>1363</v>
      </c>
      <c r="P179" t="s">
        <v>1362</v>
      </c>
      <c r="Q179" t="s">
        <v>51</v>
      </c>
      <c r="R179" s="7">
        <v>32782</v>
      </c>
      <c r="S179" s="8">
        <f t="shared" si="16"/>
        <v>1989</v>
      </c>
      <c r="T179" s="8">
        <v>1989</v>
      </c>
      <c r="U179" s="8">
        <f t="shared" si="17"/>
        <v>33</v>
      </c>
      <c r="V179" s="7">
        <v>32782</v>
      </c>
      <c r="W179" t="s">
        <v>50</v>
      </c>
      <c r="X179" s="2">
        <v>0.14099999999999999</v>
      </c>
      <c r="Y179" s="6">
        <f t="shared" si="18"/>
        <v>3.7639144710498915E-3</v>
      </c>
      <c r="AA179">
        <v>402508</v>
      </c>
      <c r="AB179">
        <v>20868</v>
      </c>
      <c r="AD179" t="s">
        <v>1</v>
      </c>
      <c r="AE179">
        <v>44</v>
      </c>
      <c r="AF179">
        <v>10</v>
      </c>
      <c r="AH179" t="s">
        <v>1361</v>
      </c>
      <c r="AI179" t="s">
        <v>1360</v>
      </c>
      <c r="AK179" t="s">
        <v>1359</v>
      </c>
      <c r="AL179">
        <v>0</v>
      </c>
      <c r="AM179" s="5">
        <f t="shared" si="19"/>
        <v>0</v>
      </c>
      <c r="AN179" s="4">
        <f t="shared" si="20"/>
        <v>0</v>
      </c>
      <c r="AO179" s="3"/>
      <c r="AP179">
        <v>0</v>
      </c>
      <c r="AR179" t="s">
        <v>0</v>
      </c>
      <c r="AT179" s="2" t="s">
        <v>5</v>
      </c>
      <c r="AU179" s="1">
        <f t="shared" si="21"/>
        <v>0.26347401297349238</v>
      </c>
      <c r="AV179" s="1">
        <f t="shared" si="22"/>
        <v>0.18819572355249459</v>
      </c>
      <c r="AW179" s="1">
        <f t="shared" si="23"/>
        <v>0.11291743413149673</v>
      </c>
    </row>
    <row r="180" spans="1:49" x14ac:dyDescent="0.2">
      <c r="A180">
        <v>178</v>
      </c>
      <c r="B180" t="s">
        <v>1358</v>
      </c>
      <c r="F180" t="s">
        <v>1357</v>
      </c>
      <c r="G180" t="s">
        <v>4</v>
      </c>
      <c r="H180" t="s">
        <v>3</v>
      </c>
      <c r="I180" t="s">
        <v>1356</v>
      </c>
      <c r="N180">
        <v>1</v>
      </c>
      <c r="O180" t="s">
        <v>1355</v>
      </c>
      <c r="P180">
        <v>6701411909</v>
      </c>
      <c r="R180" s="7">
        <v>32782</v>
      </c>
      <c r="S180" s="8">
        <f t="shared" si="16"/>
        <v>1989</v>
      </c>
      <c r="T180" s="8">
        <v>1989</v>
      </c>
      <c r="U180" s="8">
        <f t="shared" si="17"/>
        <v>33</v>
      </c>
      <c r="V180" s="7">
        <v>32782</v>
      </c>
      <c r="W180" t="s">
        <v>50</v>
      </c>
      <c r="X180" s="2">
        <v>0.14099999999999999</v>
      </c>
      <c r="Y180" s="6">
        <f t="shared" si="18"/>
        <v>3.7639144710498915E-3</v>
      </c>
      <c r="AA180">
        <v>402508</v>
      </c>
      <c r="AB180">
        <v>20868</v>
      </c>
      <c r="AD180" t="s">
        <v>1</v>
      </c>
      <c r="AE180">
        <v>44</v>
      </c>
      <c r="AF180">
        <v>10</v>
      </c>
      <c r="AH180" t="s">
        <v>1354</v>
      </c>
      <c r="AI180" t="s">
        <v>1353</v>
      </c>
      <c r="AK180" t="s">
        <v>1352</v>
      </c>
      <c r="AL180">
        <v>0</v>
      </c>
      <c r="AM180" s="5">
        <f t="shared" si="19"/>
        <v>0</v>
      </c>
      <c r="AN180" s="4">
        <f t="shared" si="20"/>
        <v>0</v>
      </c>
      <c r="AO180" s="3"/>
      <c r="AP180">
        <v>0</v>
      </c>
      <c r="AR180" t="s">
        <v>0</v>
      </c>
      <c r="AT180" s="2" t="s">
        <v>5</v>
      </c>
      <c r="AU180" s="1">
        <f t="shared" si="21"/>
        <v>0.26347401297349238</v>
      </c>
      <c r="AV180" s="1">
        <f t="shared" si="22"/>
        <v>0.18819572355249459</v>
      </c>
      <c r="AW180" s="1">
        <f t="shared" si="23"/>
        <v>0.11291743413149673</v>
      </c>
    </row>
    <row r="181" spans="1:49" x14ac:dyDescent="0.2">
      <c r="A181">
        <v>179</v>
      </c>
      <c r="B181" t="s">
        <v>1351</v>
      </c>
      <c r="F181" t="s">
        <v>1350</v>
      </c>
      <c r="G181" t="s">
        <v>4</v>
      </c>
      <c r="H181" t="s">
        <v>3</v>
      </c>
      <c r="I181" t="s">
        <v>1349</v>
      </c>
      <c r="N181">
        <v>2</v>
      </c>
      <c r="O181" t="s">
        <v>1348</v>
      </c>
      <c r="P181" t="s">
        <v>1347</v>
      </c>
      <c r="Q181" t="s">
        <v>51</v>
      </c>
      <c r="R181" s="7">
        <v>32782</v>
      </c>
      <c r="S181" s="8">
        <f t="shared" si="16"/>
        <v>1989</v>
      </c>
      <c r="T181" s="8">
        <v>1989</v>
      </c>
      <c r="U181" s="8">
        <f t="shared" si="17"/>
        <v>33</v>
      </c>
      <c r="V181" s="7">
        <v>32782</v>
      </c>
      <c r="W181" t="s">
        <v>50</v>
      </c>
      <c r="X181" s="2">
        <v>0.14099999999999999</v>
      </c>
      <c r="Y181" s="6">
        <f t="shared" si="18"/>
        <v>3.7639144710498915E-3</v>
      </c>
      <c r="AA181">
        <v>402508</v>
      </c>
      <c r="AB181">
        <v>20868</v>
      </c>
      <c r="AD181" t="s">
        <v>1</v>
      </c>
      <c r="AE181">
        <v>44</v>
      </c>
      <c r="AF181">
        <v>10</v>
      </c>
      <c r="AH181" t="s">
        <v>1346</v>
      </c>
      <c r="AI181" t="s">
        <v>1345</v>
      </c>
      <c r="AK181" t="s">
        <v>1344</v>
      </c>
      <c r="AL181">
        <v>0</v>
      </c>
      <c r="AM181" s="5">
        <f t="shared" si="19"/>
        <v>0</v>
      </c>
      <c r="AN181" s="4">
        <f t="shared" si="20"/>
        <v>0</v>
      </c>
      <c r="AO181" s="3"/>
      <c r="AP181">
        <v>0</v>
      </c>
      <c r="AR181" t="s">
        <v>0</v>
      </c>
      <c r="AT181" s="2" t="s">
        <v>5</v>
      </c>
      <c r="AU181" s="1">
        <f t="shared" si="21"/>
        <v>0.26347401297349238</v>
      </c>
      <c r="AV181" s="1">
        <f t="shared" si="22"/>
        <v>0.18819572355249459</v>
      </c>
      <c r="AW181" s="1">
        <f t="shared" si="23"/>
        <v>0.11291743413149673</v>
      </c>
    </row>
    <row r="182" spans="1:49" x14ac:dyDescent="0.2">
      <c r="A182">
        <v>180</v>
      </c>
      <c r="B182" t="s">
        <v>1343</v>
      </c>
      <c r="F182" t="s">
        <v>1342</v>
      </c>
      <c r="G182" t="s">
        <v>4</v>
      </c>
      <c r="H182" t="s">
        <v>3</v>
      </c>
      <c r="I182" t="s">
        <v>992</v>
      </c>
      <c r="N182">
        <v>3</v>
      </c>
      <c r="O182" t="s">
        <v>1341</v>
      </c>
      <c r="P182" t="s">
        <v>1340</v>
      </c>
      <c r="Q182" t="s">
        <v>20</v>
      </c>
      <c r="R182" s="7">
        <v>32782</v>
      </c>
      <c r="S182" s="8">
        <f t="shared" si="16"/>
        <v>1989</v>
      </c>
      <c r="T182" s="8">
        <v>1989</v>
      </c>
      <c r="U182" s="8">
        <f t="shared" si="17"/>
        <v>33</v>
      </c>
      <c r="V182" s="7">
        <v>32782</v>
      </c>
      <c r="W182" t="s">
        <v>50</v>
      </c>
      <c r="X182" s="2">
        <v>0.14099999999999999</v>
      </c>
      <c r="Y182" s="6">
        <f t="shared" si="18"/>
        <v>3.7639144710498915E-3</v>
      </c>
      <c r="AA182">
        <v>402508</v>
      </c>
      <c r="AB182">
        <v>20868</v>
      </c>
      <c r="AD182" t="s">
        <v>1</v>
      </c>
      <c r="AE182">
        <v>44</v>
      </c>
      <c r="AF182">
        <v>10</v>
      </c>
      <c r="AH182" t="s">
        <v>1339</v>
      </c>
      <c r="AI182" t="s">
        <v>1338</v>
      </c>
      <c r="AK182" t="s">
        <v>1337</v>
      </c>
      <c r="AL182">
        <v>0</v>
      </c>
      <c r="AM182" s="5">
        <f t="shared" si="19"/>
        <v>0</v>
      </c>
      <c r="AN182" s="4">
        <f t="shared" si="20"/>
        <v>0</v>
      </c>
      <c r="AO182" s="3"/>
      <c r="AP182">
        <v>0</v>
      </c>
      <c r="AR182" t="s">
        <v>0</v>
      </c>
      <c r="AT182" s="2" t="s">
        <v>5</v>
      </c>
      <c r="AU182" s="1">
        <f t="shared" si="21"/>
        <v>0.26347401297349238</v>
      </c>
      <c r="AV182" s="1">
        <f t="shared" si="22"/>
        <v>0.18819572355249459</v>
      </c>
      <c r="AW182" s="1">
        <f t="shared" si="23"/>
        <v>0.11291743413149673</v>
      </c>
    </row>
    <row r="183" spans="1:49" x14ac:dyDescent="0.2">
      <c r="A183">
        <v>181</v>
      </c>
      <c r="B183" t="s">
        <v>1336</v>
      </c>
      <c r="F183" t="s">
        <v>1335</v>
      </c>
      <c r="G183" t="s">
        <v>4</v>
      </c>
      <c r="H183" t="s">
        <v>3</v>
      </c>
      <c r="I183" t="s">
        <v>1334</v>
      </c>
      <c r="N183">
        <v>4</v>
      </c>
      <c r="O183" t="s">
        <v>1333</v>
      </c>
      <c r="P183" t="s">
        <v>1332</v>
      </c>
      <c r="Q183" t="s">
        <v>250</v>
      </c>
      <c r="R183" s="7">
        <v>32782</v>
      </c>
      <c r="S183" s="8">
        <f t="shared" si="16"/>
        <v>1989</v>
      </c>
      <c r="T183" s="8">
        <v>1989</v>
      </c>
      <c r="U183" s="8">
        <f t="shared" si="17"/>
        <v>33</v>
      </c>
      <c r="V183" s="7">
        <v>32782</v>
      </c>
      <c r="W183" t="s">
        <v>50</v>
      </c>
      <c r="X183" s="2">
        <v>0.14099999999999999</v>
      </c>
      <c r="Y183" s="6">
        <f t="shared" si="18"/>
        <v>3.7639144710498915E-3</v>
      </c>
      <c r="AA183">
        <v>402508</v>
      </c>
      <c r="AB183">
        <v>20868</v>
      </c>
      <c r="AD183" t="s">
        <v>1</v>
      </c>
      <c r="AE183">
        <v>44</v>
      </c>
      <c r="AF183">
        <v>10</v>
      </c>
      <c r="AH183" t="s">
        <v>1331</v>
      </c>
      <c r="AI183" t="s">
        <v>1330</v>
      </c>
      <c r="AK183" t="s">
        <v>1329</v>
      </c>
      <c r="AL183">
        <v>0</v>
      </c>
      <c r="AM183" s="5">
        <f t="shared" si="19"/>
        <v>0</v>
      </c>
      <c r="AN183" s="4">
        <f t="shared" si="20"/>
        <v>0</v>
      </c>
      <c r="AO183" s="3"/>
      <c r="AP183">
        <v>0</v>
      </c>
      <c r="AR183" t="s">
        <v>0</v>
      </c>
      <c r="AT183" s="2" t="s">
        <v>5</v>
      </c>
      <c r="AU183" s="1">
        <f t="shared" si="21"/>
        <v>0.26347401297349238</v>
      </c>
      <c r="AV183" s="1">
        <f t="shared" si="22"/>
        <v>0.18819572355249459</v>
      </c>
      <c r="AW183" s="1">
        <f t="shared" si="23"/>
        <v>0.11291743413149673</v>
      </c>
    </row>
    <row r="184" spans="1:49" x14ac:dyDescent="0.2">
      <c r="A184">
        <v>182</v>
      </c>
      <c r="B184" t="s">
        <v>1328</v>
      </c>
      <c r="F184" t="s">
        <v>1327</v>
      </c>
      <c r="G184" t="s">
        <v>4</v>
      </c>
      <c r="H184" t="s">
        <v>3</v>
      </c>
      <c r="I184" t="s">
        <v>1326</v>
      </c>
      <c r="N184">
        <v>2</v>
      </c>
      <c r="O184" t="s">
        <v>1325</v>
      </c>
      <c r="P184" t="s">
        <v>1324</v>
      </c>
      <c r="Q184" t="s">
        <v>51</v>
      </c>
      <c r="R184" s="7">
        <v>32782</v>
      </c>
      <c r="S184" s="8">
        <f t="shared" si="16"/>
        <v>1989</v>
      </c>
      <c r="T184" s="8">
        <v>1989</v>
      </c>
      <c r="U184" s="8">
        <f t="shared" si="17"/>
        <v>33</v>
      </c>
      <c r="V184" s="7">
        <v>32782</v>
      </c>
      <c r="W184" t="s">
        <v>50</v>
      </c>
      <c r="X184" s="2">
        <v>0.14099999999999999</v>
      </c>
      <c r="Y184" s="6">
        <f t="shared" si="18"/>
        <v>3.7639144710498915E-3</v>
      </c>
      <c r="AA184">
        <v>402508</v>
      </c>
      <c r="AB184">
        <v>20868</v>
      </c>
      <c r="AD184" t="s">
        <v>1</v>
      </c>
      <c r="AE184">
        <v>44</v>
      </c>
      <c r="AF184">
        <v>10</v>
      </c>
      <c r="AH184" t="s">
        <v>245</v>
      </c>
      <c r="AI184" t="s">
        <v>1323</v>
      </c>
      <c r="AK184" t="s">
        <v>1322</v>
      </c>
      <c r="AL184">
        <v>0</v>
      </c>
      <c r="AM184" s="5">
        <f t="shared" si="19"/>
        <v>0</v>
      </c>
      <c r="AN184" s="4">
        <f t="shared" si="20"/>
        <v>0</v>
      </c>
      <c r="AO184" s="3"/>
      <c r="AP184">
        <v>0</v>
      </c>
      <c r="AR184" t="s">
        <v>0</v>
      </c>
      <c r="AT184" s="2" t="s">
        <v>5</v>
      </c>
      <c r="AU184" s="1">
        <f t="shared" si="21"/>
        <v>0.26347401297349238</v>
      </c>
      <c r="AV184" s="1">
        <f t="shared" si="22"/>
        <v>0.18819572355249459</v>
      </c>
      <c r="AW184" s="1">
        <f t="shared" si="23"/>
        <v>0.11291743413149673</v>
      </c>
    </row>
    <row r="185" spans="1:49" x14ac:dyDescent="0.2">
      <c r="A185">
        <v>183</v>
      </c>
      <c r="B185" t="s">
        <v>1321</v>
      </c>
      <c r="F185" t="s">
        <v>1320</v>
      </c>
      <c r="G185" t="s">
        <v>4</v>
      </c>
      <c r="H185" t="s">
        <v>3</v>
      </c>
      <c r="I185" t="s">
        <v>1319</v>
      </c>
      <c r="J185" t="s">
        <v>1318</v>
      </c>
      <c r="K185" t="s">
        <v>1317</v>
      </c>
      <c r="L185" t="s">
        <v>448</v>
      </c>
      <c r="M185" t="s">
        <v>30</v>
      </c>
      <c r="N185">
        <v>5</v>
      </c>
      <c r="O185" t="s">
        <v>1316</v>
      </c>
      <c r="P185" t="s">
        <v>1315</v>
      </c>
      <c r="Q185" t="s">
        <v>1314</v>
      </c>
      <c r="R185" s="7">
        <v>32782</v>
      </c>
      <c r="S185" s="8">
        <f t="shared" si="16"/>
        <v>1989</v>
      </c>
      <c r="T185" s="8">
        <v>1989</v>
      </c>
      <c r="U185" s="8">
        <f t="shared" si="17"/>
        <v>33</v>
      </c>
      <c r="V185" s="7">
        <v>32782</v>
      </c>
      <c r="W185" t="s">
        <v>194</v>
      </c>
      <c r="X185" s="2">
        <v>1.9750000000000001</v>
      </c>
      <c r="Y185" s="6">
        <f t="shared" si="18"/>
        <v>5.2721497023571186E-2</v>
      </c>
      <c r="AA185">
        <v>320781</v>
      </c>
      <c r="AB185">
        <v>19019</v>
      </c>
      <c r="AD185" t="s">
        <v>1</v>
      </c>
      <c r="AE185">
        <v>30</v>
      </c>
      <c r="AF185">
        <v>7</v>
      </c>
      <c r="AH185" t="s">
        <v>1313</v>
      </c>
      <c r="AI185" t="s">
        <v>1312</v>
      </c>
      <c r="AJ185" t="s">
        <v>1311</v>
      </c>
      <c r="AK185" t="s">
        <v>1310</v>
      </c>
      <c r="AL185">
        <v>27</v>
      </c>
      <c r="AM185" s="5">
        <f t="shared" si="19"/>
        <v>0.81818181818181823</v>
      </c>
      <c r="AN185" s="4">
        <f t="shared" si="20"/>
        <v>1.2392000275377785E-3</v>
      </c>
      <c r="AO185" s="3"/>
      <c r="AP185">
        <v>0</v>
      </c>
      <c r="AQ185" t="s">
        <v>27</v>
      </c>
      <c r="AR185" t="s">
        <v>0</v>
      </c>
      <c r="AS185" t="s">
        <v>26</v>
      </c>
      <c r="AT185" s="2">
        <v>4.9269999999999996</v>
      </c>
      <c r="AU185" s="1">
        <f t="shared" si="21"/>
        <v>3.7276807924761166</v>
      </c>
      <c r="AV185" s="1">
        <f t="shared" si="22"/>
        <v>2.6980348525554483</v>
      </c>
      <c r="AW185" s="1">
        <f t="shared" si="23"/>
        <v>1.66838891263478</v>
      </c>
    </row>
    <row r="186" spans="1:49" x14ac:dyDescent="0.2">
      <c r="A186">
        <v>184</v>
      </c>
      <c r="B186" t="s">
        <v>1309</v>
      </c>
      <c r="C186" t="s">
        <v>1308</v>
      </c>
      <c r="D186" t="s">
        <v>1307</v>
      </c>
      <c r="F186" t="s">
        <v>1306</v>
      </c>
      <c r="G186" t="s">
        <v>4</v>
      </c>
      <c r="H186" t="s">
        <v>3</v>
      </c>
      <c r="I186" t="s">
        <v>1305</v>
      </c>
      <c r="J186" t="s">
        <v>1304</v>
      </c>
      <c r="K186" t="s">
        <v>1303</v>
      </c>
      <c r="L186" t="s">
        <v>1302</v>
      </c>
      <c r="M186" t="s">
        <v>1301</v>
      </c>
      <c r="N186">
        <v>4</v>
      </c>
      <c r="O186" t="s">
        <v>1300</v>
      </c>
      <c r="P186" t="s">
        <v>1299</v>
      </c>
      <c r="Q186" t="s">
        <v>1298</v>
      </c>
      <c r="R186" s="7">
        <v>32779</v>
      </c>
      <c r="S186" s="8">
        <f t="shared" si="16"/>
        <v>1989</v>
      </c>
      <c r="T186" s="8">
        <v>1989</v>
      </c>
      <c r="U186" s="8">
        <f t="shared" si="17"/>
        <v>33</v>
      </c>
      <c r="V186" s="7">
        <v>32779</v>
      </c>
      <c r="W186" t="s">
        <v>8</v>
      </c>
      <c r="X186" s="2">
        <v>1.59</v>
      </c>
      <c r="Y186" s="6">
        <f t="shared" si="18"/>
        <v>4.2444141907583888E-2</v>
      </c>
      <c r="AA186">
        <v>52728</v>
      </c>
      <c r="AB186">
        <v>16791</v>
      </c>
      <c r="AD186" t="s">
        <v>1</v>
      </c>
      <c r="AE186">
        <v>976</v>
      </c>
      <c r="AF186" s="9">
        <v>44257</v>
      </c>
      <c r="AH186" t="s">
        <v>1297</v>
      </c>
      <c r="AI186" t="s">
        <v>1296</v>
      </c>
      <c r="AJ186" t="s">
        <v>1295</v>
      </c>
      <c r="AK186" t="s">
        <v>1294</v>
      </c>
      <c r="AL186">
        <v>7</v>
      </c>
      <c r="AM186" s="5">
        <f t="shared" si="19"/>
        <v>0.21212121212121213</v>
      </c>
      <c r="AN186" s="4">
        <f t="shared" si="20"/>
        <v>3.2127408121349809E-4</v>
      </c>
      <c r="AO186" s="3"/>
      <c r="AP186">
        <v>0</v>
      </c>
      <c r="AQ186" t="s">
        <v>1293</v>
      </c>
      <c r="AR186" t="s">
        <v>0</v>
      </c>
      <c r="AS186" t="s">
        <v>1292</v>
      </c>
      <c r="AT186" s="2" t="s">
        <v>5</v>
      </c>
      <c r="AU186" s="1">
        <f t="shared" si="21"/>
        <v>2.9807281559672774</v>
      </c>
      <c r="AV186" s="1">
        <f t="shared" si="22"/>
        <v>2.1382707994398693</v>
      </c>
      <c r="AW186" s="1">
        <f t="shared" si="23"/>
        <v>1.2958134429124615</v>
      </c>
    </row>
    <row r="187" spans="1:49" x14ac:dyDescent="0.2">
      <c r="A187">
        <v>185</v>
      </c>
      <c r="B187" t="s">
        <v>1291</v>
      </c>
      <c r="C187" t="s">
        <v>1290</v>
      </c>
      <c r="D187">
        <v>14579389811007</v>
      </c>
      <c r="F187" t="s">
        <v>1289</v>
      </c>
      <c r="G187" t="s">
        <v>4</v>
      </c>
      <c r="H187" t="s">
        <v>3</v>
      </c>
      <c r="I187" t="s">
        <v>1288</v>
      </c>
      <c r="J187">
        <v>60096201</v>
      </c>
      <c r="K187" t="s">
        <v>1287</v>
      </c>
      <c r="L187" t="s">
        <v>244</v>
      </c>
      <c r="M187" t="s">
        <v>153</v>
      </c>
      <c r="N187">
        <v>2</v>
      </c>
      <c r="O187" t="s">
        <v>1286</v>
      </c>
      <c r="P187" t="s">
        <v>1285</v>
      </c>
      <c r="Q187" t="s">
        <v>1284</v>
      </c>
      <c r="R187" s="7">
        <v>32776</v>
      </c>
      <c r="S187" s="8">
        <f t="shared" si="16"/>
        <v>1989</v>
      </c>
      <c r="T187" s="8">
        <v>1989</v>
      </c>
      <c r="U187" s="8">
        <f t="shared" si="17"/>
        <v>33</v>
      </c>
      <c r="V187" s="7">
        <v>32776</v>
      </c>
      <c r="W187" t="s">
        <v>247</v>
      </c>
      <c r="X187" s="2">
        <v>1.593</v>
      </c>
      <c r="Y187" s="6">
        <f t="shared" si="18"/>
        <v>4.2524225194201973E-2</v>
      </c>
      <c r="AA187">
        <v>145793</v>
      </c>
      <c r="AB187">
        <v>17481</v>
      </c>
      <c r="AD187" t="s">
        <v>1</v>
      </c>
      <c r="AE187">
        <v>255</v>
      </c>
      <c r="AF187">
        <v>2</v>
      </c>
      <c r="AH187" t="s">
        <v>1283</v>
      </c>
      <c r="AI187" t="s">
        <v>1282</v>
      </c>
      <c r="AJ187" t="s">
        <v>1281</v>
      </c>
      <c r="AK187" t="s">
        <v>1280</v>
      </c>
      <c r="AL187">
        <v>4</v>
      </c>
      <c r="AM187" s="5">
        <f t="shared" si="19"/>
        <v>0.12121212121212122</v>
      </c>
      <c r="AN187" s="4">
        <f t="shared" si="20"/>
        <v>1.8358518926485606E-4</v>
      </c>
      <c r="AO187" s="3"/>
      <c r="AP187">
        <v>0</v>
      </c>
      <c r="AR187" t="s">
        <v>0</v>
      </c>
      <c r="AT187" s="2">
        <v>4.1239999999999997</v>
      </c>
      <c r="AU187" s="1">
        <f t="shared" si="21"/>
        <v>2.9822033192720836</v>
      </c>
      <c r="AV187" s="1">
        <f t="shared" si="22"/>
        <v>2.1353905191733413</v>
      </c>
      <c r="AW187" s="1">
        <f t="shared" si="23"/>
        <v>1.2885777190745991</v>
      </c>
    </row>
    <row r="188" spans="1:49" x14ac:dyDescent="0.2">
      <c r="A188">
        <v>186</v>
      </c>
      <c r="B188" t="s">
        <v>1279</v>
      </c>
      <c r="C188" t="s">
        <v>1278</v>
      </c>
      <c r="D188" t="s">
        <v>1277</v>
      </c>
      <c r="F188" t="s">
        <v>1276</v>
      </c>
      <c r="G188" t="s">
        <v>4</v>
      </c>
      <c r="H188" t="s">
        <v>3</v>
      </c>
      <c r="I188" t="s">
        <v>1275</v>
      </c>
      <c r="J188" t="s">
        <v>1274</v>
      </c>
      <c r="K188" t="s">
        <v>1273</v>
      </c>
      <c r="L188" t="s">
        <v>214</v>
      </c>
      <c r="M188" t="s">
        <v>213</v>
      </c>
      <c r="N188">
        <v>3</v>
      </c>
      <c r="O188" t="s">
        <v>1272</v>
      </c>
      <c r="P188" t="s">
        <v>1271</v>
      </c>
      <c r="Q188" t="s">
        <v>1270</v>
      </c>
      <c r="R188" s="7">
        <v>32773</v>
      </c>
      <c r="S188" s="8">
        <f t="shared" si="16"/>
        <v>1989</v>
      </c>
      <c r="T188" s="8">
        <v>1989</v>
      </c>
      <c r="U188" s="8">
        <f t="shared" si="17"/>
        <v>33</v>
      </c>
      <c r="V188" s="7">
        <v>32773</v>
      </c>
      <c r="W188" t="s">
        <v>1269</v>
      </c>
      <c r="X188" s="2">
        <v>0.65700000000000003</v>
      </c>
      <c r="Y188" s="6">
        <f t="shared" si="18"/>
        <v>1.7538239769360135E-2</v>
      </c>
      <c r="AA188">
        <v>225193</v>
      </c>
      <c r="AB188">
        <v>29663</v>
      </c>
      <c r="AC188">
        <v>10958541</v>
      </c>
      <c r="AD188" t="s">
        <v>1</v>
      </c>
      <c r="AE188">
        <v>140</v>
      </c>
      <c r="AF188">
        <v>2</v>
      </c>
      <c r="AH188" t="s">
        <v>1268</v>
      </c>
      <c r="AI188" t="s">
        <v>1267</v>
      </c>
      <c r="AK188" t="s">
        <v>1266</v>
      </c>
      <c r="AL188">
        <v>28</v>
      </c>
      <c r="AM188" s="5">
        <f t="shared" si="19"/>
        <v>0.84848484848484851</v>
      </c>
      <c r="AN188" s="4">
        <f t="shared" si="20"/>
        <v>1.2850963248539923E-3</v>
      </c>
      <c r="AO188" s="3"/>
      <c r="AP188">
        <v>0</v>
      </c>
      <c r="AR188" t="s">
        <v>0</v>
      </c>
      <c r="AT188" s="2">
        <v>2.6909999999999998</v>
      </c>
      <c r="AU188" s="1">
        <f t="shared" si="21"/>
        <v>1.2662296736008292</v>
      </c>
      <c r="AV188" s="1">
        <f t="shared" si="22"/>
        <v>0.94116680471070646</v>
      </c>
      <c r="AW188" s="1">
        <f t="shared" si="23"/>
        <v>0.61610393582058354</v>
      </c>
    </row>
    <row r="189" spans="1:49" x14ac:dyDescent="0.2">
      <c r="A189">
        <v>187</v>
      </c>
      <c r="B189" t="s">
        <v>1265</v>
      </c>
      <c r="C189" t="s">
        <v>1264</v>
      </c>
      <c r="D189">
        <v>14579389810762</v>
      </c>
      <c r="F189" t="s">
        <v>1263</v>
      </c>
      <c r="G189" t="s">
        <v>4</v>
      </c>
      <c r="H189" t="s">
        <v>3</v>
      </c>
      <c r="I189" t="s">
        <v>1262</v>
      </c>
      <c r="J189" t="s">
        <v>1261</v>
      </c>
      <c r="K189" t="s">
        <v>1260</v>
      </c>
      <c r="L189" t="s">
        <v>1259</v>
      </c>
      <c r="M189" t="s">
        <v>30</v>
      </c>
      <c r="N189">
        <v>3</v>
      </c>
      <c r="O189" t="s">
        <v>1258</v>
      </c>
      <c r="P189" t="s">
        <v>1257</v>
      </c>
      <c r="Q189" t="s">
        <v>1256</v>
      </c>
      <c r="R189" s="7">
        <v>32762</v>
      </c>
      <c r="S189" s="8">
        <f t="shared" si="16"/>
        <v>1989</v>
      </c>
      <c r="T189" s="8">
        <v>1989</v>
      </c>
      <c r="U189" s="8">
        <f t="shared" si="17"/>
        <v>33</v>
      </c>
      <c r="V189" s="7">
        <v>32762</v>
      </c>
      <c r="W189" t="s">
        <v>247</v>
      </c>
      <c r="X189" s="2">
        <v>1.593</v>
      </c>
      <c r="Y189" s="6">
        <f t="shared" si="18"/>
        <v>4.2524225194201973E-2</v>
      </c>
      <c r="AA189">
        <v>145793</v>
      </c>
      <c r="AB189">
        <v>17481</v>
      </c>
      <c r="AD189" t="s">
        <v>1</v>
      </c>
      <c r="AE189">
        <v>255</v>
      </c>
      <c r="AF189">
        <v>1</v>
      </c>
      <c r="AH189" t="s">
        <v>1255</v>
      </c>
      <c r="AI189" t="s">
        <v>1254</v>
      </c>
      <c r="AJ189" t="s">
        <v>1253</v>
      </c>
      <c r="AK189" t="s">
        <v>1252</v>
      </c>
      <c r="AL189">
        <v>22</v>
      </c>
      <c r="AM189" s="5">
        <f t="shared" si="19"/>
        <v>0.66666666666666663</v>
      </c>
      <c r="AN189" s="4">
        <f t="shared" si="20"/>
        <v>1.0097185409567082E-3</v>
      </c>
      <c r="AO189" s="3"/>
      <c r="AP189">
        <v>1</v>
      </c>
      <c r="AQ189" t="s">
        <v>1251</v>
      </c>
      <c r="AR189" t="s">
        <v>1250</v>
      </c>
      <c r="AS189" t="s">
        <v>1249</v>
      </c>
      <c r="AT189" s="2">
        <v>4.1239999999999997</v>
      </c>
      <c r="AU189" s="1">
        <f t="shared" si="21"/>
        <v>3.0069873198228394</v>
      </c>
      <c r="AV189" s="1">
        <f t="shared" si="22"/>
        <v>2.1766971867579343</v>
      </c>
      <c r="AW189" s="1">
        <f t="shared" si="23"/>
        <v>1.3464070536930286</v>
      </c>
    </row>
    <row r="190" spans="1:49" x14ac:dyDescent="0.2">
      <c r="A190">
        <v>188</v>
      </c>
      <c r="B190" t="s">
        <v>1248</v>
      </c>
      <c r="C190" t="s">
        <v>1247</v>
      </c>
      <c r="D190">
        <v>375960189905471</v>
      </c>
      <c r="F190" t="s">
        <v>1246</v>
      </c>
      <c r="G190" t="s">
        <v>4</v>
      </c>
      <c r="H190" t="s">
        <v>3</v>
      </c>
      <c r="I190" t="s">
        <v>1245</v>
      </c>
      <c r="J190">
        <v>60027307</v>
      </c>
      <c r="K190" t="s">
        <v>1244</v>
      </c>
      <c r="L190" t="s">
        <v>1243</v>
      </c>
      <c r="M190" t="s">
        <v>1242</v>
      </c>
      <c r="N190">
        <v>1</v>
      </c>
      <c r="O190" t="s">
        <v>1241</v>
      </c>
      <c r="P190">
        <v>6603003830</v>
      </c>
      <c r="Q190">
        <v>60027307</v>
      </c>
      <c r="R190" s="7">
        <v>32755</v>
      </c>
      <c r="S190" s="8">
        <f t="shared" si="16"/>
        <v>1989</v>
      </c>
      <c r="T190" s="8">
        <v>1989</v>
      </c>
      <c r="U190" s="8">
        <f t="shared" si="17"/>
        <v>33</v>
      </c>
      <c r="V190" s="7">
        <v>32755</v>
      </c>
      <c r="W190" t="s">
        <v>261</v>
      </c>
      <c r="X190" s="2">
        <v>0.499</v>
      </c>
      <c r="Y190" s="6">
        <f t="shared" si="18"/>
        <v>1.332052000747444E-2</v>
      </c>
      <c r="AA190">
        <v>3759601</v>
      </c>
      <c r="AB190">
        <v>29464</v>
      </c>
      <c r="AD190" t="s">
        <v>1</v>
      </c>
      <c r="AE190">
        <v>140</v>
      </c>
      <c r="AF190" s="9">
        <v>44228</v>
      </c>
      <c r="AH190" t="s">
        <v>1240</v>
      </c>
      <c r="AI190" t="s">
        <v>1239</v>
      </c>
      <c r="AK190" t="s">
        <v>1238</v>
      </c>
      <c r="AL190">
        <v>2</v>
      </c>
      <c r="AM190" s="5">
        <f t="shared" si="19"/>
        <v>6.0606060606060608E-2</v>
      </c>
      <c r="AN190" s="4">
        <f t="shared" si="20"/>
        <v>9.1792594632428032E-5</v>
      </c>
      <c r="AO190" s="3"/>
      <c r="AP190">
        <v>0</v>
      </c>
      <c r="AR190" t="s">
        <v>0</v>
      </c>
      <c r="AT190" s="2">
        <v>2.6539999999999999</v>
      </c>
      <c r="AU190" s="1">
        <f t="shared" si="21"/>
        <v>0.93519017836218366</v>
      </c>
      <c r="AV190" s="1">
        <f t="shared" si="22"/>
        <v>0.67061563010534342</v>
      </c>
      <c r="AW190" s="1">
        <f t="shared" si="23"/>
        <v>0.40604108184850318</v>
      </c>
    </row>
    <row r="191" spans="1:49" x14ac:dyDescent="0.2">
      <c r="A191">
        <v>189</v>
      </c>
      <c r="B191" t="s">
        <v>1237</v>
      </c>
      <c r="C191" t="s">
        <v>1236</v>
      </c>
      <c r="F191" t="s">
        <v>1235</v>
      </c>
      <c r="G191" t="s">
        <v>4</v>
      </c>
      <c r="H191" t="s">
        <v>3</v>
      </c>
      <c r="I191" t="s">
        <v>256</v>
      </c>
      <c r="J191">
        <v>60005837</v>
      </c>
      <c r="K191" t="s">
        <v>79</v>
      </c>
      <c r="L191" t="s">
        <v>55</v>
      </c>
      <c r="M191" t="s">
        <v>6</v>
      </c>
      <c r="N191">
        <v>3</v>
      </c>
      <c r="O191" t="s">
        <v>255</v>
      </c>
      <c r="P191" t="s">
        <v>254</v>
      </c>
      <c r="Q191" t="s">
        <v>78</v>
      </c>
      <c r="R191" s="7">
        <v>32752</v>
      </c>
      <c r="S191" s="8">
        <f t="shared" si="16"/>
        <v>1989</v>
      </c>
      <c r="T191" s="8">
        <v>1989</v>
      </c>
      <c r="U191" s="8">
        <f t="shared" si="17"/>
        <v>33</v>
      </c>
      <c r="V191" s="7">
        <v>32752</v>
      </c>
      <c r="W191" t="s">
        <v>111</v>
      </c>
      <c r="X191" s="2">
        <v>0.375</v>
      </c>
      <c r="Y191" s="6">
        <f t="shared" si="18"/>
        <v>1.0010410827260351E-2</v>
      </c>
      <c r="AA191">
        <v>135194</v>
      </c>
      <c r="AB191">
        <v>24918</v>
      </c>
      <c r="AD191" t="s">
        <v>1</v>
      </c>
      <c r="AE191">
        <v>25</v>
      </c>
      <c r="AF191">
        <v>11</v>
      </c>
      <c r="AI191" t="s">
        <v>1234</v>
      </c>
      <c r="AJ191" t="s">
        <v>1233</v>
      </c>
      <c r="AK191" t="s">
        <v>1232</v>
      </c>
      <c r="AL191">
        <v>0</v>
      </c>
      <c r="AM191" s="5">
        <f t="shared" si="19"/>
        <v>0</v>
      </c>
      <c r="AN191" s="4">
        <f t="shared" si="20"/>
        <v>0</v>
      </c>
      <c r="AO191" s="3"/>
      <c r="AP191">
        <v>0</v>
      </c>
      <c r="AR191" t="s">
        <v>0</v>
      </c>
      <c r="AT191" s="2">
        <v>1.3140000000000001</v>
      </c>
      <c r="AU191" s="1">
        <f t="shared" si="21"/>
        <v>0.70072875790822453</v>
      </c>
      <c r="AV191" s="1">
        <f t="shared" si="22"/>
        <v>0.5005205413630176</v>
      </c>
      <c r="AW191" s="1">
        <f t="shared" si="23"/>
        <v>0.30031232481781051</v>
      </c>
    </row>
    <row r="192" spans="1:49" x14ac:dyDescent="0.2">
      <c r="A192">
        <v>190</v>
      </c>
      <c r="B192" t="s">
        <v>1231</v>
      </c>
      <c r="C192" t="s">
        <v>1230</v>
      </c>
      <c r="F192" t="s">
        <v>1229</v>
      </c>
      <c r="G192" t="s">
        <v>4</v>
      </c>
      <c r="H192" t="s">
        <v>3</v>
      </c>
      <c r="I192" t="s">
        <v>1228</v>
      </c>
      <c r="J192">
        <v>60001753</v>
      </c>
      <c r="K192" t="s">
        <v>1227</v>
      </c>
      <c r="L192" t="s">
        <v>1226</v>
      </c>
      <c r="M192" t="s">
        <v>9</v>
      </c>
      <c r="N192">
        <v>3</v>
      </c>
      <c r="O192" t="s">
        <v>1225</v>
      </c>
      <c r="P192" t="s">
        <v>1224</v>
      </c>
      <c r="Q192" t="s">
        <v>1223</v>
      </c>
      <c r="R192" s="7">
        <v>32752</v>
      </c>
      <c r="S192" s="8">
        <f t="shared" si="16"/>
        <v>1989</v>
      </c>
      <c r="T192" s="8">
        <v>1989</v>
      </c>
      <c r="U192" s="8">
        <f t="shared" si="17"/>
        <v>33</v>
      </c>
      <c r="V192" s="7">
        <v>32752</v>
      </c>
      <c r="W192" t="s">
        <v>196</v>
      </c>
      <c r="X192" s="2">
        <v>0.61499999999999999</v>
      </c>
      <c r="Y192" s="6">
        <f t="shared" si="18"/>
        <v>1.6417073756706976E-2</v>
      </c>
      <c r="AA192">
        <v>1959271</v>
      </c>
      <c r="AB192">
        <v>12141</v>
      </c>
      <c r="AC192">
        <v>15729559</v>
      </c>
      <c r="AD192" t="s">
        <v>1</v>
      </c>
      <c r="AE192">
        <v>10</v>
      </c>
      <c r="AF192">
        <v>9</v>
      </c>
      <c r="AH192" t="s">
        <v>1222</v>
      </c>
      <c r="AI192" t="s">
        <v>1221</v>
      </c>
      <c r="AJ192" t="s">
        <v>1220</v>
      </c>
      <c r="AK192" t="s">
        <v>1219</v>
      </c>
      <c r="AL192">
        <v>2</v>
      </c>
      <c r="AM192" s="5">
        <f t="shared" si="19"/>
        <v>6.0606060606060608E-2</v>
      </c>
      <c r="AN192" s="4">
        <f t="shared" si="20"/>
        <v>9.1792594632428032E-5</v>
      </c>
      <c r="AO192" s="3"/>
      <c r="AP192">
        <v>0</v>
      </c>
      <c r="AR192" t="s">
        <v>0</v>
      </c>
      <c r="AT192" s="2" t="s">
        <v>5</v>
      </c>
      <c r="AU192" s="1">
        <f t="shared" si="21"/>
        <v>1.1519489408084611</v>
      </c>
      <c r="AV192" s="1">
        <f t="shared" si="22"/>
        <v>0.82544331756697009</v>
      </c>
      <c r="AW192" s="1">
        <f t="shared" si="23"/>
        <v>0.49893769432547924</v>
      </c>
    </row>
    <row r="193" spans="1:49" x14ac:dyDescent="0.2">
      <c r="A193">
        <v>191</v>
      </c>
      <c r="B193" t="s">
        <v>1218</v>
      </c>
      <c r="C193" t="s">
        <v>1217</v>
      </c>
      <c r="F193" t="s">
        <v>1216</v>
      </c>
      <c r="G193" t="s">
        <v>4</v>
      </c>
      <c r="H193" t="s">
        <v>3</v>
      </c>
      <c r="I193" t="s">
        <v>1215</v>
      </c>
      <c r="J193">
        <v>60019118</v>
      </c>
      <c r="K193" t="s">
        <v>216</v>
      </c>
      <c r="L193" t="s">
        <v>215</v>
      </c>
      <c r="M193" t="s">
        <v>77</v>
      </c>
      <c r="N193">
        <v>2</v>
      </c>
      <c r="O193" t="s">
        <v>1214</v>
      </c>
      <c r="P193" t="s">
        <v>1213</v>
      </c>
      <c r="Q193" t="s">
        <v>233</v>
      </c>
      <c r="R193" s="7">
        <v>32752</v>
      </c>
      <c r="S193" s="8">
        <f t="shared" si="16"/>
        <v>1989</v>
      </c>
      <c r="T193" s="8">
        <v>1989</v>
      </c>
      <c r="U193" s="8">
        <f t="shared" si="17"/>
        <v>33</v>
      </c>
      <c r="V193" s="7">
        <v>32752</v>
      </c>
      <c r="W193" t="s">
        <v>196</v>
      </c>
      <c r="X193" s="2">
        <v>0.61499999999999999</v>
      </c>
      <c r="Y193" s="6">
        <f t="shared" si="18"/>
        <v>1.6417073756706976E-2</v>
      </c>
      <c r="AA193">
        <v>1959271</v>
      </c>
      <c r="AB193">
        <v>12141</v>
      </c>
      <c r="AC193">
        <v>15729559</v>
      </c>
      <c r="AD193" t="s">
        <v>1</v>
      </c>
      <c r="AE193">
        <v>10</v>
      </c>
      <c r="AF193">
        <v>9</v>
      </c>
      <c r="AH193" t="s">
        <v>1212</v>
      </c>
      <c r="AI193" t="s">
        <v>1211</v>
      </c>
      <c r="AK193" t="s">
        <v>1210</v>
      </c>
      <c r="AL193">
        <v>5</v>
      </c>
      <c r="AM193" s="5">
        <f t="shared" si="19"/>
        <v>0.15151515151515152</v>
      </c>
      <c r="AN193" s="4">
        <f t="shared" si="20"/>
        <v>2.2948148658107008E-4</v>
      </c>
      <c r="AO193" s="3"/>
      <c r="AP193">
        <v>0</v>
      </c>
      <c r="AR193" t="s">
        <v>0</v>
      </c>
      <c r="AT193" s="2" t="s">
        <v>5</v>
      </c>
      <c r="AU193" s="1">
        <f t="shared" si="21"/>
        <v>1.1560796075669202</v>
      </c>
      <c r="AV193" s="1">
        <f t="shared" si="22"/>
        <v>0.8323277621644023</v>
      </c>
      <c r="AW193" s="1">
        <f t="shared" si="23"/>
        <v>0.50857591676188407</v>
      </c>
    </row>
    <row r="194" spans="1:49" x14ac:dyDescent="0.2">
      <c r="A194">
        <v>192</v>
      </c>
      <c r="B194" t="s">
        <v>1209</v>
      </c>
      <c r="C194" t="s">
        <v>1208</v>
      </c>
      <c r="F194" t="s">
        <v>1207</v>
      </c>
      <c r="G194" t="s">
        <v>4</v>
      </c>
      <c r="H194" t="s">
        <v>3</v>
      </c>
      <c r="I194" t="s">
        <v>1206</v>
      </c>
      <c r="J194">
        <v>60013372</v>
      </c>
      <c r="K194" t="s">
        <v>93</v>
      </c>
      <c r="L194" t="s">
        <v>92</v>
      </c>
      <c r="M194" t="s">
        <v>6</v>
      </c>
      <c r="N194">
        <v>2</v>
      </c>
      <c r="O194" t="s">
        <v>1205</v>
      </c>
      <c r="P194" t="s">
        <v>1204</v>
      </c>
      <c r="Q194" t="s">
        <v>162</v>
      </c>
      <c r="R194" s="7">
        <v>32752</v>
      </c>
      <c r="S194" s="8">
        <f t="shared" ref="S194:S257" si="24">YEAR(R194)</f>
        <v>1989</v>
      </c>
      <c r="T194" s="8">
        <v>1989</v>
      </c>
      <c r="U194" s="8">
        <f t="shared" ref="U194:U257" si="25">2022-T194</f>
        <v>33</v>
      </c>
      <c r="V194" s="7">
        <v>32752</v>
      </c>
      <c r="W194" t="s">
        <v>111</v>
      </c>
      <c r="X194" s="2">
        <v>0.375</v>
      </c>
      <c r="Y194" s="6">
        <f t="shared" ref="Y194:Y257" si="26">(X194-$Z$4)/($Z$3-$Z$4)</f>
        <v>1.0010410827260351E-2</v>
      </c>
      <c r="AA194">
        <v>135194</v>
      </c>
      <c r="AB194">
        <v>24918</v>
      </c>
      <c r="AD194" t="s">
        <v>1</v>
      </c>
      <c r="AE194">
        <v>25</v>
      </c>
      <c r="AF194">
        <v>23</v>
      </c>
      <c r="AH194" t="s">
        <v>1203</v>
      </c>
      <c r="AI194" t="s">
        <v>1202</v>
      </c>
      <c r="AJ194" t="s">
        <v>1201</v>
      </c>
      <c r="AK194" t="s">
        <v>1200</v>
      </c>
      <c r="AL194">
        <v>14</v>
      </c>
      <c r="AM194" s="5">
        <f t="shared" ref="AM194:AM257" si="27">AL194/U194</f>
        <v>0.42424242424242425</v>
      </c>
      <c r="AN194" s="4">
        <f t="shared" ref="AN194:AN257" si="28">(AM194-$AO$4)/($AO$3-$AO$4)</f>
        <v>6.4254816242699617E-4</v>
      </c>
      <c r="AO194" s="3"/>
      <c r="AP194">
        <v>0</v>
      </c>
      <c r="AR194" t="s">
        <v>0</v>
      </c>
      <c r="AT194" s="2">
        <v>1.3140000000000001</v>
      </c>
      <c r="AU194" s="1">
        <f t="shared" ref="AU194:AU257" si="29">(Y194*0.7+AN194*0.3)*100</f>
        <v>0.72000520278103441</v>
      </c>
      <c r="AV194" s="1">
        <f t="shared" ref="AV194:AV257" si="30">(Y194*0.5+AN194*0.5)*100</f>
        <v>0.53264794948436744</v>
      </c>
      <c r="AW194" s="1">
        <f t="shared" ref="AW194:AW257" si="31">(Y194*0.3+AN194*0.7)*100</f>
        <v>0.34529069618770025</v>
      </c>
    </row>
    <row r="195" spans="1:49" x14ac:dyDescent="0.2">
      <c r="A195">
        <v>193</v>
      </c>
      <c r="B195" t="s">
        <v>1199</v>
      </c>
      <c r="C195" t="s">
        <v>1198</v>
      </c>
      <c r="F195" t="s">
        <v>1197</v>
      </c>
      <c r="G195" t="s">
        <v>4</v>
      </c>
      <c r="H195" t="s">
        <v>3</v>
      </c>
      <c r="I195" t="s">
        <v>1196</v>
      </c>
      <c r="J195">
        <v>60024322</v>
      </c>
      <c r="K195" t="s">
        <v>1195</v>
      </c>
      <c r="L195" t="s">
        <v>1194</v>
      </c>
      <c r="M195" t="s">
        <v>13</v>
      </c>
      <c r="N195">
        <v>1</v>
      </c>
      <c r="O195" t="s">
        <v>1193</v>
      </c>
      <c r="P195">
        <v>36237078500</v>
      </c>
      <c r="Q195">
        <v>60024322</v>
      </c>
      <c r="R195" s="7">
        <v>32752</v>
      </c>
      <c r="S195" s="8">
        <f t="shared" si="24"/>
        <v>1989</v>
      </c>
      <c r="T195" s="8">
        <v>1989</v>
      </c>
      <c r="U195" s="8">
        <f t="shared" si="25"/>
        <v>33</v>
      </c>
      <c r="V195" s="7">
        <v>32752</v>
      </c>
      <c r="W195" t="s">
        <v>111</v>
      </c>
      <c r="X195" s="2">
        <v>0.375</v>
      </c>
      <c r="Y195" s="6">
        <f t="shared" si="26"/>
        <v>1.0010410827260351E-2</v>
      </c>
      <c r="AA195">
        <v>135194</v>
      </c>
      <c r="AB195">
        <v>24918</v>
      </c>
      <c r="AD195" t="s">
        <v>1</v>
      </c>
      <c r="AE195">
        <v>25</v>
      </c>
      <c r="AF195">
        <v>23</v>
      </c>
      <c r="AH195" t="s">
        <v>1192</v>
      </c>
      <c r="AI195" t="s">
        <v>1191</v>
      </c>
      <c r="AJ195" t="s">
        <v>1190</v>
      </c>
      <c r="AK195" t="s">
        <v>1189</v>
      </c>
      <c r="AL195">
        <v>2</v>
      </c>
      <c r="AM195" s="5">
        <f t="shared" si="27"/>
        <v>6.0606060606060608E-2</v>
      </c>
      <c r="AN195" s="4">
        <f t="shared" si="28"/>
        <v>9.1792594632428032E-5</v>
      </c>
      <c r="AO195" s="3"/>
      <c r="AP195">
        <v>0</v>
      </c>
      <c r="AR195" t="s">
        <v>0</v>
      </c>
      <c r="AT195" s="2">
        <v>1.3140000000000001</v>
      </c>
      <c r="AU195" s="1">
        <f t="shared" si="29"/>
        <v>0.70348253574719743</v>
      </c>
      <c r="AV195" s="1">
        <f t="shared" si="30"/>
        <v>0.50511017109463896</v>
      </c>
      <c r="AW195" s="1">
        <f t="shared" si="31"/>
        <v>0.30673780644208049</v>
      </c>
    </row>
    <row r="196" spans="1:49" x14ac:dyDescent="0.2">
      <c r="A196">
        <v>194</v>
      </c>
      <c r="B196" t="s">
        <v>1188</v>
      </c>
      <c r="C196" t="s">
        <v>1187</v>
      </c>
      <c r="F196" t="s">
        <v>1186</v>
      </c>
      <c r="G196" t="s">
        <v>4</v>
      </c>
      <c r="H196" t="s">
        <v>3</v>
      </c>
      <c r="I196" t="s">
        <v>1185</v>
      </c>
      <c r="J196">
        <v>118839448</v>
      </c>
      <c r="K196" t="s">
        <v>1184</v>
      </c>
      <c r="L196" t="s">
        <v>1183</v>
      </c>
      <c r="M196" t="s">
        <v>37</v>
      </c>
      <c r="N196">
        <v>1</v>
      </c>
      <c r="O196" t="s">
        <v>1182</v>
      </c>
      <c r="P196">
        <v>7102654903</v>
      </c>
      <c r="Q196">
        <v>118839448</v>
      </c>
      <c r="R196" s="7">
        <v>32752</v>
      </c>
      <c r="S196" s="8">
        <f t="shared" si="24"/>
        <v>1989</v>
      </c>
      <c r="T196" s="8">
        <v>1989</v>
      </c>
      <c r="U196" s="8">
        <f t="shared" si="25"/>
        <v>33</v>
      </c>
      <c r="V196" s="7">
        <v>32752</v>
      </c>
      <c r="W196" t="s">
        <v>111</v>
      </c>
      <c r="X196" s="2">
        <v>0.375</v>
      </c>
      <c r="Y196" s="6">
        <f t="shared" si="26"/>
        <v>1.0010410827260351E-2</v>
      </c>
      <c r="AA196">
        <v>135194</v>
      </c>
      <c r="AB196">
        <v>24918</v>
      </c>
      <c r="AD196" t="s">
        <v>1</v>
      </c>
      <c r="AE196">
        <v>25</v>
      </c>
      <c r="AF196">
        <v>25</v>
      </c>
      <c r="AH196" t="s">
        <v>1181</v>
      </c>
      <c r="AI196" t="s">
        <v>1180</v>
      </c>
      <c r="AJ196" t="s">
        <v>1179</v>
      </c>
      <c r="AK196" t="s">
        <v>1178</v>
      </c>
      <c r="AL196">
        <v>1</v>
      </c>
      <c r="AM196" s="5">
        <f t="shared" si="27"/>
        <v>3.0303030303030304E-2</v>
      </c>
      <c r="AN196" s="4">
        <f t="shared" si="28"/>
        <v>4.5896297316214016E-5</v>
      </c>
      <c r="AO196" s="3"/>
      <c r="AP196">
        <v>0</v>
      </c>
      <c r="AR196" t="s">
        <v>0</v>
      </c>
      <c r="AT196" s="2">
        <v>1.3140000000000001</v>
      </c>
      <c r="AU196" s="1">
        <f t="shared" si="29"/>
        <v>0.70210564682771104</v>
      </c>
      <c r="AV196" s="1">
        <f t="shared" si="30"/>
        <v>0.50281535622882823</v>
      </c>
      <c r="AW196" s="1">
        <f t="shared" si="31"/>
        <v>0.30352506562994552</v>
      </c>
    </row>
    <row r="197" spans="1:49" x14ac:dyDescent="0.2">
      <c r="A197">
        <v>195</v>
      </c>
      <c r="B197" t="s">
        <v>1177</v>
      </c>
      <c r="C197" t="s">
        <v>1176</v>
      </c>
      <c r="F197" t="s">
        <v>1175</v>
      </c>
      <c r="G197" t="s">
        <v>4</v>
      </c>
      <c r="H197" t="s">
        <v>3</v>
      </c>
      <c r="I197" t="s">
        <v>1174</v>
      </c>
      <c r="J197">
        <v>60022148</v>
      </c>
      <c r="K197" t="s">
        <v>69</v>
      </c>
      <c r="L197" t="s">
        <v>68</v>
      </c>
      <c r="M197" t="s">
        <v>37</v>
      </c>
      <c r="N197">
        <v>2</v>
      </c>
      <c r="O197" t="s">
        <v>1173</v>
      </c>
      <c r="P197" t="s">
        <v>1172</v>
      </c>
      <c r="Q197" t="s">
        <v>109</v>
      </c>
      <c r="R197" s="7">
        <v>32752</v>
      </c>
      <c r="S197" s="8">
        <f t="shared" si="24"/>
        <v>1989</v>
      </c>
      <c r="T197" s="8">
        <v>1989</v>
      </c>
      <c r="U197" s="8">
        <f t="shared" si="25"/>
        <v>33</v>
      </c>
      <c r="V197" s="7">
        <v>32752</v>
      </c>
      <c r="W197" t="s">
        <v>111</v>
      </c>
      <c r="X197" s="2">
        <v>0.375</v>
      </c>
      <c r="Y197" s="6">
        <f t="shared" si="26"/>
        <v>1.0010410827260351E-2</v>
      </c>
      <c r="AA197">
        <v>135194</v>
      </c>
      <c r="AB197">
        <v>24918</v>
      </c>
      <c r="AD197" t="s">
        <v>1</v>
      </c>
      <c r="AE197">
        <v>25</v>
      </c>
      <c r="AF197">
        <v>5</v>
      </c>
      <c r="AH197" t="s">
        <v>1171</v>
      </c>
      <c r="AI197" t="s">
        <v>1170</v>
      </c>
      <c r="AJ197" t="s">
        <v>1169</v>
      </c>
      <c r="AK197" t="s">
        <v>1168</v>
      </c>
      <c r="AL197">
        <v>26</v>
      </c>
      <c r="AM197" s="5">
        <f t="shared" si="27"/>
        <v>0.78787878787878785</v>
      </c>
      <c r="AN197" s="4">
        <f t="shared" si="28"/>
        <v>1.1933037302215644E-3</v>
      </c>
      <c r="AO197" s="3"/>
      <c r="AP197">
        <v>0</v>
      </c>
      <c r="AR197" t="s">
        <v>0</v>
      </c>
      <c r="AT197" s="2">
        <v>1.3140000000000001</v>
      </c>
      <c r="AU197" s="1">
        <f t="shared" si="29"/>
        <v>0.73652786981487151</v>
      </c>
      <c r="AV197" s="1">
        <f t="shared" si="30"/>
        <v>0.56018572787409571</v>
      </c>
      <c r="AW197" s="1">
        <f t="shared" si="31"/>
        <v>0.38384358593332002</v>
      </c>
    </row>
    <row r="198" spans="1:49" x14ac:dyDescent="0.2">
      <c r="A198">
        <v>196</v>
      </c>
      <c r="B198" t="s">
        <v>1167</v>
      </c>
      <c r="C198" t="s">
        <v>1166</v>
      </c>
      <c r="F198" t="s">
        <v>1165</v>
      </c>
      <c r="G198" t="s">
        <v>4</v>
      </c>
      <c r="H198" t="s">
        <v>3</v>
      </c>
      <c r="I198" t="s">
        <v>1164</v>
      </c>
      <c r="J198">
        <v>60010818</v>
      </c>
      <c r="K198" t="s">
        <v>140</v>
      </c>
      <c r="L198" t="s">
        <v>139</v>
      </c>
      <c r="M198" t="s">
        <v>37</v>
      </c>
      <c r="N198">
        <v>2</v>
      </c>
      <c r="O198" t="s">
        <v>1163</v>
      </c>
      <c r="P198" t="s">
        <v>1162</v>
      </c>
      <c r="Q198" t="s">
        <v>138</v>
      </c>
      <c r="R198" s="7">
        <v>32752</v>
      </c>
      <c r="S198" s="8">
        <f t="shared" si="24"/>
        <v>1989</v>
      </c>
      <c r="T198" s="8">
        <v>1989</v>
      </c>
      <c r="U198" s="8">
        <f t="shared" si="25"/>
        <v>33</v>
      </c>
      <c r="V198" s="7">
        <v>32752</v>
      </c>
      <c r="W198" t="s">
        <v>111</v>
      </c>
      <c r="X198" s="2">
        <v>0.375</v>
      </c>
      <c r="Y198" s="6">
        <f t="shared" si="26"/>
        <v>1.0010410827260351E-2</v>
      </c>
      <c r="AA198">
        <v>135194</v>
      </c>
      <c r="AB198">
        <v>24918</v>
      </c>
      <c r="AD198" t="s">
        <v>1</v>
      </c>
      <c r="AE198">
        <v>25</v>
      </c>
      <c r="AF198">
        <v>3</v>
      </c>
      <c r="AH198" t="s">
        <v>1161</v>
      </c>
      <c r="AI198" t="s">
        <v>1160</v>
      </c>
      <c r="AJ198" t="s">
        <v>1159</v>
      </c>
      <c r="AK198" t="s">
        <v>1158</v>
      </c>
      <c r="AL198">
        <v>2</v>
      </c>
      <c r="AM198" s="5">
        <f t="shared" si="27"/>
        <v>6.0606060606060608E-2</v>
      </c>
      <c r="AN198" s="4">
        <f t="shared" si="28"/>
        <v>9.1792594632428032E-5</v>
      </c>
      <c r="AO198" s="3"/>
      <c r="AP198">
        <v>0</v>
      </c>
      <c r="AR198" t="s">
        <v>0</v>
      </c>
      <c r="AT198" s="2">
        <v>1.3140000000000001</v>
      </c>
      <c r="AU198" s="1">
        <f t="shared" si="29"/>
        <v>0.70348253574719743</v>
      </c>
      <c r="AV198" s="1">
        <f t="shared" si="30"/>
        <v>0.50511017109463896</v>
      </c>
      <c r="AW198" s="1">
        <f t="shared" si="31"/>
        <v>0.30673780644208049</v>
      </c>
    </row>
    <row r="199" spans="1:49" x14ac:dyDescent="0.2">
      <c r="A199">
        <v>197</v>
      </c>
      <c r="B199" t="s">
        <v>1157</v>
      </c>
      <c r="C199" t="s">
        <v>1156</v>
      </c>
      <c r="F199" t="s">
        <v>1155</v>
      </c>
      <c r="G199" t="s">
        <v>4</v>
      </c>
      <c r="H199" t="s">
        <v>3</v>
      </c>
      <c r="I199" t="s">
        <v>1154</v>
      </c>
      <c r="J199">
        <v>60022195</v>
      </c>
      <c r="K199" t="s">
        <v>22</v>
      </c>
      <c r="L199" t="s">
        <v>21</v>
      </c>
      <c r="M199" t="s">
        <v>6</v>
      </c>
      <c r="N199">
        <v>1</v>
      </c>
      <c r="O199" t="s">
        <v>1153</v>
      </c>
      <c r="P199">
        <v>6701641419</v>
      </c>
      <c r="Q199">
        <v>60022195</v>
      </c>
      <c r="R199" s="7">
        <v>32752</v>
      </c>
      <c r="S199" s="8">
        <f t="shared" si="24"/>
        <v>1989</v>
      </c>
      <c r="T199" s="8">
        <v>1989</v>
      </c>
      <c r="U199" s="8">
        <f t="shared" si="25"/>
        <v>33</v>
      </c>
      <c r="V199" s="7">
        <v>32752</v>
      </c>
      <c r="W199" t="s">
        <v>111</v>
      </c>
      <c r="X199" s="2">
        <v>0.375</v>
      </c>
      <c r="Y199" s="6">
        <f t="shared" si="26"/>
        <v>1.0010410827260351E-2</v>
      </c>
      <c r="AA199">
        <v>135194</v>
      </c>
      <c r="AB199">
        <v>24918</v>
      </c>
      <c r="AD199" t="s">
        <v>1</v>
      </c>
      <c r="AE199">
        <v>25</v>
      </c>
      <c r="AF199">
        <v>24</v>
      </c>
      <c r="AH199" t="s">
        <v>1152</v>
      </c>
      <c r="AI199" t="s">
        <v>1151</v>
      </c>
      <c r="AJ199" t="s">
        <v>1150</v>
      </c>
      <c r="AK199" t="s">
        <v>1149</v>
      </c>
      <c r="AL199">
        <v>0</v>
      </c>
      <c r="AM199" s="5">
        <f t="shared" si="27"/>
        <v>0</v>
      </c>
      <c r="AN199" s="4">
        <f t="shared" si="28"/>
        <v>0</v>
      </c>
      <c r="AO199" s="3"/>
      <c r="AP199">
        <v>0</v>
      </c>
      <c r="AR199" t="s">
        <v>0</v>
      </c>
      <c r="AT199" s="2">
        <v>1.3140000000000001</v>
      </c>
      <c r="AU199" s="1">
        <f t="shared" si="29"/>
        <v>0.70072875790822453</v>
      </c>
      <c r="AV199" s="1">
        <f t="shared" si="30"/>
        <v>0.5005205413630176</v>
      </c>
      <c r="AW199" s="1">
        <f t="shared" si="31"/>
        <v>0.30031232481781051</v>
      </c>
    </row>
    <row r="200" spans="1:49" x14ac:dyDescent="0.2">
      <c r="A200">
        <v>198</v>
      </c>
      <c r="B200" t="s">
        <v>1148</v>
      </c>
      <c r="C200" t="s">
        <v>1147</v>
      </c>
      <c r="F200" t="s">
        <v>1146</v>
      </c>
      <c r="G200" t="s">
        <v>4</v>
      </c>
      <c r="H200" t="s">
        <v>3</v>
      </c>
      <c r="I200" t="s">
        <v>1145</v>
      </c>
      <c r="J200">
        <v>60021097</v>
      </c>
      <c r="K200" t="s">
        <v>172</v>
      </c>
      <c r="L200" t="s">
        <v>171</v>
      </c>
      <c r="M200" t="s">
        <v>37</v>
      </c>
      <c r="N200">
        <v>2</v>
      </c>
      <c r="O200" t="s">
        <v>1144</v>
      </c>
      <c r="P200" t="s">
        <v>1143</v>
      </c>
      <c r="Q200" t="s">
        <v>1142</v>
      </c>
      <c r="R200" s="7">
        <v>32752</v>
      </c>
      <c r="S200" s="8">
        <f t="shared" si="24"/>
        <v>1989</v>
      </c>
      <c r="T200" s="8">
        <v>1989</v>
      </c>
      <c r="U200" s="8">
        <f t="shared" si="25"/>
        <v>33</v>
      </c>
      <c r="V200" s="7">
        <v>32752</v>
      </c>
      <c r="W200" t="s">
        <v>111</v>
      </c>
      <c r="X200" s="2">
        <v>0.375</v>
      </c>
      <c r="Y200" s="6">
        <f t="shared" si="26"/>
        <v>1.0010410827260351E-2</v>
      </c>
      <c r="AA200">
        <v>135194</v>
      </c>
      <c r="AB200">
        <v>24918</v>
      </c>
      <c r="AD200" t="s">
        <v>1</v>
      </c>
      <c r="AE200">
        <v>25</v>
      </c>
      <c r="AF200">
        <v>24</v>
      </c>
      <c r="AH200" t="s">
        <v>1141</v>
      </c>
      <c r="AI200" t="s">
        <v>1140</v>
      </c>
      <c r="AJ200" t="s">
        <v>1139</v>
      </c>
      <c r="AK200" t="s">
        <v>1138</v>
      </c>
      <c r="AL200">
        <v>1</v>
      </c>
      <c r="AM200" s="5">
        <f t="shared" si="27"/>
        <v>3.0303030303030304E-2</v>
      </c>
      <c r="AN200" s="4">
        <f t="shared" si="28"/>
        <v>4.5896297316214016E-5</v>
      </c>
      <c r="AO200" s="3"/>
      <c r="AP200">
        <v>0</v>
      </c>
      <c r="AR200" t="s">
        <v>0</v>
      </c>
      <c r="AT200" s="2">
        <v>1.3140000000000001</v>
      </c>
      <c r="AU200" s="1">
        <f t="shared" si="29"/>
        <v>0.70210564682771104</v>
      </c>
      <c r="AV200" s="1">
        <f t="shared" si="30"/>
        <v>0.50281535622882823</v>
      </c>
      <c r="AW200" s="1">
        <f t="shared" si="31"/>
        <v>0.30352506562994552</v>
      </c>
    </row>
    <row r="201" spans="1:49" x14ac:dyDescent="0.2">
      <c r="A201">
        <v>199</v>
      </c>
      <c r="B201" t="s">
        <v>1137</v>
      </c>
      <c r="C201" t="s">
        <v>1136</v>
      </c>
      <c r="F201" t="s">
        <v>1135</v>
      </c>
      <c r="G201" t="s">
        <v>4</v>
      </c>
      <c r="H201" t="s">
        <v>3</v>
      </c>
      <c r="I201" t="s">
        <v>1134</v>
      </c>
      <c r="J201">
        <v>60009455</v>
      </c>
      <c r="K201" t="s">
        <v>137</v>
      </c>
      <c r="L201" t="s">
        <v>136</v>
      </c>
      <c r="M201" t="s">
        <v>135</v>
      </c>
      <c r="N201">
        <v>2</v>
      </c>
      <c r="O201" t="s">
        <v>1133</v>
      </c>
      <c r="P201" t="s">
        <v>1132</v>
      </c>
      <c r="Q201" t="s">
        <v>1131</v>
      </c>
      <c r="R201" s="7">
        <v>32752</v>
      </c>
      <c r="S201" s="8">
        <f t="shared" si="24"/>
        <v>1989</v>
      </c>
      <c r="T201" s="8">
        <v>1989</v>
      </c>
      <c r="U201" s="8">
        <f t="shared" si="25"/>
        <v>33</v>
      </c>
      <c r="V201" s="7">
        <v>32752</v>
      </c>
      <c r="W201" t="s">
        <v>111</v>
      </c>
      <c r="X201" s="2">
        <v>0.375</v>
      </c>
      <c r="Y201" s="6">
        <f t="shared" si="26"/>
        <v>1.0010410827260351E-2</v>
      </c>
      <c r="AA201">
        <v>135194</v>
      </c>
      <c r="AB201">
        <v>24918</v>
      </c>
      <c r="AD201" t="s">
        <v>1</v>
      </c>
      <c r="AE201">
        <v>25</v>
      </c>
      <c r="AF201">
        <v>22</v>
      </c>
      <c r="AH201" t="s">
        <v>1130</v>
      </c>
      <c r="AI201" t="s">
        <v>1129</v>
      </c>
      <c r="AJ201" t="s">
        <v>1128</v>
      </c>
      <c r="AK201" t="s">
        <v>1127</v>
      </c>
      <c r="AL201">
        <v>1</v>
      </c>
      <c r="AM201" s="5">
        <f t="shared" si="27"/>
        <v>3.0303030303030304E-2</v>
      </c>
      <c r="AN201" s="4">
        <f t="shared" si="28"/>
        <v>4.5896297316214016E-5</v>
      </c>
      <c r="AO201" s="3"/>
      <c r="AP201">
        <v>0</v>
      </c>
      <c r="AR201" t="s">
        <v>0</v>
      </c>
      <c r="AT201" s="2">
        <v>1.3140000000000001</v>
      </c>
      <c r="AU201" s="1">
        <f t="shared" si="29"/>
        <v>0.70210564682771104</v>
      </c>
      <c r="AV201" s="1">
        <f t="shared" si="30"/>
        <v>0.50281535622882823</v>
      </c>
      <c r="AW201" s="1">
        <f t="shared" si="31"/>
        <v>0.30352506562994552</v>
      </c>
    </row>
    <row r="202" spans="1:49" x14ac:dyDescent="0.2">
      <c r="A202">
        <v>200</v>
      </c>
      <c r="B202" t="s">
        <v>1126</v>
      </c>
      <c r="F202" t="s">
        <v>1125</v>
      </c>
      <c r="G202" t="s">
        <v>4</v>
      </c>
      <c r="H202" t="s">
        <v>3</v>
      </c>
      <c r="I202" t="s">
        <v>1124</v>
      </c>
      <c r="J202">
        <v>60030000</v>
      </c>
      <c r="K202" t="s">
        <v>1123</v>
      </c>
      <c r="L202" t="s">
        <v>118</v>
      </c>
      <c r="M202" t="s">
        <v>41</v>
      </c>
      <c r="N202">
        <v>1</v>
      </c>
      <c r="O202" t="s">
        <v>1122</v>
      </c>
      <c r="P202">
        <v>6701860648</v>
      </c>
      <c r="Q202">
        <v>60030000</v>
      </c>
      <c r="R202" s="7">
        <v>32752</v>
      </c>
      <c r="S202" s="8">
        <f t="shared" si="24"/>
        <v>1989</v>
      </c>
      <c r="T202" s="8">
        <v>1989</v>
      </c>
      <c r="U202" s="8">
        <f t="shared" si="25"/>
        <v>33</v>
      </c>
      <c r="V202" s="7">
        <v>32752</v>
      </c>
      <c r="W202" t="s">
        <v>1121</v>
      </c>
      <c r="X202" s="2">
        <v>0.14099999999999999</v>
      </c>
      <c r="Y202" s="6">
        <f t="shared" si="26"/>
        <v>3.7639144710498915E-3</v>
      </c>
      <c r="AA202">
        <v>7252986</v>
      </c>
      <c r="AB202">
        <v>18037</v>
      </c>
      <c r="AD202" t="s">
        <v>1</v>
      </c>
      <c r="AE202">
        <v>9</v>
      </c>
      <c r="AF202">
        <v>3</v>
      </c>
      <c r="AH202" t="s">
        <v>1120</v>
      </c>
      <c r="AI202" t="s">
        <v>1119</v>
      </c>
      <c r="AK202" t="s">
        <v>1118</v>
      </c>
      <c r="AL202">
        <v>0</v>
      </c>
      <c r="AM202" s="5">
        <f t="shared" si="27"/>
        <v>0</v>
      </c>
      <c r="AN202" s="4">
        <f t="shared" si="28"/>
        <v>0</v>
      </c>
      <c r="AO202" s="3"/>
      <c r="AP202">
        <v>0</v>
      </c>
      <c r="AR202" t="s">
        <v>0</v>
      </c>
      <c r="AT202" s="2" t="s">
        <v>5</v>
      </c>
      <c r="AU202" s="1">
        <f t="shared" si="29"/>
        <v>0.26347401297349238</v>
      </c>
      <c r="AV202" s="1">
        <f t="shared" si="30"/>
        <v>0.18819572355249459</v>
      </c>
      <c r="AW202" s="1">
        <f t="shared" si="31"/>
        <v>0.11291743413149673</v>
      </c>
    </row>
    <row r="203" spans="1:49" x14ac:dyDescent="0.2">
      <c r="A203">
        <v>201</v>
      </c>
      <c r="B203" t="s">
        <v>1117</v>
      </c>
      <c r="F203" t="s">
        <v>1116</v>
      </c>
      <c r="G203" t="s">
        <v>4</v>
      </c>
      <c r="H203" t="s">
        <v>3</v>
      </c>
      <c r="I203" t="s">
        <v>1115</v>
      </c>
      <c r="J203">
        <v>100669089</v>
      </c>
      <c r="K203" t="s">
        <v>1114</v>
      </c>
      <c r="L203" t="s">
        <v>1113</v>
      </c>
      <c r="M203" t="s">
        <v>6</v>
      </c>
      <c r="N203">
        <v>1</v>
      </c>
      <c r="O203" t="s">
        <v>1112</v>
      </c>
      <c r="P203">
        <v>7005564352</v>
      </c>
      <c r="Q203">
        <v>100669089</v>
      </c>
      <c r="R203" s="7">
        <v>32752</v>
      </c>
      <c r="S203" s="8">
        <f t="shared" si="24"/>
        <v>1989</v>
      </c>
      <c r="T203" s="8">
        <v>1989</v>
      </c>
      <c r="U203" s="8">
        <f t="shared" si="25"/>
        <v>33</v>
      </c>
      <c r="V203" s="7">
        <v>32752</v>
      </c>
      <c r="W203" t="s">
        <v>240</v>
      </c>
      <c r="X203" s="2">
        <v>0.125</v>
      </c>
      <c r="Y203" s="6">
        <f t="shared" si="26"/>
        <v>3.3368036090867838E-3</v>
      </c>
      <c r="AA203">
        <v>26557</v>
      </c>
      <c r="AB203">
        <v>40401</v>
      </c>
      <c r="AD203" t="s">
        <v>1</v>
      </c>
      <c r="AE203">
        <v>58</v>
      </c>
      <c r="AF203" s="9">
        <v>44352</v>
      </c>
      <c r="AH203" t="s">
        <v>1111</v>
      </c>
      <c r="AI203" t="s">
        <v>1110</v>
      </c>
      <c r="AK203" t="s">
        <v>1109</v>
      </c>
      <c r="AL203">
        <v>6</v>
      </c>
      <c r="AM203" s="5">
        <f t="shared" si="27"/>
        <v>0.18181818181818182</v>
      </c>
      <c r="AN203" s="4">
        <f t="shared" si="28"/>
        <v>2.753777838972841E-4</v>
      </c>
      <c r="AO203" s="3"/>
      <c r="AP203">
        <v>0</v>
      </c>
      <c r="AR203" t="s">
        <v>0</v>
      </c>
      <c r="AT203" s="2" t="s">
        <v>5</v>
      </c>
      <c r="AU203" s="1">
        <f t="shared" si="29"/>
        <v>0.24183758615299336</v>
      </c>
      <c r="AV203" s="1">
        <f t="shared" si="30"/>
        <v>0.1806090696492034</v>
      </c>
      <c r="AW203" s="1">
        <f t="shared" si="31"/>
        <v>0.1193805531454134</v>
      </c>
    </row>
    <row r="204" spans="1:49" x14ac:dyDescent="0.2">
      <c r="A204">
        <v>202</v>
      </c>
      <c r="B204" t="s">
        <v>1108</v>
      </c>
      <c r="C204" t="s">
        <v>1107</v>
      </c>
      <c r="F204" t="s">
        <v>1106</v>
      </c>
      <c r="G204" t="s">
        <v>4</v>
      </c>
      <c r="H204" t="s">
        <v>3</v>
      </c>
      <c r="I204" t="s">
        <v>1105</v>
      </c>
      <c r="J204" t="s">
        <v>1099</v>
      </c>
      <c r="K204" t="s">
        <v>1104</v>
      </c>
      <c r="L204" t="s">
        <v>1103</v>
      </c>
      <c r="M204" t="s">
        <v>1102</v>
      </c>
      <c r="N204">
        <v>2</v>
      </c>
      <c r="O204" t="s">
        <v>1101</v>
      </c>
      <c r="P204" t="s">
        <v>1100</v>
      </c>
      <c r="Q204" t="s">
        <v>1099</v>
      </c>
      <c r="R204" s="7">
        <v>32752</v>
      </c>
      <c r="S204" s="8">
        <f t="shared" si="24"/>
        <v>1989</v>
      </c>
      <c r="T204" s="8">
        <v>1989</v>
      </c>
      <c r="U204" s="8">
        <f t="shared" si="25"/>
        <v>33</v>
      </c>
      <c r="V204" s="7">
        <v>32752</v>
      </c>
      <c r="W204" t="s">
        <v>1048</v>
      </c>
      <c r="X204" s="2">
        <v>0.33800000000000002</v>
      </c>
      <c r="Y204" s="6">
        <f t="shared" si="26"/>
        <v>9.0227169589706634E-3</v>
      </c>
      <c r="AA204">
        <v>34347</v>
      </c>
      <c r="AB204">
        <v>17722</v>
      </c>
      <c r="AC204">
        <v>19589395</v>
      </c>
      <c r="AD204" t="s">
        <v>1</v>
      </c>
      <c r="AE204">
        <v>44</v>
      </c>
      <c r="AF204" s="9">
        <v>44478</v>
      </c>
      <c r="AH204" t="s">
        <v>1098</v>
      </c>
      <c r="AI204" t="s">
        <v>1097</v>
      </c>
      <c r="AJ204" t="s">
        <v>1096</v>
      </c>
      <c r="AK204" t="s">
        <v>1095</v>
      </c>
      <c r="AL204">
        <v>0</v>
      </c>
      <c r="AM204" s="5">
        <f t="shared" si="27"/>
        <v>0</v>
      </c>
      <c r="AN204" s="4">
        <f t="shared" si="28"/>
        <v>0</v>
      </c>
      <c r="AO204" s="3"/>
      <c r="AP204">
        <v>0</v>
      </c>
      <c r="AR204" t="s">
        <v>0</v>
      </c>
      <c r="AT204" s="2" t="s">
        <v>5</v>
      </c>
      <c r="AU204" s="1">
        <f t="shared" si="29"/>
        <v>0.63159018712794635</v>
      </c>
      <c r="AV204" s="1">
        <f t="shared" si="30"/>
        <v>0.45113584794853318</v>
      </c>
      <c r="AW204" s="1">
        <f t="shared" si="31"/>
        <v>0.27068150876911989</v>
      </c>
    </row>
    <row r="205" spans="1:49" x14ac:dyDescent="0.2">
      <c r="A205">
        <v>203</v>
      </c>
      <c r="B205" t="s">
        <v>1094</v>
      </c>
      <c r="F205" t="s">
        <v>1093</v>
      </c>
      <c r="G205" t="s">
        <v>4</v>
      </c>
      <c r="H205" t="s">
        <v>3</v>
      </c>
      <c r="I205" t="s">
        <v>1092</v>
      </c>
      <c r="N205">
        <v>1</v>
      </c>
      <c r="O205" t="s">
        <v>1091</v>
      </c>
      <c r="P205">
        <v>6603251804</v>
      </c>
      <c r="R205" s="7">
        <v>32752</v>
      </c>
      <c r="S205" s="8">
        <f t="shared" si="24"/>
        <v>1989</v>
      </c>
      <c r="T205" s="8">
        <v>1989</v>
      </c>
      <c r="U205" s="8">
        <f t="shared" si="25"/>
        <v>33</v>
      </c>
      <c r="V205" s="7">
        <v>32752</v>
      </c>
      <c r="W205" t="s">
        <v>52</v>
      </c>
      <c r="X205" s="2" t="s">
        <v>5</v>
      </c>
      <c r="Y205" s="6" t="e">
        <f t="shared" si="26"/>
        <v>#VALUE!</v>
      </c>
      <c r="AA205">
        <v>87566648</v>
      </c>
      <c r="AB205">
        <v>74127</v>
      </c>
      <c r="AD205" t="s">
        <v>1</v>
      </c>
      <c r="AE205">
        <v>34</v>
      </c>
      <c r="AF205">
        <v>9</v>
      </c>
      <c r="AH205" t="s">
        <v>1090</v>
      </c>
      <c r="AI205" t="s">
        <v>1089</v>
      </c>
      <c r="AK205" t="s">
        <v>1088</v>
      </c>
      <c r="AL205">
        <v>0</v>
      </c>
      <c r="AM205" s="5">
        <f t="shared" si="27"/>
        <v>0</v>
      </c>
      <c r="AN205" s="4">
        <f t="shared" si="28"/>
        <v>0</v>
      </c>
      <c r="AO205" s="3"/>
      <c r="AP205">
        <v>0</v>
      </c>
      <c r="AR205" t="s">
        <v>0</v>
      </c>
      <c r="AT205" s="2" t="s">
        <v>5</v>
      </c>
      <c r="AU205" s="1" t="e">
        <f t="shared" si="29"/>
        <v>#VALUE!</v>
      </c>
      <c r="AV205" s="1" t="e">
        <f t="shared" si="30"/>
        <v>#VALUE!</v>
      </c>
      <c r="AW205" s="1" t="e">
        <f t="shared" si="31"/>
        <v>#VALUE!</v>
      </c>
    </row>
    <row r="206" spans="1:49" x14ac:dyDescent="0.2">
      <c r="A206">
        <v>204</v>
      </c>
      <c r="B206" t="s">
        <v>1087</v>
      </c>
      <c r="C206" t="s">
        <v>1086</v>
      </c>
      <c r="F206" t="s">
        <v>1085</v>
      </c>
      <c r="G206" t="s">
        <v>4</v>
      </c>
      <c r="H206" t="s">
        <v>3</v>
      </c>
      <c r="I206" t="s">
        <v>1084</v>
      </c>
      <c r="J206" t="s">
        <v>1083</v>
      </c>
      <c r="K206" t="s">
        <v>1082</v>
      </c>
      <c r="L206" t="s">
        <v>1081</v>
      </c>
      <c r="M206" t="s">
        <v>1080</v>
      </c>
      <c r="N206">
        <v>4</v>
      </c>
      <c r="O206" t="s">
        <v>1079</v>
      </c>
      <c r="P206" t="s">
        <v>1078</v>
      </c>
      <c r="Q206" t="s">
        <v>1077</v>
      </c>
      <c r="R206" s="7">
        <v>32752</v>
      </c>
      <c r="S206" s="8">
        <f t="shared" si="24"/>
        <v>1989</v>
      </c>
      <c r="T206" s="8">
        <v>1989</v>
      </c>
      <c r="U206" s="8">
        <f t="shared" si="25"/>
        <v>33</v>
      </c>
      <c r="V206" s="7">
        <v>32752</v>
      </c>
      <c r="W206" t="s">
        <v>1048</v>
      </c>
      <c r="X206" s="2">
        <v>0.33800000000000002</v>
      </c>
      <c r="Y206" s="6">
        <f t="shared" si="26"/>
        <v>9.0227169589706634E-3</v>
      </c>
      <c r="AA206">
        <v>34347</v>
      </c>
      <c r="AB206">
        <v>17722</v>
      </c>
      <c r="AC206">
        <v>19589395</v>
      </c>
      <c r="AD206" t="s">
        <v>1</v>
      </c>
      <c r="AE206">
        <v>44</v>
      </c>
      <c r="AF206" s="9">
        <v>44478</v>
      </c>
      <c r="AH206" t="s">
        <v>1076</v>
      </c>
      <c r="AI206" t="s">
        <v>1075</v>
      </c>
      <c r="AJ206" t="s">
        <v>1074</v>
      </c>
      <c r="AK206" t="s">
        <v>1073</v>
      </c>
      <c r="AL206">
        <v>9</v>
      </c>
      <c r="AM206" s="5">
        <f t="shared" si="27"/>
        <v>0.27272727272727271</v>
      </c>
      <c r="AN206" s="4">
        <f t="shared" si="28"/>
        <v>4.1306667584592612E-4</v>
      </c>
      <c r="AO206" s="3"/>
      <c r="AP206">
        <v>0</v>
      </c>
      <c r="AR206" t="s">
        <v>0</v>
      </c>
      <c r="AT206" s="2" t="s">
        <v>5</v>
      </c>
      <c r="AU206" s="1">
        <f t="shared" si="29"/>
        <v>0.64398218740332414</v>
      </c>
      <c r="AV206" s="1">
        <f t="shared" si="30"/>
        <v>0.47178918174082946</v>
      </c>
      <c r="AW206" s="1">
        <f t="shared" si="31"/>
        <v>0.29959617607833472</v>
      </c>
    </row>
    <row r="207" spans="1:49" x14ac:dyDescent="0.2">
      <c r="A207">
        <v>205</v>
      </c>
      <c r="B207" t="s">
        <v>1072</v>
      </c>
      <c r="F207" t="s">
        <v>1071</v>
      </c>
      <c r="G207" t="s">
        <v>4</v>
      </c>
      <c r="H207" t="s">
        <v>3</v>
      </c>
      <c r="I207" t="s">
        <v>1070</v>
      </c>
      <c r="N207">
        <v>1</v>
      </c>
      <c r="O207" t="s">
        <v>1069</v>
      </c>
      <c r="P207">
        <v>7202883144</v>
      </c>
      <c r="R207" s="7">
        <v>32752</v>
      </c>
      <c r="S207" s="8">
        <f t="shared" si="24"/>
        <v>1989</v>
      </c>
      <c r="T207" s="8">
        <v>1989</v>
      </c>
      <c r="U207" s="8">
        <f t="shared" si="25"/>
        <v>33</v>
      </c>
      <c r="V207" s="7">
        <v>32752</v>
      </c>
      <c r="W207" t="s">
        <v>262</v>
      </c>
      <c r="X207" s="2" t="s">
        <v>5</v>
      </c>
      <c r="Y207" s="6" t="e">
        <f t="shared" si="26"/>
        <v>#VALUE!</v>
      </c>
      <c r="AA207">
        <v>1679368</v>
      </c>
      <c r="AB207">
        <v>35103</v>
      </c>
      <c r="AD207" t="s">
        <v>1</v>
      </c>
      <c r="AE207">
        <v>6</v>
      </c>
      <c r="AF207">
        <v>6</v>
      </c>
      <c r="AH207" t="s">
        <v>861</v>
      </c>
      <c r="AI207" t="s">
        <v>1068</v>
      </c>
      <c r="AK207" t="s">
        <v>1067</v>
      </c>
      <c r="AL207">
        <v>0</v>
      </c>
      <c r="AM207" s="5">
        <f t="shared" si="27"/>
        <v>0</v>
      </c>
      <c r="AN207" s="4">
        <f t="shared" si="28"/>
        <v>0</v>
      </c>
      <c r="AO207" s="3"/>
      <c r="AP207">
        <v>0</v>
      </c>
      <c r="AR207" t="s">
        <v>0</v>
      </c>
      <c r="AT207" s="2" t="s">
        <v>5</v>
      </c>
      <c r="AU207" s="1" t="e">
        <f t="shared" si="29"/>
        <v>#VALUE!</v>
      </c>
      <c r="AV207" s="1" t="e">
        <f t="shared" si="30"/>
        <v>#VALUE!</v>
      </c>
      <c r="AW207" s="1" t="e">
        <f t="shared" si="31"/>
        <v>#VALUE!</v>
      </c>
    </row>
    <row r="208" spans="1:49" x14ac:dyDescent="0.2">
      <c r="A208">
        <v>206</v>
      </c>
      <c r="B208" t="s">
        <v>1066</v>
      </c>
      <c r="C208" t="s">
        <v>1065</v>
      </c>
      <c r="F208" t="s">
        <v>1064</v>
      </c>
      <c r="G208" t="s">
        <v>4</v>
      </c>
      <c r="H208" t="s">
        <v>3</v>
      </c>
      <c r="I208" t="s">
        <v>1063</v>
      </c>
      <c r="J208">
        <v>60018714</v>
      </c>
      <c r="K208" t="s">
        <v>47</v>
      </c>
      <c r="L208" t="s">
        <v>46</v>
      </c>
      <c r="M208" t="s">
        <v>19</v>
      </c>
      <c r="N208">
        <v>3</v>
      </c>
      <c r="O208" t="s">
        <v>1062</v>
      </c>
      <c r="P208" t="s">
        <v>1061</v>
      </c>
      <c r="Q208" t="s">
        <v>1060</v>
      </c>
      <c r="R208" s="7">
        <v>32752</v>
      </c>
      <c r="S208" s="8">
        <f t="shared" si="24"/>
        <v>1989</v>
      </c>
      <c r="T208" s="8">
        <v>1989</v>
      </c>
      <c r="U208" s="8">
        <f t="shared" si="25"/>
        <v>33</v>
      </c>
      <c r="V208" s="7">
        <v>32752</v>
      </c>
      <c r="W208" t="s">
        <v>111</v>
      </c>
      <c r="X208" s="2">
        <v>0.375</v>
      </c>
      <c r="Y208" s="6">
        <f t="shared" si="26"/>
        <v>1.0010410827260351E-2</v>
      </c>
      <c r="AA208">
        <v>135194</v>
      </c>
      <c r="AB208">
        <v>24918</v>
      </c>
      <c r="AD208" t="s">
        <v>1</v>
      </c>
      <c r="AE208">
        <v>25</v>
      </c>
      <c r="AF208">
        <v>20</v>
      </c>
      <c r="AH208" t="s">
        <v>1059</v>
      </c>
      <c r="AI208" t="s">
        <v>1058</v>
      </c>
      <c r="AJ208" t="s">
        <v>1057</v>
      </c>
      <c r="AK208" t="s">
        <v>1056</v>
      </c>
      <c r="AL208">
        <v>12</v>
      </c>
      <c r="AM208" s="5">
        <f t="shared" si="27"/>
        <v>0.36363636363636365</v>
      </c>
      <c r="AN208" s="4">
        <f t="shared" si="28"/>
        <v>5.5075556779456819E-4</v>
      </c>
      <c r="AO208" s="3"/>
      <c r="AP208">
        <v>0</v>
      </c>
      <c r="AR208" t="s">
        <v>0</v>
      </c>
      <c r="AT208" s="2">
        <v>1.3140000000000001</v>
      </c>
      <c r="AU208" s="1">
        <f t="shared" si="29"/>
        <v>0.71725142494206162</v>
      </c>
      <c r="AV208" s="1">
        <f t="shared" si="30"/>
        <v>0.52805831975274597</v>
      </c>
      <c r="AW208" s="1">
        <f t="shared" si="31"/>
        <v>0.33886521456343033</v>
      </c>
    </row>
    <row r="209" spans="1:49" x14ac:dyDescent="0.2">
      <c r="A209">
        <v>207</v>
      </c>
      <c r="B209" t="s">
        <v>1055</v>
      </c>
      <c r="C209" t="s">
        <v>1054</v>
      </c>
      <c r="F209" t="s">
        <v>1053</v>
      </c>
      <c r="G209" t="s">
        <v>4</v>
      </c>
      <c r="H209" t="s">
        <v>3</v>
      </c>
      <c r="I209" t="s">
        <v>1052</v>
      </c>
      <c r="J209">
        <v>60030821</v>
      </c>
      <c r="K209" t="s">
        <v>86</v>
      </c>
      <c r="L209" t="s">
        <v>85</v>
      </c>
      <c r="M209" t="s">
        <v>6</v>
      </c>
      <c r="N209">
        <v>2</v>
      </c>
      <c r="O209" t="s">
        <v>1051</v>
      </c>
      <c r="P209" t="s">
        <v>1050</v>
      </c>
      <c r="Q209" t="s">
        <v>1049</v>
      </c>
      <c r="R209" s="7">
        <v>32752</v>
      </c>
      <c r="S209" s="8">
        <f t="shared" si="24"/>
        <v>1989</v>
      </c>
      <c r="T209" s="8">
        <v>1989</v>
      </c>
      <c r="U209" s="8">
        <f t="shared" si="25"/>
        <v>33</v>
      </c>
      <c r="V209" s="7">
        <v>32752</v>
      </c>
      <c r="W209" t="s">
        <v>1048</v>
      </c>
      <c r="X209" s="2">
        <v>0.33800000000000002</v>
      </c>
      <c r="Y209" s="6">
        <f t="shared" si="26"/>
        <v>9.0227169589706634E-3</v>
      </c>
      <c r="AA209">
        <v>34347</v>
      </c>
      <c r="AB209">
        <v>17722</v>
      </c>
      <c r="AC209">
        <v>19589395</v>
      </c>
      <c r="AD209" t="s">
        <v>1</v>
      </c>
      <c r="AE209">
        <v>44</v>
      </c>
      <c r="AF209" s="9">
        <v>44478</v>
      </c>
      <c r="AH209" t="s">
        <v>1047</v>
      </c>
      <c r="AI209" t="s">
        <v>1046</v>
      </c>
      <c r="AJ209" t="s">
        <v>1045</v>
      </c>
      <c r="AK209" t="s">
        <v>1044</v>
      </c>
      <c r="AL209">
        <v>6</v>
      </c>
      <c r="AM209" s="5">
        <f t="shared" si="27"/>
        <v>0.18181818181818182</v>
      </c>
      <c r="AN209" s="4">
        <f t="shared" si="28"/>
        <v>2.753777838972841E-4</v>
      </c>
      <c r="AO209" s="3"/>
      <c r="AP209">
        <v>0</v>
      </c>
      <c r="AR209" t="s">
        <v>0</v>
      </c>
      <c r="AT209" s="2" t="s">
        <v>5</v>
      </c>
      <c r="AU209" s="1">
        <f t="shared" si="29"/>
        <v>0.63985152064486495</v>
      </c>
      <c r="AV209" s="1">
        <f t="shared" si="30"/>
        <v>0.46490473714339736</v>
      </c>
      <c r="AW209" s="1">
        <f t="shared" si="31"/>
        <v>0.28995795364192978</v>
      </c>
    </row>
    <row r="210" spans="1:49" x14ac:dyDescent="0.2">
      <c r="A210">
        <v>208</v>
      </c>
      <c r="B210" t="s">
        <v>1043</v>
      </c>
      <c r="C210" t="s">
        <v>1042</v>
      </c>
      <c r="F210" t="s">
        <v>1041</v>
      </c>
      <c r="G210" t="s">
        <v>4</v>
      </c>
      <c r="H210" t="s">
        <v>3</v>
      </c>
      <c r="I210" t="s">
        <v>1040</v>
      </c>
      <c r="J210" t="s">
        <v>1039</v>
      </c>
      <c r="K210" t="s">
        <v>1038</v>
      </c>
      <c r="L210" t="s">
        <v>1037</v>
      </c>
      <c r="M210" t="s">
        <v>165</v>
      </c>
      <c r="N210">
        <v>3</v>
      </c>
      <c r="O210" t="s">
        <v>1036</v>
      </c>
      <c r="P210" t="s">
        <v>1035</v>
      </c>
      <c r="Q210" t="s">
        <v>1034</v>
      </c>
      <c r="R210" s="7">
        <v>32752</v>
      </c>
      <c r="S210" s="8">
        <f t="shared" si="24"/>
        <v>1989</v>
      </c>
      <c r="T210" s="8">
        <v>1989</v>
      </c>
      <c r="U210" s="8">
        <f t="shared" si="25"/>
        <v>33</v>
      </c>
      <c r="V210" s="7">
        <v>32752</v>
      </c>
      <c r="W210" t="s">
        <v>111</v>
      </c>
      <c r="X210" s="2">
        <v>0.375</v>
      </c>
      <c r="Y210" s="6">
        <f t="shared" si="26"/>
        <v>1.0010410827260351E-2</v>
      </c>
      <c r="AA210">
        <v>135194</v>
      </c>
      <c r="AB210">
        <v>24918</v>
      </c>
      <c r="AD210" t="s">
        <v>1</v>
      </c>
      <c r="AE210">
        <v>25</v>
      </c>
      <c r="AF210">
        <v>20</v>
      </c>
      <c r="AH210" t="s">
        <v>1033</v>
      </c>
      <c r="AI210" t="s">
        <v>1032</v>
      </c>
      <c r="AJ210" t="s">
        <v>722</v>
      </c>
      <c r="AK210" t="s">
        <v>1031</v>
      </c>
      <c r="AL210">
        <v>7</v>
      </c>
      <c r="AM210" s="5">
        <f t="shared" si="27"/>
        <v>0.21212121212121213</v>
      </c>
      <c r="AN210" s="4">
        <f t="shared" si="28"/>
        <v>3.2127408121349809E-4</v>
      </c>
      <c r="AO210" s="3"/>
      <c r="AP210">
        <v>0</v>
      </c>
      <c r="AR210" t="s">
        <v>0</v>
      </c>
      <c r="AT210" s="2">
        <v>1.3140000000000001</v>
      </c>
      <c r="AU210" s="1">
        <f t="shared" si="29"/>
        <v>0.71036698034462953</v>
      </c>
      <c r="AV210" s="1">
        <f t="shared" si="30"/>
        <v>0.51658424542369241</v>
      </c>
      <c r="AW210" s="1">
        <f t="shared" si="31"/>
        <v>0.32280151050275541</v>
      </c>
    </row>
    <row r="211" spans="1:49" x14ac:dyDescent="0.2">
      <c r="A211">
        <v>209</v>
      </c>
      <c r="B211" t="s">
        <v>1030</v>
      </c>
      <c r="C211" t="s">
        <v>1029</v>
      </c>
      <c r="F211" t="s">
        <v>1028</v>
      </c>
      <c r="G211" t="s">
        <v>4</v>
      </c>
      <c r="H211" t="s">
        <v>3</v>
      </c>
      <c r="I211" t="s">
        <v>1027</v>
      </c>
      <c r="J211">
        <v>60000221</v>
      </c>
      <c r="K211" t="s">
        <v>97</v>
      </c>
      <c r="L211" t="s">
        <v>96</v>
      </c>
      <c r="M211" t="s">
        <v>6</v>
      </c>
      <c r="N211">
        <v>1</v>
      </c>
      <c r="O211" t="s">
        <v>1026</v>
      </c>
      <c r="P211">
        <v>36345591700</v>
      </c>
      <c r="Q211">
        <v>60000221</v>
      </c>
      <c r="R211" s="7">
        <v>32752</v>
      </c>
      <c r="S211" s="8">
        <f t="shared" si="24"/>
        <v>1989</v>
      </c>
      <c r="T211" s="8">
        <v>1989</v>
      </c>
      <c r="U211" s="8">
        <f t="shared" si="25"/>
        <v>33</v>
      </c>
      <c r="V211" s="7">
        <v>32752</v>
      </c>
      <c r="W211" t="s">
        <v>40</v>
      </c>
      <c r="X211" s="2">
        <v>2.141</v>
      </c>
      <c r="Y211" s="6">
        <f t="shared" si="26"/>
        <v>5.7152772216438434E-2</v>
      </c>
      <c r="AA211">
        <v>1962892</v>
      </c>
      <c r="AB211">
        <v>17360</v>
      </c>
      <c r="AD211" t="s">
        <v>1</v>
      </c>
      <c r="AE211">
        <v>27</v>
      </c>
      <c r="AF211">
        <v>5</v>
      </c>
      <c r="AH211" t="s">
        <v>1025</v>
      </c>
      <c r="AI211" t="s">
        <v>1024</v>
      </c>
      <c r="AK211" t="s">
        <v>1023</v>
      </c>
      <c r="AL211">
        <v>17</v>
      </c>
      <c r="AM211" s="5">
        <f t="shared" si="27"/>
        <v>0.51515151515151514</v>
      </c>
      <c r="AN211" s="4">
        <f t="shared" si="28"/>
        <v>7.8023705437563825E-4</v>
      </c>
      <c r="AO211" s="3"/>
      <c r="AP211">
        <v>0</v>
      </c>
      <c r="AQ211" t="s">
        <v>1022</v>
      </c>
      <c r="AR211">
        <v>8928891</v>
      </c>
      <c r="AS211" t="s">
        <v>1021</v>
      </c>
      <c r="AT211" s="2" t="s">
        <v>5</v>
      </c>
      <c r="AU211" s="1">
        <f t="shared" si="29"/>
        <v>4.0241011667819588</v>
      </c>
      <c r="AV211" s="1">
        <f t="shared" si="30"/>
        <v>2.8966504635407038</v>
      </c>
      <c r="AW211" s="1">
        <f t="shared" si="31"/>
        <v>1.7691997602994478</v>
      </c>
    </row>
    <row r="212" spans="1:49" x14ac:dyDescent="0.2">
      <c r="A212">
        <v>210</v>
      </c>
      <c r="B212" t="s">
        <v>1020</v>
      </c>
      <c r="C212" t="s">
        <v>1019</v>
      </c>
      <c r="F212" t="s">
        <v>1018</v>
      </c>
      <c r="G212" t="s">
        <v>4</v>
      </c>
      <c r="H212" t="s">
        <v>3</v>
      </c>
      <c r="I212" t="s">
        <v>1017</v>
      </c>
      <c r="J212" t="s">
        <v>1016</v>
      </c>
      <c r="K212" t="s">
        <v>1015</v>
      </c>
      <c r="L212" t="s">
        <v>1014</v>
      </c>
      <c r="M212" t="s">
        <v>30</v>
      </c>
      <c r="N212">
        <v>7</v>
      </c>
      <c r="O212" t="s">
        <v>1013</v>
      </c>
      <c r="P212" t="s">
        <v>1012</v>
      </c>
      <c r="Q212" t="s">
        <v>1011</v>
      </c>
      <c r="R212" s="7">
        <v>32752</v>
      </c>
      <c r="S212" s="8">
        <f t="shared" si="24"/>
        <v>1989</v>
      </c>
      <c r="T212" s="8">
        <v>1989</v>
      </c>
      <c r="U212" s="8">
        <f t="shared" si="25"/>
        <v>33</v>
      </c>
      <c r="V212" s="7">
        <v>32752</v>
      </c>
      <c r="W212" t="s">
        <v>175</v>
      </c>
      <c r="X212" s="2">
        <v>0.371</v>
      </c>
      <c r="Y212" s="6">
        <f t="shared" si="26"/>
        <v>9.9036331117695747E-3</v>
      </c>
      <c r="AA212">
        <v>214922</v>
      </c>
      <c r="AB212">
        <v>130262</v>
      </c>
      <c r="AC212">
        <v>13474065</v>
      </c>
      <c r="AD212" t="s">
        <v>1</v>
      </c>
      <c r="AE212">
        <v>28</v>
      </c>
      <c r="AF212" t="s">
        <v>1010</v>
      </c>
      <c r="AH212" t="s">
        <v>1009</v>
      </c>
      <c r="AI212" t="s">
        <v>1008</v>
      </c>
      <c r="AJ212" t="s">
        <v>1007</v>
      </c>
      <c r="AK212" t="s">
        <v>1006</v>
      </c>
      <c r="AL212">
        <v>5</v>
      </c>
      <c r="AM212" s="5">
        <f t="shared" si="27"/>
        <v>0.15151515151515152</v>
      </c>
      <c r="AN212" s="4">
        <f t="shared" si="28"/>
        <v>2.2948148658107008E-4</v>
      </c>
      <c r="AO212" s="3"/>
      <c r="AP212">
        <v>0</v>
      </c>
      <c r="AR212" t="s">
        <v>0</v>
      </c>
      <c r="AT212" s="2">
        <v>1.48</v>
      </c>
      <c r="AU212" s="1">
        <f t="shared" si="29"/>
        <v>0.70013876242130224</v>
      </c>
      <c r="AV212" s="1">
        <f t="shared" si="30"/>
        <v>0.50665572991753227</v>
      </c>
      <c r="AW212" s="1">
        <f t="shared" si="31"/>
        <v>0.31317269741376219</v>
      </c>
    </row>
    <row r="213" spans="1:49" x14ac:dyDescent="0.2">
      <c r="A213">
        <v>211</v>
      </c>
      <c r="B213" t="s">
        <v>1005</v>
      </c>
      <c r="F213" t="s">
        <v>1004</v>
      </c>
      <c r="G213" t="s">
        <v>4</v>
      </c>
      <c r="H213" t="s">
        <v>3</v>
      </c>
      <c r="I213" t="s">
        <v>1003</v>
      </c>
      <c r="J213">
        <v>101195935</v>
      </c>
      <c r="K213" t="s">
        <v>1002</v>
      </c>
      <c r="M213" t="s">
        <v>6</v>
      </c>
      <c r="N213">
        <v>2</v>
      </c>
      <c r="O213" t="s">
        <v>1001</v>
      </c>
      <c r="P213" t="s">
        <v>1000</v>
      </c>
      <c r="Q213" t="s">
        <v>999</v>
      </c>
      <c r="R213" s="7">
        <v>32752</v>
      </c>
      <c r="S213" s="8">
        <f t="shared" si="24"/>
        <v>1989</v>
      </c>
      <c r="T213" s="8">
        <v>1989</v>
      </c>
      <c r="U213" s="8">
        <f t="shared" si="25"/>
        <v>33</v>
      </c>
      <c r="V213" s="7">
        <v>32752</v>
      </c>
      <c r="W213" t="s">
        <v>998</v>
      </c>
      <c r="X213" s="2" t="s">
        <v>5</v>
      </c>
      <c r="Y213" s="6" t="e">
        <f t="shared" si="26"/>
        <v>#VALUE!</v>
      </c>
      <c r="AA213">
        <v>8849862</v>
      </c>
      <c r="AB213">
        <v>110170</v>
      </c>
      <c r="AD213" t="s">
        <v>1</v>
      </c>
      <c r="AE213">
        <v>6</v>
      </c>
      <c r="AF213">
        <v>9</v>
      </c>
      <c r="AH213" t="s">
        <v>997</v>
      </c>
      <c r="AI213" t="s">
        <v>996</v>
      </c>
      <c r="AK213" t="s">
        <v>995</v>
      </c>
      <c r="AL213">
        <v>0</v>
      </c>
      <c r="AM213" s="5">
        <f t="shared" si="27"/>
        <v>0</v>
      </c>
      <c r="AN213" s="4">
        <f t="shared" si="28"/>
        <v>0</v>
      </c>
      <c r="AO213" s="3"/>
      <c r="AP213">
        <v>0</v>
      </c>
      <c r="AR213" t="s">
        <v>0</v>
      </c>
      <c r="AT213" s="2" t="s">
        <v>5</v>
      </c>
      <c r="AU213" s="1" t="e">
        <f t="shared" si="29"/>
        <v>#VALUE!</v>
      </c>
      <c r="AV213" s="1" t="e">
        <f t="shared" si="30"/>
        <v>#VALUE!</v>
      </c>
      <c r="AW213" s="1" t="e">
        <f t="shared" si="31"/>
        <v>#VALUE!</v>
      </c>
    </row>
    <row r="214" spans="1:49" x14ac:dyDescent="0.2">
      <c r="A214">
        <v>212</v>
      </c>
      <c r="B214" t="s">
        <v>994</v>
      </c>
      <c r="F214" t="s">
        <v>993</v>
      </c>
      <c r="G214" t="s">
        <v>4</v>
      </c>
      <c r="H214" t="s">
        <v>3</v>
      </c>
      <c r="I214" t="s">
        <v>992</v>
      </c>
      <c r="N214">
        <v>1</v>
      </c>
      <c r="O214" t="s">
        <v>991</v>
      </c>
      <c r="P214">
        <v>7005716049</v>
      </c>
      <c r="R214" s="7">
        <v>32752</v>
      </c>
      <c r="S214" s="8">
        <f t="shared" si="24"/>
        <v>1989</v>
      </c>
      <c r="T214" s="8">
        <v>1989</v>
      </c>
      <c r="U214" s="8">
        <f t="shared" si="25"/>
        <v>33</v>
      </c>
      <c r="V214" s="7">
        <v>32752</v>
      </c>
      <c r="W214" t="s">
        <v>50</v>
      </c>
      <c r="X214" s="2">
        <v>0.14099999999999999</v>
      </c>
      <c r="Y214" s="6">
        <f t="shared" si="26"/>
        <v>3.7639144710498915E-3</v>
      </c>
      <c r="AA214">
        <v>402508</v>
      </c>
      <c r="AB214">
        <v>20868</v>
      </c>
      <c r="AD214" t="s">
        <v>1</v>
      </c>
      <c r="AE214">
        <v>44</v>
      </c>
      <c r="AF214">
        <v>9</v>
      </c>
      <c r="AH214" s="10">
        <v>43739</v>
      </c>
      <c r="AI214" t="s">
        <v>990</v>
      </c>
      <c r="AK214" t="s">
        <v>989</v>
      </c>
      <c r="AL214">
        <v>0</v>
      </c>
      <c r="AM214" s="5">
        <f t="shared" si="27"/>
        <v>0</v>
      </c>
      <c r="AN214" s="4">
        <f t="shared" si="28"/>
        <v>0</v>
      </c>
      <c r="AO214" s="3"/>
      <c r="AP214">
        <v>0</v>
      </c>
      <c r="AR214" t="s">
        <v>0</v>
      </c>
      <c r="AT214" s="2" t="s">
        <v>5</v>
      </c>
      <c r="AU214" s="1">
        <f t="shared" si="29"/>
        <v>0.26347401297349238</v>
      </c>
      <c r="AV214" s="1">
        <f t="shared" si="30"/>
        <v>0.18819572355249459</v>
      </c>
      <c r="AW214" s="1">
        <f t="shared" si="31"/>
        <v>0.11291743413149673</v>
      </c>
    </row>
    <row r="215" spans="1:49" x14ac:dyDescent="0.2">
      <c r="A215">
        <v>213</v>
      </c>
      <c r="B215" t="s">
        <v>988</v>
      </c>
      <c r="F215" t="s">
        <v>987</v>
      </c>
      <c r="G215" t="s">
        <v>4</v>
      </c>
      <c r="H215" t="s">
        <v>3</v>
      </c>
      <c r="I215" t="s">
        <v>986</v>
      </c>
      <c r="N215">
        <v>1</v>
      </c>
      <c r="O215" t="s">
        <v>985</v>
      </c>
      <c r="P215">
        <v>7004513461</v>
      </c>
      <c r="R215" s="7">
        <v>32752</v>
      </c>
      <c r="S215" s="8">
        <f t="shared" si="24"/>
        <v>1989</v>
      </c>
      <c r="T215" s="8">
        <v>1989</v>
      </c>
      <c r="U215" s="8">
        <f t="shared" si="25"/>
        <v>33</v>
      </c>
      <c r="V215" s="7">
        <v>32752</v>
      </c>
      <c r="W215" t="s">
        <v>50</v>
      </c>
      <c r="X215" s="2">
        <v>0.14099999999999999</v>
      </c>
      <c r="Y215" s="6">
        <f t="shared" si="26"/>
        <v>3.7639144710498915E-3</v>
      </c>
      <c r="AA215">
        <v>402508</v>
      </c>
      <c r="AB215">
        <v>20868</v>
      </c>
      <c r="AD215" t="s">
        <v>1</v>
      </c>
      <c r="AE215">
        <v>44</v>
      </c>
      <c r="AF215">
        <v>9</v>
      </c>
      <c r="AH215" t="s">
        <v>984</v>
      </c>
      <c r="AI215" t="s">
        <v>983</v>
      </c>
      <c r="AK215" t="s">
        <v>982</v>
      </c>
      <c r="AL215">
        <v>1</v>
      </c>
      <c r="AM215" s="5">
        <f t="shared" si="27"/>
        <v>3.0303030303030304E-2</v>
      </c>
      <c r="AN215" s="4">
        <f t="shared" si="28"/>
        <v>4.5896297316214016E-5</v>
      </c>
      <c r="AO215" s="3"/>
      <c r="AP215">
        <v>0</v>
      </c>
      <c r="AR215" t="s">
        <v>0</v>
      </c>
      <c r="AT215" s="2" t="s">
        <v>5</v>
      </c>
      <c r="AU215" s="1">
        <f t="shared" si="29"/>
        <v>0.26485090189297883</v>
      </c>
      <c r="AV215" s="1">
        <f t="shared" si="30"/>
        <v>0.19049053841830527</v>
      </c>
      <c r="AW215" s="1">
        <f t="shared" si="31"/>
        <v>0.1161301749436317</v>
      </c>
    </row>
    <row r="216" spans="1:49" x14ac:dyDescent="0.2">
      <c r="A216">
        <v>214</v>
      </c>
      <c r="B216" t="s">
        <v>981</v>
      </c>
      <c r="F216" t="s">
        <v>980</v>
      </c>
      <c r="G216" t="s">
        <v>4</v>
      </c>
      <c r="H216" t="s">
        <v>3</v>
      </c>
      <c r="I216" t="s">
        <v>979</v>
      </c>
      <c r="N216">
        <v>1</v>
      </c>
      <c r="O216" t="s">
        <v>978</v>
      </c>
      <c r="P216">
        <v>7005512950</v>
      </c>
      <c r="R216" s="7">
        <v>32752</v>
      </c>
      <c r="S216" s="8">
        <f t="shared" si="24"/>
        <v>1989</v>
      </c>
      <c r="T216" s="8">
        <v>1989</v>
      </c>
      <c r="U216" s="8">
        <f t="shared" si="25"/>
        <v>33</v>
      </c>
      <c r="V216" s="7">
        <v>32752</v>
      </c>
      <c r="W216" t="s">
        <v>50</v>
      </c>
      <c r="X216" s="2">
        <v>0.14099999999999999</v>
      </c>
      <c r="Y216" s="6">
        <f t="shared" si="26"/>
        <v>3.7639144710498915E-3</v>
      </c>
      <c r="AA216">
        <v>402508</v>
      </c>
      <c r="AB216">
        <v>20868</v>
      </c>
      <c r="AD216" t="s">
        <v>1</v>
      </c>
      <c r="AE216">
        <v>44</v>
      </c>
      <c r="AF216">
        <v>9</v>
      </c>
      <c r="AH216" t="s">
        <v>977</v>
      </c>
      <c r="AI216" t="s">
        <v>976</v>
      </c>
      <c r="AK216" t="s">
        <v>99</v>
      </c>
      <c r="AL216">
        <v>0</v>
      </c>
      <c r="AM216" s="5">
        <f t="shared" si="27"/>
        <v>0</v>
      </c>
      <c r="AN216" s="4">
        <f t="shared" si="28"/>
        <v>0</v>
      </c>
      <c r="AO216" s="3"/>
      <c r="AP216">
        <v>0</v>
      </c>
      <c r="AR216" t="s">
        <v>0</v>
      </c>
      <c r="AT216" s="2" t="s">
        <v>5</v>
      </c>
      <c r="AU216" s="1">
        <f t="shared" si="29"/>
        <v>0.26347401297349238</v>
      </c>
      <c r="AV216" s="1">
        <f t="shared" si="30"/>
        <v>0.18819572355249459</v>
      </c>
      <c r="AW216" s="1">
        <f t="shared" si="31"/>
        <v>0.11291743413149673</v>
      </c>
    </row>
    <row r="217" spans="1:49" x14ac:dyDescent="0.2">
      <c r="A217">
        <v>215</v>
      </c>
      <c r="B217" t="s">
        <v>975</v>
      </c>
      <c r="C217" t="s">
        <v>974</v>
      </c>
      <c r="F217" t="s">
        <v>973</v>
      </c>
      <c r="G217" t="s">
        <v>4</v>
      </c>
      <c r="H217" t="s">
        <v>3</v>
      </c>
      <c r="I217" t="s">
        <v>972</v>
      </c>
      <c r="J217">
        <v>60009506</v>
      </c>
      <c r="K217" t="s">
        <v>152</v>
      </c>
      <c r="L217" t="s">
        <v>151</v>
      </c>
      <c r="M217" t="s">
        <v>150</v>
      </c>
      <c r="N217">
        <v>3</v>
      </c>
      <c r="O217" t="s">
        <v>971</v>
      </c>
      <c r="P217" t="s">
        <v>970</v>
      </c>
      <c r="Q217" t="s">
        <v>969</v>
      </c>
      <c r="R217" s="7">
        <v>32752</v>
      </c>
      <c r="S217" s="8">
        <f t="shared" si="24"/>
        <v>1989</v>
      </c>
      <c r="T217" s="8">
        <v>1989</v>
      </c>
      <c r="U217" s="8">
        <f t="shared" si="25"/>
        <v>33</v>
      </c>
      <c r="V217" s="7">
        <v>32752</v>
      </c>
      <c r="W217" t="s">
        <v>111</v>
      </c>
      <c r="X217" s="2">
        <v>0.375</v>
      </c>
      <c r="Y217" s="6">
        <f t="shared" si="26"/>
        <v>1.0010410827260351E-2</v>
      </c>
      <c r="AA217">
        <v>135194</v>
      </c>
      <c r="AB217">
        <v>24918</v>
      </c>
      <c r="AD217" t="s">
        <v>1</v>
      </c>
      <c r="AE217">
        <v>25</v>
      </c>
      <c r="AF217">
        <v>11</v>
      </c>
      <c r="AH217" t="s">
        <v>968</v>
      </c>
      <c r="AI217" t="s">
        <v>967</v>
      </c>
      <c r="AJ217" t="s">
        <v>966</v>
      </c>
      <c r="AK217" t="s">
        <v>965</v>
      </c>
      <c r="AL217">
        <v>2</v>
      </c>
      <c r="AM217" s="5">
        <f t="shared" si="27"/>
        <v>6.0606060606060608E-2</v>
      </c>
      <c r="AN217" s="4">
        <f t="shared" si="28"/>
        <v>9.1792594632428032E-5</v>
      </c>
      <c r="AO217" s="3"/>
      <c r="AP217">
        <v>0</v>
      </c>
      <c r="AR217" t="s">
        <v>0</v>
      </c>
      <c r="AT217" s="2">
        <v>1.3140000000000001</v>
      </c>
      <c r="AU217" s="1">
        <f t="shared" si="29"/>
        <v>0.70348253574719743</v>
      </c>
      <c r="AV217" s="1">
        <f t="shared" si="30"/>
        <v>0.50511017109463896</v>
      </c>
      <c r="AW217" s="1">
        <f t="shared" si="31"/>
        <v>0.30673780644208049</v>
      </c>
    </row>
    <row r="218" spans="1:49" x14ac:dyDescent="0.2">
      <c r="A218">
        <v>216</v>
      </c>
      <c r="B218" t="s">
        <v>964</v>
      </c>
      <c r="C218" t="s">
        <v>963</v>
      </c>
      <c r="F218" t="s">
        <v>962</v>
      </c>
      <c r="G218" t="s">
        <v>4</v>
      </c>
      <c r="H218" t="s">
        <v>3</v>
      </c>
      <c r="I218" t="s">
        <v>961</v>
      </c>
      <c r="J218">
        <v>60025063</v>
      </c>
      <c r="K218" t="s">
        <v>960</v>
      </c>
      <c r="L218" t="s">
        <v>959</v>
      </c>
      <c r="M218" t="s">
        <v>38</v>
      </c>
      <c r="N218">
        <v>2</v>
      </c>
      <c r="O218" t="s">
        <v>958</v>
      </c>
      <c r="P218" t="s">
        <v>957</v>
      </c>
      <c r="Q218" t="s">
        <v>956</v>
      </c>
      <c r="R218" s="7">
        <v>32752</v>
      </c>
      <c r="S218" s="8">
        <f t="shared" si="24"/>
        <v>1989</v>
      </c>
      <c r="T218" s="8">
        <v>1989</v>
      </c>
      <c r="U218" s="8">
        <f t="shared" si="25"/>
        <v>33</v>
      </c>
      <c r="V218" s="7">
        <v>32752</v>
      </c>
      <c r="W218" t="s">
        <v>111</v>
      </c>
      <c r="X218" s="2">
        <v>0.375</v>
      </c>
      <c r="Y218" s="6">
        <f t="shared" si="26"/>
        <v>1.0010410827260351E-2</v>
      </c>
      <c r="AA218">
        <v>135194</v>
      </c>
      <c r="AB218">
        <v>24918</v>
      </c>
      <c r="AD218" t="s">
        <v>1</v>
      </c>
      <c r="AE218">
        <v>25</v>
      </c>
      <c r="AF218">
        <v>11</v>
      </c>
      <c r="AH218" t="s">
        <v>955</v>
      </c>
      <c r="AI218" t="s">
        <v>954</v>
      </c>
      <c r="AJ218" t="s">
        <v>953</v>
      </c>
      <c r="AK218" t="s">
        <v>952</v>
      </c>
      <c r="AL218">
        <v>12</v>
      </c>
      <c r="AM218" s="5">
        <f t="shared" si="27"/>
        <v>0.36363636363636365</v>
      </c>
      <c r="AN218" s="4">
        <f t="shared" si="28"/>
        <v>5.5075556779456819E-4</v>
      </c>
      <c r="AO218" s="3"/>
      <c r="AP218">
        <v>0</v>
      </c>
      <c r="AR218" t="s">
        <v>0</v>
      </c>
      <c r="AT218" s="2">
        <v>1.3140000000000001</v>
      </c>
      <c r="AU218" s="1">
        <f t="shared" si="29"/>
        <v>0.71725142494206162</v>
      </c>
      <c r="AV218" s="1">
        <f t="shared" si="30"/>
        <v>0.52805831975274597</v>
      </c>
      <c r="AW218" s="1">
        <f t="shared" si="31"/>
        <v>0.33886521456343033</v>
      </c>
    </row>
    <row r="219" spans="1:49" x14ac:dyDescent="0.2">
      <c r="A219">
        <v>217</v>
      </c>
      <c r="B219" t="s">
        <v>951</v>
      </c>
      <c r="C219" t="s">
        <v>950</v>
      </c>
      <c r="F219" t="s">
        <v>949</v>
      </c>
      <c r="G219" t="s">
        <v>4</v>
      </c>
      <c r="H219" t="s">
        <v>3</v>
      </c>
      <c r="I219" t="s">
        <v>948</v>
      </c>
      <c r="J219">
        <v>60016849</v>
      </c>
      <c r="K219" t="s">
        <v>174</v>
      </c>
      <c r="L219" t="s">
        <v>173</v>
      </c>
      <c r="M219" t="s">
        <v>19</v>
      </c>
      <c r="N219">
        <v>3</v>
      </c>
      <c r="O219" t="s">
        <v>947</v>
      </c>
      <c r="P219" t="s">
        <v>946</v>
      </c>
      <c r="Q219" t="s">
        <v>208</v>
      </c>
      <c r="R219" s="7">
        <v>32752</v>
      </c>
      <c r="S219" s="8">
        <f t="shared" si="24"/>
        <v>1989</v>
      </c>
      <c r="T219" s="8">
        <v>1989</v>
      </c>
      <c r="U219" s="8">
        <f t="shared" si="25"/>
        <v>33</v>
      </c>
      <c r="V219" s="7">
        <v>32752</v>
      </c>
      <c r="W219" t="s">
        <v>945</v>
      </c>
      <c r="X219" s="2">
        <v>1.994</v>
      </c>
      <c r="Y219" s="6">
        <f t="shared" si="26"/>
        <v>5.322869117215237E-2</v>
      </c>
      <c r="AA219">
        <v>249297</v>
      </c>
      <c r="AB219">
        <v>21100779404</v>
      </c>
      <c r="AC219">
        <v>15205835</v>
      </c>
      <c r="AD219" t="s">
        <v>1</v>
      </c>
      <c r="AE219">
        <v>22</v>
      </c>
      <c r="AF219">
        <v>5</v>
      </c>
      <c r="AH219" t="s">
        <v>944</v>
      </c>
      <c r="AI219" t="s">
        <v>943</v>
      </c>
      <c r="AK219" t="s">
        <v>942</v>
      </c>
      <c r="AL219">
        <v>50</v>
      </c>
      <c r="AM219" s="5">
        <f t="shared" si="27"/>
        <v>1.5151515151515151</v>
      </c>
      <c r="AN219" s="4">
        <f t="shared" si="28"/>
        <v>2.2948148658107005E-3</v>
      </c>
      <c r="AO219" s="3"/>
      <c r="AP219">
        <v>0</v>
      </c>
      <c r="AR219" t="s">
        <v>0</v>
      </c>
      <c r="AT219" s="2">
        <v>5.9850000000000003</v>
      </c>
      <c r="AU219" s="1">
        <f t="shared" si="29"/>
        <v>3.7948528280249869</v>
      </c>
      <c r="AV219" s="1">
        <f t="shared" si="30"/>
        <v>2.7761753018981534</v>
      </c>
      <c r="AW219" s="1">
        <f t="shared" si="31"/>
        <v>1.7574977757713204</v>
      </c>
    </row>
    <row r="220" spans="1:49" x14ac:dyDescent="0.2">
      <c r="A220">
        <v>218</v>
      </c>
      <c r="B220" t="s">
        <v>941</v>
      </c>
      <c r="C220" t="s">
        <v>940</v>
      </c>
      <c r="F220" t="s">
        <v>939</v>
      </c>
      <c r="G220" t="s">
        <v>4</v>
      </c>
      <c r="H220" t="s">
        <v>3</v>
      </c>
      <c r="I220" t="s">
        <v>836</v>
      </c>
      <c r="J220">
        <v>60030553</v>
      </c>
      <c r="K220" t="s">
        <v>938</v>
      </c>
      <c r="L220" t="s">
        <v>834</v>
      </c>
      <c r="M220" t="s">
        <v>9</v>
      </c>
      <c r="N220">
        <v>3</v>
      </c>
      <c r="O220" t="s">
        <v>833</v>
      </c>
      <c r="P220" t="s">
        <v>832</v>
      </c>
      <c r="Q220" t="s">
        <v>937</v>
      </c>
      <c r="R220" s="7">
        <v>32752</v>
      </c>
      <c r="S220" s="8">
        <f t="shared" si="24"/>
        <v>1989</v>
      </c>
      <c r="T220" s="8">
        <v>1989</v>
      </c>
      <c r="U220" s="8">
        <f t="shared" si="25"/>
        <v>33</v>
      </c>
      <c r="V220" s="7">
        <v>32752</v>
      </c>
      <c r="W220" t="s">
        <v>111</v>
      </c>
      <c r="X220" s="2">
        <v>0.375</v>
      </c>
      <c r="Y220" s="6">
        <f t="shared" si="26"/>
        <v>1.0010410827260351E-2</v>
      </c>
      <c r="AA220">
        <v>135194</v>
      </c>
      <c r="AB220">
        <v>24918</v>
      </c>
      <c r="AD220" t="s">
        <v>1</v>
      </c>
      <c r="AE220">
        <v>25</v>
      </c>
      <c r="AF220">
        <v>6</v>
      </c>
      <c r="AH220" t="s">
        <v>936</v>
      </c>
      <c r="AI220" t="s">
        <v>935</v>
      </c>
      <c r="AJ220" t="s">
        <v>268</v>
      </c>
      <c r="AK220" t="s">
        <v>934</v>
      </c>
      <c r="AL220">
        <v>57</v>
      </c>
      <c r="AM220" s="5">
        <f t="shared" si="27"/>
        <v>1.7272727272727273</v>
      </c>
      <c r="AN220" s="4">
        <f t="shared" si="28"/>
        <v>2.616088947024199E-3</v>
      </c>
      <c r="AO220" s="3"/>
      <c r="AP220">
        <v>0</v>
      </c>
      <c r="AR220" t="s">
        <v>0</v>
      </c>
      <c r="AT220" s="2">
        <v>1.3140000000000001</v>
      </c>
      <c r="AU220" s="1">
        <f t="shared" si="29"/>
        <v>0.77921142631895046</v>
      </c>
      <c r="AV220" s="1">
        <f t="shared" si="30"/>
        <v>0.63132498871422749</v>
      </c>
      <c r="AW220" s="1">
        <f t="shared" si="31"/>
        <v>0.48343855110950451</v>
      </c>
    </row>
    <row r="221" spans="1:49" x14ac:dyDescent="0.2">
      <c r="A221">
        <v>219</v>
      </c>
      <c r="B221" t="s">
        <v>933</v>
      </c>
      <c r="C221" t="s">
        <v>932</v>
      </c>
      <c r="F221" t="s">
        <v>931</v>
      </c>
      <c r="G221" t="s">
        <v>4</v>
      </c>
      <c r="H221" t="s">
        <v>3</v>
      </c>
      <c r="I221" t="s">
        <v>930</v>
      </c>
      <c r="J221" t="s">
        <v>929</v>
      </c>
      <c r="K221" t="s">
        <v>928</v>
      </c>
      <c r="L221" t="s">
        <v>927</v>
      </c>
      <c r="M221" t="s">
        <v>33</v>
      </c>
      <c r="N221">
        <v>4</v>
      </c>
      <c r="O221" t="s">
        <v>926</v>
      </c>
      <c r="P221" t="s">
        <v>925</v>
      </c>
      <c r="Q221" t="s">
        <v>924</v>
      </c>
      <c r="R221" s="7">
        <v>32752</v>
      </c>
      <c r="S221" s="8">
        <f t="shared" si="24"/>
        <v>1989</v>
      </c>
      <c r="T221" s="8">
        <v>1989</v>
      </c>
      <c r="U221" s="8">
        <f t="shared" si="25"/>
        <v>33</v>
      </c>
      <c r="V221" s="7">
        <v>32752</v>
      </c>
      <c r="W221" t="s">
        <v>111</v>
      </c>
      <c r="X221" s="2">
        <v>0.375</v>
      </c>
      <c r="Y221" s="6">
        <f t="shared" si="26"/>
        <v>1.0010410827260351E-2</v>
      </c>
      <c r="AA221">
        <v>135194</v>
      </c>
      <c r="AB221">
        <v>24918</v>
      </c>
      <c r="AD221" t="s">
        <v>1</v>
      </c>
      <c r="AE221">
        <v>25</v>
      </c>
      <c r="AF221">
        <v>4</v>
      </c>
      <c r="AH221" t="s">
        <v>923</v>
      </c>
      <c r="AI221" t="s">
        <v>922</v>
      </c>
      <c r="AJ221" t="s">
        <v>268</v>
      </c>
      <c r="AK221" t="s">
        <v>921</v>
      </c>
      <c r="AL221">
        <v>39</v>
      </c>
      <c r="AM221" s="5">
        <f t="shared" si="27"/>
        <v>1.1818181818181819</v>
      </c>
      <c r="AN221" s="4">
        <f t="shared" si="28"/>
        <v>1.7899555953323468E-3</v>
      </c>
      <c r="AO221" s="3"/>
      <c r="AP221">
        <v>0</v>
      </c>
      <c r="AR221" t="s">
        <v>0</v>
      </c>
      <c r="AT221" s="2">
        <v>1.3140000000000001</v>
      </c>
      <c r="AU221" s="1">
        <f t="shared" si="29"/>
        <v>0.75442742576819499</v>
      </c>
      <c r="AV221" s="1">
        <f t="shared" si="30"/>
        <v>0.59001832112963493</v>
      </c>
      <c r="AW221" s="1">
        <f t="shared" si="31"/>
        <v>0.42560921649107475</v>
      </c>
    </row>
    <row r="222" spans="1:49" x14ac:dyDescent="0.2">
      <c r="A222">
        <v>220</v>
      </c>
      <c r="B222" t="s">
        <v>920</v>
      </c>
      <c r="C222" t="s">
        <v>919</v>
      </c>
      <c r="F222" t="s">
        <v>918</v>
      </c>
      <c r="G222" t="s">
        <v>4</v>
      </c>
      <c r="H222" t="s">
        <v>3</v>
      </c>
      <c r="I222" t="s">
        <v>74</v>
      </c>
      <c r="J222">
        <v>60010818</v>
      </c>
      <c r="K222" t="s">
        <v>140</v>
      </c>
      <c r="L222" t="s">
        <v>139</v>
      </c>
      <c r="M222" t="s">
        <v>37</v>
      </c>
      <c r="N222">
        <v>4</v>
      </c>
      <c r="O222" t="s">
        <v>917</v>
      </c>
      <c r="P222" t="s">
        <v>916</v>
      </c>
      <c r="Q222" t="s">
        <v>915</v>
      </c>
      <c r="R222" s="7">
        <v>32752</v>
      </c>
      <c r="S222" s="8">
        <f t="shared" si="24"/>
        <v>1989</v>
      </c>
      <c r="T222" s="8">
        <v>1989</v>
      </c>
      <c r="U222" s="8">
        <f t="shared" si="25"/>
        <v>33</v>
      </c>
      <c r="V222" s="7">
        <v>32752</v>
      </c>
      <c r="W222" t="s">
        <v>111</v>
      </c>
      <c r="X222" s="2">
        <v>0.375</v>
      </c>
      <c r="Y222" s="6">
        <f t="shared" si="26"/>
        <v>1.0010410827260351E-2</v>
      </c>
      <c r="AA222">
        <v>135194</v>
      </c>
      <c r="AB222">
        <v>24918</v>
      </c>
      <c r="AD222" t="s">
        <v>1</v>
      </c>
      <c r="AE222">
        <v>25</v>
      </c>
      <c r="AF222">
        <v>4</v>
      </c>
      <c r="AH222" t="s">
        <v>914</v>
      </c>
      <c r="AI222" t="s">
        <v>913</v>
      </c>
      <c r="AJ222" t="s">
        <v>912</v>
      </c>
      <c r="AK222" t="s">
        <v>911</v>
      </c>
      <c r="AL222">
        <v>9</v>
      </c>
      <c r="AM222" s="5">
        <f t="shared" si="27"/>
        <v>0.27272727272727271</v>
      </c>
      <c r="AN222" s="4">
        <f t="shared" si="28"/>
        <v>4.1306667584592612E-4</v>
      </c>
      <c r="AO222" s="3"/>
      <c r="AP222">
        <v>0</v>
      </c>
      <c r="AR222" t="s">
        <v>0</v>
      </c>
      <c r="AT222" s="2">
        <v>1.3140000000000001</v>
      </c>
      <c r="AU222" s="1">
        <f t="shared" si="29"/>
        <v>0.71312075818360232</v>
      </c>
      <c r="AV222" s="1">
        <f t="shared" si="30"/>
        <v>0.52117387515531388</v>
      </c>
      <c r="AW222" s="1">
        <f t="shared" si="31"/>
        <v>0.32922699212702533</v>
      </c>
    </row>
    <row r="223" spans="1:49" x14ac:dyDescent="0.2">
      <c r="A223">
        <v>221</v>
      </c>
      <c r="B223" t="s">
        <v>910</v>
      </c>
      <c r="C223" t="s">
        <v>909</v>
      </c>
      <c r="F223" t="s">
        <v>908</v>
      </c>
      <c r="G223" t="s">
        <v>4</v>
      </c>
      <c r="H223" t="s">
        <v>3</v>
      </c>
      <c r="I223" t="s">
        <v>170</v>
      </c>
      <c r="J223" t="s">
        <v>907</v>
      </c>
      <c r="K223" t="s">
        <v>906</v>
      </c>
      <c r="L223" t="s">
        <v>905</v>
      </c>
      <c r="M223" t="s">
        <v>904</v>
      </c>
      <c r="N223">
        <v>4</v>
      </c>
      <c r="O223" t="s">
        <v>903</v>
      </c>
      <c r="P223" t="s">
        <v>902</v>
      </c>
      <c r="Q223" t="s">
        <v>901</v>
      </c>
      <c r="R223" s="7">
        <v>32752</v>
      </c>
      <c r="S223" s="8">
        <f t="shared" si="24"/>
        <v>1989</v>
      </c>
      <c r="T223" s="8">
        <v>1989</v>
      </c>
      <c r="U223" s="8">
        <f t="shared" si="25"/>
        <v>33</v>
      </c>
      <c r="V223" s="7">
        <v>32752</v>
      </c>
      <c r="W223" t="s">
        <v>111</v>
      </c>
      <c r="X223" s="2">
        <v>0.375</v>
      </c>
      <c r="Y223" s="6">
        <f t="shared" si="26"/>
        <v>1.0010410827260351E-2</v>
      </c>
      <c r="AA223">
        <v>135194</v>
      </c>
      <c r="AB223">
        <v>24918</v>
      </c>
      <c r="AD223" t="s">
        <v>1</v>
      </c>
      <c r="AE223">
        <v>25</v>
      </c>
      <c r="AF223">
        <v>2</v>
      </c>
      <c r="AH223" t="s">
        <v>900</v>
      </c>
      <c r="AI223" t="s">
        <v>899</v>
      </c>
      <c r="AJ223" t="s">
        <v>898</v>
      </c>
      <c r="AK223" t="s">
        <v>897</v>
      </c>
      <c r="AL223">
        <v>51</v>
      </c>
      <c r="AM223" s="5">
        <f t="shared" si="27"/>
        <v>1.5454545454545454</v>
      </c>
      <c r="AN223" s="4">
        <f t="shared" si="28"/>
        <v>2.3407111631269148E-3</v>
      </c>
      <c r="AO223" s="3"/>
      <c r="AP223">
        <v>0</v>
      </c>
      <c r="AR223" t="s">
        <v>0</v>
      </c>
      <c r="AT223" s="2">
        <v>1.3140000000000001</v>
      </c>
      <c r="AU223" s="1">
        <f t="shared" si="29"/>
        <v>0.77095009280203208</v>
      </c>
      <c r="AV223" s="1">
        <f t="shared" si="30"/>
        <v>0.6175560995193633</v>
      </c>
      <c r="AW223" s="1">
        <f t="shared" si="31"/>
        <v>0.46416210623669452</v>
      </c>
    </row>
    <row r="224" spans="1:49" x14ac:dyDescent="0.2">
      <c r="A224">
        <v>222</v>
      </c>
      <c r="B224" t="s">
        <v>896</v>
      </c>
      <c r="C224" t="s">
        <v>895</v>
      </c>
      <c r="F224" t="s">
        <v>894</v>
      </c>
      <c r="G224" t="s">
        <v>4</v>
      </c>
      <c r="H224" t="s">
        <v>3</v>
      </c>
      <c r="I224" t="s">
        <v>141</v>
      </c>
      <c r="J224" t="s">
        <v>893</v>
      </c>
      <c r="K224" t="s">
        <v>892</v>
      </c>
      <c r="L224" t="s">
        <v>891</v>
      </c>
      <c r="M224" t="s">
        <v>10</v>
      </c>
      <c r="N224">
        <v>2</v>
      </c>
      <c r="O224" t="s">
        <v>890</v>
      </c>
      <c r="P224" t="s">
        <v>889</v>
      </c>
      <c r="Q224" t="s">
        <v>888</v>
      </c>
      <c r="R224" s="7">
        <v>32752</v>
      </c>
      <c r="S224" s="8">
        <f t="shared" si="24"/>
        <v>1989</v>
      </c>
      <c r="T224" s="8">
        <v>1989</v>
      </c>
      <c r="U224" s="8">
        <f t="shared" si="25"/>
        <v>33</v>
      </c>
      <c r="V224" s="7">
        <v>32752</v>
      </c>
      <c r="W224" t="s">
        <v>111</v>
      </c>
      <c r="X224" s="2">
        <v>0.375</v>
      </c>
      <c r="Y224" s="6">
        <f t="shared" si="26"/>
        <v>1.0010410827260351E-2</v>
      </c>
      <c r="AA224">
        <v>135194</v>
      </c>
      <c r="AB224">
        <v>24918</v>
      </c>
      <c r="AD224" t="s">
        <v>1</v>
      </c>
      <c r="AE224">
        <v>25</v>
      </c>
      <c r="AF224">
        <v>2</v>
      </c>
      <c r="AH224">
        <v>98</v>
      </c>
      <c r="AI224" t="s">
        <v>887</v>
      </c>
      <c r="AJ224" t="s">
        <v>886</v>
      </c>
      <c r="AK224" t="s">
        <v>885</v>
      </c>
      <c r="AL224">
        <v>1</v>
      </c>
      <c r="AM224" s="5">
        <f t="shared" si="27"/>
        <v>3.0303030303030304E-2</v>
      </c>
      <c r="AN224" s="4">
        <f t="shared" si="28"/>
        <v>4.5896297316214016E-5</v>
      </c>
      <c r="AO224" s="3"/>
      <c r="AP224">
        <v>0</v>
      </c>
      <c r="AR224" t="s">
        <v>0</v>
      </c>
      <c r="AT224" s="2">
        <v>1.3140000000000001</v>
      </c>
      <c r="AU224" s="1">
        <f t="shared" si="29"/>
        <v>0.70210564682771104</v>
      </c>
      <c r="AV224" s="1">
        <f t="shared" si="30"/>
        <v>0.50281535622882823</v>
      </c>
      <c r="AW224" s="1">
        <f t="shared" si="31"/>
        <v>0.30352506562994552</v>
      </c>
    </row>
    <row r="225" spans="1:49" x14ac:dyDescent="0.2">
      <c r="A225">
        <v>223</v>
      </c>
      <c r="B225" t="s">
        <v>884</v>
      </c>
      <c r="C225" t="s">
        <v>883</v>
      </c>
      <c r="F225" t="s">
        <v>882</v>
      </c>
      <c r="G225" t="s">
        <v>4</v>
      </c>
      <c r="H225" t="s">
        <v>3</v>
      </c>
      <c r="I225" t="s">
        <v>881</v>
      </c>
      <c r="J225">
        <v>60001359</v>
      </c>
      <c r="K225" t="s">
        <v>227</v>
      </c>
      <c r="L225" t="s">
        <v>226</v>
      </c>
      <c r="M225" t="s">
        <v>37</v>
      </c>
      <c r="N225">
        <v>2</v>
      </c>
      <c r="O225" t="s">
        <v>880</v>
      </c>
      <c r="P225" t="s">
        <v>879</v>
      </c>
      <c r="Q225" t="s">
        <v>225</v>
      </c>
      <c r="R225" s="7">
        <v>32752</v>
      </c>
      <c r="S225" s="8">
        <f t="shared" si="24"/>
        <v>1989</v>
      </c>
      <c r="T225" s="8">
        <v>1989</v>
      </c>
      <c r="U225" s="8">
        <f t="shared" si="25"/>
        <v>33</v>
      </c>
      <c r="V225" s="7">
        <v>32752</v>
      </c>
      <c r="W225" t="s">
        <v>111</v>
      </c>
      <c r="X225" s="2">
        <v>0.375</v>
      </c>
      <c r="Y225" s="6">
        <f t="shared" si="26"/>
        <v>1.0010410827260351E-2</v>
      </c>
      <c r="AA225">
        <v>135194</v>
      </c>
      <c r="AB225">
        <v>24918</v>
      </c>
      <c r="AD225" t="s">
        <v>1</v>
      </c>
      <c r="AE225">
        <v>25</v>
      </c>
      <c r="AF225">
        <v>2</v>
      </c>
      <c r="AH225" t="s">
        <v>878</v>
      </c>
      <c r="AI225" t="s">
        <v>877</v>
      </c>
      <c r="AJ225" t="s">
        <v>876</v>
      </c>
      <c r="AK225" t="s">
        <v>875</v>
      </c>
      <c r="AL225">
        <v>2</v>
      </c>
      <c r="AM225" s="5">
        <f t="shared" si="27"/>
        <v>6.0606060606060608E-2</v>
      </c>
      <c r="AN225" s="4">
        <f t="shared" si="28"/>
        <v>9.1792594632428032E-5</v>
      </c>
      <c r="AO225" s="3"/>
      <c r="AP225">
        <v>0</v>
      </c>
      <c r="AR225" t="s">
        <v>0</v>
      </c>
      <c r="AT225" s="2">
        <v>1.3140000000000001</v>
      </c>
      <c r="AU225" s="1">
        <f t="shared" si="29"/>
        <v>0.70348253574719743</v>
      </c>
      <c r="AV225" s="1">
        <f t="shared" si="30"/>
        <v>0.50511017109463896</v>
      </c>
      <c r="AW225" s="1">
        <f t="shared" si="31"/>
        <v>0.30673780644208049</v>
      </c>
    </row>
    <row r="226" spans="1:49" x14ac:dyDescent="0.2">
      <c r="A226">
        <v>224</v>
      </c>
      <c r="B226" t="s">
        <v>874</v>
      </c>
      <c r="C226" t="s">
        <v>873</v>
      </c>
      <c r="F226" t="s">
        <v>872</v>
      </c>
      <c r="G226" t="s">
        <v>4</v>
      </c>
      <c r="H226" t="s">
        <v>3</v>
      </c>
      <c r="I226" t="s">
        <v>845</v>
      </c>
      <c r="J226">
        <v>60018829</v>
      </c>
      <c r="K226" t="s">
        <v>120</v>
      </c>
      <c r="L226" t="s">
        <v>119</v>
      </c>
      <c r="M226" t="s">
        <v>37</v>
      </c>
      <c r="N226">
        <v>1</v>
      </c>
      <c r="O226" t="s">
        <v>844</v>
      </c>
      <c r="P226">
        <v>7102125229</v>
      </c>
      <c r="Q226">
        <v>60018829</v>
      </c>
      <c r="R226" s="7">
        <v>32752</v>
      </c>
      <c r="S226" s="8">
        <f t="shared" si="24"/>
        <v>1989</v>
      </c>
      <c r="T226" s="8">
        <v>1989</v>
      </c>
      <c r="U226" s="8">
        <f t="shared" si="25"/>
        <v>33</v>
      </c>
      <c r="V226" s="7">
        <v>32752</v>
      </c>
      <c r="W226" t="s">
        <v>111</v>
      </c>
      <c r="X226" s="2">
        <v>0.375</v>
      </c>
      <c r="Y226" s="6">
        <f t="shared" si="26"/>
        <v>1.0010410827260351E-2</v>
      </c>
      <c r="AA226">
        <v>135194</v>
      </c>
      <c r="AB226">
        <v>24918</v>
      </c>
      <c r="AD226" t="s">
        <v>1</v>
      </c>
      <c r="AE226">
        <v>25</v>
      </c>
      <c r="AF226">
        <v>2</v>
      </c>
      <c r="AH226" t="s">
        <v>871</v>
      </c>
      <c r="AI226" t="s">
        <v>870</v>
      </c>
      <c r="AJ226" t="s">
        <v>237</v>
      </c>
      <c r="AK226" t="s">
        <v>869</v>
      </c>
      <c r="AL226">
        <v>3</v>
      </c>
      <c r="AM226" s="5">
        <f t="shared" si="27"/>
        <v>9.0909090909090912E-2</v>
      </c>
      <c r="AN226" s="4">
        <f t="shared" si="28"/>
        <v>1.3768889194864205E-4</v>
      </c>
      <c r="AO226" s="3"/>
      <c r="AP226">
        <v>0</v>
      </c>
      <c r="AR226" t="s">
        <v>0</v>
      </c>
      <c r="AT226" s="2">
        <v>1.3140000000000001</v>
      </c>
      <c r="AU226" s="1">
        <f t="shared" si="29"/>
        <v>0.70485942466668383</v>
      </c>
      <c r="AV226" s="1">
        <f t="shared" si="30"/>
        <v>0.50740498596044969</v>
      </c>
      <c r="AW226" s="1">
        <f t="shared" si="31"/>
        <v>0.30995054725421545</v>
      </c>
    </row>
    <row r="227" spans="1:49" x14ac:dyDescent="0.2">
      <c r="A227">
        <v>225</v>
      </c>
      <c r="B227" t="s">
        <v>868</v>
      </c>
      <c r="C227" t="s">
        <v>867</v>
      </c>
      <c r="D227" t="s">
        <v>866</v>
      </c>
      <c r="F227" t="s">
        <v>865</v>
      </c>
      <c r="G227" t="s">
        <v>4</v>
      </c>
      <c r="H227" t="s">
        <v>3</v>
      </c>
      <c r="I227" t="s">
        <v>864</v>
      </c>
      <c r="J227">
        <v>60025272</v>
      </c>
      <c r="K227" t="s">
        <v>222</v>
      </c>
      <c r="L227" t="s">
        <v>72</v>
      </c>
      <c r="M227" t="s">
        <v>13</v>
      </c>
      <c r="N227">
        <v>2</v>
      </c>
      <c r="O227" t="s">
        <v>863</v>
      </c>
      <c r="P227" t="s">
        <v>862</v>
      </c>
      <c r="Q227" t="s">
        <v>221</v>
      </c>
      <c r="R227" s="7">
        <v>32748</v>
      </c>
      <c r="S227" s="8">
        <f t="shared" si="24"/>
        <v>1989</v>
      </c>
      <c r="T227" s="8">
        <v>1989</v>
      </c>
      <c r="U227" s="8">
        <f t="shared" si="25"/>
        <v>33</v>
      </c>
      <c r="V227" s="7">
        <v>32748</v>
      </c>
      <c r="W227" t="s">
        <v>261</v>
      </c>
      <c r="X227" s="2">
        <v>0.499</v>
      </c>
      <c r="Y227" s="6">
        <f t="shared" si="26"/>
        <v>1.332052000747444E-2</v>
      </c>
      <c r="AA227">
        <v>3759601</v>
      </c>
      <c r="AB227">
        <v>29464</v>
      </c>
      <c r="AD227" t="s">
        <v>1</v>
      </c>
      <c r="AE227">
        <v>139</v>
      </c>
      <c r="AF227">
        <v>9</v>
      </c>
      <c r="AH227" t="s">
        <v>861</v>
      </c>
      <c r="AI227" t="s">
        <v>860</v>
      </c>
      <c r="AK227" t="s">
        <v>859</v>
      </c>
      <c r="AL227">
        <v>0</v>
      </c>
      <c r="AM227" s="5">
        <f t="shared" si="27"/>
        <v>0</v>
      </c>
      <c r="AN227" s="4">
        <f t="shared" si="28"/>
        <v>0</v>
      </c>
      <c r="AO227" s="3"/>
      <c r="AP227">
        <v>0</v>
      </c>
      <c r="AR227" t="s">
        <v>0</v>
      </c>
      <c r="AT227" s="2">
        <v>2.6539999999999999</v>
      </c>
      <c r="AU227" s="1">
        <f t="shared" si="29"/>
        <v>0.93243640052321086</v>
      </c>
      <c r="AV227" s="1">
        <f t="shared" si="30"/>
        <v>0.66602600037372195</v>
      </c>
      <c r="AW227" s="1">
        <f t="shared" si="31"/>
        <v>0.3996156002242332</v>
      </c>
    </row>
    <row r="228" spans="1:49" x14ac:dyDescent="0.2">
      <c r="A228">
        <v>226</v>
      </c>
      <c r="B228" t="s">
        <v>858</v>
      </c>
      <c r="C228" t="s">
        <v>857</v>
      </c>
      <c r="F228" t="s">
        <v>856</v>
      </c>
      <c r="G228" t="s">
        <v>4</v>
      </c>
      <c r="H228" t="s">
        <v>3</v>
      </c>
      <c r="I228" t="s">
        <v>855</v>
      </c>
      <c r="J228">
        <v>60009658</v>
      </c>
      <c r="K228" t="s">
        <v>161</v>
      </c>
      <c r="L228" t="s">
        <v>160</v>
      </c>
      <c r="M228" t="s">
        <v>37</v>
      </c>
      <c r="N228">
        <v>4</v>
      </c>
      <c r="O228" t="s">
        <v>854</v>
      </c>
      <c r="P228" t="s">
        <v>853</v>
      </c>
      <c r="Q228" t="s">
        <v>159</v>
      </c>
      <c r="R228" s="7">
        <v>32737</v>
      </c>
      <c r="S228" s="8">
        <f t="shared" si="24"/>
        <v>1989</v>
      </c>
      <c r="T228" s="8">
        <v>1989</v>
      </c>
      <c r="U228" s="8">
        <f t="shared" si="25"/>
        <v>33</v>
      </c>
      <c r="V228" s="7">
        <v>32737</v>
      </c>
      <c r="W228" t="s">
        <v>111</v>
      </c>
      <c r="X228" s="2">
        <v>0.375</v>
      </c>
      <c r="Y228" s="6">
        <f t="shared" si="26"/>
        <v>1.0010410827260351E-2</v>
      </c>
      <c r="AA228">
        <v>135194</v>
      </c>
      <c r="AB228">
        <v>24918</v>
      </c>
      <c r="AD228" t="s">
        <v>1</v>
      </c>
      <c r="AE228">
        <v>25</v>
      </c>
      <c r="AF228">
        <v>18</v>
      </c>
      <c r="AH228" t="s">
        <v>852</v>
      </c>
      <c r="AI228" t="s">
        <v>851</v>
      </c>
      <c r="AJ228" t="s">
        <v>850</v>
      </c>
      <c r="AK228" t="s">
        <v>849</v>
      </c>
      <c r="AL228">
        <v>43</v>
      </c>
      <c r="AM228" s="5">
        <f t="shared" si="27"/>
        <v>1.303030303030303</v>
      </c>
      <c r="AN228" s="4">
        <f t="shared" si="28"/>
        <v>1.9735407845972025E-3</v>
      </c>
      <c r="AO228" s="3"/>
      <c r="AP228">
        <v>0</v>
      </c>
      <c r="AR228" t="s">
        <v>0</v>
      </c>
      <c r="AT228" s="2">
        <v>1.3140000000000001</v>
      </c>
      <c r="AU228" s="1">
        <f t="shared" si="29"/>
        <v>0.75993498144614069</v>
      </c>
      <c r="AV228" s="1">
        <f t="shared" si="30"/>
        <v>0.59919758059287764</v>
      </c>
      <c r="AW228" s="1">
        <f t="shared" si="31"/>
        <v>0.43846017973961465</v>
      </c>
    </row>
    <row r="229" spans="1:49" x14ac:dyDescent="0.2">
      <c r="A229">
        <v>227</v>
      </c>
      <c r="B229" t="s">
        <v>848</v>
      </c>
      <c r="C229" t="s">
        <v>847</v>
      </c>
      <c r="F229" t="s">
        <v>846</v>
      </c>
      <c r="G229" t="s">
        <v>4</v>
      </c>
      <c r="H229" t="s">
        <v>3</v>
      </c>
      <c r="I229" t="s">
        <v>845</v>
      </c>
      <c r="J229">
        <v>60018829</v>
      </c>
      <c r="K229" t="s">
        <v>120</v>
      </c>
      <c r="L229" t="s">
        <v>119</v>
      </c>
      <c r="M229" t="s">
        <v>37</v>
      </c>
      <c r="N229">
        <v>1</v>
      </c>
      <c r="O229" t="s">
        <v>844</v>
      </c>
      <c r="P229">
        <v>7102125229</v>
      </c>
      <c r="Q229">
        <v>60018829</v>
      </c>
      <c r="R229" s="7">
        <v>32737</v>
      </c>
      <c r="S229" s="8">
        <f t="shared" si="24"/>
        <v>1989</v>
      </c>
      <c r="T229" s="8">
        <v>1989</v>
      </c>
      <c r="U229" s="8">
        <f t="shared" si="25"/>
        <v>33</v>
      </c>
      <c r="V229" s="7">
        <v>32737</v>
      </c>
      <c r="W229" t="s">
        <v>111</v>
      </c>
      <c r="X229" s="2">
        <v>0.375</v>
      </c>
      <c r="Y229" s="6">
        <f t="shared" si="26"/>
        <v>1.0010410827260351E-2</v>
      </c>
      <c r="AA229">
        <v>135194</v>
      </c>
      <c r="AB229">
        <v>24918</v>
      </c>
      <c r="AD229" t="s">
        <v>1</v>
      </c>
      <c r="AE229">
        <v>25</v>
      </c>
      <c r="AF229">
        <v>18</v>
      </c>
      <c r="AH229" t="s">
        <v>843</v>
      </c>
      <c r="AI229" t="s">
        <v>842</v>
      </c>
      <c r="AJ229" t="s">
        <v>841</v>
      </c>
      <c r="AK229" t="s">
        <v>840</v>
      </c>
      <c r="AL229">
        <v>3</v>
      </c>
      <c r="AM229" s="5">
        <f t="shared" si="27"/>
        <v>9.0909090909090912E-2</v>
      </c>
      <c r="AN229" s="4">
        <f t="shared" si="28"/>
        <v>1.3768889194864205E-4</v>
      </c>
      <c r="AO229" s="3"/>
      <c r="AP229">
        <v>0</v>
      </c>
      <c r="AR229" t="s">
        <v>0</v>
      </c>
      <c r="AT229" s="2">
        <v>1.3140000000000001</v>
      </c>
      <c r="AU229" s="1">
        <f t="shared" si="29"/>
        <v>0.70485942466668383</v>
      </c>
      <c r="AV229" s="1">
        <f t="shared" si="30"/>
        <v>0.50740498596044969</v>
      </c>
      <c r="AW229" s="1">
        <f t="shared" si="31"/>
        <v>0.30995054725421545</v>
      </c>
    </row>
    <row r="230" spans="1:49" x14ac:dyDescent="0.2">
      <c r="A230">
        <v>228</v>
      </c>
      <c r="B230" t="s">
        <v>839</v>
      </c>
      <c r="C230" t="s">
        <v>838</v>
      </c>
      <c r="F230" t="s">
        <v>837</v>
      </c>
      <c r="G230" t="s">
        <v>4</v>
      </c>
      <c r="H230" t="s">
        <v>3</v>
      </c>
      <c r="I230" t="s">
        <v>836</v>
      </c>
      <c r="J230">
        <v>100815960</v>
      </c>
      <c r="K230" t="s">
        <v>835</v>
      </c>
      <c r="L230" t="s">
        <v>834</v>
      </c>
      <c r="M230" t="s">
        <v>9</v>
      </c>
      <c r="N230">
        <v>3</v>
      </c>
      <c r="O230" t="s">
        <v>833</v>
      </c>
      <c r="P230" t="s">
        <v>832</v>
      </c>
      <c r="Q230" t="s">
        <v>831</v>
      </c>
      <c r="R230" s="7">
        <v>32737</v>
      </c>
      <c r="S230" s="8">
        <f t="shared" si="24"/>
        <v>1989</v>
      </c>
      <c r="T230" s="8">
        <v>1989</v>
      </c>
      <c r="U230" s="8">
        <f t="shared" si="25"/>
        <v>33</v>
      </c>
      <c r="V230" s="7">
        <v>32737</v>
      </c>
      <c r="W230" t="s">
        <v>111</v>
      </c>
      <c r="X230" s="2">
        <v>0.375</v>
      </c>
      <c r="Y230" s="6">
        <f t="shared" si="26"/>
        <v>1.0010410827260351E-2</v>
      </c>
      <c r="AA230">
        <v>135194</v>
      </c>
      <c r="AB230">
        <v>24918</v>
      </c>
      <c r="AD230" t="s">
        <v>1</v>
      </c>
      <c r="AE230">
        <v>25</v>
      </c>
      <c r="AF230">
        <v>18</v>
      </c>
      <c r="AH230" t="s">
        <v>830</v>
      </c>
      <c r="AI230" t="s">
        <v>829</v>
      </c>
      <c r="AJ230" t="s">
        <v>828</v>
      </c>
      <c r="AK230" t="s">
        <v>827</v>
      </c>
      <c r="AL230">
        <v>64</v>
      </c>
      <c r="AM230" s="5">
        <f t="shared" si="27"/>
        <v>1.9393939393939394</v>
      </c>
      <c r="AN230" s="4">
        <f t="shared" si="28"/>
        <v>2.937363028237697E-3</v>
      </c>
      <c r="AO230" s="3"/>
      <c r="AP230">
        <v>0</v>
      </c>
      <c r="AR230" t="s">
        <v>0</v>
      </c>
      <c r="AT230" s="2">
        <v>1.3140000000000001</v>
      </c>
      <c r="AU230" s="1">
        <f t="shared" si="29"/>
        <v>0.78884964875535546</v>
      </c>
      <c r="AV230" s="1">
        <f t="shared" si="30"/>
        <v>0.64738869277490241</v>
      </c>
      <c r="AW230" s="1">
        <f t="shared" si="31"/>
        <v>0.50592773679444936</v>
      </c>
    </row>
    <row r="231" spans="1:49" x14ac:dyDescent="0.2">
      <c r="A231">
        <v>229</v>
      </c>
      <c r="B231" t="s">
        <v>826</v>
      </c>
      <c r="C231" t="s">
        <v>825</v>
      </c>
      <c r="F231" t="s">
        <v>824</v>
      </c>
      <c r="G231" t="s">
        <v>4</v>
      </c>
      <c r="H231" t="s">
        <v>3</v>
      </c>
      <c r="I231" t="s">
        <v>823</v>
      </c>
      <c r="J231">
        <v>60030526</v>
      </c>
      <c r="K231" t="s">
        <v>121</v>
      </c>
      <c r="L231" t="s">
        <v>72</v>
      </c>
      <c r="M231" t="s">
        <v>13</v>
      </c>
      <c r="N231">
        <v>2</v>
      </c>
      <c r="O231" t="s">
        <v>822</v>
      </c>
      <c r="P231" t="s">
        <v>821</v>
      </c>
      <c r="Q231" t="s">
        <v>725</v>
      </c>
      <c r="R231" s="7">
        <v>32737</v>
      </c>
      <c r="S231" s="8">
        <f t="shared" si="24"/>
        <v>1989</v>
      </c>
      <c r="T231" s="8">
        <v>1989</v>
      </c>
      <c r="U231" s="8">
        <f t="shared" si="25"/>
        <v>33</v>
      </c>
      <c r="V231" s="7">
        <v>32737</v>
      </c>
      <c r="W231" t="s">
        <v>111</v>
      </c>
      <c r="X231" s="2">
        <v>0.375</v>
      </c>
      <c r="Y231" s="6">
        <f t="shared" si="26"/>
        <v>1.0010410827260351E-2</v>
      </c>
      <c r="AA231">
        <v>135194</v>
      </c>
      <c r="AB231">
        <v>24918</v>
      </c>
      <c r="AD231" t="s">
        <v>1</v>
      </c>
      <c r="AE231">
        <v>25</v>
      </c>
      <c r="AF231">
        <v>18</v>
      </c>
      <c r="AH231" t="s">
        <v>820</v>
      </c>
      <c r="AI231" t="s">
        <v>819</v>
      </c>
      <c r="AJ231" t="s">
        <v>722</v>
      </c>
      <c r="AK231" t="s">
        <v>818</v>
      </c>
      <c r="AL231">
        <v>23</v>
      </c>
      <c r="AM231" s="5">
        <f t="shared" si="27"/>
        <v>0.69696969696969702</v>
      </c>
      <c r="AN231" s="4">
        <f t="shared" si="28"/>
        <v>1.0556148382729225E-3</v>
      </c>
      <c r="AO231" s="3"/>
      <c r="AP231">
        <v>0</v>
      </c>
      <c r="AR231" t="s">
        <v>0</v>
      </c>
      <c r="AT231" s="2">
        <v>1.3140000000000001</v>
      </c>
      <c r="AU231" s="1">
        <f t="shared" si="29"/>
        <v>0.7323972030564122</v>
      </c>
      <c r="AV231" s="1">
        <f t="shared" si="30"/>
        <v>0.55330128327666372</v>
      </c>
      <c r="AW231" s="1">
        <f t="shared" si="31"/>
        <v>0.37420536349691508</v>
      </c>
    </row>
    <row r="232" spans="1:49" x14ac:dyDescent="0.2">
      <c r="A232">
        <v>230</v>
      </c>
      <c r="B232" t="s">
        <v>817</v>
      </c>
      <c r="C232" t="s">
        <v>816</v>
      </c>
      <c r="F232" t="s">
        <v>815</v>
      </c>
      <c r="G232" t="s">
        <v>4</v>
      </c>
      <c r="H232" t="s">
        <v>3</v>
      </c>
      <c r="I232" t="s">
        <v>127</v>
      </c>
      <c r="J232">
        <v>60010491</v>
      </c>
      <c r="K232" t="s">
        <v>126</v>
      </c>
      <c r="L232" t="s">
        <v>125</v>
      </c>
      <c r="M232" t="s">
        <v>6</v>
      </c>
      <c r="N232">
        <v>3</v>
      </c>
      <c r="O232" t="s">
        <v>814</v>
      </c>
      <c r="P232" t="s">
        <v>813</v>
      </c>
      <c r="Q232" t="s">
        <v>210</v>
      </c>
      <c r="R232" s="7">
        <v>32737</v>
      </c>
      <c r="S232" s="8">
        <f t="shared" si="24"/>
        <v>1989</v>
      </c>
      <c r="T232" s="8">
        <v>1989</v>
      </c>
      <c r="U232" s="8">
        <f t="shared" si="25"/>
        <v>33</v>
      </c>
      <c r="V232" s="7">
        <v>32737</v>
      </c>
      <c r="W232" t="s">
        <v>111</v>
      </c>
      <c r="X232" s="2">
        <v>0.375</v>
      </c>
      <c r="Y232" s="6">
        <f t="shared" si="26"/>
        <v>1.0010410827260351E-2</v>
      </c>
      <c r="AA232">
        <v>135194</v>
      </c>
      <c r="AB232">
        <v>24918</v>
      </c>
      <c r="AD232" t="s">
        <v>1</v>
      </c>
      <c r="AE232">
        <v>25</v>
      </c>
      <c r="AF232">
        <v>18</v>
      </c>
      <c r="AH232" t="s">
        <v>812</v>
      </c>
      <c r="AI232" t="s">
        <v>811</v>
      </c>
      <c r="AJ232" t="s">
        <v>810</v>
      </c>
      <c r="AK232" t="s">
        <v>809</v>
      </c>
      <c r="AL232">
        <v>213</v>
      </c>
      <c r="AM232" s="5">
        <f t="shared" si="27"/>
        <v>6.4545454545454541</v>
      </c>
      <c r="AN232" s="4">
        <f t="shared" si="28"/>
        <v>9.7759113283535839E-3</v>
      </c>
      <c r="AO232" s="3"/>
      <c r="AP232">
        <v>0</v>
      </c>
      <c r="AR232" t="s">
        <v>0</v>
      </c>
      <c r="AT232" s="2">
        <v>1.3140000000000001</v>
      </c>
      <c r="AU232" s="1">
        <f t="shared" si="29"/>
        <v>0.99400609775883197</v>
      </c>
      <c r="AV232" s="1">
        <f t="shared" si="30"/>
        <v>0.98931610778069667</v>
      </c>
      <c r="AW232" s="1">
        <f t="shared" si="31"/>
        <v>0.98462611780256137</v>
      </c>
    </row>
    <row r="233" spans="1:49" x14ac:dyDescent="0.2">
      <c r="A233">
        <v>231</v>
      </c>
      <c r="B233" t="s">
        <v>808</v>
      </c>
      <c r="C233" t="s">
        <v>807</v>
      </c>
      <c r="F233" t="s">
        <v>806</v>
      </c>
      <c r="G233" t="s">
        <v>4</v>
      </c>
      <c r="H233" t="s">
        <v>3</v>
      </c>
      <c r="I233" t="s">
        <v>805</v>
      </c>
      <c r="J233">
        <v>60014313</v>
      </c>
      <c r="K233" t="s">
        <v>133</v>
      </c>
      <c r="L233" t="s">
        <v>132</v>
      </c>
      <c r="M233" t="s">
        <v>6</v>
      </c>
      <c r="N233">
        <v>2</v>
      </c>
      <c r="O233" t="s">
        <v>804</v>
      </c>
      <c r="P233" t="s">
        <v>803</v>
      </c>
      <c r="Q233" t="s">
        <v>131</v>
      </c>
      <c r="R233" s="7">
        <v>32737</v>
      </c>
      <c r="S233" s="8">
        <f t="shared" si="24"/>
        <v>1989</v>
      </c>
      <c r="T233" s="8">
        <v>1989</v>
      </c>
      <c r="U233" s="8">
        <f t="shared" si="25"/>
        <v>33</v>
      </c>
      <c r="V233" s="7">
        <v>32737</v>
      </c>
      <c r="W233" t="s">
        <v>111</v>
      </c>
      <c r="X233" s="2">
        <v>0.375</v>
      </c>
      <c r="Y233" s="6">
        <f t="shared" si="26"/>
        <v>1.0010410827260351E-2</v>
      </c>
      <c r="AA233">
        <v>135194</v>
      </c>
      <c r="AB233">
        <v>24918</v>
      </c>
      <c r="AD233" t="s">
        <v>1</v>
      </c>
      <c r="AE233">
        <v>25</v>
      </c>
      <c r="AF233">
        <v>17</v>
      </c>
      <c r="AH233" t="s">
        <v>802</v>
      </c>
      <c r="AI233" t="s">
        <v>801</v>
      </c>
      <c r="AJ233" t="s">
        <v>800</v>
      </c>
      <c r="AK233" t="s">
        <v>799</v>
      </c>
      <c r="AL233">
        <v>8</v>
      </c>
      <c r="AM233" s="5">
        <f t="shared" si="27"/>
        <v>0.24242424242424243</v>
      </c>
      <c r="AN233" s="4">
        <f t="shared" si="28"/>
        <v>3.6717037852971213E-4</v>
      </c>
      <c r="AO233" s="3"/>
      <c r="AP233">
        <v>0</v>
      </c>
      <c r="AR233" t="s">
        <v>0</v>
      </c>
      <c r="AT233" s="2">
        <v>1.3140000000000001</v>
      </c>
      <c r="AU233" s="1">
        <f t="shared" si="29"/>
        <v>0.71174386926411592</v>
      </c>
      <c r="AV233" s="1">
        <f t="shared" si="30"/>
        <v>0.51887906028950326</v>
      </c>
      <c r="AW233" s="1">
        <f t="shared" si="31"/>
        <v>0.32601425131489037</v>
      </c>
    </row>
    <row r="234" spans="1:49" x14ac:dyDescent="0.2">
      <c r="A234">
        <v>232</v>
      </c>
      <c r="B234" t="s">
        <v>798</v>
      </c>
      <c r="C234" t="s">
        <v>797</v>
      </c>
      <c r="F234" t="s">
        <v>796</v>
      </c>
      <c r="G234" t="s">
        <v>4</v>
      </c>
      <c r="H234" t="s">
        <v>3</v>
      </c>
      <c r="I234" t="s">
        <v>795</v>
      </c>
      <c r="J234">
        <v>60018352</v>
      </c>
      <c r="K234" t="s">
        <v>794</v>
      </c>
      <c r="L234" t="s">
        <v>793</v>
      </c>
      <c r="M234" t="s">
        <v>13</v>
      </c>
      <c r="N234">
        <v>2</v>
      </c>
      <c r="O234" t="s">
        <v>792</v>
      </c>
      <c r="P234" t="s">
        <v>791</v>
      </c>
      <c r="Q234" t="s">
        <v>790</v>
      </c>
      <c r="R234" s="7">
        <v>32737</v>
      </c>
      <c r="S234" s="8">
        <f t="shared" si="24"/>
        <v>1989</v>
      </c>
      <c r="T234" s="8">
        <v>1989</v>
      </c>
      <c r="U234" s="8">
        <f t="shared" si="25"/>
        <v>33</v>
      </c>
      <c r="V234" s="7">
        <v>32737</v>
      </c>
      <c r="W234" t="s">
        <v>111</v>
      </c>
      <c r="X234" s="2">
        <v>0.375</v>
      </c>
      <c r="Y234" s="6">
        <f t="shared" si="26"/>
        <v>1.0010410827260351E-2</v>
      </c>
      <c r="AA234">
        <v>135194</v>
      </c>
      <c r="AB234">
        <v>24918</v>
      </c>
      <c r="AD234" t="s">
        <v>1</v>
      </c>
      <c r="AE234">
        <v>25</v>
      </c>
      <c r="AF234">
        <v>17</v>
      </c>
      <c r="AH234" t="s">
        <v>789</v>
      </c>
      <c r="AI234" t="s">
        <v>788</v>
      </c>
      <c r="AJ234" t="s">
        <v>787</v>
      </c>
      <c r="AK234" t="s">
        <v>786</v>
      </c>
      <c r="AL234">
        <v>2</v>
      </c>
      <c r="AM234" s="5">
        <f t="shared" si="27"/>
        <v>6.0606060606060608E-2</v>
      </c>
      <c r="AN234" s="4">
        <f t="shared" si="28"/>
        <v>9.1792594632428032E-5</v>
      </c>
      <c r="AO234" s="3"/>
      <c r="AP234">
        <v>0</v>
      </c>
      <c r="AR234" t="s">
        <v>0</v>
      </c>
      <c r="AT234" s="2">
        <v>1.3140000000000001</v>
      </c>
      <c r="AU234" s="1">
        <f t="shared" si="29"/>
        <v>0.70348253574719743</v>
      </c>
      <c r="AV234" s="1">
        <f t="shared" si="30"/>
        <v>0.50511017109463896</v>
      </c>
      <c r="AW234" s="1">
        <f t="shared" si="31"/>
        <v>0.30673780644208049</v>
      </c>
    </row>
    <row r="235" spans="1:49" x14ac:dyDescent="0.2">
      <c r="A235">
        <v>233</v>
      </c>
      <c r="B235" t="s">
        <v>785</v>
      </c>
      <c r="C235" t="s">
        <v>784</v>
      </c>
      <c r="F235" t="s">
        <v>783</v>
      </c>
      <c r="G235" t="s">
        <v>4</v>
      </c>
      <c r="H235" t="s">
        <v>3</v>
      </c>
      <c r="I235" t="s">
        <v>782</v>
      </c>
      <c r="J235">
        <v>60009658</v>
      </c>
      <c r="K235" t="s">
        <v>161</v>
      </c>
      <c r="L235" t="s">
        <v>160</v>
      </c>
      <c r="M235" t="s">
        <v>37</v>
      </c>
      <c r="N235">
        <v>2</v>
      </c>
      <c r="O235" t="s">
        <v>781</v>
      </c>
      <c r="P235" t="s">
        <v>780</v>
      </c>
      <c r="Q235" t="s">
        <v>779</v>
      </c>
      <c r="R235" s="7">
        <v>32737</v>
      </c>
      <c r="S235" s="8">
        <f t="shared" si="24"/>
        <v>1989</v>
      </c>
      <c r="T235" s="8">
        <v>1989</v>
      </c>
      <c r="U235" s="8">
        <f t="shared" si="25"/>
        <v>33</v>
      </c>
      <c r="V235" s="7">
        <v>32737</v>
      </c>
      <c r="W235" t="s">
        <v>111</v>
      </c>
      <c r="X235" s="2">
        <v>0.375</v>
      </c>
      <c r="Y235" s="6">
        <f t="shared" si="26"/>
        <v>1.0010410827260351E-2</v>
      </c>
      <c r="AA235">
        <v>135194</v>
      </c>
      <c r="AB235">
        <v>24918</v>
      </c>
      <c r="AD235" t="s">
        <v>1</v>
      </c>
      <c r="AE235">
        <v>25</v>
      </c>
      <c r="AF235">
        <v>17</v>
      </c>
      <c r="AH235" t="s">
        <v>778</v>
      </c>
      <c r="AI235" t="s">
        <v>777</v>
      </c>
      <c r="AJ235" t="s">
        <v>776</v>
      </c>
      <c r="AK235" t="s">
        <v>775</v>
      </c>
      <c r="AL235">
        <v>2</v>
      </c>
      <c r="AM235" s="5">
        <f t="shared" si="27"/>
        <v>6.0606060606060608E-2</v>
      </c>
      <c r="AN235" s="4">
        <f t="shared" si="28"/>
        <v>9.1792594632428032E-5</v>
      </c>
      <c r="AO235" s="3"/>
      <c r="AP235">
        <v>0</v>
      </c>
      <c r="AR235" t="s">
        <v>0</v>
      </c>
      <c r="AT235" s="2">
        <v>1.3140000000000001</v>
      </c>
      <c r="AU235" s="1">
        <f t="shared" si="29"/>
        <v>0.70348253574719743</v>
      </c>
      <c r="AV235" s="1">
        <f t="shared" si="30"/>
        <v>0.50511017109463896</v>
      </c>
      <c r="AW235" s="1">
        <f t="shared" si="31"/>
        <v>0.30673780644208049</v>
      </c>
    </row>
    <row r="236" spans="1:49" x14ac:dyDescent="0.2">
      <c r="A236">
        <v>234</v>
      </c>
      <c r="B236" t="s">
        <v>774</v>
      </c>
      <c r="C236" t="s">
        <v>773</v>
      </c>
      <c r="F236" t="s">
        <v>772</v>
      </c>
      <c r="G236" t="s">
        <v>4</v>
      </c>
      <c r="H236" t="s">
        <v>3</v>
      </c>
      <c r="I236" t="s">
        <v>771</v>
      </c>
      <c r="J236">
        <v>60018163</v>
      </c>
      <c r="K236" t="s">
        <v>770</v>
      </c>
      <c r="L236" t="s">
        <v>769</v>
      </c>
      <c r="M236" t="s">
        <v>176</v>
      </c>
      <c r="N236">
        <v>1</v>
      </c>
      <c r="O236" t="s">
        <v>768</v>
      </c>
      <c r="P236">
        <v>7004314808</v>
      </c>
      <c r="Q236">
        <v>60018163</v>
      </c>
      <c r="R236" s="7">
        <v>32735</v>
      </c>
      <c r="S236" s="8">
        <f t="shared" si="24"/>
        <v>1989</v>
      </c>
      <c r="T236" s="8">
        <v>1989</v>
      </c>
      <c r="U236" s="8">
        <f t="shared" si="25"/>
        <v>33</v>
      </c>
      <c r="V236" s="7">
        <v>32735</v>
      </c>
      <c r="W236" t="s">
        <v>767</v>
      </c>
      <c r="X236" s="2">
        <v>0.66800000000000004</v>
      </c>
      <c r="Y236" s="6">
        <f t="shared" si="26"/>
        <v>1.7831878486959774E-2</v>
      </c>
      <c r="AA236" t="s">
        <v>766</v>
      </c>
      <c r="AB236">
        <v>29593</v>
      </c>
      <c r="AC236">
        <v>21553165</v>
      </c>
      <c r="AD236" t="s">
        <v>1</v>
      </c>
      <c r="AE236">
        <v>28</v>
      </c>
      <c r="AF236">
        <v>16</v>
      </c>
      <c r="AH236" t="s">
        <v>765</v>
      </c>
      <c r="AI236" t="s">
        <v>764</v>
      </c>
      <c r="AK236" t="s">
        <v>763</v>
      </c>
      <c r="AL236">
        <v>49</v>
      </c>
      <c r="AM236" s="5">
        <f t="shared" si="27"/>
        <v>1.4848484848484849</v>
      </c>
      <c r="AN236" s="4">
        <f t="shared" si="28"/>
        <v>2.2489185684944867E-3</v>
      </c>
      <c r="AO236" s="3"/>
      <c r="AP236">
        <v>0</v>
      </c>
      <c r="AR236" t="s">
        <v>0</v>
      </c>
      <c r="AT236" s="2">
        <v>1.98</v>
      </c>
      <c r="AU236" s="1">
        <f t="shared" si="29"/>
        <v>1.3156990511420186</v>
      </c>
      <c r="AV236" s="1">
        <f t="shared" si="30"/>
        <v>1.004039852772713</v>
      </c>
      <c r="AW236" s="1">
        <f t="shared" si="31"/>
        <v>0.69238065440340724</v>
      </c>
    </row>
    <row r="237" spans="1:49" x14ac:dyDescent="0.2">
      <c r="A237">
        <v>235</v>
      </c>
      <c r="B237" t="s">
        <v>762</v>
      </c>
      <c r="C237" t="s">
        <v>761</v>
      </c>
      <c r="F237" t="s">
        <v>760</v>
      </c>
      <c r="G237" t="s">
        <v>4</v>
      </c>
      <c r="H237" t="s">
        <v>3</v>
      </c>
      <c r="I237" t="s">
        <v>759</v>
      </c>
      <c r="J237">
        <v>60032144</v>
      </c>
      <c r="K237" t="s">
        <v>182</v>
      </c>
      <c r="L237" t="s">
        <v>181</v>
      </c>
      <c r="M237" t="s">
        <v>167</v>
      </c>
      <c r="N237">
        <v>2</v>
      </c>
      <c r="O237" t="s">
        <v>758</v>
      </c>
      <c r="P237" t="s">
        <v>757</v>
      </c>
      <c r="Q237" t="s">
        <v>180</v>
      </c>
      <c r="R237" s="7">
        <v>32723</v>
      </c>
      <c r="S237" s="8">
        <f t="shared" si="24"/>
        <v>1989</v>
      </c>
      <c r="T237" s="8">
        <v>1989</v>
      </c>
      <c r="U237" s="8">
        <f t="shared" si="25"/>
        <v>33</v>
      </c>
      <c r="V237" s="7">
        <v>32723</v>
      </c>
      <c r="W237" t="s">
        <v>111</v>
      </c>
      <c r="X237" s="2">
        <v>0.375</v>
      </c>
      <c r="Y237" s="6">
        <f t="shared" si="26"/>
        <v>1.0010410827260351E-2</v>
      </c>
      <c r="AA237">
        <v>135194</v>
      </c>
      <c r="AB237">
        <v>24918</v>
      </c>
      <c r="AD237" t="s">
        <v>1</v>
      </c>
      <c r="AE237">
        <v>25</v>
      </c>
      <c r="AF237">
        <v>16</v>
      </c>
      <c r="AH237" t="s">
        <v>756</v>
      </c>
      <c r="AI237" t="s">
        <v>755</v>
      </c>
      <c r="AJ237" t="s">
        <v>754</v>
      </c>
      <c r="AK237" t="s">
        <v>753</v>
      </c>
      <c r="AL237">
        <v>2</v>
      </c>
      <c r="AM237" s="5">
        <f t="shared" si="27"/>
        <v>6.0606060606060608E-2</v>
      </c>
      <c r="AN237" s="4">
        <f t="shared" si="28"/>
        <v>9.1792594632428032E-5</v>
      </c>
      <c r="AO237" s="3"/>
      <c r="AP237">
        <v>0</v>
      </c>
      <c r="AR237" t="s">
        <v>0</v>
      </c>
      <c r="AT237" s="2">
        <v>1.3140000000000001</v>
      </c>
      <c r="AU237" s="1">
        <f t="shared" si="29"/>
        <v>0.70348253574719743</v>
      </c>
      <c r="AV237" s="1">
        <f t="shared" si="30"/>
        <v>0.50511017109463896</v>
      </c>
      <c r="AW237" s="1">
        <f t="shared" si="31"/>
        <v>0.30673780644208049</v>
      </c>
    </row>
    <row r="238" spans="1:49" x14ac:dyDescent="0.2">
      <c r="A238">
        <v>236</v>
      </c>
      <c r="B238" t="s">
        <v>752</v>
      </c>
      <c r="C238" t="s">
        <v>751</v>
      </c>
      <c r="F238" t="s">
        <v>750</v>
      </c>
      <c r="G238" t="s">
        <v>4</v>
      </c>
      <c r="H238" t="s">
        <v>3</v>
      </c>
      <c r="I238" t="s">
        <v>749</v>
      </c>
      <c r="J238">
        <v>60013682</v>
      </c>
      <c r="K238" t="s">
        <v>748</v>
      </c>
      <c r="L238" t="s">
        <v>747</v>
      </c>
      <c r="M238" t="s">
        <v>167</v>
      </c>
      <c r="N238">
        <v>2</v>
      </c>
      <c r="O238" t="s">
        <v>746</v>
      </c>
      <c r="P238" t="s">
        <v>745</v>
      </c>
      <c r="Q238" t="s">
        <v>744</v>
      </c>
      <c r="R238" s="7">
        <v>32723</v>
      </c>
      <c r="S238" s="8">
        <f t="shared" si="24"/>
        <v>1989</v>
      </c>
      <c r="T238" s="8">
        <v>1989</v>
      </c>
      <c r="U238" s="8">
        <f t="shared" si="25"/>
        <v>33</v>
      </c>
      <c r="V238" s="7">
        <v>32723</v>
      </c>
      <c r="W238" t="s">
        <v>111</v>
      </c>
      <c r="X238" s="2">
        <v>0.375</v>
      </c>
      <c r="Y238" s="6">
        <f t="shared" si="26"/>
        <v>1.0010410827260351E-2</v>
      </c>
      <c r="AA238">
        <v>135194</v>
      </c>
      <c r="AB238">
        <v>24918</v>
      </c>
      <c r="AD238" t="s">
        <v>1</v>
      </c>
      <c r="AE238">
        <v>25</v>
      </c>
      <c r="AF238">
        <v>16</v>
      </c>
      <c r="AH238" t="s">
        <v>743</v>
      </c>
      <c r="AI238" t="s">
        <v>742</v>
      </c>
      <c r="AJ238" t="s">
        <v>741</v>
      </c>
      <c r="AK238" t="s">
        <v>740</v>
      </c>
      <c r="AL238">
        <v>1</v>
      </c>
      <c r="AM238" s="5">
        <f t="shared" si="27"/>
        <v>3.0303030303030304E-2</v>
      </c>
      <c r="AN238" s="4">
        <f t="shared" si="28"/>
        <v>4.5896297316214016E-5</v>
      </c>
      <c r="AO238" s="3"/>
      <c r="AP238">
        <v>0</v>
      </c>
      <c r="AR238" t="s">
        <v>0</v>
      </c>
      <c r="AT238" s="2">
        <v>1.3140000000000001</v>
      </c>
      <c r="AU238" s="1">
        <f t="shared" si="29"/>
        <v>0.70210564682771104</v>
      </c>
      <c r="AV238" s="1">
        <f t="shared" si="30"/>
        <v>0.50281535622882823</v>
      </c>
      <c r="AW238" s="1">
        <f t="shared" si="31"/>
        <v>0.30352506562994552</v>
      </c>
    </row>
    <row r="239" spans="1:49" x14ac:dyDescent="0.2">
      <c r="A239">
        <v>237</v>
      </c>
      <c r="B239" t="s">
        <v>739</v>
      </c>
      <c r="C239" t="s">
        <v>738</v>
      </c>
      <c r="F239" t="s">
        <v>737</v>
      </c>
      <c r="G239" t="s">
        <v>4</v>
      </c>
      <c r="H239" t="s">
        <v>3</v>
      </c>
      <c r="I239" t="s">
        <v>736</v>
      </c>
      <c r="J239">
        <v>60014313</v>
      </c>
      <c r="K239" t="s">
        <v>133</v>
      </c>
      <c r="L239" t="s">
        <v>132</v>
      </c>
      <c r="M239" t="s">
        <v>6</v>
      </c>
      <c r="N239">
        <v>1</v>
      </c>
      <c r="O239" t="s">
        <v>735</v>
      </c>
      <c r="P239">
        <v>7006061921</v>
      </c>
      <c r="Q239">
        <v>60014313</v>
      </c>
      <c r="R239" s="7">
        <v>32723</v>
      </c>
      <c r="S239" s="8">
        <f t="shared" si="24"/>
        <v>1989</v>
      </c>
      <c r="T239" s="8">
        <v>1989</v>
      </c>
      <c r="U239" s="8">
        <f t="shared" si="25"/>
        <v>33</v>
      </c>
      <c r="V239" s="7">
        <v>32723</v>
      </c>
      <c r="W239" t="s">
        <v>111</v>
      </c>
      <c r="X239" s="2">
        <v>0.375</v>
      </c>
      <c r="Y239" s="6">
        <f t="shared" si="26"/>
        <v>1.0010410827260351E-2</v>
      </c>
      <c r="AA239">
        <v>135194</v>
      </c>
      <c r="AB239">
        <v>24918</v>
      </c>
      <c r="AD239" t="s">
        <v>1</v>
      </c>
      <c r="AE239">
        <v>25</v>
      </c>
      <c r="AF239">
        <v>16</v>
      </c>
      <c r="AH239" t="s">
        <v>734</v>
      </c>
      <c r="AI239" t="s">
        <v>733</v>
      </c>
      <c r="AJ239" t="s">
        <v>732</v>
      </c>
      <c r="AK239" t="s">
        <v>731</v>
      </c>
      <c r="AL239">
        <v>33</v>
      </c>
      <c r="AM239" s="5">
        <f t="shared" si="27"/>
        <v>1</v>
      </c>
      <c r="AN239" s="4">
        <f t="shared" si="28"/>
        <v>1.5145778114350624E-3</v>
      </c>
      <c r="AO239" s="3"/>
      <c r="AP239">
        <v>0</v>
      </c>
      <c r="AR239" t="s">
        <v>0</v>
      </c>
      <c r="AT239" s="2">
        <v>1.3140000000000001</v>
      </c>
      <c r="AU239" s="1">
        <f t="shared" si="29"/>
        <v>0.74616609225127639</v>
      </c>
      <c r="AV239" s="1">
        <f t="shared" si="30"/>
        <v>0.57624943193477074</v>
      </c>
      <c r="AW239" s="1">
        <f t="shared" si="31"/>
        <v>0.40633277161826492</v>
      </c>
    </row>
    <row r="240" spans="1:49" x14ac:dyDescent="0.2">
      <c r="A240">
        <v>238</v>
      </c>
      <c r="B240" t="s">
        <v>730</v>
      </c>
      <c r="C240" t="s">
        <v>729</v>
      </c>
      <c r="F240" t="s">
        <v>728</v>
      </c>
      <c r="G240" t="s">
        <v>4</v>
      </c>
      <c r="H240" t="s">
        <v>3</v>
      </c>
      <c r="I240" t="s">
        <v>122</v>
      </c>
      <c r="J240">
        <v>60030526</v>
      </c>
      <c r="K240" t="s">
        <v>121</v>
      </c>
      <c r="L240" t="s">
        <v>72</v>
      </c>
      <c r="M240" t="s">
        <v>13</v>
      </c>
      <c r="N240">
        <v>2</v>
      </c>
      <c r="O240" t="s">
        <v>727</v>
      </c>
      <c r="P240" t="s">
        <v>726</v>
      </c>
      <c r="Q240" t="s">
        <v>725</v>
      </c>
      <c r="R240" s="7">
        <v>32723</v>
      </c>
      <c r="S240" s="8">
        <f t="shared" si="24"/>
        <v>1989</v>
      </c>
      <c r="T240" s="8">
        <v>1989</v>
      </c>
      <c r="U240" s="8">
        <f t="shared" si="25"/>
        <v>33</v>
      </c>
      <c r="V240" s="7">
        <v>32723</v>
      </c>
      <c r="W240" t="s">
        <v>111</v>
      </c>
      <c r="X240" s="2">
        <v>0.375</v>
      </c>
      <c r="Y240" s="6">
        <f t="shared" si="26"/>
        <v>1.0010410827260351E-2</v>
      </c>
      <c r="AA240">
        <v>135194</v>
      </c>
      <c r="AB240">
        <v>24918</v>
      </c>
      <c r="AD240" t="s">
        <v>1</v>
      </c>
      <c r="AE240">
        <v>25</v>
      </c>
      <c r="AF240">
        <v>16</v>
      </c>
      <c r="AH240" t="s">
        <v>724</v>
      </c>
      <c r="AI240" t="s">
        <v>723</v>
      </c>
      <c r="AJ240" t="s">
        <v>722</v>
      </c>
      <c r="AK240" t="s">
        <v>721</v>
      </c>
      <c r="AL240">
        <v>42</v>
      </c>
      <c r="AM240" s="5">
        <f t="shared" si="27"/>
        <v>1.2727272727272727</v>
      </c>
      <c r="AN240" s="4">
        <f t="shared" si="28"/>
        <v>1.9276444872809886E-3</v>
      </c>
      <c r="AO240" s="3"/>
      <c r="AP240">
        <v>0</v>
      </c>
      <c r="AR240" t="s">
        <v>0</v>
      </c>
      <c r="AT240" s="2">
        <v>1.3140000000000001</v>
      </c>
      <c r="AU240" s="1">
        <f t="shared" si="29"/>
        <v>0.75855809252665418</v>
      </c>
      <c r="AV240" s="1">
        <f t="shared" si="30"/>
        <v>0.59690276572706702</v>
      </c>
      <c r="AW240" s="1">
        <f t="shared" si="31"/>
        <v>0.43524743892747969</v>
      </c>
    </row>
    <row r="241" spans="1:49" x14ac:dyDescent="0.2">
      <c r="A241">
        <v>239</v>
      </c>
      <c r="B241" t="s">
        <v>720</v>
      </c>
      <c r="C241" t="s">
        <v>719</v>
      </c>
      <c r="F241" t="s">
        <v>718</v>
      </c>
      <c r="G241" t="s">
        <v>4</v>
      </c>
      <c r="H241" t="s">
        <v>3</v>
      </c>
      <c r="I241" t="s">
        <v>717</v>
      </c>
      <c r="J241">
        <v>60011460</v>
      </c>
      <c r="K241" t="s">
        <v>220</v>
      </c>
      <c r="L241" t="s">
        <v>219</v>
      </c>
      <c r="M241" t="s">
        <v>6</v>
      </c>
      <c r="N241">
        <v>2</v>
      </c>
      <c r="O241" t="s">
        <v>716</v>
      </c>
      <c r="P241" t="s">
        <v>715</v>
      </c>
      <c r="Q241" t="s">
        <v>218</v>
      </c>
      <c r="R241" s="7">
        <v>32721</v>
      </c>
      <c r="S241" s="8">
        <f t="shared" si="24"/>
        <v>1989</v>
      </c>
      <c r="T241" s="8">
        <v>1989</v>
      </c>
      <c r="U241" s="8">
        <f t="shared" si="25"/>
        <v>33</v>
      </c>
      <c r="V241" s="7">
        <v>32721</v>
      </c>
      <c r="W241" t="s">
        <v>14</v>
      </c>
      <c r="X241" s="2">
        <v>1.1579999999999999</v>
      </c>
      <c r="Y241" s="6">
        <f t="shared" si="26"/>
        <v>3.0912148634579962E-2</v>
      </c>
      <c r="AA241">
        <v>1668595</v>
      </c>
      <c r="AB241">
        <v>14223</v>
      </c>
      <c r="AC241">
        <v>15735079</v>
      </c>
      <c r="AD241" t="s">
        <v>1</v>
      </c>
      <c r="AE241">
        <v>21</v>
      </c>
      <c r="AF241">
        <v>2</v>
      </c>
      <c r="AH241" t="s">
        <v>714</v>
      </c>
      <c r="AI241" t="s">
        <v>713</v>
      </c>
      <c r="AJ241" t="s">
        <v>712</v>
      </c>
      <c r="AK241" t="s">
        <v>711</v>
      </c>
      <c r="AL241">
        <v>15</v>
      </c>
      <c r="AM241" s="5">
        <f t="shared" si="27"/>
        <v>0.45454545454545453</v>
      </c>
      <c r="AN241" s="4">
        <f t="shared" si="28"/>
        <v>6.8844445974321016E-4</v>
      </c>
      <c r="AO241" s="3"/>
      <c r="AP241">
        <v>0</v>
      </c>
      <c r="AR241" t="s">
        <v>0</v>
      </c>
      <c r="AT241" s="2">
        <v>3.573</v>
      </c>
      <c r="AU241" s="1">
        <f t="shared" si="29"/>
        <v>2.1845037382128933</v>
      </c>
      <c r="AV241" s="1">
        <f t="shared" si="30"/>
        <v>1.5800296547161585</v>
      </c>
      <c r="AW241" s="1">
        <f t="shared" si="31"/>
        <v>0.97555557121942349</v>
      </c>
    </row>
    <row r="242" spans="1:49" x14ac:dyDescent="0.2">
      <c r="A242">
        <v>240</v>
      </c>
      <c r="B242" t="s">
        <v>710</v>
      </c>
      <c r="C242" t="s">
        <v>709</v>
      </c>
      <c r="F242" t="s">
        <v>708</v>
      </c>
      <c r="G242" t="s">
        <v>4</v>
      </c>
      <c r="H242" t="s">
        <v>3</v>
      </c>
      <c r="I242" t="s">
        <v>258</v>
      </c>
      <c r="N242">
        <v>2</v>
      </c>
      <c r="O242" t="s">
        <v>707</v>
      </c>
      <c r="P242" t="s">
        <v>706</v>
      </c>
      <c r="Q242" t="s">
        <v>51</v>
      </c>
      <c r="R242" s="7">
        <v>32721</v>
      </c>
      <c r="S242" s="8">
        <f t="shared" si="24"/>
        <v>1989</v>
      </c>
      <c r="T242" s="8">
        <v>1989</v>
      </c>
      <c r="U242" s="8">
        <f t="shared" si="25"/>
        <v>33</v>
      </c>
      <c r="V242" s="7">
        <v>32721</v>
      </c>
      <c r="W242" t="s">
        <v>197</v>
      </c>
      <c r="X242" s="2">
        <v>0.318</v>
      </c>
      <c r="Y242" s="6">
        <f t="shared" si="26"/>
        <v>8.4888283815167786E-3</v>
      </c>
      <c r="AA242">
        <v>338443</v>
      </c>
      <c r="AB242">
        <v>27160</v>
      </c>
      <c r="AC242">
        <v>15739120</v>
      </c>
      <c r="AD242" t="s">
        <v>1</v>
      </c>
      <c r="AE242">
        <v>32</v>
      </c>
      <c r="AF242">
        <v>8</v>
      </c>
      <c r="AH242" t="s">
        <v>705</v>
      </c>
      <c r="AL242">
        <v>0</v>
      </c>
      <c r="AM242" s="5">
        <f t="shared" si="27"/>
        <v>0</v>
      </c>
      <c r="AN242" s="4">
        <f t="shared" si="28"/>
        <v>0</v>
      </c>
      <c r="AO242" s="3"/>
      <c r="AP242">
        <v>0</v>
      </c>
      <c r="AR242" t="s">
        <v>0</v>
      </c>
      <c r="AT242" s="2">
        <v>0.77</v>
      </c>
      <c r="AU242" s="1">
        <f t="shared" si="29"/>
        <v>0.59421798670617454</v>
      </c>
      <c r="AV242" s="1">
        <f t="shared" si="30"/>
        <v>0.42444141907583893</v>
      </c>
      <c r="AW242" s="1">
        <f t="shared" si="31"/>
        <v>0.25466485144550338</v>
      </c>
    </row>
    <row r="243" spans="1:49" x14ac:dyDescent="0.2">
      <c r="A243">
        <v>241</v>
      </c>
      <c r="B243" t="s">
        <v>704</v>
      </c>
      <c r="C243" t="s">
        <v>703</v>
      </c>
      <c r="F243" t="s">
        <v>702</v>
      </c>
      <c r="G243" t="s">
        <v>4</v>
      </c>
      <c r="H243" t="s">
        <v>3</v>
      </c>
      <c r="I243" t="s">
        <v>701</v>
      </c>
      <c r="J243" t="s">
        <v>700</v>
      </c>
      <c r="K243" t="s">
        <v>699</v>
      </c>
      <c r="L243" t="s">
        <v>698</v>
      </c>
      <c r="M243" t="s">
        <v>10</v>
      </c>
      <c r="N243">
        <v>5</v>
      </c>
      <c r="O243" t="s">
        <v>697</v>
      </c>
      <c r="P243" t="s">
        <v>696</v>
      </c>
      <c r="Q243" t="s">
        <v>695</v>
      </c>
      <c r="R243" s="7">
        <v>32721</v>
      </c>
      <c r="S243" s="8">
        <f t="shared" si="24"/>
        <v>1989</v>
      </c>
      <c r="T243" s="8">
        <v>1989</v>
      </c>
      <c r="U243" s="8">
        <f t="shared" si="25"/>
        <v>33</v>
      </c>
      <c r="V243" s="7">
        <v>32721</v>
      </c>
      <c r="W243" t="s">
        <v>196</v>
      </c>
      <c r="X243" s="2">
        <v>0.61499999999999999</v>
      </c>
      <c r="Y243" s="6">
        <f t="shared" si="26"/>
        <v>1.6417073756706976E-2</v>
      </c>
      <c r="AA243">
        <v>1959271</v>
      </c>
      <c r="AB243">
        <v>12141</v>
      </c>
      <c r="AC243">
        <v>15729559</v>
      </c>
      <c r="AD243" t="s">
        <v>1</v>
      </c>
      <c r="AE243">
        <v>10</v>
      </c>
      <c r="AF243">
        <v>8</v>
      </c>
      <c r="AH243" t="s">
        <v>694</v>
      </c>
      <c r="AI243" t="s">
        <v>693</v>
      </c>
      <c r="AJ243" t="s">
        <v>692</v>
      </c>
      <c r="AK243" t="s">
        <v>691</v>
      </c>
      <c r="AL243">
        <v>48</v>
      </c>
      <c r="AM243" s="5">
        <f t="shared" si="27"/>
        <v>1.4545454545454546</v>
      </c>
      <c r="AN243" s="4">
        <f t="shared" si="28"/>
        <v>2.2030222711782728E-3</v>
      </c>
      <c r="AO243" s="3"/>
      <c r="AP243">
        <v>0</v>
      </c>
      <c r="AR243" t="s">
        <v>0</v>
      </c>
      <c r="AT243" s="2" t="s">
        <v>5</v>
      </c>
      <c r="AU243" s="1">
        <f t="shared" si="29"/>
        <v>1.2152858311048362</v>
      </c>
      <c r="AV243" s="1">
        <f t="shared" si="30"/>
        <v>0.93100480139426245</v>
      </c>
      <c r="AW243" s="1">
        <f t="shared" si="31"/>
        <v>0.64672377168368833</v>
      </c>
    </row>
    <row r="244" spans="1:49" x14ac:dyDescent="0.2">
      <c r="A244">
        <v>242</v>
      </c>
      <c r="B244" t="s">
        <v>690</v>
      </c>
      <c r="C244" t="s">
        <v>689</v>
      </c>
      <c r="E244">
        <v>2675973</v>
      </c>
      <c r="F244" t="s">
        <v>688</v>
      </c>
      <c r="G244" t="s">
        <v>4</v>
      </c>
      <c r="H244" t="s">
        <v>3</v>
      </c>
      <c r="I244" t="s">
        <v>687</v>
      </c>
      <c r="J244">
        <v>60005455</v>
      </c>
      <c r="K244" t="s">
        <v>686</v>
      </c>
      <c r="L244" t="s">
        <v>62</v>
      </c>
      <c r="M244" t="s">
        <v>6</v>
      </c>
      <c r="N244">
        <v>4</v>
      </c>
      <c r="O244" t="s">
        <v>685</v>
      </c>
      <c r="P244" t="s">
        <v>684</v>
      </c>
      <c r="Q244" t="s">
        <v>683</v>
      </c>
      <c r="R244" s="7">
        <v>32721</v>
      </c>
      <c r="S244" s="8">
        <f t="shared" si="24"/>
        <v>1989</v>
      </c>
      <c r="T244" s="8">
        <v>1989</v>
      </c>
      <c r="U244" s="8">
        <f t="shared" si="25"/>
        <v>33</v>
      </c>
      <c r="V244" s="7">
        <v>32721</v>
      </c>
      <c r="W244" t="s">
        <v>188</v>
      </c>
      <c r="X244" s="2">
        <v>1.43</v>
      </c>
      <c r="Y244" s="6">
        <f t="shared" si="26"/>
        <v>3.8173033287952803E-2</v>
      </c>
      <c r="AA244">
        <v>62960</v>
      </c>
      <c r="AB244">
        <v>16867</v>
      </c>
      <c r="AC244">
        <v>15204995</v>
      </c>
      <c r="AD244" t="s">
        <v>1</v>
      </c>
      <c r="AE244">
        <v>28</v>
      </c>
      <c r="AF244">
        <v>16</v>
      </c>
      <c r="AH244" t="s">
        <v>682</v>
      </c>
      <c r="AI244" t="s">
        <v>681</v>
      </c>
      <c r="AK244" t="s">
        <v>680</v>
      </c>
      <c r="AL244">
        <v>102</v>
      </c>
      <c r="AM244" s="5">
        <f t="shared" si="27"/>
        <v>3.0909090909090908</v>
      </c>
      <c r="AN244" s="4">
        <f t="shared" si="28"/>
        <v>4.6814223262538297E-3</v>
      </c>
      <c r="AO244" s="3"/>
      <c r="AP244">
        <v>0</v>
      </c>
      <c r="AQ244" t="s">
        <v>145</v>
      </c>
      <c r="AR244" t="s">
        <v>679</v>
      </c>
      <c r="AS244" t="s">
        <v>144</v>
      </c>
      <c r="AT244" s="2">
        <v>3.1619999999999999</v>
      </c>
      <c r="AU244" s="1">
        <f t="shared" si="29"/>
        <v>2.8125549999443109</v>
      </c>
      <c r="AV244" s="1">
        <f t="shared" si="30"/>
        <v>2.1427227807103315</v>
      </c>
      <c r="AW244" s="1">
        <f t="shared" si="31"/>
        <v>1.4728905614763521</v>
      </c>
    </row>
    <row r="245" spans="1:49" x14ac:dyDescent="0.2">
      <c r="A245">
        <v>243</v>
      </c>
      <c r="B245" t="s">
        <v>678</v>
      </c>
      <c r="F245" t="s">
        <v>677</v>
      </c>
      <c r="G245" t="s">
        <v>4</v>
      </c>
      <c r="H245" t="s">
        <v>3</v>
      </c>
      <c r="I245" t="s">
        <v>676</v>
      </c>
      <c r="N245">
        <v>2</v>
      </c>
      <c r="O245" t="s">
        <v>675</v>
      </c>
      <c r="P245" t="s">
        <v>674</v>
      </c>
      <c r="Q245" t="s">
        <v>51</v>
      </c>
      <c r="R245" s="7">
        <v>32721</v>
      </c>
      <c r="S245" s="8">
        <f t="shared" si="24"/>
        <v>1989</v>
      </c>
      <c r="T245" s="8">
        <v>1989</v>
      </c>
      <c r="U245" s="8">
        <f t="shared" si="25"/>
        <v>33</v>
      </c>
      <c r="V245" s="7">
        <v>32721</v>
      </c>
      <c r="W245" t="s">
        <v>52</v>
      </c>
      <c r="X245" s="2" t="s">
        <v>5</v>
      </c>
      <c r="Y245" s="6" t="e">
        <f t="shared" si="26"/>
        <v>#VALUE!</v>
      </c>
      <c r="AA245">
        <v>87566648</v>
      </c>
      <c r="AB245">
        <v>74127</v>
      </c>
      <c r="AD245" t="s">
        <v>1</v>
      </c>
      <c r="AE245">
        <v>34</v>
      </c>
      <c r="AF245">
        <v>8</v>
      </c>
      <c r="AH245" t="s">
        <v>673</v>
      </c>
      <c r="AI245" t="s">
        <v>672</v>
      </c>
      <c r="AK245" t="s">
        <v>671</v>
      </c>
      <c r="AL245">
        <v>0</v>
      </c>
      <c r="AM245" s="5">
        <f t="shared" si="27"/>
        <v>0</v>
      </c>
      <c r="AN245" s="4">
        <f t="shared" si="28"/>
        <v>0</v>
      </c>
      <c r="AO245" s="3"/>
      <c r="AP245">
        <v>0</v>
      </c>
      <c r="AR245" t="s">
        <v>0</v>
      </c>
      <c r="AT245" s="2" t="s">
        <v>5</v>
      </c>
      <c r="AU245" s="1" t="e">
        <f t="shared" si="29"/>
        <v>#VALUE!</v>
      </c>
      <c r="AV245" s="1" t="e">
        <f t="shared" si="30"/>
        <v>#VALUE!</v>
      </c>
      <c r="AW245" s="1" t="e">
        <f t="shared" si="31"/>
        <v>#VALUE!</v>
      </c>
    </row>
    <row r="246" spans="1:49" x14ac:dyDescent="0.2">
      <c r="A246">
        <v>244</v>
      </c>
      <c r="B246" t="s">
        <v>670</v>
      </c>
      <c r="F246" t="s">
        <v>669</v>
      </c>
      <c r="G246" t="s">
        <v>4</v>
      </c>
      <c r="H246" t="s">
        <v>3</v>
      </c>
      <c r="I246" t="s">
        <v>668</v>
      </c>
      <c r="N246">
        <v>2</v>
      </c>
      <c r="O246" t="s">
        <v>667</v>
      </c>
      <c r="P246" t="s">
        <v>666</v>
      </c>
      <c r="Q246" t="s">
        <v>51</v>
      </c>
      <c r="R246" s="7">
        <v>32721</v>
      </c>
      <c r="S246" s="8">
        <f t="shared" si="24"/>
        <v>1989</v>
      </c>
      <c r="T246" s="8">
        <v>1989</v>
      </c>
      <c r="U246" s="8">
        <f t="shared" si="25"/>
        <v>33</v>
      </c>
      <c r="V246" s="7">
        <v>32721</v>
      </c>
      <c r="W246" t="s">
        <v>52</v>
      </c>
      <c r="X246" s="2" t="s">
        <v>5</v>
      </c>
      <c r="Y246" s="6" t="e">
        <f t="shared" si="26"/>
        <v>#VALUE!</v>
      </c>
      <c r="AA246">
        <v>87566648</v>
      </c>
      <c r="AB246">
        <v>74127</v>
      </c>
      <c r="AD246" t="s">
        <v>1</v>
      </c>
      <c r="AE246">
        <v>34</v>
      </c>
      <c r="AF246">
        <v>8</v>
      </c>
      <c r="AH246" t="s">
        <v>665</v>
      </c>
      <c r="AI246" t="s">
        <v>664</v>
      </c>
      <c r="AK246" t="s">
        <v>663</v>
      </c>
      <c r="AL246">
        <v>0</v>
      </c>
      <c r="AM246" s="5">
        <f t="shared" si="27"/>
        <v>0</v>
      </c>
      <c r="AN246" s="4">
        <f t="shared" si="28"/>
        <v>0</v>
      </c>
      <c r="AO246" s="3"/>
      <c r="AP246">
        <v>0</v>
      </c>
      <c r="AR246" t="s">
        <v>0</v>
      </c>
      <c r="AT246" s="2" t="s">
        <v>5</v>
      </c>
      <c r="AU246" s="1" t="e">
        <f t="shared" si="29"/>
        <v>#VALUE!</v>
      </c>
      <c r="AV246" s="1" t="e">
        <f t="shared" si="30"/>
        <v>#VALUE!</v>
      </c>
      <c r="AW246" s="1" t="e">
        <f t="shared" si="31"/>
        <v>#VALUE!</v>
      </c>
    </row>
    <row r="247" spans="1:49" x14ac:dyDescent="0.2">
      <c r="A247">
        <v>245</v>
      </c>
      <c r="B247" t="s">
        <v>662</v>
      </c>
      <c r="C247" t="s">
        <v>661</v>
      </c>
      <c r="F247" t="s">
        <v>660</v>
      </c>
      <c r="G247" t="s">
        <v>4</v>
      </c>
      <c r="H247" t="s">
        <v>3</v>
      </c>
      <c r="I247" t="s">
        <v>659</v>
      </c>
      <c r="J247">
        <v>60000264</v>
      </c>
      <c r="K247" t="s">
        <v>191</v>
      </c>
      <c r="L247" t="s">
        <v>123</v>
      </c>
      <c r="M247" t="s">
        <v>13</v>
      </c>
      <c r="N247">
        <v>20</v>
      </c>
      <c r="O247" t="s">
        <v>658</v>
      </c>
      <c r="P247" t="s">
        <v>657</v>
      </c>
      <c r="Q247" t="s">
        <v>656</v>
      </c>
      <c r="R247" s="7">
        <v>32721</v>
      </c>
      <c r="S247" s="8">
        <f t="shared" si="24"/>
        <v>1989</v>
      </c>
      <c r="T247" s="8">
        <v>1989</v>
      </c>
      <c r="U247" s="8">
        <f t="shared" si="25"/>
        <v>33</v>
      </c>
      <c r="V247" s="7">
        <v>32721</v>
      </c>
      <c r="W247" t="s">
        <v>175</v>
      </c>
      <c r="X247" s="2">
        <v>0.371</v>
      </c>
      <c r="Y247" s="6">
        <f t="shared" si="26"/>
        <v>9.9036331117695747E-3</v>
      </c>
      <c r="AA247">
        <v>214922</v>
      </c>
      <c r="AB247">
        <v>130262</v>
      </c>
      <c r="AC247">
        <v>13474065</v>
      </c>
      <c r="AD247" t="s">
        <v>1</v>
      </c>
      <c r="AE247">
        <v>28</v>
      </c>
      <c r="AF247" t="s">
        <v>655</v>
      </c>
      <c r="AH247" t="s">
        <v>654</v>
      </c>
      <c r="AI247" t="s">
        <v>653</v>
      </c>
      <c r="AJ247" t="s">
        <v>652</v>
      </c>
      <c r="AK247" t="s">
        <v>651</v>
      </c>
      <c r="AL247">
        <v>1</v>
      </c>
      <c r="AM247" s="5">
        <f t="shared" si="27"/>
        <v>3.0303030303030304E-2</v>
      </c>
      <c r="AN247" s="4">
        <f t="shared" si="28"/>
        <v>4.5896297316214016E-5</v>
      </c>
      <c r="AO247" s="3"/>
      <c r="AP247">
        <v>0</v>
      </c>
      <c r="AR247" t="s">
        <v>0</v>
      </c>
      <c r="AT247" s="2">
        <v>1.48</v>
      </c>
      <c r="AU247" s="1">
        <f t="shared" si="29"/>
        <v>0.69463120674335666</v>
      </c>
      <c r="AV247" s="1">
        <f t="shared" si="30"/>
        <v>0.49747647045428939</v>
      </c>
      <c r="AW247" s="1">
        <f t="shared" si="31"/>
        <v>0.30032173416522223</v>
      </c>
    </row>
    <row r="248" spans="1:49" x14ac:dyDescent="0.2">
      <c r="A248">
        <v>246</v>
      </c>
      <c r="B248" t="s">
        <v>650</v>
      </c>
      <c r="F248" t="s">
        <v>649</v>
      </c>
      <c r="G248" t="s">
        <v>4</v>
      </c>
      <c r="H248" t="s">
        <v>3</v>
      </c>
      <c r="I248" t="s">
        <v>628</v>
      </c>
      <c r="J248">
        <v>60072226</v>
      </c>
      <c r="K248" t="s">
        <v>260</v>
      </c>
      <c r="L248" t="s">
        <v>259</v>
      </c>
      <c r="M248" t="s">
        <v>45</v>
      </c>
      <c r="N248">
        <v>2</v>
      </c>
      <c r="O248" t="s">
        <v>627</v>
      </c>
      <c r="P248" t="s">
        <v>626</v>
      </c>
      <c r="Q248" t="s">
        <v>625</v>
      </c>
      <c r="R248" s="7">
        <v>32721</v>
      </c>
      <c r="S248" s="8">
        <f t="shared" si="24"/>
        <v>1989</v>
      </c>
      <c r="T248" s="8">
        <v>1989</v>
      </c>
      <c r="U248" s="8">
        <f t="shared" si="25"/>
        <v>33</v>
      </c>
      <c r="V248" s="7">
        <v>32721</v>
      </c>
      <c r="W248" t="s">
        <v>229</v>
      </c>
      <c r="X248" s="2" t="s">
        <v>5</v>
      </c>
      <c r="Y248" s="6" t="e">
        <f t="shared" si="26"/>
        <v>#VALUE!</v>
      </c>
      <c r="AA248">
        <v>2511096</v>
      </c>
      <c r="AB248">
        <v>26110</v>
      </c>
      <c r="AD248" t="s">
        <v>1</v>
      </c>
      <c r="AE248">
        <v>70</v>
      </c>
      <c r="AF248">
        <v>2</v>
      </c>
      <c r="AH248" t="s">
        <v>648</v>
      </c>
      <c r="AI248" t="s">
        <v>647</v>
      </c>
      <c r="AK248" t="s">
        <v>646</v>
      </c>
      <c r="AL248">
        <v>0</v>
      </c>
      <c r="AM248" s="5">
        <f t="shared" si="27"/>
        <v>0</v>
      </c>
      <c r="AN248" s="4">
        <f t="shared" si="28"/>
        <v>0</v>
      </c>
      <c r="AO248" s="3"/>
      <c r="AP248">
        <v>0</v>
      </c>
      <c r="AR248" t="s">
        <v>0</v>
      </c>
      <c r="AT248" s="2" t="s">
        <v>5</v>
      </c>
      <c r="AU248" s="1" t="e">
        <f t="shared" si="29"/>
        <v>#VALUE!</v>
      </c>
      <c r="AV248" s="1" t="e">
        <f t="shared" si="30"/>
        <v>#VALUE!</v>
      </c>
      <c r="AW248" s="1" t="e">
        <f t="shared" si="31"/>
        <v>#VALUE!</v>
      </c>
    </row>
    <row r="249" spans="1:49" x14ac:dyDescent="0.2">
      <c r="A249">
        <v>247</v>
      </c>
      <c r="B249" t="s">
        <v>645</v>
      </c>
      <c r="F249" t="s">
        <v>644</v>
      </c>
      <c r="G249" t="s">
        <v>4</v>
      </c>
      <c r="H249" t="s">
        <v>3</v>
      </c>
      <c r="I249" t="s">
        <v>643</v>
      </c>
      <c r="N249">
        <v>1</v>
      </c>
      <c r="O249" t="s">
        <v>642</v>
      </c>
      <c r="P249">
        <v>6603901427</v>
      </c>
      <c r="R249" s="7">
        <v>32721</v>
      </c>
      <c r="S249" s="8">
        <f t="shared" si="24"/>
        <v>1989</v>
      </c>
      <c r="T249" s="8">
        <v>1989</v>
      </c>
      <c r="U249" s="8">
        <f t="shared" si="25"/>
        <v>33</v>
      </c>
      <c r="V249" s="7">
        <v>32721</v>
      </c>
      <c r="W249" t="s">
        <v>52</v>
      </c>
      <c r="X249" s="2" t="s">
        <v>5</v>
      </c>
      <c r="Y249" s="6" t="e">
        <f t="shared" si="26"/>
        <v>#VALUE!</v>
      </c>
      <c r="AA249">
        <v>87566648</v>
      </c>
      <c r="AB249">
        <v>74127</v>
      </c>
      <c r="AD249" t="s">
        <v>1</v>
      </c>
      <c r="AE249">
        <v>34</v>
      </c>
      <c r="AF249">
        <v>8</v>
      </c>
      <c r="AH249" t="s">
        <v>641</v>
      </c>
      <c r="AI249" t="s">
        <v>640</v>
      </c>
      <c r="AK249" t="s">
        <v>639</v>
      </c>
      <c r="AL249">
        <v>0</v>
      </c>
      <c r="AM249" s="5">
        <f t="shared" si="27"/>
        <v>0</v>
      </c>
      <c r="AN249" s="4">
        <f t="shared" si="28"/>
        <v>0</v>
      </c>
      <c r="AO249" s="3"/>
      <c r="AP249">
        <v>0</v>
      </c>
      <c r="AR249" t="s">
        <v>0</v>
      </c>
      <c r="AT249" s="2" t="s">
        <v>5</v>
      </c>
      <c r="AU249" s="1" t="e">
        <f t="shared" si="29"/>
        <v>#VALUE!</v>
      </c>
      <c r="AV249" s="1" t="e">
        <f t="shared" si="30"/>
        <v>#VALUE!</v>
      </c>
      <c r="AW249" s="1" t="e">
        <f t="shared" si="31"/>
        <v>#VALUE!</v>
      </c>
    </row>
    <row r="250" spans="1:49" x14ac:dyDescent="0.2">
      <c r="A250">
        <v>248</v>
      </c>
      <c r="B250" t="s">
        <v>638</v>
      </c>
      <c r="F250" t="s">
        <v>637</v>
      </c>
      <c r="G250" t="s">
        <v>4</v>
      </c>
      <c r="H250" t="s">
        <v>3</v>
      </c>
      <c r="I250" t="s">
        <v>636</v>
      </c>
      <c r="N250">
        <v>3</v>
      </c>
      <c r="O250" t="s">
        <v>635</v>
      </c>
      <c r="P250" t="s">
        <v>634</v>
      </c>
      <c r="Q250" t="s">
        <v>20</v>
      </c>
      <c r="R250" s="7">
        <v>32721</v>
      </c>
      <c r="S250" s="8">
        <f t="shared" si="24"/>
        <v>1989</v>
      </c>
      <c r="T250" s="8">
        <v>1989</v>
      </c>
      <c r="U250" s="8">
        <f t="shared" si="25"/>
        <v>33</v>
      </c>
      <c r="V250" s="7">
        <v>32721</v>
      </c>
      <c r="W250" t="s">
        <v>52</v>
      </c>
      <c r="X250" s="2" t="s">
        <v>5</v>
      </c>
      <c r="Y250" s="6" t="e">
        <f t="shared" si="26"/>
        <v>#VALUE!</v>
      </c>
      <c r="AA250">
        <v>87566648</v>
      </c>
      <c r="AB250">
        <v>74127</v>
      </c>
      <c r="AD250" t="s">
        <v>1</v>
      </c>
      <c r="AE250">
        <v>34</v>
      </c>
      <c r="AF250">
        <v>8</v>
      </c>
      <c r="AH250" t="s">
        <v>633</v>
      </c>
      <c r="AI250" t="s">
        <v>632</v>
      </c>
      <c r="AK250" t="s">
        <v>631</v>
      </c>
      <c r="AL250">
        <v>0</v>
      </c>
      <c r="AM250" s="5">
        <f t="shared" si="27"/>
        <v>0</v>
      </c>
      <c r="AN250" s="4">
        <f t="shared" si="28"/>
        <v>0</v>
      </c>
      <c r="AO250" s="3"/>
      <c r="AP250">
        <v>0</v>
      </c>
      <c r="AR250" t="s">
        <v>0</v>
      </c>
      <c r="AT250" s="2" t="s">
        <v>5</v>
      </c>
      <c r="AU250" s="1" t="e">
        <f t="shared" si="29"/>
        <v>#VALUE!</v>
      </c>
      <c r="AV250" s="1" t="e">
        <f t="shared" si="30"/>
        <v>#VALUE!</v>
      </c>
      <c r="AW250" s="1" t="e">
        <f t="shared" si="31"/>
        <v>#VALUE!</v>
      </c>
    </row>
    <row r="251" spans="1:49" x14ac:dyDescent="0.2">
      <c r="A251">
        <v>249</v>
      </c>
      <c r="B251" t="s">
        <v>630</v>
      </c>
      <c r="F251" t="s">
        <v>629</v>
      </c>
      <c r="G251" t="s">
        <v>4</v>
      </c>
      <c r="H251" t="s">
        <v>3</v>
      </c>
      <c r="I251" t="s">
        <v>628</v>
      </c>
      <c r="J251">
        <v>60072226</v>
      </c>
      <c r="K251" t="s">
        <v>260</v>
      </c>
      <c r="L251" t="s">
        <v>259</v>
      </c>
      <c r="M251" t="s">
        <v>45</v>
      </c>
      <c r="N251">
        <v>2</v>
      </c>
      <c r="O251" t="s">
        <v>627</v>
      </c>
      <c r="P251" t="s">
        <v>626</v>
      </c>
      <c r="Q251" t="s">
        <v>625</v>
      </c>
      <c r="R251" s="7">
        <v>32721</v>
      </c>
      <c r="S251" s="8">
        <f t="shared" si="24"/>
        <v>1989</v>
      </c>
      <c r="T251" s="8">
        <v>1989</v>
      </c>
      <c r="U251" s="8">
        <f t="shared" si="25"/>
        <v>33</v>
      </c>
      <c r="V251" s="7">
        <v>32721</v>
      </c>
      <c r="W251" t="s">
        <v>229</v>
      </c>
      <c r="X251" s="2" t="s">
        <v>5</v>
      </c>
      <c r="Y251" s="6" t="e">
        <f t="shared" si="26"/>
        <v>#VALUE!</v>
      </c>
      <c r="AA251">
        <v>2511096</v>
      </c>
      <c r="AB251">
        <v>26110</v>
      </c>
      <c r="AD251" t="s">
        <v>1</v>
      </c>
      <c r="AE251">
        <v>70</v>
      </c>
      <c r="AF251">
        <v>2</v>
      </c>
      <c r="AH251" t="s">
        <v>624</v>
      </c>
      <c r="AI251" t="s">
        <v>623</v>
      </c>
      <c r="AK251" t="s">
        <v>622</v>
      </c>
      <c r="AL251">
        <v>0</v>
      </c>
      <c r="AM251" s="5">
        <f t="shared" si="27"/>
        <v>0</v>
      </c>
      <c r="AN251" s="4">
        <f t="shared" si="28"/>
        <v>0</v>
      </c>
      <c r="AO251" s="3"/>
      <c r="AP251">
        <v>0</v>
      </c>
      <c r="AR251" t="s">
        <v>0</v>
      </c>
      <c r="AT251" s="2" t="s">
        <v>5</v>
      </c>
      <c r="AU251" s="1" t="e">
        <f t="shared" si="29"/>
        <v>#VALUE!</v>
      </c>
      <c r="AV251" s="1" t="e">
        <f t="shared" si="30"/>
        <v>#VALUE!</v>
      </c>
      <c r="AW251" s="1" t="e">
        <f t="shared" si="31"/>
        <v>#VALUE!</v>
      </c>
    </row>
    <row r="252" spans="1:49" x14ac:dyDescent="0.2">
      <c r="A252">
        <v>250</v>
      </c>
      <c r="B252" t="s">
        <v>621</v>
      </c>
      <c r="F252" t="s">
        <v>620</v>
      </c>
      <c r="G252" t="s">
        <v>4</v>
      </c>
      <c r="H252" t="s">
        <v>3</v>
      </c>
      <c r="I252" t="s">
        <v>619</v>
      </c>
      <c r="N252">
        <v>3</v>
      </c>
      <c r="O252" t="s">
        <v>618</v>
      </c>
      <c r="P252" t="s">
        <v>617</v>
      </c>
      <c r="Q252" t="s">
        <v>20</v>
      </c>
      <c r="R252" s="7">
        <v>32721</v>
      </c>
      <c r="S252" s="8">
        <f t="shared" si="24"/>
        <v>1989</v>
      </c>
      <c r="T252" s="8">
        <v>1989</v>
      </c>
      <c r="U252" s="8">
        <f t="shared" si="25"/>
        <v>33</v>
      </c>
      <c r="V252" s="7">
        <v>32721</v>
      </c>
      <c r="W252" t="s">
        <v>50</v>
      </c>
      <c r="X252" s="2">
        <v>0.14099999999999999</v>
      </c>
      <c r="Y252" s="6">
        <f t="shared" si="26"/>
        <v>3.7639144710498915E-3</v>
      </c>
      <c r="AA252">
        <v>402508</v>
      </c>
      <c r="AB252">
        <v>20868</v>
      </c>
      <c r="AD252" t="s">
        <v>1</v>
      </c>
      <c r="AE252">
        <v>44</v>
      </c>
      <c r="AF252">
        <v>8</v>
      </c>
      <c r="AH252" t="s">
        <v>616</v>
      </c>
      <c r="AI252" t="s">
        <v>615</v>
      </c>
      <c r="AK252" t="s">
        <v>614</v>
      </c>
      <c r="AL252">
        <v>0</v>
      </c>
      <c r="AM252" s="5">
        <f t="shared" si="27"/>
        <v>0</v>
      </c>
      <c r="AN252" s="4">
        <f t="shared" si="28"/>
        <v>0</v>
      </c>
      <c r="AO252" s="3"/>
      <c r="AP252">
        <v>0</v>
      </c>
      <c r="AR252" t="s">
        <v>0</v>
      </c>
      <c r="AT252" s="2" t="s">
        <v>5</v>
      </c>
      <c r="AU252" s="1">
        <f t="shared" si="29"/>
        <v>0.26347401297349238</v>
      </c>
      <c r="AV252" s="1">
        <f t="shared" si="30"/>
        <v>0.18819572355249459</v>
      </c>
      <c r="AW252" s="1">
        <f t="shared" si="31"/>
        <v>0.11291743413149673</v>
      </c>
    </row>
    <row r="253" spans="1:49" x14ac:dyDescent="0.2">
      <c r="A253">
        <v>251</v>
      </c>
      <c r="B253" t="s">
        <v>613</v>
      </c>
      <c r="F253" t="s">
        <v>612</v>
      </c>
      <c r="G253" t="s">
        <v>4</v>
      </c>
      <c r="H253" t="s">
        <v>3</v>
      </c>
      <c r="I253" t="s">
        <v>611</v>
      </c>
      <c r="N253">
        <v>2</v>
      </c>
      <c r="O253" t="s">
        <v>610</v>
      </c>
      <c r="P253" t="s">
        <v>609</v>
      </c>
      <c r="Q253" t="s">
        <v>51</v>
      </c>
      <c r="R253" s="7">
        <v>32721</v>
      </c>
      <c r="S253" s="8">
        <f t="shared" si="24"/>
        <v>1989</v>
      </c>
      <c r="T253" s="8">
        <v>1989</v>
      </c>
      <c r="U253" s="8">
        <f t="shared" si="25"/>
        <v>33</v>
      </c>
      <c r="V253" s="7">
        <v>32721</v>
      </c>
      <c r="W253" t="s">
        <v>50</v>
      </c>
      <c r="X253" s="2">
        <v>0.14099999999999999</v>
      </c>
      <c r="Y253" s="6">
        <f t="shared" si="26"/>
        <v>3.7639144710498915E-3</v>
      </c>
      <c r="AA253">
        <v>402508</v>
      </c>
      <c r="AB253">
        <v>20868</v>
      </c>
      <c r="AD253" t="s">
        <v>1</v>
      </c>
      <c r="AE253">
        <v>44</v>
      </c>
      <c r="AF253">
        <v>8</v>
      </c>
      <c r="AH253" t="s">
        <v>608</v>
      </c>
      <c r="AI253" t="s">
        <v>607</v>
      </c>
      <c r="AK253" t="s">
        <v>606</v>
      </c>
      <c r="AL253">
        <v>0</v>
      </c>
      <c r="AM253" s="5">
        <f t="shared" si="27"/>
        <v>0</v>
      </c>
      <c r="AN253" s="4">
        <f t="shared" si="28"/>
        <v>0</v>
      </c>
      <c r="AO253" s="3"/>
      <c r="AP253">
        <v>0</v>
      </c>
      <c r="AR253" t="s">
        <v>0</v>
      </c>
      <c r="AT253" s="2" t="s">
        <v>5</v>
      </c>
      <c r="AU253" s="1">
        <f t="shared" si="29"/>
        <v>0.26347401297349238</v>
      </c>
      <c r="AV253" s="1">
        <f t="shared" si="30"/>
        <v>0.18819572355249459</v>
      </c>
      <c r="AW253" s="1">
        <f t="shared" si="31"/>
        <v>0.11291743413149673</v>
      </c>
    </row>
    <row r="254" spans="1:49" x14ac:dyDescent="0.2">
      <c r="A254">
        <v>252</v>
      </c>
      <c r="B254" t="s">
        <v>605</v>
      </c>
      <c r="F254" t="s">
        <v>604</v>
      </c>
      <c r="G254" t="s">
        <v>4</v>
      </c>
      <c r="H254" t="s">
        <v>3</v>
      </c>
      <c r="I254" t="s">
        <v>603</v>
      </c>
      <c r="N254">
        <v>5</v>
      </c>
      <c r="O254" t="s">
        <v>602</v>
      </c>
      <c r="P254" t="s">
        <v>601</v>
      </c>
      <c r="Q254" t="s">
        <v>253</v>
      </c>
      <c r="R254" s="7">
        <v>32721</v>
      </c>
      <c r="S254" s="8">
        <f t="shared" si="24"/>
        <v>1989</v>
      </c>
      <c r="T254" s="8">
        <v>1989</v>
      </c>
      <c r="U254" s="8">
        <f t="shared" si="25"/>
        <v>33</v>
      </c>
      <c r="V254" s="7">
        <v>32721</v>
      </c>
      <c r="W254" t="s">
        <v>50</v>
      </c>
      <c r="X254" s="2">
        <v>0.14099999999999999</v>
      </c>
      <c r="Y254" s="6">
        <f t="shared" si="26"/>
        <v>3.7639144710498915E-3</v>
      </c>
      <c r="AA254">
        <v>402508</v>
      </c>
      <c r="AB254">
        <v>20868</v>
      </c>
      <c r="AD254" t="s">
        <v>1</v>
      </c>
      <c r="AE254">
        <v>44</v>
      </c>
      <c r="AF254">
        <v>8</v>
      </c>
      <c r="AH254" t="s">
        <v>600</v>
      </c>
      <c r="AI254" t="s">
        <v>599</v>
      </c>
      <c r="AK254" t="s">
        <v>598</v>
      </c>
      <c r="AL254">
        <v>0</v>
      </c>
      <c r="AM254" s="5">
        <f t="shared" si="27"/>
        <v>0</v>
      </c>
      <c r="AN254" s="4">
        <f t="shared" si="28"/>
        <v>0</v>
      </c>
      <c r="AO254" s="3"/>
      <c r="AP254">
        <v>0</v>
      </c>
      <c r="AR254" t="s">
        <v>0</v>
      </c>
      <c r="AT254" s="2" t="s">
        <v>5</v>
      </c>
      <c r="AU254" s="1">
        <f t="shared" si="29"/>
        <v>0.26347401297349238</v>
      </c>
      <c r="AV254" s="1">
        <f t="shared" si="30"/>
        <v>0.18819572355249459</v>
      </c>
      <c r="AW254" s="1">
        <f t="shared" si="31"/>
        <v>0.11291743413149673</v>
      </c>
    </row>
    <row r="255" spans="1:49" x14ac:dyDescent="0.2">
      <c r="A255">
        <v>253</v>
      </c>
      <c r="B255" t="s">
        <v>597</v>
      </c>
      <c r="C255" t="s">
        <v>596</v>
      </c>
      <c r="E255">
        <v>2794967</v>
      </c>
      <c r="F255" t="s">
        <v>595</v>
      </c>
      <c r="G255" t="s">
        <v>4</v>
      </c>
      <c r="H255" t="s">
        <v>3</v>
      </c>
      <c r="I255" t="s">
        <v>594</v>
      </c>
      <c r="J255">
        <v>60020152</v>
      </c>
      <c r="K255" t="s">
        <v>593</v>
      </c>
      <c r="L255" t="s">
        <v>85</v>
      </c>
      <c r="M255" t="s">
        <v>6</v>
      </c>
      <c r="N255">
        <v>3</v>
      </c>
      <c r="O255" t="s">
        <v>592</v>
      </c>
      <c r="P255" t="s">
        <v>591</v>
      </c>
      <c r="Q255" t="s">
        <v>590</v>
      </c>
      <c r="R255" s="7">
        <v>32721</v>
      </c>
      <c r="S255" s="8">
        <f t="shared" si="24"/>
        <v>1989</v>
      </c>
      <c r="T255" s="8">
        <v>1989</v>
      </c>
      <c r="U255" s="8">
        <f t="shared" si="25"/>
        <v>33</v>
      </c>
      <c r="V255" s="7">
        <v>32721</v>
      </c>
      <c r="W255" t="s">
        <v>589</v>
      </c>
      <c r="X255" s="2">
        <v>2.0640000000000001</v>
      </c>
      <c r="Y255" s="6">
        <f t="shared" si="26"/>
        <v>5.5097301193240973E-2</v>
      </c>
      <c r="AA255">
        <v>221295</v>
      </c>
      <c r="AB255">
        <v>23460</v>
      </c>
      <c r="AC255">
        <v>15407748</v>
      </c>
      <c r="AD255" t="s">
        <v>1</v>
      </c>
      <c r="AE255">
        <v>94</v>
      </c>
      <c r="AF255">
        <v>2</v>
      </c>
      <c r="AH255" t="s">
        <v>588</v>
      </c>
      <c r="AI255" t="s">
        <v>587</v>
      </c>
      <c r="AK255" t="s">
        <v>586</v>
      </c>
      <c r="AL255">
        <v>17</v>
      </c>
      <c r="AM255" s="5">
        <f t="shared" si="27"/>
        <v>0.51515151515151514</v>
      </c>
      <c r="AN255" s="4">
        <f t="shared" si="28"/>
        <v>7.8023705437563825E-4</v>
      </c>
      <c r="AO255" s="3"/>
      <c r="AP255">
        <v>1</v>
      </c>
      <c r="AR255" t="s">
        <v>0</v>
      </c>
      <c r="AT255" s="2">
        <v>4.0860000000000003</v>
      </c>
      <c r="AU255" s="1">
        <f t="shared" si="29"/>
        <v>3.8802181951581369</v>
      </c>
      <c r="AV255" s="1">
        <f t="shared" si="30"/>
        <v>2.7938769123808305</v>
      </c>
      <c r="AW255" s="1">
        <f t="shared" si="31"/>
        <v>1.7075356296035238</v>
      </c>
    </row>
    <row r="256" spans="1:49" x14ac:dyDescent="0.2">
      <c r="A256">
        <v>254</v>
      </c>
      <c r="B256" t="s">
        <v>585</v>
      </c>
      <c r="C256" t="s">
        <v>584</v>
      </c>
      <c r="F256" t="s">
        <v>583</v>
      </c>
      <c r="G256" t="s">
        <v>4</v>
      </c>
      <c r="H256" t="s">
        <v>3</v>
      </c>
      <c r="I256" t="s">
        <v>582</v>
      </c>
      <c r="J256">
        <v>60000745</v>
      </c>
      <c r="K256" t="s">
        <v>36</v>
      </c>
      <c r="L256" t="s">
        <v>35</v>
      </c>
      <c r="M256" t="s">
        <v>6</v>
      </c>
      <c r="N256">
        <v>5</v>
      </c>
      <c r="O256" t="s">
        <v>581</v>
      </c>
      <c r="P256" t="s">
        <v>580</v>
      </c>
      <c r="Q256" t="s">
        <v>579</v>
      </c>
      <c r="R256" s="7">
        <v>32721</v>
      </c>
      <c r="S256" s="8">
        <f t="shared" si="24"/>
        <v>1989</v>
      </c>
      <c r="T256" s="8">
        <v>1989</v>
      </c>
      <c r="U256" s="8">
        <f t="shared" si="25"/>
        <v>33</v>
      </c>
      <c r="V256" s="7">
        <v>32721</v>
      </c>
      <c r="W256" t="s">
        <v>14</v>
      </c>
      <c r="X256" s="2">
        <v>1.1579999999999999</v>
      </c>
      <c r="Y256" s="6">
        <f t="shared" si="26"/>
        <v>3.0912148634579962E-2</v>
      </c>
      <c r="AA256">
        <v>1668595</v>
      </c>
      <c r="AB256">
        <v>14223</v>
      </c>
      <c r="AC256">
        <v>15735079</v>
      </c>
      <c r="AD256" t="s">
        <v>1</v>
      </c>
      <c r="AE256">
        <v>21</v>
      </c>
      <c r="AF256">
        <v>2</v>
      </c>
      <c r="AH256" t="s">
        <v>190</v>
      </c>
      <c r="AI256" t="s">
        <v>578</v>
      </c>
      <c r="AJ256" t="s">
        <v>577</v>
      </c>
      <c r="AK256" t="s">
        <v>576</v>
      </c>
      <c r="AL256">
        <v>18</v>
      </c>
      <c r="AM256" s="5">
        <f t="shared" si="27"/>
        <v>0.54545454545454541</v>
      </c>
      <c r="AN256" s="4">
        <f t="shared" si="28"/>
        <v>8.2613335169185224E-4</v>
      </c>
      <c r="AO256" s="3"/>
      <c r="AP256">
        <v>0</v>
      </c>
      <c r="AR256" t="s">
        <v>0</v>
      </c>
      <c r="AT256" s="2">
        <v>3.573</v>
      </c>
      <c r="AU256" s="1">
        <f t="shared" si="29"/>
        <v>2.1886344049713529</v>
      </c>
      <c r="AV256" s="1">
        <f t="shared" si="30"/>
        <v>1.5869140993135906</v>
      </c>
      <c r="AW256" s="1">
        <f t="shared" si="31"/>
        <v>0.9851937936558286</v>
      </c>
    </row>
    <row r="257" spans="1:49" x14ac:dyDescent="0.2">
      <c r="A257">
        <v>255</v>
      </c>
      <c r="B257" t="s">
        <v>575</v>
      </c>
      <c r="C257" t="s">
        <v>574</v>
      </c>
      <c r="F257" t="s">
        <v>573</v>
      </c>
      <c r="G257" t="s">
        <v>4</v>
      </c>
      <c r="H257" t="s">
        <v>3</v>
      </c>
      <c r="I257" t="s">
        <v>572</v>
      </c>
      <c r="J257">
        <v>60000745</v>
      </c>
      <c r="K257" t="s">
        <v>36</v>
      </c>
      <c r="L257" t="s">
        <v>35</v>
      </c>
      <c r="M257" t="s">
        <v>6</v>
      </c>
      <c r="N257">
        <v>2</v>
      </c>
      <c r="O257" t="s">
        <v>571</v>
      </c>
      <c r="P257" t="s">
        <v>570</v>
      </c>
      <c r="Q257" t="s">
        <v>34</v>
      </c>
      <c r="R257" s="7">
        <v>32709</v>
      </c>
      <c r="S257" s="8">
        <f t="shared" si="24"/>
        <v>1989</v>
      </c>
      <c r="T257" s="8">
        <v>1989</v>
      </c>
      <c r="U257" s="8">
        <f t="shared" si="25"/>
        <v>33</v>
      </c>
      <c r="V257" s="7">
        <v>32709</v>
      </c>
      <c r="W257" t="s">
        <v>111</v>
      </c>
      <c r="X257" s="2">
        <v>0.375</v>
      </c>
      <c r="Y257" s="6">
        <f t="shared" si="26"/>
        <v>1.0010410827260351E-2</v>
      </c>
      <c r="AA257">
        <v>135194</v>
      </c>
      <c r="AB257">
        <v>24918</v>
      </c>
      <c r="AD257" t="s">
        <v>1</v>
      </c>
      <c r="AE257">
        <v>25</v>
      </c>
      <c r="AF257">
        <v>16</v>
      </c>
      <c r="AH257" t="s">
        <v>569</v>
      </c>
      <c r="AI257" t="s">
        <v>568</v>
      </c>
      <c r="AJ257" t="s">
        <v>567</v>
      </c>
      <c r="AK257" t="s">
        <v>566</v>
      </c>
      <c r="AL257">
        <v>7</v>
      </c>
      <c r="AM257" s="5">
        <f t="shared" si="27"/>
        <v>0.21212121212121213</v>
      </c>
      <c r="AN257" s="4">
        <f t="shared" si="28"/>
        <v>3.2127408121349809E-4</v>
      </c>
      <c r="AO257" s="3"/>
      <c r="AP257">
        <v>0</v>
      </c>
      <c r="AR257" t="s">
        <v>0</v>
      </c>
      <c r="AT257" s="2">
        <v>1.3140000000000001</v>
      </c>
      <c r="AU257" s="1">
        <f t="shared" si="29"/>
        <v>0.71036698034462953</v>
      </c>
      <c r="AV257" s="1">
        <f t="shared" si="30"/>
        <v>0.51658424542369241</v>
      </c>
      <c r="AW257" s="1">
        <f t="shared" si="31"/>
        <v>0.32280151050275541</v>
      </c>
    </row>
    <row r="258" spans="1:49" x14ac:dyDescent="0.2">
      <c r="A258">
        <v>256</v>
      </c>
      <c r="B258" t="s">
        <v>565</v>
      </c>
      <c r="C258" t="s">
        <v>564</v>
      </c>
      <c r="F258" t="s">
        <v>563</v>
      </c>
      <c r="G258" t="s">
        <v>4</v>
      </c>
      <c r="H258" t="s">
        <v>3</v>
      </c>
      <c r="I258" t="s">
        <v>158</v>
      </c>
      <c r="J258">
        <v>60014652</v>
      </c>
      <c r="K258" t="s">
        <v>67</v>
      </c>
      <c r="L258" t="s">
        <v>66</v>
      </c>
      <c r="M258" t="s">
        <v>13</v>
      </c>
      <c r="N258">
        <v>3</v>
      </c>
      <c r="O258" t="s">
        <v>562</v>
      </c>
      <c r="P258" t="s">
        <v>561</v>
      </c>
      <c r="Q258" t="s">
        <v>128</v>
      </c>
      <c r="R258" s="7">
        <v>32709</v>
      </c>
      <c r="S258" s="8">
        <f t="shared" ref="S258:S287" si="32">YEAR(R258)</f>
        <v>1989</v>
      </c>
      <c r="T258" s="8">
        <v>1989</v>
      </c>
      <c r="U258" s="8">
        <f t="shared" ref="U258:U287" si="33">2022-T258</f>
        <v>33</v>
      </c>
      <c r="V258" s="7">
        <v>32709</v>
      </c>
      <c r="W258" t="s">
        <v>111</v>
      </c>
      <c r="X258" s="2">
        <v>0.375</v>
      </c>
      <c r="Y258" s="6">
        <f t="shared" ref="Y258:Y287" si="34">(X258-$Z$4)/($Z$3-$Z$4)</f>
        <v>1.0010410827260351E-2</v>
      </c>
      <c r="AA258">
        <v>135194</v>
      </c>
      <c r="AB258">
        <v>24918</v>
      </c>
      <c r="AD258" t="s">
        <v>1</v>
      </c>
      <c r="AE258">
        <v>25</v>
      </c>
      <c r="AF258">
        <v>16</v>
      </c>
      <c r="AH258" t="s">
        <v>560</v>
      </c>
      <c r="AI258" t="s">
        <v>559</v>
      </c>
      <c r="AJ258" t="s">
        <v>558</v>
      </c>
      <c r="AK258" t="s">
        <v>557</v>
      </c>
      <c r="AL258">
        <v>7</v>
      </c>
      <c r="AM258" s="5">
        <f t="shared" ref="AM258:AM287" si="35">AL258/U258</f>
        <v>0.21212121212121213</v>
      </c>
      <c r="AN258" s="4">
        <f t="shared" ref="AN258:AN287" si="36">(AM258-$AO$4)/($AO$3-$AO$4)</f>
        <v>3.2127408121349809E-4</v>
      </c>
      <c r="AO258" s="3"/>
      <c r="AP258">
        <v>0</v>
      </c>
      <c r="AR258" t="s">
        <v>0</v>
      </c>
      <c r="AT258" s="2">
        <v>1.3140000000000001</v>
      </c>
      <c r="AU258" s="1">
        <f t="shared" ref="AU258:AU287" si="37">(Y258*0.7+AN258*0.3)*100</f>
        <v>0.71036698034462953</v>
      </c>
      <c r="AV258" s="1">
        <f t="shared" ref="AV258:AV287" si="38">(Y258*0.5+AN258*0.5)*100</f>
        <v>0.51658424542369241</v>
      </c>
      <c r="AW258" s="1">
        <f t="shared" ref="AW258:AW287" si="39">(Y258*0.3+AN258*0.7)*100</f>
        <v>0.32280151050275541</v>
      </c>
    </row>
    <row r="259" spans="1:49" x14ac:dyDescent="0.2">
      <c r="A259">
        <v>257</v>
      </c>
      <c r="B259" t="s">
        <v>556</v>
      </c>
      <c r="C259" t="s">
        <v>555</v>
      </c>
      <c r="F259" t="s">
        <v>554</v>
      </c>
      <c r="G259" t="s">
        <v>4</v>
      </c>
      <c r="H259" t="s">
        <v>3</v>
      </c>
      <c r="I259" t="s">
        <v>553</v>
      </c>
      <c r="J259">
        <v>60012070</v>
      </c>
      <c r="K259" t="s">
        <v>552</v>
      </c>
      <c r="L259" t="s">
        <v>551</v>
      </c>
      <c r="M259" t="s">
        <v>37</v>
      </c>
      <c r="N259">
        <v>1</v>
      </c>
      <c r="O259" t="s">
        <v>550</v>
      </c>
      <c r="P259">
        <v>7102509155</v>
      </c>
      <c r="Q259">
        <v>60012070</v>
      </c>
      <c r="R259" s="7">
        <v>32709</v>
      </c>
      <c r="S259" s="8">
        <f t="shared" si="32"/>
        <v>1989</v>
      </c>
      <c r="T259" s="8">
        <v>1989</v>
      </c>
      <c r="U259" s="8">
        <f t="shared" si="33"/>
        <v>33</v>
      </c>
      <c r="V259" s="7">
        <v>32709</v>
      </c>
      <c r="W259" t="s">
        <v>111</v>
      </c>
      <c r="X259" s="2">
        <v>0.375</v>
      </c>
      <c r="Y259" s="6">
        <f t="shared" si="34"/>
        <v>1.0010410827260351E-2</v>
      </c>
      <c r="AA259">
        <v>135194</v>
      </c>
      <c r="AB259">
        <v>24918</v>
      </c>
      <c r="AD259" t="s">
        <v>1</v>
      </c>
      <c r="AE259">
        <v>25</v>
      </c>
      <c r="AF259">
        <v>15</v>
      </c>
      <c r="AH259" t="s">
        <v>549</v>
      </c>
      <c r="AI259" t="s">
        <v>548</v>
      </c>
      <c r="AJ259" t="s">
        <v>547</v>
      </c>
      <c r="AK259" t="s">
        <v>546</v>
      </c>
      <c r="AL259">
        <v>0</v>
      </c>
      <c r="AM259" s="5">
        <f t="shared" si="35"/>
        <v>0</v>
      </c>
      <c r="AN259" s="4">
        <f t="shared" si="36"/>
        <v>0</v>
      </c>
      <c r="AO259" s="3"/>
      <c r="AP259">
        <v>0</v>
      </c>
      <c r="AR259" t="s">
        <v>0</v>
      </c>
      <c r="AT259" s="2">
        <v>1.3140000000000001</v>
      </c>
      <c r="AU259" s="1">
        <f t="shared" si="37"/>
        <v>0.70072875790822453</v>
      </c>
      <c r="AV259" s="1">
        <f t="shared" si="38"/>
        <v>0.5005205413630176</v>
      </c>
      <c r="AW259" s="1">
        <f t="shared" si="39"/>
        <v>0.30031232481781051</v>
      </c>
    </row>
    <row r="260" spans="1:49" x14ac:dyDescent="0.2">
      <c r="A260">
        <v>258</v>
      </c>
      <c r="B260" t="s">
        <v>545</v>
      </c>
      <c r="C260" t="s">
        <v>544</v>
      </c>
      <c r="D260">
        <v>14579389814450</v>
      </c>
      <c r="F260" t="s">
        <v>543</v>
      </c>
      <c r="G260" t="s">
        <v>4</v>
      </c>
      <c r="H260" t="s">
        <v>3</v>
      </c>
      <c r="I260" t="s">
        <v>217</v>
      </c>
      <c r="J260" t="s">
        <v>542</v>
      </c>
      <c r="K260" t="s">
        <v>541</v>
      </c>
      <c r="L260" t="s">
        <v>540</v>
      </c>
      <c r="M260" t="s">
        <v>17</v>
      </c>
      <c r="N260">
        <v>4</v>
      </c>
      <c r="O260" t="s">
        <v>539</v>
      </c>
      <c r="P260" t="s">
        <v>538</v>
      </c>
      <c r="Q260" t="s">
        <v>537</v>
      </c>
      <c r="R260" s="7">
        <v>32706</v>
      </c>
      <c r="S260" s="8">
        <f t="shared" si="32"/>
        <v>1989</v>
      </c>
      <c r="T260" s="8">
        <v>1989</v>
      </c>
      <c r="U260" s="8">
        <f t="shared" si="33"/>
        <v>33</v>
      </c>
      <c r="V260" s="7">
        <v>32706</v>
      </c>
      <c r="W260" t="s">
        <v>247</v>
      </c>
      <c r="X260" s="2">
        <v>1.593</v>
      </c>
      <c r="Y260" s="6">
        <f t="shared" si="34"/>
        <v>4.2524225194201973E-2</v>
      </c>
      <c r="AA260">
        <v>145793</v>
      </c>
      <c r="AB260">
        <v>17481</v>
      </c>
      <c r="AD260" t="s">
        <v>1</v>
      </c>
      <c r="AE260">
        <v>251</v>
      </c>
      <c r="AF260" s="9">
        <v>44228</v>
      </c>
      <c r="AH260" t="s">
        <v>31</v>
      </c>
      <c r="AI260" t="s">
        <v>536</v>
      </c>
      <c r="AJ260" t="s">
        <v>535</v>
      </c>
      <c r="AK260" t="s">
        <v>534</v>
      </c>
      <c r="AL260">
        <v>22</v>
      </c>
      <c r="AM260" s="5">
        <f t="shared" si="35"/>
        <v>0.66666666666666663</v>
      </c>
      <c r="AN260" s="4">
        <f t="shared" si="36"/>
        <v>1.0097185409567082E-3</v>
      </c>
      <c r="AO260" s="3"/>
      <c r="AP260">
        <v>0</v>
      </c>
      <c r="AR260" t="s">
        <v>0</v>
      </c>
      <c r="AT260" s="2">
        <v>4.1239999999999997</v>
      </c>
      <c r="AU260" s="1">
        <f t="shared" si="37"/>
        <v>3.0069873198228394</v>
      </c>
      <c r="AV260" s="1">
        <f t="shared" si="38"/>
        <v>2.1766971867579343</v>
      </c>
      <c r="AW260" s="1">
        <f t="shared" si="39"/>
        <v>1.3464070536930286</v>
      </c>
    </row>
    <row r="261" spans="1:49" x14ac:dyDescent="0.2">
      <c r="A261">
        <v>259</v>
      </c>
      <c r="B261" t="s">
        <v>533</v>
      </c>
      <c r="C261" t="s">
        <v>532</v>
      </c>
      <c r="D261">
        <v>14579389807379</v>
      </c>
      <c r="F261" t="s">
        <v>531</v>
      </c>
      <c r="G261" t="s">
        <v>4</v>
      </c>
      <c r="H261" t="s">
        <v>3</v>
      </c>
      <c r="I261" t="s">
        <v>530</v>
      </c>
      <c r="J261" t="s">
        <v>529</v>
      </c>
      <c r="K261" t="s">
        <v>528</v>
      </c>
      <c r="L261" t="s">
        <v>527</v>
      </c>
      <c r="M261" t="s">
        <v>526</v>
      </c>
      <c r="N261">
        <v>3</v>
      </c>
      <c r="O261" t="s">
        <v>525</v>
      </c>
      <c r="P261" t="s">
        <v>524</v>
      </c>
      <c r="Q261" t="s">
        <v>523</v>
      </c>
      <c r="R261" s="7">
        <v>32692</v>
      </c>
      <c r="S261" s="8">
        <f t="shared" si="32"/>
        <v>1989</v>
      </c>
      <c r="T261" s="8">
        <v>1989</v>
      </c>
      <c r="U261" s="8">
        <f t="shared" si="33"/>
        <v>33</v>
      </c>
      <c r="V261" s="7">
        <v>32692</v>
      </c>
      <c r="W261" t="s">
        <v>247</v>
      </c>
      <c r="X261" s="2">
        <v>1.593</v>
      </c>
      <c r="Y261" s="6">
        <f t="shared" si="34"/>
        <v>4.2524225194201973E-2</v>
      </c>
      <c r="AA261">
        <v>145793</v>
      </c>
      <c r="AB261">
        <v>17481</v>
      </c>
      <c r="AD261" t="s">
        <v>1</v>
      </c>
      <c r="AE261">
        <v>250</v>
      </c>
      <c r="AF261">
        <v>2</v>
      </c>
      <c r="AH261" t="s">
        <v>522</v>
      </c>
      <c r="AI261" t="s">
        <v>521</v>
      </c>
      <c r="AJ261" t="s">
        <v>520</v>
      </c>
      <c r="AK261" t="s">
        <v>519</v>
      </c>
      <c r="AL261">
        <v>18</v>
      </c>
      <c r="AM261" s="5">
        <f t="shared" si="35"/>
        <v>0.54545454545454541</v>
      </c>
      <c r="AN261" s="4">
        <f t="shared" si="36"/>
        <v>8.2613335169185224E-4</v>
      </c>
      <c r="AO261" s="3"/>
      <c r="AP261">
        <v>1</v>
      </c>
      <c r="AR261" t="s">
        <v>0</v>
      </c>
      <c r="AT261" s="2">
        <v>4.1239999999999997</v>
      </c>
      <c r="AU261" s="1">
        <f t="shared" si="37"/>
        <v>3.0014797641448934</v>
      </c>
      <c r="AV261" s="1">
        <f t="shared" si="38"/>
        <v>2.1675179272946909</v>
      </c>
      <c r="AW261" s="1">
        <f t="shared" si="39"/>
        <v>1.3335560904444888</v>
      </c>
    </row>
    <row r="262" spans="1:49" x14ac:dyDescent="0.2">
      <c r="A262">
        <v>260</v>
      </c>
      <c r="B262" t="s">
        <v>518</v>
      </c>
      <c r="C262" t="s">
        <v>517</v>
      </c>
      <c r="D262">
        <v>14579389807161</v>
      </c>
      <c r="F262" t="s">
        <v>516</v>
      </c>
      <c r="G262" t="s">
        <v>4</v>
      </c>
      <c r="H262" t="s">
        <v>3</v>
      </c>
      <c r="I262" t="s">
        <v>515</v>
      </c>
      <c r="J262">
        <v>60059987</v>
      </c>
      <c r="K262" t="s">
        <v>514</v>
      </c>
      <c r="L262" t="s">
        <v>513</v>
      </c>
      <c r="M262" t="s">
        <v>512</v>
      </c>
      <c r="N262">
        <v>3</v>
      </c>
      <c r="O262" t="s">
        <v>511</v>
      </c>
      <c r="P262" t="s">
        <v>510</v>
      </c>
      <c r="Q262" t="s">
        <v>509</v>
      </c>
      <c r="R262" s="7">
        <v>32692</v>
      </c>
      <c r="S262" s="8">
        <f t="shared" si="32"/>
        <v>1989</v>
      </c>
      <c r="T262" s="8">
        <v>1989</v>
      </c>
      <c r="U262" s="8">
        <f t="shared" si="33"/>
        <v>33</v>
      </c>
      <c r="V262" s="7">
        <v>32692</v>
      </c>
      <c r="W262" t="s">
        <v>247</v>
      </c>
      <c r="X262" s="2">
        <v>1.593</v>
      </c>
      <c r="Y262" s="6">
        <f t="shared" si="34"/>
        <v>4.2524225194201973E-2</v>
      </c>
      <c r="AA262">
        <v>145793</v>
      </c>
      <c r="AB262">
        <v>17481</v>
      </c>
      <c r="AD262" t="s">
        <v>1</v>
      </c>
      <c r="AE262">
        <v>250</v>
      </c>
      <c r="AF262">
        <v>2</v>
      </c>
      <c r="AH262" t="s">
        <v>508</v>
      </c>
      <c r="AI262" t="s">
        <v>507</v>
      </c>
      <c r="AJ262" t="s">
        <v>506</v>
      </c>
      <c r="AK262" t="s">
        <v>505</v>
      </c>
      <c r="AL262">
        <v>18</v>
      </c>
      <c r="AM262" s="5">
        <f t="shared" si="35"/>
        <v>0.54545454545454541</v>
      </c>
      <c r="AN262" s="4">
        <f t="shared" si="36"/>
        <v>8.2613335169185224E-4</v>
      </c>
      <c r="AO262" s="3"/>
      <c r="AP262">
        <v>1</v>
      </c>
      <c r="AR262" t="s">
        <v>0</v>
      </c>
      <c r="AT262" s="2">
        <v>4.1239999999999997</v>
      </c>
      <c r="AU262" s="1">
        <f t="shared" si="37"/>
        <v>3.0014797641448934</v>
      </c>
      <c r="AV262" s="1">
        <f t="shared" si="38"/>
        <v>2.1675179272946909</v>
      </c>
      <c r="AW262" s="1">
        <f t="shared" si="39"/>
        <v>1.3335560904444888</v>
      </c>
    </row>
    <row r="263" spans="1:49" x14ac:dyDescent="0.2">
      <c r="A263">
        <v>261</v>
      </c>
      <c r="B263" t="s">
        <v>504</v>
      </c>
      <c r="C263" t="s">
        <v>503</v>
      </c>
      <c r="D263">
        <v>14579389807859</v>
      </c>
      <c r="F263" t="s">
        <v>502</v>
      </c>
      <c r="G263" t="s">
        <v>4</v>
      </c>
      <c r="H263" t="s">
        <v>3</v>
      </c>
      <c r="I263" t="s">
        <v>501</v>
      </c>
      <c r="J263" t="s">
        <v>500</v>
      </c>
      <c r="K263" t="s">
        <v>499</v>
      </c>
      <c r="L263" t="s">
        <v>498</v>
      </c>
      <c r="M263" t="s">
        <v>497</v>
      </c>
      <c r="N263">
        <v>3</v>
      </c>
      <c r="O263" t="s">
        <v>496</v>
      </c>
      <c r="P263" t="s">
        <v>495</v>
      </c>
      <c r="Q263" t="s">
        <v>494</v>
      </c>
      <c r="R263" s="7">
        <v>32692</v>
      </c>
      <c r="S263" s="8">
        <f t="shared" si="32"/>
        <v>1989</v>
      </c>
      <c r="T263" s="8">
        <v>1989</v>
      </c>
      <c r="U263" s="8">
        <f t="shared" si="33"/>
        <v>33</v>
      </c>
      <c r="V263" s="7">
        <v>32692</v>
      </c>
      <c r="W263" t="s">
        <v>247</v>
      </c>
      <c r="X263" s="2">
        <v>1.593</v>
      </c>
      <c r="Y263" s="6">
        <f t="shared" si="34"/>
        <v>4.2524225194201973E-2</v>
      </c>
      <c r="AA263">
        <v>145793</v>
      </c>
      <c r="AB263">
        <v>17481</v>
      </c>
      <c r="AD263" t="s">
        <v>1</v>
      </c>
      <c r="AE263">
        <v>250</v>
      </c>
      <c r="AF263">
        <v>2</v>
      </c>
      <c r="AH263" t="s">
        <v>493</v>
      </c>
      <c r="AI263" t="s">
        <v>492</v>
      </c>
      <c r="AJ263" t="s">
        <v>491</v>
      </c>
      <c r="AK263" t="s">
        <v>490</v>
      </c>
      <c r="AL263">
        <v>55</v>
      </c>
      <c r="AM263" s="5">
        <f t="shared" si="35"/>
        <v>1.6666666666666667</v>
      </c>
      <c r="AN263" s="4">
        <f t="shared" si="36"/>
        <v>2.5242963523917708E-3</v>
      </c>
      <c r="AO263" s="3"/>
      <c r="AP263">
        <v>1</v>
      </c>
      <c r="AR263" t="s">
        <v>0</v>
      </c>
      <c r="AT263" s="2">
        <v>4.1239999999999997</v>
      </c>
      <c r="AU263" s="1">
        <f t="shared" si="37"/>
        <v>3.052424654165891</v>
      </c>
      <c r="AV263" s="1">
        <f t="shared" si="38"/>
        <v>2.2524260773296874</v>
      </c>
      <c r="AW263" s="1">
        <f t="shared" si="39"/>
        <v>1.452427500493483</v>
      </c>
    </row>
    <row r="264" spans="1:49" x14ac:dyDescent="0.2">
      <c r="A264">
        <v>262</v>
      </c>
      <c r="B264" t="s">
        <v>489</v>
      </c>
      <c r="C264" t="s">
        <v>488</v>
      </c>
      <c r="F264" t="s">
        <v>487</v>
      </c>
      <c r="G264" t="s">
        <v>4</v>
      </c>
      <c r="H264" t="s">
        <v>3</v>
      </c>
      <c r="I264" t="s">
        <v>486</v>
      </c>
      <c r="J264">
        <v>60023813</v>
      </c>
      <c r="K264" t="s">
        <v>485</v>
      </c>
      <c r="L264" t="s">
        <v>484</v>
      </c>
      <c r="M264" t="s">
        <v>77</v>
      </c>
      <c r="N264">
        <v>1</v>
      </c>
      <c r="O264" t="s">
        <v>483</v>
      </c>
      <c r="P264">
        <v>24789057400</v>
      </c>
      <c r="Q264">
        <v>60023813</v>
      </c>
      <c r="R264" s="7">
        <v>32690</v>
      </c>
      <c r="S264" s="8">
        <f t="shared" si="32"/>
        <v>1989</v>
      </c>
      <c r="T264" s="8">
        <v>1989</v>
      </c>
      <c r="U264" s="8">
        <f t="shared" si="33"/>
        <v>33</v>
      </c>
      <c r="V264" s="7">
        <v>32690</v>
      </c>
      <c r="W264" t="s">
        <v>251</v>
      </c>
      <c r="X264" s="2">
        <v>0.11700000000000001</v>
      </c>
      <c r="Y264" s="6">
        <f t="shared" si="34"/>
        <v>3.1232481781052297E-3</v>
      </c>
      <c r="AA264">
        <v>2179822</v>
      </c>
      <c r="AB264">
        <v>5300152612</v>
      </c>
      <c r="AC264">
        <v>19930615</v>
      </c>
      <c r="AD264" t="s">
        <v>1</v>
      </c>
      <c r="AE264">
        <v>6</v>
      </c>
      <c r="AF264">
        <v>3</v>
      </c>
      <c r="AH264" t="s">
        <v>482</v>
      </c>
      <c r="AI264" t="s">
        <v>481</v>
      </c>
      <c r="AJ264" t="s">
        <v>480</v>
      </c>
      <c r="AK264" t="s">
        <v>479</v>
      </c>
      <c r="AL264">
        <v>0</v>
      </c>
      <c r="AM264" s="5">
        <f t="shared" si="35"/>
        <v>0</v>
      </c>
      <c r="AN264" s="4">
        <f t="shared" si="36"/>
        <v>0</v>
      </c>
      <c r="AO264" s="3"/>
      <c r="AP264">
        <v>0</v>
      </c>
      <c r="AR264" t="s">
        <v>0</v>
      </c>
      <c r="AT264" s="2" t="s">
        <v>5</v>
      </c>
      <c r="AU264" s="1">
        <f t="shared" si="37"/>
        <v>0.21862737246736608</v>
      </c>
      <c r="AV264" s="1">
        <f t="shared" si="38"/>
        <v>0.15616240890526148</v>
      </c>
      <c r="AW264" s="1">
        <f t="shared" si="39"/>
        <v>9.3697445343156896E-2</v>
      </c>
    </row>
    <row r="265" spans="1:49" x14ac:dyDescent="0.2">
      <c r="A265">
        <v>263</v>
      </c>
      <c r="B265" t="s">
        <v>478</v>
      </c>
      <c r="C265" t="s">
        <v>477</v>
      </c>
      <c r="F265" t="s">
        <v>476</v>
      </c>
      <c r="G265" t="s">
        <v>4</v>
      </c>
      <c r="H265" t="s">
        <v>3</v>
      </c>
      <c r="I265" t="s">
        <v>475</v>
      </c>
      <c r="J265">
        <v>60033252</v>
      </c>
      <c r="K265" t="s">
        <v>474</v>
      </c>
      <c r="L265" t="s">
        <v>473</v>
      </c>
      <c r="M265" t="s">
        <v>6</v>
      </c>
      <c r="N265">
        <v>3</v>
      </c>
      <c r="O265" t="s">
        <v>472</v>
      </c>
      <c r="P265" t="s">
        <v>471</v>
      </c>
      <c r="Q265" t="s">
        <v>470</v>
      </c>
      <c r="R265" s="7">
        <v>32690</v>
      </c>
      <c r="S265" s="8">
        <f t="shared" si="32"/>
        <v>1989</v>
      </c>
      <c r="T265" s="8">
        <v>1989</v>
      </c>
      <c r="U265" s="8">
        <f t="shared" si="33"/>
        <v>33</v>
      </c>
      <c r="V265" s="7">
        <v>32690</v>
      </c>
      <c r="W265" t="s">
        <v>196</v>
      </c>
      <c r="X265" s="2">
        <v>0.61499999999999999</v>
      </c>
      <c r="Y265" s="6">
        <f t="shared" si="34"/>
        <v>1.6417073756706976E-2</v>
      </c>
      <c r="AA265">
        <v>1959271</v>
      </c>
      <c r="AB265">
        <v>12141</v>
      </c>
      <c r="AC265">
        <v>15729559</v>
      </c>
      <c r="AD265" t="s">
        <v>1</v>
      </c>
      <c r="AE265">
        <v>10</v>
      </c>
      <c r="AF265">
        <v>7</v>
      </c>
      <c r="AH265" t="s">
        <v>469</v>
      </c>
      <c r="AI265" t="s">
        <v>468</v>
      </c>
      <c r="AK265" t="s">
        <v>467</v>
      </c>
      <c r="AL265">
        <v>1</v>
      </c>
      <c r="AM265" s="5">
        <f t="shared" si="35"/>
        <v>3.0303030303030304E-2</v>
      </c>
      <c r="AN265" s="4">
        <f t="shared" si="36"/>
        <v>4.5896297316214016E-5</v>
      </c>
      <c r="AO265" s="3"/>
      <c r="AP265">
        <v>0</v>
      </c>
      <c r="AR265" t="s">
        <v>0</v>
      </c>
      <c r="AT265" s="2" t="s">
        <v>5</v>
      </c>
      <c r="AU265" s="1">
        <f t="shared" si="37"/>
        <v>1.1505720518889746</v>
      </c>
      <c r="AV265" s="1">
        <f t="shared" si="38"/>
        <v>0.82314850270115947</v>
      </c>
      <c r="AW265" s="1">
        <f t="shared" si="39"/>
        <v>0.49572495351334422</v>
      </c>
    </row>
    <row r="266" spans="1:49" x14ac:dyDescent="0.2">
      <c r="A266">
        <v>264</v>
      </c>
      <c r="B266" t="s">
        <v>466</v>
      </c>
      <c r="C266" t="s">
        <v>465</v>
      </c>
      <c r="F266" t="s">
        <v>464</v>
      </c>
      <c r="G266" t="s">
        <v>4</v>
      </c>
      <c r="H266" t="s">
        <v>3</v>
      </c>
      <c r="I266" t="s">
        <v>463</v>
      </c>
      <c r="N266">
        <v>2</v>
      </c>
      <c r="O266" t="s">
        <v>462</v>
      </c>
      <c r="P266" t="s">
        <v>461</v>
      </c>
      <c r="Q266" t="s">
        <v>51</v>
      </c>
      <c r="R266" s="7">
        <v>32690</v>
      </c>
      <c r="S266" s="8">
        <f t="shared" si="32"/>
        <v>1989</v>
      </c>
      <c r="T266" s="8">
        <v>1989</v>
      </c>
      <c r="U266" s="8">
        <f t="shared" si="33"/>
        <v>33</v>
      </c>
      <c r="V266" s="7">
        <v>32690</v>
      </c>
      <c r="W266" t="s">
        <v>197</v>
      </c>
      <c r="X266" s="2">
        <v>0.318</v>
      </c>
      <c r="Y266" s="6">
        <f t="shared" si="34"/>
        <v>8.4888283815167786E-3</v>
      </c>
      <c r="AA266">
        <v>338443</v>
      </c>
      <c r="AB266">
        <v>27160</v>
      </c>
      <c r="AC266">
        <v>15739120</v>
      </c>
      <c r="AD266" t="s">
        <v>1</v>
      </c>
      <c r="AE266">
        <v>32</v>
      </c>
      <c r="AF266">
        <v>7</v>
      </c>
      <c r="AH266" t="s">
        <v>460</v>
      </c>
      <c r="AL266">
        <v>0</v>
      </c>
      <c r="AM266" s="5">
        <f t="shared" si="35"/>
        <v>0</v>
      </c>
      <c r="AN266" s="4">
        <f t="shared" si="36"/>
        <v>0</v>
      </c>
      <c r="AO266" s="3"/>
      <c r="AP266">
        <v>0</v>
      </c>
      <c r="AR266" t="s">
        <v>0</v>
      </c>
      <c r="AT266" s="2">
        <v>0.77</v>
      </c>
      <c r="AU266" s="1">
        <f t="shared" si="37"/>
        <v>0.59421798670617454</v>
      </c>
      <c r="AV266" s="1">
        <f t="shared" si="38"/>
        <v>0.42444141907583893</v>
      </c>
      <c r="AW266" s="1">
        <f t="shared" si="39"/>
        <v>0.25466485144550338</v>
      </c>
    </row>
    <row r="267" spans="1:49" x14ac:dyDescent="0.2">
      <c r="A267">
        <v>265</v>
      </c>
      <c r="B267" t="s">
        <v>459</v>
      </c>
      <c r="C267" t="s">
        <v>458</v>
      </c>
      <c r="F267" t="s">
        <v>457</v>
      </c>
      <c r="G267" t="s">
        <v>4</v>
      </c>
      <c r="H267" t="s">
        <v>3</v>
      </c>
      <c r="I267" t="s">
        <v>456</v>
      </c>
      <c r="N267">
        <v>1</v>
      </c>
      <c r="O267" t="s">
        <v>455</v>
      </c>
      <c r="P267">
        <v>55986004300</v>
      </c>
      <c r="R267" s="7">
        <v>32690</v>
      </c>
      <c r="S267" s="8">
        <f t="shared" si="32"/>
        <v>1989</v>
      </c>
      <c r="T267" s="8">
        <v>1989</v>
      </c>
      <c r="U267" s="8">
        <f t="shared" si="33"/>
        <v>33</v>
      </c>
      <c r="V267" s="7">
        <v>32690</v>
      </c>
      <c r="W267" t="s">
        <v>197</v>
      </c>
      <c r="X267" s="2">
        <v>0.318</v>
      </c>
      <c r="Y267" s="6">
        <f t="shared" si="34"/>
        <v>8.4888283815167786E-3</v>
      </c>
      <c r="AA267">
        <v>338443</v>
      </c>
      <c r="AB267">
        <v>27160</v>
      </c>
      <c r="AC267">
        <v>15739120</v>
      </c>
      <c r="AD267" t="s">
        <v>1</v>
      </c>
      <c r="AE267">
        <v>32</v>
      </c>
      <c r="AF267">
        <v>7</v>
      </c>
      <c r="AH267" t="s">
        <v>454</v>
      </c>
      <c r="AL267">
        <v>0</v>
      </c>
      <c r="AM267" s="5">
        <f t="shared" si="35"/>
        <v>0</v>
      </c>
      <c r="AN267" s="4">
        <f t="shared" si="36"/>
        <v>0</v>
      </c>
      <c r="AO267" s="3"/>
      <c r="AP267">
        <v>0</v>
      </c>
      <c r="AR267" t="s">
        <v>0</v>
      </c>
      <c r="AT267" s="2">
        <v>0.77</v>
      </c>
      <c r="AU267" s="1">
        <f t="shared" si="37"/>
        <v>0.59421798670617454</v>
      </c>
      <c r="AV267" s="1">
        <f t="shared" si="38"/>
        <v>0.42444141907583893</v>
      </c>
      <c r="AW267" s="1">
        <f t="shared" si="39"/>
        <v>0.25466485144550338</v>
      </c>
    </row>
    <row r="268" spans="1:49" x14ac:dyDescent="0.2">
      <c r="A268">
        <v>266</v>
      </c>
      <c r="B268" t="s">
        <v>453</v>
      </c>
      <c r="F268" t="s">
        <v>452</v>
      </c>
      <c r="G268" t="s">
        <v>4</v>
      </c>
      <c r="H268" t="s">
        <v>3</v>
      </c>
      <c r="I268" t="s">
        <v>451</v>
      </c>
      <c r="J268" t="s">
        <v>450</v>
      </c>
      <c r="K268" t="s">
        <v>449</v>
      </c>
      <c r="L268" t="s">
        <v>448</v>
      </c>
      <c r="M268" t="s">
        <v>30</v>
      </c>
      <c r="N268">
        <v>3</v>
      </c>
      <c r="O268" t="s">
        <v>447</v>
      </c>
      <c r="P268" t="s">
        <v>446</v>
      </c>
      <c r="Q268" t="s">
        <v>445</v>
      </c>
      <c r="R268" s="7">
        <v>32690</v>
      </c>
      <c r="S268" s="8">
        <f t="shared" si="32"/>
        <v>1989</v>
      </c>
      <c r="T268" s="8">
        <v>1989</v>
      </c>
      <c r="U268" s="8">
        <f t="shared" si="33"/>
        <v>33</v>
      </c>
      <c r="V268" s="7">
        <v>32690</v>
      </c>
      <c r="W268" t="s">
        <v>194</v>
      </c>
      <c r="X268" s="2">
        <v>1.9750000000000001</v>
      </c>
      <c r="Y268" s="6">
        <f t="shared" si="34"/>
        <v>5.2721497023571186E-2</v>
      </c>
      <c r="AA268">
        <v>320781</v>
      </c>
      <c r="AB268">
        <v>19019</v>
      </c>
      <c r="AD268" t="s">
        <v>1</v>
      </c>
      <c r="AE268">
        <v>30</v>
      </c>
      <c r="AF268">
        <v>5</v>
      </c>
      <c r="AH268" t="s">
        <v>444</v>
      </c>
      <c r="AI268" t="s">
        <v>443</v>
      </c>
      <c r="AJ268" t="s">
        <v>442</v>
      </c>
      <c r="AK268" t="s">
        <v>441</v>
      </c>
      <c r="AL268">
        <v>15</v>
      </c>
      <c r="AM268" s="5">
        <f t="shared" si="35"/>
        <v>0.45454545454545453</v>
      </c>
      <c r="AN268" s="4">
        <f t="shared" si="36"/>
        <v>6.8844445974321016E-4</v>
      </c>
      <c r="AO268" s="3"/>
      <c r="AP268">
        <v>0</v>
      </c>
      <c r="AR268" t="s">
        <v>0</v>
      </c>
      <c r="AT268" s="2">
        <v>4.9269999999999996</v>
      </c>
      <c r="AU268" s="1">
        <f t="shared" si="37"/>
        <v>3.7111581254422794</v>
      </c>
      <c r="AV268" s="1">
        <f t="shared" si="38"/>
        <v>2.6704970741657199</v>
      </c>
      <c r="AW268" s="1">
        <f t="shared" si="39"/>
        <v>1.6298360228891602</v>
      </c>
    </row>
    <row r="269" spans="1:49" x14ac:dyDescent="0.2">
      <c r="A269">
        <v>267</v>
      </c>
      <c r="B269" t="s">
        <v>440</v>
      </c>
      <c r="C269" t="s">
        <v>439</v>
      </c>
      <c r="E269">
        <v>2769606</v>
      </c>
      <c r="F269" t="s">
        <v>438</v>
      </c>
      <c r="G269" t="s">
        <v>4</v>
      </c>
      <c r="H269" t="s">
        <v>3</v>
      </c>
      <c r="I269" t="s">
        <v>437</v>
      </c>
      <c r="J269">
        <v>60023324</v>
      </c>
      <c r="K269" t="s">
        <v>59</v>
      </c>
      <c r="L269" t="s">
        <v>58</v>
      </c>
      <c r="M269" t="s">
        <v>6</v>
      </c>
      <c r="N269">
        <v>4</v>
      </c>
      <c r="O269" t="s">
        <v>436</v>
      </c>
      <c r="P269" t="s">
        <v>435</v>
      </c>
      <c r="Q269" t="s">
        <v>434</v>
      </c>
      <c r="R269" s="7">
        <v>32690</v>
      </c>
      <c r="S269" s="8">
        <f t="shared" si="32"/>
        <v>1989</v>
      </c>
      <c r="T269" s="8">
        <v>1989</v>
      </c>
      <c r="U269" s="8">
        <f t="shared" si="33"/>
        <v>33</v>
      </c>
      <c r="V269" s="7">
        <v>32690</v>
      </c>
      <c r="W269" t="s">
        <v>32</v>
      </c>
      <c r="X269" s="2">
        <v>0.8</v>
      </c>
      <c r="Y269" s="6">
        <f t="shared" si="34"/>
        <v>2.1355543098155415E-2</v>
      </c>
      <c r="AA269">
        <v>3407594</v>
      </c>
      <c r="AB269">
        <v>23456</v>
      </c>
      <c r="AC269">
        <v>14321351</v>
      </c>
      <c r="AD269" t="s">
        <v>1</v>
      </c>
      <c r="AE269">
        <v>165</v>
      </c>
      <c r="AF269">
        <v>4</v>
      </c>
      <c r="AH269" t="s">
        <v>433</v>
      </c>
      <c r="AI269" t="s">
        <v>432</v>
      </c>
      <c r="AK269" t="s">
        <v>431</v>
      </c>
      <c r="AL269">
        <v>154</v>
      </c>
      <c r="AM269" s="5">
        <f t="shared" si="35"/>
        <v>4.666666666666667</v>
      </c>
      <c r="AN269" s="4">
        <f t="shared" si="36"/>
        <v>7.0680297866969584E-3</v>
      </c>
      <c r="AO269" s="3"/>
      <c r="AP269">
        <v>0</v>
      </c>
      <c r="AQ269" t="s">
        <v>57</v>
      </c>
      <c r="AR269" t="s">
        <v>430</v>
      </c>
      <c r="AS269" t="s">
        <v>56</v>
      </c>
      <c r="AT269" s="2" t="s">
        <v>5</v>
      </c>
      <c r="AU269" s="1">
        <f t="shared" si="37"/>
        <v>1.7069289104717877</v>
      </c>
      <c r="AV269" s="1">
        <f t="shared" si="38"/>
        <v>1.4211786442426186</v>
      </c>
      <c r="AW269" s="1">
        <f t="shared" si="39"/>
        <v>1.1354283780134495</v>
      </c>
    </row>
    <row r="270" spans="1:49" x14ac:dyDescent="0.2">
      <c r="A270">
        <v>268</v>
      </c>
      <c r="B270" t="s">
        <v>429</v>
      </c>
      <c r="F270" t="s">
        <v>428</v>
      </c>
      <c r="G270" t="s">
        <v>4</v>
      </c>
      <c r="H270" t="s">
        <v>3</v>
      </c>
      <c r="I270" t="s">
        <v>427</v>
      </c>
      <c r="N270">
        <v>2</v>
      </c>
      <c r="O270" t="s">
        <v>426</v>
      </c>
      <c r="P270" t="s">
        <v>425</v>
      </c>
      <c r="Q270" t="s">
        <v>51</v>
      </c>
      <c r="R270" s="7">
        <v>32690</v>
      </c>
      <c r="S270" s="8">
        <f t="shared" si="32"/>
        <v>1989</v>
      </c>
      <c r="T270" s="8">
        <v>1989</v>
      </c>
      <c r="U270" s="8">
        <f t="shared" si="33"/>
        <v>33</v>
      </c>
      <c r="V270" s="7">
        <v>32690</v>
      </c>
      <c r="W270" t="s">
        <v>52</v>
      </c>
      <c r="X270" s="2" t="s">
        <v>5</v>
      </c>
      <c r="Y270" s="6" t="e">
        <f t="shared" si="34"/>
        <v>#VALUE!</v>
      </c>
      <c r="AA270">
        <v>87566648</v>
      </c>
      <c r="AB270">
        <v>74127</v>
      </c>
      <c r="AD270" t="s">
        <v>1</v>
      </c>
      <c r="AE270">
        <v>34</v>
      </c>
      <c r="AF270">
        <v>7</v>
      </c>
      <c r="AH270" t="s">
        <v>424</v>
      </c>
      <c r="AI270" t="s">
        <v>423</v>
      </c>
      <c r="AK270" t="s">
        <v>422</v>
      </c>
      <c r="AL270">
        <v>0</v>
      </c>
      <c r="AM270" s="5">
        <f t="shared" si="35"/>
        <v>0</v>
      </c>
      <c r="AN270" s="4">
        <f t="shared" si="36"/>
        <v>0</v>
      </c>
      <c r="AO270" s="3"/>
      <c r="AP270">
        <v>0</v>
      </c>
      <c r="AR270" t="s">
        <v>0</v>
      </c>
      <c r="AT270" s="2" t="s">
        <v>5</v>
      </c>
      <c r="AU270" s="1" t="e">
        <f t="shared" si="37"/>
        <v>#VALUE!</v>
      </c>
      <c r="AV270" s="1" t="e">
        <f t="shared" si="38"/>
        <v>#VALUE!</v>
      </c>
      <c r="AW270" s="1" t="e">
        <f t="shared" si="39"/>
        <v>#VALUE!</v>
      </c>
    </row>
    <row r="271" spans="1:49" x14ac:dyDescent="0.2">
      <c r="A271">
        <v>269</v>
      </c>
      <c r="B271" t="s">
        <v>421</v>
      </c>
      <c r="F271" t="s">
        <v>420</v>
      </c>
      <c r="G271" t="s">
        <v>4</v>
      </c>
      <c r="H271" t="s">
        <v>3</v>
      </c>
      <c r="I271" t="s">
        <v>419</v>
      </c>
      <c r="J271">
        <v>60031028</v>
      </c>
      <c r="K271" t="s">
        <v>418</v>
      </c>
      <c r="L271" t="s">
        <v>68</v>
      </c>
      <c r="M271" t="s">
        <v>37</v>
      </c>
      <c r="N271">
        <v>3</v>
      </c>
      <c r="O271" t="s">
        <v>417</v>
      </c>
      <c r="P271" t="s">
        <v>416</v>
      </c>
      <c r="Q271" t="s">
        <v>415</v>
      </c>
      <c r="R271" s="7">
        <v>32690</v>
      </c>
      <c r="S271" s="8">
        <f t="shared" si="32"/>
        <v>1989</v>
      </c>
      <c r="T271" s="8">
        <v>1989</v>
      </c>
      <c r="U271" s="8">
        <f t="shared" si="33"/>
        <v>33</v>
      </c>
      <c r="V271" s="7">
        <v>32690</v>
      </c>
      <c r="W271" t="s">
        <v>28</v>
      </c>
      <c r="X271" s="2" t="s">
        <v>5</v>
      </c>
      <c r="Y271" s="6" t="e">
        <f t="shared" si="34"/>
        <v>#VALUE!</v>
      </c>
      <c r="AA271">
        <v>2650193</v>
      </c>
      <c r="AB271">
        <v>35207</v>
      </c>
      <c r="AD271" t="s">
        <v>1</v>
      </c>
      <c r="AE271">
        <v>7</v>
      </c>
      <c r="AF271">
        <v>3</v>
      </c>
      <c r="AH271" t="s">
        <v>414</v>
      </c>
      <c r="AI271" t="s">
        <v>413</v>
      </c>
      <c r="AK271" t="s">
        <v>412</v>
      </c>
      <c r="AL271">
        <v>0</v>
      </c>
      <c r="AM271" s="5">
        <f t="shared" si="35"/>
        <v>0</v>
      </c>
      <c r="AN271" s="4">
        <f t="shared" si="36"/>
        <v>0</v>
      </c>
      <c r="AO271" s="3"/>
      <c r="AP271">
        <v>0</v>
      </c>
      <c r="AR271" t="s">
        <v>0</v>
      </c>
      <c r="AT271" s="2" t="s">
        <v>5</v>
      </c>
      <c r="AU271" s="1" t="e">
        <f t="shared" si="37"/>
        <v>#VALUE!</v>
      </c>
      <c r="AV271" s="1" t="e">
        <f t="shared" si="38"/>
        <v>#VALUE!</v>
      </c>
      <c r="AW271" s="1" t="e">
        <f t="shared" si="39"/>
        <v>#VALUE!</v>
      </c>
    </row>
    <row r="272" spans="1:49" x14ac:dyDescent="0.2">
      <c r="A272">
        <v>270</v>
      </c>
      <c r="B272" t="s">
        <v>411</v>
      </c>
      <c r="F272" t="s">
        <v>410</v>
      </c>
      <c r="G272" t="s">
        <v>4</v>
      </c>
      <c r="H272" t="s">
        <v>3</v>
      </c>
      <c r="I272" t="s">
        <v>409</v>
      </c>
      <c r="N272">
        <v>2</v>
      </c>
      <c r="O272" t="s">
        <v>408</v>
      </c>
      <c r="P272" t="s">
        <v>407</v>
      </c>
      <c r="Q272" t="s">
        <v>51</v>
      </c>
      <c r="R272" s="7">
        <v>32690</v>
      </c>
      <c r="S272" s="8">
        <f t="shared" si="32"/>
        <v>1989</v>
      </c>
      <c r="T272" s="8">
        <v>1989</v>
      </c>
      <c r="U272" s="8">
        <f t="shared" si="33"/>
        <v>33</v>
      </c>
      <c r="V272" s="7">
        <v>32690</v>
      </c>
      <c r="W272" t="s">
        <v>52</v>
      </c>
      <c r="X272" s="2" t="s">
        <v>5</v>
      </c>
      <c r="Y272" s="6" t="e">
        <f t="shared" si="34"/>
        <v>#VALUE!</v>
      </c>
      <c r="AA272">
        <v>87566648</v>
      </c>
      <c r="AB272">
        <v>74127</v>
      </c>
      <c r="AD272" t="s">
        <v>1</v>
      </c>
      <c r="AE272">
        <v>34</v>
      </c>
      <c r="AF272">
        <v>7</v>
      </c>
      <c r="AH272" t="s">
        <v>406</v>
      </c>
      <c r="AI272" t="s">
        <v>405</v>
      </c>
      <c r="AK272" t="s">
        <v>404</v>
      </c>
      <c r="AL272">
        <v>0</v>
      </c>
      <c r="AM272" s="5">
        <f t="shared" si="35"/>
        <v>0</v>
      </c>
      <c r="AN272" s="4">
        <f t="shared" si="36"/>
        <v>0</v>
      </c>
      <c r="AO272" s="3"/>
      <c r="AP272">
        <v>0</v>
      </c>
      <c r="AR272" t="s">
        <v>0</v>
      </c>
      <c r="AT272" s="2" t="s">
        <v>5</v>
      </c>
      <c r="AU272" s="1" t="e">
        <f t="shared" si="37"/>
        <v>#VALUE!</v>
      </c>
      <c r="AV272" s="1" t="e">
        <f t="shared" si="38"/>
        <v>#VALUE!</v>
      </c>
      <c r="AW272" s="1" t="e">
        <f t="shared" si="39"/>
        <v>#VALUE!</v>
      </c>
    </row>
    <row r="273" spans="1:49" x14ac:dyDescent="0.2">
      <c r="A273">
        <v>271</v>
      </c>
      <c r="B273" t="s">
        <v>403</v>
      </c>
      <c r="F273" t="s">
        <v>402</v>
      </c>
      <c r="G273" t="s">
        <v>4</v>
      </c>
      <c r="H273" t="s">
        <v>3</v>
      </c>
      <c r="I273" t="s">
        <v>401</v>
      </c>
      <c r="N273">
        <v>1</v>
      </c>
      <c r="O273" t="s">
        <v>400</v>
      </c>
      <c r="P273">
        <v>56262644700</v>
      </c>
      <c r="R273" s="7">
        <v>32690</v>
      </c>
      <c r="S273" s="8">
        <f t="shared" si="32"/>
        <v>1989</v>
      </c>
      <c r="T273" s="8">
        <v>1989</v>
      </c>
      <c r="U273" s="8">
        <f t="shared" si="33"/>
        <v>33</v>
      </c>
      <c r="V273" s="7">
        <v>32690</v>
      </c>
      <c r="W273" t="s">
        <v>399</v>
      </c>
      <c r="X273" s="2" t="s">
        <v>5</v>
      </c>
      <c r="Y273" s="6" t="e">
        <f t="shared" si="34"/>
        <v>#VALUE!</v>
      </c>
      <c r="AA273">
        <v>9152334</v>
      </c>
      <c r="AB273">
        <v>20160</v>
      </c>
      <c r="AD273" t="s">
        <v>1</v>
      </c>
      <c r="AE273">
        <v>1</v>
      </c>
      <c r="AF273">
        <v>2</v>
      </c>
      <c r="AH273" t="s">
        <v>398</v>
      </c>
      <c r="AI273" t="s">
        <v>397</v>
      </c>
      <c r="AK273" t="s">
        <v>396</v>
      </c>
      <c r="AL273">
        <v>0</v>
      </c>
      <c r="AM273" s="5">
        <f t="shared" si="35"/>
        <v>0</v>
      </c>
      <c r="AN273" s="4">
        <f t="shared" si="36"/>
        <v>0</v>
      </c>
      <c r="AO273" s="3"/>
      <c r="AP273">
        <v>0</v>
      </c>
      <c r="AR273" t="s">
        <v>0</v>
      </c>
      <c r="AT273" s="2" t="s">
        <v>5</v>
      </c>
      <c r="AU273" s="1" t="e">
        <f t="shared" si="37"/>
        <v>#VALUE!</v>
      </c>
      <c r="AV273" s="1" t="e">
        <f t="shared" si="38"/>
        <v>#VALUE!</v>
      </c>
      <c r="AW273" s="1" t="e">
        <f t="shared" si="39"/>
        <v>#VALUE!</v>
      </c>
    </row>
    <row r="274" spans="1:49" x14ac:dyDescent="0.2">
      <c r="A274">
        <v>272</v>
      </c>
      <c r="B274" t="s">
        <v>395</v>
      </c>
      <c r="F274" t="s">
        <v>394</v>
      </c>
      <c r="G274" t="s">
        <v>4</v>
      </c>
      <c r="H274" t="s">
        <v>3</v>
      </c>
      <c r="I274" t="s">
        <v>393</v>
      </c>
      <c r="N274">
        <v>2</v>
      </c>
      <c r="O274" t="s">
        <v>392</v>
      </c>
      <c r="P274" t="s">
        <v>391</v>
      </c>
      <c r="Q274" t="s">
        <v>51</v>
      </c>
      <c r="R274" s="7">
        <v>32690</v>
      </c>
      <c r="S274" s="8">
        <f t="shared" si="32"/>
        <v>1989</v>
      </c>
      <c r="T274" s="8">
        <v>1989</v>
      </c>
      <c r="U274" s="8">
        <f t="shared" si="33"/>
        <v>33</v>
      </c>
      <c r="V274" s="7">
        <v>32690</v>
      </c>
      <c r="W274" t="s">
        <v>52</v>
      </c>
      <c r="X274" s="2" t="s">
        <v>5</v>
      </c>
      <c r="Y274" s="6" t="e">
        <f t="shared" si="34"/>
        <v>#VALUE!</v>
      </c>
      <c r="AA274">
        <v>87566648</v>
      </c>
      <c r="AB274">
        <v>74127</v>
      </c>
      <c r="AD274" t="s">
        <v>1</v>
      </c>
      <c r="AE274">
        <v>34</v>
      </c>
      <c r="AF274">
        <v>7</v>
      </c>
      <c r="AH274" t="s">
        <v>390</v>
      </c>
      <c r="AI274" t="s">
        <v>389</v>
      </c>
      <c r="AK274" t="s">
        <v>388</v>
      </c>
      <c r="AL274">
        <v>0</v>
      </c>
      <c r="AM274" s="5">
        <f t="shared" si="35"/>
        <v>0</v>
      </c>
      <c r="AN274" s="4">
        <f t="shared" si="36"/>
        <v>0</v>
      </c>
      <c r="AO274" s="3"/>
      <c r="AP274">
        <v>0</v>
      </c>
      <c r="AR274" t="s">
        <v>0</v>
      </c>
      <c r="AT274" s="2" t="s">
        <v>5</v>
      </c>
      <c r="AU274" s="1" t="e">
        <f t="shared" si="37"/>
        <v>#VALUE!</v>
      </c>
      <c r="AV274" s="1" t="e">
        <f t="shared" si="38"/>
        <v>#VALUE!</v>
      </c>
      <c r="AW274" s="1" t="e">
        <f t="shared" si="39"/>
        <v>#VALUE!</v>
      </c>
    </row>
    <row r="275" spans="1:49" x14ac:dyDescent="0.2">
      <c r="A275">
        <v>273</v>
      </c>
      <c r="B275" t="s">
        <v>387</v>
      </c>
      <c r="F275" t="s">
        <v>386</v>
      </c>
      <c r="G275" t="s">
        <v>4</v>
      </c>
      <c r="H275" t="s">
        <v>3</v>
      </c>
      <c r="I275" t="s">
        <v>385</v>
      </c>
      <c r="N275">
        <v>1</v>
      </c>
      <c r="O275" t="s">
        <v>384</v>
      </c>
      <c r="P275">
        <v>7003805994</v>
      </c>
      <c r="R275" s="7">
        <v>32690</v>
      </c>
      <c r="S275" s="8">
        <f t="shared" si="32"/>
        <v>1989</v>
      </c>
      <c r="T275" s="8">
        <v>1989</v>
      </c>
      <c r="U275" s="8">
        <f t="shared" si="33"/>
        <v>33</v>
      </c>
      <c r="V275" s="7">
        <v>32690</v>
      </c>
      <c r="W275" t="s">
        <v>52</v>
      </c>
      <c r="X275" s="2" t="s">
        <v>5</v>
      </c>
      <c r="Y275" s="6" t="e">
        <f t="shared" si="34"/>
        <v>#VALUE!</v>
      </c>
      <c r="AA275">
        <v>87566648</v>
      </c>
      <c r="AB275">
        <v>74127</v>
      </c>
      <c r="AD275" t="s">
        <v>1</v>
      </c>
      <c r="AE275">
        <v>34</v>
      </c>
      <c r="AF275">
        <v>7</v>
      </c>
      <c r="AH275" t="s">
        <v>383</v>
      </c>
      <c r="AI275" t="s">
        <v>382</v>
      </c>
      <c r="AK275" t="s">
        <v>381</v>
      </c>
      <c r="AL275">
        <v>0</v>
      </c>
      <c r="AM275" s="5">
        <f t="shared" si="35"/>
        <v>0</v>
      </c>
      <c r="AN275" s="4">
        <f t="shared" si="36"/>
        <v>0</v>
      </c>
      <c r="AO275" s="3"/>
      <c r="AP275">
        <v>0</v>
      </c>
      <c r="AR275" t="s">
        <v>0</v>
      </c>
      <c r="AT275" s="2" t="s">
        <v>5</v>
      </c>
      <c r="AU275" s="1" t="e">
        <f t="shared" si="37"/>
        <v>#VALUE!</v>
      </c>
      <c r="AV275" s="1" t="e">
        <f t="shared" si="38"/>
        <v>#VALUE!</v>
      </c>
      <c r="AW275" s="1" t="e">
        <f t="shared" si="39"/>
        <v>#VALUE!</v>
      </c>
    </row>
    <row r="276" spans="1:49" x14ac:dyDescent="0.2">
      <c r="A276">
        <v>274</v>
      </c>
      <c r="B276" t="s">
        <v>380</v>
      </c>
      <c r="F276" t="s">
        <v>379</v>
      </c>
      <c r="G276" t="s">
        <v>4</v>
      </c>
      <c r="H276" t="s">
        <v>3</v>
      </c>
      <c r="I276" t="s">
        <v>378</v>
      </c>
      <c r="N276">
        <v>2</v>
      </c>
      <c r="O276" t="s">
        <v>377</v>
      </c>
      <c r="P276" t="s">
        <v>376</v>
      </c>
      <c r="Q276" t="s">
        <v>51</v>
      </c>
      <c r="R276" s="7">
        <v>32690</v>
      </c>
      <c r="S276" s="8">
        <f t="shared" si="32"/>
        <v>1989</v>
      </c>
      <c r="T276" s="8">
        <v>1989</v>
      </c>
      <c r="U276" s="8">
        <f t="shared" si="33"/>
        <v>33</v>
      </c>
      <c r="V276" s="7">
        <v>32690</v>
      </c>
      <c r="W276" t="s">
        <v>52</v>
      </c>
      <c r="X276" s="2" t="s">
        <v>5</v>
      </c>
      <c r="Y276" s="6" t="e">
        <f t="shared" si="34"/>
        <v>#VALUE!</v>
      </c>
      <c r="AA276">
        <v>87566648</v>
      </c>
      <c r="AB276">
        <v>74127</v>
      </c>
      <c r="AD276" t="s">
        <v>1</v>
      </c>
      <c r="AE276">
        <v>34</v>
      </c>
      <c r="AF276">
        <v>7</v>
      </c>
      <c r="AH276" t="s">
        <v>44</v>
      </c>
      <c r="AI276" t="s">
        <v>375</v>
      </c>
      <c r="AK276" t="s">
        <v>374</v>
      </c>
      <c r="AL276">
        <v>0</v>
      </c>
      <c r="AM276" s="5">
        <f t="shared" si="35"/>
        <v>0</v>
      </c>
      <c r="AN276" s="4">
        <f t="shared" si="36"/>
        <v>0</v>
      </c>
      <c r="AO276" s="3"/>
      <c r="AP276">
        <v>0</v>
      </c>
      <c r="AR276" t="s">
        <v>0</v>
      </c>
      <c r="AT276" s="2" t="s">
        <v>5</v>
      </c>
      <c r="AU276" s="1" t="e">
        <f t="shared" si="37"/>
        <v>#VALUE!</v>
      </c>
      <c r="AV276" s="1" t="e">
        <f t="shared" si="38"/>
        <v>#VALUE!</v>
      </c>
      <c r="AW276" s="1" t="e">
        <f t="shared" si="39"/>
        <v>#VALUE!</v>
      </c>
    </row>
    <row r="277" spans="1:49" x14ac:dyDescent="0.2">
      <c r="A277">
        <v>275</v>
      </c>
      <c r="B277" t="s">
        <v>373</v>
      </c>
      <c r="F277" t="s">
        <v>372</v>
      </c>
      <c r="G277" t="s">
        <v>4</v>
      </c>
      <c r="H277" t="s">
        <v>3</v>
      </c>
      <c r="I277" t="s">
        <v>371</v>
      </c>
      <c r="N277">
        <v>16</v>
      </c>
      <c r="O277" t="s">
        <v>370</v>
      </c>
      <c r="P277" t="s">
        <v>369</v>
      </c>
      <c r="Q277" t="s">
        <v>368</v>
      </c>
      <c r="R277" s="7">
        <v>32690</v>
      </c>
      <c r="S277" s="8">
        <f t="shared" si="32"/>
        <v>1989</v>
      </c>
      <c r="T277" s="8">
        <v>1989</v>
      </c>
      <c r="U277" s="8">
        <f t="shared" si="33"/>
        <v>33</v>
      </c>
      <c r="V277" s="7">
        <v>32690</v>
      </c>
      <c r="W277" t="s">
        <v>52</v>
      </c>
      <c r="X277" s="2" t="s">
        <v>5</v>
      </c>
      <c r="Y277" s="6" t="e">
        <f t="shared" si="34"/>
        <v>#VALUE!</v>
      </c>
      <c r="AA277">
        <v>87566648</v>
      </c>
      <c r="AB277">
        <v>74127</v>
      </c>
      <c r="AD277" t="s">
        <v>1</v>
      </c>
      <c r="AE277">
        <v>34</v>
      </c>
      <c r="AF277">
        <v>7</v>
      </c>
      <c r="AH277" t="s">
        <v>367</v>
      </c>
      <c r="AI277" t="s">
        <v>366</v>
      </c>
      <c r="AK277" t="s">
        <v>365</v>
      </c>
      <c r="AL277">
        <v>1</v>
      </c>
      <c r="AM277" s="5">
        <f t="shared" si="35"/>
        <v>3.0303030303030304E-2</v>
      </c>
      <c r="AN277" s="4">
        <f t="shared" si="36"/>
        <v>4.5896297316214016E-5</v>
      </c>
      <c r="AO277" s="3"/>
      <c r="AP277">
        <v>0</v>
      </c>
      <c r="AR277" t="s">
        <v>0</v>
      </c>
      <c r="AT277" s="2" t="s">
        <v>5</v>
      </c>
      <c r="AU277" s="1" t="e">
        <f t="shared" si="37"/>
        <v>#VALUE!</v>
      </c>
      <c r="AV277" s="1" t="e">
        <f t="shared" si="38"/>
        <v>#VALUE!</v>
      </c>
      <c r="AW277" s="1" t="e">
        <f t="shared" si="39"/>
        <v>#VALUE!</v>
      </c>
    </row>
    <row r="278" spans="1:49" x14ac:dyDescent="0.2">
      <c r="A278">
        <v>276</v>
      </c>
      <c r="B278" t="s">
        <v>364</v>
      </c>
      <c r="F278" t="s">
        <v>363</v>
      </c>
      <c r="G278" t="s">
        <v>4</v>
      </c>
      <c r="H278" t="s">
        <v>3</v>
      </c>
      <c r="I278" t="s">
        <v>362</v>
      </c>
      <c r="N278">
        <v>1</v>
      </c>
      <c r="O278" t="s">
        <v>361</v>
      </c>
      <c r="P278">
        <v>7403907015</v>
      </c>
      <c r="R278" s="7">
        <v>32690</v>
      </c>
      <c r="S278" s="8">
        <f t="shared" si="32"/>
        <v>1989</v>
      </c>
      <c r="T278" s="8">
        <v>1989</v>
      </c>
      <c r="U278" s="8">
        <f t="shared" si="33"/>
        <v>33</v>
      </c>
      <c r="V278" s="7">
        <v>32690</v>
      </c>
      <c r="W278" t="s">
        <v>360</v>
      </c>
      <c r="X278" s="2" t="s">
        <v>5</v>
      </c>
      <c r="Y278" s="6" t="e">
        <f t="shared" si="34"/>
        <v>#VALUE!</v>
      </c>
      <c r="AA278">
        <v>135216</v>
      </c>
      <c r="AB278">
        <v>110010</v>
      </c>
      <c r="AD278" t="s">
        <v>1</v>
      </c>
      <c r="AH278" t="s">
        <v>359</v>
      </c>
      <c r="AI278" t="s">
        <v>358</v>
      </c>
      <c r="AK278" t="s">
        <v>357</v>
      </c>
      <c r="AL278">
        <v>0</v>
      </c>
      <c r="AM278" s="5">
        <f t="shared" si="35"/>
        <v>0</v>
      </c>
      <c r="AN278" s="4">
        <f t="shared" si="36"/>
        <v>0</v>
      </c>
      <c r="AO278" s="3"/>
      <c r="AP278">
        <v>0</v>
      </c>
      <c r="AR278" t="s">
        <v>0</v>
      </c>
      <c r="AT278" s="2" t="s">
        <v>5</v>
      </c>
      <c r="AU278" s="1" t="e">
        <f t="shared" si="37"/>
        <v>#VALUE!</v>
      </c>
      <c r="AV278" s="1" t="e">
        <f t="shared" si="38"/>
        <v>#VALUE!</v>
      </c>
      <c r="AW278" s="1" t="e">
        <f t="shared" si="39"/>
        <v>#VALUE!</v>
      </c>
    </row>
    <row r="279" spans="1:49" x14ac:dyDescent="0.2">
      <c r="A279">
        <v>277</v>
      </c>
      <c r="B279" t="s">
        <v>356</v>
      </c>
      <c r="F279" t="s">
        <v>355</v>
      </c>
      <c r="G279" t="s">
        <v>4</v>
      </c>
      <c r="H279" t="s">
        <v>3</v>
      </c>
      <c r="I279" t="s">
        <v>354</v>
      </c>
      <c r="N279">
        <v>3</v>
      </c>
      <c r="O279" t="s">
        <v>353</v>
      </c>
      <c r="P279" t="s">
        <v>352</v>
      </c>
      <c r="Q279" t="s">
        <v>20</v>
      </c>
      <c r="R279" s="7">
        <v>32690</v>
      </c>
      <c r="S279" s="8">
        <f t="shared" si="32"/>
        <v>1989</v>
      </c>
      <c r="T279" s="8">
        <v>1989</v>
      </c>
      <c r="U279" s="8">
        <f t="shared" si="33"/>
        <v>33</v>
      </c>
      <c r="V279" s="7">
        <v>32690</v>
      </c>
      <c r="W279" t="s">
        <v>52</v>
      </c>
      <c r="X279" s="2" t="s">
        <v>5</v>
      </c>
      <c r="Y279" s="6" t="e">
        <f t="shared" si="34"/>
        <v>#VALUE!</v>
      </c>
      <c r="AA279">
        <v>87566648</v>
      </c>
      <c r="AB279">
        <v>74127</v>
      </c>
      <c r="AD279" t="s">
        <v>1</v>
      </c>
      <c r="AE279">
        <v>34</v>
      </c>
      <c r="AF279">
        <v>7</v>
      </c>
      <c r="AH279" t="s">
        <v>351</v>
      </c>
      <c r="AI279" t="s">
        <v>350</v>
      </c>
      <c r="AK279" t="s">
        <v>349</v>
      </c>
      <c r="AL279">
        <v>0</v>
      </c>
      <c r="AM279" s="5">
        <f t="shared" si="35"/>
        <v>0</v>
      </c>
      <c r="AN279" s="4">
        <f t="shared" si="36"/>
        <v>0</v>
      </c>
      <c r="AO279" s="3"/>
      <c r="AP279">
        <v>0</v>
      </c>
      <c r="AR279" t="s">
        <v>0</v>
      </c>
      <c r="AT279" s="2" t="s">
        <v>5</v>
      </c>
      <c r="AU279" s="1" t="e">
        <f t="shared" si="37"/>
        <v>#VALUE!</v>
      </c>
      <c r="AV279" s="1" t="e">
        <f t="shared" si="38"/>
        <v>#VALUE!</v>
      </c>
      <c r="AW279" s="1" t="e">
        <f t="shared" si="39"/>
        <v>#VALUE!</v>
      </c>
    </row>
    <row r="280" spans="1:49" x14ac:dyDescent="0.2">
      <c r="A280">
        <v>278</v>
      </c>
      <c r="B280" t="s">
        <v>348</v>
      </c>
      <c r="F280" t="s">
        <v>347</v>
      </c>
      <c r="G280" t="s">
        <v>4</v>
      </c>
      <c r="H280" t="s">
        <v>3</v>
      </c>
      <c r="I280" t="s">
        <v>346</v>
      </c>
      <c r="N280">
        <v>3</v>
      </c>
      <c r="O280" t="s">
        <v>345</v>
      </c>
      <c r="P280" t="s">
        <v>344</v>
      </c>
      <c r="Q280" t="s">
        <v>20</v>
      </c>
      <c r="R280" s="7">
        <v>32690</v>
      </c>
      <c r="S280" s="8">
        <f t="shared" si="32"/>
        <v>1989</v>
      </c>
      <c r="T280" s="8">
        <v>1989</v>
      </c>
      <c r="U280" s="8">
        <f t="shared" si="33"/>
        <v>33</v>
      </c>
      <c r="V280" s="7">
        <v>32690</v>
      </c>
      <c r="W280" t="s">
        <v>52</v>
      </c>
      <c r="X280" s="2" t="s">
        <v>5</v>
      </c>
      <c r="Y280" s="6" t="e">
        <f t="shared" si="34"/>
        <v>#VALUE!</v>
      </c>
      <c r="AA280">
        <v>87566648</v>
      </c>
      <c r="AB280">
        <v>74127</v>
      </c>
      <c r="AD280" t="s">
        <v>1</v>
      </c>
      <c r="AE280">
        <v>34</v>
      </c>
      <c r="AF280">
        <v>7</v>
      </c>
      <c r="AH280" t="s">
        <v>343</v>
      </c>
      <c r="AI280" t="s">
        <v>342</v>
      </c>
      <c r="AK280" t="s">
        <v>341</v>
      </c>
      <c r="AL280">
        <v>0</v>
      </c>
      <c r="AM280" s="5">
        <f t="shared" si="35"/>
        <v>0</v>
      </c>
      <c r="AN280" s="4">
        <f t="shared" si="36"/>
        <v>0</v>
      </c>
      <c r="AO280" s="3"/>
      <c r="AP280">
        <v>0</v>
      </c>
      <c r="AR280" t="s">
        <v>0</v>
      </c>
      <c r="AT280" s="2" t="s">
        <v>5</v>
      </c>
      <c r="AU280" s="1" t="e">
        <f t="shared" si="37"/>
        <v>#VALUE!</v>
      </c>
      <c r="AV280" s="1" t="e">
        <f t="shared" si="38"/>
        <v>#VALUE!</v>
      </c>
      <c r="AW280" s="1" t="e">
        <f t="shared" si="39"/>
        <v>#VALUE!</v>
      </c>
    </row>
    <row r="281" spans="1:49" x14ac:dyDescent="0.2">
      <c r="A281">
        <v>279</v>
      </c>
      <c r="B281" t="s">
        <v>340</v>
      </c>
      <c r="F281" t="s">
        <v>339</v>
      </c>
      <c r="G281" t="s">
        <v>4</v>
      </c>
      <c r="H281" t="s">
        <v>3</v>
      </c>
      <c r="I281" t="s">
        <v>338</v>
      </c>
      <c r="N281">
        <v>1</v>
      </c>
      <c r="O281" t="s">
        <v>337</v>
      </c>
      <c r="P281">
        <v>6603869177</v>
      </c>
      <c r="R281" s="7">
        <v>32690</v>
      </c>
      <c r="S281" s="8">
        <f t="shared" si="32"/>
        <v>1989</v>
      </c>
      <c r="T281" s="8">
        <v>1989</v>
      </c>
      <c r="U281" s="8">
        <f t="shared" si="33"/>
        <v>33</v>
      </c>
      <c r="V281" s="7">
        <v>32690</v>
      </c>
      <c r="W281" t="s">
        <v>52</v>
      </c>
      <c r="X281" s="2" t="s">
        <v>5</v>
      </c>
      <c r="Y281" s="6" t="e">
        <f t="shared" si="34"/>
        <v>#VALUE!</v>
      </c>
      <c r="AA281">
        <v>87566648</v>
      </c>
      <c r="AB281">
        <v>74127</v>
      </c>
      <c r="AD281" t="s">
        <v>1</v>
      </c>
      <c r="AE281">
        <v>34</v>
      </c>
      <c r="AF281">
        <v>7</v>
      </c>
      <c r="AH281" t="s">
        <v>336</v>
      </c>
      <c r="AI281" t="s">
        <v>335</v>
      </c>
      <c r="AK281" t="s">
        <v>334</v>
      </c>
      <c r="AL281">
        <v>0</v>
      </c>
      <c r="AM281" s="5">
        <f t="shared" si="35"/>
        <v>0</v>
      </c>
      <c r="AN281" s="4">
        <f t="shared" si="36"/>
        <v>0</v>
      </c>
      <c r="AO281" s="3"/>
      <c r="AP281">
        <v>0</v>
      </c>
      <c r="AR281" t="s">
        <v>0</v>
      </c>
      <c r="AT281" s="2" t="s">
        <v>5</v>
      </c>
      <c r="AU281" s="1" t="e">
        <f t="shared" si="37"/>
        <v>#VALUE!</v>
      </c>
      <c r="AV281" s="1" t="e">
        <f t="shared" si="38"/>
        <v>#VALUE!</v>
      </c>
      <c r="AW281" s="1" t="e">
        <f t="shared" si="39"/>
        <v>#VALUE!</v>
      </c>
    </row>
    <row r="282" spans="1:49" x14ac:dyDescent="0.2">
      <c r="A282">
        <v>280</v>
      </c>
      <c r="B282" t="s">
        <v>333</v>
      </c>
      <c r="F282" t="s">
        <v>332</v>
      </c>
      <c r="G282" t="s">
        <v>4</v>
      </c>
      <c r="H282" t="s">
        <v>3</v>
      </c>
      <c r="I282" t="s">
        <v>331</v>
      </c>
      <c r="J282">
        <v>60020818</v>
      </c>
      <c r="K282" t="s">
        <v>212</v>
      </c>
      <c r="L282" t="s">
        <v>211</v>
      </c>
      <c r="M282" t="s">
        <v>6</v>
      </c>
      <c r="N282">
        <v>1</v>
      </c>
      <c r="O282" t="s">
        <v>330</v>
      </c>
      <c r="P282">
        <v>57199186020</v>
      </c>
      <c r="Q282">
        <v>60020818</v>
      </c>
      <c r="R282" s="7">
        <v>32690</v>
      </c>
      <c r="S282" s="8">
        <f t="shared" si="32"/>
        <v>1989</v>
      </c>
      <c r="T282" s="8">
        <v>1989</v>
      </c>
      <c r="U282" s="8">
        <f t="shared" si="33"/>
        <v>33</v>
      </c>
      <c r="V282" s="7">
        <v>32690</v>
      </c>
      <c r="W282" t="s">
        <v>329</v>
      </c>
      <c r="X282" s="2" t="s">
        <v>5</v>
      </c>
      <c r="Y282" s="6" t="e">
        <f t="shared" si="34"/>
        <v>#VALUE!</v>
      </c>
      <c r="AA282">
        <v>911062</v>
      </c>
      <c r="AB282">
        <v>17916</v>
      </c>
      <c r="AD282" t="s">
        <v>1</v>
      </c>
      <c r="AE282">
        <v>25</v>
      </c>
      <c r="AF282">
        <v>4</v>
      </c>
      <c r="AH282" t="s">
        <v>328</v>
      </c>
      <c r="AI282" t="s">
        <v>327</v>
      </c>
      <c r="AK282" t="s">
        <v>326</v>
      </c>
      <c r="AL282">
        <v>0</v>
      </c>
      <c r="AM282" s="5">
        <f t="shared" si="35"/>
        <v>0</v>
      </c>
      <c r="AN282" s="4">
        <f t="shared" si="36"/>
        <v>0</v>
      </c>
      <c r="AO282" s="3"/>
      <c r="AP282">
        <v>0</v>
      </c>
      <c r="AR282" t="s">
        <v>0</v>
      </c>
      <c r="AT282" s="2">
        <v>0.182</v>
      </c>
      <c r="AU282" s="1" t="e">
        <f t="shared" si="37"/>
        <v>#VALUE!</v>
      </c>
      <c r="AV282" s="1" t="e">
        <f t="shared" si="38"/>
        <v>#VALUE!</v>
      </c>
      <c r="AW282" s="1" t="e">
        <f t="shared" si="39"/>
        <v>#VALUE!</v>
      </c>
    </row>
    <row r="283" spans="1:49" x14ac:dyDescent="0.2">
      <c r="A283">
        <v>281</v>
      </c>
      <c r="B283" t="s">
        <v>325</v>
      </c>
      <c r="F283" t="s">
        <v>324</v>
      </c>
      <c r="G283" t="s">
        <v>4</v>
      </c>
      <c r="H283" t="s">
        <v>3</v>
      </c>
      <c r="I283" t="s">
        <v>323</v>
      </c>
      <c r="J283">
        <v>60103653</v>
      </c>
      <c r="K283" t="s">
        <v>207</v>
      </c>
      <c r="L283" t="s">
        <v>206</v>
      </c>
      <c r="M283" t="s">
        <v>205</v>
      </c>
      <c r="N283">
        <v>1</v>
      </c>
      <c r="O283" t="s">
        <v>322</v>
      </c>
      <c r="P283">
        <v>7004143659</v>
      </c>
      <c r="Q283">
        <v>60103653</v>
      </c>
      <c r="R283" s="7">
        <v>32690</v>
      </c>
      <c r="S283" s="8">
        <f t="shared" si="32"/>
        <v>1989</v>
      </c>
      <c r="T283" s="8">
        <v>1989</v>
      </c>
      <c r="U283" s="8">
        <f t="shared" si="33"/>
        <v>33</v>
      </c>
      <c r="V283" s="7">
        <v>32690</v>
      </c>
      <c r="W283" t="s">
        <v>239</v>
      </c>
      <c r="X283" s="2">
        <v>0.54700000000000004</v>
      </c>
      <c r="Y283" s="6">
        <f t="shared" si="34"/>
        <v>1.4601852593363766E-2</v>
      </c>
      <c r="AA283">
        <v>11096</v>
      </c>
      <c r="AB283">
        <v>31211</v>
      </c>
      <c r="AD283" t="s">
        <v>1</v>
      </c>
      <c r="AE283">
        <v>43</v>
      </c>
      <c r="AF283">
        <v>4</v>
      </c>
      <c r="AH283" t="s">
        <v>321</v>
      </c>
      <c r="AI283" t="s">
        <v>320</v>
      </c>
      <c r="AK283" t="s">
        <v>319</v>
      </c>
      <c r="AL283">
        <v>0</v>
      </c>
      <c r="AM283" s="5">
        <f t="shared" si="35"/>
        <v>0</v>
      </c>
      <c r="AN283" s="4">
        <f t="shared" si="36"/>
        <v>0</v>
      </c>
      <c r="AO283" s="3"/>
      <c r="AP283">
        <v>0</v>
      </c>
      <c r="AR283" t="s">
        <v>0</v>
      </c>
      <c r="AT283" s="2" t="s">
        <v>5</v>
      </c>
      <c r="AU283" s="1">
        <f t="shared" si="37"/>
        <v>1.0221296815354637</v>
      </c>
      <c r="AV283" s="1">
        <f t="shared" si="38"/>
        <v>0.73009262966818833</v>
      </c>
      <c r="AW283" s="1">
        <f t="shared" si="39"/>
        <v>0.43805557780091298</v>
      </c>
    </row>
    <row r="284" spans="1:49" x14ac:dyDescent="0.2">
      <c r="A284">
        <v>282</v>
      </c>
      <c r="B284" t="s">
        <v>318</v>
      </c>
      <c r="F284" t="s">
        <v>317</v>
      </c>
      <c r="G284" t="s">
        <v>4</v>
      </c>
      <c r="H284" t="s">
        <v>3</v>
      </c>
      <c r="I284" t="s">
        <v>316</v>
      </c>
      <c r="J284">
        <v>60021331</v>
      </c>
      <c r="K284" t="s">
        <v>315</v>
      </c>
      <c r="L284" t="s">
        <v>244</v>
      </c>
      <c r="M284" t="s">
        <v>153</v>
      </c>
      <c r="N284">
        <v>6</v>
      </c>
      <c r="O284" t="s">
        <v>314</v>
      </c>
      <c r="P284" t="s">
        <v>313</v>
      </c>
      <c r="Q284" t="s">
        <v>312</v>
      </c>
      <c r="R284" s="7">
        <v>32690</v>
      </c>
      <c r="S284" s="8">
        <f t="shared" si="32"/>
        <v>1989</v>
      </c>
      <c r="T284" s="8">
        <v>1989</v>
      </c>
      <c r="U284" s="8">
        <f t="shared" si="33"/>
        <v>33</v>
      </c>
      <c r="V284" s="7">
        <v>32690</v>
      </c>
      <c r="W284" t="s">
        <v>243</v>
      </c>
      <c r="X284" s="2" t="s">
        <v>5</v>
      </c>
      <c r="Y284" s="6" t="e">
        <f t="shared" si="34"/>
        <v>#VALUE!</v>
      </c>
      <c r="AA284" t="s">
        <v>242</v>
      </c>
      <c r="AB284">
        <v>36319</v>
      </c>
      <c r="AD284" t="s">
        <v>1</v>
      </c>
      <c r="AE284">
        <v>307</v>
      </c>
      <c r="AF284">
        <v>4</v>
      </c>
      <c r="AH284" t="s">
        <v>311</v>
      </c>
      <c r="AI284" t="s">
        <v>310</v>
      </c>
      <c r="AK284" t="s">
        <v>309</v>
      </c>
      <c r="AL284">
        <v>0</v>
      </c>
      <c r="AM284" s="5">
        <f t="shared" si="35"/>
        <v>0</v>
      </c>
      <c r="AN284" s="4">
        <f t="shared" si="36"/>
        <v>0</v>
      </c>
      <c r="AO284" s="3"/>
      <c r="AP284">
        <v>0</v>
      </c>
      <c r="AR284" t="s">
        <v>0</v>
      </c>
      <c r="AT284" s="2" t="s">
        <v>5</v>
      </c>
      <c r="AU284" s="1" t="e">
        <f t="shared" si="37"/>
        <v>#VALUE!</v>
      </c>
      <c r="AV284" s="1" t="e">
        <f t="shared" si="38"/>
        <v>#VALUE!</v>
      </c>
      <c r="AW284" s="1" t="e">
        <f t="shared" si="39"/>
        <v>#VALUE!</v>
      </c>
    </row>
    <row r="285" spans="1:49" x14ac:dyDescent="0.2">
      <c r="A285">
        <v>283</v>
      </c>
      <c r="B285" t="s">
        <v>308</v>
      </c>
      <c r="C285" t="s">
        <v>307</v>
      </c>
      <c r="E285">
        <v>2926690</v>
      </c>
      <c r="F285" t="s">
        <v>306</v>
      </c>
      <c r="G285" t="s">
        <v>4</v>
      </c>
      <c r="H285" t="s">
        <v>3</v>
      </c>
      <c r="I285" t="s">
        <v>305</v>
      </c>
      <c r="J285">
        <v>60023324</v>
      </c>
      <c r="K285" t="s">
        <v>59</v>
      </c>
      <c r="L285" t="s">
        <v>58</v>
      </c>
      <c r="M285" t="s">
        <v>6</v>
      </c>
      <c r="N285">
        <v>2</v>
      </c>
      <c r="O285" t="s">
        <v>304</v>
      </c>
      <c r="P285" t="s">
        <v>303</v>
      </c>
      <c r="Q285" t="s">
        <v>302</v>
      </c>
      <c r="R285" s="7">
        <v>32690</v>
      </c>
      <c r="S285" s="8">
        <f t="shared" si="32"/>
        <v>1989</v>
      </c>
      <c r="T285" s="8">
        <v>1989</v>
      </c>
      <c r="U285" s="8">
        <f t="shared" si="33"/>
        <v>33</v>
      </c>
      <c r="V285" s="7">
        <v>32690</v>
      </c>
      <c r="W285" t="s">
        <v>32</v>
      </c>
      <c r="X285" s="2">
        <v>0.8</v>
      </c>
      <c r="Y285" s="6">
        <f t="shared" si="34"/>
        <v>2.1355543098155415E-2</v>
      </c>
      <c r="AA285">
        <v>3407594</v>
      </c>
      <c r="AB285">
        <v>23456</v>
      </c>
      <c r="AC285">
        <v>14321351</v>
      </c>
      <c r="AD285" t="s">
        <v>1</v>
      </c>
      <c r="AE285">
        <v>164</v>
      </c>
      <c r="AF285">
        <v>4</v>
      </c>
      <c r="AH285" t="s">
        <v>301</v>
      </c>
      <c r="AI285" t="s">
        <v>300</v>
      </c>
      <c r="AK285" t="s">
        <v>299</v>
      </c>
      <c r="AL285">
        <v>35</v>
      </c>
      <c r="AM285" s="5">
        <f t="shared" si="35"/>
        <v>1.0606060606060606</v>
      </c>
      <c r="AN285" s="4">
        <f t="shared" si="36"/>
        <v>1.6063704060674904E-3</v>
      </c>
      <c r="AO285" s="3"/>
      <c r="AP285">
        <v>0</v>
      </c>
      <c r="AQ285" t="s">
        <v>298</v>
      </c>
      <c r="AR285" t="s">
        <v>297</v>
      </c>
      <c r="AS285" t="s">
        <v>296</v>
      </c>
      <c r="AT285" s="2" t="s">
        <v>5</v>
      </c>
      <c r="AU285" s="1">
        <f t="shared" si="37"/>
        <v>1.5430791290529036</v>
      </c>
      <c r="AV285" s="1">
        <f t="shared" si="38"/>
        <v>1.1480956752111453</v>
      </c>
      <c r="AW285" s="1">
        <f t="shared" si="39"/>
        <v>0.75311222136938671</v>
      </c>
    </row>
    <row r="286" spans="1:49" x14ac:dyDescent="0.2">
      <c r="A286">
        <v>284</v>
      </c>
      <c r="B286" t="s">
        <v>295</v>
      </c>
      <c r="C286" t="s">
        <v>294</v>
      </c>
      <c r="F286" t="s">
        <v>293</v>
      </c>
      <c r="G286" t="s">
        <v>4</v>
      </c>
      <c r="H286" t="s">
        <v>3</v>
      </c>
      <c r="I286" t="s">
        <v>238</v>
      </c>
      <c r="J286" t="s">
        <v>292</v>
      </c>
      <c r="K286" t="s">
        <v>291</v>
      </c>
      <c r="L286" t="s">
        <v>290</v>
      </c>
      <c r="M286" t="s">
        <v>201</v>
      </c>
      <c r="N286">
        <v>4</v>
      </c>
      <c r="O286" t="s">
        <v>289</v>
      </c>
      <c r="P286" t="s">
        <v>288</v>
      </c>
      <c r="Q286" t="s">
        <v>287</v>
      </c>
      <c r="R286" s="7">
        <v>32690</v>
      </c>
      <c r="S286" s="8">
        <f t="shared" si="32"/>
        <v>1989</v>
      </c>
      <c r="T286" s="8">
        <v>1989</v>
      </c>
      <c r="U286" s="8">
        <f t="shared" si="33"/>
        <v>33</v>
      </c>
      <c r="V286" s="7">
        <v>32690</v>
      </c>
      <c r="W286" t="s">
        <v>273</v>
      </c>
      <c r="X286" s="2">
        <v>3.5539999999999998</v>
      </c>
      <c r="Y286" s="6">
        <f t="shared" si="34"/>
        <v>9.4872000213555435E-2</v>
      </c>
      <c r="AA286">
        <v>320889</v>
      </c>
      <c r="AB286">
        <v>16615</v>
      </c>
      <c r="AC286">
        <v>15322548</v>
      </c>
      <c r="AD286" t="s">
        <v>1</v>
      </c>
      <c r="AE286">
        <v>90</v>
      </c>
      <c r="AF286">
        <v>3</v>
      </c>
      <c r="AH286" t="s">
        <v>286</v>
      </c>
      <c r="AI286" t="s">
        <v>285</v>
      </c>
      <c r="AK286" t="s">
        <v>284</v>
      </c>
      <c r="AL286">
        <v>53</v>
      </c>
      <c r="AM286" s="5">
        <f t="shared" si="35"/>
        <v>1.606060606060606</v>
      </c>
      <c r="AN286" s="4">
        <f t="shared" si="36"/>
        <v>2.4325037577593426E-3</v>
      </c>
      <c r="AO286" s="3"/>
      <c r="AP286">
        <v>1</v>
      </c>
      <c r="AR286" t="s">
        <v>0</v>
      </c>
      <c r="AT286" s="2">
        <v>8.34</v>
      </c>
      <c r="AU286" s="1">
        <f t="shared" si="37"/>
        <v>6.7140151276816606</v>
      </c>
      <c r="AV286" s="1">
        <f t="shared" si="38"/>
        <v>4.8652251985657387</v>
      </c>
      <c r="AW286" s="1">
        <f t="shared" si="39"/>
        <v>3.0164352694498171</v>
      </c>
    </row>
    <row r="287" spans="1:49" x14ac:dyDescent="0.2">
      <c r="A287">
        <v>285</v>
      </c>
      <c r="B287" t="s">
        <v>283</v>
      </c>
      <c r="C287" t="s">
        <v>282</v>
      </c>
      <c r="F287" t="s">
        <v>281</v>
      </c>
      <c r="G287" t="s">
        <v>4</v>
      </c>
      <c r="H287" t="s">
        <v>3</v>
      </c>
      <c r="I287" t="s">
        <v>280</v>
      </c>
      <c r="J287" t="s">
        <v>279</v>
      </c>
      <c r="K287" t="s">
        <v>278</v>
      </c>
      <c r="L287" t="s">
        <v>277</v>
      </c>
      <c r="M287" t="s">
        <v>10</v>
      </c>
      <c r="N287">
        <v>3</v>
      </c>
      <c r="O287" t="s">
        <v>276</v>
      </c>
      <c r="P287" t="s">
        <v>275</v>
      </c>
      <c r="Q287" t="s">
        <v>274</v>
      </c>
      <c r="R287" s="7">
        <v>32690</v>
      </c>
      <c r="S287" s="8">
        <f t="shared" si="32"/>
        <v>1989</v>
      </c>
      <c r="T287" s="8">
        <v>1989</v>
      </c>
      <c r="U287" s="8">
        <f t="shared" si="33"/>
        <v>33</v>
      </c>
      <c r="V287" s="7">
        <v>32690</v>
      </c>
      <c r="W287" t="s">
        <v>273</v>
      </c>
      <c r="X287" s="2">
        <v>3.5539999999999998</v>
      </c>
      <c r="Y287" s="6">
        <f t="shared" si="34"/>
        <v>9.4872000213555435E-2</v>
      </c>
      <c r="AA287">
        <v>320889</v>
      </c>
      <c r="AB287">
        <v>16615</v>
      </c>
      <c r="AC287">
        <v>15322548</v>
      </c>
      <c r="AD287" t="s">
        <v>1</v>
      </c>
      <c r="AE287">
        <v>90</v>
      </c>
      <c r="AF287">
        <v>3</v>
      </c>
      <c r="AH287" t="s">
        <v>272</v>
      </c>
      <c r="AI287" t="s">
        <v>271</v>
      </c>
      <c r="AK287" t="s">
        <v>270</v>
      </c>
      <c r="AL287">
        <v>39</v>
      </c>
      <c r="AM287" s="5">
        <f t="shared" si="35"/>
        <v>1.1818181818181819</v>
      </c>
      <c r="AN287" s="4">
        <f t="shared" si="36"/>
        <v>1.7899555953323468E-3</v>
      </c>
      <c r="AO287" s="3"/>
      <c r="AP287">
        <v>1</v>
      </c>
      <c r="AQ287" t="s">
        <v>101</v>
      </c>
      <c r="AR287" t="s">
        <v>269</v>
      </c>
      <c r="AS287" t="s">
        <v>100</v>
      </c>
      <c r="AT287" s="2">
        <v>8.34</v>
      </c>
      <c r="AU287" s="1">
        <f t="shared" si="37"/>
        <v>6.6947386828088513</v>
      </c>
      <c r="AV287" s="1">
        <f t="shared" si="38"/>
        <v>4.8330977904443895</v>
      </c>
      <c r="AW287" s="1">
        <f t="shared" si="39"/>
        <v>2.9714568980799272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1989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2021-11-11T11:39:10Z</dcterms:created>
  <dcterms:modified xsi:type="dcterms:W3CDTF">2022-01-19T19:41:12Z</dcterms:modified>
</cp:coreProperties>
</file>