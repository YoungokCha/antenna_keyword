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2" documentId="8_{40E078C3-DB1F-624D-9E51-91D56DCA324A}" xr6:coauthVersionLast="47" xr6:coauthVersionMax="47" xr10:uidLastSave="{10E58430-7043-4C48-9C4D-79BAC3136521}"/>
  <bookViews>
    <workbookView xWindow="1320" yWindow="9660" windowWidth="27640" windowHeight="16940" xr2:uid="{5879D001-6DE6-1449-91E8-B94A8AC35419}"/>
  </bookViews>
  <sheets>
    <sheet name="198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4" i="1" l="1"/>
  <c r="S2" i="1"/>
  <c r="U2" i="1"/>
  <c r="Y2" i="1"/>
  <c r="AM2" i="1"/>
  <c r="AN2" i="1" s="1"/>
  <c r="AU2" i="1" s="1"/>
  <c r="S3" i="1"/>
  <c r="U3" i="1"/>
  <c r="AM3" i="1" s="1"/>
  <c r="AN3" i="1" s="1"/>
  <c r="Y3" i="1"/>
  <c r="S4" i="1"/>
  <c r="U4" i="1"/>
  <c r="AM4" i="1" s="1"/>
  <c r="Y4" i="1"/>
  <c r="S5" i="1"/>
  <c r="U5" i="1"/>
  <c r="AM5" i="1" s="1"/>
  <c r="AN5" i="1" s="1"/>
  <c r="Y5" i="1"/>
  <c r="AU5" i="1" s="1"/>
  <c r="S6" i="1"/>
  <c r="U6" i="1"/>
  <c r="Y6" i="1"/>
  <c r="AM6" i="1"/>
  <c r="AN6" i="1"/>
  <c r="S7" i="1"/>
  <c r="U7" i="1"/>
  <c r="AM7" i="1" s="1"/>
  <c r="AN7" i="1" s="1"/>
  <c r="Y7" i="1"/>
  <c r="S8" i="1"/>
  <c r="U8" i="1"/>
  <c r="AM8" i="1" s="1"/>
  <c r="AN8" i="1" s="1"/>
  <c r="Y8" i="1"/>
  <c r="S9" i="1"/>
  <c r="U9" i="1"/>
  <c r="Y9" i="1"/>
  <c r="AM9" i="1"/>
  <c r="AN9" i="1" s="1"/>
  <c r="S10" i="1"/>
  <c r="U10" i="1"/>
  <c r="AM10" i="1" s="1"/>
  <c r="AN10" i="1" s="1"/>
  <c r="Y10" i="1"/>
  <c r="AU10" i="1" s="1"/>
  <c r="S11" i="1"/>
  <c r="U11" i="1"/>
  <c r="Y11" i="1"/>
  <c r="AM11" i="1"/>
  <c r="AN11" i="1"/>
  <c r="S12" i="1"/>
  <c r="U12" i="1"/>
  <c r="AM12" i="1" s="1"/>
  <c r="AN12" i="1" s="1"/>
  <c r="Y12" i="1"/>
  <c r="S13" i="1"/>
  <c r="U13" i="1"/>
  <c r="AM13" i="1" s="1"/>
  <c r="AN13" i="1" s="1"/>
  <c r="Y13" i="1"/>
  <c r="S14" i="1"/>
  <c r="U14" i="1"/>
  <c r="AM14" i="1" s="1"/>
  <c r="AN14" i="1" s="1"/>
  <c r="Y14" i="1"/>
  <c r="S15" i="1"/>
  <c r="U15" i="1"/>
  <c r="AM15" i="1" s="1"/>
  <c r="AN15" i="1" s="1"/>
  <c r="Y15" i="1"/>
  <c r="AU15" i="1" s="1"/>
  <c r="S16" i="1"/>
  <c r="U16" i="1"/>
  <c r="Y16" i="1"/>
  <c r="AM16" i="1"/>
  <c r="AN16" i="1"/>
  <c r="S17" i="1"/>
  <c r="U17" i="1"/>
  <c r="AM17" i="1" s="1"/>
  <c r="AN17" i="1" s="1"/>
  <c r="Y17" i="1"/>
  <c r="S18" i="1"/>
  <c r="U18" i="1"/>
  <c r="AM18" i="1" s="1"/>
  <c r="AN18" i="1" s="1"/>
  <c r="Y18" i="1"/>
  <c r="S19" i="1"/>
  <c r="U19" i="1"/>
  <c r="Y19" i="1"/>
  <c r="AM19" i="1"/>
  <c r="AN19" i="1" s="1"/>
  <c r="S20" i="1"/>
  <c r="U20" i="1"/>
  <c r="AM20" i="1" s="1"/>
  <c r="AN20" i="1" s="1"/>
  <c r="Y20" i="1"/>
  <c r="AU20" i="1" s="1"/>
  <c r="S21" i="1"/>
  <c r="U21" i="1"/>
  <c r="AM21" i="1" s="1"/>
  <c r="AN21" i="1" s="1"/>
  <c r="Y21" i="1"/>
  <c r="S22" i="1"/>
  <c r="U22" i="1"/>
  <c r="AM22" i="1" s="1"/>
  <c r="AN22" i="1" s="1"/>
  <c r="Y22" i="1"/>
  <c r="S23" i="1"/>
  <c r="U23" i="1"/>
  <c r="AM23" i="1" s="1"/>
  <c r="AN23" i="1" s="1"/>
  <c r="Y23" i="1"/>
  <c r="AU23" i="1" s="1"/>
  <c r="S24" i="1"/>
  <c r="U24" i="1"/>
  <c r="Y24" i="1"/>
  <c r="AM24" i="1"/>
  <c r="AN24" i="1" s="1"/>
  <c r="S25" i="1"/>
  <c r="U25" i="1"/>
  <c r="AM25" i="1" s="1"/>
  <c r="AN25" i="1" s="1"/>
  <c r="Y25" i="1"/>
  <c r="AU25" i="1" s="1"/>
  <c r="S26" i="1"/>
  <c r="U26" i="1"/>
  <c r="AM26" i="1" s="1"/>
  <c r="AN26" i="1" s="1"/>
  <c r="Y26" i="1"/>
  <c r="S27" i="1"/>
  <c r="U27" i="1"/>
  <c r="AM27" i="1" s="1"/>
  <c r="AN27" i="1" s="1"/>
  <c r="Y27" i="1"/>
  <c r="S28" i="1"/>
  <c r="U28" i="1"/>
  <c r="AM28" i="1" s="1"/>
  <c r="AN28" i="1" s="1"/>
  <c r="Y28" i="1"/>
  <c r="S29" i="1"/>
  <c r="U29" i="1"/>
  <c r="Y29" i="1"/>
  <c r="AM29" i="1"/>
  <c r="AN29" i="1" s="1"/>
  <c r="S30" i="1"/>
  <c r="U30" i="1"/>
  <c r="AM30" i="1" s="1"/>
  <c r="AN30" i="1" s="1"/>
  <c r="Y30" i="1"/>
  <c r="S31" i="1"/>
  <c r="U31" i="1"/>
  <c r="Y31" i="1"/>
  <c r="AM31" i="1"/>
  <c r="AN31" i="1" s="1"/>
  <c r="S32" i="1"/>
  <c r="U32" i="1"/>
  <c r="AM32" i="1" s="1"/>
  <c r="AN32" i="1" s="1"/>
  <c r="Y32" i="1"/>
  <c r="S33" i="1"/>
  <c r="U33" i="1"/>
  <c r="AM33" i="1" s="1"/>
  <c r="AN33" i="1" s="1"/>
  <c r="AV33" i="1" s="1"/>
  <c r="Y33" i="1"/>
  <c r="S34" i="1"/>
  <c r="U34" i="1"/>
  <c r="Y34" i="1"/>
  <c r="AM34" i="1"/>
  <c r="AN34" i="1" s="1"/>
  <c r="S35" i="1"/>
  <c r="U35" i="1"/>
  <c r="AM35" i="1" s="1"/>
  <c r="AN35" i="1" s="1"/>
  <c r="Y35" i="1"/>
  <c r="S36" i="1"/>
  <c r="U36" i="1"/>
  <c r="Y36" i="1"/>
  <c r="AM36" i="1"/>
  <c r="AN36" i="1" s="1"/>
  <c r="S37" i="1"/>
  <c r="U37" i="1"/>
  <c r="Y37" i="1"/>
  <c r="AM37" i="1"/>
  <c r="AN37" i="1"/>
  <c r="AU37" i="1" s="1"/>
  <c r="S38" i="1"/>
  <c r="U38" i="1"/>
  <c r="AM38" i="1" s="1"/>
  <c r="AN38" i="1" s="1"/>
  <c r="Y38" i="1"/>
  <c r="S39" i="1"/>
  <c r="U39" i="1"/>
  <c r="Y39" i="1"/>
  <c r="AM39" i="1"/>
  <c r="AN39" i="1" s="1"/>
  <c r="S40" i="1"/>
  <c r="U40" i="1"/>
  <c r="Y40" i="1"/>
  <c r="AM40" i="1"/>
  <c r="AN40" i="1" s="1"/>
  <c r="S41" i="1"/>
  <c r="U41" i="1"/>
  <c r="Y41" i="1"/>
  <c r="AM41" i="1"/>
  <c r="AN41" i="1"/>
  <c r="AV41" i="1"/>
  <c r="S42" i="1"/>
  <c r="U42" i="1"/>
  <c r="AM42" i="1" s="1"/>
  <c r="AN42" i="1" s="1"/>
  <c r="Y42" i="1"/>
  <c r="S43" i="1"/>
  <c r="U43" i="1"/>
  <c r="AM43" i="1" s="1"/>
  <c r="AN43" i="1" s="1"/>
  <c r="Y43" i="1"/>
  <c r="AU43" i="1" s="1"/>
  <c r="S44" i="1"/>
  <c r="U44" i="1"/>
  <c r="AM44" i="1" s="1"/>
  <c r="AN44" i="1" s="1"/>
  <c r="Y44" i="1"/>
  <c r="S45" i="1"/>
  <c r="U45" i="1"/>
  <c r="Y45" i="1"/>
  <c r="AM45" i="1"/>
  <c r="AN45" i="1"/>
  <c r="S46" i="1"/>
  <c r="U46" i="1"/>
  <c r="AM46" i="1" s="1"/>
  <c r="AN46" i="1" s="1"/>
  <c r="Y46" i="1"/>
  <c r="S47" i="1"/>
  <c r="U47" i="1"/>
  <c r="AM47" i="1" s="1"/>
  <c r="AN47" i="1" s="1"/>
  <c r="Y47" i="1"/>
  <c r="S48" i="1"/>
  <c r="U48" i="1"/>
  <c r="AM48" i="1" s="1"/>
  <c r="AN48" i="1" s="1"/>
  <c r="Y48" i="1"/>
  <c r="S49" i="1"/>
  <c r="U49" i="1"/>
  <c r="AM49" i="1" s="1"/>
  <c r="AN49" i="1" s="1"/>
  <c r="Y49" i="1"/>
  <c r="S50" i="1"/>
  <c r="U50" i="1"/>
  <c r="Y50" i="1"/>
  <c r="AM50" i="1"/>
  <c r="AN50" i="1"/>
  <c r="S51" i="1"/>
  <c r="U51" i="1"/>
  <c r="Y51" i="1"/>
  <c r="AM51" i="1"/>
  <c r="AN51" i="1"/>
  <c r="AW51" i="1" s="1"/>
  <c r="S52" i="1"/>
  <c r="U52" i="1"/>
  <c r="AM52" i="1" s="1"/>
  <c r="AN52" i="1" s="1"/>
  <c r="Y52" i="1"/>
  <c r="S53" i="1"/>
  <c r="U53" i="1"/>
  <c r="AM53" i="1" s="1"/>
  <c r="AN53" i="1" s="1"/>
  <c r="Y53" i="1"/>
  <c r="S54" i="1"/>
  <c r="U54" i="1"/>
  <c r="Y54" i="1"/>
  <c r="AM54" i="1"/>
  <c r="AN54" i="1" s="1"/>
  <c r="S55" i="1"/>
  <c r="U55" i="1"/>
  <c r="Y55" i="1"/>
  <c r="AM55" i="1"/>
  <c r="AN55" i="1"/>
  <c r="S56" i="1"/>
  <c r="U56" i="1"/>
  <c r="Y56" i="1"/>
  <c r="AM56" i="1"/>
  <c r="AN56" i="1" s="1"/>
  <c r="AV56" i="1" s="1"/>
  <c r="S57" i="1"/>
  <c r="U57" i="1"/>
  <c r="Y57" i="1"/>
  <c r="AM57" i="1"/>
  <c r="AN57" i="1"/>
  <c r="AU57" i="1" s="1"/>
  <c r="AV57" i="1"/>
  <c r="S58" i="1"/>
  <c r="U58" i="1"/>
  <c r="AM58" i="1" s="1"/>
  <c r="AN58" i="1" s="1"/>
  <c r="Y58" i="1"/>
  <c r="S59" i="1"/>
  <c r="U59" i="1"/>
  <c r="AM59" i="1" s="1"/>
  <c r="AN59" i="1" s="1"/>
  <c r="Y59" i="1"/>
  <c r="S60" i="1"/>
  <c r="U60" i="1"/>
  <c r="Y60" i="1"/>
  <c r="AM60" i="1"/>
  <c r="AN60" i="1"/>
  <c r="S61" i="1"/>
  <c r="U61" i="1"/>
  <c r="Y61" i="1"/>
  <c r="AM61" i="1"/>
  <c r="AN61" i="1"/>
  <c r="AV61" i="1"/>
  <c r="S62" i="1"/>
  <c r="U62" i="1"/>
  <c r="AM62" i="1" s="1"/>
  <c r="AN62" i="1" s="1"/>
  <c r="Y62" i="1"/>
  <c r="S63" i="1"/>
  <c r="U63" i="1"/>
  <c r="AM63" i="1" s="1"/>
  <c r="AN63" i="1" s="1"/>
  <c r="Y63" i="1"/>
  <c r="S64" i="1"/>
  <c r="U64" i="1"/>
  <c r="Y64" i="1"/>
  <c r="AM64" i="1"/>
  <c r="AN64" i="1" s="1"/>
  <c r="S65" i="1"/>
  <c r="U65" i="1"/>
  <c r="AM65" i="1" s="1"/>
  <c r="AN65" i="1" s="1"/>
  <c r="Y65" i="1"/>
  <c r="S66" i="1"/>
  <c r="U66" i="1"/>
  <c r="Y66" i="1"/>
  <c r="AM66" i="1"/>
  <c r="AN66" i="1"/>
  <c r="AV66" i="1"/>
  <c r="S67" i="1"/>
  <c r="U67" i="1"/>
  <c r="AM67" i="1" s="1"/>
  <c r="AN67" i="1" s="1"/>
  <c r="Y67" i="1"/>
  <c r="S68" i="1"/>
  <c r="U68" i="1"/>
  <c r="AM68" i="1" s="1"/>
  <c r="AN68" i="1" s="1"/>
  <c r="AV68" i="1" s="1"/>
  <c r="Y68" i="1"/>
  <c r="S69" i="1"/>
  <c r="U69" i="1"/>
  <c r="AM69" i="1" s="1"/>
  <c r="AN69" i="1" s="1"/>
  <c r="Y69" i="1"/>
  <c r="S70" i="1"/>
  <c r="U70" i="1"/>
  <c r="AM70" i="1" s="1"/>
  <c r="AN70" i="1" s="1"/>
  <c r="Y70" i="1"/>
  <c r="S71" i="1"/>
  <c r="U71" i="1"/>
  <c r="Y71" i="1"/>
  <c r="AM71" i="1"/>
  <c r="AN71" i="1"/>
  <c r="AV71" i="1"/>
  <c r="S72" i="1"/>
  <c r="U72" i="1"/>
  <c r="Y72" i="1"/>
  <c r="AM72" i="1"/>
  <c r="AN72" i="1"/>
  <c r="AU72" i="1" s="1"/>
  <c r="S73" i="1"/>
  <c r="U73" i="1"/>
  <c r="AM73" i="1" s="1"/>
  <c r="AN73" i="1" s="1"/>
  <c r="Y73" i="1"/>
  <c r="S74" i="1"/>
  <c r="U74" i="1"/>
  <c r="Y74" i="1"/>
  <c r="AM74" i="1"/>
  <c r="AN74" i="1" s="1"/>
  <c r="S75" i="1"/>
  <c r="U75" i="1"/>
  <c r="AM75" i="1" s="1"/>
  <c r="AN75" i="1" s="1"/>
  <c r="Y75" i="1"/>
  <c r="AU75" i="1" s="1"/>
  <c r="S76" i="1"/>
  <c r="U76" i="1"/>
  <c r="Y76" i="1"/>
  <c r="AM76" i="1"/>
  <c r="AN76" i="1"/>
  <c r="S77" i="1"/>
  <c r="U77" i="1"/>
  <c r="AM77" i="1" s="1"/>
  <c r="AN77" i="1" s="1"/>
  <c r="Y77" i="1"/>
  <c r="S78" i="1"/>
  <c r="U78" i="1"/>
  <c r="AM78" i="1" s="1"/>
  <c r="AN78" i="1" s="1"/>
  <c r="Y78" i="1"/>
  <c r="AU78" i="1" s="1"/>
  <c r="S79" i="1"/>
  <c r="U79" i="1"/>
  <c r="AM79" i="1" s="1"/>
  <c r="AN79" i="1" s="1"/>
  <c r="Y79" i="1"/>
  <c r="S80" i="1"/>
  <c r="U80" i="1"/>
  <c r="AM80" i="1" s="1"/>
  <c r="AN80" i="1" s="1"/>
  <c r="Y80" i="1"/>
  <c r="AU80" i="1" s="1"/>
  <c r="S81" i="1"/>
  <c r="U81" i="1"/>
  <c r="Y81" i="1"/>
  <c r="AM81" i="1"/>
  <c r="AN81" i="1"/>
  <c r="AV81" i="1"/>
  <c r="AU58" i="1" l="1"/>
  <c r="AU41" i="1"/>
  <c r="AV18" i="1"/>
  <c r="AV28" i="1"/>
  <c r="AU27" i="1"/>
  <c r="AV27" i="1"/>
  <c r="AV21" i="1"/>
  <c r="AW21" i="1"/>
  <c r="AW46" i="1"/>
  <c r="AV46" i="1"/>
  <c r="AW26" i="1"/>
  <c r="AV26" i="1"/>
  <c r="AV31" i="1"/>
  <c r="AW31" i="1"/>
  <c r="AV36" i="1"/>
  <c r="AW36" i="1"/>
  <c r="AU66" i="1"/>
  <c r="AU70" i="1"/>
  <c r="AV51" i="1"/>
  <c r="AV37" i="1"/>
  <c r="AU33" i="1"/>
  <c r="AU28" i="1"/>
  <c r="AU6" i="1"/>
  <c r="AV38" i="1"/>
  <c r="AU56" i="1"/>
  <c r="AU39" i="1"/>
  <c r="AV48" i="1"/>
  <c r="AU60" i="1"/>
  <c r="AU51" i="1"/>
  <c r="AW41" i="1"/>
  <c r="AV23" i="1"/>
  <c r="AV43" i="1"/>
  <c r="AU46" i="1"/>
  <c r="AU18" i="1"/>
  <c r="AV53" i="1"/>
  <c r="AU61" i="1"/>
  <c r="AV73" i="1"/>
  <c r="AU64" i="1"/>
  <c r="AU76" i="1"/>
  <c r="AV78" i="1"/>
  <c r="AU55" i="1"/>
  <c r="AU16" i="1"/>
  <c r="AV72" i="1"/>
  <c r="AU50" i="1"/>
  <c r="AU11" i="1"/>
  <c r="AU45" i="1"/>
  <c r="AU71" i="1"/>
  <c r="AU68" i="1"/>
  <c r="AV63" i="1"/>
  <c r="AU40" i="1"/>
  <c r="AU36" i="1"/>
  <c r="AU31" i="1"/>
  <c r="AU44" i="1"/>
  <c r="AU81" i="1"/>
  <c r="AV58" i="1"/>
  <c r="AW16" i="1"/>
  <c r="AW11" i="1"/>
  <c r="AW6" i="1"/>
  <c r="AV76" i="1"/>
  <c r="AU26" i="1"/>
  <c r="AU21" i="1"/>
  <c r="AV16" i="1"/>
  <c r="AV11" i="1"/>
  <c r="AV6" i="1"/>
  <c r="AU62" i="1"/>
  <c r="AV62" i="1"/>
  <c r="AW62" i="1"/>
  <c r="AU35" i="1"/>
  <c r="AU30" i="1"/>
  <c r="AU67" i="1"/>
  <c r="AV67" i="1"/>
  <c r="AW67" i="1"/>
  <c r="AU53" i="1"/>
  <c r="AU48" i="1"/>
  <c r="AU38" i="1"/>
  <c r="AU34" i="1"/>
  <c r="AU29" i="1"/>
  <c r="AU52" i="1"/>
  <c r="AV52" i="1"/>
  <c r="AW52" i="1"/>
  <c r="AU47" i="1"/>
  <c r="AV47" i="1"/>
  <c r="AW47" i="1"/>
  <c r="AU24" i="1"/>
  <c r="AU19" i="1"/>
  <c r="AU42" i="1"/>
  <c r="AV42" i="1"/>
  <c r="AW42" i="1"/>
  <c r="AU74" i="1"/>
  <c r="AU65" i="1"/>
  <c r="AU14" i="1"/>
  <c r="AU9" i="1"/>
  <c r="AU4" i="1"/>
  <c r="AU79" i="1"/>
  <c r="AU69" i="1"/>
  <c r="AU32" i="1"/>
  <c r="AV32" i="1"/>
  <c r="AW32" i="1"/>
  <c r="AU73" i="1"/>
  <c r="AU22" i="1"/>
  <c r="AV22" i="1"/>
  <c r="AW22" i="1"/>
  <c r="AU13" i="1"/>
  <c r="AV13" i="1"/>
  <c r="AW13" i="1"/>
  <c r="AU8" i="1"/>
  <c r="AV8" i="1"/>
  <c r="AW8" i="1"/>
  <c r="AU3" i="1"/>
  <c r="AV3" i="1"/>
  <c r="AW3" i="1"/>
  <c r="AU59" i="1"/>
  <c r="AU63" i="1"/>
  <c r="AU17" i="1"/>
  <c r="AV17" i="1"/>
  <c r="AW17" i="1"/>
  <c r="AU12" i="1"/>
  <c r="AV12" i="1"/>
  <c r="AW12" i="1"/>
  <c r="AU7" i="1"/>
  <c r="AV7" i="1"/>
  <c r="AW7" i="1"/>
  <c r="AU77" i="1"/>
  <c r="AV77" i="1"/>
  <c r="AW77" i="1"/>
  <c r="AU54" i="1"/>
  <c r="AU49" i="1"/>
  <c r="AW81" i="1"/>
  <c r="AW76" i="1"/>
  <c r="AW71" i="1"/>
  <c r="AW66" i="1"/>
  <c r="AW61" i="1"/>
  <c r="AW56" i="1"/>
  <c r="AW78" i="1"/>
  <c r="AW73" i="1"/>
  <c r="AW68" i="1"/>
  <c r="AW63" i="1"/>
  <c r="AW58" i="1"/>
  <c r="AW53" i="1"/>
  <c r="AW48" i="1"/>
  <c r="AW43" i="1"/>
  <c r="AW38" i="1"/>
  <c r="AW33" i="1"/>
  <c r="AW28" i="1"/>
  <c r="AW23" i="1"/>
  <c r="AW18" i="1"/>
  <c r="AW80" i="1"/>
  <c r="AW75" i="1"/>
  <c r="AW70" i="1"/>
  <c r="AW65" i="1"/>
  <c r="AW60" i="1"/>
  <c r="AW55" i="1"/>
  <c r="AW50" i="1"/>
  <c r="AW45" i="1"/>
  <c r="AW40" i="1"/>
  <c r="AW35" i="1"/>
  <c r="AW30" i="1"/>
  <c r="AW25" i="1"/>
  <c r="AW20" i="1"/>
  <c r="AW15" i="1"/>
  <c r="AW10" i="1"/>
  <c r="AW5" i="1"/>
  <c r="AV80" i="1"/>
  <c r="AV75" i="1"/>
  <c r="AV70" i="1"/>
  <c r="AV65" i="1"/>
  <c r="AV60" i="1"/>
  <c r="AV55" i="1"/>
  <c r="AV50" i="1"/>
  <c r="AV45" i="1"/>
  <c r="AV40" i="1"/>
  <c r="AV35" i="1"/>
  <c r="AV30" i="1"/>
  <c r="AV25" i="1"/>
  <c r="AV20" i="1"/>
  <c r="AV15" i="1"/>
  <c r="AV10" i="1"/>
  <c r="AV5" i="1"/>
  <c r="AW72" i="1"/>
  <c r="AW57" i="1"/>
  <c r="AW37" i="1"/>
  <c r="AW27" i="1"/>
  <c r="AW2" i="1"/>
  <c r="AV2" i="1"/>
  <c r="AW79" i="1"/>
  <c r="AW74" i="1"/>
  <c r="AW69" i="1"/>
  <c r="AW64" i="1"/>
  <c r="AW59" i="1"/>
  <c r="AW54" i="1"/>
  <c r="AW49" i="1"/>
  <c r="AW44" i="1"/>
  <c r="AW39" i="1"/>
  <c r="AW34" i="1"/>
  <c r="AW29" i="1"/>
  <c r="AW24" i="1"/>
  <c r="AW19" i="1"/>
  <c r="AW14" i="1"/>
  <c r="AW9" i="1"/>
  <c r="AW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<sst xmlns="http://schemas.openxmlformats.org/spreadsheetml/2006/main" count="1504" uniqueCount="1016">
  <si>
    <t>undefined</t>
  </si>
  <si>
    <t>Journal</t>
  </si>
  <si>
    <t>;</t>
  </si>
  <si>
    <t>Article</t>
  </si>
  <si>
    <t>ar</t>
  </si>
  <si>
    <t>Canada</t>
  </si>
  <si>
    <t>Japan;Japan</t>
  </si>
  <si>
    <t>n</t>
  </si>
  <si>
    <t>United States</t>
  </si>
  <si>
    <t>Germany</t>
  </si>
  <si>
    <t>United States;United States</t>
  </si>
  <si>
    <t>Radiophysics and Quantum Electronics</t>
  </si>
  <si>
    <t>Japan</t>
  </si>
  <si>
    <t>;;</t>
  </si>
  <si>
    <t>Switzerland</t>
  </si>
  <si>
    <t>Pasadena</t>
  </si>
  <si>
    <t>Boulder</t>
  </si>
  <si>
    <t>University of Colorado Boulder</t>
  </si>
  <si>
    <t>Berkeley</t>
  </si>
  <si>
    <t>University of California, Berkeley</t>
  </si>
  <si>
    <t>United Kingdom</t>
  </si>
  <si>
    <t>60030551;60030551</t>
  </si>
  <si>
    <t>Syracuse</t>
  </si>
  <si>
    <t>Syracuse University</t>
  </si>
  <si>
    <t>Italy</t>
  </si>
  <si>
    <t>Australia</t>
  </si>
  <si>
    <t>Murray</t>
  </si>
  <si>
    <t>Nokia Bell Labs</t>
  </si>
  <si>
    <t>Washington, D.C.</t>
  </si>
  <si>
    <t>Netherlands</t>
  </si>
  <si>
    <t>Rome</t>
  </si>
  <si>
    <t>;;;</t>
  </si>
  <si>
    <t>Radio and Electronic Engineer</t>
  </si>
  <si>
    <t>London</t>
  </si>
  <si>
    <t>Baltimore</t>
  </si>
  <si>
    <t>60021378;60021378;60021378</t>
  </si>
  <si>
    <t>Palo Alto</t>
  </si>
  <si>
    <t>Hanscom AFB</t>
  </si>
  <si>
    <t>India</t>
  </si>
  <si>
    <t>National Science Foundation</t>
  </si>
  <si>
    <t>NSF</t>
  </si>
  <si>
    <t>Cambridge</t>
  </si>
  <si>
    <t>Harvard University</t>
  </si>
  <si>
    <t>Stanford University</t>
  </si>
  <si>
    <t>Italy;Italy</t>
  </si>
  <si>
    <t>60031581;60031581</t>
  </si>
  <si>
    <t>California Institute of Technology</t>
  </si>
  <si>
    <t>7005131446;6701816265</t>
  </si>
  <si>
    <t>Cummins, H. J.;Frayne, P. G.</t>
  </si>
  <si>
    <t>Egham</t>
  </si>
  <si>
    <t>Royal Holloway, University of London</t>
  </si>
  <si>
    <t>Cummins H.J.</t>
  </si>
  <si>
    <t>Hong Kong</t>
  </si>
  <si>
    <t>Chinese University of Hong Kong</t>
  </si>
  <si>
    <t>France</t>
  </si>
  <si>
    <t>507-514</t>
  </si>
  <si>
    <t>New Delhi</t>
  </si>
  <si>
    <t>60014652;60014652</t>
  </si>
  <si>
    <t>Sapporo</t>
  </si>
  <si>
    <t>Hokkaido University</t>
  </si>
  <si>
    <t>Naval Research Laboratory</t>
  </si>
  <si>
    <t>Schweizerischer Nationalfonds zur F√∂rderung der Wissenschaftlichen Forschung</t>
  </si>
  <si>
    <t>SNF</t>
  </si>
  <si>
    <t>Daly P.</t>
  </si>
  <si>
    <t>Keen K.</t>
  </si>
  <si>
    <t>Journal of Comparative Physiology ‚ñ° A</t>
  </si>
  <si>
    <t>Leiden</t>
  </si>
  <si>
    <t>Australian Research Council</t>
  </si>
  <si>
    <t>ARC</t>
  </si>
  <si>
    <t>Rochester</t>
  </si>
  <si>
    <t>University of Rochester</t>
  </si>
  <si>
    <t>56216409500;16198226600;7201986023</t>
  </si>
  <si>
    <t>Brown, B. L.;Mills, A. P.;Tyson, J. A.</t>
  </si>
  <si>
    <t>France;France</t>
  </si>
  <si>
    <t>Photosynthesis Research</t>
  </si>
  <si>
    <t>Russian Federation</t>
  </si>
  <si>
    <t>Spain</t>
  </si>
  <si>
    <t>Madrid</t>
  </si>
  <si>
    <t>Gomez I.</t>
  </si>
  <si>
    <t>Higashihiroshima</t>
  </si>
  <si>
    <t>Hiroshima University</t>
  </si>
  <si>
    <t>Hirai, Kazuo</t>
  </si>
  <si>
    <t>Hirai K.</t>
  </si>
  <si>
    <t>Electronics Letters</t>
  </si>
  <si>
    <t>60010818;60010818</t>
  </si>
  <si>
    <t>7004104010;7201840709</t>
  </si>
  <si>
    <t>Hamdy, S. M.A.;Parker, E. A.</t>
  </si>
  <si>
    <t>Canterbury</t>
  </si>
  <si>
    <t>University of Kent</t>
  </si>
  <si>
    <t>Hamdy S.</t>
  </si>
  <si>
    <t>Journal of Chemical Ecology</t>
  </si>
  <si>
    <t>0302766X</t>
  </si>
  <si>
    <t>Cell and Tissue Research</t>
  </si>
  <si>
    <t>FEBS Letters</t>
  </si>
  <si>
    <t>BBA - Bioenergetics</t>
  </si>
  <si>
    <t>International Journal of Infrared and Millimeter Waves</t>
  </si>
  <si>
    <t>Annales Des T√©l√©communications</t>
  </si>
  <si>
    <t>Lewin, L√©onard</t>
  </si>
  <si>
    <t>Lewin L.</t>
  </si>
  <si>
    <t>PCM 79-11251</t>
  </si>
  <si>
    <t>Antennas | Microstrip</t>
  </si>
  <si>
    <t>Antenna arrays | Antennas</t>
  </si>
  <si>
    <t>Measurement Techniques</t>
  </si>
  <si>
    <t>Antennas | Polarisation</t>
  </si>
  <si>
    <t>7102125229;7201840709</t>
  </si>
  <si>
    <t>Cahill, R.;Parker, E. A.</t>
  </si>
  <si>
    <t>Cahill R.</t>
  </si>
  <si>
    <t>Journal of Biological Chemistry</t>
  </si>
  <si>
    <t>1573093X</t>
  </si>
  <si>
    <t>Solar Physics</t>
  </si>
  <si>
    <t>Regensburg</t>
  </si>
  <si>
    <t>Universit√§t Regensburg</t>
  </si>
  <si>
    <t>Deutsche Forschungsgemeinschaft</t>
  </si>
  <si>
    <t>DFG</t>
  </si>
  <si>
    <t>Zeitschrift fur Naturforschung - Section C Journal of Biosciences</t>
  </si>
  <si>
    <t>Karlsruhe</t>
  </si>
  <si>
    <t>Karlsruhe Institute of Technology, Campus South</t>
  </si>
  <si>
    <t>621-623</t>
  </si>
  <si>
    <t>6505814869;6506143061</t>
  </si>
  <si>
    <t>Seryakov, Yu N.;Shabanov, R. I.</t>
  </si>
  <si>
    <t>Seryakov Y.</t>
  </si>
  <si>
    <t>Calibration of radio-emission noise sources with an antenna of known gain</t>
  </si>
  <si>
    <t>10.1007/BF00827180</t>
  </si>
  <si>
    <t>2-s2.0-34250154912</t>
  </si>
  <si>
    <t>['wave antenna', 'roma group', 'resonator frequency', 'geneva ).', 'electrical energy', 'cryogenic gravitational', 'antenna frequency', 'allows one', '2 kg', '2 k', '1 hz']</t>
  </si>
  <si>
    <t>Gravitational waves and radiation: theory</t>
  </si>
  <si>
    <t>The characteristics of a new capacitive resonant transducer developed and tested on a small (M=11.2 kg) cryogenic gravitational-wave antenna at the liquid helium temperature are presented. The resonator frequency can be tuned within 0.1 Hz of the antenna frequency. The system has a mechanical merit factor Q‚âÉ5¬∑105 and a ratio between the electrical energy in the transducer and the energy in the antenna Œ≤=3¬∑10-3 at T=4.2 K. With these parameters, the transducer allows one to reach an effective noise temperature T eff‚âÉ60 mK using a cooled FET preamplifier, and, if coupled to a r.f.-SQUID, allows one to reach T eff‚âÉ10 mK for the 5000 kg cryogenic gravitational-wave antenna of the Roma group at CERN (Geneva). ¬© 1982 Societ√† Italiana di Fisica.</t>
  </si>
  <si>
    <t>385-408</t>
  </si>
  <si>
    <t>Il Nuovo Cimento C</t>
  </si>
  <si>
    <t>Rapagnani, P.</t>
  </si>
  <si>
    <t>Sapienza Universit√† di Roma</t>
  </si>
  <si>
    <t>Rapagnani P.</t>
  </si>
  <si>
    <t>Development and test at T=4.2K of a capacitive resonant transducer for cryogenic gravitational-wave antennas</t>
  </si>
  <si>
    <t>10.1007/BF02561646</t>
  </si>
  <si>
    <t>2-s2.0-51249179538</t>
  </si>
  <si>
    <t>['¬© 1982', 'rights reserved', 'principal planes', 'observed transmission', 'inductive components', 'electrical engineers', 'current distribution', 'complex amplitudes', 'asymmetrical functions', '50 ¬∞']</t>
  </si>
  <si>
    <t>Antennas | Frequency selective surfaces | Reflector antennas</t>
  </si>
  <si>
    <t>A modal analysis gave the current distribution on the capacitive and inductive components of the square for plane wave incidence up to 50¬∞ in the principal planes. 12 current functions were required to reproduce the observed transmission through the surface. Their complex amplitudes are tabulated to show the significance of symmetrical and asymmetrical functions at two reflection resonant frequencies. ¬© 1982, The Institution of Electrical Engineers. All rights reserved.</t>
  </si>
  <si>
    <t>624-626</t>
  </si>
  <si>
    <t>Current distribution on the elements of a square loop frequency selective surface</t>
  </si>
  <si>
    <t>10.1049/el:19820427</t>
  </si>
  <si>
    <t>2-s2.0-0020477487</t>
  </si>
  <si>
    <t>['¬© 1982', 'theoretical study', 'theoretical results', 'rights reserved', 'reaction theorem', 'mutual impedance', 'mutual coupling', 'microstrip antennas', 'good agreement', 'electrical engineers', 'cavity method']</t>
  </si>
  <si>
    <t>Coupling | Indexing terms: Antennas | Microstrip</t>
  </si>
  <si>
    <t>A theoretical study of mutual coupling between microstrip antennas is presented. The cavity method is used, and from the equivalence theorem application the problem is reduced to interaction of two magnetic loops. The mutual impedance is then calculated from the reaction theorem. Theoretical results and measurements are in good agreement. ¬© 1982, The Institution of Electrical Engineers. All rights reserved.</t>
  </si>
  <si>
    <t>605-607</t>
  </si>
  <si>
    <t>100815960;60104081</t>
  </si>
  <si>
    <t>57207430298;7202044329</t>
  </si>
  <si>
    <t>Penard, E.;Daniel, J. P.</t>
  </si>
  <si>
    <t>Issy-les-Moulineaux;Rennes</t>
  </si>
  <si>
    <t>Orange Labs;Universit√© de Rennes</t>
  </si>
  <si>
    <t>60104081;100815960</t>
  </si>
  <si>
    <t>Penard E.</t>
  </si>
  <si>
    <t>Mutual coupling between microstrip antennas</t>
  </si>
  <si>
    <t>10.1049/el:19820415</t>
  </si>
  <si>
    <t>2-s2.0-0020477496</t>
  </si>
  <si>
    <t>Comisi√≥n Asesora de Investigaci√≥n Cient√≠fica y T√©cnica</t>
  </si>
  <si>
    <t>CAICYT</t>
  </si>
  <si>
    <t>Antenna bacteriochlorophyll | Bacteriochlorophyll ESR signal | Bacteriochlorophyll radical | Pigment-protein complexes Rhodospirillum rubrum</t>
  </si>
  <si>
    <t>117-120</t>
  </si>
  <si>
    <t>60006754;60026796;60006754;60006754;60006754</t>
  </si>
  <si>
    <t>55427390000;7003612704;24434990900;24457321400;57214540870</t>
  </si>
  <si>
    <t>Gomez, Isabel;Sieiro, Carlos;Ramirez, Juan M.;Gomez-Amores, Silvia;del-Campo, Francisca F.</t>
  </si>
  <si>
    <t>Spain;Spain</t>
  </si>
  <si>
    <t>Madrid;Madrid</t>
  </si>
  <si>
    <t>Universidad Aut√≥noma de Madrid;Consejo Superior de Investigaciones Cient√≠ficas</t>
  </si>
  <si>
    <t>60026796;60006754</t>
  </si>
  <si>
    <t>The antenna system of Rhodospirillum rubrum: Radical formation upon dark oxidation of bulk bacteriochlorophyll</t>
  </si>
  <si>
    <t>10.1016/0014-5793(82)80582-6</t>
  </si>
  <si>
    <t>2-s2.0-0001401726</t>
  </si>
  <si>
    <t>['¬© 1982', 'rights reserved', 'evaluated numerically', 'electrical engineers']</t>
  </si>
  <si>
    <t>Antennas | Dipole antennas</t>
  </si>
  <si>
    <t>The distribution of the current flow transverse to the axis of a small strip dipole antenna is evaluated numerically. ¬© 1982, The Institution of Electrical Engineers. All rights reserved.</t>
  </si>
  <si>
    <t>664-666</t>
  </si>
  <si>
    <t>Wunsch, A. D.</t>
  </si>
  <si>
    <t>Lowell</t>
  </si>
  <si>
    <t>University of Massachusetts Lowell</t>
  </si>
  <si>
    <t>Wunsch A.</t>
  </si>
  <si>
    <t>Transverse current on strip dipole antenna</t>
  </si>
  <si>
    <t>10.1049/el:19820453</t>
  </si>
  <si>
    <t>2-s2.0-0020153004</t>
  </si>
  <si>
    <t>['¬© 1982', 'simple closed', 'rights reserved', 'electrical engineers']</t>
  </si>
  <si>
    <t>Antennas | Microstrip antennas</t>
  </si>
  <si>
    <t>Numerically determined far-field radiation patterns are found for H-plane mutual coupling between two rectangular microstrip antennas. A simple closed-form radiation model is used in the analysis. ¬© 1982, The Institution of Electrical Engineers. All rights reserved.</t>
  </si>
  <si>
    <t>645-647</t>
  </si>
  <si>
    <t>Krowne, C. M.</t>
  </si>
  <si>
    <t>Krowne C.</t>
  </si>
  <si>
    <t>Radiation patterns in far field from two H-plane coupled rectangular microstrip antennas</t>
  </si>
  <si>
    <t>10.1049/el:19820440</t>
  </si>
  <si>
    <t>2-s2.0-0020153093</t>
  </si>
  <si>
    <t>Ministry of Defence</t>
  </si>
  <si>
    <t>['spectral densities', 'presented graphically', 'general expressions', 'evolutionary spectral', 'derived results', 'computed results']</t>
  </si>
  <si>
    <t>General expressions for the closed form transient receptance, evolutionary spectral and cross-spectral densities required in the non-stationary random analysis of structures, discretized by the finite element method, to non-stationary random excitations are presented. Application of the derived results to the non-stationary random analysis of a mast antenna structure subjected to base excitations treated as a uniformly modulated random process is made. The computed results of evolutionary spectral and cross-spectral densities are presented graphically. ¬© 1982 Academic Press Inc. (London) Limited.</t>
  </si>
  <si>
    <t>273-291</t>
  </si>
  <si>
    <t>0022460X</t>
  </si>
  <si>
    <t>Journal of Sound and Vibration</t>
  </si>
  <si>
    <t>To, C. W.S.</t>
  </si>
  <si>
    <t>Calgary</t>
  </si>
  <si>
    <t>University of Calgary</t>
  </si>
  <si>
    <t>To C.</t>
  </si>
  <si>
    <t>Non-stationary random responses of a multi-degree-of-freedom system by the theory of evolutionary spectra</t>
  </si>
  <si>
    <t>S0022460X82800916</t>
  </si>
  <si>
    <t>10.1016/S0022-460X(82)80091-6</t>
  </si>
  <si>
    <t>2-s2.0-0020154174</t>
  </si>
  <si>
    <t>['¬© 1982', 'trapping probability', 'rate equations', 'radiationless transitions', 'preilluminated leaves', 'harvesting system', 'ground state', 'following results', 'fluorescence yield', 'experimental results', 'excited state', 'different energies', '5 ns']</t>
  </si>
  <si>
    <t>(Zea mays L. leaf) | Chlorophyll fluorescence | Excitation | Photosynthesis | Photosystem II, Light-harvesting system</t>
  </si>
  <si>
    <t>With the aid of measurements of the fluorescence yield, the efficiency of the various deexcitation mechanisms of an exciton in the light-harvesting system has been determined. For this purpose, the fluorescence of dark-adapted as well as of 3-(3,4-dichlorophenyl)-1,1-dimethylurea (DCMU)-treated and preilluminated leaves of Zea mays L. was excited by single ultrashort laser pulses of different energies. The experimental results have served for the fitting of solutions of rate equations, which describe the deexcitation by linear relaxation processes like fluorescence and radiationless transitions, by annihiation of excitons, and by traps both in the ground state and in an excited state. We have obtained the following results: a ratio of antenna chlorophyll molecules to Photosystem II traps of 600:1, an annihilation constant Œ≥ = 2¬∑10-8 cm3¬∑s-1, a mean trapping time of t ÃÑ=0.5 ns, a trapping probability for traps in the ground state of 2¬∑10-8 cm3¬∑s-1, and 6¬∑10-9 cm3¬∑s-1 for traps in an excited state. ¬© 1982.</t>
  </si>
  <si>
    <t>15-20</t>
  </si>
  <si>
    <t>60016082;60016082;60016082</t>
  </si>
  <si>
    <t>24522380800;24523040600;57206332051</t>
  </si>
  <si>
    <t>Hirsch, J√ºrgen;Neef, Ekkehart;Fink, Frank</t>
  </si>
  <si>
    <t>Berlin</t>
  </si>
  <si>
    <t>Akademie der Wissenschaften der DDR</t>
  </si>
  <si>
    <t>Hirsch J.</t>
  </si>
  <si>
    <t>The yield of chlorophyll a fluorescence as a means to test the various deexcitation mechanisms in the antenna system of green plants</t>
  </si>
  <si>
    <t>10.1016/0005-2728(82)90273-0</t>
  </si>
  <si>
    <t>2-s2.0-49049143482</t>
  </si>
  <si>
    <t>['three contributions', 'rigidly fixed', 'oligosaccharide chains', 'nonreducing termini', 'nm region', 'nm range', 'negative band', 'linked glycopeptides', 'large bands', 'glucopyranosylamine linkage', 'galactosyl residues', 'extended conformation', 'core n', 'cd spectra', 'carbon 4', 'asparagine linkage', 'approximately independent', 'antenna n', 'amide chromophore', 'adjacent chromophores', 'acetylglucosamine residues', '190 nm']</t>
  </si>
  <si>
    <t>Circular dichroism spectroscopy in the 170-220-nm range of the ultraviolet and measurements of the amide proton coupling constants in nmr have been used to investigate the conformation of asparagine-linked glycopeptides having oligosaccharide chains of the complex antenna type. The CD spectra can be explained as the sum of three contributions, the first of which is a pair of large bands of opposite sign resulting from coupling of the adjacent chromophores of the 2-acetamido-1-N-(4-aspartyl)-2-deoxy-beta-D-glucopyranosylamine linkage. Secondly the amide chromophore of the core N-acetylglucosamine residue substituted at carbon 4 by a beta-mannosyl residue contributes a negative band at 210 nm along with a small negative signal in the 180-190-nm region. The amides of the antenna N-acetylglucosamine residues, which in some cases are substituted by beta-galactosyl residues at carbon 4, contribute a negative band at 210 and a strong positive band at 185-190 nm. Since these three contributions are approximately independent, we can detect no long range interactions between nonreducing termini and the glycopeptide linkage region. Both CD and nmr data imply that the glucosaminyl-asparagine linkage is rigidly fixed in a conformation having the amide protons trans to the sugar ring protons. These results are consistent with an extended conformation in the shape of a "Y" or a "T" for complex type asialo-oligosaccharide chains.</t>
  </si>
  <si>
    <t>8199-8204</t>
  </si>
  <si>
    <t>;;;;;;</t>
  </si>
  <si>
    <t>17133460900;7005602399;6602781421;7201792953;7006843431;7103289522;56377616100</t>
  </si>
  <si>
    <t>Bush, C. A.;Dua, V. K.;Ralapati, S.;Warren, C. D.;Spik, G.;Strecker, G.;Montreuil, J.</t>
  </si>
  <si>
    <t>Bush C.A.</t>
  </si>
  <si>
    <t>Conformation of the complex oligosaccharides of glycoproteins. A vacuum ultraviolet circular dichroism study.</t>
  </si>
  <si>
    <t>2-s2.0-0020490925</t>
  </si>
  <si>
    <t>679-684</t>
  </si>
  <si>
    <t>57213781904;57218704719;54419121500</t>
  </si>
  <si>
    <t>Kochin, V. N.;Litvinenko, L. N.;Prosvirnin, S. L.</t>
  </si>
  <si>
    <t>Kochin V.N.</t>
  </si>
  <si>
    <t>Excitation of an array of metal bars by a current flowing transversely to one of the slots</t>
  </si>
  <si>
    <t>10.1007/BF01034942</t>
  </si>
  <si>
    <t>2-s2.0-0020166497</t>
  </si>
  <si>
    <t>['unit ball', 'smooth surface', 'restricted subset', 'radiation problems', 'particular case', 'optimal solution', 'helmholtz equation', 'control domains', 'control domain', 'boundary data']</t>
  </si>
  <si>
    <t>maximal radiated power | optimal antenna patterns | optimal solutions of the Helmholtz equation | Optimal surface currents</t>
  </si>
  <si>
    <t>A class of radiation problems is considered for the Helmholtz equation in exterior domains bounded by a smooth surface on which Dirichlet, Neumann, or Robin boundary conditions are imposed. The problem of finding the boundary data which maximizes far field power in a restricted subset of far field directions is formulated as a constrained maximization problem. Existence of an optimal solution in a variety of control domains is established. The particular case when the boundary is circular and the control domain is the unit ball in L2 is treated in detail. An algorithm for constructing the optimal solution is derived and used to obtain explicit numerical results. ¬© 1982 Plenum Publishing Corporation.</t>
  </si>
  <si>
    <t>469-497</t>
  </si>
  <si>
    <t>Journal of Optimization Theory and Applications</t>
  </si>
  <si>
    <t>60023004;60023004</t>
  </si>
  <si>
    <t>7004135825;7005560094</t>
  </si>
  <si>
    <t>Angell, T. S.;Kleinman, R. E.</t>
  </si>
  <si>
    <t>Newark</t>
  </si>
  <si>
    <t>University of Delaware</t>
  </si>
  <si>
    <t>Angell T.</t>
  </si>
  <si>
    <t>Generalized exterior boundary-value problems and optimization for the Helmholtz equation</t>
  </si>
  <si>
    <t>10.1007/BF00934952</t>
  </si>
  <si>
    <t>2-s2.0-0020174149</t>
  </si>
  <si>
    <t>['tonic manner', 'thermal receptor', 'stimulus flux', 'shaped protrusion', 'shallow depression', 'sensillum containing', 'sensillum comprises', 'sensillum campaniformium', 'rising humidity', 'response relationship', 'one responds', 'investigated electrophysiologically', 'impulse frequency', 'identified along', 'honey bee', 'falling humidity', 'dry hygroreceptors', 'coelocapitular sensillum', 'central opening', 'antennal hygroreceptors', '5 œºm', '4 œº']</t>
  </si>
  <si>
    <t>Coelocapitular sensillum | Honey bee | Hygroreceptor | Scanning electron microscopy | Thermoreceptor</t>
  </si>
  <si>
    <t>Antennal hygroreceptors of the honey bee, Apis mellifera L., have been investigated electrophysiologically and the sensillum containing these receptors with SEM. Moist and dry hygroreceptors have been identified along with a thermal receptor in a specialized coeloconic sensillum. This sensillum comprises a cuticular, shallow depression (diameter; 4 Œº) having a central opening (1.4-1.5 Œºm) and a mushroom-shaped protrusion (1.4-1.5 Œºm) from the opening. The head of the protrusion is irregular in shape and is not perforated. This sensillum has been thus far referred to as a "sensillum campaniformium" (Dietz and Humphreys 1971), henceforth, it is referred to as a coelocapitular sensillum. The responses of both moist and dry hygroreceptors are of a phasic-tonic manner. Both receptors are antagonistic with respect to their responses to humidity; one responds with an increase in impulse frequency to rising humidity, the other to falling humidity. The humidity-response relationship is independent of stimulus flux. ¬© 1982 Springer-Verlag.</t>
  </si>
  <si>
    <t>63-73</t>
  </si>
  <si>
    <t>60011047;60031720;60011047</t>
  </si>
  <si>
    <t>6602486562;7202707948;6603942449</t>
  </si>
  <si>
    <t>Yokohari, F.;Tominaga, Y.;Tateda, H.</t>
  </si>
  <si>
    <t>Fukuoka;Fukuoka</t>
  </si>
  <si>
    <t>Fukuoka University;Kyushu University</t>
  </si>
  <si>
    <t>60031720;60011047</t>
  </si>
  <si>
    <t>Yokohari F.</t>
  </si>
  <si>
    <t>Antennal hygroreceptors of the honey bee, Apis mellifera L.</t>
  </si>
  <si>
    <t>10.1007/BF00217082</t>
  </si>
  <si>
    <t>2-s2.0-0020427307</t>
  </si>
  <si>
    <t>['¬© 1982', 'weak light', 'similar effect', 'san 6706', 'rights reserved', 'reduced similar', 'protein complexes', 'pigment absorption', 'higher intensities', 'herbicides suppressed', 'fluorescence excitation', 'carotenoids leading', 'bleaching effect', 'bentazon inhibit', 'antennae systems', 'amitrole reduced', 'although dcmu', 'absorbed energy', '740 nm', '2000 lux', '100 lux']</t>
  </si>
  <si>
    <t>Bleaching Herbicides | Carotenoids | Chlorophyll Fluorescence | Chlorophylls | Photosystem II Herbicides | Pigment-Protein-Complexes</t>
  </si>
  <si>
    <t>DCMU, bentazon, amitrole and SAN 6706 affected the formation of the pigment-protein complexes and caused drastic alterations in the absorption of light and in the transfer of the absorbed energy in the antennae systems. Bentazon and DCMU, photosystem II inhibitors, did not change the pigment absorption and fluorescence excitation spectra. After application of both herbicides the long wavelength fluorescence emission band at 740 nm was reduced similar as in young developing leaves. Although DCMU and bentazon inhibit the photosynthetic electron transport at the same site, bentazon mainly suppressed the formation of the photosystem I complexes CP la and CPI while DCMU mainly reduced the photosystem II complex CPa. Bentazon specifically enhanced the formation of LHCP3. This may be important for the increased grana stacking in plastids from bentazon treated plants. The bleaching herbicides amitrole and SAN 6706 inhibited the formation of carotenoids leading to an accumulation of lycopene, phytofluene and phytoene, while the accumulation of chlorophylls was suppressed. This bleaching effect was most pronounced during growth under higher intensities of light. In weak light (100 lux) amitrole reduced the long wavelength fluorescence maximum but the fluorescence excitation was not affected. With amitrole at 2000 lux and SAN 6706 at 100 lux the long wavelength emission band was further decreased and the fluorescence excitation spectra point to a less efficient energy transfer to chlorophyll a. The fluorescence spectra changed due to herbicide treatment resembled those of not yet fully developed leaves. In contrast to the photosystem II herbicides the bleaching herbicides amitrole and SAN 6706 had a similar effect on the formation of pigment-protein complexes. After growth at 2000 lux both herbicides suppressed the formation of the photosystem I complex CP la and the photosystem II complex CPa. At 100 lux only the formation of CPl a was affected. Except for DCMU all herbicides assayed primarily changed the formation of photosystem I. ¬© 1982, Walter de Gruyter. All rights reserved.</t>
  </si>
  <si>
    <t>632-641</t>
  </si>
  <si>
    <t>60029428;60029428</t>
  </si>
  <si>
    <t>7003911032;7007088593</t>
  </si>
  <si>
    <t>Buschmann, C.;Grumbach, K. H.</t>
  </si>
  <si>
    <t>Buschmann C.</t>
  </si>
  <si>
    <t>Herbicides which Inhibit Electron Transport or Produce Chlorosis and Their Effect on Chloroplast Development in Radish Seedlings II. Pigment Excitation, Chlorophyll Fluorescence and Pigment-Protein Complexes</t>
  </si>
  <si>
    <t>10.1515/znc-1982-7-812</t>
  </si>
  <si>
    <t>2-s2.0-1842419975</t>
  </si>
  <si>
    <t>CE 74-22640a</t>
  </si>
  <si>
    <t>['¬© 1982', 'significant changes', 'several biotic', 'reproductive state', 'prey type', 'prey exudate', 'prey density', 'prey activity', 'predator condition', 'precise measure', 'pelagic environment', 'mixing regime', 'live vs', 'ingestion rate', 'exclusively carnivorous', 'decreasing influence', 'container size', 'attack rate']</t>
  </si>
  <si>
    <t>An accurate and precise measure of ingestion is important for understanding trophic interactions in the plankton. This paper describes effects on the ingestion rate of the carnivorous marine copepod Euchaeta elongata Esterly of several biotic and abiotic factors operating in the pelagic environment. Sources of variability in the attack rate included, in order of decreasing influence: 1. (1) light, 2. (2) prey activity (live vs. heat killed), 3. (3) predator condition (with and without antennae), 4. (4) prey type, 5. (5) time of day, 6. (6) prey density, and 7. (7) mixing regime. While these responses were observed in the laboratory, they are consistent with E. elongata's behavior in the field. No significant changes were noted in the attack rate in response to the presence of prey exudate, number of predators per experiment duration, container size, reproductive state of predator, or temperature. The adult female copepods were exclusively carnivorous. An experimental method based on these results is described for use in further investigations on the predatory feeding ecology of E. elongata. ¬© 1982.</t>
  </si>
  <si>
    <t>105-117</t>
  </si>
  <si>
    <t>Journal of Experimental Marine Biology and Ecology</t>
  </si>
  <si>
    <t>Yen, J.</t>
  </si>
  <si>
    <t>Seattle</t>
  </si>
  <si>
    <t>University of Washington School of Oceanography</t>
  </si>
  <si>
    <t>Yen J.</t>
  </si>
  <si>
    <t>Sources of variability in attack rates of Euchaeta elongata Esterly, a carnivorous marine copepod</t>
  </si>
  <si>
    <t>10.1016/0022-0981(82)90025-9</t>
  </si>
  <si>
    <t>2-s2.0-0001290850</t>
  </si>
  <si>
    <t>753-758</t>
  </si>
  <si>
    <t>Bykov, A. A.</t>
  </si>
  <si>
    <t>Bykov A.</t>
  </si>
  <si>
    <t>Excitation of an infinite periodic structure by a local harmonic source with an imprecisely known frequency</t>
  </si>
  <si>
    <t>10.1007/BF01043653</t>
  </si>
  <si>
    <t>2-s2.0-0020176407</t>
  </si>
  <si>
    <t>['shelter center', 'provide shielding', 'ends unless', 'end caps', 'cylindrical axis', '35 db']</t>
  </si>
  <si>
    <t>Antenna array | Cylinder | Dipole antenna | Electric shielding | Electromagnetic shielding | Metallic structure | Ring-shaped antenna | Shelter</t>
  </si>
  <si>
    <t>Reinforcement bars arranged longitudinally around an antinuclear cylindrical shelter are treated as coupled dipole antennas and are shown to provide shielding against EMP which is a maximum at the shelter center and drops steeply towards the ends unless the reinforcement is continued into the end caps. Depending on dimensions, a low frequency electric field parallel to the cylindrical axis can be shielded by a factor of the order of 10 to 35 dB or more. ¬© 1982 Springer-Verlag.</t>
  </si>
  <si>
    <t>373-378</t>
  </si>
  <si>
    <t>The application of antenna theory to the calculation of electric shielding due to metallic reinforcement in a cylindrical shelter</t>
  </si>
  <si>
    <t>10.1007/BF02996879</t>
  </si>
  <si>
    <t>2-s2.0-0020176863</t>
  </si>
  <si>
    <t>['verlag gmbh', 'tiny hollow', 'thermoreceptive sensillum', 'sensillum capitulum', 'periplaneta americana', 'outer wall', 'inner stem', 'identified electrophysiologically', 'distal part', 'distal margin', 'cuticular apparatus', 'appears basiconic', 'antennal hygro', 'alternating segment']</t>
  </si>
  <si>
    <t>Antenna | Cockroach | External structure | Hygroreceptive sensillum</t>
  </si>
  <si>
    <t>The antennal hygro- and thermoreceptive sensillum (sensillum capitulum) of the cockraoch, Periplaneta americana, has been identified electrophysiologically and examined by scanning electron microscopy. It appears basiconic and has a characteristic cuticular apparatus; a mushroom-shaped inner stem and a non-perforated outer wall. The head of the inner stem, which is a cap of about 0.5 Œºm diameter, protrudes from the distal margin of the outer wall. The inner stem is not perforated, though in some cases a tiny hollow is observed in the apex of the cap. This kind of cuticular apparatus is not found in other sensilla and may be modality-specific to hygro- and/or thermoreception. The sensillum capitulum occurs singly on the distal part of each alternating segment of the flagellum and on each segment of some distal meristal segments. ¬© 1982 Springer-Verlag GmbH &amp; Co. KG.</t>
  </si>
  <si>
    <t>309-318</t>
  </si>
  <si>
    <t>7202707948;6602486562</t>
  </si>
  <si>
    <t>Tominaga, Y.;Yokohari, F.</t>
  </si>
  <si>
    <t>Tominaga Y.</t>
  </si>
  <si>
    <t>External structure of the sensillum capitulum, a hygro- and thermoreceptive sensillum of the cockroach, Periplaneta americana</t>
  </si>
  <si>
    <t>10.1007/BF00218361</t>
  </si>
  <si>
    <t>2-s2.0-0020422963</t>
  </si>
  <si>
    <t>['tether driven', 'passive tether', 'electromagnetic waves']</t>
  </si>
  <si>
    <t>Physics of the ionosphere</t>
  </si>
  <si>
    <t>In connection with the presently developed TSS (tethered satellite system) project, we consider the problem of radiation of electromagnetic waves from a long conducting tether moving in the ionosphere. In particular, we address to radiation of low-frequency plasma modes, from ULF up to the electron cyclotron frequency. Both the case of a passive tether (no generator) and that of a tether driven as an antenna are considered. ¬© 1982 Societ√° Italiana di Fisica.</t>
  </si>
  <si>
    <t>537-560</t>
  </si>
  <si>
    <t>60020261;60020261;60082962-60032350</t>
  </si>
  <si>
    <t>24790042800;57192126503;6701498799</t>
  </si>
  <si>
    <t>Belcastro, V.;Veltri, P.;Dobrowolny, M.</t>
  </si>
  <si>
    <t>Italy;Italy;Italy</t>
  </si>
  <si>
    <t>Rome;Rome;Rende</t>
  </si>
  <si>
    <t>Istituto di Fisica dello Spazio Interplanetario, Rome;Sapienza Universit√† di Roma;Universit√† della Calabria</t>
  </si>
  <si>
    <t>60082962;60032350;60020261</t>
  </si>
  <si>
    <t>Belcastro V.</t>
  </si>
  <si>
    <t>Radiation from long conducting tethers moving in the near-earth environment</t>
  </si>
  <si>
    <t>10.1007/BF02558396</t>
  </si>
  <si>
    <t>2-s2.0-51249183033</t>
  </si>
  <si>
    <t>['wave perturbations', 'wave periods', 'ultrarelativistic electrons', 'resonant frequencies', 'nuclear de', 'main difficulty', 'laser light', 'gravitational radiation', 'energy photons', 'distances comparable']</t>
  </si>
  <si>
    <t>Experimental tests of general relativity and observations of gravitational radiation</t>
  </si>
  <si>
    <t>Devices exploiting nuclear resonances are believed to be very promising in detecting weak gravitational-wave perturbations. The main difficulty with these systems is that the high-energy photons which induce the nuclear transitions need to travel over distances comparable with the gravity wave wave-lengths (‚àº100 km) in order to lead to the absorption the largest frequency shift, due to gravitational radiation. Here we show that, if these high-energy photons are not produced by nuclear de-excitation, but by inverse Compton scattering of laser light with ultrarelativistic electrons, a deviation from the resonant frequencies of the order of the gravity wave amplitude is still attained without the photon travel time being comparable with the gravitational-wave periods. ¬© 1982 Societ√° Italiana di Fisica.</t>
  </si>
  <si>
    <t>60110942-60012227;60012227</t>
  </si>
  <si>
    <t>7005419821;56273373700</t>
  </si>
  <si>
    <t>de Felice, F.;Turolla, R.</t>
  </si>
  <si>
    <t>Padua;Trieste</t>
  </si>
  <si>
    <t>Istituto Nazionale Di Fisica Nucleare, Sezione di Padova;Scuola Internazionale Superiore di Studi Avanzati</t>
  </si>
  <si>
    <t>60110942;60012227</t>
  </si>
  <si>
    <t>de Felice F.</t>
  </si>
  <si>
    <t>High-energy gravitational antennas: A theoretical approach</t>
  </si>
  <si>
    <t>10.1007/BF02558393</t>
  </si>
  <si>
    <t>2-s2.0-51649166594</t>
  </si>
  <si>
    <t>['¬© 1982', 'zero crosspolarisation', 'rights reserved', 'propagation behaviour', 'particular reference', 'electrical engineers', 'designed operating']</t>
  </si>
  <si>
    <t>Waveguide antennas | Waveguides</t>
  </si>
  <si>
    <t>The propagation behaviour of dual-depth corrugated feeds is considered with particular reference to application of such structures for frequency reuse applications in satellite communication antennas. Results are presented which enable a feed to be designed operating under balanced hybrid condition at two predetermined frequencies. It is shown that at the higher balanced hybrid frequency the EHmn modes radiate with a maximum on axis with zero crosspolarisation, whereas at the lower balanced hybrid frequency the HEmn modes show these characteristics. ¬© 1982, The Institution of Electrical Engineers. All rights reserved.</t>
  </si>
  <si>
    <t>793-794</t>
  </si>
  <si>
    <t>60029284;60029284</t>
  </si>
  <si>
    <t>7005076256;16470169900</t>
  </si>
  <si>
    <t>Sridhar, N.;Srivastava, G. P.</t>
  </si>
  <si>
    <t>University of Delhi</t>
  </si>
  <si>
    <t>Sridhar N.</t>
  </si>
  <si>
    <t>Theoretical analysis of hybrid modes in a dual-depth corrugated waveguide feed</t>
  </si>
  <si>
    <t>10.1049/el:19820537</t>
  </si>
  <si>
    <t>2-s2.0-0020473619</t>
  </si>
  <si>
    <t>['¬© 1982', 'practical configuration', 'paper describes', 'noise sources']</t>
  </si>
  <si>
    <t>This paper describes a practical configuration for a back-action evading motion transducer suitable for use on Weber-type gravitational radiation antennae. Tests on a prototype are described, noise sources are discussed and realistic sensitivity limits are estimated. ¬© 1982.</t>
  </si>
  <si>
    <t>197-200</t>
  </si>
  <si>
    <t>Physics Letters A</t>
  </si>
  <si>
    <t>Blair, David</t>
  </si>
  <si>
    <t>Perth</t>
  </si>
  <si>
    <t>The University of Western Australia</t>
  </si>
  <si>
    <t>Blair D.</t>
  </si>
  <si>
    <t>A prototype back-action evading transducer suitable for gravitational radiation antennae</t>
  </si>
  <si>
    <t>0375-9601(82)90833-7</t>
  </si>
  <si>
    <t>10.1016/0375-9601(82)90833-7</t>
  </si>
  <si>
    <t>2-s2.0-34247159174</t>
  </si>
  <si>
    <t>Neotropical Ornithological Society</t>
  </si>
  <si>
    <t>NOS</t>
  </si>
  <si>
    <t>['¬© 1982', 'wave emission', 'two forms', 'spectroscopically similar', 'soluble form', 'showed bands', 'room temperature', 'remains attached', 'protein complex', 'probably identical', 'preceding paper', 'magnetic field', 'least part', 'guanidine hydrochloride', 'excitation spectra', 'energy transfer', 'bound form', 'antenna complexes', 'acta 681', 'absorption spectrum', 'absorption bands', '838 nm', '828 nm', '4 k', '358 ).', '150 k', '., kramer']</t>
  </si>
  <si>
    <t>(Prosthecochloris aestuarii) | Bacterial photosynthesis | Excitation spectrum | Fluorescence | Magnetic field | Pigment-protein complex</t>
  </si>
  <si>
    <t>Excitation spectra were measured at 4 K of bacteriochlorophyll a fluorescence in reaction center containing pigment-protein complexes obtained from the green photosynthetic bacterium Prosthecochloris aestuarii. Excitation spectra for the longest-wave emission (838 nm) showed bands of bacteriochlorophyll a, carotenoid, and of a pigment with absorption bands at 670, 438 and possibly near 420 nm, which is probably identical to an unidentified porphyrin described in the preceding paper (Swarthoff, T., Kramer, H.J.M. and Amesz, J. (1982) Biochim. Biophys. Acta 681, 354-358). At room temperature the longest-wave emission is stimulated by a magnetic field, which indicates that at least part of the emission is delayed fluorescence brought about by a reversal of the primary charge separation. Below about 150 K no stimulation was observed. The excitation spectra for short-wave emission (828 nm) were very similar to the absorption spectrum of the isolated antenna bacteriochlorophyll a-protein complex, and showed bands of bacteriochlorophyll a only. This indicates that two forms of the antenna protein exist that are spectroscopically similar: a soluble form that is released by treatment with guanidine hydrochloride and a bound form that remains attached to the reaction center complex. The bands of the antenna complexes were weak in the excitation spectra of the 838 nm fluorescence, which indicates that the efficiency of energy transfer to the reaction center complex is low. ¬© 1982.</t>
  </si>
  <si>
    <t>359-364</t>
  </si>
  <si>
    <t>60003878;60003878;60003878;60003878</t>
  </si>
  <si>
    <t>7202691944;24453572600;24489484900;7004456032</t>
  </si>
  <si>
    <t>Kramer, H. J.M.;Kingma, H.;Swarthoff, T.;Amesz, J.</t>
  </si>
  <si>
    <t>Sterrewacht Leiden</t>
  </si>
  <si>
    <t>Kramer H.J.M.</t>
  </si>
  <si>
    <t>Prompt and delayed fluorescence in pigment-protein complexes of a green photosynthetic bacterium</t>
  </si>
  <si>
    <t>0005-2728(82)90176-1</t>
  </si>
  <si>
    <t>10.1016/0005-2728(82)90176-1</t>
  </si>
  <si>
    <t>2-s2.0-0020431353</t>
  </si>
  <si>
    <t>['¬© 1982', 'wavelength fluorescence', 'two bands', 'triplet state', 'tentatively attribute', 'singlet excitations', 'separation reaction', 'resonant transfer', 'recorded microwave', 'possibly less', 'positive microwave', 'negative sign', 'negative band', 'field resonance', 'fdmr response', 'fdmr resonance', 'earlier interpretation', 'e .,', 'detected zero', 'den blanken', 'close contact', 'bulk properties', 'bulk material', 'antenna pigments', 'antenna bacteriochlorophylls', 'acta 503', '935 nm', '905 nm', '338 ),', '2 k']</t>
  </si>
  <si>
    <t>(Rps. sphaeroides) | Bacterial photosynthesis | Bacteriochlorophyll fluorescence | FDMR | Reaction center</t>
  </si>
  <si>
    <t>The triplet state of isolated reaction centers of Rhodopseudomonas sphaeroides R-26 has been studied by fluorescence-detected electron spin resonance in zero magnetic field (FDMR) at 4.2 K. The sign of the FDMR resonance monitored at the long-wavelength fluorescence band is positive (fluorescence increase); this confirms the earlier interpretation (Hoff, A.J. and Gorter de Vries, H. (1978) Biochim. Biophys. Acta 503, 94-106) that the negative sign of the FDMR resonance of the reaction center triplet state in whole bacterial cells is caused by resonant transfer of the singlet excitations from the antenna pigments to the trap. By monitoring the FDMR response as a function of the wavelength of fluorescence, we have recorded microwave-induced fluorescence spectra. In addition to the positive microwave-induced fluorescence band peaking at 935 nm, at 905 nm a negative band was found. The resonant microwave frequencies for these two bands, i.e., the values of the zero-field splitting parameters |D| and |E| of the triplet state being monitored, were different, those of the 905 nm microwave-induced fluorescence band being identical to the resonant microwave frequencies measured with absorption-detected zero-field resonance (Den Blanken, H.J., Van der Zwet, G.P. and Hoff, A.J. (1982) Chem. Phys. Lett. 85, 335-338), a technique that monitors the bulk properties of the sample. From this result and its negative sign, we tentatively attribute the 905 nm microwave-induced fluorescence band to a small (possibly less than 1%) fraction of antenna bacteriochlorophylls that are in close contact with the trap. The positive 935 nm microwave-induced fluorescence band with resonant microwave frequencies deviating from the bulk material is ascribed to a minority of primary donor bacteriochlorophyll dimers, which have a higher than normal fluorescence yield because of a somewhat slower charge-separation reaction. Is it likely that practically all long-wavelength fluorescence of isolated reaction centers stems from such impaired reaction centers. ¬© 1982.</t>
  </si>
  <si>
    <t>375-382</t>
  </si>
  <si>
    <t>106050747;106050747;106050747</t>
  </si>
  <si>
    <t>6602416508;6507162282;7103325525</t>
  </si>
  <si>
    <t>Den Blanken, H. J.;Van Der Zwet, G. P.;Hoff, A. J.</t>
  </si>
  <si>
    <t>Center for the Study of the Exited States of Molecules</t>
  </si>
  <si>
    <t>Den Blanken H.J.</t>
  </si>
  <si>
    <t>Study of the long-wavelength fluorescence band at 920 nm of isolated reaction centers of the photosynthetic bacterium Rhodopseudomonas spaeroides R-26 with fluorescence-detected magnetic resonance in zero field</t>
  </si>
  <si>
    <t>10.1016/0005-2728(82)90178-5</t>
  </si>
  <si>
    <t>2-s2.0-0020454942</t>
  </si>
  <si>
    <t>['¬© 1982', 'wire radius', 'wire antenna', 'simplex method', 'rights reserved', 'piecewise parabolas', 'optimum shape', 'maximum directivity', 'function minimisation', 'electrical engineers', 'current distribution', 'antenna shape']</t>
  </si>
  <si>
    <t>Antennas | Wire antennas</t>
  </si>
  <si>
    <t>The optimum shape of a wire antenna for maximum directivity is obtained by applying the method of moments and the simplex method for function minimisation. Antenna shape is approximated by piecewise parabolas, and the effects of wire radius on current distribution are considered. ¬© 1982, The Institution of Electrical Engineers. All rights reserved.</t>
  </si>
  <si>
    <t>816-818</t>
  </si>
  <si>
    <t>55712837400;57212993806</t>
  </si>
  <si>
    <t>Cheng, D. K.;Liang, C. H.</t>
  </si>
  <si>
    <t>Cheng D.</t>
  </si>
  <si>
    <t>Shaped wire antennas with maximum directivity</t>
  </si>
  <si>
    <t>10.1049/el:19820555</t>
  </si>
  <si>
    <t>2-s2.0-0020183165</t>
  </si>
  <si>
    <t>['¬© 1982', 'two bands', 'successive corrugations', 'rights reserved', 'mode characteristics', 'measured results', 'horn designed', 'electrical engineers', 'electrical characteristics', 'depth corrugations', 'arbitrary separation', 'appropriate choice']</t>
  </si>
  <si>
    <t>Antennas | Horn antennas</t>
  </si>
  <si>
    <t>Electrical characteristics of a hybrid-mode circular aperture horn with dual-depth corrugations are presented. It is shown that the hybrid-mode characteristics of such a horn can be optimised to give low crosspolarised radiation in two bands having arbitrary separation. This is achieved by means of appropriate choice of the depth of successive corrugations. Measured results are given for a horn designed to operate in two bands separated by 1:1¬∑5. ¬© 1982, The Institution of Electrical Engineers. All rights reserved.</t>
  </si>
  <si>
    <t>860-862</t>
  </si>
  <si>
    <t>60011897;60011897;60011897</t>
  </si>
  <si>
    <t>56331766300;6701722050;7202917119</t>
  </si>
  <si>
    <t>Ghosh, S.;Adatia, N.;Watson, B. K.</t>
  </si>
  <si>
    <t>Leatherhead</t>
  </si>
  <si>
    <t>ERA Technology Ltd</t>
  </si>
  <si>
    <t>Ghosh S.</t>
  </si>
  <si>
    <t>Hybrid-mode feed for multiband applications having a dual-depth corrugation boundary</t>
  </si>
  <si>
    <t>10.1049/el:19820584</t>
  </si>
  <si>
    <t>2-s2.0-0020182998</t>
  </si>
  <si>
    <t>849-856</t>
  </si>
  <si>
    <t>24372272500;57096791300</t>
  </si>
  <si>
    <t>Bykov, A. A.;Il'inskii, A. S.</t>
  </si>
  <si>
    <t>Directivity pattern in the problem of an array of circular dielectric cylinders excited by a local source</t>
  </si>
  <si>
    <t>10.1007/BF01230140</t>
  </si>
  <si>
    <t>2-s2.0-0020191179</t>
  </si>
  <si>
    <t>783-785</t>
  </si>
  <si>
    <t>Inspektorov, E. M.</t>
  </si>
  <si>
    <t>Inspektorov E.</t>
  </si>
  <si>
    <t>Using integral equations of the second kind for analysis of diffraction by thin shields</t>
  </si>
  <si>
    <t>10.1007/BF01230128</t>
  </si>
  <si>
    <t>2-s2.0-0020194789</t>
  </si>
  <si>
    <t>836-843</t>
  </si>
  <si>
    <t>Veremei, V. V.</t>
  </si>
  <si>
    <t>Veremei V.</t>
  </si>
  <si>
    <t>Analytical study of the scattering properties of a structure consisting of two partially closed cylindrical baffles</t>
  </si>
  <si>
    <t>10.1007/BF01230138</t>
  </si>
  <si>
    <t>2-s2.0-0020194968</t>
  </si>
  <si>
    <t>['stiff shaft', 'sensory hair', 'sensory element', 'sensitive transducer', 'scolopale cell', 'mechanosensory hairs', 'mechanosensory hair', 'located far', 'like filaments', 'large expansion', 'hair shaft', 'fine structure', 'decapod crustaceans', 'cuticular structure', 'cuticular hair', 'coupled mechanically', 'chordotonal organ']</t>
  </si>
  <si>
    <t>Chordotonal organ | Crustacea | Mechanosensory hair | Ultrastructure</t>
  </si>
  <si>
    <t>In this study we examine the fine structure of mechanosensory hairs in the antennule of crayfish. The sensory hair is a stiff shaft with feather-like filaments. The hair's base is a large expansion of membrane which allows the hair shaft to deflect. The sensory transducing elements are located far from the hair, but are coupled mechanically with the hair shaft by a fine extracellular chorda. The sensory element is a type of scolopidium which consists of a scolopale cell and three sensory cells with a 9 + 0 type ciliary process. This type of scolopidium is characteristic of the chordotonal organ that has no cuticular structure on the surface of the exoskeleton. In this crustacean hair receptor, the deflection of the cuticular hair is transmitted through the chorda to the scolopidium which is a tension-sensitive transducer. The present study reveals that the mechanosensory hair of decapod crustaceans is a chordotonal organ accompanied by a cuticular hair structure. We also discuss comparative aspects of cuticular and subcuticular chordotonal organs in arthropods. ¬© 1982 Springer-Verlag.</t>
  </si>
  <si>
    <t>565-578</t>
  </si>
  <si>
    <t>57191463381;7004514427</t>
  </si>
  <si>
    <t>Kouyama, Nobuo;Shimozawa, Tateo</t>
  </si>
  <si>
    <t>Kouyama N.</t>
  </si>
  <si>
    <t>The structure of a hair mechanoreceptor in the antennule of crayfish (Crustacea)</t>
  </si>
  <si>
    <t>10.1007/BF00214785</t>
  </si>
  <si>
    <t>2-s2.0-0020353084</t>
  </si>
  <si>
    <t>['vaporized benzaldehyde', 'observed using', 'moths moved', 'individual specificity', 'incense stick', 'conspecific males', 'also demonstrated']</t>
  </si>
  <si>
    <t>Lepidoptera | male scent | Noctuidae | nonspecificity | Pseudaletia separata | repellent allomone | repellent pheromone | sexual selection</t>
  </si>
  <si>
    <t>Air movement around a male Pseudaletia separata Walker, observed using the smoke of an incense stick during wing-fanning, showed that the air moves away from the female and backwards. Moths moved or flew away immediately when vaporized benzaldehyde was blown over their antennae in a screen cage set in a greenhouse. This repellency lacked species, sex, or individual specificity. Male scent acts as an inhibitor to conspecific males and, at the same time, to other moths if they approach the male in courtship. Inhibition of ovipositional and larval locomotory behavior by benzaldehyde was also demonstrated. ¬© 1982 Plenum Publishing Corporation.</t>
  </si>
  <si>
    <t>1263-1270</t>
  </si>
  <si>
    <t>Hiroshima</t>
  </si>
  <si>
    <t>Chugoku National Agricultural Experiment Station</t>
  </si>
  <si>
    <t>Directional flow of male scent released by Pseudaletia separata walker (Lepidoptera: Noctuidae) and its repellent effect on adults and larvae of four noctuid and one phycitine moth</t>
  </si>
  <si>
    <t>10.1007/BF00987759</t>
  </si>
  <si>
    <t>2-s2.0-34250233711</t>
  </si>
  <si>
    <t>['¬© 1982', 'simple method', 'similar proposals', 'rights reserved', 'microwave frequency', 'method differs', 'incident rays', 'hardware implementation', 'electrical engineers', '2m elements']</t>
  </si>
  <si>
    <t>A simple method to isolate the amplitude and the direction of m incident rays on a linear antenna array of 2m elements is described. This method differs from other similar proposals by its ease of hardware implementation at microwave frequency. ¬© 1982, The Institution of Electrical Engineers. All rights reserved.</t>
  </si>
  <si>
    <t>923-924</t>
  </si>
  <si>
    <t>60011664;60011664</t>
  </si>
  <si>
    <t>7004846626;6701712174</t>
  </si>
  <si>
    <t>Cheah, Y. C.;Paoloni, F. J.</t>
  </si>
  <si>
    <t>Wollongong</t>
  </si>
  <si>
    <t>University of Wollongong</t>
  </si>
  <si>
    <t>Cheah Y.</t>
  </si>
  <si>
    <t>Resolution of monochromatic signal sources using a simple receiving antenna array</t>
  </si>
  <si>
    <t>10.1049/el:19820629</t>
  </si>
  <si>
    <t>2-s2.0-0020191903</t>
  </si>
  <si>
    <t>['¬© 1982', 'typical results', 'rights reserved', 'remote source', 'linearly polarised', 'involves sampling', 'electrical engineers', 'correction factor']</t>
  </si>
  <si>
    <t>A technique has been described for measuring the crosspolarisation radiation patterns of linearly polarised, frequency reuse satellite ground station antennas, using a satellite as the remote source. This involves sampling of the imperfect satellite wave with a high polarisation purity ancillary antenna, and the application of a correction factor to the measured crosspolarisation levels. In practice, the ancillary antenna may have a small but finite crosspolarisation level, and error levels due to this are of interest. Error level expressions are given here, and some typical results are considered. ¬© 1982, The Institution of Electrical Engineers. All rights reserved.</t>
  </si>
  <si>
    <t>924-926</t>
  </si>
  <si>
    <t>Keen, K. M.</t>
  </si>
  <si>
    <t>Keith M. Keen &amp; Associates Ilford</t>
  </si>
  <si>
    <t>Ground station antenna crosspolarisation measurements with an imperfectly polarised ancillary antenna</t>
  </si>
  <si>
    <t>10.1049/el:19820630</t>
  </si>
  <si>
    <t>2-s2.0-0020193679</t>
  </si>
  <si>
    <t>['waveguide resonator', 'transmitting antenna', 'planar oscillators', 'obtained quasi', 'monolithic millimeter', 'model oscillator', 'mechanically tunable', 'gunn diode', 'design data', 'design based', '5 ghz', '12 %.', '100 ghz', '1 ghz']</t>
  </si>
  <si>
    <t>IC | Millimeter | monolithic | Near-millimeter</t>
  </si>
  <si>
    <t>Planar oscillators for monolithic millimeter-wave integrated circuits are considered, and a design based on a coplanar-waveguide resonator is described. Design data are obtained from simulation at 1 GHz. the resonator has a Q of 195 (50 when scaled to 100 GHz) and is mechanically tunable over a range of 12%. Combining this resonator with a Gunn diode, a model oscillator is obtained. Output is obtained quasi-optically through a transmitting antenna. Twenty one milliwatts of output at 4.5 GHz are obtained with high spectral purity. A 100 GHz monolithic planar oscillator based on this design should be possible. ¬© 1982 Plenum Publishing Corporation.</t>
  </si>
  <si>
    <t>771-782</t>
  </si>
  <si>
    <t>60121438-60025038;60121438-60025038</t>
  </si>
  <si>
    <t>7404340876;7202176080</t>
  </si>
  <si>
    <t>Wang, Nan Lei;Schwarz, S. E.</t>
  </si>
  <si>
    <t>Berkeley;Berkeley</t>
  </si>
  <si>
    <t>60121438;60025038</t>
  </si>
  <si>
    <t>Wang N.L.</t>
  </si>
  <si>
    <t>Planar oscillators for monolithic integration</t>
  </si>
  <si>
    <t>10.1007/BF01008643</t>
  </si>
  <si>
    <t>2-s2.0-0020205971</t>
  </si>
  <si>
    <t>906-913</t>
  </si>
  <si>
    <t>Pelyushenko, S. A.</t>
  </si>
  <si>
    <t>Pelyushenko S.</t>
  </si>
  <si>
    <t>The measurement of atmospheric extinction and brightness temperature at millimeter wavelengths</t>
  </si>
  <si>
    <t>10.1007/BF01051785</t>
  </si>
  <si>
    <t>2-s2.0-0020208317</t>
  </si>
  <si>
    <t>['¬© 1982', 'theoretical results', 'rights reserved', 'model analysis', 'literal formulas', 'introduce electric', 'good agreement', 'given especially', 'electrical engineers']</t>
  </si>
  <si>
    <t>Using the volume equivalence theorem, we introduce electric and polarisation current distributions for a rectangular patch microstrip antenna. These distributions are known from transmission-line-model analysis. Literal formulas are given especially to express the E-plane radiation pattern and the worst-case crosspolarisation level. Theoretical results are in good agreement with experiments. ¬© 1982, The Institution of Electrical Engineers. All rights reserved.</t>
  </si>
  <si>
    <t>991-993</t>
  </si>
  <si>
    <t>Dubost, G.</t>
  </si>
  <si>
    <t>Rennes</t>
  </si>
  <si>
    <t>Universite de Rennes 1</t>
  </si>
  <si>
    <t>Dubost G.</t>
  </si>
  <si>
    <t>Far field radiated by rectangular patch microstrip antenna</t>
  </si>
  <si>
    <t>10.1049/el:19820679</t>
  </si>
  <si>
    <t>2-s2.0-0020203661</t>
  </si>
  <si>
    <t>['¬© 1982', 'tca tokamak', 'soft x', 'sawtooth frequency', 'sawteeth seen', 'resonance peaks', 'relative phase', 'ray flux', 'profile fluctuations', 'plasma density', 'eight groups', '3 plates']</t>
  </si>
  <si>
    <t>Alfv√©n waves are excited in the TCA tokamak by a fully toroidal antenna structure consisting of eight groups of 3 plates. When the plasma density is ramped during a discharge, the antenna loading shows several peaks of enhanced absorption corresponding to the excitation of discrete Alfv√©n waves. Internal disruptions produce a modulation of the resonance peaks at the sawtooth frequency which is attributed to q-profile fluctuations. The relative phase between the sawteeth seen on the soft X-ray flux and those on the resonance peaks gives information on the shape of the Alfv√©n frequency profile. ¬© 1982.</t>
  </si>
  <si>
    <t>279-282</t>
  </si>
  <si>
    <t>60028186;60028186;60028186;60028186;60028186;60028186;60028186;60028186;60028186;60028186</t>
  </si>
  <si>
    <t>7004142866;6603407182;6602620235;7202476002;6701703963;7401434652;6701862164;7201547237;22972829400;6602846941</t>
  </si>
  <si>
    <t>de Chambrier, A.;Duperrex, P. A.;Heym, A.;Hofmann, F.;Joye, B.;Keller, R.;Lietti, A.;Lister, J. B.;Pochelon, A.;Simm, W.</t>
  </si>
  <si>
    <t>Lausanne</t>
  </si>
  <si>
    <t>Swiss Federal Institute of Technology Lausanne</t>
  </si>
  <si>
    <t>de Chambrier A.</t>
  </si>
  <si>
    <t>Observation of fast current fluctuations during internal disruptions in TCA by using Alfv√©n wave diagnostics</t>
  </si>
  <si>
    <t>0375-9601(82)90087-1</t>
  </si>
  <si>
    <t>10.1016/0375-9601(82)90087-1</t>
  </si>
  <si>
    <t>2-s2.0-22244453833</t>
  </si>
  <si>
    <t>['¬© 1982', 'virtually independent', 'tmt11 mode', 'tm12 modes', 'tm12 mode', 'tm11 mode', 'rights reserved', 'results confirm', 'relatively large', 'main conclusions', 'lauching efficiency', 'highly sensitive', 'feed position', 'electrical engineers', 'determined experimentally']</t>
  </si>
  <si>
    <t>Antennas | Microstrip antennes</t>
  </si>
  <si>
    <t>The characteristics of an annular-ring microstrip antenna operating in TM11 and TM12 modes are determined experimentally. Our results confirm the main conclusions of a theoretical study published recently by Ali, Chew and Kong and show that: (a) the bandwidth of the TMt11 mode is very small while that of the TM12 mode is relatively large, and (b) the lauching efficiency of the TM12 mode is highly sensitive to the feed position while that of the TM11 mode is virtually independent of the feed position. ¬© 1982, The Institution of Electrical Engineers. All rights reserved.</t>
  </si>
  <si>
    <t>1051-1052</t>
  </si>
  <si>
    <t>60002798;60002798</t>
  </si>
  <si>
    <t>7003504220;7501501369</t>
  </si>
  <si>
    <t>Dahele, J. S.;Lee, K. F.</t>
  </si>
  <si>
    <t>Dahele J.S.</t>
  </si>
  <si>
    <t>Characteristics of annular-ring microstrip antenna</t>
  </si>
  <si>
    <t>10.1049/el:19820718</t>
  </si>
  <si>
    <t>2-s2.0-0020205821</t>
  </si>
  <si>
    <t>['¬© 1982', 'widest spacing', 'three arrays', 'square lattices', 'rights reserved', 'plane incidence', 'lattice spacing', 'electrical engineers']</t>
  </si>
  <si>
    <t>Antennas | Frequency selective surfaces | Reflector antennas | Ring elements</t>
  </si>
  <si>
    <t>The importance of the lattice spacing is illustrated by the performance of three arrays of simple rings arranged on square lattices with Ir/D = 0.61, 0.64 and 0.87, used as frequency selective surfaces in a 45¬∞ incidence diplexer. Peak crosspolar levels were about ‚àí35 dB for the closely spaced lattice, rising to ‚àí24 dB at the upper band edge for the widest spacing, for which the reflection band centres were not coincident for E- and H-plane incidence. ¬© 1982, The Institution of Electrical Engineers. All rights reserved.</t>
  </si>
  <si>
    <t>1060-1061</t>
  </si>
  <si>
    <t>Crosspolar levels of ring arrays in reflection at 45¬∞ incidence: Influence of lattice spacing</t>
  </si>
  <si>
    <t>10.1049/el:19820724</t>
  </si>
  <si>
    <t>2-s2.0-0020208720</t>
  </si>
  <si>
    <t>['unpublished experiments', 'surgical procedure', 'sensory axons', 'reproductive behaviour1', 'phenomonal information', 'opposite sex', 'neurones resembling', 'morphological properties', 'mgc ),', 'male antennae12', 'macroglomerular complex', 'connell ).', 'certain species', 'axons project', 'antennal lobes', 'antenna formed']</t>
  </si>
  <si>
    <t>Observations in insects reveal sexual differences in the central nervous system (CNS), associated with sexually dimorphic patterns of reproductive behaviour1-9. For example, in certain species of moths, including the sphinx moth Manduca sexta, only males fly towards a sexually receptive female or towards a source of the female sex pheromone10,11. In Manduca, specialized olfactory receptor cells found only on male antennae12,13 respond sensitively and selectively to the female sex pheromone (unpublished experiments with K.-E. Kaissling and R. J. O'Connell). Their axons project into the macroglomerular complex (MGC), which is characteristic of male, but not female, antennal lobes (ALs; Fig. 1b, d)1-3,5,8,9,14. These afferents to the MGC presumably synapse with male-specific AL neurones8,15 to begin the processing of phenomonal information. We have now devised a surgical procedure for producing antennal gynandromorphs of Manduca in which one of the two ALs receives sensory innervation from an antenna formed by a transplanted imaginal disk of the opposite sex. We report here that in these gynandromorphs, the physiological and morphological properties of certain AL neurones are influenced by the gender of the antennal sensory axons contacting them. In particular, neurones resembling the male-specific AL neurones appear in female ALs innervated by sensory axons from a grafted male antenna. ¬© 1982 Nature Publishing Group.</t>
  </si>
  <si>
    <t>844-846</t>
  </si>
  <si>
    <t>Nature</t>
  </si>
  <si>
    <t>60002746-60030162;60002746;60030162</t>
  </si>
  <si>
    <t>7004388304;7404265592;7102653635</t>
  </si>
  <si>
    <t>Schneiderman, Anne M.;Matsumoto, Steven G.;Hildebrand, John G.</t>
  </si>
  <si>
    <t>New York;Boston</t>
  </si>
  <si>
    <t>Columbia University;Harvard Medical School</t>
  </si>
  <si>
    <t>60030162;60002746</t>
  </si>
  <si>
    <t>Schneiderman A.M.</t>
  </si>
  <si>
    <t>Trans-sexually grafted antennae influence development of sexually dimorphic neurones in moth brain</t>
  </si>
  <si>
    <t>10.1038/298844a0</t>
  </si>
  <si>
    <t>2-s2.0-0000143308</t>
  </si>
  <si>
    <t>['two components', 'synaptic potentials', 'second identical', 'restricted pattern', 'recordings reveal', 'principal interneurones', 'periplanone b', 'one antenna', 'male cockroaches', 'lateral cluster', 'intracellular injection', 'intracellular electrodes', 'individual interneurone', 'food odours', 'female odours', 'extracellular recording', 'either placed', 'deutocerebrum confined', 'deutocerebral glomeruli', 'continuous background', 'characterised according', 'cell bodies', 'branching within', 'branches within', 'branches throughout', 'axon projecting', 'also tested']</t>
  </si>
  <si>
    <t>Interneurones in the deutocerebrum of male cockroaches were characterised according to their intracellularly recorded responses to odours of females and to selected food odours. Following physiological characterization the interneurones were stained by the intracellular injection of dye. Some interneurones were characterized by extracellular recording and staining. The intracellular electrodes were either placed in the somata of the interneurones or more usually in neurites between the deutocerebral glomeruli. Such recordings reveal a continuous background of synaptic potentials, and spikes at a variable but low frequency depending upon the individual interneurone. The odours, which were blown over one antenna, were a whole female extract and two purified components of this; Fraction A and a second identical to Periplanone B. Sixteen other food odours were also tested. The interneurones revealed fell into four main groups which responded to: the whole female extract and the two components, to one of the two components preferentially, and to whole female extract but neither of the components. Other interneurones were inhibited by female odours but excited by some food odours. The interneurones with these characteristics which were stained, were principal interneurones with cell bodies in the lateral cluster in the deutocerebrum, branches within the deutocerebrum confined to the macroglomerulus (an enlarged glomerulus found only in adult males), and an axon projecting to the calyces and lobus lateralis protocerebralis of the protocerebrum. The interneurones responding preferentially to Periplanone B had branches throughout the macroglomerulus, but those responding to Fraction A had a more restricted pattern of branching within the macroglomerulus. ¬© 1982 Springer-Verlag.</t>
  </si>
  <si>
    <t>447-457</t>
  </si>
  <si>
    <t>60030807;60030807;60030807</t>
  </si>
  <si>
    <t>7103139615;6701782875;24452696000</t>
  </si>
  <si>
    <t>Burrows, M.;Boeckh, J.;Esslen, J.</t>
  </si>
  <si>
    <t>Burrows M.</t>
  </si>
  <si>
    <t>Physiological and morphological properties of interneurones in the deutocerebrum of male cockroaches which respond to female pheromone</t>
  </si>
  <si>
    <t>10.1007/BF00612810</t>
  </si>
  <si>
    <t>2-s2.0-0000501907</t>
  </si>
  <si>
    <t>['shell configuration', 'rf waves', 'resonant enhancement', 'plasma response', 'plasma equilibrium', 'energy absorption', 'cylindrical plasma', 'collective mode']</t>
  </si>
  <si>
    <t>The energy absorption of RF waves at the spatial Alfven resonance of a cylindrical plasma is investigated numerically using ideal MHD equations. It is found that the absorbed power exhibits a resonant enhancement if a collective mode of the plasma response is excited. The dependence of the optimal power upon the characteristics of the plasma equilibrium, the type of the antenna-shell configuration and the type of the collective mode is studied.</t>
  </si>
  <si>
    <t>1005-1023</t>
  </si>
  <si>
    <t>Plasma Physics</t>
  </si>
  <si>
    <t>60028186;60028186;60028186</t>
  </si>
  <si>
    <t>57083871700;7003823426;7004037457</t>
  </si>
  <si>
    <t>Balet, B.;Appert, K.;Vaclavik, J.</t>
  </si>
  <si>
    <t>Balet B.</t>
  </si>
  <si>
    <t>MHD studies on Alfven wave heating of low-Œ≤ plasmas</t>
  </si>
  <si>
    <t>10.1088/0032-1028/24/8/011</t>
  </si>
  <si>
    <t>2-s2.0-0001478795</t>
  </si>
  <si>
    <t>['tie antennas', 'quartz substrate', 'microbolometer detectors', 'imaging array', 'first time', 'diffraction limited']</t>
  </si>
  <si>
    <t>A far-infrared imaging antenna array has been demonstrated for the first time. The array is a line of evaporated silver bow-tie antennas on a fused-quartz substrate with bismuth-microbolometer detectors. The measured optical transfer function shows that the system is diffraction limited. This imaging array should find direct application in fusion plasma diagnostics. If the microbolometers can be replaced by more sensitive diode detectors, the array should also find application in radiometry and radar.</t>
  </si>
  <si>
    <t>203-205</t>
  </si>
  <si>
    <t>Applied Physics Letters</t>
  </si>
  <si>
    <t>60031581;60031581;60031581;60027550;60027550</t>
  </si>
  <si>
    <t>7006694199;7102803490;6603024267;56415174700;7404976631</t>
  </si>
  <si>
    <t>Neikirk, Dean P.;Rutledge, David B.;Muha, Michael S.;Park, Hyeon;Yu, Chang Xuan</t>
  </si>
  <si>
    <t>Pasadena;Los Angeles</t>
  </si>
  <si>
    <t>California Institute of Technology;University of California, Los Angeles</t>
  </si>
  <si>
    <t>60031581;60027550</t>
  </si>
  <si>
    <t>Neikirk D.P.</t>
  </si>
  <si>
    <t>Far-infrared imaging antenna arrays</t>
  </si>
  <si>
    <t>10.1063/1.93053</t>
  </si>
  <si>
    <t>2-s2.0-0001664302</t>
  </si>
  <si>
    <t>['tie antennas', 'thermally isolated', 'silicon substrate', 'micron layer', 'limited cut', 'lens placed', 'coherent imaging', 'array performance', '119 œºm']</t>
  </si>
  <si>
    <t>A focal-plane imaging antenna array has been demonstrated at 119 Œºm. The array is a line of evaporated silver bow-tie antennas with bismuth microbolometer detectors on a silicon substrate. Radiation is coupled into the array by a lens placed on the back of the substrate. The bolometers are thermally isolated from the silicon substrate with a half-micron layer of polyimide. The array performance is demonstrated by coherent imaging of a series of holes at half the diffraction-limited cut-off frequency.</t>
  </si>
  <si>
    <t>329-331</t>
  </si>
  <si>
    <t>7006694199;7102333102;7102803490;56415174700;57198839279</t>
  </si>
  <si>
    <t>Neikirk, Dean P.;Tong, Peter P.;Rutledge, David B.;Park, Hyeon;Young, Peter E.</t>
  </si>
  <si>
    <t>Neikirk D.</t>
  </si>
  <si>
    <t>Imaging antenna array at 119 Œºm</t>
  </si>
  <si>
    <t>10.1063/1.93525</t>
  </si>
  <si>
    <t>2-s2.0-0004863005</t>
  </si>
  <si>
    <t>['three groups', 'static sensitivity', 'single mechanoreceptor', 'sensory responses', 'sensory neurones', 'sensory neurone', 'sensory cells', 'sensory afferent', 'rock lobster', 'position changes', 'palinurus vulgaris', 'opposite directions', 'one joint', 'micrometric observations', 'joint positions', 'joint movements', 'j3 sheet', 'j3 position', 'j3 movements', 'j3 length', 'j3 joints', 'j3 extension', 'j3 ).', 'j2 movements', 'j2 flexion', 'interpreted according', 'g3 region', 'different modalities', 'co j2', 'chordotonal organs', 'affected differently', '3 ).', '2 ).']</t>
  </si>
  <si>
    <t>1. In the antennae of the rock lobster, Palinurus vulgaris, proprioception of the two distal joints (J2-J3) (Fig. 1) is ensured by a single mechanoreceptor, the J2-J3 chordotonal organ (CO J2-J3). 2. The CO J2-J3 is formed by a large connective tissue sheet spanning both joints. On the sheet, three groups of sensory cells can be distinguished: a proximal group g1, a medial group g2, a distal group g3 (Fig. 2). 3. Because of the triple cuticular insertion of the sheet, CO J2-J3 length is affected differently by J2 and J3 movements. Micrometric observations have shown that g1 region length changes result mainly from J2 movements, g3 region from J3 movements and g2 region length changes result from movements of both J2 and J3 joints (Fig. 3). 4. Electrophysiological study revealed two kinds of sensory afferent: sensory neurones exclusively sensitive to joint positions (static sensitivity) and sensory neurones exclusively sensitive to joint movements (dynamic sensitivity), the latter neurones responding to only one movement direction (extension or flexion) of the joints. 5. Each kind of sensory neurone can be subdivided into different categories according to its sensitivity to J2 and J3 position and movement: the monoarticular neurones encoding the position or movement of only one joint, J2 or J3; the biarticular neurones sensitive either to the positions or to the movements of both joints. Some respond to position changes of J2 and J3 in the same direction (homo-directional neurones); some respond to position changes of J2 and J3 in opposite directions; i.e. J2 flexion-J3 extension (hetero-directional neurones). 6. The origin of the different modalities of sensory responses has been interpreted according to the localization of the sensory neurones on the CO J2-J3 sheet. 7. CO J2-J3 sensory information is compared with that observed in other chordotonal organs and its role in controlling joint position and movement is discussed. ¬© 1982 Springer-Verlag.</t>
  </si>
  <si>
    <t>505-516</t>
  </si>
  <si>
    <t>100328439;100328439</t>
  </si>
  <si>
    <t>6603211907;7006646532</t>
  </si>
  <si>
    <t>Rossi-Durand, C.;Vedel, J. P.</t>
  </si>
  <si>
    <t>Marseille</t>
  </si>
  <si>
    <t>INP-CNRS</t>
  </si>
  <si>
    <t>Rossi-Durand C.</t>
  </si>
  <si>
    <t>Antennal proprioception in the rock lobster Palinurus vulgaris: Anatomy and physiology of a bi-articular chordotonal organ</t>
  </si>
  <si>
    <t>10.1007/BF00612816</t>
  </si>
  <si>
    <t>2-s2.0-0006948154</t>
  </si>
  <si>
    <t>['two problems', 'two challenges', 'thin films', 'receive modules', 'noise enhancers', 'msw stacks', 'msw devices', 'microwave frequencies', 'materials research', 'magnetostatic wave', 'large number', 'improved theory', 'frequency separators', 'existing system', 'elements involved', 'dispersion control', 'compressive receivers', 'competing technologies', 'adaptive antennas']</t>
  </si>
  <si>
    <t>Microwave magnetics technology is faced with two challenges: the development of an analog signal processing capability directly at microwave frequencies, and development of electronically tunable nanosecond time delays for phased array antennas. The focus is on these two problems from the point of view of magnetostatic wave (MSW) technology in thin films such as liquid phase epitaxy yttrium iron garnet. An assessment is made of MSW devices, their role in realizing wideband phased arrays, and how MSW stacks up against competing technologies. Important devices include oscillators, signal to noise enhancers, frequency separators, filters, tunable time delays, and compressive receivers. One MSW device, a simultaneous pulse separator, is now scheduled to be incorporated into an existing system. This is a first for MSW. Although it is encouraging, much work remains in the areas of materials research, dispersion control, nonuniform biasing fields, and improved theory. The largest payoff may well be in phased array antennas due to the large number of elements involved. Some of the requirements for phased array antennas, including solid state transmit/receive modules and adaptive antennas, are addressed.</t>
  </si>
  <si>
    <t>2646-2651</t>
  </si>
  <si>
    <t>Journal of Applied Physics</t>
  </si>
  <si>
    <t>Sethares, J. C.</t>
  </si>
  <si>
    <t>Sethares J.C.</t>
  </si>
  <si>
    <t>Magnetostatic wave devices and applications (invited)</t>
  </si>
  <si>
    <t>10.1063/1.330926</t>
  </si>
  <si>
    <t>2-s2.0-0019537818</t>
  </si>
  <si>
    <t>['simplest view', 'results indicate', 'relevant factor', 'primordial group', 'primordia depending', 'one structure', 'mesothoracic leg', 'homoeotic mutations', 'homoeotic mutants', 'genetic address', 'essentially normal', 'drosophila lead', 'different positions', 'developmental alternatives', 'bithorax produces', 'bithorax genes', 'anterior haltere', 'antennapedia1 replaces', 'antennapedia locus']</t>
  </si>
  <si>
    <t>Homoeotic mutations of Drosophila lead to the replacement of one structure by another, for example, Antennapedia1 replaces the antenna with a mesothoracic leg and bithorax produces an anterior wing instead of the anterior haltere. The transformed structures differentiated by the homoeotic mutants are essentially normal - Only the position in which they appear is abnormal. The mutant phenotypes suggest that in normal development homoeotic genes are involved in developmental alternatives and contribute to a genetic address that defines the particular developmental pathway taken by a primordial group of cells2-5. Thus, in the absence of homoeotic gene function, primordia in different positions should follow the same basic developmental pathway. This is indeed the case for embryos that show no activity of bithorax genes; thoracic and abdominal segments develop as mesothorax6. The simplest view on homoeotic gene function is that the genes act selectively on primordia depending on their position in the embryo. To test this hypothesis, we used a mutation at the Antennapedia locus, Antp73b, which transforms the antenna into a mesothoracic leg, and we observed the function of the homoeotic genes engrailed and Ultrabithorax in two apparently morphologically identical appendages which develop from primordia in different positions. Our results indicate that position is the relevant factor in the function of these two homoeotic genes. ¬© 1982 Nature Publishing Group.</t>
  </si>
  <si>
    <t>191-192</t>
  </si>
  <si>
    <t>60018505;60018505</t>
  </si>
  <si>
    <t>7005042080;55986984200</t>
  </si>
  <si>
    <t>Morata, Gines;Kerridge, Stephen</t>
  </si>
  <si>
    <t>CSIC-UAM - Centro de Biolog√≠a Molecular Severo Ochoa (CBM)</t>
  </si>
  <si>
    <t>Morata G.</t>
  </si>
  <si>
    <t>The role of position in determining homoeotic gene function in Drosophila</t>
  </si>
  <si>
    <t>10.1038/300191a0</t>
  </si>
  <si>
    <t>2-s2.0-0019942982</t>
  </si>
  <si>
    <t>['verified experimentally', 'ti 64', 'suspension consists', 'stresses applied', 'new suspension', 'mechanical filter', 'cantilever beams', 'attenuation depends', 'angular frequency', 'al 5056', '1 khz']</t>
  </si>
  <si>
    <t>We discuss here the design of a new suspension for Weber-type gravitational wave antennas. The suspension consists of cantilever beams and operates as a mechanical filter for the external mechanical noise. The attenuation of the filter and the stresses applied on the antenna are computed and verified experimentally. When the filter is optimized, the attenuation depends on the value of an angular frequency, œâc, characteristic of the material of the beams. Attenuation of the order of 10-6-10 -7 can be obtained at 1 KHz for a 1000-kg antenna using materials with good anelastic behavior such as Al 5056 and Ti 64.</t>
  </si>
  <si>
    <t>148-153</t>
  </si>
  <si>
    <t>Review of Scientific Instruments</t>
  </si>
  <si>
    <t>Coccia, Eugenio</t>
  </si>
  <si>
    <t>Coccia E.</t>
  </si>
  <si>
    <t>Mechanical filter for the suspension of gravitational wave antennas</t>
  </si>
  <si>
    <t>10.1063/1.1136943</t>
  </si>
  <si>
    <t>2-s2.0-0020090989</t>
  </si>
  <si>
    <t>['time analysis', 'system described', 'preset threshold', 'permanent record', 'optimal filtering', 'numerical values', 'microprocessor system', 'large events', 'easily correlated', 'detail using', 'data presented', 'condensed summary', 'cm2 hz', 'chart recorder', 'antenna signal', 'antenna history', '710 hz', '5 days', '105 erg']</t>
  </si>
  <si>
    <t>Real-time analysis of a gravitational wave detector signal yields a condensed summary of the antenna history in the system described here. Optimal filtering is performed on the antenna signal and impulses above a preset threshold are recorded in detail using a microprocessor system. Histograms are made of the optimal filter output and of the long-term Brownian motion of the antenna. A permanent record of the large events is made on a chart recorder and a teletype, giving the details of the event pulse shape as well as numerical values of the energy and the time of the event. This provides a record of any large events in a form that can be easily correlated with data from other experiments. No events were recorded above 113 gravitational pulse units (105 erg/cm2 Hz) at 710 Hz in the 39.5 days of data presented here.</t>
  </si>
  <si>
    <t>479-484</t>
  </si>
  <si>
    <t>Brown B.</t>
  </si>
  <si>
    <t>Real-time analysis system for a gravitational wave antenna</t>
  </si>
  <si>
    <t>10.1063/1.1136994</t>
  </si>
  <si>
    <t>2-s2.0-0020116030</t>
  </si>
  <si>
    <t>['quality factor', 'nb system', 'mode 50', 'kg antenna', 'fluctuations resulting', 'acoustic losses', '5 k', '15 k', '05 k']</t>
  </si>
  <si>
    <t>A three-mode 50-kg gravitational radiation antenna has been tested in the temperature range 5-15 K. Acoustic losses in the Al-Nb system are estimated. Projections are made for the quality factor of each mode of a 1500-kg antenna. The fluctuations resulting from the thermal noise sources associated with the projected mechanical damping are estimated at 1.5x10-5 K in a system at 0.05 K.</t>
  </si>
  <si>
    <t>674-677</t>
  </si>
  <si>
    <t>60032350;60020304</t>
  </si>
  <si>
    <t>56236475400;16437065300</t>
  </si>
  <si>
    <t>Cosmelli, C.;Richard, J. P.</t>
  </si>
  <si>
    <t>Italy;United States</t>
  </si>
  <si>
    <t>Rome;College Park</t>
  </si>
  <si>
    <t>Sapienza Universit√† di Roma;University of Maryland, College Park</t>
  </si>
  <si>
    <t>Cosmelli C.</t>
  </si>
  <si>
    <t>Quality factors of a three-mode 50-kg gravitational radiation antenna at liquid helium temperature</t>
  </si>
  <si>
    <t>10.1063/1.1137040</t>
  </si>
  <si>
    <t>2-s2.0-0020127927</t>
  </si>
  <si>
    <t>['wave antennae', 'scattering cross', 'scattering characteristics', 'high frequency', 'electrical properties', 'dipole elements', 'dipole antennae', 'couple energy', 'also investigated', '891 ghz', '337 mu']</t>
  </si>
  <si>
    <t>The properties of parasitically coupled standing-wave antennae on thin dielectric substrates have been studied from their scattering characteristics at 891 GHz (337 mu m). Measurements of total and back-scattering cross-sections on arrays of dipole antennae are described. Arrays of dipole elements, in which each element is terminated by a length of short-circuited coplanar transmission line, are also investigated. The electrical properties of the coplanar transmission lines are found and the ability of standing-wave antennae to couple energy to them efficiently at this high frequency is verified.</t>
  </si>
  <si>
    <t>1637-1650</t>
  </si>
  <si>
    <t>Journal of Physics D: Applied Physics</t>
  </si>
  <si>
    <t>60020595;60020595</t>
  </si>
  <si>
    <t>Submillimetre scattering antennae</t>
  </si>
  <si>
    <t>10.1088/0022-3727/15/9/007</t>
  </si>
  <si>
    <t>2-s2.0-0020186367</t>
  </si>
  <si>
    <t>['wave structure', 'periodic slow', 'line slow', 'good launcher', 'directly observed', 'characteristic impedance']</t>
  </si>
  <si>
    <t>A meander-line slow-wave structure was found to be a good launcher of a traveling lower hybrid wave with a large longitudinal retardation. The antenna analysis without plasma loading gives good approximations for the characteristic impedance and the longitudinal retardation even if the plasma is loaded. The space harmonics wave, which characterizes a periodic slow-wave structure, was directly observed.</t>
  </si>
  <si>
    <t>6693-6698</t>
  </si>
  <si>
    <t>60000264;60000264;60000264</t>
  </si>
  <si>
    <t>55722395200;7102111483;36057196100</t>
  </si>
  <si>
    <t>Takahashi, T.;Takamura, S.;Okuda, T.</t>
  </si>
  <si>
    <t>Nagoya</t>
  </si>
  <si>
    <t>Nagoya University</t>
  </si>
  <si>
    <t>Takahashi T.</t>
  </si>
  <si>
    <t>Meander-line slow-wave antenna for launching lower hybrid waves in a plasma</t>
  </si>
  <si>
    <t>10.1063/1.330052</t>
  </si>
  <si>
    <t>2-s2.0-0020193385</t>
  </si>
  <si>
    <t>['wraparound coil', 'two solenoids', 'similar conditions', 'quadrupole coil', 'proton energies', 'new design', 'new coil', 'magnetic bottle', 'judged superior', 'faraday cup', 'escape cone', 'energy protons', 'compared experimentally', '380 ev']</t>
  </si>
  <si>
    <t>The ability of a quadrupole coil, an antenna, of new design for the production of high-energy protons in a plasma has been compared experimentally with that of a conventional wraparound coil. The energies of the protons in the escape cone of a magnetic bottle were measured by a Faraday cup. The antennas were placed alternately midway between the two solenoids and operated in resonance under similar conditions. Proton energies of 380 eV were attained with the new quadrupole coil, a value more than twice that obtained by the wraparound coil. Thus, the new coil is judged superior for the purpose of ion cyclotron resonance heating.</t>
  </si>
  <si>
    <t>1693-1695</t>
  </si>
  <si>
    <t>60010100;60010100;60010100;105236478</t>
  </si>
  <si>
    <t>14038145000;6603735825;7006681423;7401483217</t>
  </si>
  <si>
    <t>Roychowdhury, U. K.;Venugopalan, M.;Pool, M. L.;Graham, Robert</t>
  </si>
  <si>
    <t>Macomb;Carlsbad</t>
  </si>
  <si>
    <t>Western Illinois University;Graham International, Inc.</t>
  </si>
  <si>
    <t>60010100;105236478</t>
  </si>
  <si>
    <t>Roychowdhury U.</t>
  </si>
  <si>
    <t>Comparison of two types of antennas for plasma heating</t>
  </si>
  <si>
    <t>10.1063/1.1136872</t>
  </si>
  <si>
    <t>2-s2.0-0020203366</t>
  </si>
  <si>
    <t>['√± e', 'wave number', 'theoretical expectations', 'scattering measurements', 'scattered power', 'radial direction', 'locked loop', 'heterodyne receiver', 'helical antenna', 'frequency stabilized', 'frequency resolution', 'frequency fluctuation', 'externally excited', 'excited wave', 'electrostatic probe', 'always consistent', 'absolute value', '19 w', '10 khz']</t>
  </si>
  <si>
    <t>The frequency stabilized, low-noise heterodyne receiver is developed for microwave scattering measurements in a plasma. Its application to the observation of a lower hybrid wave (LHW) externally excited in a linear test plasma is demonstrated. The frequency fluctuation of 70 GHz klystrons employed for scattering measurements is stabilized by the phase-locked loop. The frequency resolution of the receiver is about 10 kHz and its noise equivalent power is about 7√ó10-19 W/Hz, corresponding to the minimum detectable density fluctuation √±e/ nÃÑe=6√ó10-5 under present experimental conditions. By the scattering of 70 GHz millimeter waves using this heterodyne receiver, LHW externally excited by the helical antenna can be detected. The spatial intensity distribution and the wave number spectrum of the scattered power are obtained. These observations make clear not only the magnitude, but also the direction of the wave number of the excited wave. The observed wave numbers in the several scattering positions over the plasma cross section are almost in the radial direction but not always consistent with the theoretical expectations. Their magnitudes are close to those determined from the auxiliary measurements using an electrostatic probe. The density fluctuation obtained from the absolute value of the scattered power is about √±e/nÃÑe=5√ó10-4. The theoretical estimation gives √±e/nÃÑe= 2√ó10-3.</t>
  </si>
  <si>
    <t>1730-1737</t>
  </si>
  <si>
    <t>60000264;60000264;60000264;60000264</t>
  </si>
  <si>
    <t>7007048412;36983527300;7102111483;36057196100</t>
  </si>
  <si>
    <t>Uesugi, Y.;Itoh, T.;Takamura, S.;Okuda, T.</t>
  </si>
  <si>
    <t>Uesugi Y.</t>
  </si>
  <si>
    <t>Phase-locked heterodyne receiver and its application to lower hybrid wave detection by microwave scattering</t>
  </si>
  <si>
    <t>10.1063/1.1136888</t>
  </si>
  <si>
    <t>2-s2.0-0020205023</t>
  </si>
  <si>
    <t>['solid tumors', 'safely used', 'safely achieved', 'repetively applied', 'relatively hypoxic', 'radical surgery', 'radiation therapy', 'primary resection', 'patients younger', 'otherwise resistant', 'operating microscope', 'offered reoperation', 'nondividing cells', 'malignant astrocytoma', 'laser prior', 'induced hyperthermia', 'individual compartments', 'hyperthermia via', 'glioblastoma multiforme', 'genetic properties', 'experimental agents', 'dimethyl sulfoxide', 'different morphologic', 'consecutive series', 'cell types', 'broad spectrum', 'brain barrier', 'animals could', '40 years', '2 chloroethyl']</t>
  </si>
  <si>
    <t>Glioblastoma multiforme is composed of multiple cellular compartments with different morphologic, kinetic, metabolic, vascular, and genetic properties. Optimal therapy may consist of a variety of therapeutic strategies designed for individual compartments, administered in close temporal relation. These concepts may turn out to be valid for other solid tumors as well. Microwave-induced hyperthermia can be used to treat metabolically quiescent, relatively hypoxic, nondividing cells (G0) otherwise resistant to radiation and chemotherapy. Similarly, polychemotherapy can treat a broad spectrum of cell types if the blood-brain barrier can be circumvented. Radical surgery, repetively applied, can be safely used to 'set up' experimental agents if the operating microscope and laser are employed. A consecutive series of 74 adult patients with malignant astrocytoma were treated with primary resection, radiation therapy, and 1,3,-bis(2 chloroethyl) 1 nitrosourea chemotherapy. At recurrence, all patients were offered reoperation with the microscope and the laser prior to administration of phase-I agents - hyperthermia via and implantable miniature microwave antenna (6 cases); aziridinylbenzoquinone chemotherapy (13 cases); and blood-brain barrier reversal with dimethyl sulfoxide (DMSO) and polychemotherapy (9 cases). It was concluded that temperatures of 45¬∞C could be safely achieved and human tumors could not efficiently dissipate heat, that DMSO plus drug therapy could be tolerated but blood-brain barrier reversal demonstrated by us in animals could not be shown in humans; and that aggressive multimodality therapy and reoperation could produce a 40% 2-year survival rate for patients younger than 40 years.</t>
  </si>
  <si>
    <t>250-259</t>
  </si>
  <si>
    <t>Surgery</t>
  </si>
  <si>
    <t>60004123;60004123;60004123;;</t>
  </si>
  <si>
    <t>7007030572;7403162716;36797242400;7005457441;7003823014</t>
  </si>
  <si>
    <t>Salcman, M.;Kaplan, R. S.;Samaras, G. M.;Ducker, T. B.;Broadwell, R. D.</t>
  </si>
  <si>
    <t>University of Maryland Medical Center</t>
  </si>
  <si>
    <t>Salcman M.</t>
  </si>
  <si>
    <t>Aggressive multimodality therapy based on a multicompartmental model of glioblastoma</t>
  </si>
  <si>
    <t>2-s2.0-0020284586</t>
  </si>
  <si>
    <t>['stronger indication', 'strong resonance', 'physical parameters', 'like behavior', 'irradiation antenna', 'effects depend', 'better understanding']</t>
  </si>
  <si>
    <t>It is reaffirmed that there are changes in yeast growth rate, caused by low intensity microwave irradiation. These effects depend on frequency, showing a strong resonance-like behavior, and are not correlated to the microwave power used. These effects are not explainable in terms of simple thermal response. To continue this investigation, the geometry of the irradiation antenna and also further dependent biological parameters should be changed both in order to get a stronger indication of the influence of the physical parameters and a better understanding of the resulting biological reactions.</t>
  </si>
  <si>
    <t>206-208</t>
  </si>
  <si>
    <t>Suppl. 5</t>
  </si>
  <si>
    <t>British Journal of Cancer</t>
  </si>
  <si>
    <t>100445216;100445216;100445216;100445216</t>
  </si>
  <si>
    <t>6701653683;24561474600;6504480626;57224279996</t>
  </si>
  <si>
    <t>Grundler, W.;Keilmann, F.;Putterlik, V.;Strube, D.</t>
  </si>
  <si>
    <t>Oberschleissheim</t>
  </si>
  <si>
    <t>Gesellsch. Strah. Umweltforsch. mbH</t>
  </si>
  <si>
    <t>Grundler W.</t>
  </si>
  <si>
    <t>Resonant-like dependence of yeast growth rate on microwave frequencies</t>
  </si>
  <si>
    <t>2-s2.0-0020323340</t>
  </si>
  <si>
    <t>['unlike several', 'thereby indicating', 'step screen', 'specifying antennal', 'small deficiency', 'relative position', 'mutations result', 'leg development', 'homeotic genes', 'either side', 'distal region', 'distal portion', 'distal leg', 'distal antenna', 'developmental compartment', 'cells defined', 'aristapedia locus', 'aristapedia gene']</t>
  </si>
  <si>
    <t>A two-step screen for isolating null mutations of the spineless-aristapedia locus has been performed, and several amorphic mutations, as well as a small deficiency, have been obtained. With the exception of the deficiency, which deletes genes required for viability on either side of the spineless-aristapedia locus, these mutations result in a transformation of only the distal antenna into distal leg, thereby indicating that the spineless-aristapedia gene is required for specifying antennal as opposed to leg development in only the distal portion of the antenna. Because this distal region does not appear to be a developmental compartment, it is probable that the spineless-aristapedia gene, unlike several other homeotic genes, is required for maintaining the correct determined state in a population of cells defined by their relative position, not by their ancestry.</t>
  </si>
  <si>
    <t>737-749</t>
  </si>
  <si>
    <t>Genetics</t>
  </si>
  <si>
    <t>Struhl, G.</t>
  </si>
  <si>
    <t>The Medical Research Council Laboratory of Molecular Biology</t>
  </si>
  <si>
    <t>Struhl G.</t>
  </si>
  <si>
    <t>Spineless-aristapedia: A homeotic gene that does not control the development of specific compartments in drosophila</t>
  </si>
  <si>
    <t>2-s2.0-0020412858</t>
  </si>
  <si>
    <t>523-537</t>
  </si>
  <si>
    <t>Progress in clinical and biological research</t>
  </si>
  <si>
    <t>6701488291;6701592257;57197554583;7004386647</t>
  </si>
  <si>
    <t>Edenhofer, P.;Gr√ºner, K.;Steiner, H.;S√ºss, H.</t>
  </si>
  <si>
    <t>Edenhofer P.</t>
  </si>
  <si>
    <t>Near-field characteristics of antenna sensors for microwave diagnosis: preliminary results of multispectral radiometric experiments.</t>
  </si>
  <si>
    <t>2-s2.0-0020430422</t>
  </si>
  <si>
    <t>['phrenic nerves', 'breathing difficulties']</t>
  </si>
  <si>
    <t>After an accident a 42 yr old male had severe low cervical paraplegia with breathing difficulties. Internally placed electrodes near the phrenic nerves with antennae made via an external means regulated stimulation possible.</t>
  </si>
  <si>
    <t>Physiotherapy</t>
  </si>
  <si>
    <t>60021923;60021923</t>
  </si>
  <si>
    <t>7102262086;57212977612</t>
  </si>
  <si>
    <t>Collier, P. S.;Wakeling, L. M.</t>
  </si>
  <si>
    <t>King's College Hospital</t>
  </si>
  <si>
    <t>Collier P.S.</t>
  </si>
  <si>
    <t>Diaphragmatic pacing. A new procedure for high spinal cord lesions</t>
  </si>
  <si>
    <t>2-s2.0-0020472904</t>
  </si>
  <si>
    <t>['two pairs', 'study pathfinding', 'single pair', 'since harrison', 'second pair', 'relatively simple', 'peripheral pathfinding', 'nervous system', 'monoclonal antibody', 'limb buds', 'later neurones', 'large array', 'keshishian3 confirmed', 'initial observations1', 'increasing evidence', 'highly accessible', 'growth cones', 'grasshopper embryos', 'first pathways5', 'first pathways', 'erected upon', 'embryonic development', 'earlier reports', 'cells responsible', 'axonal scaffold', 'axonal pathways', 'attractive preparation', 'appropriate targets', 'also described4']</t>
  </si>
  <si>
    <t>During embryonic development, neuronal growth cones traverse long distances along stereotyped pathways to arrive at their appropriate targets. Since Harrison's initial observations1, increasing evidence has supported the notion that axonal pathways are "pioneered" early in development when the distances are short and the terrain relatively simple; thus an axonal scaffold is erected upon which later neurones can navigate. Grasshopper embryos have emerged as an attractive preparation in which to study pathfinding because the nervous system is relatively simple, and the individual identified neurones in the periphery and central nervous system (CNS) of the embryo are large and highly accessible. How are the first axonal pathways established between the periphery and CNS? Bate2 has described a single pair of cells in the limb buds, and two pairs in the antennae, which were thought to establish the very first peripheral pathways over distances of several hundred micrometres from the periphery to CNS; he called these pairs of cells 'pioneer neurones'. Keshishian3 confirmed this finding and also described4 a second pair of pioneers in the limb buds. We report here a further analysis of peripheral pathfinding in the grasshopper embryo using a monoclonal antibody, called I-5, which stains the cells responsible for establishing the first pathways5,6. In contrast to the earlier reports, we find a large array of peripheral cells responsible for establishing the first pathways, with both pathfinders and landmark cells spaced at short intervals along the route. Furthermore, growth cones from central motoneurones make important contributions to the first peripheral pathways6. ¬© 1982 Nature Publishing Group.</t>
  </si>
  <si>
    <t>404-406</t>
  </si>
  <si>
    <t>60012708;60012708</t>
  </si>
  <si>
    <t>7201453487;7202269307</t>
  </si>
  <si>
    <t>Ho, Robert K.;Goodman, Corey S.</t>
  </si>
  <si>
    <t>Ho R.K.</t>
  </si>
  <si>
    <t>Peripheral pathways are pioneered by an array of central and peripheral neurones in grasshopper embryos</t>
  </si>
  <si>
    <t>10.1038/297404a0</t>
  </si>
  <si>
    <t>2-s2.0-0020474115</t>
  </si>
  <si>
    <t>['sb thermocouple', 'novel self', 'monolithic antennas', 'make microbolometers', 'lower 1', 'infrared detection', 'imaging arrays', 'heated bi', 'f noise', 'bridge technique', '150 khz']</t>
  </si>
  <si>
    <t>A novel self-heated Bi-Sb thermocouple for far-infrared detection has been developed. The detector is suitable for integration with monolithic antennas and imaging arrays. The device is fabricated in a single photolithography masking step using a photoresist-bridge technique. This bridge technique has also been used to make microbolometers with lower 1/f noise than those made by two conventional masking steps. The thermocouples have a noise equivalent power (NEP) of 7√ó10-10 W/(Hz) and a 3-dB frequency response of 150 kHz.</t>
  </si>
  <si>
    <t>400-402</t>
  </si>
  <si>
    <t>7006694199;7102803490</t>
  </si>
  <si>
    <t>Neikirk, Dean P.;Rutledge, David B.</t>
  </si>
  <si>
    <t>Self-heated thermocouples for far-infrared detection</t>
  </si>
  <si>
    <t>10.1063/1.93554</t>
  </si>
  <si>
    <t>2-s2.0-0344457718</t>
  </si>
  <si>
    <t>['tokamak plasmas', 'ray equations', 'radial reflections', 'plasma core', 'particular attention', 'lower hybrid', 'hf waves', 'hf heating', 'eikonal approximation', 'authors discuss']</t>
  </si>
  <si>
    <t>The authors discuss the use of the Eikonal approximation to describe the propagation and absorption of HF waves in toroidally confined plasmas. Particular attention is devoted to the derivation of a power transport equation in agreement with conservation of energy, and to the formulation of appropriate boundary conditions when the waves are launched by electrically short antennas. The ray equations are then applied to investigate the occurrence of radial reflections, which can affect the accessibility of the plasma core to HF heating; examples are given for waves in the Lower Hybrid and in the Ion Cyclotron frequency ranges. Finally, the use of the power transport equation for the evaluation of power deposition profiles during HF heating of Tokamak plasmas is illustrated by the example of Lower Hybrid waves launched by a phased waveguide array.</t>
  </si>
  <si>
    <t>1187-1218</t>
  </si>
  <si>
    <t>7005473290;7003552802</t>
  </si>
  <si>
    <t>Brambilla, M.;Cardinali, A.</t>
  </si>
  <si>
    <t>Brambilla M.</t>
  </si>
  <si>
    <t>Eikonal description of H.F. waves in toroidal plasmas</t>
  </si>
  <si>
    <t>10.1088/0032-1028/24/10/001</t>
  </si>
  <si>
    <t>2-s2.0-0345590058</t>
  </si>
  <si>
    <t>['shown experimentally', 'qualitative agreement', 'plasma loading', 'magnetic field', 'helical antenna', 'excite lhw']</t>
  </si>
  <si>
    <t>The characteristics of a helical antenna employed for excitation of lower hybrid waves (LHW) in a plasma are investigated. The helical antenna is constructed by winding a cable on a glass discharge tube. It is shown experimentally that the helical antenna can excite LHW in a wide frequency range and with arbitrary refractive index parallel to the magnetic field. An increase of the longitudinal refractive index due to plasma loading is observed and analyzed by transmission line theory. Qualitative agreement is obtained between theory and experiment.</t>
  </si>
  <si>
    <t>369-387</t>
  </si>
  <si>
    <t>7007048412;7102111483;36057196100</t>
  </si>
  <si>
    <t>Uesugi, Y.;Takamura, S.;Okuda, T.</t>
  </si>
  <si>
    <t>Helical slow wave antenna for launching lower hybrid waves in a plasma</t>
  </si>
  <si>
    <t>10.1088/0032-1028/24/4/003</t>
  </si>
  <si>
    <t>2-s2.0-2242476580</t>
  </si>
  <si>
    <t>['superthermal velocity', 'point source', 'plasma frequency', 'near field', 'absorbing medium']</t>
  </si>
  <si>
    <t>The near field of a point source (antenna), excited at a fixed frequency greater than the plasma frequency is studied in a Maxwellian plasma streaming at superthermal velocity. In particular, the downstream-upstream asymmetry reveals the structure of the Cherenkov 'cone' in a dispersive and absorbing medium.</t>
  </si>
  <si>
    <t>577-583</t>
  </si>
  <si>
    <t>Fiala, V.</t>
  </si>
  <si>
    <t>Czech Republic</t>
  </si>
  <si>
    <t>Prague</t>
  </si>
  <si>
    <t>Geophysical Institute, Prague</t>
  </si>
  <si>
    <t>Fiala V.</t>
  </si>
  <si>
    <t>Asymmetry of the harmonic source field in plasma streaming at superthermal velocity</t>
  </si>
  <si>
    <t>10.1088/0032-1028/24/5/011</t>
  </si>
  <si>
    <t>2-s2.0-34249687106</t>
  </si>
  <si>
    <t>['¬© 1982', 'usually exhibit', 'two orders', 'strong events', 'main peaks', 'low frequencies', 'energy received', 'earth increases', 'based frequencies', '5 mhz', '2 hz', '12 wm', '100 khz', '1 mhz']</t>
  </si>
  <si>
    <t>The spectra of strong bursts observed at low frequencies by OGO-5 during 1968-1970 are presented. They usually exhibit an intense main peak between 100 kHz and 1 MHz, and sometimes a less intense secondary peak between 1 and 3.5 MHz. Main peaks of 10-12 Wm-2 Hz-1 or more were obtained in very strong events, but because of antenna calibration problems those could be one or two orders of magnitude too high. Recently published work supports the finding that type III bursts at low frequencies can be at least four orders of magnitude more intense than at ground-based frequencies of observation. It is found that the energy received at the Earth increases with decreasing frequency approximately as f-n, where 3 ‚â≤ n ‚â≤ 4. ¬© 1982 D. Reidel Publishing Co.</t>
  </si>
  <si>
    <t>355-362</t>
  </si>
  <si>
    <t>Alvarez, H√©ctor</t>
  </si>
  <si>
    <t>Chile</t>
  </si>
  <si>
    <t>Santiago</t>
  </si>
  <si>
    <t>Universidad de Chile</t>
  </si>
  <si>
    <t>Alvarez H.</t>
  </si>
  <si>
    <t>On the spectra of type-III solar radio bursts observed at low frequencies</t>
  </si>
  <si>
    <t>10.1007/BF00151307</t>
  </si>
  <si>
    <t>2-s2.0-34250227048</t>
  </si>
  <si>
    <t>['solubilized thylakoids', 'resol analyses', 'reaction centers', 'ps ii', 'p700 content', 'nearly 70', 'limited plants', 'less mutant', 'latter method', 'junk publishers', 'intermittent light', 'gel electrophoresis', 'fully functional', 'electrophoretic position', 'dr w', 'detergent treatment', 'dcip reduction', 'barley grown', 'absorption spectra', 'abnormal arrangement', '77 k', '710 nm']</t>
  </si>
  <si>
    <t>absorption | ehlorophyll-proteins | fluorescence | photosynthesis | spectral curve analysis</t>
  </si>
  <si>
    <t>The chlorophyll a antenna of photosystems I and II were each isolated after detergent treatment by gel electrophoresis or sucrose gradient centrifugation from a b-less mutant of barley grown in daylight and from wildtype barley developed in intermittent light. We identified each fraction by both its electrophoretic position and PS I activity (P700 content) in the case of the mutant, and by both PS I and PS II activity (DCIP reduction from DPC) in the light-limited plants. The proportion of Chl a in each photosystem was estimated from the amount in each gel or sucrose gradient band, and from addition of the areas under the absorption spectra (650-710 nm) of each fraction to match the spectrum of the solubilized thylakoids. The latter method was possible because the spectrum (77 K) of each fraction was unique; in the mutant about 70% of chlorophyll is associated with PS I and 30% with PS II. In the light-limited plants, the reverse is true with nearly 70% associated with PS II. RESOL analyses of both absorption and fluorescence emission spectra of all isolated fractions indicated an abnormal arrangement of antenna chlorophyll molecules in the light-limited, developing membranes even though their reaction centers are fully functional. ¬© 1982 Martinus Nijhoff/Dr W. Junk Publishers.</t>
  </si>
  <si>
    <t>279-291</t>
  </si>
  <si>
    <t>60024613;60024613;60024613</t>
  </si>
  <si>
    <t>7409449087;7406781037;7003617788</t>
  </si>
  <si>
    <t>Brown, Jeanette S.;Anderson, Jan M.;Grimme, L. Horst</t>
  </si>
  <si>
    <t>Carnegie Institution of Washington</t>
  </si>
  <si>
    <t>Brown J.</t>
  </si>
  <si>
    <t>Antenna chlorophyll a complexes in mutant and developing barley</t>
  </si>
  <si>
    <t>10.1007/BF00034109</t>
  </si>
  <si>
    <t>2-s2.0-34250233491</t>
  </si>
  <si>
    <t>['traps baited', 'three species', 'studies demonstrated', 'significantly greater', 'response functions', 'rachiplusia ou', 'ou males', 'ou antennae', 'ol acetate', 'noctuidae ).', 'male p', 'lure captured', 'latter demonstrating', 'guenn √©)', 'greater rate', 'electrophysiological responses', '1000 œºg', '100 œºg']</t>
  </si>
  <si>
    <t>Efficacy | electroantennogram | Lepidoptera | looplure | Noctuidae | pheromone | Pseudoplusia includens | Rachiplusia ou | response threshold | sex attractant | trapping | Trichoplusia ni</t>
  </si>
  <si>
    <t>Source concentration differences of (Z)-7-dodecen-1-ol acetate, or looplure, were evaluated for field trapping efficiency and electrophysiological responses with male Pseudoplusia includens (Walker), Trichoplusia ni (Hubner) and Rachiplusia ou (Guenn√©) (Lepidoptera: Noctuidae). Sticky traps baited with 1000 Œºg of the lure captured a significantly greater (P &lt; 0.05) number of male P. includens and T. ni than any other concentration;R. ou males were caught at a greater rate in traps baited with 100 Œºg of looplure, significantly more (P &lt; 0.05) than with 1000 Œºg. Electroantennogram (EAG) studies demonstrated that antennae of male P. includens have a lower response threshold to looplure than either T. ni or R. ou antennae, the latter demonstrating the highest significant threshold of response. No differences in the stimulus-response functions of the three species were detected. ¬© 1982 Plenum Publishing Corporation.</t>
  </si>
  <si>
    <t>1455-1462</t>
  </si>
  <si>
    <t>60007566;60007566</t>
  </si>
  <si>
    <t>7003286777;7102406627</t>
  </si>
  <si>
    <t>Alford, A. R.;Hammond, A. M.</t>
  </si>
  <si>
    <t>Baton Rouge</t>
  </si>
  <si>
    <t>Louisiana State University</t>
  </si>
  <si>
    <t>Alford A.</t>
  </si>
  <si>
    <t>Looplure efficacy and electrophysiological responses in three plusiinae species</t>
  </si>
  <si>
    <t>10.1007/BF00989102</t>
  </si>
  <si>
    <t>2-s2.0-34250233707</t>
  </si>
  <si>
    <t>['strongly affected', 'strong dependence', 'spatial distribution', 'resonant layer', 'resonance layer', 'magnetic shear', 'landau resonance', 'kinetic effects', 'heating efficiency', 'finite gyroradius', 'collisionless resistivity', 'beta effects', 'authors find', 'absorbed power']</t>
  </si>
  <si>
    <t>Propagation and absorption of kinetic shear Alfven wave, which is launched by a helical oscillating current sheet, are examined in a collisionless, current-carrying cylindrical plasma in sheared magnetic field. Kinetic effects, such as effects of the finite gyroradius, Landau resonance and collisionless resistivity, as well as finite- beta effects, density, temperature and current inhomogeneity effects are included. The authors find that the propagating shear Alfven wave excites drift wave around the resonant layer, and the wave is absorbed through Landau resonance. The propagation is strongly affected by the magnetic shear, and the spatial distribution of the absorbed power is determined by the kinetic effects near the resonance layer. The calculated coupling coefficient to the antenna and heating efficiency are found to have strong dependence on locations of antenna and shell.</t>
  </si>
  <si>
    <t>1027-1041</t>
  </si>
  <si>
    <t>60030788;;60030788</t>
  </si>
  <si>
    <t>35352798500;13306390500;57214923727</t>
  </si>
  <si>
    <t>Itoh, S. I.;Itoh, K.;Nishikawa, K.</t>
  </si>
  <si>
    <t>Itoh S.</t>
  </si>
  <si>
    <t>Kinetic Alfven wave propagation in cylindrical Tokamak</t>
  </si>
  <si>
    <t>10.1088/0032-1028/24/9/001</t>
  </si>
  <si>
    <t>2-s2.0-36149037753</t>
  </si>
  <si>
    <t>['untuned system', 'severe requirement', 'resonating capacitor', 'one imposed', 'mechanical oscillator', 'leading problems', 'existing transducers', 'electrical tuning', 'electrical losses', 'detailed calculation', 'amplifier noise']</t>
  </si>
  <si>
    <t>One of the leading problems in gravitational wave detection is the construction of an optimized transducer capable of reaching the predicted sensitivity limit set by the amplifier noise. Existing transducers, when used with ultra-low noise amplifiers, are far from this limit. In this paper, electrical tuning is proposed to improve the match between the mechanical oscillator and the amplifier in the case of an inductively coupled electromechanical transducer. A detailed calculation of the sensitivity of this device is carried out. This calculation shows substantial improvement over the untuned system. The requirement on the tuning is shown to be noncritical. The most severe requirement is the one imposed by the electrical losses in the resonating capacitor.</t>
  </si>
  <si>
    <t>3941-3946</t>
  </si>
  <si>
    <t>Narici, Livio</t>
  </si>
  <si>
    <t>Narici L.</t>
  </si>
  <si>
    <t>Electrically resonant transducer for a gravitational wave antenna</t>
  </si>
  <si>
    <t>10.1063/1.331280</t>
  </si>
  <si>
    <t>2-s2.0-36749108027</t>
  </si>
  <si>
    <t>['werthamer theory', 'rsj model', 'point contacts', 'performance comparable', 'also compare', '604 ghz', '496 œºm']</t>
  </si>
  <si>
    <t>We have measured the ac Josephson effect in small-area superconducting tunnel junctions at 604 GHz (Œª=496 Œºm) using a resonant planar dipole antenna to couple the radiation into the junction. In a 176-Œ© junction, we have observed up to the 7th Josephson step (at 8.75 mV), a performance comparable to that seen in point contacts. We also compare our data with the results of the RSJ model and of the Werthamer theory.</t>
  </si>
  <si>
    <t>883-885</t>
  </si>
  <si>
    <t>60009982;60009982;60009982</t>
  </si>
  <si>
    <t>7006711679;6701477947;16501091700</t>
  </si>
  <si>
    <t>Danchi, W. C.;Habbal, F.;Tinkham, M.</t>
  </si>
  <si>
    <t>Danchi W.</t>
  </si>
  <si>
    <t>Ac Josephson effect in small-area superconducting tunnel junctions at 604 GHz</t>
  </si>
  <si>
    <t>10.1063/1.93685</t>
  </si>
  <si>
    <t>2-s2.0-4344672107</t>
  </si>
  <si>
    <t>['¬© 1982', 'vascular bundles', 'three pigment', 'second derivatives', 'protein complexes', 'protein complex', 'photosystem ii', 'parenchymal sheath', 'higher plants', 'green algae', 'granal regions', 'fluorescence maximum', 'fluorescence band', 'chloroplast membrane', 'b .).', 'absorption spectra', '684 nm']</t>
  </si>
  <si>
    <t>The authors have studied the low temperature fluorescence spectra and second derivatives of the absorption spectra of chlorophyll in the leaves, chloroplasts of the mesophyll and the parenchymal sheath of the vascular bundles (s.v.b.). It is shown that in ontogenesis of chloroplasts of the s.v.b. of the leaves of Zea mays simultaneous with fall in the activity of the photosystem I and reduction of the granal regions the fluorescence maximum of chlorophyll at 695 nm falls. Change in this fluorescence band is associated with disturbance of the form of the chlorophyll a absorbing at 684 nm and acting as the antenna of the pigment-protein complex of photosystem II. The identity in the distribution of the forms of chlorophyll between the three pigment-protein complexes of the chloroplast membrane in green algae and higher plants is discussed. ¬© 1982.</t>
  </si>
  <si>
    <t>36-41</t>
  </si>
  <si>
    <t>Biophysics</t>
  </si>
  <si>
    <t>60021331;60021331</t>
  </si>
  <si>
    <t>7004713280;6602397741</t>
  </si>
  <si>
    <t>Ladygin, V. G.;Bil', K. Ya</t>
  </si>
  <si>
    <t>Moscow</t>
  </si>
  <si>
    <t>Russian Academy of Sciences</t>
  </si>
  <si>
    <t>Ladygin V.G.</t>
  </si>
  <si>
    <t>Antennal form of chlorophyll of photosystem II in chloroplasts</t>
  </si>
  <si>
    <t>2-s2.0-49049134312</t>
  </si>
  <si>
    <t>['¬© 1982', 'synchronous culture', 'strongly polarized', 'red region', 'reaction centre', 'ratio depends', 'polarization ratios', 'polarization ratio', 'photosystem ii', 'photosynthetic membrane', 'oriented samples', 'one component', 'f705 belongs', 'f685 belongs', 'emission predominantly', 'electron transition', 'dipole moment', 'delayed fluorescence', 'comparative investigation', 'chl a685', 'central component', 'c .)', 'bands f680', '.- ii']</t>
  </si>
  <si>
    <t>Comparative investigation of the dichroic and polarization ratios in the red region of the spectrum of oriented samples of a synchronous culture of Chlorella vulgaris showed that the main fluorescence band at room temperature consists of two principal components Chl a670680 and Chl a685 and a weakly marked component Chl a686705. The central component is the most strongly polarized (for F685 the value PF ‚â• 2). The components Chl a670680 and Chl a686705 form part of the light collecting complex (L.C.C.) whereas Chl a685 is incorporated into the structure of the pigment-protein complex II (P.P.C.-II). The delayed fluorescence is polarized in the plane of the photosynthetic membrane. Both differently polarized main components are represented both in variable and delayed fluorescence although their ratio depends on the character of the emission. The polarization ratio for delayed fluorescence indicates that the dipole moment of the electron transition of the pigment of the reaction centre (r.c.) of photosystem II (P.S.-II) lies in the plane of the photosynthetic. membrane. The heterogeneity of the emission of variable and delayed fluorescence in P.S.-II may be explained by the existence of two components differing in the ratio of the antenna to the r.c. One component (Œ±) represented in the emission predominantly by the bands F680 and F705 belongs to P.P.C.-II related by migration and structure to the L.C.C. while the other component (Œ≤) represented in the emission in the main by F685 belongs to P.P.C.-II apparently structurally separate from the bulk of the L.C.C. ¬© 1982.</t>
  </si>
  <si>
    <t>41-46</t>
  </si>
  <si>
    <t>24457335300;24459309400;6701647993</t>
  </si>
  <si>
    <t>Gulyayev, B. A.;Teten'kin, V. L.;Matorin, D. N.</t>
  </si>
  <si>
    <t>Gulyayev B.</t>
  </si>
  <si>
    <t>Polarization of rapid and delayed fluorescence of photosystem II</t>
  </si>
  <si>
    <t>000635098290165X</t>
  </si>
  <si>
    <t>2-s2.0-49049143230</t>
  </si>
  <si>
    <t>['plasma centre', 'mode helicity', 'magnetic field', 'low n', 'general features', 'first time', 'delta omega', 'alfven continuum', 'alfven absorption']</t>
  </si>
  <si>
    <t>Low power RF absorption experiments have been carried out on the TCA Tokamak using a complete toroidal antenna structure with ranges of frequency and wavelength such that the shear Alfven wave can be excited. The general features of the Alfven absorption are in agreement with predictions. Excitation of narrow resonance structures with Delta omega / omega &lt;5% has been observed for the first time. These resonances are attributed to low n-number kink modes close to the threshold of the Alfven continuum at the plasma centre. They are observed for mode helicity of the same sign as that of the magnetic field.</t>
  </si>
  <si>
    <t>893-902</t>
  </si>
  <si>
    <t>60028186;60028186;60028186;60028186;60028186;60028186;60028186;60028186;60028186</t>
  </si>
  <si>
    <t>7004142866;7102678604;6602620235;7202476002;6701703963;7401434652;6701862164;7201547237;22972829400</t>
  </si>
  <si>
    <t>De Chambrier, A.;Cheetham, A. D.;Heym, A.;Hofmann, F.;Joye, B.;Keller, R.;Lietti, A.;Lister, J. B.;Pochelon, A.</t>
  </si>
  <si>
    <t>De Chambrier A.</t>
  </si>
  <si>
    <t>Alfven wave coupling experiments of the TCA Tokamak</t>
  </si>
  <si>
    <t>10.1088/0032-1028/24/8/003</t>
  </si>
  <si>
    <t>2-s2.0-5844354257</t>
  </si>
  <si>
    <t>['¬© 1982', 'technique requires', 'station antennas', 'signal level', 'satellite loop', 'satellite communications', 'rights reserved', 'operational elevation', 'novel technique', 'electrical engineers', 'conventional techniques', 'antennas used', 'accurate crosscalibration']</t>
  </si>
  <si>
    <t>Gain measurement | Satellite communications</t>
  </si>
  <si>
    <t>A novel technique is proposed for the measurement of the gain of antennas used in earth stations involved in satellite communications. In principle the technique requires a standard-gain reference antenna, automatic level control over a satellite loop, and narrowband detection techniques. Advantages over conventional techniques (line-of-sight or radio star measurement) are claimed including stable received flux, measurement in situ at operational elevation, accurate crosscalibration with other earth-station antennas, and removal of the influence of propagation on the signal level. ¬© 1982, The Institution of Electrical Engineers. All rights reserved.</t>
  </si>
  <si>
    <t>1089-1090</t>
  </si>
  <si>
    <t>60012070;60012070</t>
  </si>
  <si>
    <t>7101813803;6507481578</t>
  </si>
  <si>
    <t>Daly, P.;Tits, D.</t>
  </si>
  <si>
    <t>Leeds</t>
  </si>
  <si>
    <t>University of Leeds</t>
  </si>
  <si>
    <t>Novel technique for antenna gain measurement in satellite earth stations</t>
  </si>
  <si>
    <t>10.1049/el:19820744</t>
  </si>
  <si>
    <t>2-s2.0-0020478391</t>
  </si>
  <si>
    <t>['¬© 1982', 'wave antenna', 'rights reserved', 'new type', 'millimetre waves', 'loss waveguide', 'groove guide', 'electrical engineers']</t>
  </si>
  <si>
    <t>Antennas | Groove guide | Leaky-wave antennas | Millimetre waves</t>
  </si>
  <si>
    <t>A new type of leaky-wave antenna, with a simple longitudinally continuous configuration, is described. The antenna is based on the groove guide, a low-loss waveguide for millimetre waves. ¬© 1982, The Institution of Electrical Engineers. All rights reserved.</t>
  </si>
  <si>
    <t>1105-1106</t>
  </si>
  <si>
    <t>60108318;60032350</t>
  </si>
  <si>
    <t>7005564352;7004439932</t>
  </si>
  <si>
    <t>Oliner, A. A.;Lampariello, P.</t>
  </si>
  <si>
    <t>United States;Italy</t>
  </si>
  <si>
    <t>New York;Rome</t>
  </si>
  <si>
    <t>NYU Tandon School of Engineering;Sapienza Universit√† di Roma</t>
  </si>
  <si>
    <t>Oliner A.</t>
  </si>
  <si>
    <t>Novel leaky-wave antenna for millimetre waves based on groove guide</t>
  </si>
  <si>
    <t>10.1049/el:19820754</t>
  </si>
  <si>
    <t>2-s2.0-0020478395</t>
  </si>
  <si>
    <t>['¬© 1982', 'simulate feeding', 'rights reserved', 'rectangular matrix', 'radio engineers', 'potential application', 'possible single', 'operational background', 'n examined', 'monopulse operation', 'monolithic array', 'millimetric sensor', 'lens antenna', 'conical scan', 'beam broadening', 'accurately model']</t>
  </si>
  <si>
    <t>Antennas | microwave</t>
  </si>
  <si>
    <t>The operational background and some of the possible single and dual lens antenna options for use in a millimetric sensor with approximately 3¬∞ beamwidth have n examined. A particular single lens antenna design gave a scan of more than ¬±3 beamwidths and compatibility with conical scan, beam broadening and monopulse operation. A dual lens antenna design was operated both with a single feed horn and with a rectangular matrix of plain waveguide radiators (with potential application in real time imaging). Good scan characteristics were obtained out to ¬±6 beamwidths with the single feed horn but the matrix feed assembly needed a group of elements to be fed in phase before equivalent performance could be obtained. The aim of the work was to simulate feeding the lens antenna with a monolithic array and whilst an array of waveguides can not accurately model all the properties of a monolithic array they are considered sufficiently representative to indicate some of the compromises that may have to be made. ¬© 1982, The Institution of Electronic and Radio Engineers. All rights reserved.</t>
  </si>
  <si>
    <t>551-558</t>
  </si>
  <si>
    <t>Dewey, R. J.</t>
  </si>
  <si>
    <t>Eindhoven</t>
  </si>
  <si>
    <t>Philips Research</t>
  </si>
  <si>
    <t>Dewey R.</t>
  </si>
  <si>
    <t>Design considerations for millimetre wave lens antennas</t>
  </si>
  <si>
    <t>10.1049/ree.1982.0080</t>
  </si>
  <si>
    <t>2-s2.0-0020206724</t>
  </si>
  <si>
    <t>['¬© 1982', 'substrate technology', 'submunition systems', 'strenuous efforts', 'size advantages', 'rights reserved', 'radio engineers', 'published literature', 'progress made', 'new generation', 'millimetre wavelengths', 'military requirements', 'growing interest', 'cost saving', 'conventional antennas', 'antenna types']</t>
  </si>
  <si>
    <t>Antennas | microstrip | military | planar. Waveguides | Radar</t>
  </si>
  <si>
    <t>The growing interest in the use of millimetre wavelengths for radar and communication systems stems principally from military requirements. Conventional component technology utilizing waveguides continues to feature but strenuous efforts are being made to devise new fabrication methods that lend themselves to further miniaturization, integration and cost saving. There is also a demand for a new generation of antenna types and this paper critically examines the progress made on planar antenna arrays using dielectric guides and substrate technology. Conclusions are reached on the feasibility of satisfying current system demands based throughout on published literature. It is conjectured that although the new planar devices have many performance shortcomings compared to conventional antennas, cost, weight and size advantages are significant and could in some cases bring new system concepts for submunition systems. ¬© 1982, The Institution of Electronic and Radio Engineers. All rights reserved.</t>
  </si>
  <si>
    <t>543-550</t>
  </si>
  <si>
    <t>60009658;60009658</t>
  </si>
  <si>
    <t>7403098104;7403018268</t>
  </si>
  <si>
    <t>Henderson, A.;James, J. R.</t>
  </si>
  <si>
    <t>Swindon</t>
  </si>
  <si>
    <t>Defence College of Management and Technology</t>
  </si>
  <si>
    <t>Henderson A.</t>
  </si>
  <si>
    <t>A survey of millimetre-wavelength planar antenna arrays for military applications</t>
  </si>
  <si>
    <t>10.1049/ree.1982.0079</t>
  </si>
  <si>
    <t>2-s2.0-0020207904</t>
  </si>
  <si>
    <t>['¬© 1982', 'subsequent addition', 'spillover rate', 'results indicates', 'ps ii', 'picosecond resolution', 'photon timing', 'mg2 +.', 'low levels', 'higher levels', 'harvesting antenna', 'fluorescence decay', 'excitation intensity', 'earlier paper', 'different levels', 'b light', 'added cation', 'acta 680', '173 ),', '., reisberg']</t>
  </si>
  <si>
    <t>(Spinach chloroplast) | Excitation transfer | Fluorescence kinetics | Mg 2+ | Photosynthesis</t>
  </si>
  <si>
    <t>Single-photon timing with picosecond resolution is used to investigate the effect of Mg2+ on the room-temperature fluorescence decay kinetics in broken spinach chloroplasts. In agreement with an earlier paper (Haehnel, W., Nairn, J.A., Reisberg, P. and Sauer, K. (1982) Biochim. Biophys. Acta 680, 161-173), we find three components in the fluorescence decay both in the presence and in the absence of Mg2+. The behavior of these components is examined as a function of Mg2+ concentration at both the F0 and the Fmax fluorescence levels, and as a function of the excitation intensity for thylakoids from spinach chloroplasts isolated in the absence of added Mg2+. Analysis of the results indicates that the subsequent addition of Mg2+ has effects which occur at different levels of added cation. At low levels of Mg2+ (less than 0.75 mM), there appears to be a decrease in communication between Photosystem (PS) II and PS I, which amounts to a decrease in the spillover rate between PS II and PS I. At higher levels of Mg2+ (about 2 mM), there appears to be an increase in communication between PS II units and an increase in the effective absorption cross-section of PS II, probably both of these involving the chlorophyll a b light-harvesting antenna. ¬© 1982.</t>
  </si>
  <si>
    <t>420-429</t>
  </si>
  <si>
    <t>60007174;60007174;60007174;60007174</t>
  </si>
  <si>
    <t>36718650700;57209053577;57190906564;7102209179</t>
  </si>
  <si>
    <t>Nairn, John A.;Haehnel, Wolfgang;Reisberg, Paul;Sauer, Kenneth</t>
  </si>
  <si>
    <t>Lawrence Berkeley National Laboratory</t>
  </si>
  <si>
    <t>Nairn J.</t>
  </si>
  <si>
    <t>Picosecond fluorescence kinetics in spinach chloroplasts at room temperature. Effects of Mg&lt;sup&gt;2+&lt;/sup&gt;</t>
  </si>
  <si>
    <t>10.1016/0005-2728(82)90056-1</t>
  </si>
  <si>
    <t>2-s2.0-0005470833</t>
  </si>
  <si>
    <t>PCM 78-10535</t>
  </si>
  <si>
    <t>['¬© 1982', 'unflowed samples', 'theoretical calculations', 'singlet annihilation', 'relative magnitude', 'redox state', 'quantum yield', 'probably due', 'principles extended', 'photosynthetic unit', 'photons absorbed', 'photon counting', 'homogeneous antenna', 'fold increases', 'fluorescence primarily', 'fluorescence lifetime', 'fluorescence decays', 'experiments varying', 'excitation wavelength', 'excitation transfer', 'either ps', 'data support', 'best fitted', 'barley chloroplasts', 'adapted chloroplasts', '41 ].', '2214 ps', '1012 photons', '100 ps']</t>
  </si>
  <si>
    <t>(Barley chloroplast) | Excitation transfer | Fluorescence decay | Photon counting</t>
  </si>
  <si>
    <t>The fluorescence decays of barley chloroplasts have been measured by single-photon counting with tunable picosecond dye laser excitation. The fluorescence decays of dark-adapted chloroplasts are best fitted to a sum of three exponential lifetime components with 1 e lifetimes of 112, 380 and 2214 ps. The relative magnitude of each component is shown to be dependent on the excitation wavelength and collected emission wavelength. The excitation wavelength dependence is correlated with the Photosystem (PS) I and PS II action study of Ried [36] and with the measured pigment distributions in the photosynthetic unit [37,41]. Experiments varying the single excitation pulse intensity from 108 to 1012 photons/cm2 pulse show that our results are not distorted by singlet-singlet annihilation. Unflowed samples where the cloroplasts are under constant illumination show 2-fold increases in quantum yield of fluorescence primarily in the two longer 1 e lifetime components. Theoretical calculations of Shipman [31] on an isolated reaction center with a homogeneous antenna are discussed and the principles extended to discussion of the measured barley chloroplast fluorescence decay components in terms of photosynthetic unit light-harvesting array models and earlier experimental work. Our data support a photosynthetic unit model in which 70-90% of the photons absorbed are quenched by either PS I or efficiently quenching PS II in a process where the fluorescence lifetime is 100 ps. The origin of the intermediate 380 ps. component is probably due to excitation transfer to a PS II reaction center in a redox state which quenches less efficiently. ¬© 1982.</t>
  </si>
  <si>
    <t>322-331</t>
  </si>
  <si>
    <t>60029278;60029278;60029278</t>
  </si>
  <si>
    <t>6603308828;36936627600;7004218113</t>
  </si>
  <si>
    <t>Gulotty, Robert J.;Fleming, Graham R.;Alberte, Randall S.</t>
  </si>
  <si>
    <t>Chicago</t>
  </si>
  <si>
    <t>The University of Chicago</t>
  </si>
  <si>
    <t>Gulotty R.J.</t>
  </si>
  <si>
    <t>Low-Intensity picosecond fluorescence kinetics and excitation dynamics in barley chloroplasts</t>
  </si>
  <si>
    <t>10.1016/0005-2728(82)90045-7</t>
  </si>
  <si>
    <t>2-s2.0-4243959132</t>
  </si>
  <si>
    <t>Medical Research Council</t>
  </si>
  <si>
    <t>MRC</t>
  </si>
  <si>
    <t>['¬© 1982', 'preferred conformation', 'noe data', 'human serotransferrin', 'chitobiose core', '300 mhz']</t>
  </si>
  <si>
    <t>Human serotransferrin | Nuclear magnetic resonance | Nuclear Overhauser effect | Oligosaccharide | Oligosaccharide conformation</t>
  </si>
  <si>
    <t>The conformation in solution of the biantennary complex type oligosaccharide unit derived from human serotransferrin has been investigated using 1H-1H Nuclear Overhauser Effect (NOE) measurements at 300 MHz. From quantitation of the NOE, the Œ±(1-3) antenna is shown to exist in a preferred solution conformation with respect to the mannosyl-chitobiose core. The flexibility of the Œ±(1-6) arm, together with the absence of NOE data between this arm and the core, indicates that, in contrast to the Œ±(1-3) arm the Œ±(1-6) arm has no preferred conformation with respect to the core. ¬© 1982.</t>
  </si>
  <si>
    <t>503-506</t>
  </si>
  <si>
    <t>60026851;60026851;60026851;60026851</t>
  </si>
  <si>
    <t>7006782996;35399298000;7005622222;7006480573</t>
  </si>
  <si>
    <t>Homans, S. W.;Dwek, R. A.;Fernandes, D. L.;Rademacher, T. W.</t>
  </si>
  <si>
    <t>Oxford</t>
  </si>
  <si>
    <t>University of Oxford</t>
  </si>
  <si>
    <t>Homans S.</t>
  </si>
  <si>
    <t>Solution conformation of the biantennary N-linked oligosaccharide of human serotransferrin using &lt;sup&gt;1&lt;/sup&gt;H NMR nuclear Overhauser effect measurements</t>
  </si>
  <si>
    <t>10.1016/0014-5793(82)80799-0</t>
  </si>
  <si>
    <t>2-s2.0-0020407281</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</si>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</sst>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19">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1"/>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CD39-9F88-3C4A-8F1D-9C408E36B2B7}">
  <dimension ref="A1:AW81"/>
  <sheetViews>
    <sheetView tabSelected="1" topLeftCell="F1" workbookViewId="0">
      <selection activeCell="AP11" sqref="AP11"/>
    </sheetView>
  </sheetViews>
  <sheetFormatPr baseColWidth="10" defaultRowHeight="16" x14ac:dyDescent="0.2"/>
  <sheetData>
    <row r="1" spans="1:49" s="10" customFormat="1" x14ac:dyDescent="0.2">
      <c r="A1" s="13"/>
      <c r="B1" s="13" t="s">
        <v>1015</v>
      </c>
      <c r="C1" s="13" t="s">
        <v>1014</v>
      </c>
      <c r="D1" s="13" t="s">
        <v>1013</v>
      </c>
      <c r="E1" s="13" t="s">
        <v>1012</v>
      </c>
      <c r="F1" s="13" t="s">
        <v>1011</v>
      </c>
      <c r="G1" s="13" t="s">
        <v>1010</v>
      </c>
      <c r="H1" s="13" t="s">
        <v>1009</v>
      </c>
      <c r="I1" s="13" t="s">
        <v>1008</v>
      </c>
      <c r="J1" s="13" t="s">
        <v>1007</v>
      </c>
      <c r="K1" s="13" t="s">
        <v>1006</v>
      </c>
      <c r="L1" s="13" t="s">
        <v>1005</v>
      </c>
      <c r="M1" s="13" t="s">
        <v>1004</v>
      </c>
      <c r="N1" s="13" t="s">
        <v>1003</v>
      </c>
      <c r="O1" s="13" t="s">
        <v>1002</v>
      </c>
      <c r="P1" s="13" t="s">
        <v>1001</v>
      </c>
      <c r="Q1" s="13" t="s">
        <v>1000</v>
      </c>
      <c r="R1" s="18" t="s">
        <v>999</v>
      </c>
      <c r="S1" s="13" t="s">
        <v>998</v>
      </c>
      <c r="T1" s="13" t="s">
        <v>998</v>
      </c>
      <c r="U1" s="13" t="s">
        <v>997</v>
      </c>
      <c r="V1" s="18" t="s">
        <v>996</v>
      </c>
      <c r="W1" s="13" t="s">
        <v>995</v>
      </c>
      <c r="X1" s="12" t="s">
        <v>994</v>
      </c>
      <c r="Y1" s="17" t="s">
        <v>993</v>
      </c>
      <c r="Z1" s="16" t="s">
        <v>978</v>
      </c>
      <c r="AA1" s="13" t="s">
        <v>992</v>
      </c>
      <c r="AB1" s="13" t="s">
        <v>991</v>
      </c>
      <c r="AC1" s="13" t="s">
        <v>990</v>
      </c>
      <c r="AD1" s="13" t="s">
        <v>989</v>
      </c>
      <c r="AE1" s="13" t="s">
        <v>988</v>
      </c>
      <c r="AF1" s="13" t="s">
        <v>987</v>
      </c>
      <c r="AG1" s="13" t="s">
        <v>986</v>
      </c>
      <c r="AH1" s="13" t="s">
        <v>985</v>
      </c>
      <c r="AI1" s="13" t="s">
        <v>984</v>
      </c>
      <c r="AJ1" s="13" t="s">
        <v>983</v>
      </c>
      <c r="AK1" s="12" t="s">
        <v>982</v>
      </c>
      <c r="AL1" s="13" t="s">
        <v>981</v>
      </c>
      <c r="AM1" s="15" t="s">
        <v>980</v>
      </c>
      <c r="AN1" s="14" t="s">
        <v>979</v>
      </c>
      <c r="AO1" s="14" t="s">
        <v>978</v>
      </c>
      <c r="AP1" s="13" t="s">
        <v>977</v>
      </c>
      <c r="AQ1" s="13" t="s">
        <v>976</v>
      </c>
      <c r="AR1" s="13" t="s">
        <v>975</v>
      </c>
      <c r="AS1" s="13" t="s">
        <v>974</v>
      </c>
      <c r="AT1" s="12" t="s">
        <v>973</v>
      </c>
      <c r="AU1" s="11" t="s">
        <v>972</v>
      </c>
      <c r="AV1" s="11" t="s">
        <v>971</v>
      </c>
      <c r="AW1" s="11" t="s">
        <v>970</v>
      </c>
    </row>
    <row r="2" spans="1:49" x14ac:dyDescent="0.2">
      <c r="A2">
        <v>0</v>
      </c>
      <c r="B2" t="s">
        <v>969</v>
      </c>
      <c r="C2" t="s">
        <v>968</v>
      </c>
      <c r="D2">
        <v>14579382807990</v>
      </c>
      <c r="E2">
        <v>7160490</v>
      </c>
      <c r="F2" t="s">
        <v>967</v>
      </c>
      <c r="G2" t="s">
        <v>4</v>
      </c>
      <c r="H2" t="s">
        <v>3</v>
      </c>
      <c r="I2" t="s">
        <v>966</v>
      </c>
      <c r="J2">
        <v>60026851</v>
      </c>
      <c r="K2" t="s">
        <v>965</v>
      </c>
      <c r="L2" t="s">
        <v>964</v>
      </c>
      <c r="M2" t="s">
        <v>20</v>
      </c>
      <c r="N2">
        <v>4</v>
      </c>
      <c r="O2" t="s">
        <v>963</v>
      </c>
      <c r="P2" t="s">
        <v>962</v>
      </c>
      <c r="Q2" t="s">
        <v>961</v>
      </c>
      <c r="R2" s="7">
        <v>30312</v>
      </c>
      <c r="S2" s="8">
        <f t="shared" ref="S2:S33" si="0">YEAR(R2)</f>
        <v>1982</v>
      </c>
      <c r="T2" s="8">
        <v>1982</v>
      </c>
      <c r="U2" s="8">
        <f t="shared" ref="U2:U33" si="1">2022-T2</f>
        <v>40</v>
      </c>
      <c r="V2" s="7">
        <v>30312</v>
      </c>
      <c r="W2" t="s">
        <v>93</v>
      </c>
      <c r="X2" s="2">
        <v>1.593</v>
      </c>
      <c r="Y2" s="6">
        <f t="shared" ref="Y2:Y33" si="2">(X2-$Z$4)/($Z$3-$Z$4)</f>
        <v>4.2524225194201973E-2</v>
      </c>
      <c r="AA2">
        <v>145793</v>
      </c>
      <c r="AB2">
        <v>17481</v>
      </c>
      <c r="AD2" t="s">
        <v>1</v>
      </c>
      <c r="AE2">
        <v>150</v>
      </c>
      <c r="AF2">
        <v>2</v>
      </c>
      <c r="AH2" t="s">
        <v>960</v>
      </c>
      <c r="AI2" t="s">
        <v>959</v>
      </c>
      <c r="AJ2" t="s">
        <v>958</v>
      </c>
      <c r="AK2" t="s">
        <v>957</v>
      </c>
      <c r="AL2">
        <v>31</v>
      </c>
      <c r="AM2" s="5">
        <f t="shared" ref="AM2:AM33" si="3">AL2/U2</f>
        <v>0.77500000000000002</v>
      </c>
      <c r="AN2" s="4">
        <f t="shared" ref="AN2:AN33" si="4">(AM2-$AO$4)/($AO$3-$AO$4)</f>
        <v>1.1737978038621735E-3</v>
      </c>
      <c r="AO2" s="3"/>
      <c r="AP2">
        <v>1</v>
      </c>
      <c r="AQ2" t="s">
        <v>956</v>
      </c>
      <c r="AR2" t="s">
        <v>0</v>
      </c>
      <c r="AS2" t="s">
        <v>955</v>
      </c>
      <c r="AT2" s="2">
        <v>4.1239999999999997</v>
      </c>
      <c r="AU2" s="1">
        <f t="shared" ref="AU2:AU33" si="5">(Y2*0.7+AN2*0.3)*100</f>
        <v>3.0119096977100033</v>
      </c>
      <c r="AV2" s="1">
        <f t="shared" ref="AV2:AV33" si="6">(Y2*0.5+AN2*0.5)*100</f>
        <v>2.1849011499032076</v>
      </c>
      <c r="AW2" s="1">
        <f t="shared" ref="AW2:AW33" si="7">(Y2*0.3+AN2*0.7)*100</f>
        <v>1.3578926020964113</v>
      </c>
    </row>
    <row r="3" spans="1:49" x14ac:dyDescent="0.2">
      <c r="A3">
        <v>1</v>
      </c>
      <c r="B3" t="s">
        <v>954</v>
      </c>
      <c r="C3" t="s">
        <v>953</v>
      </c>
      <c r="D3">
        <v>5272882900457</v>
      </c>
      <c r="F3" t="s">
        <v>952</v>
      </c>
      <c r="G3" t="s">
        <v>4</v>
      </c>
      <c r="H3" t="s">
        <v>3</v>
      </c>
      <c r="I3" t="s">
        <v>951</v>
      </c>
      <c r="J3">
        <v>60029278</v>
      </c>
      <c r="K3" t="s">
        <v>950</v>
      </c>
      <c r="L3" t="s">
        <v>949</v>
      </c>
      <c r="M3" t="s">
        <v>8</v>
      </c>
      <c r="N3">
        <v>3</v>
      </c>
      <c r="O3" t="s">
        <v>948</v>
      </c>
      <c r="P3" t="s">
        <v>947</v>
      </c>
      <c r="Q3" t="s">
        <v>946</v>
      </c>
      <c r="R3" s="7">
        <v>30300</v>
      </c>
      <c r="S3" s="8">
        <f t="shared" si="0"/>
        <v>1982</v>
      </c>
      <c r="T3" s="8">
        <v>1982</v>
      </c>
      <c r="U3" s="8">
        <f t="shared" si="1"/>
        <v>40</v>
      </c>
      <c r="V3" s="7">
        <v>30300</v>
      </c>
      <c r="W3" t="s">
        <v>94</v>
      </c>
      <c r="X3" s="2">
        <v>1.59</v>
      </c>
      <c r="Y3" s="6">
        <f t="shared" si="2"/>
        <v>4.2444141907583888E-2</v>
      </c>
      <c r="Z3">
        <v>37.460999999999999</v>
      </c>
      <c r="AA3">
        <v>52728</v>
      </c>
      <c r="AB3">
        <v>16791</v>
      </c>
      <c r="AD3" t="s">
        <v>1</v>
      </c>
      <c r="AE3">
        <v>682</v>
      </c>
      <c r="AF3">
        <v>3</v>
      </c>
      <c r="AH3" t="s">
        <v>945</v>
      </c>
      <c r="AI3" t="s">
        <v>944</v>
      </c>
      <c r="AJ3" t="s">
        <v>943</v>
      </c>
      <c r="AK3" t="s">
        <v>942</v>
      </c>
      <c r="AL3">
        <v>32</v>
      </c>
      <c r="AM3" s="5">
        <f t="shared" si="3"/>
        <v>0.8</v>
      </c>
      <c r="AN3" s="4">
        <f t="shared" si="4"/>
        <v>1.2116622491480501E-3</v>
      </c>
      <c r="AO3" s="3">
        <v>660.25</v>
      </c>
      <c r="AP3">
        <v>0</v>
      </c>
      <c r="AQ3" t="s">
        <v>40</v>
      </c>
      <c r="AR3" t="s">
        <v>941</v>
      </c>
      <c r="AS3" t="s">
        <v>39</v>
      </c>
      <c r="AT3" s="2" t="s">
        <v>7</v>
      </c>
      <c r="AU3" s="1">
        <f t="shared" si="5"/>
        <v>3.0074398010053134</v>
      </c>
      <c r="AV3" s="1">
        <f t="shared" si="6"/>
        <v>2.1827902078365971</v>
      </c>
      <c r="AW3" s="1">
        <f t="shared" si="7"/>
        <v>1.3581406146678801</v>
      </c>
    </row>
    <row r="4" spans="1:49" x14ac:dyDescent="0.2">
      <c r="A4">
        <v>2</v>
      </c>
      <c r="B4" t="s">
        <v>940</v>
      </c>
      <c r="C4" t="s">
        <v>939</v>
      </c>
      <c r="D4">
        <v>5272882900561</v>
      </c>
      <c r="F4" t="s">
        <v>938</v>
      </c>
      <c r="G4" t="s">
        <v>4</v>
      </c>
      <c r="H4" t="s">
        <v>3</v>
      </c>
      <c r="I4" t="s">
        <v>937</v>
      </c>
      <c r="J4">
        <v>60007174</v>
      </c>
      <c r="K4" t="s">
        <v>936</v>
      </c>
      <c r="L4" t="s">
        <v>18</v>
      </c>
      <c r="M4" t="s">
        <v>8</v>
      </c>
      <c r="N4">
        <v>4</v>
      </c>
      <c r="O4" t="s">
        <v>935</v>
      </c>
      <c r="P4" t="s">
        <v>934</v>
      </c>
      <c r="Q4" t="s">
        <v>933</v>
      </c>
      <c r="R4" s="7">
        <v>30300</v>
      </c>
      <c r="S4" s="8">
        <f t="shared" si="0"/>
        <v>1982</v>
      </c>
      <c r="T4" s="8">
        <v>1982</v>
      </c>
      <c r="U4" s="8">
        <f t="shared" si="1"/>
        <v>40</v>
      </c>
      <c r="V4" s="7">
        <v>30300</v>
      </c>
      <c r="W4" t="s">
        <v>94</v>
      </c>
      <c r="X4" s="2">
        <v>1.59</v>
      </c>
      <c r="Y4" s="6">
        <f t="shared" si="2"/>
        <v>4.2444141907583888E-2</v>
      </c>
      <c r="Z4">
        <v>0</v>
      </c>
      <c r="AA4">
        <v>52728</v>
      </c>
      <c r="AB4">
        <v>16791</v>
      </c>
      <c r="AD4" t="s">
        <v>1</v>
      </c>
      <c r="AE4">
        <v>682</v>
      </c>
      <c r="AF4">
        <v>3</v>
      </c>
      <c r="AH4" t="s">
        <v>932</v>
      </c>
      <c r="AI4" t="s">
        <v>931</v>
      </c>
      <c r="AJ4" t="s">
        <v>930</v>
      </c>
      <c r="AK4" t="s">
        <v>929</v>
      </c>
      <c r="AL4">
        <v>36</v>
      </c>
      <c r="AM4" s="5">
        <f t="shared" si="3"/>
        <v>0.9</v>
      </c>
      <c r="AN4" s="4">
        <f>(AM4-$AO$4)/($AO$3-$AO$4)</f>
        <v>1.3631200302915562E-3</v>
      </c>
      <c r="AO4" s="3">
        <v>0</v>
      </c>
      <c r="AP4">
        <v>0</v>
      </c>
      <c r="AQ4" t="s">
        <v>40</v>
      </c>
      <c r="AR4" t="s">
        <v>99</v>
      </c>
      <c r="AS4" t="s">
        <v>39</v>
      </c>
      <c r="AT4" s="2" t="s">
        <v>7</v>
      </c>
      <c r="AU4" s="1">
        <f t="shared" si="5"/>
        <v>3.0119835344396186</v>
      </c>
      <c r="AV4" s="1">
        <f t="shared" si="6"/>
        <v>2.1903630968937722</v>
      </c>
      <c r="AW4" s="1">
        <f t="shared" si="7"/>
        <v>1.3687426593479255</v>
      </c>
    </row>
    <row r="5" spans="1:49" x14ac:dyDescent="0.2">
      <c r="A5">
        <v>3</v>
      </c>
      <c r="B5" t="s">
        <v>928</v>
      </c>
      <c r="C5" t="s">
        <v>927</v>
      </c>
      <c r="F5" t="s">
        <v>926</v>
      </c>
      <c r="G5" t="s">
        <v>4</v>
      </c>
      <c r="H5" t="s">
        <v>3</v>
      </c>
      <c r="I5" t="s">
        <v>925</v>
      </c>
      <c r="J5">
        <v>60009658</v>
      </c>
      <c r="K5" t="s">
        <v>924</v>
      </c>
      <c r="L5" t="s">
        <v>923</v>
      </c>
      <c r="M5" t="s">
        <v>20</v>
      </c>
      <c r="N5">
        <v>2</v>
      </c>
      <c r="O5" t="s">
        <v>922</v>
      </c>
      <c r="P5" t="s">
        <v>921</v>
      </c>
      <c r="Q5" t="s">
        <v>920</v>
      </c>
      <c r="R5" s="7">
        <v>30296</v>
      </c>
      <c r="S5" s="8">
        <f t="shared" si="0"/>
        <v>1982</v>
      </c>
      <c r="T5" s="8">
        <v>1982</v>
      </c>
      <c r="U5" s="8">
        <f t="shared" si="1"/>
        <v>40</v>
      </c>
      <c r="V5" s="7">
        <v>30296</v>
      </c>
      <c r="W5" t="s">
        <v>32</v>
      </c>
      <c r="X5" s="2" t="s">
        <v>7</v>
      </c>
      <c r="Y5" s="6" t="e">
        <f t="shared" si="2"/>
        <v>#VALUE!</v>
      </c>
      <c r="AA5">
        <v>337722</v>
      </c>
      <c r="AB5">
        <v>35312</v>
      </c>
      <c r="AD5" t="s">
        <v>1</v>
      </c>
      <c r="AE5">
        <v>52</v>
      </c>
      <c r="AH5" t="s">
        <v>919</v>
      </c>
      <c r="AI5" t="s">
        <v>918</v>
      </c>
      <c r="AJ5" t="s">
        <v>917</v>
      </c>
      <c r="AK5" t="s">
        <v>916</v>
      </c>
      <c r="AL5">
        <v>1</v>
      </c>
      <c r="AM5" s="5">
        <f t="shared" si="3"/>
        <v>2.5000000000000001E-2</v>
      </c>
      <c r="AN5" s="4">
        <f t="shared" si="4"/>
        <v>3.7864445285876567E-5</v>
      </c>
      <c r="AO5" s="3"/>
      <c r="AP5">
        <v>0</v>
      </c>
      <c r="AR5" t="s">
        <v>0</v>
      </c>
      <c r="AT5" s="2" t="s">
        <v>7</v>
      </c>
      <c r="AU5" s="1" t="e">
        <f t="shared" si="5"/>
        <v>#VALUE!</v>
      </c>
      <c r="AV5" s="1" t="e">
        <f t="shared" si="6"/>
        <v>#VALUE!</v>
      </c>
      <c r="AW5" s="1" t="e">
        <f t="shared" si="7"/>
        <v>#VALUE!</v>
      </c>
    </row>
    <row r="6" spans="1:49" x14ac:dyDescent="0.2">
      <c r="A6">
        <v>4</v>
      </c>
      <c r="B6" t="s">
        <v>915</v>
      </c>
      <c r="C6" t="s">
        <v>914</v>
      </c>
      <c r="F6" t="s">
        <v>913</v>
      </c>
      <c r="G6" t="s">
        <v>4</v>
      </c>
      <c r="H6" t="s">
        <v>3</v>
      </c>
      <c r="I6" t="s">
        <v>912</v>
      </c>
      <c r="J6">
        <v>60016561</v>
      </c>
      <c r="K6" t="s">
        <v>911</v>
      </c>
      <c r="L6" t="s">
        <v>910</v>
      </c>
      <c r="M6" t="s">
        <v>29</v>
      </c>
      <c r="N6">
        <v>1</v>
      </c>
      <c r="O6" t="s">
        <v>909</v>
      </c>
      <c r="P6">
        <v>7006064605</v>
      </c>
      <c r="Q6">
        <v>60016561</v>
      </c>
      <c r="R6" s="7">
        <v>30296</v>
      </c>
      <c r="S6" s="8">
        <f t="shared" si="0"/>
        <v>1982</v>
      </c>
      <c r="T6" s="8">
        <v>1982</v>
      </c>
      <c r="U6" s="8">
        <f t="shared" si="1"/>
        <v>40</v>
      </c>
      <c r="V6" s="7">
        <v>30296</v>
      </c>
      <c r="W6" t="s">
        <v>32</v>
      </c>
      <c r="X6" s="2" t="s">
        <v>7</v>
      </c>
      <c r="Y6" s="6" t="e">
        <f t="shared" si="2"/>
        <v>#VALUE!</v>
      </c>
      <c r="AA6">
        <v>337722</v>
      </c>
      <c r="AB6">
        <v>35312</v>
      </c>
      <c r="AD6" t="s">
        <v>1</v>
      </c>
      <c r="AE6">
        <v>52</v>
      </c>
      <c r="AH6" t="s">
        <v>908</v>
      </c>
      <c r="AI6" t="s">
        <v>907</v>
      </c>
      <c r="AJ6" t="s">
        <v>906</v>
      </c>
      <c r="AK6" t="s">
        <v>905</v>
      </c>
      <c r="AL6">
        <v>2</v>
      </c>
      <c r="AM6" s="5">
        <f t="shared" si="3"/>
        <v>0.05</v>
      </c>
      <c r="AN6" s="4">
        <f t="shared" si="4"/>
        <v>7.5728890571753133E-5</v>
      </c>
      <c r="AO6" s="3"/>
      <c r="AP6">
        <v>0</v>
      </c>
      <c r="AR6" t="s">
        <v>0</v>
      </c>
      <c r="AT6" s="2" t="s">
        <v>7</v>
      </c>
      <c r="AU6" s="1" t="e">
        <f t="shared" si="5"/>
        <v>#VALUE!</v>
      </c>
      <c r="AV6" s="1" t="e">
        <f t="shared" si="6"/>
        <v>#VALUE!</v>
      </c>
      <c r="AW6" s="1" t="e">
        <f t="shared" si="7"/>
        <v>#VALUE!</v>
      </c>
    </row>
    <row r="7" spans="1:49" x14ac:dyDescent="0.2">
      <c r="A7">
        <v>5</v>
      </c>
      <c r="B7" t="s">
        <v>904</v>
      </c>
      <c r="C7" t="s">
        <v>903</v>
      </c>
      <c r="F7" t="s">
        <v>902</v>
      </c>
      <c r="G7" t="s">
        <v>4</v>
      </c>
      <c r="H7" t="s">
        <v>3</v>
      </c>
      <c r="I7" t="s">
        <v>901</v>
      </c>
      <c r="J7" t="s">
        <v>895</v>
      </c>
      <c r="K7" t="s">
        <v>900</v>
      </c>
      <c r="L7" t="s">
        <v>899</v>
      </c>
      <c r="M7" t="s">
        <v>898</v>
      </c>
      <c r="N7">
        <v>2</v>
      </c>
      <c r="O7" t="s">
        <v>897</v>
      </c>
      <c r="P7" t="s">
        <v>896</v>
      </c>
      <c r="Q7" t="s">
        <v>895</v>
      </c>
      <c r="R7" s="7">
        <v>30294</v>
      </c>
      <c r="S7" s="8">
        <f t="shared" si="0"/>
        <v>1982</v>
      </c>
      <c r="T7" s="8">
        <v>1982</v>
      </c>
      <c r="U7" s="8">
        <f t="shared" si="1"/>
        <v>40</v>
      </c>
      <c r="V7" s="7">
        <v>30294</v>
      </c>
      <c r="W7" t="s">
        <v>83</v>
      </c>
      <c r="X7" s="2">
        <v>0.375</v>
      </c>
      <c r="Y7" s="6">
        <f t="shared" si="2"/>
        <v>1.0010410827260351E-2</v>
      </c>
      <c r="AA7">
        <v>135194</v>
      </c>
      <c r="AB7">
        <v>24918</v>
      </c>
      <c r="AD7" t="s">
        <v>1</v>
      </c>
      <c r="AE7">
        <v>18</v>
      </c>
      <c r="AH7" t="s">
        <v>894</v>
      </c>
      <c r="AI7" t="s">
        <v>893</v>
      </c>
      <c r="AJ7" t="s">
        <v>892</v>
      </c>
      <c r="AK7" t="s">
        <v>891</v>
      </c>
      <c r="AL7">
        <v>19</v>
      </c>
      <c r="AM7" s="5">
        <f t="shared" si="3"/>
        <v>0.47499999999999998</v>
      </c>
      <c r="AN7" s="4">
        <f t="shared" si="4"/>
        <v>7.1942446043165469E-4</v>
      </c>
      <c r="AO7" s="3"/>
      <c r="AP7">
        <v>0</v>
      </c>
      <c r="AR7" t="s">
        <v>0</v>
      </c>
      <c r="AT7" s="2">
        <v>1.3140000000000001</v>
      </c>
      <c r="AU7" s="1">
        <f t="shared" si="5"/>
        <v>0.72231149172117426</v>
      </c>
      <c r="AV7" s="1">
        <f t="shared" si="6"/>
        <v>0.53649176438460033</v>
      </c>
      <c r="AW7" s="1">
        <f t="shared" si="7"/>
        <v>0.35067203704802635</v>
      </c>
    </row>
    <row r="8" spans="1:49" x14ac:dyDescent="0.2">
      <c r="A8">
        <v>6</v>
      </c>
      <c r="B8" t="s">
        <v>890</v>
      </c>
      <c r="C8" t="s">
        <v>889</v>
      </c>
      <c r="F8" t="s">
        <v>888</v>
      </c>
      <c r="G8" t="s">
        <v>4</v>
      </c>
      <c r="H8" t="s">
        <v>3</v>
      </c>
      <c r="I8" t="s">
        <v>63</v>
      </c>
      <c r="J8">
        <v>60012070</v>
      </c>
      <c r="K8" t="s">
        <v>887</v>
      </c>
      <c r="L8" t="s">
        <v>886</v>
      </c>
      <c r="M8" t="s">
        <v>20</v>
      </c>
      <c r="N8">
        <v>2</v>
      </c>
      <c r="O8" t="s">
        <v>885</v>
      </c>
      <c r="P8" t="s">
        <v>884</v>
      </c>
      <c r="Q8" t="s">
        <v>883</v>
      </c>
      <c r="R8" s="7">
        <v>30294</v>
      </c>
      <c r="S8" s="8">
        <f t="shared" si="0"/>
        <v>1982</v>
      </c>
      <c r="T8" s="8">
        <v>1982</v>
      </c>
      <c r="U8" s="8">
        <f t="shared" si="1"/>
        <v>40</v>
      </c>
      <c r="V8" s="7">
        <v>30294</v>
      </c>
      <c r="W8" t="s">
        <v>83</v>
      </c>
      <c r="X8" s="2">
        <v>0.375</v>
      </c>
      <c r="Y8" s="6">
        <f t="shared" si="2"/>
        <v>1.0010410827260351E-2</v>
      </c>
      <c r="AA8">
        <v>135194</v>
      </c>
      <c r="AB8">
        <v>24918</v>
      </c>
      <c r="AD8" t="s">
        <v>1</v>
      </c>
      <c r="AE8">
        <v>18</v>
      </c>
      <c r="AH8" t="s">
        <v>882</v>
      </c>
      <c r="AI8" t="s">
        <v>881</v>
      </c>
      <c r="AJ8" t="s">
        <v>880</v>
      </c>
      <c r="AK8" t="s">
        <v>879</v>
      </c>
      <c r="AL8">
        <v>0</v>
      </c>
      <c r="AM8" s="5">
        <f t="shared" si="3"/>
        <v>0</v>
      </c>
      <c r="AN8" s="4">
        <f t="shared" si="4"/>
        <v>0</v>
      </c>
      <c r="AO8" s="3"/>
      <c r="AP8">
        <v>0</v>
      </c>
      <c r="AR8" t="s">
        <v>0</v>
      </c>
      <c r="AT8" s="2">
        <v>1.3140000000000001</v>
      </c>
      <c r="AU8" s="1">
        <f t="shared" si="5"/>
        <v>0.70072875790822453</v>
      </c>
      <c r="AV8" s="1">
        <f t="shared" si="6"/>
        <v>0.5005205413630176</v>
      </c>
      <c r="AW8" s="1">
        <f t="shared" si="7"/>
        <v>0.30031232481781051</v>
      </c>
    </row>
    <row r="9" spans="1:49" x14ac:dyDescent="0.2">
      <c r="A9">
        <v>7</v>
      </c>
      <c r="B9" t="s">
        <v>878</v>
      </c>
      <c r="C9" t="s">
        <v>877</v>
      </c>
      <c r="F9" t="s">
        <v>876</v>
      </c>
      <c r="G9" t="s">
        <v>4</v>
      </c>
      <c r="H9" t="s">
        <v>3</v>
      </c>
      <c r="I9" t="s">
        <v>875</v>
      </c>
      <c r="J9">
        <v>60028186</v>
      </c>
      <c r="K9" t="s">
        <v>502</v>
      </c>
      <c r="L9" t="s">
        <v>501</v>
      </c>
      <c r="M9" t="s">
        <v>14</v>
      </c>
      <c r="N9">
        <v>9</v>
      </c>
      <c r="O9" t="s">
        <v>874</v>
      </c>
      <c r="P9" t="s">
        <v>873</v>
      </c>
      <c r="Q9" t="s">
        <v>872</v>
      </c>
      <c r="R9" s="7">
        <v>30286</v>
      </c>
      <c r="S9" s="8">
        <f t="shared" si="0"/>
        <v>1982</v>
      </c>
      <c r="T9" s="8">
        <v>1982</v>
      </c>
      <c r="U9" s="8">
        <f t="shared" si="1"/>
        <v>40</v>
      </c>
      <c r="V9" s="7">
        <v>1982</v>
      </c>
      <c r="W9" t="s">
        <v>553</v>
      </c>
      <c r="X9" s="2" t="s">
        <v>7</v>
      </c>
      <c r="Y9" s="6" t="e">
        <f t="shared" si="2"/>
        <v>#VALUE!</v>
      </c>
      <c r="AA9">
        <v>321028</v>
      </c>
      <c r="AB9">
        <v>60924</v>
      </c>
      <c r="AD9" t="s">
        <v>1</v>
      </c>
      <c r="AE9">
        <v>24</v>
      </c>
      <c r="AF9">
        <v>8</v>
      </c>
      <c r="AG9">
        <v>3</v>
      </c>
      <c r="AH9" t="s">
        <v>871</v>
      </c>
      <c r="AI9" t="s">
        <v>870</v>
      </c>
      <c r="AK9" t="s">
        <v>869</v>
      </c>
      <c r="AL9">
        <v>36</v>
      </c>
      <c r="AM9" s="5">
        <f t="shared" si="3"/>
        <v>0.9</v>
      </c>
      <c r="AN9" s="4">
        <f t="shared" si="4"/>
        <v>1.3631200302915562E-3</v>
      </c>
      <c r="AO9" s="3"/>
      <c r="AP9">
        <v>0</v>
      </c>
      <c r="AR9" t="s">
        <v>0</v>
      </c>
      <c r="AT9" s="2" t="s">
        <v>7</v>
      </c>
      <c r="AU9" s="1" t="e">
        <f t="shared" si="5"/>
        <v>#VALUE!</v>
      </c>
      <c r="AV9" s="1" t="e">
        <f t="shared" si="6"/>
        <v>#VALUE!</v>
      </c>
      <c r="AW9" s="1" t="e">
        <f t="shared" si="7"/>
        <v>#VALUE!</v>
      </c>
    </row>
    <row r="10" spans="1:49" x14ac:dyDescent="0.2">
      <c r="A10">
        <v>8</v>
      </c>
      <c r="B10" t="s">
        <v>868</v>
      </c>
      <c r="D10" t="s">
        <v>867</v>
      </c>
      <c r="F10" t="s">
        <v>866</v>
      </c>
      <c r="G10" t="s">
        <v>4</v>
      </c>
      <c r="H10" t="s">
        <v>3</v>
      </c>
      <c r="I10" t="s">
        <v>865</v>
      </c>
      <c r="N10">
        <v>3</v>
      </c>
      <c r="O10" t="s">
        <v>864</v>
      </c>
      <c r="P10" t="s">
        <v>863</v>
      </c>
      <c r="Q10" t="s">
        <v>13</v>
      </c>
      <c r="R10" s="7">
        <v>30286</v>
      </c>
      <c r="S10" s="8">
        <f t="shared" si="0"/>
        <v>1982</v>
      </c>
      <c r="T10" s="8">
        <v>1982</v>
      </c>
      <c r="U10" s="8">
        <f t="shared" si="1"/>
        <v>40</v>
      </c>
      <c r="V10" s="7">
        <v>1982</v>
      </c>
      <c r="W10" t="s">
        <v>851</v>
      </c>
      <c r="X10" s="2" t="s">
        <v>7</v>
      </c>
      <c r="Y10" s="6" t="e">
        <f t="shared" si="2"/>
        <v>#VALUE!</v>
      </c>
      <c r="AA10">
        <v>63509</v>
      </c>
      <c r="AB10">
        <v>14860</v>
      </c>
      <c r="AD10" t="s">
        <v>1</v>
      </c>
      <c r="AE10">
        <v>27</v>
      </c>
      <c r="AF10">
        <v>1</v>
      </c>
      <c r="AH10" t="s">
        <v>862</v>
      </c>
      <c r="AI10" t="s">
        <v>861</v>
      </c>
      <c r="AK10" t="s">
        <v>860</v>
      </c>
      <c r="AL10">
        <v>0</v>
      </c>
      <c r="AM10" s="5">
        <f t="shared" si="3"/>
        <v>0</v>
      </c>
      <c r="AN10" s="4">
        <f t="shared" si="4"/>
        <v>0</v>
      </c>
      <c r="AO10" s="3"/>
      <c r="AP10">
        <v>0</v>
      </c>
      <c r="AR10" t="s">
        <v>0</v>
      </c>
      <c r="AT10" s="2" t="s">
        <v>7</v>
      </c>
      <c r="AU10" s="1" t="e">
        <f t="shared" si="5"/>
        <v>#VALUE!</v>
      </c>
      <c r="AV10" s="1" t="e">
        <f t="shared" si="6"/>
        <v>#VALUE!</v>
      </c>
      <c r="AW10" s="1" t="e">
        <f t="shared" si="7"/>
        <v>#VALUE!</v>
      </c>
    </row>
    <row r="11" spans="1:49" x14ac:dyDescent="0.2">
      <c r="A11">
        <v>9</v>
      </c>
      <c r="B11" t="s">
        <v>859</v>
      </c>
      <c r="D11">
        <v>6350982901648</v>
      </c>
      <c r="F11" t="s">
        <v>858</v>
      </c>
      <c r="G11" t="s">
        <v>4</v>
      </c>
      <c r="H11" t="s">
        <v>3</v>
      </c>
      <c r="I11" t="s">
        <v>857</v>
      </c>
      <c r="J11">
        <v>60021331</v>
      </c>
      <c r="K11" t="s">
        <v>856</v>
      </c>
      <c r="L11" t="s">
        <v>855</v>
      </c>
      <c r="M11" t="s">
        <v>75</v>
      </c>
      <c r="N11">
        <v>2</v>
      </c>
      <c r="O11" t="s">
        <v>854</v>
      </c>
      <c r="P11" t="s">
        <v>853</v>
      </c>
      <c r="Q11" t="s">
        <v>852</v>
      </c>
      <c r="R11" s="7">
        <v>30286</v>
      </c>
      <c r="S11" s="8">
        <f t="shared" si="0"/>
        <v>1982</v>
      </c>
      <c r="T11" s="8">
        <v>1982</v>
      </c>
      <c r="U11" s="8">
        <f t="shared" si="1"/>
        <v>40</v>
      </c>
      <c r="V11" s="7">
        <v>1982</v>
      </c>
      <c r="W11" t="s">
        <v>851</v>
      </c>
      <c r="X11" s="2" t="s">
        <v>7</v>
      </c>
      <c r="Y11" s="6" t="e">
        <f t="shared" si="2"/>
        <v>#VALUE!</v>
      </c>
      <c r="AA11">
        <v>63509</v>
      </c>
      <c r="AB11">
        <v>14860</v>
      </c>
      <c r="AD11" t="s">
        <v>1</v>
      </c>
      <c r="AE11">
        <v>27</v>
      </c>
      <c r="AF11">
        <v>1</v>
      </c>
      <c r="AH11" t="s">
        <v>850</v>
      </c>
      <c r="AI11" t="s">
        <v>849</v>
      </c>
      <c r="AK11" t="s">
        <v>848</v>
      </c>
      <c r="AL11">
        <v>0</v>
      </c>
      <c r="AM11" s="5">
        <f t="shared" si="3"/>
        <v>0</v>
      </c>
      <c r="AN11" s="4">
        <f t="shared" si="4"/>
        <v>0</v>
      </c>
      <c r="AO11" s="3"/>
      <c r="AP11">
        <v>0</v>
      </c>
      <c r="AR11" t="s">
        <v>0</v>
      </c>
      <c r="AT11" s="2" t="s">
        <v>7</v>
      </c>
      <c r="AU11" s="1" t="e">
        <f t="shared" si="5"/>
        <v>#VALUE!</v>
      </c>
      <c r="AV11" s="1" t="e">
        <f t="shared" si="6"/>
        <v>#VALUE!</v>
      </c>
      <c r="AW11" s="1" t="e">
        <f t="shared" si="7"/>
        <v>#VALUE!</v>
      </c>
    </row>
    <row r="12" spans="1:49" x14ac:dyDescent="0.2">
      <c r="A12">
        <v>10</v>
      </c>
      <c r="B12" t="s">
        <v>847</v>
      </c>
      <c r="C12" t="s">
        <v>846</v>
      </c>
      <c r="F12" t="s">
        <v>845</v>
      </c>
      <c r="G12" t="s">
        <v>4</v>
      </c>
      <c r="H12" t="s">
        <v>3</v>
      </c>
      <c r="I12" t="s">
        <v>844</v>
      </c>
      <c r="J12">
        <v>60009982</v>
      </c>
      <c r="K12" t="s">
        <v>42</v>
      </c>
      <c r="L12" t="s">
        <v>41</v>
      </c>
      <c r="M12" t="s">
        <v>8</v>
      </c>
      <c r="N12">
        <v>3</v>
      </c>
      <c r="O12" t="s">
        <v>843</v>
      </c>
      <c r="P12" t="s">
        <v>842</v>
      </c>
      <c r="Q12" t="s">
        <v>841</v>
      </c>
      <c r="R12" s="7">
        <v>30286</v>
      </c>
      <c r="S12" s="8">
        <f t="shared" si="0"/>
        <v>1982</v>
      </c>
      <c r="T12" s="8">
        <v>1982</v>
      </c>
      <c r="U12" s="8">
        <f t="shared" si="1"/>
        <v>40</v>
      </c>
      <c r="V12" s="7">
        <v>1982</v>
      </c>
      <c r="W12" t="s">
        <v>564</v>
      </c>
      <c r="X12" s="2">
        <v>1.1819999999999999</v>
      </c>
      <c r="Y12" s="6">
        <f t="shared" si="2"/>
        <v>3.1552814927524625E-2</v>
      </c>
      <c r="AA12">
        <v>36951</v>
      </c>
      <c r="AB12">
        <v>27030</v>
      </c>
      <c r="AD12" t="s">
        <v>1</v>
      </c>
      <c r="AE12">
        <v>41</v>
      </c>
      <c r="AF12">
        <v>9</v>
      </c>
      <c r="AH12" t="s">
        <v>840</v>
      </c>
      <c r="AI12" t="s">
        <v>839</v>
      </c>
      <c r="AK12" t="s">
        <v>838</v>
      </c>
      <c r="AL12">
        <v>27</v>
      </c>
      <c r="AM12" s="5">
        <f t="shared" si="3"/>
        <v>0.67500000000000004</v>
      </c>
      <c r="AN12" s="4">
        <f t="shared" si="4"/>
        <v>1.0223400227186673E-3</v>
      </c>
      <c r="AO12" s="3"/>
      <c r="AP12">
        <v>0</v>
      </c>
      <c r="AR12" t="s">
        <v>0</v>
      </c>
      <c r="AT12" s="2">
        <v>3.7909999999999999</v>
      </c>
      <c r="AU12" s="1">
        <f t="shared" si="5"/>
        <v>2.2393672456082836</v>
      </c>
      <c r="AV12" s="1">
        <f t="shared" si="6"/>
        <v>1.6287577475121648</v>
      </c>
      <c r="AW12" s="1">
        <f t="shared" si="7"/>
        <v>1.0181482494160454</v>
      </c>
    </row>
    <row r="13" spans="1:49" x14ac:dyDescent="0.2">
      <c r="A13">
        <v>11</v>
      </c>
      <c r="B13" t="s">
        <v>837</v>
      </c>
      <c r="C13" t="s">
        <v>836</v>
      </c>
      <c r="F13" t="s">
        <v>835</v>
      </c>
      <c r="G13" t="s">
        <v>4</v>
      </c>
      <c r="H13" t="s">
        <v>3</v>
      </c>
      <c r="I13" t="s">
        <v>834</v>
      </c>
      <c r="J13">
        <v>60027165</v>
      </c>
      <c r="K13" t="s">
        <v>70</v>
      </c>
      <c r="L13" t="s">
        <v>69</v>
      </c>
      <c r="M13" t="s">
        <v>8</v>
      </c>
      <c r="N13">
        <v>1</v>
      </c>
      <c r="O13" t="s">
        <v>833</v>
      </c>
      <c r="P13">
        <v>57196530062</v>
      </c>
      <c r="Q13">
        <v>60027165</v>
      </c>
      <c r="R13" s="7">
        <v>30286</v>
      </c>
      <c r="S13" s="8">
        <f t="shared" si="0"/>
        <v>1982</v>
      </c>
      <c r="T13" s="8">
        <v>1982</v>
      </c>
      <c r="U13" s="8">
        <f t="shared" si="1"/>
        <v>40</v>
      </c>
      <c r="V13" s="7">
        <v>1982</v>
      </c>
      <c r="W13" t="s">
        <v>599</v>
      </c>
      <c r="X13" s="2">
        <v>0.69899999999999995</v>
      </c>
      <c r="Y13" s="6">
        <f t="shared" si="2"/>
        <v>1.8659405782013295E-2</v>
      </c>
      <c r="AA13">
        <v>218979</v>
      </c>
      <c r="AB13">
        <v>28132</v>
      </c>
      <c r="AD13" t="s">
        <v>1</v>
      </c>
      <c r="AE13">
        <v>53</v>
      </c>
      <c r="AF13">
        <v>6</v>
      </c>
      <c r="AH13" t="s">
        <v>832</v>
      </c>
      <c r="AI13" t="s">
        <v>831</v>
      </c>
      <c r="AK13" t="s">
        <v>830</v>
      </c>
      <c r="AL13">
        <v>5</v>
      </c>
      <c r="AM13" s="5">
        <f t="shared" si="3"/>
        <v>0.125</v>
      </c>
      <c r="AN13" s="4">
        <f t="shared" si="4"/>
        <v>1.893222264293828E-4</v>
      </c>
      <c r="AO13" s="3"/>
      <c r="AP13">
        <v>0</v>
      </c>
      <c r="AR13" t="s">
        <v>0</v>
      </c>
      <c r="AT13" s="2">
        <v>2.5459999999999998</v>
      </c>
      <c r="AU13" s="1">
        <f t="shared" si="5"/>
        <v>1.3118380715338118</v>
      </c>
      <c r="AV13" s="1">
        <f t="shared" si="6"/>
        <v>0.94243640042213395</v>
      </c>
      <c r="AW13" s="1">
        <f t="shared" si="7"/>
        <v>0.57303472931045563</v>
      </c>
    </row>
    <row r="14" spans="1:49" x14ac:dyDescent="0.2">
      <c r="A14">
        <v>12</v>
      </c>
      <c r="B14" t="s">
        <v>829</v>
      </c>
      <c r="C14" t="s">
        <v>828</v>
      </c>
      <c r="F14" t="s">
        <v>827</v>
      </c>
      <c r="G14" t="s">
        <v>4</v>
      </c>
      <c r="H14" t="s">
        <v>3</v>
      </c>
      <c r="I14" t="s">
        <v>826</v>
      </c>
      <c r="J14">
        <v>60030788</v>
      </c>
      <c r="K14" t="s">
        <v>80</v>
      </c>
      <c r="L14" t="s">
        <v>79</v>
      </c>
      <c r="M14" t="s">
        <v>12</v>
      </c>
      <c r="N14">
        <v>3</v>
      </c>
      <c r="O14" t="s">
        <v>825</v>
      </c>
      <c r="P14" t="s">
        <v>824</v>
      </c>
      <c r="Q14" t="s">
        <v>823</v>
      </c>
      <c r="R14" s="7">
        <v>30286</v>
      </c>
      <c r="S14" s="8">
        <f t="shared" si="0"/>
        <v>1982</v>
      </c>
      <c r="T14" s="8">
        <v>1982</v>
      </c>
      <c r="U14" s="8">
        <f t="shared" si="1"/>
        <v>40</v>
      </c>
      <c r="V14" s="7">
        <v>1982</v>
      </c>
      <c r="W14" t="s">
        <v>553</v>
      </c>
      <c r="X14" s="2" t="s">
        <v>7</v>
      </c>
      <c r="Y14" s="6" t="e">
        <f t="shared" si="2"/>
        <v>#VALUE!</v>
      </c>
      <c r="AA14">
        <v>321028</v>
      </c>
      <c r="AB14">
        <v>60924</v>
      </c>
      <c r="AD14" t="s">
        <v>1</v>
      </c>
      <c r="AE14">
        <v>24</v>
      </c>
      <c r="AF14">
        <v>9</v>
      </c>
      <c r="AG14">
        <v>1</v>
      </c>
      <c r="AH14" t="s">
        <v>822</v>
      </c>
      <c r="AI14" t="s">
        <v>821</v>
      </c>
      <c r="AK14" t="s">
        <v>820</v>
      </c>
      <c r="AL14">
        <v>3</v>
      </c>
      <c r="AM14" s="5">
        <f t="shared" si="3"/>
        <v>7.4999999999999997E-2</v>
      </c>
      <c r="AN14" s="4">
        <f t="shared" si="4"/>
        <v>1.1359333585762968E-4</v>
      </c>
      <c r="AO14" s="3"/>
      <c r="AP14">
        <v>0</v>
      </c>
      <c r="AR14" t="s">
        <v>0</v>
      </c>
      <c r="AT14" s="2" t="s">
        <v>7</v>
      </c>
      <c r="AU14" s="1" t="e">
        <f t="shared" si="5"/>
        <v>#VALUE!</v>
      </c>
      <c r="AV14" s="1" t="e">
        <f t="shared" si="6"/>
        <v>#VALUE!</v>
      </c>
      <c r="AW14" s="1" t="e">
        <f t="shared" si="7"/>
        <v>#VALUE!</v>
      </c>
    </row>
    <row r="15" spans="1:49" x14ac:dyDescent="0.2">
      <c r="A15">
        <v>13</v>
      </c>
      <c r="B15" t="s">
        <v>819</v>
      </c>
      <c r="C15" t="s">
        <v>818</v>
      </c>
      <c r="F15" t="s">
        <v>817</v>
      </c>
      <c r="G15" t="s">
        <v>4</v>
      </c>
      <c r="H15" t="s">
        <v>3</v>
      </c>
      <c r="I15" t="s">
        <v>816</v>
      </c>
      <c r="J15">
        <v>60007566</v>
      </c>
      <c r="K15" t="s">
        <v>815</v>
      </c>
      <c r="L15" t="s">
        <v>814</v>
      </c>
      <c r="M15" t="s">
        <v>8</v>
      </c>
      <c r="N15">
        <v>2</v>
      </c>
      <c r="O15" t="s">
        <v>813</v>
      </c>
      <c r="P15" t="s">
        <v>812</v>
      </c>
      <c r="Q15" t="s">
        <v>811</v>
      </c>
      <c r="R15" s="7">
        <v>30286</v>
      </c>
      <c r="S15" s="8">
        <f t="shared" si="0"/>
        <v>1982</v>
      </c>
      <c r="T15" s="8">
        <v>1982</v>
      </c>
      <c r="U15" s="8">
        <f t="shared" si="1"/>
        <v>40</v>
      </c>
      <c r="V15" s="7">
        <v>30286</v>
      </c>
      <c r="W15" t="s">
        <v>90</v>
      </c>
      <c r="X15" s="2">
        <v>0.85499999999999998</v>
      </c>
      <c r="Y15" s="6">
        <f t="shared" si="2"/>
        <v>2.28237366861536E-2</v>
      </c>
      <c r="AA15">
        <v>980331</v>
      </c>
      <c r="AB15">
        <v>23342</v>
      </c>
      <c r="AC15">
        <v>15731561</v>
      </c>
      <c r="AD15" t="s">
        <v>1</v>
      </c>
      <c r="AE15">
        <v>8</v>
      </c>
      <c r="AF15">
        <v>12</v>
      </c>
      <c r="AH15" t="s">
        <v>810</v>
      </c>
      <c r="AI15" t="s">
        <v>809</v>
      </c>
      <c r="AJ15" t="s">
        <v>808</v>
      </c>
      <c r="AK15" t="s">
        <v>807</v>
      </c>
      <c r="AL15">
        <v>2</v>
      </c>
      <c r="AM15" s="5">
        <f t="shared" si="3"/>
        <v>0.05</v>
      </c>
      <c r="AN15" s="4">
        <f t="shared" si="4"/>
        <v>7.5728890571753133E-5</v>
      </c>
      <c r="AO15" s="3"/>
      <c r="AP15">
        <v>0</v>
      </c>
      <c r="AR15" t="s">
        <v>0</v>
      </c>
      <c r="AT15" s="2">
        <v>2.6259999999999999</v>
      </c>
      <c r="AU15" s="1">
        <f t="shared" si="5"/>
        <v>1.5999334347479042</v>
      </c>
      <c r="AV15" s="1">
        <f t="shared" si="6"/>
        <v>1.1449732788362676</v>
      </c>
      <c r="AW15" s="1">
        <f t="shared" si="7"/>
        <v>0.69001312292463068</v>
      </c>
    </row>
    <row r="16" spans="1:49" x14ac:dyDescent="0.2">
      <c r="A16">
        <v>14</v>
      </c>
      <c r="B16" t="s">
        <v>806</v>
      </c>
      <c r="C16" t="s">
        <v>805</v>
      </c>
      <c r="F16" t="s">
        <v>804</v>
      </c>
      <c r="G16" t="s">
        <v>4</v>
      </c>
      <c r="H16" t="s">
        <v>3</v>
      </c>
      <c r="I16" t="s">
        <v>803</v>
      </c>
      <c r="J16">
        <v>60024613</v>
      </c>
      <c r="K16" t="s">
        <v>802</v>
      </c>
      <c r="L16" t="s">
        <v>28</v>
      </c>
      <c r="M16" t="s">
        <v>8</v>
      </c>
      <c r="N16">
        <v>3</v>
      </c>
      <c r="O16" t="s">
        <v>801</v>
      </c>
      <c r="P16" t="s">
        <v>800</v>
      </c>
      <c r="Q16" t="s">
        <v>799</v>
      </c>
      <c r="R16" s="7">
        <v>30286</v>
      </c>
      <c r="S16" s="8">
        <f t="shared" si="0"/>
        <v>1982</v>
      </c>
      <c r="T16" s="8">
        <v>1982</v>
      </c>
      <c r="U16" s="8">
        <f t="shared" si="1"/>
        <v>40</v>
      </c>
      <c r="V16" s="7">
        <v>30286</v>
      </c>
      <c r="W16" t="s">
        <v>74</v>
      </c>
      <c r="X16" s="2">
        <v>1.1579999999999999</v>
      </c>
      <c r="Y16" s="6">
        <f t="shared" si="2"/>
        <v>3.0912148634579962E-2</v>
      </c>
      <c r="AA16">
        <v>1668595</v>
      </c>
      <c r="AB16">
        <v>14223</v>
      </c>
      <c r="AC16">
        <v>15735079</v>
      </c>
      <c r="AD16" t="s">
        <v>1</v>
      </c>
      <c r="AE16">
        <v>3</v>
      </c>
      <c r="AF16">
        <v>4</v>
      </c>
      <c r="AH16" t="s">
        <v>798</v>
      </c>
      <c r="AI16" t="s">
        <v>797</v>
      </c>
      <c r="AJ16" t="s">
        <v>796</v>
      </c>
      <c r="AK16" t="s">
        <v>795</v>
      </c>
      <c r="AL16">
        <v>5</v>
      </c>
      <c r="AM16" s="5">
        <f t="shared" si="3"/>
        <v>0.125</v>
      </c>
      <c r="AN16" s="4">
        <f t="shared" si="4"/>
        <v>1.893222264293828E-4</v>
      </c>
      <c r="AO16" s="3"/>
      <c r="AP16">
        <v>0</v>
      </c>
      <c r="AR16" t="s">
        <v>0</v>
      </c>
      <c r="AT16" s="2">
        <v>3.573</v>
      </c>
      <c r="AU16" s="1">
        <f t="shared" si="5"/>
        <v>2.1695300712134786</v>
      </c>
      <c r="AV16" s="1">
        <f t="shared" si="6"/>
        <v>1.5550735430504674</v>
      </c>
      <c r="AW16" s="1">
        <f t="shared" si="7"/>
        <v>0.94061701488745575</v>
      </c>
    </row>
    <row r="17" spans="1:49" x14ac:dyDescent="0.2">
      <c r="A17">
        <v>15</v>
      </c>
      <c r="B17" t="s">
        <v>794</v>
      </c>
      <c r="C17" t="s">
        <v>793</v>
      </c>
      <c r="F17" t="s">
        <v>792</v>
      </c>
      <c r="G17" t="s">
        <v>4</v>
      </c>
      <c r="H17" t="s">
        <v>3</v>
      </c>
      <c r="I17" t="s">
        <v>791</v>
      </c>
      <c r="J17">
        <v>60012464</v>
      </c>
      <c r="K17" t="s">
        <v>790</v>
      </c>
      <c r="L17" t="s">
        <v>789</v>
      </c>
      <c r="M17" t="s">
        <v>788</v>
      </c>
      <c r="N17">
        <v>1</v>
      </c>
      <c r="O17" t="s">
        <v>787</v>
      </c>
      <c r="P17">
        <v>7005930886</v>
      </c>
      <c r="Q17">
        <v>60012464</v>
      </c>
      <c r="R17" s="7">
        <v>30286</v>
      </c>
      <c r="S17" s="8">
        <f t="shared" si="0"/>
        <v>1982</v>
      </c>
      <c r="T17" s="8">
        <v>1982</v>
      </c>
      <c r="U17" s="8">
        <f t="shared" si="1"/>
        <v>40</v>
      </c>
      <c r="V17" s="7">
        <v>30286</v>
      </c>
      <c r="W17" t="s">
        <v>109</v>
      </c>
      <c r="X17" s="2">
        <v>1.026</v>
      </c>
      <c r="Y17" s="6">
        <f t="shared" si="2"/>
        <v>2.738848402338432E-2</v>
      </c>
      <c r="AA17">
        <v>380938</v>
      </c>
      <c r="AB17">
        <v>28245</v>
      </c>
      <c r="AC17" t="s">
        <v>108</v>
      </c>
      <c r="AD17" t="s">
        <v>1</v>
      </c>
      <c r="AE17">
        <v>81</v>
      </c>
      <c r="AF17">
        <v>2</v>
      </c>
      <c r="AH17" t="s">
        <v>786</v>
      </c>
      <c r="AI17" t="s">
        <v>785</v>
      </c>
      <c r="AK17" t="s">
        <v>784</v>
      </c>
      <c r="AL17">
        <v>0</v>
      </c>
      <c r="AM17" s="5">
        <f t="shared" si="3"/>
        <v>0</v>
      </c>
      <c r="AN17" s="4">
        <f t="shared" si="4"/>
        <v>0</v>
      </c>
      <c r="AO17" s="3"/>
      <c r="AP17">
        <v>0</v>
      </c>
      <c r="AR17" t="s">
        <v>0</v>
      </c>
      <c r="AT17" s="2">
        <v>2.6709999999999998</v>
      </c>
      <c r="AU17" s="1">
        <f t="shared" si="5"/>
        <v>1.9171938816369023</v>
      </c>
      <c r="AV17" s="1">
        <f t="shared" si="6"/>
        <v>1.3694242011692159</v>
      </c>
      <c r="AW17" s="1">
        <f t="shared" si="7"/>
        <v>0.82165452070152956</v>
      </c>
    </row>
    <row r="18" spans="1:49" x14ac:dyDescent="0.2">
      <c r="A18">
        <v>16</v>
      </c>
      <c r="B18" t="s">
        <v>783</v>
      </c>
      <c r="C18" t="s">
        <v>782</v>
      </c>
      <c r="F18" t="s">
        <v>781</v>
      </c>
      <c r="G18" t="s">
        <v>4</v>
      </c>
      <c r="H18" t="s">
        <v>3</v>
      </c>
      <c r="I18" t="s">
        <v>780</v>
      </c>
      <c r="J18">
        <v>60068924</v>
      </c>
      <c r="K18" t="s">
        <v>779</v>
      </c>
      <c r="L18" t="s">
        <v>778</v>
      </c>
      <c r="M18" t="s">
        <v>777</v>
      </c>
      <c r="N18">
        <v>1</v>
      </c>
      <c r="O18" t="s">
        <v>776</v>
      </c>
      <c r="P18">
        <v>6701368960</v>
      </c>
      <c r="Q18">
        <v>60068924</v>
      </c>
      <c r="R18" s="7">
        <v>30286</v>
      </c>
      <c r="S18" s="8">
        <f t="shared" si="0"/>
        <v>1982</v>
      </c>
      <c r="T18" s="8">
        <v>1982</v>
      </c>
      <c r="U18" s="8">
        <f t="shared" si="1"/>
        <v>40</v>
      </c>
      <c r="V18" s="7">
        <v>1982</v>
      </c>
      <c r="W18" t="s">
        <v>553</v>
      </c>
      <c r="X18" s="2" t="s">
        <v>7</v>
      </c>
      <c r="Y18" s="6" t="e">
        <f t="shared" si="2"/>
        <v>#VALUE!</v>
      </c>
      <c r="AA18">
        <v>321028</v>
      </c>
      <c r="AB18">
        <v>60924</v>
      </c>
      <c r="AD18" t="s">
        <v>1</v>
      </c>
      <c r="AE18">
        <v>24</v>
      </c>
      <c r="AF18">
        <v>5</v>
      </c>
      <c r="AG18">
        <v>11</v>
      </c>
      <c r="AH18" t="s">
        <v>775</v>
      </c>
      <c r="AI18" t="s">
        <v>774</v>
      </c>
      <c r="AK18" t="s">
        <v>773</v>
      </c>
      <c r="AL18">
        <v>5</v>
      </c>
      <c r="AM18" s="5">
        <f t="shared" si="3"/>
        <v>0.125</v>
      </c>
      <c r="AN18" s="4">
        <f t="shared" si="4"/>
        <v>1.893222264293828E-4</v>
      </c>
      <c r="AO18" s="3"/>
      <c r="AP18">
        <v>0</v>
      </c>
      <c r="AR18" t="s">
        <v>0</v>
      </c>
      <c r="AT18" s="2" t="s">
        <v>7</v>
      </c>
      <c r="AU18" s="1" t="e">
        <f t="shared" si="5"/>
        <v>#VALUE!</v>
      </c>
      <c r="AV18" s="1" t="e">
        <f t="shared" si="6"/>
        <v>#VALUE!</v>
      </c>
      <c r="AW18" s="1" t="e">
        <f t="shared" si="7"/>
        <v>#VALUE!</v>
      </c>
    </row>
    <row r="19" spans="1:49" x14ac:dyDescent="0.2">
      <c r="A19">
        <v>17</v>
      </c>
      <c r="B19" t="s">
        <v>772</v>
      </c>
      <c r="C19" t="s">
        <v>771</v>
      </c>
      <c r="F19" t="s">
        <v>770</v>
      </c>
      <c r="G19" t="s">
        <v>4</v>
      </c>
      <c r="H19" t="s">
        <v>3</v>
      </c>
      <c r="I19" t="s">
        <v>684</v>
      </c>
      <c r="J19">
        <v>60000264</v>
      </c>
      <c r="K19" t="s">
        <v>660</v>
      </c>
      <c r="L19" t="s">
        <v>659</v>
      </c>
      <c r="M19" t="s">
        <v>12</v>
      </c>
      <c r="N19">
        <v>3</v>
      </c>
      <c r="O19" t="s">
        <v>769</v>
      </c>
      <c r="P19" t="s">
        <v>768</v>
      </c>
      <c r="Q19" t="s">
        <v>656</v>
      </c>
      <c r="R19" s="7">
        <v>30286</v>
      </c>
      <c r="S19" s="8">
        <f t="shared" si="0"/>
        <v>1982</v>
      </c>
      <c r="T19" s="8">
        <v>1982</v>
      </c>
      <c r="U19" s="8">
        <f t="shared" si="1"/>
        <v>40</v>
      </c>
      <c r="V19" s="7">
        <v>1982</v>
      </c>
      <c r="W19" t="s">
        <v>553</v>
      </c>
      <c r="X19" s="2" t="s">
        <v>7</v>
      </c>
      <c r="Y19" s="6" t="e">
        <f t="shared" si="2"/>
        <v>#VALUE!</v>
      </c>
      <c r="AA19">
        <v>321028</v>
      </c>
      <c r="AB19">
        <v>60924</v>
      </c>
      <c r="AD19" t="s">
        <v>1</v>
      </c>
      <c r="AE19">
        <v>24</v>
      </c>
      <c r="AF19">
        <v>4</v>
      </c>
      <c r="AG19">
        <v>3</v>
      </c>
      <c r="AH19" t="s">
        <v>767</v>
      </c>
      <c r="AI19" t="s">
        <v>766</v>
      </c>
      <c r="AK19" t="s">
        <v>765</v>
      </c>
      <c r="AL19">
        <v>11</v>
      </c>
      <c r="AM19" s="5">
        <f t="shared" si="3"/>
        <v>0.27500000000000002</v>
      </c>
      <c r="AN19" s="4">
        <f t="shared" si="4"/>
        <v>4.1650889814464221E-4</v>
      </c>
      <c r="AO19" s="3"/>
      <c r="AP19">
        <v>0</v>
      </c>
      <c r="AR19" t="s">
        <v>0</v>
      </c>
      <c r="AT19" s="2" t="s">
        <v>7</v>
      </c>
      <c r="AU19" s="1" t="e">
        <f t="shared" si="5"/>
        <v>#VALUE!</v>
      </c>
      <c r="AV19" s="1" t="e">
        <f t="shared" si="6"/>
        <v>#VALUE!</v>
      </c>
      <c r="AW19" s="1" t="e">
        <f t="shared" si="7"/>
        <v>#VALUE!</v>
      </c>
    </row>
    <row r="20" spans="1:49" x14ac:dyDescent="0.2">
      <c r="A20">
        <v>18</v>
      </c>
      <c r="B20" t="s">
        <v>764</v>
      </c>
      <c r="C20" t="s">
        <v>763</v>
      </c>
      <c r="F20" t="s">
        <v>762</v>
      </c>
      <c r="G20" t="s">
        <v>4</v>
      </c>
      <c r="H20" t="s">
        <v>3</v>
      </c>
      <c r="I20" t="s">
        <v>761</v>
      </c>
      <c r="N20">
        <v>2</v>
      </c>
      <c r="O20" t="s">
        <v>760</v>
      </c>
      <c r="P20" t="s">
        <v>759</v>
      </c>
      <c r="Q20" t="s">
        <v>2</v>
      </c>
      <c r="R20" s="7">
        <v>30286</v>
      </c>
      <c r="S20" s="8">
        <f t="shared" si="0"/>
        <v>1982</v>
      </c>
      <c r="T20" s="8">
        <v>1982</v>
      </c>
      <c r="U20" s="8">
        <f t="shared" si="1"/>
        <v>40</v>
      </c>
      <c r="V20" s="7">
        <v>1982</v>
      </c>
      <c r="W20" t="s">
        <v>553</v>
      </c>
      <c r="X20" s="2" t="s">
        <v>7</v>
      </c>
      <c r="Y20" s="6" t="e">
        <f t="shared" si="2"/>
        <v>#VALUE!</v>
      </c>
      <c r="AA20">
        <v>321028</v>
      </c>
      <c r="AB20">
        <v>60924</v>
      </c>
      <c r="AD20" t="s">
        <v>1</v>
      </c>
      <c r="AE20">
        <v>24</v>
      </c>
      <c r="AF20">
        <v>10</v>
      </c>
      <c r="AG20">
        <v>1</v>
      </c>
      <c r="AH20" t="s">
        <v>758</v>
      </c>
      <c r="AI20" t="s">
        <v>757</v>
      </c>
      <c r="AK20" t="s">
        <v>756</v>
      </c>
      <c r="AL20">
        <v>73</v>
      </c>
      <c r="AM20" s="5">
        <f t="shared" si="3"/>
        <v>1.825</v>
      </c>
      <c r="AN20" s="4">
        <f t="shared" si="4"/>
        <v>2.7641045058689889E-3</v>
      </c>
      <c r="AO20" s="3"/>
      <c r="AP20">
        <v>0</v>
      </c>
      <c r="AR20" t="s">
        <v>0</v>
      </c>
      <c r="AT20" s="2" t="s">
        <v>7</v>
      </c>
      <c r="AU20" s="1" t="e">
        <f t="shared" si="5"/>
        <v>#VALUE!</v>
      </c>
      <c r="AV20" s="1" t="e">
        <f t="shared" si="6"/>
        <v>#VALUE!</v>
      </c>
      <c r="AW20" s="1" t="e">
        <f t="shared" si="7"/>
        <v>#VALUE!</v>
      </c>
    </row>
    <row r="21" spans="1:49" x14ac:dyDescent="0.2">
      <c r="A21">
        <v>19</v>
      </c>
      <c r="B21" t="s">
        <v>755</v>
      </c>
      <c r="C21" t="s">
        <v>754</v>
      </c>
      <c r="F21" t="s">
        <v>753</v>
      </c>
      <c r="G21" t="s">
        <v>4</v>
      </c>
      <c r="H21" t="s">
        <v>3</v>
      </c>
      <c r="I21" t="s">
        <v>580</v>
      </c>
      <c r="J21">
        <v>60031581</v>
      </c>
      <c r="K21" t="s">
        <v>46</v>
      </c>
      <c r="L21" t="s">
        <v>15</v>
      </c>
      <c r="M21" t="s">
        <v>8</v>
      </c>
      <c r="N21">
        <v>2</v>
      </c>
      <c r="O21" t="s">
        <v>752</v>
      </c>
      <c r="P21" t="s">
        <v>751</v>
      </c>
      <c r="Q21" t="s">
        <v>45</v>
      </c>
      <c r="R21" s="7">
        <v>30286</v>
      </c>
      <c r="S21" s="8">
        <f t="shared" si="0"/>
        <v>1982</v>
      </c>
      <c r="T21" s="8">
        <v>1982</v>
      </c>
      <c r="U21" s="8">
        <f t="shared" si="1"/>
        <v>40</v>
      </c>
      <c r="V21" s="7">
        <v>1982</v>
      </c>
      <c r="W21" t="s">
        <v>564</v>
      </c>
      <c r="X21" s="2">
        <v>1.1819999999999999</v>
      </c>
      <c r="Y21" s="6">
        <f t="shared" si="2"/>
        <v>3.1552814927524625E-2</v>
      </c>
      <c r="AA21">
        <v>36951</v>
      </c>
      <c r="AB21">
        <v>27030</v>
      </c>
      <c r="AD21" t="s">
        <v>1</v>
      </c>
      <c r="AE21">
        <v>41</v>
      </c>
      <c r="AF21">
        <v>5</v>
      </c>
      <c r="AH21" t="s">
        <v>750</v>
      </c>
      <c r="AI21" t="s">
        <v>749</v>
      </c>
      <c r="AK21" t="s">
        <v>748</v>
      </c>
      <c r="AL21">
        <v>15</v>
      </c>
      <c r="AM21" s="5">
        <f t="shared" si="3"/>
        <v>0.375</v>
      </c>
      <c r="AN21" s="4">
        <f t="shared" si="4"/>
        <v>5.6796667928814845E-4</v>
      </c>
      <c r="AO21" s="3"/>
      <c r="AP21">
        <v>0</v>
      </c>
      <c r="AR21" t="s">
        <v>0</v>
      </c>
      <c r="AT21" s="2">
        <v>3.7909999999999999</v>
      </c>
      <c r="AU21" s="1">
        <f t="shared" si="5"/>
        <v>2.2257360453053678</v>
      </c>
      <c r="AV21" s="1">
        <f t="shared" si="6"/>
        <v>1.6060390803406388</v>
      </c>
      <c r="AW21" s="1">
        <f t="shared" si="7"/>
        <v>0.9863421153759091</v>
      </c>
    </row>
    <row r="22" spans="1:49" x14ac:dyDescent="0.2">
      <c r="A22">
        <v>20</v>
      </c>
      <c r="B22" t="s">
        <v>747</v>
      </c>
      <c r="C22" t="s">
        <v>746</v>
      </c>
      <c r="E22">
        <v>6176880</v>
      </c>
      <c r="F22" t="s">
        <v>745</v>
      </c>
      <c r="G22" t="s">
        <v>4</v>
      </c>
      <c r="H22" t="s">
        <v>3</v>
      </c>
      <c r="I22" t="s">
        <v>744</v>
      </c>
      <c r="J22">
        <v>60012708</v>
      </c>
      <c r="K22" t="s">
        <v>43</v>
      </c>
      <c r="L22" t="s">
        <v>36</v>
      </c>
      <c r="M22" t="s">
        <v>8</v>
      </c>
      <c r="N22">
        <v>2</v>
      </c>
      <c r="O22" t="s">
        <v>743</v>
      </c>
      <c r="P22" t="s">
        <v>742</v>
      </c>
      <c r="Q22" t="s">
        <v>741</v>
      </c>
      <c r="R22" s="7">
        <v>30286</v>
      </c>
      <c r="S22" s="8">
        <f t="shared" si="0"/>
        <v>1982</v>
      </c>
      <c r="T22" s="8">
        <v>1982</v>
      </c>
      <c r="U22" s="8">
        <f t="shared" si="1"/>
        <v>40</v>
      </c>
      <c r="V22" s="7">
        <v>1982</v>
      </c>
      <c r="W22" t="s">
        <v>529</v>
      </c>
      <c r="X22" s="2">
        <v>15.993</v>
      </c>
      <c r="Y22" s="6">
        <f t="shared" si="2"/>
        <v>0.42692400096099947</v>
      </c>
      <c r="AA22">
        <v>280836</v>
      </c>
      <c r="AB22">
        <v>21206</v>
      </c>
      <c r="AD22" t="s">
        <v>1</v>
      </c>
      <c r="AE22">
        <v>297</v>
      </c>
      <c r="AF22">
        <v>5865</v>
      </c>
      <c r="AH22" t="s">
        <v>740</v>
      </c>
      <c r="AI22" t="s">
        <v>739</v>
      </c>
      <c r="AK22" t="s">
        <v>738</v>
      </c>
      <c r="AL22">
        <v>148</v>
      </c>
      <c r="AM22" s="5">
        <f t="shared" si="3"/>
        <v>3.7</v>
      </c>
      <c r="AN22" s="4">
        <f t="shared" si="4"/>
        <v>5.6039379023097311E-3</v>
      </c>
      <c r="AO22" s="3"/>
      <c r="AP22">
        <v>0</v>
      </c>
      <c r="AR22" t="s">
        <v>0</v>
      </c>
      <c r="AT22" s="2">
        <v>49.962000000000003</v>
      </c>
      <c r="AU22" s="1">
        <f t="shared" si="5"/>
        <v>30.052798204339247</v>
      </c>
      <c r="AV22" s="1">
        <f t="shared" si="6"/>
        <v>21.62639694316546</v>
      </c>
      <c r="AW22" s="1">
        <f t="shared" si="7"/>
        <v>13.199995681991664</v>
      </c>
    </row>
    <row r="23" spans="1:49" x14ac:dyDescent="0.2">
      <c r="A23">
        <v>21</v>
      </c>
      <c r="B23" t="s">
        <v>737</v>
      </c>
      <c r="E23">
        <v>6980425</v>
      </c>
      <c r="F23" t="s">
        <v>736</v>
      </c>
      <c r="G23" t="s">
        <v>4</v>
      </c>
      <c r="H23" t="s">
        <v>3</v>
      </c>
      <c r="I23" t="s">
        <v>735</v>
      </c>
      <c r="J23">
        <v>60021923</v>
      </c>
      <c r="K23" t="s">
        <v>734</v>
      </c>
      <c r="L23" t="s">
        <v>33</v>
      </c>
      <c r="M23" t="s">
        <v>20</v>
      </c>
      <c r="N23">
        <v>2</v>
      </c>
      <c r="O23" t="s">
        <v>733</v>
      </c>
      <c r="P23" t="s">
        <v>732</v>
      </c>
      <c r="Q23" t="s">
        <v>731</v>
      </c>
      <c r="R23" s="7">
        <v>30286</v>
      </c>
      <c r="S23" s="8">
        <f t="shared" si="0"/>
        <v>1982</v>
      </c>
      <c r="T23" s="8">
        <v>1982</v>
      </c>
      <c r="U23" s="8">
        <f t="shared" si="1"/>
        <v>40</v>
      </c>
      <c r="V23" s="7">
        <v>1982</v>
      </c>
      <c r="W23" t="s">
        <v>730</v>
      </c>
      <c r="X23" s="2">
        <v>0.96099999999999997</v>
      </c>
      <c r="Y23" s="6">
        <f t="shared" si="2"/>
        <v>2.5653346146659192E-2</v>
      </c>
      <c r="AA23">
        <v>319406</v>
      </c>
      <c r="AB23">
        <v>16938</v>
      </c>
      <c r="AD23" t="s">
        <v>1</v>
      </c>
      <c r="AE23">
        <v>68</v>
      </c>
      <c r="AF23">
        <v>2</v>
      </c>
      <c r="AH23">
        <v>47</v>
      </c>
      <c r="AI23" t="s">
        <v>729</v>
      </c>
      <c r="AK23" t="s">
        <v>728</v>
      </c>
      <c r="AL23">
        <v>1</v>
      </c>
      <c r="AM23" s="5">
        <f t="shared" si="3"/>
        <v>2.5000000000000001E-2</v>
      </c>
      <c r="AN23" s="4">
        <f t="shared" si="4"/>
        <v>3.7864445285876567E-5</v>
      </c>
      <c r="AO23" s="3"/>
      <c r="AP23">
        <v>0</v>
      </c>
      <c r="AR23" t="s">
        <v>0</v>
      </c>
      <c r="AT23" s="2">
        <v>3.3580000000000001</v>
      </c>
      <c r="AU23" s="1">
        <f t="shared" si="5"/>
        <v>1.7968701636247193</v>
      </c>
      <c r="AV23" s="1">
        <f t="shared" si="6"/>
        <v>1.2845605295972535</v>
      </c>
      <c r="AW23" s="1">
        <f t="shared" si="7"/>
        <v>0.7722508955697871</v>
      </c>
    </row>
    <row r="24" spans="1:49" x14ac:dyDescent="0.2">
      <c r="A24">
        <v>22</v>
      </c>
      <c r="B24" t="s">
        <v>727</v>
      </c>
      <c r="E24">
        <v>7167504</v>
      </c>
      <c r="F24" t="s">
        <v>726</v>
      </c>
      <c r="G24" t="s">
        <v>4</v>
      </c>
      <c r="H24" t="s">
        <v>3</v>
      </c>
      <c r="I24" t="s">
        <v>725</v>
      </c>
      <c r="N24">
        <v>4</v>
      </c>
      <c r="O24" t="s">
        <v>724</v>
      </c>
      <c r="P24" t="s">
        <v>723</v>
      </c>
      <c r="Q24" t="s">
        <v>31</v>
      </c>
      <c r="R24" s="7">
        <v>30286</v>
      </c>
      <c r="S24" s="8">
        <f t="shared" si="0"/>
        <v>1982</v>
      </c>
      <c r="T24" s="8">
        <v>1982</v>
      </c>
      <c r="U24" s="8">
        <f t="shared" si="1"/>
        <v>40</v>
      </c>
      <c r="V24" s="7">
        <v>1982</v>
      </c>
      <c r="W24" t="s">
        <v>722</v>
      </c>
      <c r="X24" s="2" t="s">
        <v>7</v>
      </c>
      <c r="Y24" s="6" t="e">
        <f t="shared" si="2"/>
        <v>#VALUE!</v>
      </c>
      <c r="AA24">
        <v>3617742</v>
      </c>
      <c r="AB24">
        <v>32790</v>
      </c>
      <c r="AD24" t="s">
        <v>1</v>
      </c>
      <c r="AE24">
        <v>107</v>
      </c>
      <c r="AH24" t="s">
        <v>721</v>
      </c>
      <c r="AL24">
        <v>0</v>
      </c>
      <c r="AM24" s="5">
        <f t="shared" si="3"/>
        <v>0</v>
      </c>
      <c r="AN24" s="4">
        <f t="shared" si="4"/>
        <v>0</v>
      </c>
      <c r="AO24" s="3"/>
      <c r="AP24">
        <v>0</v>
      </c>
      <c r="AR24" t="s">
        <v>0</v>
      </c>
      <c r="AT24" s="2" t="s">
        <v>7</v>
      </c>
      <c r="AU24" s="1" t="e">
        <f t="shared" si="5"/>
        <v>#VALUE!</v>
      </c>
      <c r="AV24" s="1" t="e">
        <f t="shared" si="6"/>
        <v>#VALUE!</v>
      </c>
      <c r="AW24" s="1" t="e">
        <f t="shared" si="7"/>
        <v>#VALUE!</v>
      </c>
    </row>
    <row r="25" spans="1:49" x14ac:dyDescent="0.2">
      <c r="A25">
        <v>23</v>
      </c>
      <c r="B25" t="s">
        <v>720</v>
      </c>
      <c r="E25">
        <v>6821249</v>
      </c>
      <c r="F25" t="s">
        <v>719</v>
      </c>
      <c r="G25" t="s">
        <v>4</v>
      </c>
      <c r="H25" t="s">
        <v>3</v>
      </c>
      <c r="I25" t="s">
        <v>718</v>
      </c>
      <c r="J25">
        <v>60010269</v>
      </c>
      <c r="K25" t="s">
        <v>717</v>
      </c>
      <c r="L25" t="s">
        <v>41</v>
      </c>
      <c r="M25" t="s">
        <v>20</v>
      </c>
      <c r="N25">
        <v>1</v>
      </c>
      <c r="O25" t="s">
        <v>716</v>
      </c>
      <c r="P25">
        <v>7005408553</v>
      </c>
      <c r="Q25">
        <v>60010269</v>
      </c>
      <c r="R25" s="7">
        <v>30286</v>
      </c>
      <c r="S25" s="8">
        <f t="shared" si="0"/>
        <v>1982</v>
      </c>
      <c r="T25" s="8">
        <v>1982</v>
      </c>
      <c r="U25" s="8">
        <f t="shared" si="1"/>
        <v>40</v>
      </c>
      <c r="V25" s="7">
        <v>1982</v>
      </c>
      <c r="W25" t="s">
        <v>715</v>
      </c>
      <c r="X25" s="2">
        <v>2.7919999999999998</v>
      </c>
      <c r="Y25" s="6">
        <f t="shared" si="2"/>
        <v>7.4530845412562399E-2</v>
      </c>
      <c r="AA25">
        <v>166731</v>
      </c>
      <c r="AB25">
        <v>22173</v>
      </c>
      <c r="AD25" t="s">
        <v>1</v>
      </c>
      <c r="AE25">
        <v>102</v>
      </c>
      <c r="AF25">
        <v>4</v>
      </c>
      <c r="AH25" t="s">
        <v>714</v>
      </c>
      <c r="AI25" t="s">
        <v>713</v>
      </c>
      <c r="AK25" t="s">
        <v>712</v>
      </c>
      <c r="AL25">
        <v>45</v>
      </c>
      <c r="AM25" s="5">
        <f t="shared" si="3"/>
        <v>1.125</v>
      </c>
      <c r="AN25" s="4">
        <f t="shared" si="4"/>
        <v>1.7039000378644452E-3</v>
      </c>
      <c r="AO25" s="3"/>
      <c r="AP25">
        <v>0</v>
      </c>
      <c r="AR25" t="s">
        <v>0</v>
      </c>
      <c r="AT25" s="2">
        <v>4.5620000000000003</v>
      </c>
      <c r="AU25" s="1">
        <f t="shared" si="5"/>
        <v>5.2682761800153015</v>
      </c>
      <c r="AV25" s="1">
        <f t="shared" si="6"/>
        <v>3.8117372725213419</v>
      </c>
      <c r="AW25" s="1">
        <f t="shared" si="7"/>
        <v>2.3551983650273831</v>
      </c>
    </row>
    <row r="26" spans="1:49" x14ac:dyDescent="0.2">
      <c r="A26">
        <v>24</v>
      </c>
      <c r="B26" t="s">
        <v>711</v>
      </c>
      <c r="E26">
        <v>7039651</v>
      </c>
      <c r="F26" t="s">
        <v>710</v>
      </c>
      <c r="G26" t="s">
        <v>4</v>
      </c>
      <c r="H26" t="s">
        <v>3</v>
      </c>
      <c r="I26" t="s">
        <v>709</v>
      </c>
      <c r="J26">
        <v>100445216</v>
      </c>
      <c r="K26" t="s">
        <v>708</v>
      </c>
      <c r="L26" t="s">
        <v>707</v>
      </c>
      <c r="M26" t="s">
        <v>9</v>
      </c>
      <c r="N26">
        <v>4</v>
      </c>
      <c r="O26" t="s">
        <v>706</v>
      </c>
      <c r="P26" t="s">
        <v>705</v>
      </c>
      <c r="Q26" t="s">
        <v>704</v>
      </c>
      <c r="R26" s="7">
        <v>30286</v>
      </c>
      <c r="S26" s="8">
        <f t="shared" si="0"/>
        <v>1982</v>
      </c>
      <c r="T26" s="8">
        <v>1982</v>
      </c>
      <c r="U26" s="8">
        <f t="shared" si="1"/>
        <v>40</v>
      </c>
      <c r="V26" s="7">
        <v>1982</v>
      </c>
      <c r="W26" t="s">
        <v>703</v>
      </c>
      <c r="X26" s="2">
        <v>2.8330000000000002</v>
      </c>
      <c r="Y26" s="6">
        <f t="shared" si="2"/>
        <v>7.5625316996342867E-2</v>
      </c>
      <c r="AA26">
        <v>70920</v>
      </c>
      <c r="AB26">
        <v>28770</v>
      </c>
      <c r="AD26" t="s">
        <v>1</v>
      </c>
      <c r="AE26">
        <v>45</v>
      </c>
      <c r="AF26" t="s">
        <v>702</v>
      </c>
      <c r="AH26" t="s">
        <v>701</v>
      </c>
      <c r="AI26" t="s">
        <v>700</v>
      </c>
      <c r="AK26" t="s">
        <v>699</v>
      </c>
      <c r="AL26">
        <v>27</v>
      </c>
      <c r="AM26" s="5">
        <f t="shared" si="3"/>
        <v>0.67500000000000004</v>
      </c>
      <c r="AN26" s="4">
        <f t="shared" si="4"/>
        <v>1.0223400227186673E-3</v>
      </c>
      <c r="AO26" s="3"/>
      <c r="AP26">
        <v>0</v>
      </c>
      <c r="AR26" t="s">
        <v>0</v>
      </c>
      <c r="AT26" s="2">
        <v>7.64</v>
      </c>
      <c r="AU26" s="1">
        <f t="shared" si="5"/>
        <v>5.3244423904255607</v>
      </c>
      <c r="AV26" s="1">
        <f t="shared" si="6"/>
        <v>3.8323828509530768</v>
      </c>
      <c r="AW26" s="1">
        <f t="shared" si="7"/>
        <v>2.3403233114805926</v>
      </c>
    </row>
    <row r="27" spans="1:49" x14ac:dyDescent="0.2">
      <c r="A27">
        <v>25</v>
      </c>
      <c r="B27" t="s">
        <v>698</v>
      </c>
      <c r="E27">
        <v>6285534</v>
      </c>
      <c r="F27" t="s">
        <v>697</v>
      </c>
      <c r="G27" t="s">
        <v>4</v>
      </c>
      <c r="H27" t="s">
        <v>3</v>
      </c>
      <c r="I27" t="s">
        <v>696</v>
      </c>
      <c r="J27">
        <v>60004123</v>
      </c>
      <c r="K27" t="s">
        <v>695</v>
      </c>
      <c r="L27" t="s">
        <v>34</v>
      </c>
      <c r="M27" t="s">
        <v>8</v>
      </c>
      <c r="N27">
        <v>5</v>
      </c>
      <c r="O27" t="s">
        <v>694</v>
      </c>
      <c r="P27" t="s">
        <v>693</v>
      </c>
      <c r="Q27" t="s">
        <v>692</v>
      </c>
      <c r="R27" s="7">
        <v>30286</v>
      </c>
      <c r="S27" s="8">
        <f t="shared" si="0"/>
        <v>1982</v>
      </c>
      <c r="T27" s="8">
        <v>1982</v>
      </c>
      <c r="U27" s="8">
        <f t="shared" si="1"/>
        <v>40</v>
      </c>
      <c r="V27" s="7">
        <v>1982</v>
      </c>
      <c r="W27" t="s">
        <v>691</v>
      </c>
      <c r="X27" s="2">
        <v>1.532</v>
      </c>
      <c r="Y27" s="6">
        <f t="shared" si="2"/>
        <v>4.0895865032967625E-2</v>
      </c>
      <c r="AA27">
        <v>396060</v>
      </c>
      <c r="AB27">
        <v>22305</v>
      </c>
      <c r="AD27" t="s">
        <v>1</v>
      </c>
      <c r="AE27">
        <v>92</v>
      </c>
      <c r="AF27">
        <v>2</v>
      </c>
      <c r="AH27" t="s">
        <v>690</v>
      </c>
      <c r="AI27" t="s">
        <v>689</v>
      </c>
      <c r="AK27" t="s">
        <v>688</v>
      </c>
      <c r="AL27">
        <v>16</v>
      </c>
      <c r="AM27" s="5">
        <f t="shared" si="3"/>
        <v>0.4</v>
      </c>
      <c r="AN27" s="4">
        <f t="shared" si="4"/>
        <v>6.0583112457402507E-4</v>
      </c>
      <c r="AO27" s="3"/>
      <c r="AP27">
        <v>0</v>
      </c>
      <c r="AR27" t="s">
        <v>0</v>
      </c>
      <c r="AT27" s="2">
        <v>3.9820000000000002</v>
      </c>
      <c r="AU27" s="1">
        <f t="shared" si="5"/>
        <v>2.8808854860449542</v>
      </c>
      <c r="AV27" s="1">
        <f t="shared" si="6"/>
        <v>2.0750848078770825</v>
      </c>
      <c r="AW27" s="1">
        <f t="shared" si="7"/>
        <v>1.2692841297092103</v>
      </c>
    </row>
    <row r="28" spans="1:49" x14ac:dyDescent="0.2">
      <c r="A28">
        <v>26</v>
      </c>
      <c r="B28" t="s">
        <v>687</v>
      </c>
      <c r="C28" t="s">
        <v>686</v>
      </c>
      <c r="F28" t="s">
        <v>685</v>
      </c>
      <c r="G28" t="s">
        <v>4</v>
      </c>
      <c r="H28" t="s">
        <v>3</v>
      </c>
      <c r="I28" t="s">
        <v>684</v>
      </c>
      <c r="J28">
        <v>60000264</v>
      </c>
      <c r="K28" t="s">
        <v>660</v>
      </c>
      <c r="L28" t="s">
        <v>659</v>
      </c>
      <c r="M28" t="s">
        <v>12</v>
      </c>
      <c r="N28">
        <v>4</v>
      </c>
      <c r="O28" t="s">
        <v>683</v>
      </c>
      <c r="P28" t="s">
        <v>682</v>
      </c>
      <c r="Q28" t="s">
        <v>681</v>
      </c>
      <c r="R28" s="7">
        <v>30286</v>
      </c>
      <c r="S28" s="8">
        <f t="shared" si="0"/>
        <v>1982</v>
      </c>
      <c r="T28" s="8">
        <v>1982</v>
      </c>
      <c r="U28" s="8">
        <f t="shared" si="1"/>
        <v>40</v>
      </c>
      <c r="V28" s="7">
        <v>1982</v>
      </c>
      <c r="W28" t="s">
        <v>619</v>
      </c>
      <c r="X28" s="2">
        <v>0.60499999999999998</v>
      </c>
      <c r="Y28" s="6">
        <f t="shared" si="2"/>
        <v>1.6150129467980032E-2</v>
      </c>
      <c r="AA28">
        <v>346748</v>
      </c>
      <c r="AB28">
        <v>15563</v>
      </c>
      <c r="AD28" t="s">
        <v>1</v>
      </c>
      <c r="AE28">
        <v>53</v>
      </c>
      <c r="AF28">
        <v>11</v>
      </c>
      <c r="AH28" t="s">
        <v>680</v>
      </c>
      <c r="AI28" t="s">
        <v>679</v>
      </c>
      <c r="AK28" t="s">
        <v>678</v>
      </c>
      <c r="AL28">
        <v>2</v>
      </c>
      <c r="AM28" s="5">
        <f t="shared" si="3"/>
        <v>0.05</v>
      </c>
      <c r="AN28" s="4">
        <f t="shared" si="4"/>
        <v>7.5728890571753133E-5</v>
      </c>
      <c r="AO28" s="3"/>
      <c r="AP28">
        <v>0</v>
      </c>
      <c r="AR28" t="s">
        <v>0</v>
      </c>
      <c r="AT28" s="2">
        <v>1.5229999999999999</v>
      </c>
      <c r="AU28" s="1">
        <f t="shared" si="5"/>
        <v>1.1327809294757547</v>
      </c>
      <c r="AV28" s="1">
        <f t="shared" si="6"/>
        <v>0.81129291792758929</v>
      </c>
      <c r="AW28" s="1">
        <f t="shared" si="7"/>
        <v>0.4898049063794237</v>
      </c>
    </row>
    <row r="29" spans="1:49" x14ac:dyDescent="0.2">
      <c r="A29">
        <v>27</v>
      </c>
      <c r="B29" t="s">
        <v>677</v>
      </c>
      <c r="C29" t="s">
        <v>676</v>
      </c>
      <c r="F29" t="s">
        <v>675</v>
      </c>
      <c r="G29" t="s">
        <v>4</v>
      </c>
      <c r="H29" t="s">
        <v>3</v>
      </c>
      <c r="I29" t="s">
        <v>674</v>
      </c>
      <c r="J29" t="s">
        <v>673</v>
      </c>
      <c r="K29" t="s">
        <v>672</v>
      </c>
      <c r="L29" t="s">
        <v>671</v>
      </c>
      <c r="M29" t="s">
        <v>10</v>
      </c>
      <c r="N29">
        <v>4</v>
      </c>
      <c r="O29" t="s">
        <v>670</v>
      </c>
      <c r="P29" t="s">
        <v>669</v>
      </c>
      <c r="Q29" t="s">
        <v>668</v>
      </c>
      <c r="R29" s="7">
        <v>30286</v>
      </c>
      <c r="S29" s="8">
        <f t="shared" si="0"/>
        <v>1982</v>
      </c>
      <c r="T29" s="8">
        <v>1982</v>
      </c>
      <c r="U29" s="8">
        <f t="shared" si="1"/>
        <v>40</v>
      </c>
      <c r="V29" s="7">
        <v>1982</v>
      </c>
      <c r="W29" t="s">
        <v>619</v>
      </c>
      <c r="X29" s="2">
        <v>0.60499999999999998</v>
      </c>
      <c r="Y29" s="6">
        <f t="shared" si="2"/>
        <v>1.6150129467980032E-2</v>
      </c>
      <c r="AA29">
        <v>346748</v>
      </c>
      <c r="AB29">
        <v>15563</v>
      </c>
      <c r="AD29" t="s">
        <v>1</v>
      </c>
      <c r="AE29">
        <v>53</v>
      </c>
      <c r="AF29">
        <v>11</v>
      </c>
      <c r="AH29" t="s">
        <v>667</v>
      </c>
      <c r="AI29" t="s">
        <v>666</v>
      </c>
      <c r="AK29" t="s">
        <v>665</v>
      </c>
      <c r="AL29">
        <v>0</v>
      </c>
      <c r="AM29" s="5">
        <f t="shared" si="3"/>
        <v>0</v>
      </c>
      <c r="AN29" s="4">
        <f t="shared" si="4"/>
        <v>0</v>
      </c>
      <c r="AO29" s="3"/>
      <c r="AP29">
        <v>0</v>
      </c>
      <c r="AR29" t="s">
        <v>0</v>
      </c>
      <c r="AT29" s="2">
        <v>1.5229999999999999</v>
      </c>
      <c r="AU29" s="1">
        <f t="shared" si="5"/>
        <v>1.1305090627586021</v>
      </c>
      <c r="AV29" s="1">
        <f t="shared" si="6"/>
        <v>0.80750647339900161</v>
      </c>
      <c r="AW29" s="1">
        <f t="shared" si="7"/>
        <v>0.48450388403940098</v>
      </c>
    </row>
    <row r="30" spans="1:49" x14ac:dyDescent="0.2">
      <c r="A30">
        <v>28</v>
      </c>
      <c r="B30" t="s">
        <v>664</v>
      </c>
      <c r="C30" t="s">
        <v>663</v>
      </c>
      <c r="F30" t="s">
        <v>662</v>
      </c>
      <c r="G30" t="s">
        <v>4</v>
      </c>
      <c r="H30" t="s">
        <v>3</v>
      </c>
      <c r="I30" t="s">
        <v>661</v>
      </c>
      <c r="J30">
        <v>60000264</v>
      </c>
      <c r="K30" t="s">
        <v>660</v>
      </c>
      <c r="L30" t="s">
        <v>659</v>
      </c>
      <c r="M30" t="s">
        <v>12</v>
      </c>
      <c r="N30">
        <v>3</v>
      </c>
      <c r="O30" t="s">
        <v>658</v>
      </c>
      <c r="P30" t="s">
        <v>657</v>
      </c>
      <c r="Q30" t="s">
        <v>656</v>
      </c>
      <c r="R30" s="7">
        <v>30286</v>
      </c>
      <c r="S30" s="8">
        <f t="shared" si="0"/>
        <v>1982</v>
      </c>
      <c r="T30" s="8">
        <v>1982</v>
      </c>
      <c r="U30" s="8">
        <f t="shared" si="1"/>
        <v>40</v>
      </c>
      <c r="V30" s="7">
        <v>1982</v>
      </c>
      <c r="W30" t="s">
        <v>599</v>
      </c>
      <c r="X30" s="2">
        <v>0.69899999999999995</v>
      </c>
      <c r="Y30" s="6">
        <f t="shared" si="2"/>
        <v>1.8659405782013295E-2</v>
      </c>
      <c r="AA30">
        <v>218979</v>
      </c>
      <c r="AB30">
        <v>28132</v>
      </c>
      <c r="AD30" t="s">
        <v>1</v>
      </c>
      <c r="AE30">
        <v>53</v>
      </c>
      <c r="AF30">
        <v>10</v>
      </c>
      <c r="AH30" t="s">
        <v>655</v>
      </c>
      <c r="AI30" t="s">
        <v>654</v>
      </c>
      <c r="AK30" t="s">
        <v>653</v>
      </c>
      <c r="AL30">
        <v>3</v>
      </c>
      <c r="AM30" s="5">
        <f t="shared" si="3"/>
        <v>7.4999999999999997E-2</v>
      </c>
      <c r="AN30" s="4">
        <f t="shared" si="4"/>
        <v>1.1359333585762968E-4</v>
      </c>
      <c r="AO30" s="3"/>
      <c r="AP30">
        <v>0</v>
      </c>
      <c r="AR30" t="s">
        <v>0</v>
      </c>
      <c r="AT30" s="2">
        <v>2.5459999999999998</v>
      </c>
      <c r="AU30" s="1">
        <f t="shared" si="5"/>
        <v>1.3095662048166594</v>
      </c>
      <c r="AV30" s="1">
        <f t="shared" si="6"/>
        <v>0.93864995589354616</v>
      </c>
      <c r="AW30" s="1">
        <f t="shared" si="7"/>
        <v>0.56773370697043291</v>
      </c>
    </row>
    <row r="31" spans="1:49" x14ac:dyDescent="0.2">
      <c r="A31">
        <v>29</v>
      </c>
      <c r="B31" t="s">
        <v>652</v>
      </c>
      <c r="C31" t="s">
        <v>651</v>
      </c>
      <c r="F31" t="s">
        <v>650</v>
      </c>
      <c r="G31" t="s">
        <v>4</v>
      </c>
      <c r="H31" t="s">
        <v>3</v>
      </c>
      <c r="I31" t="s">
        <v>51</v>
      </c>
      <c r="J31">
        <v>60020595</v>
      </c>
      <c r="K31" t="s">
        <v>50</v>
      </c>
      <c r="L31" t="s">
        <v>49</v>
      </c>
      <c r="M31" t="s">
        <v>20</v>
      </c>
      <c r="N31">
        <v>2</v>
      </c>
      <c r="O31" t="s">
        <v>48</v>
      </c>
      <c r="P31" t="s">
        <v>47</v>
      </c>
      <c r="Q31" t="s">
        <v>649</v>
      </c>
      <c r="R31" s="7">
        <v>30286</v>
      </c>
      <c r="S31" s="8">
        <f t="shared" si="0"/>
        <v>1982</v>
      </c>
      <c r="T31" s="8">
        <v>1982</v>
      </c>
      <c r="U31" s="8">
        <f t="shared" si="1"/>
        <v>40</v>
      </c>
      <c r="V31" s="7">
        <v>1982</v>
      </c>
      <c r="W31" t="s">
        <v>648</v>
      </c>
      <c r="X31" s="2">
        <v>0.85699999999999998</v>
      </c>
      <c r="Y31" s="6">
        <f t="shared" si="2"/>
        <v>2.287712554389899E-2</v>
      </c>
      <c r="AA31">
        <v>223727</v>
      </c>
      <c r="AB31">
        <v>28570</v>
      </c>
      <c r="AD31" t="s">
        <v>1</v>
      </c>
      <c r="AE31">
        <v>15</v>
      </c>
      <c r="AF31">
        <v>9</v>
      </c>
      <c r="AG31">
        <v>7</v>
      </c>
      <c r="AH31" t="s">
        <v>647</v>
      </c>
      <c r="AI31" t="s">
        <v>646</v>
      </c>
      <c r="AK31" t="s">
        <v>645</v>
      </c>
      <c r="AL31">
        <v>0</v>
      </c>
      <c r="AM31" s="5">
        <f t="shared" si="3"/>
        <v>0</v>
      </c>
      <c r="AN31" s="4">
        <f t="shared" si="4"/>
        <v>0</v>
      </c>
      <c r="AO31" s="3"/>
      <c r="AP31">
        <v>0</v>
      </c>
      <c r="AR31" t="s">
        <v>0</v>
      </c>
      <c r="AT31" s="2" t="s">
        <v>7</v>
      </c>
      <c r="AU31" s="1">
        <f t="shared" si="5"/>
        <v>1.6013987880729292</v>
      </c>
      <c r="AV31" s="1">
        <f t="shared" si="6"/>
        <v>1.1438562771949494</v>
      </c>
      <c r="AW31" s="1">
        <f t="shared" si="7"/>
        <v>0.68631376631696972</v>
      </c>
    </row>
    <row r="32" spans="1:49" x14ac:dyDescent="0.2">
      <c r="A32">
        <v>30</v>
      </c>
      <c r="B32" t="s">
        <v>644</v>
      </c>
      <c r="C32" t="s">
        <v>643</v>
      </c>
      <c r="F32" t="s">
        <v>642</v>
      </c>
      <c r="G32" t="s">
        <v>4</v>
      </c>
      <c r="H32" t="s">
        <v>3</v>
      </c>
      <c r="I32" t="s">
        <v>641</v>
      </c>
      <c r="J32" t="s">
        <v>635</v>
      </c>
      <c r="K32" t="s">
        <v>640</v>
      </c>
      <c r="L32" t="s">
        <v>639</v>
      </c>
      <c r="M32" t="s">
        <v>638</v>
      </c>
      <c r="N32">
        <v>2</v>
      </c>
      <c r="O32" t="s">
        <v>637</v>
      </c>
      <c r="P32" t="s">
        <v>636</v>
      </c>
      <c r="Q32" t="s">
        <v>635</v>
      </c>
      <c r="R32" s="7">
        <v>30286</v>
      </c>
      <c r="S32" s="8">
        <f t="shared" si="0"/>
        <v>1982</v>
      </c>
      <c r="T32" s="8">
        <v>1982</v>
      </c>
      <c r="U32" s="8">
        <f t="shared" si="1"/>
        <v>40</v>
      </c>
      <c r="V32" s="7">
        <v>1982</v>
      </c>
      <c r="W32" t="s">
        <v>619</v>
      </c>
      <c r="X32" s="2">
        <v>0.60499999999999998</v>
      </c>
      <c r="Y32" s="6">
        <f t="shared" si="2"/>
        <v>1.6150129467980032E-2</v>
      </c>
      <c r="AA32">
        <v>346748</v>
      </c>
      <c r="AB32">
        <v>15563</v>
      </c>
      <c r="AD32" t="s">
        <v>1</v>
      </c>
      <c r="AE32">
        <v>53</v>
      </c>
      <c r="AF32">
        <v>5</v>
      </c>
      <c r="AH32" t="s">
        <v>634</v>
      </c>
      <c r="AI32" t="s">
        <v>633</v>
      </c>
      <c r="AK32" t="s">
        <v>632</v>
      </c>
      <c r="AL32">
        <v>3</v>
      </c>
      <c r="AM32" s="5">
        <f t="shared" si="3"/>
        <v>7.4999999999999997E-2</v>
      </c>
      <c r="AN32" s="4">
        <f t="shared" si="4"/>
        <v>1.1359333585762968E-4</v>
      </c>
      <c r="AO32" s="3"/>
      <c r="AP32">
        <v>0</v>
      </c>
      <c r="AR32" t="s">
        <v>0</v>
      </c>
      <c r="AT32" s="2">
        <v>1.5229999999999999</v>
      </c>
      <c r="AU32" s="1">
        <f t="shared" si="5"/>
        <v>1.133916862834331</v>
      </c>
      <c r="AV32" s="1">
        <f t="shared" si="6"/>
        <v>0.81318614019188307</v>
      </c>
      <c r="AW32" s="1">
        <f t="shared" si="7"/>
        <v>0.49245541754943511</v>
      </c>
    </row>
    <row r="33" spans="1:49" x14ac:dyDescent="0.2">
      <c r="A33">
        <v>31</v>
      </c>
      <c r="B33" t="s">
        <v>631</v>
      </c>
      <c r="C33" t="s">
        <v>630</v>
      </c>
      <c r="F33" t="s">
        <v>629</v>
      </c>
      <c r="G33" t="s">
        <v>4</v>
      </c>
      <c r="H33" t="s">
        <v>3</v>
      </c>
      <c r="I33" t="s">
        <v>628</v>
      </c>
      <c r="J33">
        <v>60021378</v>
      </c>
      <c r="K33" t="s">
        <v>27</v>
      </c>
      <c r="L33" t="s">
        <v>26</v>
      </c>
      <c r="M33" t="s">
        <v>8</v>
      </c>
      <c r="N33">
        <v>3</v>
      </c>
      <c r="O33" t="s">
        <v>72</v>
      </c>
      <c r="P33" t="s">
        <v>71</v>
      </c>
      <c r="Q33" t="s">
        <v>35</v>
      </c>
      <c r="R33" s="7">
        <v>30286</v>
      </c>
      <c r="S33" s="8">
        <f t="shared" si="0"/>
        <v>1982</v>
      </c>
      <c r="T33" s="8">
        <v>1982</v>
      </c>
      <c r="U33" s="8">
        <f t="shared" si="1"/>
        <v>40</v>
      </c>
      <c r="V33" s="7">
        <v>1982</v>
      </c>
      <c r="W33" t="s">
        <v>619</v>
      </c>
      <c r="X33" s="2">
        <v>0.60499999999999998</v>
      </c>
      <c r="Y33" s="6">
        <f t="shared" si="2"/>
        <v>1.6150129467980032E-2</v>
      </c>
      <c r="AA33">
        <v>346748</v>
      </c>
      <c r="AB33">
        <v>15563</v>
      </c>
      <c r="AD33" t="s">
        <v>1</v>
      </c>
      <c r="AE33">
        <v>53</v>
      </c>
      <c r="AF33">
        <v>4</v>
      </c>
      <c r="AH33" t="s">
        <v>627</v>
      </c>
      <c r="AI33" t="s">
        <v>626</v>
      </c>
      <c r="AK33" t="s">
        <v>625</v>
      </c>
      <c r="AL33">
        <v>2</v>
      </c>
      <c r="AM33" s="5">
        <f t="shared" si="3"/>
        <v>0.05</v>
      </c>
      <c r="AN33" s="4">
        <f t="shared" si="4"/>
        <v>7.5728890571753133E-5</v>
      </c>
      <c r="AO33" s="3"/>
      <c r="AP33">
        <v>0</v>
      </c>
      <c r="AR33" t="s">
        <v>0</v>
      </c>
      <c r="AT33" s="2">
        <v>1.5229999999999999</v>
      </c>
      <c r="AU33" s="1">
        <f t="shared" si="5"/>
        <v>1.1327809294757547</v>
      </c>
      <c r="AV33" s="1">
        <f t="shared" si="6"/>
        <v>0.81129291792758929</v>
      </c>
      <c r="AW33" s="1">
        <f t="shared" si="7"/>
        <v>0.4898049063794237</v>
      </c>
    </row>
    <row r="34" spans="1:49" x14ac:dyDescent="0.2">
      <c r="A34">
        <v>32</v>
      </c>
      <c r="B34" t="s">
        <v>624</v>
      </c>
      <c r="C34" t="s">
        <v>623</v>
      </c>
      <c r="F34" t="s">
        <v>622</v>
      </c>
      <c r="G34" t="s">
        <v>4</v>
      </c>
      <c r="H34" t="s">
        <v>3</v>
      </c>
      <c r="I34" t="s">
        <v>621</v>
      </c>
      <c r="J34">
        <v>60032350</v>
      </c>
      <c r="K34" t="s">
        <v>130</v>
      </c>
      <c r="L34" t="s">
        <v>30</v>
      </c>
      <c r="M34" t="s">
        <v>24</v>
      </c>
      <c r="N34">
        <v>1</v>
      </c>
      <c r="O34" t="s">
        <v>620</v>
      </c>
      <c r="P34">
        <v>7005568912</v>
      </c>
      <c r="Q34">
        <v>60032350</v>
      </c>
      <c r="R34" s="7">
        <v>30286</v>
      </c>
      <c r="S34" s="8">
        <f t="shared" ref="S34:S65" si="8">YEAR(R34)</f>
        <v>1982</v>
      </c>
      <c r="T34" s="8">
        <v>1982</v>
      </c>
      <c r="U34" s="8">
        <f t="shared" ref="U34:U65" si="9">2022-T34</f>
        <v>40</v>
      </c>
      <c r="V34" s="7">
        <v>1982</v>
      </c>
      <c r="W34" t="s">
        <v>619</v>
      </c>
      <c r="X34" s="2">
        <v>0.60499999999999998</v>
      </c>
      <c r="Y34" s="6">
        <f t="shared" ref="Y34:Y65" si="10">(X34-$Z$4)/($Z$3-$Z$4)</f>
        <v>1.6150129467980032E-2</v>
      </c>
      <c r="AA34">
        <v>346748</v>
      </c>
      <c r="AB34">
        <v>15563</v>
      </c>
      <c r="AD34" t="s">
        <v>1</v>
      </c>
      <c r="AE34">
        <v>53</v>
      </c>
      <c r="AF34">
        <v>2</v>
      </c>
      <c r="AH34" t="s">
        <v>618</v>
      </c>
      <c r="AI34" t="s">
        <v>617</v>
      </c>
      <c r="AK34" t="s">
        <v>616</v>
      </c>
      <c r="AL34">
        <v>19</v>
      </c>
      <c r="AM34" s="5">
        <f t="shared" ref="AM34:AM65" si="11">AL34/U34</f>
        <v>0.47499999999999998</v>
      </c>
      <c r="AN34" s="4">
        <f t="shared" ref="AN34:AN65" si="12">(AM34-$AO$4)/($AO$3-$AO$4)</f>
        <v>7.1942446043165469E-4</v>
      </c>
      <c r="AO34" s="3"/>
      <c r="AP34">
        <v>0</v>
      </c>
      <c r="AR34" t="s">
        <v>0</v>
      </c>
      <c r="AT34" s="2">
        <v>1.5229999999999999</v>
      </c>
      <c r="AU34" s="1">
        <f t="shared" ref="AU34:AU65" si="13">(Y34*0.7+AN34*0.3)*100</f>
        <v>1.1520917965715518</v>
      </c>
      <c r="AV34" s="1">
        <f t="shared" ref="AV34:AV65" si="14">(Y34*0.5+AN34*0.5)*100</f>
        <v>0.84347769642058434</v>
      </c>
      <c r="AW34" s="1">
        <f t="shared" ref="AW34:AW65" si="15">(Y34*0.3+AN34*0.7)*100</f>
        <v>0.53486359626961688</v>
      </c>
    </row>
    <row r="35" spans="1:49" x14ac:dyDescent="0.2">
      <c r="A35">
        <v>33</v>
      </c>
      <c r="B35" t="s">
        <v>615</v>
      </c>
      <c r="C35" t="s">
        <v>614</v>
      </c>
      <c r="E35">
        <v>7133138</v>
      </c>
      <c r="F35" t="s">
        <v>613</v>
      </c>
      <c r="G35" t="s">
        <v>4</v>
      </c>
      <c r="H35" t="s">
        <v>3</v>
      </c>
      <c r="I35" t="s">
        <v>612</v>
      </c>
      <c r="J35">
        <v>60018505</v>
      </c>
      <c r="K35" t="s">
        <v>611</v>
      </c>
      <c r="L35" t="s">
        <v>77</v>
      </c>
      <c r="M35" t="s">
        <v>76</v>
      </c>
      <c r="N35">
        <v>2</v>
      </c>
      <c r="O35" t="s">
        <v>610</v>
      </c>
      <c r="P35" t="s">
        <v>609</v>
      </c>
      <c r="Q35" t="s">
        <v>608</v>
      </c>
      <c r="R35" s="7">
        <v>30286</v>
      </c>
      <c r="S35" s="8">
        <f t="shared" si="8"/>
        <v>1982</v>
      </c>
      <c r="T35" s="8">
        <v>1982</v>
      </c>
      <c r="U35" s="8">
        <f t="shared" si="9"/>
        <v>40</v>
      </c>
      <c r="V35" s="7">
        <v>1982</v>
      </c>
      <c r="W35" t="s">
        <v>529</v>
      </c>
      <c r="X35" s="2">
        <v>15.993</v>
      </c>
      <c r="Y35" s="6">
        <f t="shared" si="10"/>
        <v>0.42692400096099947</v>
      </c>
      <c r="AA35">
        <v>280836</v>
      </c>
      <c r="AB35">
        <v>21206</v>
      </c>
      <c r="AD35" t="s">
        <v>1</v>
      </c>
      <c r="AE35">
        <v>300</v>
      </c>
      <c r="AF35">
        <v>5888</v>
      </c>
      <c r="AH35" t="s">
        <v>607</v>
      </c>
      <c r="AI35" t="s">
        <v>606</v>
      </c>
      <c r="AK35" t="s">
        <v>605</v>
      </c>
      <c r="AL35">
        <v>12</v>
      </c>
      <c r="AM35" s="5">
        <f t="shared" si="11"/>
        <v>0.3</v>
      </c>
      <c r="AN35" s="4">
        <f t="shared" si="12"/>
        <v>4.5437334343051872E-4</v>
      </c>
      <c r="AO35" s="3"/>
      <c r="AP35">
        <v>0</v>
      </c>
      <c r="AR35" t="s">
        <v>0</v>
      </c>
      <c r="AT35" s="2">
        <v>49.962000000000003</v>
      </c>
      <c r="AU35" s="1">
        <f t="shared" si="13"/>
        <v>29.898311267572875</v>
      </c>
      <c r="AV35" s="1">
        <f t="shared" si="14"/>
        <v>21.368918715221501</v>
      </c>
      <c r="AW35" s="1">
        <f t="shared" si="15"/>
        <v>12.839526162870118</v>
      </c>
    </row>
    <row r="36" spans="1:49" x14ac:dyDescent="0.2">
      <c r="A36">
        <v>34</v>
      </c>
      <c r="B36" t="s">
        <v>604</v>
      </c>
      <c r="C36" t="s">
        <v>603</v>
      </c>
      <c r="F36" t="s">
        <v>602</v>
      </c>
      <c r="G36" t="s">
        <v>4</v>
      </c>
      <c r="H36" t="s">
        <v>3</v>
      </c>
      <c r="I36" t="s">
        <v>601</v>
      </c>
      <c r="J36">
        <v>60001247</v>
      </c>
      <c r="K36" t="s">
        <v>37</v>
      </c>
      <c r="M36" t="s">
        <v>8</v>
      </c>
      <c r="N36">
        <v>1</v>
      </c>
      <c r="O36" t="s">
        <v>600</v>
      </c>
      <c r="P36">
        <v>57216594449</v>
      </c>
      <c r="Q36">
        <v>60001247</v>
      </c>
      <c r="R36" s="7">
        <v>30286</v>
      </c>
      <c r="S36" s="8">
        <f t="shared" si="8"/>
        <v>1982</v>
      </c>
      <c r="T36" s="8">
        <v>1982</v>
      </c>
      <c r="U36" s="8">
        <f t="shared" si="9"/>
        <v>40</v>
      </c>
      <c r="V36" s="7">
        <v>1982</v>
      </c>
      <c r="W36" t="s">
        <v>599</v>
      </c>
      <c r="X36" s="2">
        <v>0.69899999999999995</v>
      </c>
      <c r="Y36" s="6">
        <f t="shared" si="10"/>
        <v>1.8659405782013295E-2</v>
      </c>
      <c r="AA36">
        <v>218979</v>
      </c>
      <c r="AB36">
        <v>28132</v>
      </c>
      <c r="AD36" t="s">
        <v>1</v>
      </c>
      <c r="AE36">
        <v>53</v>
      </c>
      <c r="AF36">
        <v>3</v>
      </c>
      <c r="AH36" t="s">
        <v>598</v>
      </c>
      <c r="AI36" t="s">
        <v>597</v>
      </c>
      <c r="AK36" t="s">
        <v>596</v>
      </c>
      <c r="AL36">
        <v>32</v>
      </c>
      <c r="AM36" s="5">
        <f t="shared" si="11"/>
        <v>0.8</v>
      </c>
      <c r="AN36" s="4">
        <f t="shared" si="12"/>
        <v>1.2116622491480501E-3</v>
      </c>
      <c r="AO36" s="3"/>
      <c r="AP36">
        <v>0</v>
      </c>
      <c r="AR36" t="s">
        <v>0</v>
      </c>
      <c r="AT36" s="2">
        <v>2.5459999999999998</v>
      </c>
      <c r="AU36" s="1">
        <f t="shared" si="13"/>
        <v>1.3425082722153721</v>
      </c>
      <c r="AV36" s="1">
        <f t="shared" si="14"/>
        <v>0.99355340155806737</v>
      </c>
      <c r="AW36" s="1">
        <f t="shared" si="15"/>
        <v>0.64459853090076225</v>
      </c>
    </row>
    <row r="37" spans="1:49" x14ac:dyDescent="0.2">
      <c r="A37">
        <v>35</v>
      </c>
      <c r="B37" t="s">
        <v>595</v>
      </c>
      <c r="C37" t="s">
        <v>594</v>
      </c>
      <c r="F37" t="s">
        <v>593</v>
      </c>
      <c r="G37" t="s">
        <v>4</v>
      </c>
      <c r="H37" t="s">
        <v>3</v>
      </c>
      <c r="I37" t="s">
        <v>592</v>
      </c>
      <c r="J37">
        <v>100328439</v>
      </c>
      <c r="K37" t="s">
        <v>591</v>
      </c>
      <c r="L37" t="s">
        <v>590</v>
      </c>
      <c r="M37" t="s">
        <v>54</v>
      </c>
      <c r="N37">
        <v>2</v>
      </c>
      <c r="O37" t="s">
        <v>589</v>
      </c>
      <c r="P37" t="s">
        <v>588</v>
      </c>
      <c r="Q37" t="s">
        <v>587</v>
      </c>
      <c r="R37" s="7">
        <v>30286</v>
      </c>
      <c r="S37" s="8">
        <f t="shared" si="8"/>
        <v>1982</v>
      </c>
      <c r="T37" s="8">
        <v>1982</v>
      </c>
      <c r="U37" s="8">
        <f t="shared" si="9"/>
        <v>40</v>
      </c>
      <c r="V37" s="7">
        <v>30286</v>
      </c>
      <c r="W37" t="s">
        <v>65</v>
      </c>
      <c r="X37" s="2">
        <v>0.8</v>
      </c>
      <c r="Y37" s="6">
        <f t="shared" si="10"/>
        <v>2.1355543098155415E-2</v>
      </c>
      <c r="AA37">
        <v>3407594</v>
      </c>
      <c r="AB37">
        <v>23456</v>
      </c>
      <c r="AC37">
        <v>14321351</v>
      </c>
      <c r="AD37" t="s">
        <v>1</v>
      </c>
      <c r="AE37">
        <v>145</v>
      </c>
      <c r="AF37">
        <v>4</v>
      </c>
      <c r="AH37" t="s">
        <v>586</v>
      </c>
      <c r="AI37" t="s">
        <v>585</v>
      </c>
      <c r="AK37" t="s">
        <v>584</v>
      </c>
      <c r="AL37">
        <v>9</v>
      </c>
      <c r="AM37" s="5">
        <f t="shared" si="11"/>
        <v>0.22500000000000001</v>
      </c>
      <c r="AN37" s="4">
        <f t="shared" si="12"/>
        <v>3.4078000757288904E-4</v>
      </c>
      <c r="AO37" s="3"/>
      <c r="AP37">
        <v>0</v>
      </c>
      <c r="AR37" t="s">
        <v>0</v>
      </c>
      <c r="AT37" s="2" t="s">
        <v>7</v>
      </c>
      <c r="AU37" s="1">
        <f t="shared" si="13"/>
        <v>1.5051114170980655</v>
      </c>
      <c r="AV37" s="1">
        <f t="shared" si="14"/>
        <v>1.0848161552864153</v>
      </c>
      <c r="AW37" s="1">
        <f t="shared" si="15"/>
        <v>0.66452089347476473</v>
      </c>
    </row>
    <row r="38" spans="1:49" x14ac:dyDescent="0.2">
      <c r="A38">
        <v>36</v>
      </c>
      <c r="B38" t="s">
        <v>583</v>
      </c>
      <c r="C38" t="s">
        <v>582</v>
      </c>
      <c r="F38" t="s">
        <v>581</v>
      </c>
      <c r="G38" t="s">
        <v>4</v>
      </c>
      <c r="H38" t="s">
        <v>3</v>
      </c>
      <c r="I38" t="s">
        <v>580</v>
      </c>
      <c r="J38" t="s">
        <v>570</v>
      </c>
      <c r="K38" t="s">
        <v>569</v>
      </c>
      <c r="L38" t="s">
        <v>568</v>
      </c>
      <c r="M38" t="s">
        <v>10</v>
      </c>
      <c r="N38">
        <v>5</v>
      </c>
      <c r="O38" t="s">
        <v>579</v>
      </c>
      <c r="P38" t="s">
        <v>578</v>
      </c>
      <c r="Q38" t="s">
        <v>565</v>
      </c>
      <c r="R38" s="7">
        <v>30286</v>
      </c>
      <c r="S38" s="8">
        <f t="shared" si="8"/>
        <v>1982</v>
      </c>
      <c r="T38" s="8">
        <v>1982</v>
      </c>
      <c r="U38" s="8">
        <f t="shared" si="9"/>
        <v>40</v>
      </c>
      <c r="V38" s="7">
        <v>1982</v>
      </c>
      <c r="W38" t="s">
        <v>564</v>
      </c>
      <c r="X38" s="2">
        <v>1.1819999999999999</v>
      </c>
      <c r="Y38" s="6">
        <f t="shared" si="10"/>
        <v>3.1552814927524625E-2</v>
      </c>
      <c r="AA38">
        <v>36951</v>
      </c>
      <c r="AB38">
        <v>27030</v>
      </c>
      <c r="AD38" t="s">
        <v>1</v>
      </c>
      <c r="AE38">
        <v>41</v>
      </c>
      <c r="AF38">
        <v>4</v>
      </c>
      <c r="AH38" t="s">
        <v>577</v>
      </c>
      <c r="AI38" t="s">
        <v>576</v>
      </c>
      <c r="AK38" t="s">
        <v>575</v>
      </c>
      <c r="AL38">
        <v>23</v>
      </c>
      <c r="AM38" s="5">
        <f t="shared" si="11"/>
        <v>0.57499999999999996</v>
      </c>
      <c r="AN38" s="4">
        <f t="shared" si="12"/>
        <v>8.7088224157516082E-4</v>
      </c>
      <c r="AO38" s="3"/>
      <c r="AP38">
        <v>0</v>
      </c>
      <c r="AR38" t="s">
        <v>0</v>
      </c>
      <c r="AT38" s="2">
        <v>3.7909999999999999</v>
      </c>
      <c r="AU38" s="1">
        <f t="shared" si="13"/>
        <v>2.2348235121739783</v>
      </c>
      <c r="AV38" s="1">
        <f t="shared" si="14"/>
        <v>1.6211848584549893</v>
      </c>
      <c r="AW38" s="1">
        <f t="shared" si="15"/>
        <v>1.007546204736</v>
      </c>
    </row>
    <row r="39" spans="1:49" x14ac:dyDescent="0.2">
      <c r="A39">
        <v>37</v>
      </c>
      <c r="B39" t="s">
        <v>574</v>
      </c>
      <c r="C39" t="s">
        <v>573</v>
      </c>
      <c r="F39" t="s">
        <v>572</v>
      </c>
      <c r="G39" t="s">
        <v>4</v>
      </c>
      <c r="H39" t="s">
        <v>3</v>
      </c>
      <c r="I39" t="s">
        <v>571</v>
      </c>
      <c r="J39" t="s">
        <v>570</v>
      </c>
      <c r="K39" t="s">
        <v>569</v>
      </c>
      <c r="L39" t="s">
        <v>568</v>
      </c>
      <c r="M39" t="s">
        <v>10</v>
      </c>
      <c r="N39">
        <v>5</v>
      </c>
      <c r="O39" t="s">
        <v>567</v>
      </c>
      <c r="P39" t="s">
        <v>566</v>
      </c>
      <c r="Q39" t="s">
        <v>565</v>
      </c>
      <c r="R39" s="7">
        <v>30286</v>
      </c>
      <c r="S39" s="8">
        <f t="shared" si="8"/>
        <v>1982</v>
      </c>
      <c r="T39" s="8">
        <v>1982</v>
      </c>
      <c r="U39" s="8">
        <f t="shared" si="9"/>
        <v>40</v>
      </c>
      <c r="V39" s="7">
        <v>1982</v>
      </c>
      <c r="W39" t="s">
        <v>564</v>
      </c>
      <c r="X39" s="2">
        <v>1.1819999999999999</v>
      </c>
      <c r="Y39" s="6">
        <f t="shared" si="10"/>
        <v>3.1552814927524625E-2</v>
      </c>
      <c r="AA39">
        <v>36951</v>
      </c>
      <c r="AB39">
        <v>27030</v>
      </c>
      <c r="AD39" t="s">
        <v>1</v>
      </c>
      <c r="AE39">
        <v>40</v>
      </c>
      <c r="AF39">
        <v>3</v>
      </c>
      <c r="AH39" t="s">
        <v>563</v>
      </c>
      <c r="AI39" t="s">
        <v>562</v>
      </c>
      <c r="AK39" t="s">
        <v>561</v>
      </c>
      <c r="AL39">
        <v>55</v>
      </c>
      <c r="AM39" s="5">
        <f t="shared" si="11"/>
        <v>1.375</v>
      </c>
      <c r="AN39" s="4">
        <f t="shared" si="12"/>
        <v>2.0825444907232107E-3</v>
      </c>
      <c r="AO39" s="3"/>
      <c r="AP39">
        <v>0</v>
      </c>
      <c r="AR39" t="s">
        <v>0</v>
      </c>
      <c r="AT39" s="2">
        <v>3.7909999999999999</v>
      </c>
      <c r="AU39" s="1">
        <f t="shared" si="13"/>
        <v>2.2711733796484199</v>
      </c>
      <c r="AV39" s="1">
        <f t="shared" si="14"/>
        <v>1.6817679709123918</v>
      </c>
      <c r="AW39" s="1">
        <f t="shared" si="15"/>
        <v>1.0923625621763635</v>
      </c>
    </row>
    <row r="40" spans="1:49" x14ac:dyDescent="0.2">
      <c r="A40">
        <v>38</v>
      </c>
      <c r="B40" t="s">
        <v>560</v>
      </c>
      <c r="C40" t="s">
        <v>559</v>
      </c>
      <c r="F40" t="s">
        <v>558</v>
      </c>
      <c r="G40" t="s">
        <v>4</v>
      </c>
      <c r="H40" t="s">
        <v>3</v>
      </c>
      <c r="I40" t="s">
        <v>557</v>
      </c>
      <c r="J40">
        <v>60028186</v>
      </c>
      <c r="K40" t="s">
        <v>502</v>
      </c>
      <c r="L40" t="s">
        <v>501</v>
      </c>
      <c r="M40" t="s">
        <v>14</v>
      </c>
      <c r="N40">
        <v>3</v>
      </c>
      <c r="O40" t="s">
        <v>556</v>
      </c>
      <c r="P40" t="s">
        <v>555</v>
      </c>
      <c r="Q40" t="s">
        <v>554</v>
      </c>
      <c r="R40" s="7">
        <v>30286</v>
      </c>
      <c r="S40" s="8">
        <f t="shared" si="8"/>
        <v>1982</v>
      </c>
      <c r="T40" s="8">
        <v>1982</v>
      </c>
      <c r="U40" s="8">
        <f t="shared" si="9"/>
        <v>40</v>
      </c>
      <c r="V40" s="7">
        <v>1982</v>
      </c>
      <c r="W40" t="s">
        <v>553</v>
      </c>
      <c r="X40" s="2" t="s">
        <v>7</v>
      </c>
      <c r="Y40" s="6" t="e">
        <f t="shared" si="10"/>
        <v>#VALUE!</v>
      </c>
      <c r="AA40">
        <v>321028</v>
      </c>
      <c r="AB40">
        <v>60924</v>
      </c>
      <c r="AD40" t="s">
        <v>1</v>
      </c>
      <c r="AE40">
        <v>24</v>
      </c>
      <c r="AF40">
        <v>8</v>
      </c>
      <c r="AG40">
        <v>11</v>
      </c>
      <c r="AH40" t="s">
        <v>552</v>
      </c>
      <c r="AI40" t="s">
        <v>551</v>
      </c>
      <c r="AK40" t="s">
        <v>550</v>
      </c>
      <c r="AL40">
        <v>29</v>
      </c>
      <c r="AM40" s="5">
        <f t="shared" si="11"/>
        <v>0.72499999999999998</v>
      </c>
      <c r="AN40" s="4">
        <f t="shared" si="12"/>
        <v>1.0980689132904203E-3</v>
      </c>
      <c r="AO40" s="3"/>
      <c r="AP40">
        <v>0</v>
      </c>
      <c r="AR40" t="s">
        <v>0</v>
      </c>
      <c r="AT40" s="2" t="s">
        <v>7</v>
      </c>
      <c r="AU40" s="1" t="e">
        <f t="shared" si="13"/>
        <v>#VALUE!</v>
      </c>
      <c r="AV40" s="1" t="e">
        <f t="shared" si="14"/>
        <v>#VALUE!</v>
      </c>
      <c r="AW40" s="1" t="e">
        <f t="shared" si="15"/>
        <v>#VALUE!</v>
      </c>
    </row>
    <row r="41" spans="1:49" x14ac:dyDescent="0.2">
      <c r="A41">
        <v>39</v>
      </c>
      <c r="B41" t="s">
        <v>549</v>
      </c>
      <c r="C41" t="s">
        <v>548</v>
      </c>
      <c r="F41" t="s">
        <v>547</v>
      </c>
      <c r="G41" t="s">
        <v>4</v>
      </c>
      <c r="H41" t="s">
        <v>3</v>
      </c>
      <c r="I41" t="s">
        <v>546</v>
      </c>
      <c r="J41">
        <v>60030807</v>
      </c>
      <c r="K41" t="s">
        <v>111</v>
      </c>
      <c r="L41" t="s">
        <v>110</v>
      </c>
      <c r="M41" t="s">
        <v>9</v>
      </c>
      <c r="N41">
        <v>3</v>
      </c>
      <c r="O41" t="s">
        <v>545</v>
      </c>
      <c r="P41" t="s">
        <v>544</v>
      </c>
      <c r="Q41" t="s">
        <v>543</v>
      </c>
      <c r="R41" s="7">
        <v>30286</v>
      </c>
      <c r="S41" s="8">
        <f t="shared" si="8"/>
        <v>1982</v>
      </c>
      <c r="T41" s="8">
        <v>1982</v>
      </c>
      <c r="U41" s="8">
        <f t="shared" si="9"/>
        <v>40</v>
      </c>
      <c r="V41" s="7">
        <v>30286</v>
      </c>
      <c r="W41" t="s">
        <v>65</v>
      </c>
      <c r="X41" s="2">
        <v>0.8</v>
      </c>
      <c r="Y41" s="6">
        <f t="shared" si="10"/>
        <v>2.1355543098155415E-2</v>
      </c>
      <c r="AA41">
        <v>3407594</v>
      </c>
      <c r="AB41">
        <v>23456</v>
      </c>
      <c r="AC41">
        <v>14321351</v>
      </c>
      <c r="AD41" t="s">
        <v>1</v>
      </c>
      <c r="AE41">
        <v>145</v>
      </c>
      <c r="AF41">
        <v>4</v>
      </c>
      <c r="AH41" t="s">
        <v>542</v>
      </c>
      <c r="AI41" t="s">
        <v>541</v>
      </c>
      <c r="AK41" t="s">
        <v>540</v>
      </c>
      <c r="AL41">
        <v>101</v>
      </c>
      <c r="AM41" s="5">
        <f t="shared" si="11"/>
        <v>2.5249999999999999</v>
      </c>
      <c r="AN41" s="4">
        <f t="shared" si="12"/>
        <v>3.8243089738735328E-3</v>
      </c>
      <c r="AO41" s="3"/>
      <c r="AP41">
        <v>0</v>
      </c>
      <c r="AR41" t="s">
        <v>0</v>
      </c>
      <c r="AT41" s="2" t="s">
        <v>7</v>
      </c>
      <c r="AU41" s="1">
        <f t="shared" si="13"/>
        <v>1.609617286087085</v>
      </c>
      <c r="AV41" s="1">
        <f t="shared" si="14"/>
        <v>1.2589926036014474</v>
      </c>
      <c r="AW41" s="1">
        <f t="shared" si="15"/>
        <v>0.90836792111580966</v>
      </c>
    </row>
    <row r="42" spans="1:49" x14ac:dyDescent="0.2">
      <c r="A42">
        <v>40</v>
      </c>
      <c r="B42" t="s">
        <v>539</v>
      </c>
      <c r="C42" t="s">
        <v>538</v>
      </c>
      <c r="F42" t="s">
        <v>537</v>
      </c>
      <c r="G42" t="s">
        <v>4</v>
      </c>
      <c r="H42" t="s">
        <v>3</v>
      </c>
      <c r="I42" t="s">
        <v>536</v>
      </c>
      <c r="J42" t="s">
        <v>535</v>
      </c>
      <c r="K42" t="s">
        <v>534</v>
      </c>
      <c r="L42" t="s">
        <v>533</v>
      </c>
      <c r="M42" t="s">
        <v>10</v>
      </c>
      <c r="N42">
        <v>3</v>
      </c>
      <c r="O42" t="s">
        <v>532</v>
      </c>
      <c r="P42" t="s">
        <v>531</v>
      </c>
      <c r="Q42" t="s">
        <v>530</v>
      </c>
      <c r="R42" s="7">
        <v>30286</v>
      </c>
      <c r="S42" s="8">
        <f t="shared" si="8"/>
        <v>1982</v>
      </c>
      <c r="T42" s="8">
        <v>1982</v>
      </c>
      <c r="U42" s="8">
        <f t="shared" si="9"/>
        <v>40</v>
      </c>
      <c r="V42" s="7">
        <v>1982</v>
      </c>
      <c r="W42" t="s">
        <v>529</v>
      </c>
      <c r="X42" s="2">
        <v>15.993</v>
      </c>
      <c r="Y42" s="6">
        <f t="shared" si="10"/>
        <v>0.42692400096099947</v>
      </c>
      <c r="AA42">
        <v>280836</v>
      </c>
      <c r="AB42">
        <v>21206</v>
      </c>
      <c r="AD42" t="s">
        <v>1</v>
      </c>
      <c r="AE42">
        <v>298</v>
      </c>
      <c r="AF42">
        <v>5877</v>
      </c>
      <c r="AH42" t="s">
        <v>528</v>
      </c>
      <c r="AI42" t="s">
        <v>527</v>
      </c>
      <c r="AK42" t="s">
        <v>526</v>
      </c>
      <c r="AL42">
        <v>87</v>
      </c>
      <c r="AM42" s="5">
        <f t="shared" si="11"/>
        <v>2.1749999999999998</v>
      </c>
      <c r="AN42" s="4">
        <f t="shared" si="12"/>
        <v>3.2942067398712607E-3</v>
      </c>
      <c r="AO42" s="3"/>
      <c r="AP42">
        <v>0</v>
      </c>
      <c r="AR42" t="s">
        <v>0</v>
      </c>
      <c r="AT42" s="2">
        <v>49.962000000000003</v>
      </c>
      <c r="AU42" s="1">
        <f t="shared" si="13"/>
        <v>29.983506269466098</v>
      </c>
      <c r="AV42" s="1">
        <f t="shared" si="14"/>
        <v>21.510910385043537</v>
      </c>
      <c r="AW42" s="1">
        <f t="shared" si="15"/>
        <v>13.03831450062097</v>
      </c>
    </row>
    <row r="43" spans="1:49" x14ac:dyDescent="0.2">
      <c r="A43">
        <v>41</v>
      </c>
      <c r="B43" t="s">
        <v>525</v>
      </c>
      <c r="C43" t="s">
        <v>524</v>
      </c>
      <c r="F43" t="s">
        <v>523</v>
      </c>
      <c r="G43" t="s">
        <v>4</v>
      </c>
      <c r="H43" t="s">
        <v>3</v>
      </c>
      <c r="I43" t="s">
        <v>106</v>
      </c>
      <c r="J43">
        <v>60010818</v>
      </c>
      <c r="K43" t="s">
        <v>88</v>
      </c>
      <c r="L43" t="s">
        <v>87</v>
      </c>
      <c r="M43" t="s">
        <v>20</v>
      </c>
      <c r="N43">
        <v>2</v>
      </c>
      <c r="O43" t="s">
        <v>105</v>
      </c>
      <c r="P43" t="s">
        <v>104</v>
      </c>
      <c r="Q43" t="s">
        <v>84</v>
      </c>
      <c r="R43" s="7">
        <v>30280</v>
      </c>
      <c r="S43" s="8">
        <f t="shared" si="8"/>
        <v>1982</v>
      </c>
      <c r="T43" s="8">
        <v>1982</v>
      </c>
      <c r="U43" s="8">
        <f t="shared" si="9"/>
        <v>40</v>
      </c>
      <c r="V43" s="7">
        <v>30280</v>
      </c>
      <c r="W43" t="s">
        <v>83</v>
      </c>
      <c r="X43" s="2">
        <v>0.375</v>
      </c>
      <c r="Y43" s="6">
        <f t="shared" si="10"/>
        <v>1.0010410827260351E-2</v>
      </c>
      <c r="AA43">
        <v>135194</v>
      </c>
      <c r="AB43">
        <v>24918</v>
      </c>
      <c r="AD43" t="s">
        <v>1</v>
      </c>
      <c r="AE43">
        <v>18</v>
      </c>
      <c r="AF43">
        <v>24</v>
      </c>
      <c r="AH43" t="s">
        <v>522</v>
      </c>
      <c r="AI43" t="s">
        <v>521</v>
      </c>
      <c r="AJ43" t="s">
        <v>520</v>
      </c>
      <c r="AK43" t="s">
        <v>519</v>
      </c>
      <c r="AL43">
        <v>15</v>
      </c>
      <c r="AM43" s="5">
        <f t="shared" si="11"/>
        <v>0.375</v>
      </c>
      <c r="AN43" s="4">
        <f t="shared" si="12"/>
        <v>5.6796667928814845E-4</v>
      </c>
      <c r="AO43" s="3"/>
      <c r="AP43">
        <v>0</v>
      </c>
      <c r="AR43" t="s">
        <v>0</v>
      </c>
      <c r="AT43" s="2">
        <v>1.3140000000000001</v>
      </c>
      <c r="AU43" s="1">
        <f t="shared" si="13"/>
        <v>0.71776775828686901</v>
      </c>
      <c r="AV43" s="1">
        <f t="shared" si="14"/>
        <v>0.52891887532742499</v>
      </c>
      <c r="AW43" s="1">
        <f t="shared" si="15"/>
        <v>0.34006999236798091</v>
      </c>
    </row>
    <row r="44" spans="1:49" x14ac:dyDescent="0.2">
      <c r="A44">
        <v>42</v>
      </c>
      <c r="B44" t="s">
        <v>518</v>
      </c>
      <c r="C44" t="s">
        <v>517</v>
      </c>
      <c r="F44" t="s">
        <v>516</v>
      </c>
      <c r="G44" t="s">
        <v>4</v>
      </c>
      <c r="H44" t="s">
        <v>3</v>
      </c>
      <c r="I44" t="s">
        <v>515</v>
      </c>
      <c r="J44">
        <v>60002798</v>
      </c>
      <c r="K44" t="s">
        <v>53</v>
      </c>
      <c r="L44" t="s">
        <v>52</v>
      </c>
      <c r="M44" t="s">
        <v>52</v>
      </c>
      <c r="N44">
        <v>2</v>
      </c>
      <c r="O44" t="s">
        <v>514</v>
      </c>
      <c r="P44" t="s">
        <v>513</v>
      </c>
      <c r="Q44" t="s">
        <v>512</v>
      </c>
      <c r="R44" s="7">
        <v>30280</v>
      </c>
      <c r="S44" s="8">
        <f t="shared" si="8"/>
        <v>1982</v>
      </c>
      <c r="T44" s="8">
        <v>1982</v>
      </c>
      <c r="U44" s="8">
        <f t="shared" si="9"/>
        <v>40</v>
      </c>
      <c r="V44" s="7">
        <v>30280</v>
      </c>
      <c r="W44" t="s">
        <v>83</v>
      </c>
      <c r="X44" s="2">
        <v>0.375</v>
      </c>
      <c r="Y44" s="6">
        <f t="shared" si="10"/>
        <v>1.0010410827260351E-2</v>
      </c>
      <c r="AA44">
        <v>135194</v>
      </c>
      <c r="AB44">
        <v>24918</v>
      </c>
      <c r="AD44" t="s">
        <v>1</v>
      </c>
      <c r="AE44">
        <v>18</v>
      </c>
      <c r="AF44">
        <v>24</v>
      </c>
      <c r="AH44" t="s">
        <v>511</v>
      </c>
      <c r="AI44" t="s">
        <v>510</v>
      </c>
      <c r="AJ44" t="s">
        <v>509</v>
      </c>
      <c r="AK44" t="s">
        <v>508</v>
      </c>
      <c r="AL44">
        <v>42</v>
      </c>
      <c r="AM44" s="5">
        <f t="shared" si="11"/>
        <v>1.05</v>
      </c>
      <c r="AN44" s="4">
        <f t="shared" si="12"/>
        <v>1.5903067020068156E-3</v>
      </c>
      <c r="AO44" s="3"/>
      <c r="AP44">
        <v>0</v>
      </c>
      <c r="AR44" t="s">
        <v>0</v>
      </c>
      <c r="AT44" s="2">
        <v>1.3140000000000001</v>
      </c>
      <c r="AU44" s="1">
        <f t="shared" si="13"/>
        <v>0.74843795896842902</v>
      </c>
      <c r="AV44" s="1">
        <f t="shared" si="14"/>
        <v>0.5800358764633583</v>
      </c>
      <c r="AW44" s="1">
        <f t="shared" si="15"/>
        <v>0.41163379395828764</v>
      </c>
    </row>
    <row r="45" spans="1:49" x14ac:dyDescent="0.2">
      <c r="A45">
        <v>43</v>
      </c>
      <c r="B45" t="s">
        <v>507</v>
      </c>
      <c r="C45" t="s">
        <v>506</v>
      </c>
      <c r="D45" t="s">
        <v>505</v>
      </c>
      <c r="F45" t="s">
        <v>504</v>
      </c>
      <c r="G45" t="s">
        <v>4</v>
      </c>
      <c r="H45" t="s">
        <v>3</v>
      </c>
      <c r="I45" t="s">
        <v>503</v>
      </c>
      <c r="J45">
        <v>60028186</v>
      </c>
      <c r="K45" t="s">
        <v>502</v>
      </c>
      <c r="L45" t="s">
        <v>501</v>
      </c>
      <c r="M45" t="s">
        <v>14</v>
      </c>
      <c r="N45">
        <v>10</v>
      </c>
      <c r="O45" t="s">
        <v>500</v>
      </c>
      <c r="P45" t="s">
        <v>499</v>
      </c>
      <c r="Q45" t="s">
        <v>498</v>
      </c>
      <c r="R45" s="7">
        <v>30277</v>
      </c>
      <c r="S45" s="8">
        <f t="shared" si="8"/>
        <v>1982</v>
      </c>
      <c r="T45" s="8">
        <v>1982</v>
      </c>
      <c r="U45" s="8">
        <f t="shared" si="9"/>
        <v>40</v>
      </c>
      <c r="V45" s="7">
        <v>30277</v>
      </c>
      <c r="W45" t="s">
        <v>350</v>
      </c>
      <c r="X45" s="2">
        <v>0.499</v>
      </c>
      <c r="Y45" s="6">
        <f t="shared" si="10"/>
        <v>1.332052000747444E-2</v>
      </c>
      <c r="AA45">
        <v>3759601</v>
      </c>
      <c r="AB45">
        <v>29464</v>
      </c>
      <c r="AD45" t="s">
        <v>1</v>
      </c>
      <c r="AE45">
        <v>92</v>
      </c>
      <c r="AF45">
        <v>6</v>
      </c>
      <c r="AH45" t="s">
        <v>497</v>
      </c>
      <c r="AI45" t="s">
        <v>496</v>
      </c>
      <c r="AK45" t="s">
        <v>495</v>
      </c>
      <c r="AL45">
        <v>7</v>
      </c>
      <c r="AM45" s="5">
        <f t="shared" si="11"/>
        <v>0.17499999999999999</v>
      </c>
      <c r="AN45" s="4">
        <f t="shared" si="12"/>
        <v>2.6505111700113592E-4</v>
      </c>
      <c r="AO45" s="3"/>
      <c r="AP45">
        <v>0</v>
      </c>
      <c r="AQ45" t="s">
        <v>62</v>
      </c>
      <c r="AR45" t="s">
        <v>0</v>
      </c>
      <c r="AS45" t="s">
        <v>61</v>
      </c>
      <c r="AT45" s="2">
        <v>2.6539999999999999</v>
      </c>
      <c r="AU45" s="1">
        <f t="shared" si="13"/>
        <v>0.94038793403324483</v>
      </c>
      <c r="AV45" s="1">
        <f t="shared" si="14"/>
        <v>0.67927855622377886</v>
      </c>
      <c r="AW45" s="1">
        <f t="shared" si="15"/>
        <v>0.41816917841431278</v>
      </c>
    </row>
    <row r="46" spans="1:49" x14ac:dyDescent="0.2">
      <c r="A46">
        <v>44</v>
      </c>
      <c r="B46" t="s">
        <v>494</v>
      </c>
      <c r="C46" t="s">
        <v>493</v>
      </c>
      <c r="F46" t="s">
        <v>492</v>
      </c>
      <c r="G46" t="s">
        <v>4</v>
      </c>
      <c r="H46" t="s">
        <v>3</v>
      </c>
      <c r="I46" t="s">
        <v>491</v>
      </c>
      <c r="J46">
        <v>60030553</v>
      </c>
      <c r="K46" t="s">
        <v>490</v>
      </c>
      <c r="L46" t="s">
        <v>489</v>
      </c>
      <c r="M46" t="s">
        <v>54</v>
      </c>
      <c r="N46">
        <v>1</v>
      </c>
      <c r="O46" t="s">
        <v>488</v>
      </c>
      <c r="P46">
        <v>7006052449</v>
      </c>
      <c r="Q46">
        <v>60030553</v>
      </c>
      <c r="R46" s="7">
        <v>30266</v>
      </c>
      <c r="S46" s="8">
        <f t="shared" si="8"/>
        <v>1982</v>
      </c>
      <c r="T46" s="8">
        <v>1982</v>
      </c>
      <c r="U46" s="8">
        <f t="shared" si="9"/>
        <v>40</v>
      </c>
      <c r="V46" s="7">
        <v>30266</v>
      </c>
      <c r="W46" t="s">
        <v>83</v>
      </c>
      <c r="X46" s="2">
        <v>0.375</v>
      </c>
      <c r="Y46" s="6">
        <f t="shared" si="10"/>
        <v>1.0010410827260351E-2</v>
      </c>
      <c r="AA46">
        <v>135194</v>
      </c>
      <c r="AB46">
        <v>24918</v>
      </c>
      <c r="AD46" t="s">
        <v>1</v>
      </c>
      <c r="AE46">
        <v>18</v>
      </c>
      <c r="AF46">
        <v>23</v>
      </c>
      <c r="AH46" t="s">
        <v>487</v>
      </c>
      <c r="AI46" t="s">
        <v>486</v>
      </c>
      <c r="AJ46" t="s">
        <v>100</v>
      </c>
      <c r="AK46" t="s">
        <v>485</v>
      </c>
      <c r="AL46">
        <v>13</v>
      </c>
      <c r="AM46" s="5">
        <f t="shared" si="11"/>
        <v>0.32500000000000001</v>
      </c>
      <c r="AN46" s="4">
        <f t="shared" si="12"/>
        <v>4.9223778871639533E-4</v>
      </c>
      <c r="AO46" s="3"/>
      <c r="AP46">
        <v>0</v>
      </c>
      <c r="AR46" t="s">
        <v>0</v>
      </c>
      <c r="AT46" s="2">
        <v>1.3140000000000001</v>
      </c>
      <c r="AU46" s="1">
        <f t="shared" si="13"/>
        <v>0.71549589156971638</v>
      </c>
      <c r="AV46" s="1">
        <f t="shared" si="14"/>
        <v>0.52513243079883731</v>
      </c>
      <c r="AW46" s="1">
        <f t="shared" si="15"/>
        <v>0.33476897002795819</v>
      </c>
    </row>
    <row r="47" spans="1:49" x14ac:dyDescent="0.2">
      <c r="A47">
        <v>45</v>
      </c>
      <c r="B47" t="s">
        <v>484</v>
      </c>
      <c r="C47" t="s">
        <v>483</v>
      </c>
      <c r="F47" t="s">
        <v>482</v>
      </c>
      <c r="G47" t="s">
        <v>4</v>
      </c>
      <c r="H47" t="s">
        <v>3</v>
      </c>
      <c r="I47" t="s">
        <v>481</v>
      </c>
      <c r="N47">
        <v>1</v>
      </c>
      <c r="O47" t="s">
        <v>480</v>
      </c>
      <c r="P47">
        <v>6602495658</v>
      </c>
      <c r="R47" s="7">
        <v>30256</v>
      </c>
      <c r="S47" s="8">
        <f t="shared" si="8"/>
        <v>1982</v>
      </c>
      <c r="T47" s="8">
        <v>1982</v>
      </c>
      <c r="U47" s="8">
        <f t="shared" si="9"/>
        <v>40</v>
      </c>
      <c r="V47" s="7">
        <v>30256</v>
      </c>
      <c r="W47" t="s">
        <v>11</v>
      </c>
      <c r="X47" s="2">
        <v>0.318</v>
      </c>
      <c r="Y47" s="6">
        <f t="shared" si="10"/>
        <v>8.4888283815167786E-3</v>
      </c>
      <c r="AA47">
        <v>338443</v>
      </c>
      <c r="AB47">
        <v>27160</v>
      </c>
      <c r="AC47">
        <v>15739120</v>
      </c>
      <c r="AD47" t="s">
        <v>1</v>
      </c>
      <c r="AE47">
        <v>25</v>
      </c>
      <c r="AF47">
        <v>11</v>
      </c>
      <c r="AH47" t="s">
        <v>479</v>
      </c>
      <c r="AL47">
        <v>0</v>
      </c>
      <c r="AM47" s="5">
        <f t="shared" si="11"/>
        <v>0</v>
      </c>
      <c r="AN47" s="4">
        <f t="shared" si="12"/>
        <v>0</v>
      </c>
      <c r="AO47" s="3"/>
      <c r="AP47">
        <v>0</v>
      </c>
      <c r="AR47" t="s">
        <v>0</v>
      </c>
      <c r="AT47" s="2">
        <v>0.77</v>
      </c>
      <c r="AU47" s="1">
        <f t="shared" si="13"/>
        <v>0.59421798670617454</v>
      </c>
      <c r="AV47" s="1">
        <f t="shared" si="14"/>
        <v>0.42444141907583893</v>
      </c>
      <c r="AW47" s="1">
        <f t="shared" si="15"/>
        <v>0.25466485144550338</v>
      </c>
    </row>
    <row r="48" spans="1:49" x14ac:dyDescent="0.2">
      <c r="A48">
        <v>46</v>
      </c>
      <c r="B48" t="s">
        <v>478</v>
      </c>
      <c r="C48" t="s">
        <v>477</v>
      </c>
      <c r="F48" t="s">
        <v>476</v>
      </c>
      <c r="G48" t="s">
        <v>4</v>
      </c>
      <c r="H48" t="s">
        <v>3</v>
      </c>
      <c r="I48" t="s">
        <v>475</v>
      </c>
      <c r="J48" t="s">
        <v>474</v>
      </c>
      <c r="K48" t="s">
        <v>19</v>
      </c>
      <c r="L48" t="s">
        <v>473</v>
      </c>
      <c r="M48" t="s">
        <v>10</v>
      </c>
      <c r="N48">
        <v>2</v>
      </c>
      <c r="O48" t="s">
        <v>472</v>
      </c>
      <c r="P48" t="s">
        <v>471</v>
      </c>
      <c r="Q48" t="s">
        <v>470</v>
      </c>
      <c r="R48" s="7">
        <v>30256</v>
      </c>
      <c r="S48" s="8">
        <f t="shared" si="8"/>
        <v>1982</v>
      </c>
      <c r="T48" s="8">
        <v>1982</v>
      </c>
      <c r="U48" s="8">
        <f t="shared" si="9"/>
        <v>40</v>
      </c>
      <c r="V48" s="7">
        <v>30256</v>
      </c>
      <c r="W48" t="s">
        <v>95</v>
      </c>
      <c r="X48" s="2">
        <v>0.61499999999999999</v>
      </c>
      <c r="Y48" s="6">
        <f t="shared" si="10"/>
        <v>1.6417073756706976E-2</v>
      </c>
      <c r="AA48">
        <v>1959271</v>
      </c>
      <c r="AB48">
        <v>12141</v>
      </c>
      <c r="AC48">
        <v>15729559</v>
      </c>
      <c r="AD48" t="s">
        <v>1</v>
      </c>
      <c r="AE48">
        <v>3</v>
      </c>
      <c r="AF48">
        <v>6</v>
      </c>
      <c r="AH48" t="s">
        <v>469</v>
      </c>
      <c r="AI48" t="s">
        <v>468</v>
      </c>
      <c r="AJ48" t="s">
        <v>467</v>
      </c>
      <c r="AK48" t="s">
        <v>466</v>
      </c>
      <c r="AL48">
        <v>4</v>
      </c>
      <c r="AM48" s="5">
        <f t="shared" si="11"/>
        <v>0.1</v>
      </c>
      <c r="AN48" s="4">
        <f t="shared" si="12"/>
        <v>1.5145778114350627E-4</v>
      </c>
      <c r="AO48" s="3"/>
      <c r="AP48">
        <v>0</v>
      </c>
      <c r="AR48" t="s">
        <v>0</v>
      </c>
      <c r="AT48" s="2" t="s">
        <v>7</v>
      </c>
      <c r="AU48" s="1">
        <f t="shared" si="13"/>
        <v>1.1537388964037933</v>
      </c>
      <c r="AV48" s="1">
        <f t="shared" si="14"/>
        <v>0.82842657689252397</v>
      </c>
      <c r="AW48" s="1">
        <f t="shared" si="15"/>
        <v>0.5031142573812547</v>
      </c>
    </row>
    <row r="49" spans="1:49" x14ac:dyDescent="0.2">
      <c r="A49">
        <v>47</v>
      </c>
      <c r="B49" t="s">
        <v>465</v>
      </c>
      <c r="C49" t="s">
        <v>464</v>
      </c>
      <c r="F49" t="s">
        <v>463</v>
      </c>
      <c r="G49" t="s">
        <v>4</v>
      </c>
      <c r="H49" t="s">
        <v>3</v>
      </c>
      <c r="I49" t="s">
        <v>64</v>
      </c>
      <c r="J49">
        <v>118839524</v>
      </c>
      <c r="K49" t="s">
        <v>462</v>
      </c>
      <c r="M49" t="s">
        <v>20</v>
      </c>
      <c r="N49">
        <v>1</v>
      </c>
      <c r="O49" t="s">
        <v>461</v>
      </c>
      <c r="P49">
        <v>7007048290</v>
      </c>
      <c r="Q49">
        <v>118839524</v>
      </c>
      <c r="R49" s="7">
        <v>30238</v>
      </c>
      <c r="S49" s="8">
        <f t="shared" si="8"/>
        <v>1982</v>
      </c>
      <c r="T49" s="8">
        <v>1982</v>
      </c>
      <c r="U49" s="8">
        <f t="shared" si="9"/>
        <v>40</v>
      </c>
      <c r="V49" s="7">
        <v>30238</v>
      </c>
      <c r="W49" t="s">
        <v>83</v>
      </c>
      <c r="X49" s="2">
        <v>0.375</v>
      </c>
      <c r="Y49" s="6">
        <f t="shared" si="10"/>
        <v>1.0010410827260351E-2</v>
      </c>
      <c r="AA49">
        <v>135194</v>
      </c>
      <c r="AB49">
        <v>24918</v>
      </c>
      <c r="AD49" t="s">
        <v>1</v>
      </c>
      <c r="AE49">
        <v>18</v>
      </c>
      <c r="AF49">
        <v>21</v>
      </c>
      <c r="AH49" t="s">
        <v>460</v>
      </c>
      <c r="AI49" t="s">
        <v>459</v>
      </c>
      <c r="AJ49" t="s">
        <v>103</v>
      </c>
      <c r="AK49" t="s">
        <v>458</v>
      </c>
      <c r="AL49">
        <v>0</v>
      </c>
      <c r="AM49" s="5">
        <f t="shared" si="11"/>
        <v>0</v>
      </c>
      <c r="AN49" s="4">
        <f t="shared" si="12"/>
        <v>0</v>
      </c>
      <c r="AO49" s="3"/>
      <c r="AP49">
        <v>0</v>
      </c>
      <c r="AR49" t="s">
        <v>0</v>
      </c>
      <c r="AT49" s="2">
        <v>1.3140000000000001</v>
      </c>
      <c r="AU49" s="1">
        <f t="shared" si="13"/>
        <v>0.70072875790822453</v>
      </c>
      <c r="AV49" s="1">
        <f t="shared" si="14"/>
        <v>0.5005205413630176</v>
      </c>
      <c r="AW49" s="1">
        <f t="shared" si="15"/>
        <v>0.30031232481781051</v>
      </c>
    </row>
    <row r="50" spans="1:49" x14ac:dyDescent="0.2">
      <c r="A50">
        <v>48</v>
      </c>
      <c r="B50" t="s">
        <v>457</v>
      </c>
      <c r="C50" t="s">
        <v>456</v>
      </c>
      <c r="F50" t="s">
        <v>455</v>
      </c>
      <c r="G50" t="s">
        <v>4</v>
      </c>
      <c r="H50" t="s">
        <v>3</v>
      </c>
      <c r="I50" t="s">
        <v>454</v>
      </c>
      <c r="J50">
        <v>60011664</v>
      </c>
      <c r="K50" t="s">
        <v>453</v>
      </c>
      <c r="L50" t="s">
        <v>452</v>
      </c>
      <c r="M50" t="s">
        <v>25</v>
      </c>
      <c r="N50">
        <v>2</v>
      </c>
      <c r="O50" t="s">
        <v>451</v>
      </c>
      <c r="P50" t="s">
        <v>450</v>
      </c>
      <c r="Q50" t="s">
        <v>449</v>
      </c>
      <c r="R50" s="7">
        <v>30238</v>
      </c>
      <c r="S50" s="8">
        <f t="shared" si="8"/>
        <v>1982</v>
      </c>
      <c r="T50" s="8">
        <v>1982</v>
      </c>
      <c r="U50" s="8">
        <f t="shared" si="9"/>
        <v>40</v>
      </c>
      <c r="V50" s="7">
        <v>30238</v>
      </c>
      <c r="W50" t="s">
        <v>83</v>
      </c>
      <c r="X50" s="2">
        <v>0.375</v>
      </c>
      <c r="Y50" s="6">
        <f t="shared" si="10"/>
        <v>1.0010410827260351E-2</v>
      </c>
      <c r="AA50">
        <v>135194</v>
      </c>
      <c r="AB50">
        <v>24918</v>
      </c>
      <c r="AD50" t="s">
        <v>1</v>
      </c>
      <c r="AE50">
        <v>18</v>
      </c>
      <c r="AF50">
        <v>21</v>
      </c>
      <c r="AH50" t="s">
        <v>448</v>
      </c>
      <c r="AI50" t="s">
        <v>447</v>
      </c>
      <c r="AJ50" t="s">
        <v>101</v>
      </c>
      <c r="AK50" t="s">
        <v>446</v>
      </c>
      <c r="AL50">
        <v>0</v>
      </c>
      <c r="AM50" s="5">
        <f t="shared" si="11"/>
        <v>0</v>
      </c>
      <c r="AN50" s="4">
        <f t="shared" si="12"/>
        <v>0</v>
      </c>
      <c r="AO50" s="3"/>
      <c r="AP50">
        <v>0</v>
      </c>
      <c r="AR50" t="s">
        <v>0</v>
      </c>
      <c r="AT50" s="2">
        <v>1.3140000000000001</v>
      </c>
      <c r="AU50" s="1">
        <f t="shared" si="13"/>
        <v>0.70072875790822453</v>
      </c>
      <c r="AV50" s="1">
        <f t="shared" si="14"/>
        <v>0.5005205413630176</v>
      </c>
      <c r="AW50" s="1">
        <f t="shared" si="15"/>
        <v>0.30031232481781051</v>
      </c>
    </row>
    <row r="51" spans="1:49" x14ac:dyDescent="0.2">
      <c r="A51">
        <v>49</v>
      </c>
      <c r="B51" t="s">
        <v>445</v>
      </c>
      <c r="C51" t="s">
        <v>444</v>
      </c>
      <c r="F51" t="s">
        <v>443</v>
      </c>
      <c r="G51" t="s">
        <v>4</v>
      </c>
      <c r="H51" t="s">
        <v>3</v>
      </c>
      <c r="I51" t="s">
        <v>82</v>
      </c>
      <c r="J51">
        <v>100584132</v>
      </c>
      <c r="K51" t="s">
        <v>442</v>
      </c>
      <c r="L51" t="s">
        <v>441</v>
      </c>
      <c r="M51" t="s">
        <v>12</v>
      </c>
      <c r="N51">
        <v>1</v>
      </c>
      <c r="O51" t="s">
        <v>81</v>
      </c>
      <c r="P51">
        <v>7401570710</v>
      </c>
      <c r="Q51">
        <v>100584132</v>
      </c>
      <c r="R51" s="7">
        <v>30225</v>
      </c>
      <c r="S51" s="8">
        <f t="shared" si="8"/>
        <v>1982</v>
      </c>
      <c r="T51" s="8">
        <v>1982</v>
      </c>
      <c r="U51" s="8">
        <f t="shared" si="9"/>
        <v>40</v>
      </c>
      <c r="V51" s="7">
        <v>30225</v>
      </c>
      <c r="W51" t="s">
        <v>90</v>
      </c>
      <c r="X51" s="2">
        <v>0.85499999999999998</v>
      </c>
      <c r="Y51" s="6">
        <f t="shared" si="10"/>
        <v>2.28237366861536E-2</v>
      </c>
      <c r="AA51">
        <v>980331</v>
      </c>
      <c r="AB51">
        <v>23342</v>
      </c>
      <c r="AC51">
        <v>15731561</v>
      </c>
      <c r="AD51" t="s">
        <v>1</v>
      </c>
      <c r="AE51">
        <v>8</v>
      </c>
      <c r="AF51">
        <v>10</v>
      </c>
      <c r="AH51" t="s">
        <v>440</v>
      </c>
      <c r="AI51" t="s">
        <v>439</v>
      </c>
      <c r="AJ51" t="s">
        <v>438</v>
      </c>
      <c r="AK51" t="s">
        <v>437</v>
      </c>
      <c r="AL51">
        <v>10</v>
      </c>
      <c r="AM51" s="5">
        <f t="shared" si="11"/>
        <v>0.25</v>
      </c>
      <c r="AN51" s="4">
        <f t="shared" si="12"/>
        <v>3.786444528587656E-4</v>
      </c>
      <c r="AO51" s="3"/>
      <c r="AP51">
        <v>0</v>
      </c>
      <c r="AR51" t="s">
        <v>0</v>
      </c>
      <c r="AT51" s="2">
        <v>2.6259999999999999</v>
      </c>
      <c r="AU51" s="1">
        <f t="shared" si="13"/>
        <v>1.6090209016165147</v>
      </c>
      <c r="AV51" s="1">
        <f t="shared" si="14"/>
        <v>1.1601190569506183</v>
      </c>
      <c r="AW51" s="1">
        <f t="shared" si="15"/>
        <v>0.71121721228472157</v>
      </c>
    </row>
    <row r="52" spans="1:49" x14ac:dyDescent="0.2">
      <c r="A52">
        <v>50</v>
      </c>
      <c r="B52" t="s">
        <v>436</v>
      </c>
      <c r="C52" t="s">
        <v>435</v>
      </c>
      <c r="E52">
        <v>7139691</v>
      </c>
      <c r="F52" t="s">
        <v>434</v>
      </c>
      <c r="G52" t="s">
        <v>4</v>
      </c>
      <c r="H52" t="s">
        <v>3</v>
      </c>
      <c r="I52" t="s">
        <v>433</v>
      </c>
      <c r="J52">
        <v>60014652</v>
      </c>
      <c r="K52" t="s">
        <v>59</v>
      </c>
      <c r="L52" t="s">
        <v>58</v>
      </c>
      <c r="M52" t="s">
        <v>12</v>
      </c>
      <c r="N52">
        <v>2</v>
      </c>
      <c r="O52" t="s">
        <v>432</v>
      </c>
      <c r="P52" t="s">
        <v>431</v>
      </c>
      <c r="Q52" t="s">
        <v>57</v>
      </c>
      <c r="R52" s="7">
        <v>30225</v>
      </c>
      <c r="S52" s="8">
        <f t="shared" si="8"/>
        <v>1982</v>
      </c>
      <c r="T52" s="8">
        <v>1982</v>
      </c>
      <c r="U52" s="8">
        <f t="shared" si="9"/>
        <v>40</v>
      </c>
      <c r="V52" s="7">
        <v>30225</v>
      </c>
      <c r="W52" t="s">
        <v>92</v>
      </c>
      <c r="X52" s="2">
        <v>1.64</v>
      </c>
      <c r="Y52" s="6">
        <f t="shared" si="10"/>
        <v>4.3778863351218597E-2</v>
      </c>
      <c r="AA52" t="s">
        <v>91</v>
      </c>
      <c r="AB52">
        <v>18446</v>
      </c>
      <c r="AC52">
        <v>14320878</v>
      </c>
      <c r="AD52" t="s">
        <v>1</v>
      </c>
      <c r="AE52">
        <v>226</v>
      </c>
      <c r="AF52">
        <v>3</v>
      </c>
      <c r="AH52" t="s">
        <v>430</v>
      </c>
      <c r="AI52" t="s">
        <v>429</v>
      </c>
      <c r="AJ52" t="s">
        <v>428</v>
      </c>
      <c r="AK52" t="s">
        <v>427</v>
      </c>
      <c r="AL52">
        <v>35</v>
      </c>
      <c r="AM52" s="5">
        <f t="shared" si="11"/>
        <v>0.875</v>
      </c>
      <c r="AN52" s="4">
        <f t="shared" si="12"/>
        <v>1.3252555850056798E-3</v>
      </c>
      <c r="AO52" s="3"/>
      <c r="AP52">
        <v>0</v>
      </c>
      <c r="AR52" t="s">
        <v>0</v>
      </c>
      <c r="AT52" s="2">
        <v>5.2489999999999997</v>
      </c>
      <c r="AU52" s="1">
        <f t="shared" si="13"/>
        <v>3.104278102135472</v>
      </c>
      <c r="AV52" s="1">
        <f t="shared" si="14"/>
        <v>2.255205946811214</v>
      </c>
      <c r="AW52" s="1">
        <f t="shared" si="15"/>
        <v>1.4061337914869554</v>
      </c>
    </row>
    <row r="53" spans="1:49" x14ac:dyDescent="0.2">
      <c r="A53">
        <v>51</v>
      </c>
      <c r="B53" t="s">
        <v>426</v>
      </c>
      <c r="C53" t="s">
        <v>425</v>
      </c>
      <c r="F53" t="s">
        <v>424</v>
      </c>
      <c r="G53" t="s">
        <v>4</v>
      </c>
      <c r="H53" t="s">
        <v>3</v>
      </c>
      <c r="I53" t="s">
        <v>423</v>
      </c>
      <c r="N53">
        <v>1</v>
      </c>
      <c r="O53" t="s">
        <v>422</v>
      </c>
      <c r="P53">
        <v>7003905459</v>
      </c>
      <c r="R53" s="7">
        <v>30225</v>
      </c>
      <c r="S53" s="8">
        <f t="shared" si="8"/>
        <v>1982</v>
      </c>
      <c r="T53" s="8">
        <v>1982</v>
      </c>
      <c r="U53" s="8">
        <f t="shared" si="9"/>
        <v>40</v>
      </c>
      <c r="V53" s="7">
        <v>30225</v>
      </c>
      <c r="W53" t="s">
        <v>11</v>
      </c>
      <c r="X53" s="2">
        <v>0.318</v>
      </c>
      <c r="Y53" s="6">
        <f t="shared" si="10"/>
        <v>8.4888283815167786E-3</v>
      </c>
      <c r="AA53">
        <v>338443</v>
      </c>
      <c r="AB53">
        <v>27160</v>
      </c>
      <c r="AC53">
        <v>15739120</v>
      </c>
      <c r="AD53" t="s">
        <v>1</v>
      </c>
      <c r="AE53">
        <v>25</v>
      </c>
      <c r="AF53">
        <v>10</v>
      </c>
      <c r="AH53" t="s">
        <v>421</v>
      </c>
      <c r="AL53">
        <v>0</v>
      </c>
      <c r="AM53" s="5">
        <f t="shared" si="11"/>
        <v>0</v>
      </c>
      <c r="AN53" s="4">
        <f t="shared" si="12"/>
        <v>0</v>
      </c>
      <c r="AO53" s="3"/>
      <c r="AP53">
        <v>0</v>
      </c>
      <c r="AR53" t="s">
        <v>0</v>
      </c>
      <c r="AT53" s="2">
        <v>0.77</v>
      </c>
      <c r="AU53" s="1">
        <f t="shared" si="13"/>
        <v>0.59421798670617454</v>
      </c>
      <c r="AV53" s="1">
        <f t="shared" si="14"/>
        <v>0.42444141907583893</v>
      </c>
      <c r="AW53" s="1">
        <f t="shared" si="15"/>
        <v>0.25466485144550338</v>
      </c>
    </row>
    <row r="54" spans="1:49" x14ac:dyDescent="0.2">
      <c r="A54">
        <v>52</v>
      </c>
      <c r="B54" t="s">
        <v>420</v>
      </c>
      <c r="C54" t="s">
        <v>419</v>
      </c>
      <c r="F54" t="s">
        <v>418</v>
      </c>
      <c r="G54" t="s">
        <v>4</v>
      </c>
      <c r="H54" t="s">
        <v>3</v>
      </c>
      <c r="I54" t="s">
        <v>417</v>
      </c>
      <c r="N54">
        <v>1</v>
      </c>
      <c r="O54" t="s">
        <v>416</v>
      </c>
      <c r="P54">
        <v>6505882819</v>
      </c>
      <c r="R54" s="7">
        <v>30225</v>
      </c>
      <c r="S54" s="8">
        <f t="shared" si="8"/>
        <v>1982</v>
      </c>
      <c r="T54" s="8">
        <v>1982</v>
      </c>
      <c r="U54" s="8">
        <f t="shared" si="9"/>
        <v>40</v>
      </c>
      <c r="V54" s="7">
        <v>30225</v>
      </c>
      <c r="W54" t="s">
        <v>11</v>
      </c>
      <c r="X54" s="2">
        <v>0.318</v>
      </c>
      <c r="Y54" s="6">
        <f t="shared" si="10"/>
        <v>8.4888283815167786E-3</v>
      </c>
      <c r="AA54">
        <v>338443</v>
      </c>
      <c r="AB54">
        <v>27160</v>
      </c>
      <c r="AC54">
        <v>15739120</v>
      </c>
      <c r="AD54" t="s">
        <v>1</v>
      </c>
      <c r="AE54">
        <v>25</v>
      </c>
      <c r="AF54">
        <v>10</v>
      </c>
      <c r="AH54" t="s">
        <v>415</v>
      </c>
      <c r="AL54">
        <v>0</v>
      </c>
      <c r="AM54" s="5">
        <f t="shared" si="11"/>
        <v>0</v>
      </c>
      <c r="AN54" s="4">
        <f t="shared" si="12"/>
        <v>0</v>
      </c>
      <c r="AO54" s="3"/>
      <c r="AP54">
        <v>0</v>
      </c>
      <c r="AR54" t="s">
        <v>0</v>
      </c>
      <c r="AT54" s="2">
        <v>0.77</v>
      </c>
      <c r="AU54" s="1">
        <f t="shared" si="13"/>
        <v>0.59421798670617454</v>
      </c>
      <c r="AV54" s="1">
        <f t="shared" si="14"/>
        <v>0.42444141907583893</v>
      </c>
      <c r="AW54" s="1">
        <f t="shared" si="15"/>
        <v>0.25466485144550338</v>
      </c>
    </row>
    <row r="55" spans="1:49" x14ac:dyDescent="0.2">
      <c r="A55">
        <v>53</v>
      </c>
      <c r="B55" t="s">
        <v>414</v>
      </c>
      <c r="C55" t="s">
        <v>413</v>
      </c>
      <c r="F55" t="s">
        <v>412</v>
      </c>
      <c r="G55" t="s">
        <v>4</v>
      </c>
      <c r="H55" t="s">
        <v>3</v>
      </c>
      <c r="I55" t="s">
        <v>286</v>
      </c>
      <c r="N55">
        <v>2</v>
      </c>
      <c r="O55" t="s">
        <v>411</v>
      </c>
      <c r="P55" t="s">
        <v>410</v>
      </c>
      <c r="Q55" t="s">
        <v>2</v>
      </c>
      <c r="R55" s="7">
        <v>30225</v>
      </c>
      <c r="S55" s="8">
        <f t="shared" si="8"/>
        <v>1982</v>
      </c>
      <c r="T55" s="8">
        <v>1982</v>
      </c>
      <c r="U55" s="8">
        <f t="shared" si="9"/>
        <v>40</v>
      </c>
      <c r="V55" s="7">
        <v>30225</v>
      </c>
      <c r="W55" t="s">
        <v>11</v>
      </c>
      <c r="X55" s="2">
        <v>0.318</v>
      </c>
      <c r="Y55" s="6">
        <f t="shared" si="10"/>
        <v>8.4888283815167786E-3</v>
      </c>
      <c r="AA55">
        <v>338443</v>
      </c>
      <c r="AB55">
        <v>27160</v>
      </c>
      <c r="AC55">
        <v>15739120</v>
      </c>
      <c r="AD55" t="s">
        <v>1</v>
      </c>
      <c r="AE55">
        <v>25</v>
      </c>
      <c r="AF55">
        <v>10</v>
      </c>
      <c r="AH55" t="s">
        <v>409</v>
      </c>
      <c r="AL55">
        <v>0</v>
      </c>
      <c r="AM55" s="5">
        <f t="shared" si="11"/>
        <v>0</v>
      </c>
      <c r="AN55" s="4">
        <f t="shared" si="12"/>
        <v>0</v>
      </c>
      <c r="AO55" s="3"/>
      <c r="AP55">
        <v>0</v>
      </c>
      <c r="AR55" t="s">
        <v>0</v>
      </c>
      <c r="AT55" s="2">
        <v>0.77</v>
      </c>
      <c r="AU55" s="1">
        <f t="shared" si="13"/>
        <v>0.59421798670617454</v>
      </c>
      <c r="AV55" s="1">
        <f t="shared" si="14"/>
        <v>0.42444141907583893</v>
      </c>
      <c r="AW55" s="1">
        <f t="shared" si="15"/>
        <v>0.25466485144550338</v>
      </c>
    </row>
    <row r="56" spans="1:49" x14ac:dyDescent="0.2">
      <c r="A56">
        <v>54</v>
      </c>
      <c r="B56" t="s">
        <v>408</v>
      </c>
      <c r="C56" t="s">
        <v>407</v>
      </c>
      <c r="F56" t="s">
        <v>406</v>
      </c>
      <c r="G56" t="s">
        <v>4</v>
      </c>
      <c r="H56" t="s">
        <v>3</v>
      </c>
      <c r="I56" t="s">
        <v>405</v>
      </c>
      <c r="J56">
        <v>60011897</v>
      </c>
      <c r="K56" t="s">
        <v>404</v>
      </c>
      <c r="L56" t="s">
        <v>403</v>
      </c>
      <c r="M56" t="s">
        <v>20</v>
      </c>
      <c r="N56">
        <v>3</v>
      </c>
      <c r="O56" t="s">
        <v>402</v>
      </c>
      <c r="P56" t="s">
        <v>401</v>
      </c>
      <c r="Q56" t="s">
        <v>400</v>
      </c>
      <c r="R56" s="7">
        <v>30224</v>
      </c>
      <c r="S56" s="8">
        <f t="shared" si="8"/>
        <v>1982</v>
      </c>
      <c r="T56" s="8">
        <v>1982</v>
      </c>
      <c r="U56" s="8">
        <f t="shared" si="9"/>
        <v>40</v>
      </c>
      <c r="V56" s="7">
        <v>30224</v>
      </c>
      <c r="W56" t="s">
        <v>83</v>
      </c>
      <c r="X56" s="2">
        <v>0.375</v>
      </c>
      <c r="Y56" s="6">
        <f t="shared" si="10"/>
        <v>1.0010410827260351E-2</v>
      </c>
      <c r="AA56">
        <v>135194</v>
      </c>
      <c r="AB56">
        <v>24918</v>
      </c>
      <c r="AD56" t="s">
        <v>1</v>
      </c>
      <c r="AE56">
        <v>18</v>
      </c>
      <c r="AF56">
        <v>20</v>
      </c>
      <c r="AH56" t="s">
        <v>399</v>
      </c>
      <c r="AI56" t="s">
        <v>398</v>
      </c>
      <c r="AJ56" t="s">
        <v>397</v>
      </c>
      <c r="AK56" t="s">
        <v>396</v>
      </c>
      <c r="AL56">
        <v>10</v>
      </c>
      <c r="AM56" s="5">
        <f t="shared" si="11"/>
        <v>0.25</v>
      </c>
      <c r="AN56" s="4">
        <f t="shared" si="12"/>
        <v>3.786444528587656E-4</v>
      </c>
      <c r="AO56" s="3"/>
      <c r="AP56">
        <v>0</v>
      </c>
      <c r="AR56" t="s">
        <v>0</v>
      </c>
      <c r="AT56" s="2">
        <v>1.3140000000000001</v>
      </c>
      <c r="AU56" s="1">
        <f t="shared" si="13"/>
        <v>0.71208809149398755</v>
      </c>
      <c r="AV56" s="1">
        <f t="shared" si="14"/>
        <v>0.51945276400595586</v>
      </c>
      <c r="AW56" s="1">
        <f t="shared" si="15"/>
        <v>0.32681743651792411</v>
      </c>
    </row>
    <row r="57" spans="1:49" x14ac:dyDescent="0.2">
      <c r="A57">
        <v>55</v>
      </c>
      <c r="B57" t="s">
        <v>395</v>
      </c>
      <c r="C57" t="s">
        <v>394</v>
      </c>
      <c r="F57" t="s">
        <v>393</v>
      </c>
      <c r="G57" t="s">
        <v>4</v>
      </c>
      <c r="H57" t="s">
        <v>3</v>
      </c>
      <c r="I57" t="s">
        <v>392</v>
      </c>
      <c r="J57">
        <v>60030551</v>
      </c>
      <c r="K57" t="s">
        <v>23</v>
      </c>
      <c r="L57" t="s">
        <v>22</v>
      </c>
      <c r="M57" t="s">
        <v>8</v>
      </c>
      <c r="N57">
        <v>2</v>
      </c>
      <c r="O57" t="s">
        <v>391</v>
      </c>
      <c r="P57" t="s">
        <v>390</v>
      </c>
      <c r="Q57" t="s">
        <v>21</v>
      </c>
      <c r="R57" s="7">
        <v>30210</v>
      </c>
      <c r="S57" s="8">
        <f t="shared" si="8"/>
        <v>1982</v>
      </c>
      <c r="T57" s="8">
        <v>1982</v>
      </c>
      <c r="U57" s="8">
        <f t="shared" si="9"/>
        <v>40</v>
      </c>
      <c r="V57" s="7">
        <v>30210</v>
      </c>
      <c r="W57" t="s">
        <v>83</v>
      </c>
      <c r="X57" s="2">
        <v>0.375</v>
      </c>
      <c r="Y57" s="6">
        <f t="shared" si="10"/>
        <v>1.0010410827260351E-2</v>
      </c>
      <c r="AA57">
        <v>135194</v>
      </c>
      <c r="AB57">
        <v>24918</v>
      </c>
      <c r="AD57" t="s">
        <v>1</v>
      </c>
      <c r="AE57">
        <v>18</v>
      </c>
      <c r="AF57">
        <v>19</v>
      </c>
      <c r="AH57" t="s">
        <v>389</v>
      </c>
      <c r="AI57" t="s">
        <v>388</v>
      </c>
      <c r="AJ57" t="s">
        <v>387</v>
      </c>
      <c r="AK57" t="s">
        <v>386</v>
      </c>
      <c r="AL57">
        <v>15</v>
      </c>
      <c r="AM57" s="5">
        <f t="shared" si="11"/>
        <v>0.375</v>
      </c>
      <c r="AN57" s="4">
        <f t="shared" si="12"/>
        <v>5.6796667928814845E-4</v>
      </c>
      <c r="AO57" s="3"/>
      <c r="AP57">
        <v>0</v>
      </c>
      <c r="AR57" t="s">
        <v>0</v>
      </c>
      <c r="AT57" s="2">
        <v>1.3140000000000001</v>
      </c>
      <c r="AU57" s="1">
        <f t="shared" si="13"/>
        <v>0.71776775828686901</v>
      </c>
      <c r="AV57" s="1">
        <f t="shared" si="14"/>
        <v>0.52891887532742499</v>
      </c>
      <c r="AW57" s="1">
        <f t="shared" si="15"/>
        <v>0.34006999236798091</v>
      </c>
    </row>
    <row r="58" spans="1:49" x14ac:dyDescent="0.2">
      <c r="A58">
        <v>56</v>
      </c>
      <c r="B58" t="s">
        <v>385</v>
      </c>
      <c r="C58" t="s">
        <v>384</v>
      </c>
      <c r="D58">
        <v>5272882901785</v>
      </c>
      <c r="F58" t="s">
        <v>383</v>
      </c>
      <c r="G58" t="s">
        <v>4</v>
      </c>
      <c r="H58" t="s">
        <v>3</v>
      </c>
      <c r="I58" t="s">
        <v>382</v>
      </c>
      <c r="J58">
        <v>106050747</v>
      </c>
      <c r="K58" t="s">
        <v>381</v>
      </c>
      <c r="M58" t="s">
        <v>29</v>
      </c>
      <c r="N58">
        <v>3</v>
      </c>
      <c r="O58" t="s">
        <v>380</v>
      </c>
      <c r="P58" t="s">
        <v>379</v>
      </c>
      <c r="Q58" t="s">
        <v>378</v>
      </c>
      <c r="R58" s="7">
        <v>30209</v>
      </c>
      <c r="S58" s="8">
        <f t="shared" si="8"/>
        <v>1982</v>
      </c>
      <c r="T58" s="8">
        <v>1982</v>
      </c>
      <c r="U58" s="8">
        <f t="shared" si="9"/>
        <v>40</v>
      </c>
      <c r="V58" s="7">
        <v>30209</v>
      </c>
      <c r="W58" t="s">
        <v>94</v>
      </c>
      <c r="X58" s="2">
        <v>1.59</v>
      </c>
      <c r="Y58" s="6">
        <f t="shared" si="10"/>
        <v>4.2444141907583888E-2</v>
      </c>
      <c r="AA58">
        <v>52728</v>
      </c>
      <c r="AB58">
        <v>16791</v>
      </c>
      <c r="AD58" t="s">
        <v>1</v>
      </c>
      <c r="AE58">
        <v>681</v>
      </c>
      <c r="AF58">
        <v>3</v>
      </c>
      <c r="AH58" t="s">
        <v>377</v>
      </c>
      <c r="AI58" t="s">
        <v>376</v>
      </c>
      <c r="AJ58" t="s">
        <v>375</v>
      </c>
      <c r="AK58" t="s">
        <v>374</v>
      </c>
      <c r="AL58">
        <v>12</v>
      </c>
      <c r="AM58" s="5">
        <f t="shared" si="11"/>
        <v>0.3</v>
      </c>
      <c r="AN58" s="4">
        <f t="shared" si="12"/>
        <v>4.5437334343051872E-4</v>
      </c>
      <c r="AO58" s="3"/>
      <c r="AP58">
        <v>0</v>
      </c>
      <c r="AQ58" t="s">
        <v>360</v>
      </c>
      <c r="AR58" t="s">
        <v>0</v>
      </c>
      <c r="AS58" t="s">
        <v>359</v>
      </c>
      <c r="AT58" s="2" t="s">
        <v>7</v>
      </c>
      <c r="AU58" s="1">
        <f t="shared" si="13"/>
        <v>2.9847211338337876</v>
      </c>
      <c r="AV58" s="1">
        <f t="shared" si="14"/>
        <v>2.1449257625507205</v>
      </c>
      <c r="AW58" s="1">
        <f t="shared" si="15"/>
        <v>1.3051303912676528</v>
      </c>
    </row>
    <row r="59" spans="1:49" x14ac:dyDescent="0.2">
      <c r="A59">
        <v>57</v>
      </c>
      <c r="B59" t="s">
        <v>373</v>
      </c>
      <c r="C59" t="s">
        <v>372</v>
      </c>
      <c r="D59" t="s">
        <v>371</v>
      </c>
      <c r="F59" t="s">
        <v>370</v>
      </c>
      <c r="G59" t="s">
        <v>4</v>
      </c>
      <c r="H59" t="s">
        <v>3</v>
      </c>
      <c r="I59" t="s">
        <v>369</v>
      </c>
      <c r="J59">
        <v>60003878</v>
      </c>
      <c r="K59" t="s">
        <v>368</v>
      </c>
      <c r="L59" t="s">
        <v>66</v>
      </c>
      <c r="M59" t="s">
        <v>29</v>
      </c>
      <c r="N59">
        <v>4</v>
      </c>
      <c r="O59" t="s">
        <v>367</v>
      </c>
      <c r="P59" t="s">
        <v>366</v>
      </c>
      <c r="Q59" t="s">
        <v>365</v>
      </c>
      <c r="R59" s="7">
        <v>30209</v>
      </c>
      <c r="S59" s="8">
        <f t="shared" si="8"/>
        <v>1982</v>
      </c>
      <c r="T59" s="8">
        <v>1982</v>
      </c>
      <c r="U59" s="8">
        <f t="shared" si="9"/>
        <v>40</v>
      </c>
      <c r="V59" s="7">
        <v>30209</v>
      </c>
      <c r="W59" t="s">
        <v>94</v>
      </c>
      <c r="X59" s="2">
        <v>1.59</v>
      </c>
      <c r="Y59" s="6">
        <f t="shared" si="10"/>
        <v>4.2444141907583888E-2</v>
      </c>
      <c r="AA59">
        <v>52728</v>
      </c>
      <c r="AB59">
        <v>16791</v>
      </c>
      <c r="AD59" t="s">
        <v>1</v>
      </c>
      <c r="AE59">
        <v>681</v>
      </c>
      <c r="AF59">
        <v>3</v>
      </c>
      <c r="AH59" t="s">
        <v>364</v>
      </c>
      <c r="AI59" t="s">
        <v>363</v>
      </c>
      <c r="AJ59" t="s">
        <v>362</v>
      </c>
      <c r="AK59" t="s">
        <v>361</v>
      </c>
      <c r="AL59">
        <v>16</v>
      </c>
      <c r="AM59" s="5">
        <f t="shared" si="11"/>
        <v>0.4</v>
      </c>
      <c r="AN59" s="4">
        <f t="shared" si="12"/>
        <v>6.0583112457402507E-4</v>
      </c>
      <c r="AO59" s="3"/>
      <c r="AP59">
        <v>0</v>
      </c>
      <c r="AQ59" t="s">
        <v>360</v>
      </c>
      <c r="AR59" t="s">
        <v>0</v>
      </c>
      <c r="AS59" t="s">
        <v>359</v>
      </c>
      <c r="AT59" s="2" t="s">
        <v>7</v>
      </c>
      <c r="AU59" s="1">
        <f t="shared" si="13"/>
        <v>2.9892648672680928</v>
      </c>
      <c r="AV59" s="1">
        <f t="shared" si="14"/>
        <v>2.1524986516078957</v>
      </c>
      <c r="AW59" s="1">
        <f t="shared" si="15"/>
        <v>1.3157324359476983</v>
      </c>
    </row>
    <row r="60" spans="1:49" x14ac:dyDescent="0.2">
      <c r="A60">
        <v>58</v>
      </c>
      <c r="B60" t="s">
        <v>358</v>
      </c>
      <c r="C60" t="s">
        <v>357</v>
      </c>
      <c r="D60" t="s">
        <v>356</v>
      </c>
      <c r="F60" t="s">
        <v>355</v>
      </c>
      <c r="G60" t="s">
        <v>4</v>
      </c>
      <c r="H60" t="s">
        <v>3</v>
      </c>
      <c r="I60" t="s">
        <v>354</v>
      </c>
      <c r="J60">
        <v>60031806</v>
      </c>
      <c r="K60" t="s">
        <v>353</v>
      </c>
      <c r="L60" t="s">
        <v>352</v>
      </c>
      <c r="M60" t="s">
        <v>25</v>
      </c>
      <c r="N60">
        <v>1</v>
      </c>
      <c r="O60" t="s">
        <v>351</v>
      </c>
      <c r="P60">
        <v>22974326500</v>
      </c>
      <c r="Q60">
        <v>60031806</v>
      </c>
      <c r="R60" s="7">
        <v>30200</v>
      </c>
      <c r="S60" s="8">
        <f t="shared" si="8"/>
        <v>1982</v>
      </c>
      <c r="T60" s="8">
        <v>1982</v>
      </c>
      <c r="U60" s="8">
        <f t="shared" si="9"/>
        <v>40</v>
      </c>
      <c r="V60" s="7">
        <v>30200</v>
      </c>
      <c r="W60" t="s">
        <v>350</v>
      </c>
      <c r="X60" s="2">
        <v>0.499</v>
      </c>
      <c r="Y60" s="6">
        <f t="shared" si="10"/>
        <v>1.332052000747444E-2</v>
      </c>
      <c r="AA60">
        <v>3759601</v>
      </c>
      <c r="AB60">
        <v>29464</v>
      </c>
      <c r="AD60" t="s">
        <v>1</v>
      </c>
      <c r="AE60">
        <v>91</v>
      </c>
      <c r="AF60">
        <v>4</v>
      </c>
      <c r="AH60" t="s">
        <v>349</v>
      </c>
      <c r="AI60" t="s">
        <v>348</v>
      </c>
      <c r="AK60" t="s">
        <v>347</v>
      </c>
      <c r="AL60">
        <v>9</v>
      </c>
      <c r="AM60" s="5">
        <f t="shared" si="11"/>
        <v>0.22500000000000001</v>
      </c>
      <c r="AN60" s="4">
        <f t="shared" si="12"/>
        <v>3.4078000757288904E-4</v>
      </c>
      <c r="AO60" s="3"/>
      <c r="AP60">
        <v>0</v>
      </c>
      <c r="AQ60" t="s">
        <v>68</v>
      </c>
      <c r="AR60" t="s">
        <v>0</v>
      </c>
      <c r="AS60" t="s">
        <v>67</v>
      </c>
      <c r="AT60" s="2">
        <v>2.6539999999999999</v>
      </c>
      <c r="AU60" s="1">
        <f t="shared" si="13"/>
        <v>0.94265980075039746</v>
      </c>
      <c r="AV60" s="1">
        <f t="shared" si="14"/>
        <v>0.68306500075236642</v>
      </c>
      <c r="AW60" s="1">
        <f t="shared" si="15"/>
        <v>0.4234702007543355</v>
      </c>
    </row>
    <row r="61" spans="1:49" x14ac:dyDescent="0.2">
      <c r="A61">
        <v>59</v>
      </c>
      <c r="B61" t="s">
        <v>346</v>
      </c>
      <c r="C61" t="s">
        <v>345</v>
      </c>
      <c r="F61" t="s">
        <v>344</v>
      </c>
      <c r="G61" t="s">
        <v>4</v>
      </c>
      <c r="H61" t="s">
        <v>3</v>
      </c>
      <c r="I61" t="s">
        <v>343</v>
      </c>
      <c r="J61">
        <v>60029284</v>
      </c>
      <c r="K61" t="s">
        <v>342</v>
      </c>
      <c r="L61" t="s">
        <v>56</v>
      </c>
      <c r="M61" t="s">
        <v>38</v>
      </c>
      <c r="N61">
        <v>2</v>
      </c>
      <c r="O61" t="s">
        <v>341</v>
      </c>
      <c r="P61" t="s">
        <v>340</v>
      </c>
      <c r="Q61" t="s">
        <v>339</v>
      </c>
      <c r="R61" s="7">
        <v>30196</v>
      </c>
      <c r="S61" s="8">
        <f t="shared" si="8"/>
        <v>1982</v>
      </c>
      <c r="T61" s="8">
        <v>1982</v>
      </c>
      <c r="U61" s="8">
        <f t="shared" si="9"/>
        <v>40</v>
      </c>
      <c r="V61" s="7">
        <v>30196</v>
      </c>
      <c r="W61" t="s">
        <v>83</v>
      </c>
      <c r="X61" s="2">
        <v>0.375</v>
      </c>
      <c r="Y61" s="6">
        <f t="shared" si="10"/>
        <v>1.0010410827260351E-2</v>
      </c>
      <c r="AA61">
        <v>135194</v>
      </c>
      <c r="AB61">
        <v>24918</v>
      </c>
      <c r="AD61" t="s">
        <v>1</v>
      </c>
      <c r="AE61">
        <v>18</v>
      </c>
      <c r="AF61">
        <v>18</v>
      </c>
      <c r="AH61" t="s">
        <v>338</v>
      </c>
      <c r="AI61" t="s">
        <v>337</v>
      </c>
      <c r="AJ61" t="s">
        <v>336</v>
      </c>
      <c r="AK61" t="s">
        <v>335</v>
      </c>
      <c r="AL61">
        <v>5</v>
      </c>
      <c r="AM61" s="5">
        <f t="shared" si="11"/>
        <v>0.125</v>
      </c>
      <c r="AN61" s="4">
        <f t="shared" si="12"/>
        <v>1.893222264293828E-4</v>
      </c>
      <c r="AO61" s="3"/>
      <c r="AP61">
        <v>0</v>
      </c>
      <c r="AR61" t="s">
        <v>0</v>
      </c>
      <c r="AT61" s="2">
        <v>1.3140000000000001</v>
      </c>
      <c r="AU61" s="1">
        <f t="shared" si="13"/>
        <v>0.7064084247011061</v>
      </c>
      <c r="AV61" s="1">
        <f t="shared" si="14"/>
        <v>0.50998665268448673</v>
      </c>
      <c r="AW61" s="1">
        <f t="shared" si="15"/>
        <v>0.31356488066786731</v>
      </c>
    </row>
    <row r="62" spans="1:49" x14ac:dyDescent="0.2">
      <c r="A62">
        <v>60</v>
      </c>
      <c r="B62" t="s">
        <v>334</v>
      </c>
      <c r="C62" t="s">
        <v>333</v>
      </c>
      <c r="F62" t="s">
        <v>332</v>
      </c>
      <c r="G62" t="s">
        <v>4</v>
      </c>
      <c r="H62" t="s">
        <v>3</v>
      </c>
      <c r="I62" t="s">
        <v>331</v>
      </c>
      <c r="J62" t="s">
        <v>330</v>
      </c>
      <c r="K62" t="s">
        <v>329</v>
      </c>
      <c r="L62" t="s">
        <v>328</v>
      </c>
      <c r="M62" t="s">
        <v>44</v>
      </c>
      <c r="N62">
        <v>2</v>
      </c>
      <c r="O62" t="s">
        <v>327</v>
      </c>
      <c r="P62" t="s">
        <v>326</v>
      </c>
      <c r="Q62" t="s">
        <v>325</v>
      </c>
      <c r="R62" s="7">
        <v>30195</v>
      </c>
      <c r="S62" s="8">
        <f t="shared" si="8"/>
        <v>1982</v>
      </c>
      <c r="T62" s="8">
        <v>1982</v>
      </c>
      <c r="U62" s="8">
        <f t="shared" si="9"/>
        <v>40</v>
      </c>
      <c r="V62" s="7">
        <v>30195</v>
      </c>
      <c r="W62" t="s">
        <v>128</v>
      </c>
      <c r="X62" s="2" t="s">
        <v>7</v>
      </c>
      <c r="Y62" s="6" t="e">
        <f t="shared" si="10"/>
        <v>#VALUE!</v>
      </c>
      <c r="AA62">
        <v>3905551</v>
      </c>
      <c r="AB62">
        <v>15400155600</v>
      </c>
      <c r="AD62" t="s">
        <v>1</v>
      </c>
      <c r="AE62">
        <v>5</v>
      </c>
      <c r="AF62">
        <v>5</v>
      </c>
      <c r="AH62" t="s">
        <v>55</v>
      </c>
      <c r="AI62" t="s">
        <v>324</v>
      </c>
      <c r="AJ62" t="s">
        <v>323</v>
      </c>
      <c r="AK62" t="s">
        <v>322</v>
      </c>
      <c r="AL62">
        <v>0</v>
      </c>
      <c r="AM62" s="5">
        <f t="shared" si="11"/>
        <v>0</v>
      </c>
      <c r="AN62" s="4">
        <f t="shared" si="12"/>
        <v>0</v>
      </c>
      <c r="AO62" s="3"/>
      <c r="AP62">
        <v>0</v>
      </c>
      <c r="AR62" t="s">
        <v>0</v>
      </c>
      <c r="AT62" s="2" t="s">
        <v>7</v>
      </c>
      <c r="AU62" s="1" t="e">
        <f t="shared" si="13"/>
        <v>#VALUE!</v>
      </c>
      <c r="AV62" s="1" t="e">
        <f t="shared" si="14"/>
        <v>#VALUE!</v>
      </c>
      <c r="AW62" s="1" t="e">
        <f t="shared" si="15"/>
        <v>#VALUE!</v>
      </c>
    </row>
    <row r="63" spans="1:49" x14ac:dyDescent="0.2">
      <c r="A63">
        <v>61</v>
      </c>
      <c r="B63" t="s">
        <v>321</v>
      </c>
      <c r="C63" t="s">
        <v>320</v>
      </c>
      <c r="F63" t="s">
        <v>319</v>
      </c>
      <c r="G63" t="s">
        <v>4</v>
      </c>
      <c r="H63" t="s">
        <v>3</v>
      </c>
      <c r="I63" t="s">
        <v>318</v>
      </c>
      <c r="J63" t="s">
        <v>317</v>
      </c>
      <c r="K63" t="s">
        <v>316</v>
      </c>
      <c r="L63" t="s">
        <v>315</v>
      </c>
      <c r="M63" t="s">
        <v>314</v>
      </c>
      <c r="N63">
        <v>3</v>
      </c>
      <c r="O63" t="s">
        <v>313</v>
      </c>
      <c r="P63" t="s">
        <v>312</v>
      </c>
      <c r="Q63" t="s">
        <v>311</v>
      </c>
      <c r="R63" s="7">
        <v>30195</v>
      </c>
      <c r="S63" s="8">
        <f t="shared" si="8"/>
        <v>1982</v>
      </c>
      <c r="T63" s="8">
        <v>1982</v>
      </c>
      <c r="U63" s="8">
        <f t="shared" si="9"/>
        <v>40</v>
      </c>
      <c r="V63" s="7">
        <v>30195</v>
      </c>
      <c r="W63" t="s">
        <v>128</v>
      </c>
      <c r="X63" s="2" t="s">
        <v>7</v>
      </c>
      <c r="Y63" s="6" t="e">
        <f t="shared" si="10"/>
        <v>#VALUE!</v>
      </c>
      <c r="AA63">
        <v>3905551</v>
      </c>
      <c r="AB63">
        <v>15400155600</v>
      </c>
      <c r="AD63" t="s">
        <v>1</v>
      </c>
      <c r="AE63">
        <v>5</v>
      </c>
      <c r="AF63">
        <v>5</v>
      </c>
      <c r="AH63" t="s">
        <v>310</v>
      </c>
      <c r="AI63" t="s">
        <v>309</v>
      </c>
      <c r="AJ63" t="s">
        <v>308</v>
      </c>
      <c r="AK63" t="s">
        <v>307</v>
      </c>
      <c r="AL63">
        <v>18</v>
      </c>
      <c r="AM63" s="5">
        <f t="shared" si="11"/>
        <v>0.45</v>
      </c>
      <c r="AN63" s="4">
        <f t="shared" si="12"/>
        <v>6.8156001514577808E-4</v>
      </c>
      <c r="AO63" s="3"/>
      <c r="AP63">
        <v>0</v>
      </c>
      <c r="AR63" t="s">
        <v>0</v>
      </c>
      <c r="AT63" s="2" t="s">
        <v>7</v>
      </c>
      <c r="AU63" s="1" t="e">
        <f t="shared" si="13"/>
        <v>#VALUE!</v>
      </c>
      <c r="AV63" s="1" t="e">
        <f t="shared" si="14"/>
        <v>#VALUE!</v>
      </c>
      <c r="AW63" s="1" t="e">
        <f t="shared" si="15"/>
        <v>#VALUE!</v>
      </c>
    </row>
    <row r="64" spans="1:49" x14ac:dyDescent="0.2">
      <c r="A64">
        <v>62</v>
      </c>
      <c r="B64" t="s">
        <v>306</v>
      </c>
      <c r="C64" t="s">
        <v>305</v>
      </c>
      <c r="E64">
        <v>7127431</v>
      </c>
      <c r="F64" t="s">
        <v>304</v>
      </c>
      <c r="G64" t="s">
        <v>4</v>
      </c>
      <c r="H64" t="s">
        <v>3</v>
      </c>
      <c r="I64" t="s">
        <v>303</v>
      </c>
      <c r="J64" t="s">
        <v>256</v>
      </c>
      <c r="K64" t="s">
        <v>255</v>
      </c>
      <c r="L64" t="s">
        <v>254</v>
      </c>
      <c r="M64" t="s">
        <v>6</v>
      </c>
      <c r="N64">
        <v>2</v>
      </c>
      <c r="O64" t="s">
        <v>302</v>
      </c>
      <c r="P64" t="s">
        <v>301</v>
      </c>
      <c r="Q64" t="s">
        <v>256</v>
      </c>
      <c r="R64" s="7">
        <v>30195</v>
      </c>
      <c r="S64" s="8">
        <f t="shared" si="8"/>
        <v>1982</v>
      </c>
      <c r="T64" s="8">
        <v>1982</v>
      </c>
      <c r="U64" s="8">
        <f t="shared" si="9"/>
        <v>40</v>
      </c>
      <c r="V64" s="7">
        <v>30195</v>
      </c>
      <c r="W64" t="s">
        <v>92</v>
      </c>
      <c r="X64" s="2">
        <v>1.64</v>
      </c>
      <c r="Y64" s="6">
        <f t="shared" si="10"/>
        <v>4.3778863351218597E-2</v>
      </c>
      <c r="AA64" t="s">
        <v>91</v>
      </c>
      <c r="AB64">
        <v>18446</v>
      </c>
      <c r="AC64">
        <v>14320878</v>
      </c>
      <c r="AD64" t="s">
        <v>1</v>
      </c>
      <c r="AE64">
        <v>226</v>
      </c>
      <c r="AF64">
        <v>2</v>
      </c>
      <c r="AH64" t="s">
        <v>300</v>
      </c>
      <c r="AI64" t="s">
        <v>299</v>
      </c>
      <c r="AJ64" t="s">
        <v>298</v>
      </c>
      <c r="AK64" t="s">
        <v>297</v>
      </c>
      <c r="AL64">
        <v>31</v>
      </c>
      <c r="AM64" s="5">
        <f t="shared" si="11"/>
        <v>0.77500000000000002</v>
      </c>
      <c r="AN64" s="4">
        <f t="shared" si="12"/>
        <v>1.1737978038621735E-3</v>
      </c>
      <c r="AO64" s="3"/>
      <c r="AP64">
        <v>0</v>
      </c>
      <c r="AR64" t="s">
        <v>0</v>
      </c>
      <c r="AT64" s="2">
        <v>5.2489999999999997</v>
      </c>
      <c r="AU64" s="1">
        <f t="shared" si="13"/>
        <v>3.0997343687011667</v>
      </c>
      <c r="AV64" s="1">
        <f t="shared" si="14"/>
        <v>2.2476330577540384</v>
      </c>
      <c r="AW64" s="1">
        <f t="shared" si="15"/>
        <v>1.3955317468069099</v>
      </c>
    </row>
    <row r="65" spans="1:49" x14ac:dyDescent="0.2">
      <c r="A65">
        <v>63</v>
      </c>
      <c r="B65" t="s">
        <v>296</v>
      </c>
      <c r="C65" t="s">
        <v>295</v>
      </c>
      <c r="F65" t="s">
        <v>294</v>
      </c>
      <c r="G65" t="s">
        <v>4</v>
      </c>
      <c r="H65" t="s">
        <v>3</v>
      </c>
      <c r="I65" t="s">
        <v>98</v>
      </c>
      <c r="J65">
        <v>60000221</v>
      </c>
      <c r="K65" t="s">
        <v>17</v>
      </c>
      <c r="L65" t="s">
        <v>16</v>
      </c>
      <c r="M65" t="s">
        <v>8</v>
      </c>
      <c r="N65">
        <v>1</v>
      </c>
      <c r="O65" t="s">
        <v>97</v>
      </c>
      <c r="P65">
        <v>7007056438</v>
      </c>
      <c r="Q65">
        <v>60000221</v>
      </c>
      <c r="R65" s="7">
        <v>30195</v>
      </c>
      <c r="S65" s="8">
        <f t="shared" si="8"/>
        <v>1982</v>
      </c>
      <c r="T65" s="8">
        <v>1982</v>
      </c>
      <c r="U65" s="8">
        <f t="shared" si="9"/>
        <v>40</v>
      </c>
      <c r="V65" s="7">
        <v>30195</v>
      </c>
      <c r="W65" t="s">
        <v>96</v>
      </c>
      <c r="X65" s="2">
        <v>0.33800000000000002</v>
      </c>
      <c r="Y65" s="6">
        <f t="shared" si="10"/>
        <v>9.0227169589706634E-3</v>
      </c>
      <c r="AA65">
        <v>34347</v>
      </c>
      <c r="AB65">
        <v>17722</v>
      </c>
      <c r="AC65">
        <v>19589395</v>
      </c>
      <c r="AD65" t="s">
        <v>1</v>
      </c>
      <c r="AE65">
        <v>37</v>
      </c>
      <c r="AF65" s="9">
        <v>44478</v>
      </c>
      <c r="AH65" t="s">
        <v>293</v>
      </c>
      <c r="AI65" t="s">
        <v>292</v>
      </c>
      <c r="AJ65" t="s">
        <v>291</v>
      </c>
      <c r="AK65" t="s">
        <v>290</v>
      </c>
      <c r="AL65">
        <v>0</v>
      </c>
      <c r="AM65" s="5">
        <f t="shared" si="11"/>
        <v>0</v>
      </c>
      <c r="AN65" s="4">
        <f t="shared" si="12"/>
        <v>0</v>
      </c>
      <c r="AO65" s="3"/>
      <c r="AP65">
        <v>0</v>
      </c>
      <c r="AR65" t="s">
        <v>0</v>
      </c>
      <c r="AT65" s="2" t="s">
        <v>7</v>
      </c>
      <c r="AU65" s="1">
        <f t="shared" si="13"/>
        <v>0.63159018712794635</v>
      </c>
      <c r="AV65" s="1">
        <f t="shared" si="14"/>
        <v>0.45113584794853318</v>
      </c>
      <c r="AW65" s="1">
        <f t="shared" si="15"/>
        <v>0.27068150876911989</v>
      </c>
    </row>
    <row r="66" spans="1:49" x14ac:dyDescent="0.2">
      <c r="A66">
        <v>64</v>
      </c>
      <c r="B66" t="s">
        <v>289</v>
      </c>
      <c r="C66" t="s">
        <v>288</v>
      </c>
      <c r="F66" t="s">
        <v>287</v>
      </c>
      <c r="G66" t="s">
        <v>4</v>
      </c>
      <c r="H66" t="s">
        <v>3</v>
      </c>
      <c r="I66" t="s">
        <v>286</v>
      </c>
      <c r="N66">
        <v>1</v>
      </c>
      <c r="O66" t="s">
        <v>285</v>
      </c>
      <c r="P66">
        <v>24372272500</v>
      </c>
      <c r="R66" s="7">
        <v>30195</v>
      </c>
      <c r="S66" s="8">
        <f t="shared" ref="S66:S97" si="16">YEAR(R66)</f>
        <v>1982</v>
      </c>
      <c r="T66" s="8">
        <v>1982</v>
      </c>
      <c r="U66" s="8">
        <f t="shared" ref="U66:U97" si="17">2022-T66</f>
        <v>40</v>
      </c>
      <c r="V66" s="7">
        <v>30195</v>
      </c>
      <c r="W66" t="s">
        <v>11</v>
      </c>
      <c r="X66" s="2">
        <v>0.318</v>
      </c>
      <c r="Y66" s="6">
        <f t="shared" ref="Y66:Y97" si="18">(X66-$Z$4)/($Z$3-$Z$4)</f>
        <v>8.4888283815167786E-3</v>
      </c>
      <c r="AA66">
        <v>338443</v>
      </c>
      <c r="AB66">
        <v>27160</v>
      </c>
      <c r="AC66">
        <v>15739120</v>
      </c>
      <c r="AD66" t="s">
        <v>1</v>
      </c>
      <c r="AE66">
        <v>25</v>
      </c>
      <c r="AF66">
        <v>9</v>
      </c>
      <c r="AH66" t="s">
        <v>284</v>
      </c>
      <c r="AL66">
        <v>0</v>
      </c>
      <c r="AM66" s="5">
        <f t="shared" ref="AM66:AM97" si="19">AL66/U66</f>
        <v>0</v>
      </c>
      <c r="AN66" s="4">
        <f t="shared" ref="AN66:AN97" si="20">(AM66-$AO$4)/($AO$3-$AO$4)</f>
        <v>0</v>
      </c>
      <c r="AO66" s="3"/>
      <c r="AP66">
        <v>0</v>
      </c>
      <c r="AR66" t="s">
        <v>0</v>
      </c>
      <c r="AT66" s="2">
        <v>0.77</v>
      </c>
      <c r="AU66" s="1">
        <f t="shared" ref="AU66:AU81" si="21">(Y66*0.7+AN66*0.3)*100</f>
        <v>0.59421798670617454</v>
      </c>
      <c r="AV66" s="1">
        <f t="shared" ref="AV66:AV81" si="22">(Y66*0.5+AN66*0.5)*100</f>
        <v>0.42444141907583893</v>
      </c>
      <c r="AW66" s="1">
        <f t="shared" ref="AW66:AW81" si="23">(Y66*0.3+AN66*0.7)*100</f>
        <v>0.25466485144550338</v>
      </c>
    </row>
    <row r="67" spans="1:49" x14ac:dyDescent="0.2">
      <c r="A67">
        <v>65</v>
      </c>
      <c r="B67" t="s">
        <v>283</v>
      </c>
      <c r="C67" t="s">
        <v>282</v>
      </c>
      <c r="D67">
        <v>22098182900259</v>
      </c>
      <c r="F67" t="s">
        <v>281</v>
      </c>
      <c r="G67" t="s">
        <v>4</v>
      </c>
      <c r="H67" t="s">
        <v>3</v>
      </c>
      <c r="I67" t="s">
        <v>280</v>
      </c>
      <c r="J67">
        <v>60011986</v>
      </c>
      <c r="K67" t="s">
        <v>279</v>
      </c>
      <c r="L67" t="s">
        <v>278</v>
      </c>
      <c r="M67" t="s">
        <v>8</v>
      </c>
      <c r="N67">
        <v>1</v>
      </c>
      <c r="O67" t="s">
        <v>277</v>
      </c>
      <c r="P67">
        <v>57225391908</v>
      </c>
      <c r="Q67">
        <v>60011986</v>
      </c>
      <c r="R67" s="7">
        <v>30173</v>
      </c>
      <c r="S67" s="8">
        <f t="shared" si="16"/>
        <v>1982</v>
      </c>
      <c r="T67" s="8">
        <v>1982</v>
      </c>
      <c r="U67" s="8">
        <f t="shared" si="17"/>
        <v>40</v>
      </c>
      <c r="V67" s="7">
        <v>30173</v>
      </c>
      <c r="W67" t="s">
        <v>276</v>
      </c>
      <c r="X67" s="2">
        <v>0.96499999999999997</v>
      </c>
      <c r="Y67" s="6">
        <f t="shared" si="18"/>
        <v>2.5760123862149969E-2</v>
      </c>
      <c r="AA67">
        <v>220981</v>
      </c>
      <c r="AB67">
        <v>29606</v>
      </c>
      <c r="AD67" t="s">
        <v>1</v>
      </c>
      <c r="AE67">
        <v>63</v>
      </c>
      <c r="AF67">
        <v>2</v>
      </c>
      <c r="AH67" t="s">
        <v>275</v>
      </c>
      <c r="AI67" t="s">
        <v>274</v>
      </c>
      <c r="AK67" t="s">
        <v>273</v>
      </c>
      <c r="AL67">
        <v>33</v>
      </c>
      <c r="AM67" s="5">
        <f t="shared" si="19"/>
        <v>0.82499999999999996</v>
      </c>
      <c r="AN67" s="4">
        <f t="shared" si="20"/>
        <v>1.2495266944339265E-3</v>
      </c>
      <c r="AO67" s="3"/>
      <c r="AP67">
        <v>0</v>
      </c>
      <c r="AR67" t="s">
        <v>272</v>
      </c>
      <c r="AT67" s="2" t="s">
        <v>7</v>
      </c>
      <c r="AU67" s="1">
        <f t="shared" si="21"/>
        <v>1.8406944711835154</v>
      </c>
      <c r="AV67" s="1">
        <f t="shared" si="22"/>
        <v>1.3504825278291948</v>
      </c>
      <c r="AW67" s="1">
        <f t="shared" si="23"/>
        <v>0.86027058447487381</v>
      </c>
    </row>
    <row r="68" spans="1:49" x14ac:dyDescent="0.2">
      <c r="A68">
        <v>66</v>
      </c>
      <c r="B68" t="s">
        <v>271</v>
      </c>
      <c r="C68" t="s">
        <v>270</v>
      </c>
      <c r="F68" t="s">
        <v>269</v>
      </c>
      <c r="G68" t="s">
        <v>4</v>
      </c>
      <c r="H68" t="s">
        <v>3</v>
      </c>
      <c r="I68" t="s">
        <v>268</v>
      </c>
      <c r="J68">
        <v>60029428</v>
      </c>
      <c r="K68" t="s">
        <v>116</v>
      </c>
      <c r="L68" t="s">
        <v>115</v>
      </c>
      <c r="M68" t="s">
        <v>9</v>
      </c>
      <c r="N68">
        <v>2</v>
      </c>
      <c r="O68" t="s">
        <v>267</v>
      </c>
      <c r="P68" t="s">
        <v>266</v>
      </c>
      <c r="Q68" t="s">
        <v>265</v>
      </c>
      <c r="R68" s="7">
        <v>30164</v>
      </c>
      <c r="S68" s="8">
        <f t="shared" si="16"/>
        <v>1982</v>
      </c>
      <c r="T68" s="8">
        <v>1982</v>
      </c>
      <c r="U68" s="8">
        <f t="shared" si="17"/>
        <v>40</v>
      </c>
      <c r="V68" s="7">
        <v>30164</v>
      </c>
      <c r="W68" t="s">
        <v>114</v>
      </c>
      <c r="X68" s="2">
        <v>0.30099999999999999</v>
      </c>
      <c r="Y68" s="6">
        <f t="shared" si="18"/>
        <v>8.0350230906809754E-3</v>
      </c>
      <c r="AA68">
        <v>9395075</v>
      </c>
      <c r="AB68">
        <v>14954</v>
      </c>
      <c r="AC68">
        <v>18657125</v>
      </c>
      <c r="AD68" t="s">
        <v>1</v>
      </c>
      <c r="AE68">
        <v>37</v>
      </c>
      <c r="AF68" s="9">
        <v>44415</v>
      </c>
      <c r="AH68" t="s">
        <v>264</v>
      </c>
      <c r="AI68" t="s">
        <v>263</v>
      </c>
      <c r="AJ68" t="s">
        <v>262</v>
      </c>
      <c r="AK68" t="s">
        <v>261</v>
      </c>
      <c r="AL68">
        <v>8</v>
      </c>
      <c r="AM68" s="5">
        <f t="shared" si="19"/>
        <v>0.2</v>
      </c>
      <c r="AN68" s="4">
        <f t="shared" si="20"/>
        <v>3.0291556228701253E-4</v>
      </c>
      <c r="AO68" s="3"/>
      <c r="AP68">
        <v>1</v>
      </c>
      <c r="AQ68" t="s">
        <v>113</v>
      </c>
      <c r="AR68" t="s">
        <v>0</v>
      </c>
      <c r="AS68" t="s">
        <v>112</v>
      </c>
      <c r="AT68" s="2" t="s">
        <v>7</v>
      </c>
      <c r="AU68" s="1">
        <f t="shared" si="21"/>
        <v>0.57153908321627855</v>
      </c>
      <c r="AV68" s="1">
        <f t="shared" si="22"/>
        <v>0.41689693264839944</v>
      </c>
      <c r="AW68" s="1">
        <f t="shared" si="23"/>
        <v>0.26225478208052017</v>
      </c>
    </row>
    <row r="69" spans="1:49" x14ac:dyDescent="0.2">
      <c r="A69">
        <v>67</v>
      </c>
      <c r="B69" t="s">
        <v>260</v>
      </c>
      <c r="C69" t="s">
        <v>259</v>
      </c>
      <c r="E69">
        <v>7127426</v>
      </c>
      <c r="F69" t="s">
        <v>258</v>
      </c>
      <c r="G69" t="s">
        <v>4</v>
      </c>
      <c r="H69" t="s">
        <v>3</v>
      </c>
      <c r="I69" t="s">
        <v>257</v>
      </c>
      <c r="J69" t="s">
        <v>256</v>
      </c>
      <c r="K69" t="s">
        <v>255</v>
      </c>
      <c r="L69" t="s">
        <v>254</v>
      </c>
      <c r="M69" t="s">
        <v>6</v>
      </c>
      <c r="N69">
        <v>3</v>
      </c>
      <c r="O69" t="s">
        <v>253</v>
      </c>
      <c r="P69" t="s">
        <v>252</v>
      </c>
      <c r="Q69" t="s">
        <v>251</v>
      </c>
      <c r="R69" s="7">
        <v>30164</v>
      </c>
      <c r="S69" s="8">
        <f t="shared" si="16"/>
        <v>1982</v>
      </c>
      <c r="T69" s="8">
        <v>1982</v>
      </c>
      <c r="U69" s="8">
        <f t="shared" si="17"/>
        <v>40</v>
      </c>
      <c r="V69" s="7">
        <v>30164</v>
      </c>
      <c r="W69" t="s">
        <v>92</v>
      </c>
      <c r="X69" s="2">
        <v>1.64</v>
      </c>
      <c r="Y69" s="6">
        <f t="shared" si="18"/>
        <v>4.3778863351218597E-2</v>
      </c>
      <c r="AA69" t="s">
        <v>91</v>
      </c>
      <c r="AB69">
        <v>18446</v>
      </c>
      <c r="AC69">
        <v>14320878</v>
      </c>
      <c r="AD69" t="s">
        <v>1</v>
      </c>
      <c r="AE69">
        <v>226</v>
      </c>
      <c r="AF69">
        <v>1</v>
      </c>
      <c r="AH69" t="s">
        <v>250</v>
      </c>
      <c r="AI69" t="s">
        <v>249</v>
      </c>
      <c r="AJ69" t="s">
        <v>248</v>
      </c>
      <c r="AK69" t="s">
        <v>247</v>
      </c>
      <c r="AL69">
        <v>75</v>
      </c>
      <c r="AM69" s="5">
        <f t="shared" si="19"/>
        <v>1.875</v>
      </c>
      <c r="AN69" s="4">
        <f t="shared" si="20"/>
        <v>2.8398333964407422E-3</v>
      </c>
      <c r="AO69" s="3"/>
      <c r="AP69">
        <v>0</v>
      </c>
      <c r="AR69" t="s">
        <v>0</v>
      </c>
      <c r="AT69" s="2">
        <v>5.2489999999999997</v>
      </c>
      <c r="AU69" s="1">
        <f t="shared" si="21"/>
        <v>3.1497154364785236</v>
      </c>
      <c r="AV69" s="1">
        <f t="shared" si="22"/>
        <v>2.330934837382967</v>
      </c>
      <c r="AW69" s="1">
        <f t="shared" si="23"/>
        <v>1.5121542382874098</v>
      </c>
    </row>
    <row r="70" spans="1:49" x14ac:dyDescent="0.2">
      <c r="A70">
        <v>68</v>
      </c>
      <c r="B70" t="s">
        <v>246</v>
      </c>
      <c r="C70" t="s">
        <v>245</v>
      </c>
      <c r="F70" t="s">
        <v>244</v>
      </c>
      <c r="G70" t="s">
        <v>4</v>
      </c>
      <c r="H70" t="s">
        <v>3</v>
      </c>
      <c r="I70" t="s">
        <v>243</v>
      </c>
      <c r="J70">
        <v>60023004</v>
      </c>
      <c r="K70" t="s">
        <v>242</v>
      </c>
      <c r="L70" t="s">
        <v>241</v>
      </c>
      <c r="M70" t="s">
        <v>8</v>
      </c>
      <c r="N70">
        <v>2</v>
      </c>
      <c r="O70" t="s">
        <v>240</v>
      </c>
      <c r="P70" t="s">
        <v>239</v>
      </c>
      <c r="Q70" t="s">
        <v>238</v>
      </c>
      <c r="R70" s="7">
        <v>30164</v>
      </c>
      <c r="S70" s="8">
        <f t="shared" si="16"/>
        <v>1982</v>
      </c>
      <c r="T70" s="8">
        <v>1982</v>
      </c>
      <c r="U70" s="8">
        <f t="shared" si="17"/>
        <v>40</v>
      </c>
      <c r="V70" s="7">
        <v>30164</v>
      </c>
      <c r="W70" t="s">
        <v>237</v>
      </c>
      <c r="X70" s="2">
        <v>1.109</v>
      </c>
      <c r="Y70" s="6">
        <f t="shared" si="18"/>
        <v>2.9604121619817944E-2</v>
      </c>
      <c r="AA70">
        <v>223239</v>
      </c>
      <c r="AB70">
        <v>23966</v>
      </c>
      <c r="AC70">
        <v>15732878</v>
      </c>
      <c r="AD70" t="s">
        <v>1</v>
      </c>
      <c r="AE70">
        <v>37</v>
      </c>
      <c r="AF70">
        <v>4</v>
      </c>
      <c r="AH70" t="s">
        <v>236</v>
      </c>
      <c r="AI70" t="s">
        <v>235</v>
      </c>
      <c r="AJ70" t="s">
        <v>234</v>
      </c>
      <c r="AK70" t="s">
        <v>233</v>
      </c>
      <c r="AL70">
        <v>9</v>
      </c>
      <c r="AM70" s="5">
        <f t="shared" si="19"/>
        <v>0.22500000000000001</v>
      </c>
      <c r="AN70" s="4">
        <f t="shared" si="20"/>
        <v>3.4078000757288904E-4</v>
      </c>
      <c r="AO70" s="3"/>
      <c r="AP70">
        <v>0</v>
      </c>
      <c r="AR70" t="s">
        <v>0</v>
      </c>
      <c r="AT70" s="2" t="s">
        <v>7</v>
      </c>
      <c r="AU70" s="1">
        <f t="shared" si="21"/>
        <v>2.0825119136144425</v>
      </c>
      <c r="AV70" s="1">
        <f t="shared" si="22"/>
        <v>1.4972450813695417</v>
      </c>
      <c r="AW70" s="1">
        <f t="shared" si="23"/>
        <v>0.91197824912464065</v>
      </c>
    </row>
    <row r="71" spans="1:49" x14ac:dyDescent="0.2">
      <c r="A71">
        <v>69</v>
      </c>
      <c r="B71" t="s">
        <v>232</v>
      </c>
      <c r="C71" t="s">
        <v>231</v>
      </c>
      <c r="F71" t="s">
        <v>230</v>
      </c>
      <c r="G71" t="s">
        <v>4</v>
      </c>
      <c r="H71" t="s">
        <v>3</v>
      </c>
      <c r="I71" t="s">
        <v>229</v>
      </c>
      <c r="N71">
        <v>3</v>
      </c>
      <c r="O71" t="s">
        <v>228</v>
      </c>
      <c r="P71" t="s">
        <v>227</v>
      </c>
      <c r="Q71" t="s">
        <v>13</v>
      </c>
      <c r="R71" s="7">
        <v>30164</v>
      </c>
      <c r="S71" s="8">
        <f t="shared" si="16"/>
        <v>1982</v>
      </c>
      <c r="T71" s="8">
        <v>1982</v>
      </c>
      <c r="U71" s="8">
        <f t="shared" si="17"/>
        <v>40</v>
      </c>
      <c r="V71" s="7">
        <v>30164</v>
      </c>
      <c r="W71" t="s">
        <v>11</v>
      </c>
      <c r="X71" s="2">
        <v>0.318</v>
      </c>
      <c r="Y71" s="6">
        <f t="shared" si="18"/>
        <v>8.4888283815167786E-3</v>
      </c>
      <c r="AA71">
        <v>338443</v>
      </c>
      <c r="AB71">
        <v>27160</v>
      </c>
      <c r="AC71">
        <v>15739120</v>
      </c>
      <c r="AD71" t="s">
        <v>1</v>
      </c>
      <c r="AE71">
        <v>25</v>
      </c>
      <c r="AF71">
        <v>8</v>
      </c>
      <c r="AH71" t="s">
        <v>226</v>
      </c>
      <c r="AL71">
        <v>0</v>
      </c>
      <c r="AM71" s="5">
        <f t="shared" si="19"/>
        <v>0</v>
      </c>
      <c r="AN71" s="4">
        <f t="shared" si="20"/>
        <v>0</v>
      </c>
      <c r="AO71" s="3"/>
      <c r="AP71">
        <v>0</v>
      </c>
      <c r="AR71" t="s">
        <v>0</v>
      </c>
      <c r="AT71" s="2">
        <v>0.77</v>
      </c>
      <c r="AU71" s="1">
        <f t="shared" si="21"/>
        <v>0.59421798670617454</v>
      </c>
      <c r="AV71" s="1">
        <f t="shared" si="22"/>
        <v>0.42444141907583893</v>
      </c>
      <c r="AW71" s="1">
        <f t="shared" si="23"/>
        <v>0.25466485144550338</v>
      </c>
    </row>
    <row r="72" spans="1:49" x14ac:dyDescent="0.2">
      <c r="A72">
        <v>70</v>
      </c>
      <c r="B72" t="s">
        <v>225</v>
      </c>
      <c r="E72">
        <v>7085665</v>
      </c>
      <c r="F72" t="s">
        <v>224</v>
      </c>
      <c r="G72" t="s">
        <v>4</v>
      </c>
      <c r="H72" t="s">
        <v>3</v>
      </c>
      <c r="I72" t="s">
        <v>223</v>
      </c>
      <c r="N72">
        <v>7</v>
      </c>
      <c r="O72" t="s">
        <v>222</v>
      </c>
      <c r="P72" t="s">
        <v>221</v>
      </c>
      <c r="Q72" t="s">
        <v>220</v>
      </c>
      <c r="R72" s="7">
        <v>30157</v>
      </c>
      <c r="S72" s="8">
        <f t="shared" si="16"/>
        <v>1982</v>
      </c>
      <c r="T72" s="8">
        <v>1982</v>
      </c>
      <c r="U72" s="8">
        <f t="shared" si="17"/>
        <v>40</v>
      </c>
      <c r="V72" s="7">
        <v>30157</v>
      </c>
      <c r="W72" t="s">
        <v>107</v>
      </c>
      <c r="X72" s="2">
        <v>2.3610000000000002</v>
      </c>
      <c r="Y72" s="6">
        <f t="shared" si="18"/>
        <v>6.3025546568431179E-2</v>
      </c>
      <c r="AA72">
        <v>219258</v>
      </c>
      <c r="AB72">
        <v>17592</v>
      </c>
      <c r="AD72" t="s">
        <v>1</v>
      </c>
      <c r="AE72">
        <v>257</v>
      </c>
      <c r="AF72">
        <v>14</v>
      </c>
      <c r="AH72" t="s">
        <v>219</v>
      </c>
      <c r="AI72" t="s">
        <v>218</v>
      </c>
      <c r="AK72" t="s">
        <v>217</v>
      </c>
      <c r="AL72">
        <v>12</v>
      </c>
      <c r="AM72" s="5">
        <f t="shared" si="19"/>
        <v>0.3</v>
      </c>
      <c r="AN72" s="4">
        <f t="shared" si="20"/>
        <v>4.5437334343051872E-4</v>
      </c>
      <c r="AO72" s="3"/>
      <c r="AP72">
        <v>0</v>
      </c>
      <c r="AR72" t="s">
        <v>0</v>
      </c>
      <c r="AT72" s="2">
        <v>5.157</v>
      </c>
      <c r="AU72" s="1">
        <f t="shared" si="21"/>
        <v>4.4254194600930976</v>
      </c>
      <c r="AV72" s="1">
        <f t="shared" si="22"/>
        <v>3.1739959955930845</v>
      </c>
      <c r="AW72" s="1">
        <f t="shared" si="23"/>
        <v>1.9225725310930717</v>
      </c>
    </row>
    <row r="73" spans="1:49" x14ac:dyDescent="0.2">
      <c r="A73">
        <v>71</v>
      </c>
      <c r="B73" t="s">
        <v>216</v>
      </c>
      <c r="C73" t="s">
        <v>215</v>
      </c>
      <c r="D73">
        <v>5272882902730</v>
      </c>
      <c r="F73" t="s">
        <v>214</v>
      </c>
      <c r="G73" t="s">
        <v>4</v>
      </c>
      <c r="H73" t="s">
        <v>3</v>
      </c>
      <c r="I73" t="s">
        <v>213</v>
      </c>
      <c r="J73">
        <v>60016082</v>
      </c>
      <c r="K73" t="s">
        <v>212</v>
      </c>
      <c r="L73" t="s">
        <v>211</v>
      </c>
      <c r="M73" t="s">
        <v>9</v>
      </c>
      <c r="N73">
        <v>3</v>
      </c>
      <c r="O73" t="s">
        <v>210</v>
      </c>
      <c r="P73" t="s">
        <v>209</v>
      </c>
      <c r="Q73" t="s">
        <v>208</v>
      </c>
      <c r="R73" s="7">
        <v>30154</v>
      </c>
      <c r="S73" s="8">
        <f t="shared" si="16"/>
        <v>1982</v>
      </c>
      <c r="T73" s="8">
        <v>1982</v>
      </c>
      <c r="U73" s="8">
        <f t="shared" si="17"/>
        <v>40</v>
      </c>
      <c r="V73" s="7">
        <v>30154</v>
      </c>
      <c r="W73" t="s">
        <v>94</v>
      </c>
      <c r="X73" s="2">
        <v>1.59</v>
      </c>
      <c r="Y73" s="6">
        <f t="shared" si="18"/>
        <v>4.2444141907583888E-2</v>
      </c>
      <c r="AA73">
        <v>52728</v>
      </c>
      <c r="AB73">
        <v>16791</v>
      </c>
      <c r="AD73" t="s">
        <v>1</v>
      </c>
      <c r="AE73">
        <v>681</v>
      </c>
      <c r="AF73">
        <v>1</v>
      </c>
      <c r="AH73" t="s">
        <v>207</v>
      </c>
      <c r="AI73" t="s">
        <v>206</v>
      </c>
      <c r="AJ73" t="s">
        <v>205</v>
      </c>
      <c r="AK73" t="s">
        <v>204</v>
      </c>
      <c r="AL73">
        <v>6</v>
      </c>
      <c r="AM73" s="5">
        <f t="shared" si="19"/>
        <v>0.15</v>
      </c>
      <c r="AN73" s="4">
        <f t="shared" si="20"/>
        <v>2.2718667171525936E-4</v>
      </c>
      <c r="AO73" s="3"/>
      <c r="AP73">
        <v>0</v>
      </c>
      <c r="AR73" t="s">
        <v>0</v>
      </c>
      <c r="AT73" s="2" t="s">
        <v>7</v>
      </c>
      <c r="AU73" s="1">
        <f t="shared" si="21"/>
        <v>2.9779055336823297</v>
      </c>
      <c r="AV73" s="1">
        <f t="shared" si="22"/>
        <v>2.1335664289649574</v>
      </c>
      <c r="AW73" s="1">
        <f t="shared" si="23"/>
        <v>1.2892273242475847</v>
      </c>
    </row>
    <row r="74" spans="1:49" x14ac:dyDescent="0.2">
      <c r="A74">
        <v>72</v>
      </c>
      <c r="B74" t="s">
        <v>203</v>
      </c>
      <c r="C74" t="s">
        <v>202</v>
      </c>
      <c r="D74" t="s">
        <v>201</v>
      </c>
      <c r="F74" t="s">
        <v>200</v>
      </c>
      <c r="G74" t="s">
        <v>4</v>
      </c>
      <c r="H74" t="s">
        <v>3</v>
      </c>
      <c r="I74" t="s">
        <v>199</v>
      </c>
      <c r="J74">
        <v>60002306</v>
      </c>
      <c r="K74" t="s">
        <v>198</v>
      </c>
      <c r="L74" t="s">
        <v>197</v>
      </c>
      <c r="M74" t="s">
        <v>5</v>
      </c>
      <c r="N74">
        <v>1</v>
      </c>
      <c r="O74" t="s">
        <v>196</v>
      </c>
      <c r="P74">
        <v>7006613193</v>
      </c>
      <c r="Q74">
        <v>60002306</v>
      </c>
      <c r="R74" s="7">
        <v>30154</v>
      </c>
      <c r="S74" s="8">
        <f t="shared" si="16"/>
        <v>1982</v>
      </c>
      <c r="T74" s="8">
        <v>1982</v>
      </c>
      <c r="U74" s="8">
        <f t="shared" si="17"/>
        <v>40</v>
      </c>
      <c r="V74" s="7">
        <v>30154</v>
      </c>
      <c r="W74" t="s">
        <v>195</v>
      </c>
      <c r="X74" s="2">
        <v>1.3149999999999999</v>
      </c>
      <c r="Y74" s="6">
        <f t="shared" si="18"/>
        <v>3.5103173967592965E-2</v>
      </c>
      <c r="AA74" t="s">
        <v>194</v>
      </c>
      <c r="AB74">
        <v>13030</v>
      </c>
      <c r="AC74">
        <v>10958568</v>
      </c>
      <c r="AD74" t="s">
        <v>1</v>
      </c>
      <c r="AE74">
        <v>83</v>
      </c>
      <c r="AF74">
        <v>2</v>
      </c>
      <c r="AH74" t="s">
        <v>193</v>
      </c>
      <c r="AI74" t="s">
        <v>192</v>
      </c>
      <c r="AK74" t="s">
        <v>191</v>
      </c>
      <c r="AL74">
        <v>20</v>
      </c>
      <c r="AM74" s="5">
        <f t="shared" si="19"/>
        <v>0.5</v>
      </c>
      <c r="AN74" s="4">
        <f t="shared" si="20"/>
        <v>7.572889057175312E-4</v>
      </c>
      <c r="AO74" s="3"/>
      <c r="AP74">
        <v>0</v>
      </c>
      <c r="AR74" t="s">
        <v>0</v>
      </c>
      <c r="AS74" t="s">
        <v>190</v>
      </c>
      <c r="AT74" s="2">
        <v>3.6549999999999998</v>
      </c>
      <c r="AU74" s="1">
        <f t="shared" si="21"/>
        <v>2.4799408449030338</v>
      </c>
      <c r="AV74" s="1">
        <f t="shared" si="22"/>
        <v>1.7930231436655248</v>
      </c>
      <c r="AW74" s="1">
        <f t="shared" si="23"/>
        <v>1.1061054424280161</v>
      </c>
    </row>
    <row r="75" spans="1:49" x14ac:dyDescent="0.2">
      <c r="A75">
        <v>73</v>
      </c>
      <c r="B75" t="s">
        <v>189</v>
      </c>
      <c r="C75" t="s">
        <v>188</v>
      </c>
      <c r="F75" t="s">
        <v>187</v>
      </c>
      <c r="G75" t="s">
        <v>4</v>
      </c>
      <c r="H75" t="s">
        <v>3</v>
      </c>
      <c r="I75" t="s">
        <v>186</v>
      </c>
      <c r="J75">
        <v>60027271</v>
      </c>
      <c r="K75" t="s">
        <v>60</v>
      </c>
      <c r="L75" t="s">
        <v>28</v>
      </c>
      <c r="M75" t="s">
        <v>8</v>
      </c>
      <c r="N75">
        <v>1</v>
      </c>
      <c r="O75" t="s">
        <v>185</v>
      </c>
      <c r="P75">
        <v>7006017795</v>
      </c>
      <c r="Q75">
        <v>60027271</v>
      </c>
      <c r="R75" s="7">
        <v>30154</v>
      </c>
      <c r="S75" s="8">
        <f t="shared" si="16"/>
        <v>1982</v>
      </c>
      <c r="T75" s="8">
        <v>1982</v>
      </c>
      <c r="U75" s="8">
        <f t="shared" si="17"/>
        <v>40</v>
      </c>
      <c r="V75" s="7">
        <v>30154</v>
      </c>
      <c r="W75" t="s">
        <v>83</v>
      </c>
      <c r="X75" s="2">
        <v>0.375</v>
      </c>
      <c r="Y75" s="6">
        <f t="shared" si="18"/>
        <v>1.0010410827260351E-2</v>
      </c>
      <c r="AA75">
        <v>135194</v>
      </c>
      <c r="AB75">
        <v>24918</v>
      </c>
      <c r="AD75" t="s">
        <v>1</v>
      </c>
      <c r="AE75">
        <v>18</v>
      </c>
      <c r="AF75">
        <v>15</v>
      </c>
      <c r="AH75" t="s">
        <v>184</v>
      </c>
      <c r="AI75" t="s">
        <v>183</v>
      </c>
      <c r="AJ75" t="s">
        <v>182</v>
      </c>
      <c r="AK75" t="s">
        <v>181</v>
      </c>
      <c r="AL75">
        <v>0</v>
      </c>
      <c r="AM75" s="5">
        <f t="shared" si="19"/>
        <v>0</v>
      </c>
      <c r="AN75" s="4">
        <f t="shared" si="20"/>
        <v>0</v>
      </c>
      <c r="AO75" s="3"/>
      <c r="AP75">
        <v>0</v>
      </c>
      <c r="AR75" t="s">
        <v>0</v>
      </c>
      <c r="AT75" s="2">
        <v>1.3140000000000001</v>
      </c>
      <c r="AU75" s="1">
        <f t="shared" si="21"/>
        <v>0.70072875790822453</v>
      </c>
      <c r="AV75" s="1">
        <f t="shared" si="22"/>
        <v>0.5005205413630176</v>
      </c>
      <c r="AW75" s="1">
        <f t="shared" si="23"/>
        <v>0.30031232481781051</v>
      </c>
    </row>
    <row r="76" spans="1:49" x14ac:dyDescent="0.2">
      <c r="A76">
        <v>74</v>
      </c>
      <c r="B76" t="s">
        <v>180</v>
      </c>
      <c r="C76" t="s">
        <v>179</v>
      </c>
      <c r="F76" t="s">
        <v>178</v>
      </c>
      <c r="G76" t="s">
        <v>4</v>
      </c>
      <c r="H76" t="s">
        <v>3</v>
      </c>
      <c r="I76" t="s">
        <v>177</v>
      </c>
      <c r="J76">
        <v>60033461</v>
      </c>
      <c r="K76" t="s">
        <v>176</v>
      </c>
      <c r="L76" t="s">
        <v>175</v>
      </c>
      <c r="M76" t="s">
        <v>8</v>
      </c>
      <c r="N76">
        <v>1</v>
      </c>
      <c r="O76" t="s">
        <v>174</v>
      </c>
      <c r="P76">
        <v>7003292725</v>
      </c>
      <c r="Q76">
        <v>60033461</v>
      </c>
      <c r="R76" s="7">
        <v>30154</v>
      </c>
      <c r="S76" s="8">
        <f t="shared" si="16"/>
        <v>1982</v>
      </c>
      <c r="T76" s="8">
        <v>1982</v>
      </c>
      <c r="U76" s="8">
        <f t="shared" si="17"/>
        <v>40</v>
      </c>
      <c r="V76" s="7">
        <v>30154</v>
      </c>
      <c r="W76" t="s">
        <v>83</v>
      </c>
      <c r="X76" s="2">
        <v>0.375</v>
      </c>
      <c r="Y76" s="6">
        <f t="shared" si="18"/>
        <v>1.0010410827260351E-2</v>
      </c>
      <c r="AA76">
        <v>135194</v>
      </c>
      <c r="AB76">
        <v>24918</v>
      </c>
      <c r="AD76" t="s">
        <v>1</v>
      </c>
      <c r="AE76">
        <v>18</v>
      </c>
      <c r="AF76">
        <v>15</v>
      </c>
      <c r="AH76" t="s">
        <v>173</v>
      </c>
      <c r="AI76" t="s">
        <v>172</v>
      </c>
      <c r="AJ76" t="s">
        <v>171</v>
      </c>
      <c r="AK76" t="s">
        <v>170</v>
      </c>
      <c r="AL76">
        <v>3</v>
      </c>
      <c r="AM76" s="5">
        <f t="shared" si="19"/>
        <v>7.4999999999999997E-2</v>
      </c>
      <c r="AN76" s="4">
        <f t="shared" si="20"/>
        <v>1.1359333585762968E-4</v>
      </c>
      <c r="AO76" s="3"/>
      <c r="AP76">
        <v>0</v>
      </c>
      <c r="AR76" t="s">
        <v>0</v>
      </c>
      <c r="AT76" s="2">
        <v>1.3140000000000001</v>
      </c>
      <c r="AU76" s="1">
        <f t="shared" si="21"/>
        <v>0.70413655798395347</v>
      </c>
      <c r="AV76" s="1">
        <f t="shared" si="22"/>
        <v>0.50620020815589906</v>
      </c>
      <c r="AW76" s="1">
        <f t="shared" si="23"/>
        <v>0.30826385832784459</v>
      </c>
    </row>
    <row r="77" spans="1:49" x14ac:dyDescent="0.2">
      <c r="A77">
        <v>75</v>
      </c>
      <c r="B77" t="s">
        <v>169</v>
      </c>
      <c r="C77" t="s">
        <v>168</v>
      </c>
      <c r="D77">
        <v>14579382805826</v>
      </c>
      <c r="F77" t="s">
        <v>167</v>
      </c>
      <c r="G77" t="s">
        <v>4</v>
      </c>
      <c r="H77" t="s">
        <v>3</v>
      </c>
      <c r="I77" t="s">
        <v>78</v>
      </c>
      <c r="J77" t="s">
        <v>166</v>
      </c>
      <c r="K77" t="s">
        <v>165</v>
      </c>
      <c r="L77" t="s">
        <v>164</v>
      </c>
      <c r="M77" t="s">
        <v>163</v>
      </c>
      <c r="N77">
        <v>5</v>
      </c>
      <c r="O77" t="s">
        <v>162</v>
      </c>
      <c r="P77" t="s">
        <v>161</v>
      </c>
      <c r="Q77" t="s">
        <v>160</v>
      </c>
      <c r="R77" s="7">
        <v>30151</v>
      </c>
      <c r="S77" s="8">
        <f t="shared" si="16"/>
        <v>1982</v>
      </c>
      <c r="T77" s="8">
        <v>1982</v>
      </c>
      <c r="U77" s="8">
        <f t="shared" si="17"/>
        <v>40</v>
      </c>
      <c r="V77" s="7">
        <v>30151</v>
      </c>
      <c r="W77" t="s">
        <v>93</v>
      </c>
      <c r="X77" s="2">
        <v>1.593</v>
      </c>
      <c r="Y77" s="6">
        <f t="shared" si="18"/>
        <v>4.2524225194201973E-2</v>
      </c>
      <c r="AA77">
        <v>145793</v>
      </c>
      <c r="AB77">
        <v>17481</v>
      </c>
      <c r="AD77" t="s">
        <v>1</v>
      </c>
      <c r="AE77">
        <v>144</v>
      </c>
      <c r="AF77">
        <v>1</v>
      </c>
      <c r="AH77" t="s">
        <v>159</v>
      </c>
      <c r="AJ77" t="s">
        <v>158</v>
      </c>
      <c r="AL77">
        <v>18</v>
      </c>
      <c r="AM77" s="5">
        <f t="shared" si="19"/>
        <v>0.45</v>
      </c>
      <c r="AN77" s="4">
        <f t="shared" si="20"/>
        <v>6.8156001514577808E-4</v>
      </c>
      <c r="AO77" s="3"/>
      <c r="AP77">
        <v>1</v>
      </c>
      <c r="AQ77" t="s">
        <v>157</v>
      </c>
      <c r="AR77" t="s">
        <v>0</v>
      </c>
      <c r="AS77" t="s">
        <v>156</v>
      </c>
      <c r="AT77" s="2">
        <v>4.1239999999999997</v>
      </c>
      <c r="AU77" s="1">
        <f t="shared" si="21"/>
        <v>2.9971425640485112</v>
      </c>
      <c r="AV77" s="1">
        <f t="shared" si="22"/>
        <v>2.1602892604673873</v>
      </c>
      <c r="AW77" s="1">
        <f t="shared" si="23"/>
        <v>1.3234359568862637</v>
      </c>
    </row>
    <row r="78" spans="1:49" x14ac:dyDescent="0.2">
      <c r="A78">
        <v>76</v>
      </c>
      <c r="B78" t="s">
        <v>155</v>
      </c>
      <c r="C78" t="s">
        <v>154</v>
      </c>
      <c r="F78" t="s">
        <v>153</v>
      </c>
      <c r="G78" t="s">
        <v>4</v>
      </c>
      <c r="H78" t="s">
        <v>3</v>
      </c>
      <c r="I78" t="s">
        <v>152</v>
      </c>
      <c r="J78" t="s">
        <v>151</v>
      </c>
      <c r="K78" t="s">
        <v>150</v>
      </c>
      <c r="L78" t="s">
        <v>149</v>
      </c>
      <c r="M78" t="s">
        <v>73</v>
      </c>
      <c r="N78">
        <v>2</v>
      </c>
      <c r="O78" t="s">
        <v>148</v>
      </c>
      <c r="P78" t="s">
        <v>147</v>
      </c>
      <c r="Q78" t="s">
        <v>146</v>
      </c>
      <c r="R78" s="7">
        <v>30140</v>
      </c>
      <c r="S78" s="8">
        <f t="shared" si="16"/>
        <v>1982</v>
      </c>
      <c r="T78" s="8">
        <v>1982</v>
      </c>
      <c r="U78" s="8">
        <f t="shared" si="17"/>
        <v>40</v>
      </c>
      <c r="V78" s="7">
        <v>30140</v>
      </c>
      <c r="W78" t="s">
        <v>83</v>
      </c>
      <c r="X78" s="2">
        <v>0.375</v>
      </c>
      <c r="Y78" s="6">
        <f t="shared" si="18"/>
        <v>1.0010410827260351E-2</v>
      </c>
      <c r="AA78">
        <v>135194</v>
      </c>
      <c r="AB78">
        <v>24918</v>
      </c>
      <c r="AD78" t="s">
        <v>1</v>
      </c>
      <c r="AE78">
        <v>18</v>
      </c>
      <c r="AF78">
        <v>14</v>
      </c>
      <c r="AH78" t="s">
        <v>145</v>
      </c>
      <c r="AI78" t="s">
        <v>144</v>
      </c>
      <c r="AJ78" t="s">
        <v>143</v>
      </c>
      <c r="AK78" t="s">
        <v>142</v>
      </c>
      <c r="AL78">
        <v>42</v>
      </c>
      <c r="AM78" s="5">
        <f t="shared" si="19"/>
        <v>1.05</v>
      </c>
      <c r="AN78" s="4">
        <f t="shared" si="20"/>
        <v>1.5903067020068156E-3</v>
      </c>
      <c r="AO78" s="3"/>
      <c r="AP78">
        <v>0</v>
      </c>
      <c r="AR78" t="s">
        <v>0</v>
      </c>
      <c r="AT78" s="2">
        <v>1.3140000000000001</v>
      </c>
      <c r="AU78" s="1">
        <f t="shared" si="21"/>
        <v>0.74843795896842902</v>
      </c>
      <c r="AV78" s="1">
        <f t="shared" si="22"/>
        <v>0.5800358764633583</v>
      </c>
      <c r="AW78" s="1">
        <f t="shared" si="23"/>
        <v>0.41163379395828764</v>
      </c>
    </row>
    <row r="79" spans="1:49" x14ac:dyDescent="0.2">
      <c r="A79">
        <v>77</v>
      </c>
      <c r="B79" t="s">
        <v>141</v>
      </c>
      <c r="C79" t="s">
        <v>140</v>
      </c>
      <c r="F79" t="s">
        <v>139</v>
      </c>
      <c r="G79" t="s">
        <v>4</v>
      </c>
      <c r="H79" t="s">
        <v>3</v>
      </c>
      <c r="I79" t="s">
        <v>89</v>
      </c>
      <c r="J79">
        <v>60010818</v>
      </c>
      <c r="K79" t="s">
        <v>88</v>
      </c>
      <c r="L79" t="s">
        <v>87</v>
      </c>
      <c r="M79" t="s">
        <v>20</v>
      </c>
      <c r="N79">
        <v>2</v>
      </c>
      <c r="O79" t="s">
        <v>86</v>
      </c>
      <c r="P79" t="s">
        <v>85</v>
      </c>
      <c r="Q79" t="s">
        <v>84</v>
      </c>
      <c r="R79" s="7">
        <v>30140</v>
      </c>
      <c r="S79" s="8">
        <f t="shared" si="16"/>
        <v>1982</v>
      </c>
      <c r="T79" s="8">
        <v>1982</v>
      </c>
      <c r="U79" s="8">
        <f t="shared" si="17"/>
        <v>40</v>
      </c>
      <c r="V79" s="7">
        <v>30140</v>
      </c>
      <c r="W79" t="s">
        <v>83</v>
      </c>
      <c r="X79" s="2">
        <v>0.375</v>
      </c>
      <c r="Y79" s="6">
        <f t="shared" si="18"/>
        <v>1.0010410827260351E-2</v>
      </c>
      <c r="AA79">
        <v>135194</v>
      </c>
      <c r="AB79">
        <v>24918</v>
      </c>
      <c r="AD79" t="s">
        <v>1</v>
      </c>
      <c r="AE79">
        <v>18</v>
      </c>
      <c r="AF79">
        <v>14</v>
      </c>
      <c r="AH79" t="s">
        <v>138</v>
      </c>
      <c r="AI79" t="s">
        <v>137</v>
      </c>
      <c r="AJ79" t="s">
        <v>136</v>
      </c>
      <c r="AK79" t="s">
        <v>135</v>
      </c>
      <c r="AL79">
        <v>25</v>
      </c>
      <c r="AM79" s="5">
        <f t="shared" si="19"/>
        <v>0.625</v>
      </c>
      <c r="AN79" s="4">
        <f t="shared" si="20"/>
        <v>9.4661113214691405E-4</v>
      </c>
      <c r="AO79" s="3"/>
      <c r="AP79">
        <v>0</v>
      </c>
      <c r="AR79" t="s">
        <v>0</v>
      </c>
      <c r="AT79" s="2">
        <v>1.3140000000000001</v>
      </c>
      <c r="AU79" s="1">
        <f t="shared" si="21"/>
        <v>0.72912709187263203</v>
      </c>
      <c r="AV79" s="1">
        <f t="shared" si="22"/>
        <v>0.54785109797036335</v>
      </c>
      <c r="AW79" s="1">
        <f t="shared" si="23"/>
        <v>0.36657510406809446</v>
      </c>
    </row>
    <row r="80" spans="1:49" x14ac:dyDescent="0.2">
      <c r="A80">
        <v>78</v>
      </c>
      <c r="B80" t="s">
        <v>134</v>
      </c>
      <c r="C80" t="s">
        <v>133</v>
      </c>
      <c r="F80" t="s">
        <v>132</v>
      </c>
      <c r="G80" t="s">
        <v>4</v>
      </c>
      <c r="H80" t="s">
        <v>3</v>
      </c>
      <c r="I80" t="s">
        <v>131</v>
      </c>
      <c r="J80">
        <v>60032350</v>
      </c>
      <c r="K80" t="s">
        <v>130</v>
      </c>
      <c r="L80" t="s">
        <v>30</v>
      </c>
      <c r="M80" t="s">
        <v>24</v>
      </c>
      <c r="N80">
        <v>1</v>
      </c>
      <c r="O80" t="s">
        <v>129</v>
      </c>
      <c r="P80">
        <v>7003636273</v>
      </c>
      <c r="Q80">
        <v>60032350</v>
      </c>
      <c r="R80" s="7">
        <v>30133</v>
      </c>
      <c r="S80" s="8">
        <f t="shared" si="16"/>
        <v>1982</v>
      </c>
      <c r="T80" s="8">
        <v>1982</v>
      </c>
      <c r="U80" s="8">
        <f t="shared" si="17"/>
        <v>40</v>
      </c>
      <c r="V80" s="7">
        <v>30133</v>
      </c>
      <c r="W80" t="s">
        <v>128</v>
      </c>
      <c r="X80" s="2" t="s">
        <v>7</v>
      </c>
      <c r="Y80" s="6" t="e">
        <f t="shared" si="18"/>
        <v>#VALUE!</v>
      </c>
      <c r="AA80">
        <v>3905551</v>
      </c>
      <c r="AB80">
        <v>15400155600</v>
      </c>
      <c r="AD80" t="s">
        <v>1</v>
      </c>
      <c r="AE80">
        <v>5</v>
      </c>
      <c r="AF80">
        <v>4</v>
      </c>
      <c r="AH80" t="s">
        <v>127</v>
      </c>
      <c r="AI80" t="s">
        <v>126</v>
      </c>
      <c r="AJ80" t="s">
        <v>125</v>
      </c>
      <c r="AK80" t="s">
        <v>124</v>
      </c>
      <c r="AL80">
        <v>56</v>
      </c>
      <c r="AM80" s="5">
        <f t="shared" si="19"/>
        <v>1.4</v>
      </c>
      <c r="AN80" s="4">
        <f t="shared" si="20"/>
        <v>2.1204089360090874E-3</v>
      </c>
      <c r="AO80" s="3"/>
      <c r="AP80">
        <v>0</v>
      </c>
      <c r="AR80" t="s">
        <v>0</v>
      </c>
      <c r="AT80" s="2" t="s">
        <v>7</v>
      </c>
      <c r="AU80" s="1" t="e">
        <f t="shared" si="21"/>
        <v>#VALUE!</v>
      </c>
      <c r="AV80" s="1" t="e">
        <f t="shared" si="22"/>
        <v>#VALUE!</v>
      </c>
      <c r="AW80" s="1" t="e">
        <f t="shared" si="23"/>
        <v>#VALUE!</v>
      </c>
    </row>
    <row r="81" spans="1:49" x14ac:dyDescent="0.2">
      <c r="A81">
        <v>79</v>
      </c>
      <c r="B81" t="s">
        <v>123</v>
      </c>
      <c r="C81" t="s">
        <v>122</v>
      </c>
      <c r="F81" t="s">
        <v>121</v>
      </c>
      <c r="G81" t="s">
        <v>4</v>
      </c>
      <c r="H81" t="s">
        <v>3</v>
      </c>
      <c r="I81" t="s">
        <v>120</v>
      </c>
      <c r="N81">
        <v>2</v>
      </c>
      <c r="O81" t="s">
        <v>119</v>
      </c>
      <c r="P81" t="s">
        <v>118</v>
      </c>
      <c r="Q81" t="s">
        <v>2</v>
      </c>
      <c r="R81" s="7">
        <v>30133</v>
      </c>
      <c r="S81" s="8">
        <f t="shared" si="16"/>
        <v>1982</v>
      </c>
      <c r="T81" s="8">
        <v>1982</v>
      </c>
      <c r="U81" s="8">
        <f t="shared" si="17"/>
        <v>40</v>
      </c>
      <c r="V81" s="7">
        <v>30133</v>
      </c>
      <c r="W81" t="s">
        <v>102</v>
      </c>
      <c r="X81" s="2">
        <v>0.14899999999999999</v>
      </c>
      <c r="Y81" s="6">
        <f t="shared" si="18"/>
        <v>3.977469902031446E-3</v>
      </c>
      <c r="AA81">
        <v>5431972</v>
      </c>
      <c r="AB81">
        <v>15425</v>
      </c>
      <c r="AC81">
        <v>15738906</v>
      </c>
      <c r="AD81" t="s">
        <v>1</v>
      </c>
      <c r="AE81">
        <v>25</v>
      </c>
      <c r="AF81">
        <v>7</v>
      </c>
      <c r="AH81" t="s">
        <v>117</v>
      </c>
      <c r="AL81">
        <v>0</v>
      </c>
      <c r="AM81" s="5">
        <f t="shared" si="19"/>
        <v>0</v>
      </c>
      <c r="AN81" s="4">
        <f t="shared" si="20"/>
        <v>0</v>
      </c>
      <c r="AO81" s="3"/>
      <c r="AP81">
        <v>0</v>
      </c>
      <c r="AR81" t="s">
        <v>0</v>
      </c>
      <c r="AT81" s="2" t="s">
        <v>7</v>
      </c>
      <c r="AU81" s="1">
        <f t="shared" si="21"/>
        <v>0.2784228931422012</v>
      </c>
      <c r="AV81" s="1">
        <f t="shared" si="22"/>
        <v>0.19887349510157229</v>
      </c>
      <c r="AW81" s="1">
        <f t="shared" si="23"/>
        <v>0.11932409706094337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2021-11-11T11:59:04Z</dcterms:created>
  <dcterms:modified xsi:type="dcterms:W3CDTF">2022-01-19T19:11:19Z</dcterms:modified>
</cp:coreProperties>
</file>